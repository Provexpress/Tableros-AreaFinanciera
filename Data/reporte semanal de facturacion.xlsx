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provexpress-my.sharepoint.com/personal/especialista_preventa_provexpress_com_co/Documents/Documents/Proyectos/Tableros/Area Financiera/Data/"/>
    </mc:Choice>
  </mc:AlternateContent>
  <xr:revisionPtr revIDLastSave="4487" documentId="13_ncr:1_{B2AB4860-33E7-4926-A519-9FB90BB6652F}" xr6:coauthVersionLast="47" xr6:coauthVersionMax="47" xr10:uidLastSave="{0B29F245-36E2-4737-9545-533FEF6C0D65}"/>
  <bookViews>
    <workbookView xWindow="-165" yWindow="-165" windowWidth="29130" windowHeight="15810" firstSheet="2" xr2:uid="{00000000-000D-0000-FFFF-FFFF00000000}"/>
  </bookViews>
  <sheets>
    <sheet name="CONSOLIDADO SEMANAL" sheetId="1" r:id="rId1"/>
    <sheet name="Hoja1" sheetId="11" r:id="rId2"/>
    <sheet name="Gestion docs" sheetId="5" r:id="rId3"/>
    <sheet name="codificacion" sheetId="6" r:id="rId4"/>
    <sheet name="COMPRAS" sheetId="4" r:id="rId5"/>
    <sheet name="consolidado" sheetId="7" r:id="rId6"/>
    <sheet name="DATOS" sheetId="3" r:id="rId7"/>
    <sheet name="Maestro_Semanal" sheetId="9" r:id="rId8"/>
    <sheet name="Mapa_NC_Semana" sheetId="10" r:id="rId9"/>
  </sheets>
  <definedNames>
    <definedName name="_xlnm._FilterDatabase" localSheetId="7" hidden="1">Maestro_Semanal!$A$1:$Z$87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8" i="1" l="1"/>
  <c r="AA98" i="1"/>
  <c r="AA91" i="1"/>
  <c r="AB91" i="1"/>
  <c r="AE91" i="1"/>
  <c r="Z91" i="1"/>
  <c r="T8" i="1"/>
  <c r="I14" i="1"/>
  <c r="L14" i="1"/>
  <c r="W90" i="1"/>
  <c r="T90" i="1"/>
  <c r="S90" i="1"/>
  <c r="L90" i="1"/>
  <c r="H90" i="1" s="1"/>
  <c r="G90" i="1"/>
  <c r="D90" i="1"/>
  <c r="W89" i="1"/>
  <c r="T89" i="1"/>
  <c r="S89" i="1" s="1"/>
  <c r="H89" i="1" s="1"/>
  <c r="L89" i="1"/>
  <c r="G89" i="1"/>
  <c r="D89" i="1"/>
  <c r="W88" i="1"/>
  <c r="T88" i="1"/>
  <c r="S88" i="1"/>
  <c r="H88" i="1" s="1"/>
  <c r="L88" i="1"/>
  <c r="G88" i="1"/>
  <c r="D88" i="1"/>
  <c r="W87" i="1"/>
  <c r="S87" i="1" s="1"/>
  <c r="H87" i="1" s="1"/>
  <c r="T87" i="1"/>
  <c r="L87" i="1"/>
  <c r="G87" i="1"/>
  <c r="D87" i="1"/>
  <c r="W86" i="1"/>
  <c r="T86" i="1"/>
  <c r="S86" i="1"/>
  <c r="L86" i="1"/>
  <c r="H86" i="1"/>
  <c r="G86" i="1"/>
  <c r="D86" i="1"/>
  <c r="W85" i="1"/>
  <c r="T85" i="1"/>
  <c r="S85" i="1"/>
  <c r="L85" i="1"/>
  <c r="H85" i="1"/>
  <c r="G85" i="1"/>
  <c r="D85" i="1"/>
  <c r="W84" i="1"/>
  <c r="W83" i="1"/>
  <c r="W82" i="1"/>
  <c r="T84" i="1"/>
  <c r="T83" i="1"/>
  <c r="T82" i="1"/>
  <c r="S84" i="1"/>
  <c r="S83" i="1"/>
  <c r="S82" i="1"/>
  <c r="L84" i="1"/>
  <c r="H84" i="1"/>
  <c r="G84" i="1"/>
  <c r="D84" i="1"/>
  <c r="L83" i="1"/>
  <c r="H83" i="1" s="1"/>
  <c r="G83" i="1"/>
  <c r="W81" i="1"/>
  <c r="T81" i="1"/>
  <c r="S81" i="1"/>
  <c r="L81" i="1"/>
  <c r="H81" i="1" s="1"/>
  <c r="G81" i="1"/>
  <c r="D81" i="1"/>
  <c r="AJ73" i="1"/>
  <c r="AJ74" i="1"/>
  <c r="AJ75" i="1"/>
  <c r="AJ76" i="1"/>
  <c r="AJ77" i="1"/>
  <c r="AJ78" i="1"/>
  <c r="AI73" i="1"/>
  <c r="AI74" i="1"/>
  <c r="AI75" i="1"/>
  <c r="AI76" i="1"/>
  <c r="AI77" i="1"/>
  <c r="AI78" i="1"/>
  <c r="AJ72" i="1"/>
  <c r="AI72" i="1"/>
  <c r="AI71" i="1"/>
  <c r="AJ71" i="1"/>
  <c r="L80" i="1"/>
  <c r="L79" i="1"/>
  <c r="H79" i="1" s="1"/>
  <c r="L78" i="1"/>
  <c r="H78" i="1" s="1"/>
  <c r="W80" i="1"/>
  <c r="T80" i="1"/>
  <c r="S80" i="1" s="1"/>
  <c r="H80" i="1" s="1"/>
  <c r="W79" i="1"/>
  <c r="T79" i="1"/>
  <c r="S79" i="1"/>
  <c r="G80" i="1"/>
  <c r="D80" i="1"/>
  <c r="G79" i="1"/>
  <c r="D79" i="1"/>
  <c r="W78" i="1"/>
  <c r="T78" i="1"/>
  <c r="S78" i="1"/>
  <c r="G78" i="1"/>
  <c r="D78" i="1"/>
  <c r="W77" i="1"/>
  <c r="T77" i="1"/>
  <c r="S77" i="1" s="1"/>
  <c r="H77" i="1" s="1"/>
  <c r="L77" i="1"/>
  <c r="W76" i="1"/>
  <c r="T76" i="1"/>
  <c r="S76" i="1"/>
  <c r="L76" i="1"/>
  <c r="H76" i="1" s="1"/>
  <c r="W75" i="1"/>
  <c r="T75" i="1"/>
  <c r="S75" i="1"/>
  <c r="L75" i="1"/>
  <c r="H75" i="1" s="1"/>
  <c r="G77" i="1"/>
  <c r="D77" i="1"/>
  <c r="G76" i="1"/>
  <c r="D76" i="1"/>
  <c r="G75" i="1"/>
  <c r="D75" i="1"/>
  <c r="AD74" i="1"/>
  <c r="AD91" i="1" s="1"/>
  <c r="AB74" i="1"/>
  <c r="W74" i="1"/>
  <c r="T74" i="1"/>
  <c r="S74" i="1"/>
  <c r="L74" i="1"/>
  <c r="H74" i="1" s="1"/>
  <c r="G74" i="1"/>
  <c r="D74" i="1"/>
  <c r="T73" i="1"/>
  <c r="W73" i="1"/>
  <c r="S73" i="1"/>
  <c r="L73" i="1"/>
  <c r="H73" i="1" s="1"/>
  <c r="G73" i="1"/>
  <c r="D73" i="1"/>
  <c r="K28" i="4"/>
  <c r="J28" i="4"/>
  <c r="C27" i="5"/>
  <c r="B27" i="5"/>
  <c r="W72" i="1"/>
  <c r="T72" i="1"/>
  <c r="S72" i="1"/>
  <c r="L72" i="1"/>
  <c r="H72" i="1" s="1"/>
  <c r="G72" i="1"/>
  <c r="D72" i="1"/>
  <c r="F26" i="7"/>
  <c r="M26" i="4"/>
  <c r="K27" i="4"/>
  <c r="J27" i="4"/>
  <c r="C26" i="5"/>
  <c r="B26" i="5"/>
  <c r="W71" i="1"/>
  <c r="T71" i="1"/>
  <c r="S71" i="1"/>
  <c r="L71" i="1"/>
  <c r="H71" i="1"/>
  <c r="G71" i="1"/>
  <c r="D71" i="1"/>
  <c r="AJ70" i="1"/>
  <c r="AI70" i="1"/>
  <c r="AJ69" i="1"/>
  <c r="AI69" i="1"/>
  <c r="AJ68" i="1"/>
  <c r="AI68" i="1"/>
  <c r="AJ67" i="1"/>
  <c r="AI67" i="1"/>
  <c r="AJ66" i="1"/>
  <c r="AI66" i="1"/>
  <c r="AJ65" i="1"/>
  <c r="AI65" i="1"/>
  <c r="AJ64" i="1"/>
  <c r="AI64" i="1"/>
  <c r="AJ63" i="1"/>
  <c r="AI63" i="1"/>
  <c r="AJ62" i="1"/>
  <c r="AI62" i="1"/>
  <c r="AJ61" i="1"/>
  <c r="AI61" i="1"/>
  <c r="AJ60" i="1"/>
  <c r="AI60" i="1"/>
  <c r="AJ59" i="1"/>
  <c r="AI59" i="1"/>
  <c r="AJ58" i="1"/>
  <c r="AI58" i="1"/>
  <c r="AJ57" i="1"/>
  <c r="AI57" i="1"/>
  <c r="AJ56" i="1"/>
  <c r="AI56" i="1"/>
  <c r="AJ55" i="1"/>
  <c r="AI55" i="1"/>
  <c r="AJ54" i="1"/>
  <c r="AI54" i="1"/>
  <c r="AJ53" i="1"/>
  <c r="AI53" i="1"/>
  <c r="AJ52" i="1"/>
  <c r="AI52" i="1"/>
  <c r="AJ51" i="1"/>
  <c r="AI51" i="1"/>
  <c r="AJ50" i="1"/>
  <c r="AI50" i="1"/>
  <c r="AJ49" i="1"/>
  <c r="AI49" i="1"/>
  <c r="AJ48" i="1"/>
  <c r="AI48" i="1"/>
  <c r="AJ47" i="1"/>
  <c r="AI47" i="1"/>
  <c r="AJ46" i="1"/>
  <c r="AI46" i="1"/>
  <c r="AJ45" i="1"/>
  <c r="AI45" i="1"/>
  <c r="AJ44" i="1"/>
  <c r="AI44" i="1"/>
  <c r="AJ43" i="1"/>
  <c r="AI43" i="1"/>
  <c r="AJ42" i="1"/>
  <c r="AI42" i="1"/>
  <c r="AJ41" i="1"/>
  <c r="AI41" i="1"/>
  <c r="AJ40" i="1"/>
  <c r="AI40" i="1"/>
  <c r="AJ39" i="1"/>
  <c r="AI39" i="1"/>
  <c r="AJ38" i="1"/>
  <c r="AI38" i="1"/>
  <c r="AJ37" i="1"/>
  <c r="AI37" i="1"/>
  <c r="AJ36" i="1"/>
  <c r="AI36" i="1"/>
  <c r="AJ35" i="1"/>
  <c r="AI35" i="1"/>
  <c r="AJ34" i="1"/>
  <c r="AI34" i="1"/>
  <c r="AJ33" i="1"/>
  <c r="AI33" i="1"/>
  <c r="AJ32" i="1"/>
  <c r="AI32" i="1"/>
  <c r="AJ31" i="1"/>
  <c r="AI31" i="1"/>
  <c r="AJ30" i="1"/>
  <c r="AI30" i="1"/>
  <c r="AJ29" i="1"/>
  <c r="AI29" i="1"/>
  <c r="AJ28" i="1"/>
  <c r="AI28" i="1"/>
  <c r="AJ27" i="1"/>
  <c r="AI27" i="1"/>
  <c r="AJ26" i="1"/>
  <c r="AI26" i="1"/>
  <c r="AJ25" i="1"/>
  <c r="AI25" i="1"/>
  <c r="AJ24" i="1"/>
  <c r="AI24" i="1"/>
  <c r="AJ23" i="1"/>
  <c r="AI23" i="1"/>
  <c r="AJ22" i="1"/>
  <c r="AI22" i="1"/>
  <c r="AJ21" i="1"/>
  <c r="AI21" i="1"/>
  <c r="AJ20" i="1"/>
  <c r="AI20" i="1"/>
  <c r="AJ19" i="1"/>
  <c r="AI19" i="1"/>
  <c r="AJ18" i="1"/>
  <c r="AI18" i="1"/>
  <c r="AJ17" i="1"/>
  <c r="AI17" i="1"/>
  <c r="AJ16" i="1"/>
  <c r="AI16" i="1"/>
  <c r="AJ15" i="1"/>
  <c r="AI15" i="1"/>
  <c r="AJ14" i="1"/>
  <c r="AI14" i="1"/>
  <c r="AJ13" i="1"/>
  <c r="AI13" i="1"/>
  <c r="AJ12" i="1"/>
  <c r="AI12" i="1"/>
  <c r="AJ11" i="1"/>
  <c r="AI11" i="1"/>
  <c r="AJ10" i="1"/>
  <c r="AI10" i="1"/>
  <c r="AJ9" i="1"/>
  <c r="AI9" i="1"/>
  <c r="AJ8" i="1"/>
  <c r="AI8" i="1"/>
  <c r="AJ7" i="1"/>
  <c r="AI7" i="1"/>
  <c r="AJ6" i="1"/>
  <c r="AI6" i="1"/>
  <c r="AJ5" i="1"/>
  <c r="AI5" i="1"/>
  <c r="AH10" i="1"/>
  <c r="AH9" i="1"/>
  <c r="AH8" i="1"/>
  <c r="AH7" i="1"/>
  <c r="AH6" i="1"/>
  <c r="AH5" i="1"/>
  <c r="F25" i="7"/>
  <c r="K26" i="4"/>
  <c r="J26" i="4"/>
  <c r="W70" i="1"/>
  <c r="T70" i="1"/>
  <c r="S70" i="1" s="1"/>
  <c r="H70" i="1" s="1"/>
  <c r="L70" i="1"/>
  <c r="G70" i="1"/>
  <c r="D70" i="1"/>
  <c r="F21" i="7"/>
  <c r="M25" i="4"/>
  <c r="K25" i="4"/>
  <c r="J25" i="4"/>
  <c r="W69" i="1"/>
  <c r="T69" i="1"/>
  <c r="S69" i="1" s="1"/>
  <c r="L69" i="1"/>
  <c r="L68" i="1"/>
  <c r="G69" i="1"/>
  <c r="D69" i="1"/>
  <c r="F20" i="7"/>
  <c r="G24" i="6"/>
  <c r="D24" i="6"/>
  <c r="W68" i="1"/>
  <c r="T68" i="1"/>
  <c r="S68" i="1"/>
  <c r="G68" i="1"/>
  <c r="D68" i="1"/>
  <c r="F19" i="7"/>
  <c r="D23" i="6"/>
  <c r="G23" i="6"/>
  <c r="K24" i="4"/>
  <c r="K23" i="4"/>
  <c r="J24" i="4"/>
  <c r="J23" i="4"/>
  <c r="C26" i="6"/>
  <c r="B26" i="6"/>
  <c r="C25" i="6"/>
  <c r="B25" i="6"/>
  <c r="C24" i="6"/>
  <c r="B24" i="6"/>
  <c r="W67" i="1"/>
  <c r="T67" i="1"/>
  <c r="S67" i="1"/>
  <c r="L67" i="1"/>
  <c r="H67" i="1" s="1"/>
  <c r="G67" i="1"/>
  <c r="D67" i="1"/>
  <c r="F18" i="7"/>
  <c r="G22" i="6"/>
  <c r="D22" i="6"/>
  <c r="K22" i="4"/>
  <c r="J22" i="4"/>
  <c r="W66" i="1"/>
  <c r="T66" i="1"/>
  <c r="S66" i="1" s="1"/>
  <c r="L66" i="1"/>
  <c r="G66" i="1"/>
  <c r="D66" i="1"/>
  <c r="C25" i="5"/>
  <c r="B25" i="5"/>
  <c r="C24" i="5"/>
  <c r="B24" i="5"/>
  <c r="C23" i="5"/>
  <c r="B23" i="5"/>
  <c r="C22" i="5"/>
  <c r="B22" i="5"/>
  <c r="C21" i="5"/>
  <c r="B21" i="5"/>
  <c r="F14" i="7"/>
  <c r="G21" i="6"/>
  <c r="G20" i="6"/>
  <c r="E21" i="6"/>
  <c r="D21" i="6"/>
  <c r="D20" i="6"/>
  <c r="E20" i="6"/>
  <c r="C23" i="6"/>
  <c r="C22" i="6"/>
  <c r="B23" i="6"/>
  <c r="B22" i="6"/>
  <c r="C21" i="6"/>
  <c r="B21" i="6"/>
  <c r="W65" i="1"/>
  <c r="T65" i="1"/>
  <c r="S65" i="1"/>
  <c r="L65" i="1"/>
  <c r="H65" i="1"/>
  <c r="G65" i="1"/>
  <c r="D65" i="1"/>
  <c r="W64" i="1"/>
  <c r="T64" i="1"/>
  <c r="S64" i="1" s="1"/>
  <c r="L64" i="1"/>
  <c r="G64" i="1"/>
  <c r="D64" i="1"/>
  <c r="F13" i="7"/>
  <c r="G19" i="6"/>
  <c r="K21" i="4"/>
  <c r="J21" i="4"/>
  <c r="K20" i="4"/>
  <c r="J20" i="4"/>
  <c r="K19" i="4"/>
  <c r="J19" i="4"/>
  <c r="C20" i="6"/>
  <c r="B20" i="6"/>
  <c r="C19" i="6"/>
  <c r="B19" i="6"/>
  <c r="L63" i="1"/>
  <c r="W63" i="1"/>
  <c r="T63" i="1"/>
  <c r="G63" i="1"/>
  <c r="D63" i="1"/>
  <c r="C20" i="5"/>
  <c r="B20" i="5"/>
  <c r="C19" i="5"/>
  <c r="B19" i="5"/>
  <c r="C18" i="5"/>
  <c r="B18" i="5"/>
  <c r="G18" i="6"/>
  <c r="F12" i="7"/>
  <c r="W62" i="1"/>
  <c r="T62" i="1"/>
  <c r="S62" i="1"/>
  <c r="L62" i="1"/>
  <c r="H62" i="1" s="1"/>
  <c r="G62" i="1"/>
  <c r="D62" i="1"/>
  <c r="F11" i="7"/>
  <c r="F16" i="7" s="1"/>
  <c r="G17" i="6"/>
  <c r="K18" i="4"/>
  <c r="J18" i="4"/>
  <c r="C18" i="6"/>
  <c r="B18" i="6"/>
  <c r="C17" i="6"/>
  <c r="B17" i="6"/>
  <c r="C17" i="5"/>
  <c r="B17" i="5"/>
  <c r="T61" i="1"/>
  <c r="T60" i="1"/>
  <c r="T59" i="1"/>
  <c r="W61" i="1"/>
  <c r="L61" i="1"/>
  <c r="G61" i="1"/>
  <c r="D61" i="1"/>
  <c r="F8" i="7"/>
  <c r="F6" i="7"/>
  <c r="F5" i="7"/>
  <c r="C16" i="5"/>
  <c r="B16" i="5"/>
  <c r="W60" i="1"/>
  <c r="G16" i="6"/>
  <c r="K17" i="4"/>
  <c r="J17" i="4"/>
  <c r="K16" i="4"/>
  <c r="J16" i="4"/>
  <c r="L60" i="1"/>
  <c r="G60" i="1"/>
  <c r="D60" i="1"/>
  <c r="F7" i="7"/>
  <c r="K15" i="4"/>
  <c r="J15" i="4"/>
  <c r="C16" i="6"/>
  <c r="B16" i="6"/>
  <c r="C15" i="6"/>
  <c r="B15" i="6"/>
  <c r="L59" i="1"/>
  <c r="W59" i="1"/>
  <c r="S59" i="1" s="1"/>
  <c r="G59" i="1"/>
  <c r="D59" i="1"/>
  <c r="W58" i="1"/>
  <c r="T58" i="1"/>
  <c r="S58" i="1"/>
  <c r="L58" i="1"/>
  <c r="H58" i="1"/>
  <c r="G58" i="1"/>
  <c r="D58" i="1"/>
  <c r="G12" i="6"/>
  <c r="G13" i="6"/>
  <c r="W57" i="1"/>
  <c r="S57" i="1" s="1"/>
  <c r="T57" i="1"/>
  <c r="L57" i="1"/>
  <c r="G57" i="1"/>
  <c r="D57" i="1"/>
  <c r="W56" i="1"/>
  <c r="T56" i="1"/>
  <c r="S56" i="1" s="1"/>
  <c r="L56" i="1"/>
  <c r="H56" i="1" s="1"/>
  <c r="G56" i="1"/>
  <c r="D56" i="1"/>
  <c r="G11" i="6"/>
  <c r="W55" i="1"/>
  <c r="T55" i="1"/>
  <c r="S55" i="1" s="1"/>
  <c r="L55" i="1"/>
  <c r="G55" i="1"/>
  <c r="D55" i="1"/>
  <c r="G10" i="6"/>
  <c r="W54" i="1"/>
  <c r="T54" i="1"/>
  <c r="S54" i="1" s="1"/>
  <c r="H54" i="1" s="1"/>
  <c r="L54" i="1"/>
  <c r="G54" i="1"/>
  <c r="D54" i="1"/>
  <c r="M9" i="4"/>
  <c r="G9" i="6"/>
  <c r="W53" i="1"/>
  <c r="T53" i="1"/>
  <c r="S53" i="1"/>
  <c r="L53" i="1"/>
  <c r="G53" i="1"/>
  <c r="D53" i="1"/>
  <c r="L9" i="4"/>
  <c r="G8" i="6"/>
  <c r="G7" i="6"/>
  <c r="I7" i="6" s="1"/>
  <c r="K7" i="6" s="1"/>
  <c r="W52" i="1"/>
  <c r="T52" i="1"/>
  <c r="S52" i="1" s="1"/>
  <c r="L52" i="1"/>
  <c r="G52" i="1"/>
  <c r="D52" i="1"/>
  <c r="K14" i="4"/>
  <c r="K13" i="4"/>
  <c r="K12" i="4"/>
  <c r="K11" i="4"/>
  <c r="K10" i="4"/>
  <c r="K9" i="4"/>
  <c r="J14" i="4"/>
  <c r="J13" i="4"/>
  <c r="J12" i="4"/>
  <c r="J11" i="4"/>
  <c r="J10" i="4"/>
  <c r="J9" i="4"/>
  <c r="K8" i="4"/>
  <c r="J8" i="4"/>
  <c r="B8" i="6"/>
  <c r="C8" i="6" s="1"/>
  <c r="B9" i="6" s="1"/>
  <c r="C9" i="6" s="1"/>
  <c r="B10" i="6" s="1"/>
  <c r="C10" i="6" s="1"/>
  <c r="B11" i="6" s="1"/>
  <c r="C11" i="6" s="1"/>
  <c r="B12" i="6" s="1"/>
  <c r="C12" i="6" s="1"/>
  <c r="B13" i="6" s="1"/>
  <c r="C13" i="6" s="1"/>
  <c r="B14" i="6" s="1"/>
  <c r="C14" i="6" s="1"/>
  <c r="F6" i="5"/>
  <c r="B7" i="5"/>
  <c r="C7" i="5" s="1"/>
  <c r="B8" i="5" s="1"/>
  <c r="C8" i="5" s="1"/>
  <c r="B9" i="5" s="1"/>
  <c r="C9" i="5" s="1"/>
  <c r="B10" i="5" s="1"/>
  <c r="C10" i="5" s="1"/>
  <c r="B11" i="5" s="1"/>
  <c r="C11" i="5" s="1"/>
  <c r="B12" i="5" s="1"/>
  <c r="C12" i="5" s="1"/>
  <c r="B13" i="5" s="1"/>
  <c r="C13" i="5" s="1"/>
  <c r="B14" i="5" s="1"/>
  <c r="C14" i="5" s="1"/>
  <c r="B15" i="5" s="1"/>
  <c r="C15" i="5" s="1"/>
  <c r="W51" i="1"/>
  <c r="T51" i="1"/>
  <c r="L51" i="1"/>
  <c r="G51" i="1"/>
  <c r="D51" i="1"/>
  <c r="W50" i="1"/>
  <c r="T50" i="1"/>
  <c r="S50" i="1"/>
  <c r="L50" i="1"/>
  <c r="G50" i="1"/>
  <c r="D50" i="1"/>
  <c r="L49" i="1"/>
  <c r="AB49" i="1"/>
  <c r="W49" i="1"/>
  <c r="T49" i="1"/>
  <c r="S49" i="1" s="1"/>
  <c r="G49" i="1"/>
  <c r="D49" i="1"/>
  <c r="AC48" i="1"/>
  <c r="W48" i="1"/>
  <c r="T48" i="1"/>
  <c r="S48" i="1" s="1"/>
  <c r="L48" i="1"/>
  <c r="G48" i="1"/>
  <c r="D48" i="1"/>
  <c r="W47" i="1"/>
  <c r="T47" i="1"/>
  <c r="L47" i="1"/>
  <c r="G47" i="1"/>
  <c r="D47" i="1"/>
  <c r="L46" i="1"/>
  <c r="W46" i="1"/>
  <c r="T46" i="1"/>
  <c r="G46" i="1"/>
  <c r="W45" i="1"/>
  <c r="T45" i="1"/>
  <c r="L45" i="1"/>
  <c r="G45" i="1"/>
  <c r="T44" i="1"/>
  <c r="W44" i="1"/>
  <c r="L44" i="1"/>
  <c r="G44" i="1"/>
  <c r="W43" i="1"/>
  <c r="T43" i="1"/>
  <c r="S43" i="1" s="1"/>
  <c r="L43" i="1"/>
  <c r="G43" i="1"/>
  <c r="D42" i="1"/>
  <c r="W42" i="1"/>
  <c r="T42" i="1"/>
  <c r="S42" i="1" s="1"/>
  <c r="L42" i="1"/>
  <c r="H42" i="1" s="1"/>
  <c r="G42" i="1"/>
  <c r="W41" i="1"/>
  <c r="T41" i="1"/>
  <c r="L41" i="1"/>
  <c r="G41" i="1"/>
  <c r="W40" i="1"/>
  <c r="T40" i="1"/>
  <c r="L40" i="1"/>
  <c r="G40" i="1"/>
  <c r="AD39" i="1"/>
  <c r="AB39" i="1"/>
  <c r="W39" i="1"/>
  <c r="T39" i="1"/>
  <c r="L39" i="1"/>
  <c r="G39" i="1"/>
  <c r="T38" i="1"/>
  <c r="L38" i="1"/>
  <c r="W38" i="1"/>
  <c r="S38" i="1" s="1"/>
  <c r="G38" i="1"/>
  <c r="G37" i="1"/>
  <c r="T36" i="1"/>
  <c r="G36" i="1"/>
  <c r="G35" i="1"/>
  <c r="G34" i="1"/>
  <c r="L33" i="1"/>
  <c r="G33" i="1"/>
  <c r="W32" i="1"/>
  <c r="G32" i="1"/>
  <c r="G30" i="1"/>
  <c r="G29" i="1"/>
  <c r="G28" i="1"/>
  <c r="G27" i="1"/>
  <c r="G26" i="1"/>
  <c r="G25" i="1"/>
  <c r="G24" i="1"/>
  <c r="G23" i="1"/>
  <c r="G22" i="1"/>
  <c r="G21" i="1"/>
  <c r="G20" i="1"/>
  <c r="G19" i="1"/>
  <c r="AF18" i="1"/>
  <c r="G18" i="1"/>
  <c r="G17" i="1"/>
  <c r="AF17" i="1"/>
  <c r="AD17" i="1"/>
  <c r="G16" i="1"/>
  <c r="G15" i="1"/>
  <c r="G14" i="1"/>
  <c r="G13" i="1"/>
  <c r="G12" i="1"/>
  <c r="AF11" i="1"/>
  <c r="G11" i="1"/>
  <c r="G10" i="1"/>
  <c r="L13" i="1"/>
  <c r="L12" i="1"/>
  <c r="L11" i="1"/>
  <c r="L8" i="1"/>
  <c r="H8" i="1" s="1"/>
  <c r="L10" i="1"/>
  <c r="L9" i="1"/>
  <c r="L3" i="1" s="1"/>
  <c r="AF10" i="1"/>
  <c r="AE10" i="1"/>
  <c r="T10" i="1"/>
  <c r="A11" i="1"/>
  <c r="B11" i="1" s="1"/>
  <c r="D6" i="1"/>
  <c r="W5" i="1"/>
  <c r="T5" i="1"/>
  <c r="H5" i="1"/>
  <c r="H6" i="1"/>
  <c r="Q3" i="1"/>
  <c r="P3" i="1"/>
  <c r="O3" i="1"/>
  <c r="M3" i="1"/>
  <c r="AD3" i="1"/>
  <c r="AA3" i="1"/>
  <c r="Z3" i="1"/>
  <c r="D46" i="1"/>
  <c r="D45" i="1"/>
  <c r="D44" i="1"/>
  <c r="D43"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T11" i="1"/>
  <c r="W11" i="1"/>
  <c r="T12" i="1"/>
  <c r="W12" i="1"/>
  <c r="T13" i="1"/>
  <c r="S13" i="1" s="1"/>
  <c r="W13" i="1"/>
  <c r="T14" i="1"/>
  <c r="W14" i="1"/>
  <c r="L15" i="1"/>
  <c r="T15" i="1"/>
  <c r="W15" i="1"/>
  <c r="T16" i="1"/>
  <c r="W16" i="1"/>
  <c r="L17" i="1"/>
  <c r="T17" i="1"/>
  <c r="W17" i="1"/>
  <c r="L18" i="1"/>
  <c r="T18" i="1"/>
  <c r="W18" i="1"/>
  <c r="L19" i="1"/>
  <c r="T19" i="1"/>
  <c r="W19" i="1"/>
  <c r="L20" i="1"/>
  <c r="T20" i="1"/>
  <c r="W20" i="1"/>
  <c r="L21" i="1"/>
  <c r="T21" i="1"/>
  <c r="W21" i="1"/>
  <c r="L22" i="1"/>
  <c r="T22" i="1"/>
  <c r="W22" i="1"/>
  <c r="L23" i="1"/>
  <c r="T23" i="1"/>
  <c r="W23" i="1"/>
  <c r="L24" i="1"/>
  <c r="T24" i="1"/>
  <c r="W24" i="1"/>
  <c r="L25" i="1"/>
  <c r="T25" i="1"/>
  <c r="W25" i="1"/>
  <c r="L26" i="1"/>
  <c r="T26" i="1"/>
  <c r="W26" i="1"/>
  <c r="L27" i="1"/>
  <c r="T27" i="1"/>
  <c r="W27" i="1"/>
  <c r="L28" i="1"/>
  <c r="T28" i="1"/>
  <c r="W28" i="1"/>
  <c r="L29" i="1"/>
  <c r="T29" i="1"/>
  <c r="W29" i="1"/>
  <c r="L30" i="1"/>
  <c r="T30" i="1"/>
  <c r="W30" i="1"/>
  <c r="L31" i="1"/>
  <c r="T31" i="1"/>
  <c r="W31" i="1"/>
  <c r="L32" i="1"/>
  <c r="T32" i="1"/>
  <c r="T33" i="1"/>
  <c r="W33" i="1"/>
  <c r="L34" i="1"/>
  <c r="T34" i="1"/>
  <c r="W34" i="1"/>
  <c r="L35" i="1"/>
  <c r="T35" i="1"/>
  <c r="W35" i="1"/>
  <c r="L36" i="1"/>
  <c r="W36" i="1"/>
  <c r="L37" i="1"/>
  <c r="T37" i="1"/>
  <c r="W37" i="1"/>
  <c r="W10" i="1"/>
  <c r="T9" i="1"/>
  <c r="W9" i="1"/>
  <c r="W8" i="1"/>
  <c r="AC9" i="1"/>
  <c r="AC3" i="1" s="1"/>
  <c r="AE9" i="1"/>
  <c r="AF8" i="1"/>
  <c r="AF3" i="1" s="1"/>
  <c r="AB8" i="1"/>
  <c r="AB3" i="1" s="1"/>
  <c r="AE8" i="1"/>
  <c r="T7" i="1"/>
  <c r="T6" i="1"/>
  <c r="W7" i="1"/>
  <c r="W6" i="1"/>
  <c r="S47" i="1" l="1"/>
  <c r="H47" i="1" s="1"/>
  <c r="S51" i="1"/>
  <c r="H51" i="1" s="1"/>
  <c r="AC91" i="1"/>
  <c r="H57" i="1"/>
  <c r="H64" i="1"/>
  <c r="H66" i="1"/>
  <c r="H50" i="1"/>
  <c r="H53" i="1"/>
  <c r="AF91" i="1"/>
  <c r="A12" i="1"/>
  <c r="B12" i="1" s="1"/>
  <c r="AH11" i="1"/>
  <c r="S40" i="1"/>
  <c r="H40" i="1" s="1"/>
  <c r="H52" i="1"/>
  <c r="S60" i="1"/>
  <c r="H60" i="1" s="1"/>
  <c r="S61" i="1"/>
  <c r="H61" i="1" s="1"/>
  <c r="S63" i="1"/>
  <c r="H68" i="1"/>
  <c r="H69" i="1"/>
  <c r="F9" i="7"/>
  <c r="H63" i="1"/>
  <c r="H55" i="1"/>
  <c r="H59" i="1"/>
  <c r="H38" i="1"/>
  <c r="S39" i="1"/>
  <c r="H39" i="1" s="1"/>
  <c r="H43" i="1"/>
  <c r="S45" i="1"/>
  <c r="H45" i="1" s="1"/>
  <c r="S46" i="1"/>
  <c r="H46" i="1" s="1"/>
  <c r="H49" i="1"/>
  <c r="S44" i="1"/>
  <c r="H44" i="1" s="1"/>
  <c r="H48" i="1"/>
  <c r="S41" i="1"/>
  <c r="H41" i="1" s="1"/>
  <c r="S10" i="1"/>
  <c r="H10" i="1" s="1"/>
  <c r="AE3" i="1"/>
  <c r="S23" i="1"/>
  <c r="H23" i="1" s="1"/>
  <c r="S26" i="1"/>
  <c r="H26" i="1" s="1"/>
  <c r="S24" i="1"/>
  <c r="H24" i="1" s="1"/>
  <c r="S29" i="1"/>
  <c r="H29" i="1" s="1"/>
  <c r="S32" i="1"/>
  <c r="H32" i="1" s="1"/>
  <c r="H13" i="1"/>
  <c r="S35" i="1"/>
  <c r="H35" i="1" s="1"/>
  <c r="S16" i="1"/>
  <c r="H16" i="1" s="1"/>
  <c r="S19" i="1"/>
  <c r="H19" i="1" s="1"/>
  <c r="S25" i="1"/>
  <c r="H25" i="1" s="1"/>
  <c r="S22" i="1"/>
  <c r="H22" i="1" s="1"/>
  <c r="S28" i="1"/>
  <c r="H28" i="1" s="1"/>
  <c r="S31" i="1"/>
  <c r="H31" i="1" s="1"/>
  <c r="S12" i="1"/>
  <c r="H12" i="1" s="1"/>
  <c r="S34" i="1"/>
  <c r="H34" i="1" s="1"/>
  <c r="S15" i="1"/>
  <c r="H15" i="1" s="1"/>
  <c r="S37" i="1"/>
  <c r="H37" i="1" s="1"/>
  <c r="S18" i="1"/>
  <c r="H18" i="1" s="1"/>
  <c r="S21" i="1"/>
  <c r="H21" i="1" s="1"/>
  <c r="S27" i="1"/>
  <c r="H27" i="1" s="1"/>
  <c r="S30" i="1"/>
  <c r="H30" i="1" s="1"/>
  <c r="S11" i="1"/>
  <c r="H11" i="1" s="1"/>
  <c r="S33" i="1"/>
  <c r="H33" i="1" s="1"/>
  <c r="S14" i="1"/>
  <c r="H14" i="1" s="1"/>
  <c r="S36" i="1"/>
  <c r="H36" i="1" s="1"/>
  <c r="S17" i="1"/>
  <c r="H17" i="1" s="1"/>
  <c r="S20" i="1"/>
  <c r="H20" i="1" s="1"/>
  <c r="S9" i="1"/>
  <c r="H9" i="1" s="1"/>
  <c r="S7" i="1"/>
  <c r="H7" i="1" s="1"/>
  <c r="A13" i="1" l="1"/>
  <c r="B13" i="1" s="1"/>
  <c r="AH12" i="1"/>
  <c r="G14" i="6"/>
  <c r="H3" i="1"/>
  <c r="S3" i="1"/>
  <c r="A14" i="1" l="1"/>
  <c r="B14" i="1" s="1"/>
  <c r="AH13" i="1"/>
  <c r="G15" i="6"/>
  <c r="A15" i="1" l="1"/>
  <c r="B15" i="1" s="1"/>
  <c r="AH14" i="1"/>
  <c r="A16" i="1" l="1"/>
  <c r="B16" i="1" s="1"/>
  <c r="AH15" i="1"/>
  <c r="A17" i="1" l="1"/>
  <c r="B17" i="1" s="1"/>
  <c r="AH16" i="1"/>
  <c r="A18" i="1" l="1"/>
  <c r="B18" i="1" s="1"/>
  <c r="AH17" i="1"/>
  <c r="AH18" i="1" l="1"/>
  <c r="A19" i="1"/>
  <c r="B19" i="1" s="1"/>
  <c r="A20" i="1" l="1"/>
  <c r="B20" i="1" s="1"/>
  <c r="AH19" i="1"/>
  <c r="A21" i="1" l="1"/>
  <c r="B21" i="1" s="1"/>
  <c r="AH20" i="1"/>
  <c r="A22" i="1" l="1"/>
  <c r="B22" i="1" s="1"/>
  <c r="AH21" i="1"/>
  <c r="A23" i="1" l="1"/>
  <c r="B23" i="1" s="1"/>
  <c r="AH22" i="1"/>
  <c r="A24" i="1" l="1"/>
  <c r="B24" i="1" s="1"/>
  <c r="AH23" i="1"/>
  <c r="A25" i="1" l="1"/>
  <c r="B25" i="1" s="1"/>
  <c r="AH24" i="1"/>
  <c r="A26" i="1" l="1"/>
  <c r="B26" i="1" s="1"/>
  <c r="AH25" i="1"/>
  <c r="A27" i="1" l="1"/>
  <c r="B27" i="1" s="1"/>
  <c r="AH26" i="1"/>
  <c r="A28" i="1" l="1"/>
  <c r="B28" i="1" s="1"/>
  <c r="AH27" i="1"/>
  <c r="A29" i="1" l="1"/>
  <c r="B29" i="1" s="1"/>
  <c r="AH28" i="1"/>
  <c r="A30" i="1" l="1"/>
  <c r="B30" i="1" s="1"/>
  <c r="AH29" i="1"/>
  <c r="A31" i="1" l="1"/>
  <c r="B31" i="1" s="1"/>
  <c r="AH30" i="1"/>
  <c r="A32" i="1" l="1"/>
  <c r="B32" i="1" s="1"/>
  <c r="AH31" i="1"/>
  <c r="A33" i="1" l="1"/>
  <c r="B33" i="1" s="1"/>
  <c r="AH32" i="1"/>
  <c r="A34" i="1" l="1"/>
  <c r="B34" i="1" s="1"/>
  <c r="AH33" i="1"/>
  <c r="A35" i="1" l="1"/>
  <c r="B35" i="1" s="1"/>
  <c r="AH34" i="1"/>
  <c r="A36" i="1" l="1"/>
  <c r="B36" i="1" s="1"/>
  <c r="AH35" i="1"/>
  <c r="A37" i="1" l="1"/>
  <c r="B37" i="1" s="1"/>
  <c r="AH36" i="1"/>
  <c r="A38" i="1" l="1"/>
  <c r="B38" i="1" s="1"/>
  <c r="AH37" i="1"/>
  <c r="A39" i="1" l="1"/>
  <c r="B39" i="1" s="1"/>
  <c r="AH38" i="1"/>
  <c r="A40" i="1" l="1"/>
  <c r="B40" i="1" s="1"/>
  <c r="AH39" i="1"/>
  <c r="A41" i="1" l="1"/>
  <c r="B41" i="1" s="1"/>
  <c r="AH40" i="1"/>
  <c r="A42" i="1" l="1"/>
  <c r="B42" i="1" s="1"/>
  <c r="AH41" i="1"/>
  <c r="A43" i="1" l="1"/>
  <c r="B43" i="1" s="1"/>
  <c r="AH42" i="1"/>
  <c r="A44" i="1" l="1"/>
  <c r="B44" i="1" s="1"/>
  <c r="AH43" i="1"/>
  <c r="A45" i="1" l="1"/>
  <c r="B45" i="1" s="1"/>
  <c r="AH44" i="1"/>
  <c r="A46" i="1" l="1"/>
  <c r="B46" i="1" s="1"/>
  <c r="AH45" i="1"/>
  <c r="A47" i="1" l="1"/>
  <c r="B47" i="1" s="1"/>
  <c r="AH46" i="1"/>
  <c r="A48" i="1" l="1"/>
  <c r="B48" i="1" s="1"/>
  <c r="AH47" i="1"/>
  <c r="A49" i="1" l="1"/>
  <c r="B49" i="1" s="1"/>
  <c r="AH48" i="1"/>
  <c r="A50" i="1" l="1"/>
  <c r="B50" i="1" s="1"/>
  <c r="AH49" i="1"/>
  <c r="A51" i="1" l="1"/>
  <c r="B51" i="1" s="1"/>
  <c r="AH50" i="1"/>
  <c r="A52" i="1" l="1"/>
  <c r="B52" i="1" s="1"/>
  <c r="AH51" i="1"/>
  <c r="A53" i="1" l="1"/>
  <c r="B53" i="1" s="1"/>
  <c r="AH52" i="1"/>
  <c r="A54" i="1" l="1"/>
  <c r="B54" i="1" s="1"/>
  <c r="AH53" i="1"/>
  <c r="A55" i="1" l="1"/>
  <c r="B55" i="1" s="1"/>
  <c r="AH54" i="1"/>
  <c r="A56" i="1" l="1"/>
  <c r="B56" i="1" s="1"/>
  <c r="AH55" i="1"/>
  <c r="A57" i="1" l="1"/>
  <c r="B57" i="1" s="1"/>
  <c r="AH56" i="1"/>
  <c r="A58" i="1" l="1"/>
  <c r="B58" i="1" s="1"/>
  <c r="AH57" i="1"/>
  <c r="A59" i="1" l="1"/>
  <c r="B59" i="1" s="1"/>
  <c r="AH58" i="1"/>
  <c r="A60" i="1" l="1"/>
  <c r="B60" i="1" s="1"/>
  <c r="AH59" i="1"/>
  <c r="A61" i="1" l="1"/>
  <c r="B61" i="1" s="1"/>
  <c r="AH60" i="1"/>
  <c r="A62" i="1" l="1"/>
  <c r="B62" i="1" s="1"/>
  <c r="AH61" i="1"/>
  <c r="A63" i="1" l="1"/>
  <c r="B63" i="1" s="1"/>
  <c r="AH62" i="1"/>
  <c r="A64" i="1" l="1"/>
  <c r="B64" i="1" s="1"/>
  <c r="AH63" i="1"/>
  <c r="A65" i="1" l="1"/>
  <c r="B65" i="1" s="1"/>
  <c r="AH64" i="1"/>
  <c r="A66" i="1" l="1"/>
  <c r="B66" i="1" s="1"/>
  <c r="AH65" i="1"/>
  <c r="A67" i="1" l="1"/>
  <c r="B67" i="1" s="1"/>
  <c r="AH66" i="1"/>
  <c r="A68" i="1" l="1"/>
  <c r="B68" i="1" s="1"/>
  <c r="AH67" i="1"/>
  <c r="A69" i="1" l="1"/>
  <c r="B69" i="1" s="1"/>
  <c r="AH68" i="1"/>
  <c r="A70" i="1" l="1"/>
  <c r="B70" i="1" s="1"/>
  <c r="AH70" i="1" s="1"/>
  <c r="AH69" i="1"/>
  <c r="A71" i="1" l="1"/>
  <c r="B71" i="1" s="1"/>
  <c r="A72" i="1" l="1"/>
  <c r="B72" i="1" s="1"/>
  <c r="AH71" i="1"/>
  <c r="A73" i="1" l="1"/>
  <c r="B73" i="1" s="1"/>
  <c r="AH72" i="1"/>
  <c r="AH73" i="1" l="1"/>
  <c r="A74" i="1"/>
  <c r="B74" i="1" s="1"/>
  <c r="AH74" i="1" l="1"/>
  <c r="A75" i="1"/>
  <c r="B75" i="1" s="1"/>
  <c r="AH75" i="1" l="1"/>
  <c r="A76" i="1"/>
  <c r="B76" i="1" s="1"/>
  <c r="AH76" i="1" l="1"/>
  <c r="A77" i="1"/>
  <c r="B77" i="1" s="1"/>
  <c r="AH77" i="1" l="1"/>
  <c r="A78" i="1"/>
  <c r="B78" i="1" s="1"/>
  <c r="AH78" i="1" l="1"/>
  <c r="A79" i="1"/>
  <c r="B79" i="1" s="1"/>
  <c r="A80" i="1" s="1"/>
  <c r="B80" i="1" s="1"/>
  <c r="A81" i="1" s="1"/>
  <c r="B81" i="1" s="1"/>
  <c r="A82" i="1" s="1"/>
  <c r="B82" i="1" s="1"/>
  <c r="A83" i="1" s="1"/>
  <c r="B83" i="1" s="1"/>
  <c r="A84" i="1" s="1"/>
  <c r="B84" i="1" s="1"/>
  <c r="A85" i="1" s="1"/>
  <c r="B85" i="1" s="1"/>
  <c r="A86" i="1" s="1"/>
  <c r="B86" i="1" s="1"/>
  <c r="A87" i="1" s="1"/>
  <c r="B87" i="1" s="1"/>
  <c r="A88" i="1" s="1"/>
  <c r="B88" i="1" s="1"/>
  <c r="A89" i="1" s="1"/>
  <c r="B89" i="1" s="1"/>
  <c r="A90" i="1" s="1"/>
  <c r="B90" i="1" s="1"/>
  <c r="F2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tc={B9ACCAA3-610A-479D-8803-4D359925F746}</author>
    <author>tc={4C3EE1E0-5ABA-40CE-A3AA-F0D906E66E3A}</author>
    <author>tc={F3C9A44E-59BB-4E1C-B161-E740354F7435}</author>
    <author>tc={64C7F39D-C64A-43E4-8C18-FE84F5AE9327}</author>
    <author>tc={3BB329BC-FF51-4ADB-8910-1EA5F4F7E7FD}</author>
    <author>tc={138C5E39-E444-42E4-A632-8C8DC3A341DD}</author>
    <author>tc={4476700F-D33D-4DC6-813C-0D7A8BCF5616}</author>
    <author>tc={96F5787C-A5BE-43A3-969B-4DD2DABC936D}</author>
    <author>tc={A87DA546-F60A-4072-8229-F16447024991}</author>
    <author>tc={59FCDF3E-CB09-4187-8AAA-2676D040613F}</author>
    <author>tc={3E23091A-2290-40AE-9A79-DD2217A93C35}</author>
    <author>tc={110316AD-3644-4E1F-827A-1B8A06D65819}</author>
    <author>tc={569D82DA-69E7-47D5-B585-767507C43A9D}</author>
    <author>tc={66626395-9773-46BB-98C9-51FE9DF8EAA5}</author>
    <author>tc={AB18679F-6629-4E14-8C0D-C5102A086E0B}</author>
    <author>tc={27584553-9C09-4979-91FE-CA67E80755E2}</author>
    <author>tc={1E9E0BF0-0923-48CB-AF21-3F280C89EE36}</author>
    <author>tc={BA33C30F-A800-4695-AB4C-4AEB97F2B1D7}</author>
    <author>tc={E79FC653-B496-4D1E-94DF-F618FFAFC2E2}</author>
    <author>tc={B880A9A9-6F63-4E5C-8252-9A306C34C0AD}</author>
    <author>tc={8DDACF5D-8371-4B8D-9DA2-6E66DFADADFE}</author>
    <author>tc={52EB0BDF-EA64-46BD-AA92-F251C5444D48}</author>
    <author>tc={05D816F7-32DD-4BE4-A680-7CF39570F306}</author>
    <author>tc={E3E54A4D-E784-450A-A844-C0DFBBDDDEB7}</author>
    <author>tc={5FBA814B-63FC-46B4-BF29-72CE340F214B}</author>
    <author>tc={BD9308DF-B35C-4E29-BF2A-3BAE7AC3E423}</author>
    <author>tc={11D858DB-DF8B-426D-930F-CA2CC73940BE}</author>
    <author>tc={5E237884-A21A-406B-8A01-240584FDCD07}</author>
    <author>tc={3E4D4BCF-AEE8-4EE0-A109-B111AC967E12}</author>
    <author>tc={B3778F6D-7392-4C6A-985A-3FE897DAC74E}</author>
    <author>tc={5B4C5174-73C1-4C3E-A6EA-975A7181657B}</author>
    <author>tc={9284B9C2-56B4-449E-9BD5-57F6292A564E}</author>
    <author>tc={F36C2499-E36A-479A-A31D-13CC0778C35D}</author>
    <author>tc={8FD08EDD-F6BB-4340-83F8-688969766890}</author>
    <author>tc={53759DCE-6B29-401C-A0B1-7BB3A8CE9D32}</author>
    <author>tc={F38B4524-8467-400B-8748-4645B1A88968}</author>
    <author>tc={72956D40-4BCA-4F62-AAF5-B600C3CDEBE4}</author>
    <author>tc={9C88D96A-BC43-4A0C-909C-1A28BF22FF13}</author>
    <author>tc={E3CAB966-94FA-479B-83C5-BD7C395F1AC0}</author>
    <author>tc={63FA221D-B907-44F1-A51F-B54571E397A3}</author>
    <author>tc={80630D68-B200-4536-8271-1B82E7CF4AAA}</author>
    <author>tc={206A6282-AD84-4F62-A775-E3FA81049CAF}</author>
    <author>tc={6ABC9B9A-F7AC-477E-B7FE-5F303A6188EB}</author>
    <author>tc={C3885405-C23C-4B77-86B8-236B2A8B6D16}</author>
    <author>tc={BE47701F-E766-4B8F-8FD0-C6DEAEF3025D}</author>
    <author>tc={24EFCDBB-2742-4A2A-BE2F-A54679B2B0AA}</author>
    <author>tc={B403865D-8C65-44FA-9B85-FA2910DA09C1}</author>
    <author>tc={D67773B7-175A-465E-A266-5F019CFC11A5}</author>
    <author>tc={DF4CA525-DD9B-4F08-9142-C7AF2AED3458}</author>
    <author>tc={F99EC4D9-342B-41CC-8881-E5F0F02EBF53}</author>
    <author>tc={147FFF87-08F2-4147-B334-7A1AD11E420E}</author>
    <author>tc={005E4062-6ECE-49E6-B53C-3D82ED95F6CB}</author>
    <author>tc={A5DE6736-69D9-4322-BF98-B8303B96449F}</author>
    <author>tc={8A346FFA-FA62-40E6-BBFF-CDD77A91E808}</author>
    <author>tc={FE2611D7-CCC1-43E1-BC8E-B09AE943AE81}</author>
    <author>tc={454095A3-B4F9-434A-B552-B95E48F0CD75}</author>
    <author>tc={D22DCC9D-29DB-41DD-9F2E-845B9BD5D696}</author>
    <author>tc={E7C56B42-D485-4372-9A3D-3D25D0A0C987}</author>
    <author>tc={3A7CD8B3-2335-493A-B85F-B15EED9C5A9F}</author>
    <author>tc={B026F588-B188-4B01-8F57-C48AF8333D3E}</author>
    <author>tc={07415A23-4B62-49F4-938B-F75FB68FA2F0}</author>
    <author>tc={C9BFF230-8369-4B75-AF4E-3D644BC6A1DA}</author>
    <author>tc={8B12603B-CEC3-46D0-8D04-6621FC4E0CCB}</author>
    <author>tc={36F6B7DC-3ACB-46F8-8750-DC91B698F9E7}</author>
    <author>tc={F8EF1DEC-B11D-4D99-9802-C3559350D5B6}</author>
    <author>tc={75B883EE-F0A7-4D96-AF3C-B43454BBF50E}</author>
    <author>tc={B85BCC42-5161-4A41-994E-1CCCD1B97266}</author>
    <author>tc={771D7DDB-EED7-4265-89BB-3BB5C40F5E86}</author>
    <author>tc={459CE368-2C15-42AC-9542-5A811D60AD9E}</author>
    <author>tc={EB3F1BD8-EF57-4E28-8386-F45C49F20926}</author>
    <author>tc={D8DF615D-7F07-45DD-B807-34B56F984CA6}</author>
    <author>tc={49A88C98-A811-44FB-A32E-16B0D1A8BE22}</author>
    <author>tc={BBC37085-9E8D-465E-BCD8-775EF3AFEC61}</author>
    <author>tc={74251667-2FDF-4D34-92CC-AC6D609589E5}</author>
    <author>tc={2E42A5CD-F788-4B25-AC39-76EAB1941BD3}</author>
    <author>tc={B6082A5B-4B9B-4E48-BBC7-5C521EB342C0}</author>
    <author>tc={B1F42768-284D-4CC7-8BCC-D96E89CE834A}</author>
    <author>tc={E9B91A94-E418-4258-8AE0-C257573C74BD}</author>
    <author>tc={35FE741B-424D-414A-8687-2B48970C6D75}</author>
    <author>tc={7B2519B5-44A2-4793-A697-DA65CFCB3E63}</author>
    <author>tc={CECD6932-EE2B-4244-A879-EB0EFE8D3C03}</author>
    <author>tc={214DD1A4-FAEA-4EE3-80E8-5ACAE0ACB220}</author>
    <author>tc={5AAAE208-DBD7-47BD-A9C8-25840C7DD254}</author>
    <author>tc={6F080C6C-F389-413F-8352-5EC9ADB4E27F}</author>
    <author>tc={DA4E0558-D6AC-4DFE-92A8-4827134D35F6}</author>
    <author>tc={FC0D2A94-AAE9-4C4E-8A5C-39C70EBDB39C}</author>
    <author>tc={0F2B3CF4-597B-453E-86EC-32D7E2815344}</author>
    <author>tc={F6ACDF80-ACA8-4B9F-A5A4-8289797C1177}</author>
    <author>tc={5ECDD5E6-0B42-4D39-A1D6-D722A764371C}</author>
    <author>tc={C997DD4C-EF50-4A74-A6FC-B3AA169631A2}</author>
    <author>tc={674EE9EA-EAE1-4DA8-983F-969D3E59974A}</author>
    <author>tc={E2063D9D-D6BE-4ABF-89B9-B4E525A824BD}</author>
    <author>tc={9D0D0125-53F1-493C-811D-CD0B4B3726FF}</author>
    <author>tc={43406479-85B5-4104-9812-043ED0960C2B}</author>
    <author>tc={91995F3F-AA05-4C3C-9F45-F1987D537451}</author>
    <author>tc={B1012AB8-A4E8-415B-A555-659F173326D8}</author>
    <author>tc={C900B23B-3B18-48C9-A7D0-6F9C0B61C89A}</author>
    <author>tc={37030A95-C1B5-42DB-A59C-DDB778C8B701}</author>
    <author>tc={1AF5A548-920B-4971-ACB2-843B75E87755}</author>
    <author>tc={9AF258FF-20E9-4E68-871F-5AF7358B3895}</author>
    <author>tc={BBFCFA84-F4CF-41E3-9417-0F5EC7618FF7}</author>
    <author>tc={AA171BA8-0646-42AE-B8CE-899731906ECC}</author>
    <author>tc={F1CF8A18-BB07-4EBE-9145-25B4BDC6E1A3}</author>
    <author>tc={AC62AAAD-7414-4D94-886C-BC0A7C3CD655}</author>
    <author>tc={32BC662B-A848-4EAA-84B3-5BDC1AC3E3F0}</author>
    <author>tc={9F43B773-9B2C-47DF-9051-978748A15067}</author>
    <author>tc={63EDB1D2-8E7F-49E4-9036-86A2639F74FA}</author>
    <author>tc={477A3B20-87BD-4338-800A-581300F32965}</author>
    <author>tc={F597BC90-51E1-4D84-9A97-DD1075C1A306}</author>
    <author>tc={872DD058-7383-4096-853F-94007E35D545}</author>
    <author>tc={33481A81-F944-46F0-AE72-9EAD100AC3E9}</author>
    <author>tc={C710E235-E855-40FF-95BE-3251D87DAFBD}</author>
    <author>tc={A4B366FD-A2F5-4A9B-A792-737249F33019}</author>
    <author>tc={56B5B44A-A421-4E52-AB74-5C68F9E61ABC}</author>
    <author>tc={1721D24D-7860-4C9F-AD0D-BAE4F957F16B}</author>
    <author>tc={BB7851C0-641C-4668-A2C1-8993C6760FE6}</author>
    <author>tc={2F5EB34E-7FF3-41F5-874E-458E08E72381}</author>
    <author>tc={CA89A69D-47C0-4E76-8F26-38BE3C8D37C9}</author>
    <author>tc={9E19E5B9-D281-4E5D-ADC3-08829AE6061F}</author>
    <author>tc={CEB70847-B25F-41E7-9AE0-C82301712FF7}</author>
    <author>tc={74B828FF-319F-41A5-A986-3AE03163A73E}</author>
    <author>tc={ED241B9F-AC13-4197-B465-82D9887D3374}</author>
    <author>tc={A2D18F04-4BF2-45BE-9FCF-2BDAFF832B9F}</author>
    <author>tc={0CBB3336-A7AF-43EA-9645-990F3ECADB8D}</author>
    <author>tc={E2E8B994-E839-4505-823D-5A1B47E61E96}</author>
    <author>tc={CC43E0AC-0BB7-468B-B1BD-8F16A8F0CF48}</author>
    <author>tc={31217876-9013-401F-BF57-420450505E12}</author>
    <author>tc={A05A606E-497E-49BE-B268-77A19CCDCFEF}</author>
    <author>tc={AF0F799B-54D4-409C-A748-D2FC74911C25}</author>
    <author>tc={FDC534A9-E5ED-468C-8C14-AD2BEBAC1E23}</author>
    <author>tc={C281008E-69B4-4934-A23C-553B183AE532}</author>
    <author>tc={0FF9B2CF-9E02-4713-A8AB-F4CA115AE9F5}</author>
    <author>tc={12CBFD37-7AAA-492A-8BF5-4DFE8D5D3825}</author>
    <author>tc={57430CD3-8DA7-4868-A0B6-DC783BAA1B6E}</author>
    <author>tc={E9540014-2466-48EF-9AE0-BE13DF3B066F}</author>
    <author>tc={41B81C5E-DC7B-414F-923D-50F7B1968CAD}</author>
    <author>tc={5CD088E2-07C7-49A0-B367-1BCB10D2127F}</author>
    <author>tc={C6561CA2-227E-4A43-9627-3D421C66202D}</author>
    <author>tc={E0645E50-A36D-4F97-BBC5-39C95DA8EB60}</author>
    <author>tc={D31B81A1-2645-4113-8A03-1085D4734866}</author>
    <author>tc={A2171217-75A0-41FC-9569-55BD1E9072FF}</author>
    <author>tc={E7EF1256-2FAB-4DE6-9E3D-36986E88EEDA}</author>
    <author>tc={2FADBBDC-3149-4824-85C8-EC36479AD851}</author>
    <author>tc={5538F85B-92AC-4DEA-B1D5-E67FFBDDF287}</author>
    <author>tc={13C45B8E-245A-4990-B93E-48D22E3E7EE5}</author>
    <author>tc={5647AE72-CBEB-4E60-8DBB-0E7A9EE9DCDE}</author>
    <author>tc={9E55B54D-1778-44E7-AB99-30B796DB2ADA}</author>
    <author>tc={D98040F7-315C-4B91-AF9A-0F23390A3790}</author>
    <author>tc={181279D2-7A3A-4DE4-836A-2D6011F997A0}</author>
    <author>tc={9A0737F8-B75F-4117-8002-228709DA60ED}</author>
    <author>tc={7154AF24-E8D4-4264-BE98-F52CFDE349D1}</author>
    <author>tc={AAE0CC49-350E-4C4D-B384-59F9330D2862}</author>
    <author>tc={55BB8ED7-8D20-4574-ABDA-CC78AE1B708C}</author>
    <author>tc={72A5C55A-255C-4DBA-A0ED-6D728368E3D0}</author>
    <author>tc={A8DB6F9F-EBC2-424C-8919-3EF8458BFFDE}</author>
    <author>tc={046538EE-0EA6-4568-932E-7B6B28281556}</author>
    <author>tc={36D9C15F-619F-4E37-87D0-9F3A533DBF7F}</author>
    <author>tc={C0F0EE2B-7662-450C-87C3-C478C5A815F2}</author>
    <author>tc={C9071D00-C901-4C21-891B-33279C0D94BF}</author>
    <author>tc={84F7FFCD-110C-46D0-85AC-67ACFF2C3574}</author>
    <author>tc={2AC54677-A3CC-45B8-B4B2-883B02C85D79}</author>
    <author>tc={088C7128-059C-4999-BE10-7D67BA018ED6}</author>
    <author>tc={5EDD3F02-0712-4260-AA08-8F28F3D3C3BC}</author>
    <author>tc={7FDEF9A9-C757-442C-8420-5C94D5AB0E05}</author>
    <author>tc={4C765C9B-B96A-43EC-8AF3-66433AC11FDA}</author>
    <author>tc={51C75FBA-B54A-43CB-B6DC-0A05D5FBEDAA}</author>
    <author>tc={FB331394-692B-40F7-B171-17931D7CB913}</author>
    <author>tc={A146711C-0E06-422A-94B0-78177908D3A9}</author>
    <author>tc={E2AA2BD8-7825-4C6D-9690-11F8CCE7266B}</author>
    <author>tc={B96CD8A8-F211-437D-889D-B0C705E9F352}</author>
    <author>tc={74F0D19E-FBA7-4679-BF55-20598548CFFE}</author>
    <author>tc={597D2F32-1059-43A6-A109-5A68E7544394}</author>
    <author>tc={670F3092-90E3-4B8F-B984-A9C6CFFAEA83}</author>
    <author>tc={46BB14C2-ADED-4737-A3AA-D298DF43B8E9}</author>
    <author>tc={0B982E86-EA85-42D9-B02F-25CD9B03838F}</author>
    <author>tc={33B8D454-5620-4F54-84B5-87BAC6F5AFA0}</author>
    <author>tc={70170B5F-8346-45EE-9E0D-318D5DDA33A7}</author>
    <author>tc={62EE2257-605F-4935-A75D-F08CB18E6230}</author>
    <author>tc={741E6AF1-8EB4-407F-B460-BC957675089B}</author>
    <author>tc={97B406A2-EFE3-4F12-8B89-B4A7249E4290}</author>
    <author>tc={010283A7-8DD8-416A-BFB9-C63EF7464852}</author>
    <author>tc={7E0601CE-0CFB-406C-8E2F-4034D89FF2F9}</author>
    <author>tc={9A5E2130-0B4D-4E8F-8078-E7E4DD7DBE3B}</author>
    <author>tc={E6088668-4A92-4E6A-9D42-B8738749433E}</author>
    <author>tc={9A94F6ED-F3A4-48FF-B499-E19525D6669E}</author>
    <author>tc={122FBEEC-FF88-4FFF-ADD7-632F2933EF08}</author>
    <author>tc={3603A676-3CB8-414B-AA36-4883543F2F3A}</author>
    <author>tc={6EF66556-D506-4ED7-88B4-A06E835F221E}</author>
    <author>tc={09353432-F864-4F73-BFCA-826200E4452A}</author>
    <author>tc={6AA70445-AD5F-40DF-907B-B6785E8866E0}</author>
    <author>tc={3D3F3B4B-31D1-4262-B0E7-F0679FAD92BA}</author>
    <author>tc={45F30103-B6E3-4BF3-9176-46EFC64202DF}</author>
    <author>tc={5DB9024C-F0F4-4117-B07A-2378AF31E01E}</author>
    <author>tc={37156EFC-C14B-43ED-8E70-0E4CFCFC6DCD}</author>
    <author>tc={A5E69E92-3F03-4FF3-833E-796982448339}</author>
    <author>tc={2E8460D1-2D0C-485A-8D8A-F9432ADCB787}</author>
    <author>tc={D0E85CC2-528E-49D2-B37E-BCA924810E7B}</author>
    <author>tc={E98DF2D9-CA0E-4C21-86D0-12C2949A0070}</author>
    <author>tc={8BB092E5-BB8B-4F13-8543-7F2CA7C54C95}</author>
    <author>tc={564D8F02-0A80-4ED7-AD66-BF3DD19B4660}</author>
    <author>tc={EA22B456-A6B9-4840-8333-0DA8935DA5BC}</author>
    <author>tc={A5D6C985-D32C-40AF-B36B-E9B78B20F94B}</author>
    <author>tc={CF1212A5-37FD-4471-B457-F4FB5600A1C1}</author>
    <author>tc={97A6353C-2FAB-4A17-A487-05D3CBDB9EA6}</author>
    <author>tc={485B77D9-DB25-4618-AA72-D2E90DE1B559}</author>
    <author>tc={E6ED9BD7-BE7A-4494-8CDB-5C20142BE28B}</author>
    <author>tc={1337D8EE-C995-4AAC-A4D3-844E9F253A68}</author>
    <author>tc={94E3AF7B-73EB-44A0-BEE5-812F05690BD8}</author>
    <author>tc={199DDEDD-8694-4B3F-951A-96D89547C1A7}</author>
    <author>tc={9C026811-2E7B-41D0-BDD0-2533B368FD87}</author>
    <author>tc={E4863FC3-E551-4941-9566-3EE0B11574E7}</author>
    <author>tc={9CF4B1E6-305E-444D-B022-2913F687386E}</author>
    <author>tc={978EAE46-93DB-4B0D-8EE9-3103DA0A4CAB}</author>
    <author>tc={FE94AA6E-0F95-4C06-A997-497384099245}</author>
    <author>tc={78F3C516-A953-4CB6-B052-89BFB22C1A75}</author>
    <author>tc={26472361-CE7D-4C4D-AA62-0F87753FD204}</author>
    <author>tc={6A30A311-FAAF-4830-AFCC-660FADCED571}</author>
    <author>tc={85DE8006-218B-4568-84CF-13B710A0EB25}</author>
    <author>tc={53A92A36-5271-43F5-838D-F03C83E675FA}</author>
    <author>tc={F6713BE0-F1AB-4EA7-8FD2-9B2EF5093C2E}</author>
    <author>tc={9264D4D3-0B8B-46F9-AE47-D752DD07BC80}</author>
    <author>tc={AA0C9891-B2F4-405B-85A4-C42E188D1BED}</author>
    <author>tc={17F7AFE7-EE66-438C-A463-B24DB8FE56BB}</author>
    <author>tc={B4F10162-28A5-43F1-BE74-50AE6D5A92A0}</author>
    <author>tc={58D41391-A7AE-423B-877F-5AA7FDFC153C}</author>
    <author>tc={F9682AB4-7DA4-4721-B0FF-C0BE6407AC5E}</author>
    <author>tc={239BDF44-91D1-4DA3-9440-AC4B83F62E64}</author>
    <author>tc={602EE05C-B872-4839-B0B7-79AAB26EDC25}</author>
    <author>tc={057E2DE9-21CD-4540-B824-85EA1DF48A11}</author>
    <author>tc={BBCE8449-D143-41E9-A5F9-4A246B8886CD}</author>
    <author>tc={06C609A9-CB01-4BC1-82F6-144D9EC76C64}</author>
    <author>tc={5DEAF7BA-4663-489B-802E-C61F6EDB3C3F}</author>
    <author>tc={55B84075-BD11-4CED-B20B-C32D18257EC6}</author>
    <author>tc={038777B0-597B-4E19-A90A-D43313A342A0}</author>
    <author>tc={9881957C-41BC-430C-8CFC-7DEEB2468D89}</author>
    <author>tc={C11E42E6-3F25-4934-920F-D959C6E37929}</author>
    <author>tc={65A3B19B-19DA-44A3-A99D-620C9CAEF15A}</author>
    <author>tc={BEF9D391-3142-4868-8812-D2FE94108162}</author>
    <author>tc={82B4362F-D8F8-4004-84F8-3C171F955E62}</author>
    <author>tc={AE80FE86-03C0-49EB-B3F8-1246E16B8BC1}</author>
    <author>tc={3BF4A259-F1BC-424D-B993-784F3A633947}</author>
    <author>tc={CE19F6AB-7F89-4C4E-A213-ADCC5E923616}</author>
    <author>tc={7E7F2431-94F5-4948-B5E2-3C575CF51AAB}</author>
    <author>tc={70C86030-0D36-478C-832F-4B1D794AF60E}</author>
    <author>tc={32658401-2D01-4FD5-AF1D-8AD90149C4A7}</author>
    <author>tc={B6C91B23-D3D8-45FF-BE60-96D2B6F43724}</author>
    <author>tc={2E215ED3-B138-44D3-9D6A-69C2B4CAE220}</author>
    <author>tc={AD143510-4C8F-407A-B5FC-34FEBACF5A20}</author>
    <author>tc={FAE312BD-3EE5-432A-9739-0C30DFD417A2}</author>
    <author>tc={24576087-FA0A-4FA7-B17C-B47EE5967527}</author>
    <author>tc={1EA1E810-2766-482B-BD5F-4670AEF2AB31}</author>
    <author>tc={A811F9DD-4B1B-402D-A71C-1B07A87D664B}</author>
    <author>tc={4AF92D1E-0DC3-4106-927E-37FE5A49F5DE}</author>
    <author>tc={46BCAD2D-B8EA-4551-A471-C981ADE27F3F}</author>
    <author>tc={6878672C-C567-441B-A804-33C446A92BF0}</author>
    <author>tc={AB700A07-198B-44DF-98B6-06C729F4B991}</author>
    <author>tc={C9511C90-3ECB-4236-86DD-31299D3A7978}</author>
    <author>tc={31FDA596-F5AD-4B11-92D2-F8165A9DBB86}</author>
    <author>tc={F9DADFFA-FFF4-43E0-B79C-7DD51FE777ED}</author>
    <author>tc={A1D852E4-1D54-4188-AA12-26C17D0FA675}</author>
    <author>tc={9C1DF4D6-0EE8-4B7D-B292-87F4B1DB19A2}</author>
    <author>tc={759B6023-2A6D-48B7-8529-93D475EC48BB}</author>
  </authors>
  <commentList>
    <comment ref="J14" authorId="0" shapeId="0" xr:uid="{B9ACCAA3-610A-479D-8803-4D359925F746}">
      <text>
        <t>[Comentario encadenado]
Tu versión de Excel te permite leer este comentario encadenado; sin embargo, las ediciones que se apliquen se quitarán si el archivo se abre en una versión más reciente de Excel. Más información: https://go.microsoft.com/fwlink/?linkid=870924
Comentario:
    74316-74317</t>
      </text>
    </comment>
    <comment ref="J17" authorId="1" shapeId="0" xr:uid="{4C3EE1E0-5ABA-40CE-A3AA-F0D906E66E3A}">
      <text>
        <t>[Comentario encadenado]
Tu versión de Excel te permite leer este comentario encadenado; sin embargo, las ediciones que se apliquen se quitarán si el archivo se abre en una versión más reciente de Excel. Más información: https://go.microsoft.com/fwlink/?linkid=870924
Comentario:
    73343-73383</t>
      </text>
    </comment>
    <comment ref="J18" authorId="2" shapeId="0" xr:uid="{F3C9A44E-59BB-4E1C-B161-E740354F7435}">
      <text>
        <t>[Comentario encadenado]
Tu versión de Excel te permite leer este comentario encadenado; sin embargo, las ediciones que se apliquen se quitarán si el archivo se abre en una versión más reciente de Excel. Más información: https://go.microsoft.com/fwlink/?linkid=870924
Comentario:
    73915-76350-75946-74846-70491</t>
      </text>
    </comment>
    <comment ref="J19" authorId="3" shapeId="0" xr:uid="{64C7F39D-C64A-43E4-8C18-FE84F5AE9327}">
      <text>
        <t>[Comentario encadenado]
Tu versión de Excel te permite leer este comentario encadenado; sin embargo, las ediciones que se apliquen se quitarán si el archivo se abre en una versión más reciente de Excel. Más información: https://go.microsoft.com/fwlink/?linkid=870924
Comentario:
    71844</t>
      </text>
    </comment>
    <comment ref="P19" authorId="4" shapeId="0" xr:uid="{3BB329BC-FF51-4ADB-8910-1EA5F4F7E7FD}">
      <text>
        <t>[Comentario encadenado]
Tu versión de Excel te permite leer este comentario encadenado; sin embargo, las ediciones que se apliquen se quitarán si el archivo se abre en una versión más reciente de Excel. Más información: https://go.microsoft.com/fwlink/?linkid=870924
Comentario:
    Salieron sin IVA las facturas al hacer la conversión de dólares a pesos</t>
      </text>
    </comment>
    <comment ref="J20" authorId="5" shapeId="0" xr:uid="{138C5E39-E444-42E4-A632-8C8DC3A341DD}">
      <text>
        <t>[Comentario encadenado]
Tu versión de Excel te permite leer este comentario encadenado; sin embargo, las ediciones que se apliquen se quitarán si el archivo se abre en una versión más reciente de Excel. Más información: https://go.microsoft.com/fwlink/?linkid=870924
Comentario:
    76512-76780-77779-74968</t>
      </text>
    </comment>
    <comment ref="M20" authorId="6" shapeId="0" xr:uid="{4476700F-D33D-4DC6-813C-0D7A8BCF561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Error de digitación karen
Wil facturo dos facturas con iva y eran exentas
Wil facturo dos pedidos en una sola factura 
Respuesta:
    Karen no relaciono OC </t>
      </text>
    </comment>
    <comment ref="O20" authorId="7" shapeId="0" xr:uid="{96F5787C-A5BE-43A3-969B-4DD2DABC936D}">
      <text>
        <t>[Comentario encadenado]
Tu versión de Excel te permite leer este comentario encadenado; sin embargo, las ediciones que se apliquen se quitarán si el archivo se abre en una versión más reciente de Excel. Más información: https://go.microsoft.com/fwlink/?linkid=870924
Comentario:
    Errores de zulma en apoyo a maria angelica caballero</t>
      </text>
    </comment>
    <comment ref="P20" authorId="8" shapeId="0" xr:uid="{A87DA546-F60A-4072-8229-F16447024991}">
      <text>
        <t>[Comentario encadenado]
Tu versión de Excel te permite leer este comentario encadenado; sin embargo, las ediciones que se apliquen se quitarán si el archivo se abre en una versión más reciente de Excel. Más información: https://go.microsoft.com/fwlink/?linkid=870924
Comentario:
    Equipo salio sin iva y estaba en el sistema con iva</t>
      </text>
    </comment>
    <comment ref="J21" authorId="9" shapeId="0" xr:uid="{59FCDF3E-CB09-4187-8AAA-2676D040613F}">
      <text>
        <t>[Comentario encadenado]
Tu versión de Excel te permite leer este comentario encadenado; sin embargo, las ediciones que se apliquen se quitarán si el archivo se abre en una versión más reciente de Excel. Más información: https://go.microsoft.com/fwlink/?linkid=870924
Comentario:
    74984</t>
      </text>
    </comment>
    <comment ref="M21" authorId="10" shapeId="0" xr:uid="{3E23091A-2290-40AE-9A79-DD2217A93C35}">
      <text>
        <t>[Comentario encadenado]
Tu versión de Excel te permite leer este comentario encadenado; sin embargo, las ediciones que se apliquen se quitarán si el archivo se abre en una versión más reciente de Excel. Más información: https://go.microsoft.com/fwlink/?linkid=870924
Comentario:
    Se facturo sin IVA 
Respuesta:
    Karol no debia facturar
Benji creo mal el kit
Maria Pastrana mando facturar</t>
      </text>
    </comment>
    <comment ref="O21" authorId="11" shapeId="0" xr:uid="{110316AD-3644-4E1F-827A-1B8A06D65819}">
      <text>
        <t>[Comentario encadenado]
Tu versión de Excel te permite leer este comentario encadenado; sin embargo, las ediciones que se apliquen se quitarán si el archivo se abre en una versión más reciente de Excel. Más información: https://go.microsoft.com/fwlink/?linkid=870924
Comentario:
    Jhonatan Camilo Hernandez facturo fuera dela fecha de cierre</t>
      </text>
    </comment>
    <comment ref="Q21" authorId="12" shapeId="0" xr:uid="{569D82DA-69E7-47D5-B585-767507C43A9D}">
      <text>
        <t>[Comentario encadenado]
Tu versión de Excel te permite leer este comentario encadenado; sin embargo, las ediciones que se apliquen se quitarán si el archivo se abre en una versión más reciente de Excel. Más información: https://go.microsoft.com/fwlink/?linkid=870924
Comentario:
    Alejandra v Razon social ya no existe
Respuesta:
    Jhonatan Steven AcevedoProducto defectuodo hp genera garantia
Respuesta:
    Alejandra Velasquez Cliente bloqueo correo nuestro y no radico factura</t>
      </text>
    </comment>
    <comment ref="T21" authorId="13" shapeId="0" xr:uid="{66626395-9773-46BB-98C9-51FE9DF8EAA5}">
      <text>
        <t>[Comentario encadenado]
Tu versión de Excel te permite leer este comentario encadenado; sin embargo, las ediciones que se apliquen se quitarán si el archivo se abre en una versión más reciente de Excel. Más información: https://go.microsoft.com/fwlink/?linkid=870924
Comentario:
    74968 Disco</t>
      </text>
    </comment>
    <comment ref="J22" authorId="14" shapeId="0" xr:uid="{AB18679F-6629-4E14-8C0D-C5102A086E0B}">
      <text>
        <t>[Comentario encadenado]
Tu versión de Excel te permite leer este comentario encadenado; sin embargo, las ediciones que se apliquen se quitarán si el archivo se abre en una versión más reciente de Excel. Más información: https://go.microsoft.com/fwlink/?linkid=870924
Comentario:
    77351-74919-79447-79446-79445-79444-79443-79442-79441-79439-79438-79437-79448</t>
      </text>
    </comment>
    <comment ref="M22" authorId="15" shapeId="0" xr:uid="{27584553-9C09-4979-91FE-CA67E80755E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Marsela y Karen no validaron el iva del licenciamiento 
Karol se debia facturar en kit y no se hizo
Karol debía salir Re misionado y se facturo.
Logística mercancia se demoro en llegar por coordinadora
Karen facturo 2 veces la misma factura
logistica se despacho doble ves
Karen se coloco mal la OC 
</t>
      </text>
    </comment>
    <comment ref="J24" authorId="16" shapeId="0" xr:uid="{1E9E0BF0-0923-48CB-AF21-3F280C89EE36}">
      <text>
        <t>[Comentario encadenado]
Tu versión de Excel te permite leer este comentario encadenado; sin embargo, las ediciones que se apliquen se quitarán si el archivo se abre en una versión más reciente de Excel. Más información: https://go.microsoft.com/fwlink/?linkid=870924
Comentario:
    79593
71017
72992</t>
      </text>
    </comment>
    <comment ref="J25" authorId="17" shapeId="0" xr:uid="{BA33C30F-A800-4695-AB4C-4AEB97F2B1D7}">
      <text>
        <t>[Comentario encadenado]
Tu versión de Excel te permite leer este comentario encadenado; sin embargo, las ediciones que se apliquen se quitarán si el archivo se abre en una versión más reciente de Excel. Más información: https://go.microsoft.com/fwlink/?linkid=870924
Comentario:
    79167</t>
      </text>
    </comment>
    <comment ref="M25" authorId="18" shapeId="0" xr:uid="{E79FC653-B496-4D1E-94DF-F618FFAFC2E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Factura se fue en dólares
No se debía facturar
factura salio a 3 dias y debia ser a 30 dias
Quedo mal digitada la oc 
</t>
      </text>
    </comment>
    <comment ref="J26" authorId="19" shapeId="0" xr:uid="{B880A9A9-6F63-4E5C-8252-9A306C34C0AD}">
      <text>
        <t>[Comentario encadenado]
Tu versión de Excel te permite leer este comentario encadenado; sin embargo, las ediciones que se apliquen se quitarán si el archivo se abre en una versión más reciente de Excel. Más información: https://go.microsoft.com/fwlink/?linkid=870924
Comentario:
    80189
Respuesta:
    75277
76073
76551</t>
      </text>
    </comment>
    <comment ref="J27" authorId="20" shapeId="0" xr:uid="{8DDACF5D-8371-4B8D-9DA2-6E66DFADADFE}">
      <text>
        <t>[Comentario encadenado]
Tu versión de Excel te permite leer este comentario encadenado; sin embargo, las ediciones que se apliquen se quitarán si el archivo se abre en una versión más reciente de Excel. Más información: https://go.microsoft.com/fwlink/?linkid=870924
Comentario:
    80189
80872</t>
      </text>
    </comment>
    <comment ref="J28" authorId="21" shapeId="0" xr:uid="{52EB0BDF-EA64-46BD-AA92-F251C5444D48}">
      <text>
        <t>[Comentario encadenado]
Tu versión de Excel te permite leer este comentario encadenado; sin embargo, las ediciones que se apliquen se quitarán si el archivo se abre en una versión más reciente de Excel. Más información: https://go.microsoft.com/fwlink/?linkid=870924
Comentario:
    82159
76438
78132</t>
      </text>
    </comment>
    <comment ref="M28" authorId="22" shapeId="0" xr:uid="{05D816F7-32DD-4BE4-A680-7CF39570F30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3 logistica demoras en la entrega
1 karen error de digitacion
2 alexa no radico en ariba 
1 cartera
5 karol y benji  no se debia facturar </t>
      </text>
    </comment>
    <comment ref="J29" authorId="23" shapeId="0" xr:uid="{E3E54A4D-E784-450A-A844-C0DFBBDDDEB7}">
      <text>
        <t>[Comentario encadenado]
Tu versión de Excel te permite leer este comentario encadenado; sin embargo, las ediciones que se apliquen se quitarán si el archivo se abre en una versión más reciente de Excel. Más información: https://go.microsoft.com/fwlink/?linkid=870924
Comentario:
    82159
76438
78132</t>
      </text>
    </comment>
    <comment ref="M29" authorId="24" shapeId="0" xr:uid="{5FBA814B-63FC-46B4-BF29-72CE340F214B}">
      <text>
        <t>[Comentario encadenado]
Tu versión de Excel te permite leer este comentario encadenado; sin embargo, las ediciones que se apliquen se quitarán si el archivo se abre en una versión más reciente de Excel. Más información: https://go.microsoft.com/fwlink/?linkid=870924
Comentario:
    6 no se radicaron en ariba yanbal
1 falto el flete
3 logistica se entrego tarde la mercancia 
5 no se debia facturar benjamin atorizo  y karon.</t>
      </text>
    </comment>
    <comment ref="J32" authorId="25" shapeId="0" xr:uid="{BD9308DF-B35C-4E29-BF2A-3BAE7AC3E423}">
      <text>
        <t>[Comentario encadenado]
Tu versión de Excel te permite leer este comentario encadenado; sin embargo, las ediciones que se apliquen se quitarán si el archivo se abre en una versión más reciente de Excel. Más información: https://go.microsoft.com/fwlink/?linkid=870924
Comentario:
    82763</t>
      </text>
    </comment>
    <comment ref="M32" authorId="26" shapeId="0" xr:uid="{11D858DB-DF8B-426D-930F-CA2CC73940B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Se cobro doble el flete </t>
      </text>
    </comment>
    <comment ref="J33" authorId="27" shapeId="0" xr:uid="{5E237884-A21A-406B-8A01-240584FDCD07}">
      <text>
        <t>[Comentario encadenado]
Tu versión de Excel te permite leer este comentario encadenado; sin embargo, las ediciones que se apliquen se quitarán si el archivo se abre en una versión más reciente de Excel. Más información: https://go.microsoft.com/fwlink/?linkid=870924
Comentario:
    81219
81220
83049
74289</t>
      </text>
    </comment>
    <comment ref="M33" authorId="28" shapeId="0" xr:uid="{3E4D4BCF-AEE8-4EE0-A109-B111AC967E1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Doble facturación
Se facturo doble un flete
No se genero un servicio de IT  </t>
      </text>
    </comment>
    <comment ref="O33" authorId="29" shapeId="0" xr:uid="{B3778F6D-7392-4C6A-985A-3FE897DAC74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sedebian facturar unos equipos de lington 
Caro b facturo sin informar que debia salir en kit
Se facturó con iva </t>
      </text>
    </comment>
    <comment ref="Q33" authorId="30" shapeId="0" xr:uid="{5B4C5174-73C1-4C3E-A6EA-975A7181657B}">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devuelve dos equipos
Error razón social</t>
      </text>
    </comment>
    <comment ref="J34" authorId="31" shapeId="0" xr:uid="{9284B9C2-56B4-449E-9BD5-57F6292A564E}">
      <text>
        <t>[Comentario encadenado]
Tu versión de Excel te permite leer este comentario encadenado; sin embargo, las ediciones que se apliquen se quitarán si el archivo se abre en una versión más reciente de Excel. Más información: https://go.microsoft.com/fwlink/?linkid=870924
Comentario:
    81505</t>
      </text>
    </comment>
    <comment ref="M34" authorId="32" shapeId="0" xr:uid="{F36C2499-E36A-479A-A31D-13CC0778C35D}">
      <text>
        <t>[Comentario encadenado]
Tu versión de Excel te permite leer este comentario encadenado; sin embargo, las ediciones que se apliquen se quitarán si el archivo se abre en una versión más reciente de Excel. Más información: https://go.microsoft.com/fwlink/?linkid=870924
Comentario:
    78082 No se cambio el correo facturacion
83759 El costo quedo mal wilmer
82740 Quedo mal creado el nit karol</t>
      </text>
    </comment>
    <comment ref="O34" authorId="33" shapeId="0" xr:uid="{8FD08EDD-F6BB-4340-83F8-688969766890}">
      <text>
        <t>[Comentario encadenado]
Tu versión de Excel te permite leer este comentario encadenado; sin embargo, las ediciones que se apliquen se quitarán si el archivo se abre en una versión más reciente de Excel. Más información: https://go.microsoft.com/fwlink/?linkid=870924
Comentario:
    75878 Error de razon social
83191/83192 Falto agregar oc x carolina bosa
81505 Error en la trm
83470 Error en la OC 
78422 Mayorvalorcobrado</t>
      </text>
    </comment>
    <comment ref="Q34" authorId="34" shapeId="0" xr:uid="{53759DCE-6B29-401C-A0B1-7BB3A8CE9D32}">
      <text>
        <t>[Comentario encadenado]
Tu versión de Excel te permite leer este comentario encadenado; sin embargo, las ediciones que se apliquen se quitarán si el archivo se abre en una versión más reciente de Excel. Más información: https://go.microsoft.com/fwlink/?linkid=870924
Comentario:
    83240/83241/83242 Cliente cambia las políticas de radicación
72764 cliente indica no tener la factura 
83394 errores internos de bancolombia 
83637 x cierre de facturacion 
81024/81344 cliente no radico las factcuras 
devoluciones</t>
      </text>
    </comment>
    <comment ref="I35" authorId="35" shapeId="0" xr:uid="{F38B4524-8467-400B-8748-4645B1A8896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81776 no se sabe el rechazo 
79276 error en razón social </t>
      </text>
    </comment>
    <comment ref="J35" authorId="36" shapeId="0" xr:uid="{72956D40-4BCA-4F62-AAF5-B600C3CDEBE4}">
      <text>
        <t>[Comentario encadenado]
Tu versión de Excel te permite leer este comentario encadenado; sin embargo, las ediciones que se apliquen se quitarán si el archivo se abre en una versión más reciente de Excel. Más información: https://go.microsoft.com/fwlink/?linkid=870924
Comentario:
    83955
82845
82957
83303</t>
      </text>
    </comment>
    <comment ref="M35" authorId="37" shapeId="0" xr:uid="{9C88D96A-BC43-4A0C-909C-1A28BF22FF13}">
      <text>
        <t>[Comentario encadenado]
Tu versión de Excel te permite leer este comentario encadenado; sin embargo, las ediciones que se apliquen se quitarán si el archivo se abre en una versión más reciente de Excel. Más información: https://go.microsoft.com/fwlink/?linkid=870924
Comentario:
    84147 No se debía facturar karol</t>
      </text>
    </comment>
    <comment ref="O35" authorId="38" shapeId="0" xr:uid="{E3CAB966-94FA-479B-83C5-BD7C395F1AC0}">
      <text>
        <t>[Comentario encadenado]
Tu versión de Excel te permite leer este comentario encadenado; sin embargo, las ediciones que se apliquen se quitarán si el archivo se abre en una versión más reciente de Excel. Más información: https://go.microsoft.com/fwlink/?linkid=870924
Comentario:
    79276 error en razon social
83959 Comercial no especifico como se debía facturar
84167 no se debía facturar, ya estaba facturado 
83881 no se radicaron los soportes para la radicación de la factura.</t>
      </text>
    </comment>
    <comment ref="Q35" authorId="39" shapeId="0" xr:uid="{63FA221D-B907-44F1-A51F-B54571E397A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83585 cliente rechaza x que no le habia llegado la mercancia 
83624 no se sabe el rechazo 
81776 no se sabe el rechazo </t>
      </text>
    </comment>
    <comment ref="J36" authorId="40" shapeId="0" xr:uid="{80630D68-B200-4536-8271-1B82E7CF4AA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83303 Devolución parcial Cable </t>
      </text>
    </comment>
    <comment ref="M36" authorId="41" shapeId="0" xr:uid="{206A6282-AD84-4F62-A775-E3FA81049CA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84147 No se debia facturar
84464 Falto agregar una remision 
84476 Se facturo en dolares
84791  Falto agregar una remision 
84574 No se debia facturar
</t>
      </text>
    </comment>
    <comment ref="O36" authorId="42" shapeId="0" xr:uid="{6ABC9B9A-F7AC-477E-B7FE-5F303A6188EB}">
      <text>
        <t>[Comentario encadenado]
Tu versión de Excel te permite leer este comentario encadenado; sin embargo, las ediciones que se apliquen se quitarán si el archivo se abre en una versión más reciente de Excel. Más información: https://go.microsoft.com/fwlink/?linkid=870924
Comentario:
    84346/84347/84348 Error en precios
84229 error en el margen 
84527 error en razon social
68603 se factura 2 veces y se entrego 2 veces 
89945 error4 en la oc y fcatura x 700 pesos</t>
      </text>
    </comment>
    <comment ref="Q36" authorId="43" shapeId="0" xr:uid="{C3885405-C23C-4B77-86B8-236B2A8B6D1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83962 rechazo x error
81554 debe ir en 2 razones sociales
83783/83784 por cierre de facturacion no notificaron
83940 x cierre no enviaron comunicado
82051 cliente rechaza x error
</t>
      </text>
    </comment>
    <comment ref="M37" authorId="44" shapeId="0" xr:uid="{BE47701F-E766-4B8F-8FD0-C6DEAEF3025D}">
      <text>
        <t>[Comentario encadenado]
Tu versión de Excel te permite leer este comentario encadenado; sin embargo, las ediciones que se apliquen se quitarán si el archivo se abre en una versión más reciente de Excel. Más información: https://go.microsoft.com/fwlink/?linkid=870924
Comentario:
    85184 Error al tomar el clienteparafacturar
84687 Falto un numero de la OC
84065 Se facturo antes de entregar mercancia Logistica 
81181 Que por menor valor la NC 
85302 No se debia facturar
84706 Se facturo sin iva</t>
      </text>
    </comment>
    <comment ref="O37" authorId="45" shapeId="0" xr:uid="{24EFCDBB-2742-4A2A-BE2F-A54679B2B0AA}">
      <text>
        <t>[Comentario encadenado]
Tu versión de Excel te permite leer este comentario encadenado; sin embargo, las ediciones que se apliquen se quitarán si el archivo se abre en una versión más reciente de Excel. Más información: https://go.microsoft.com/fwlink/?linkid=870924
Comentario:
    80578 Error razon social</t>
      </text>
    </comment>
    <comment ref="Q37" authorId="46" shapeId="0" xr:uid="{B403865D-8C65-44FA-9B85-FA2910DA09C1}">
      <text>
        <t>[Comentario encadenado]
Tu versión de Excel te permite leer este comentario encadenado; sin embargo, las ediciones que se apliquen se quitarán si el archivo se abre en una versión más reciente de Excel. Más información: https://go.microsoft.com/fwlink/?linkid=870924
Comentario:
    84903 Error en la oc emitidapor el cliente
84051 Cliente no recibio mercancia 
84041 Cliente x error genera OC con iva
84551 Error razon social
84814 Error razon social</t>
      </text>
    </comment>
    <comment ref="J38" authorId="47" shapeId="0" xr:uid="{D67773B7-175A-465E-A266-5F019CFC11A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84499 ERROR EN LO VALORES Alejandra Velasquez
84986 ERROR RAZON SOCIAL  Alejandra Velasquez
79160 ERROR RAZON SOCIAL Yeison Urrego </t>
      </text>
    </comment>
    <comment ref="M38" authorId="48" shapeId="0" xr:uid="{DF4CA525-DD9B-4F08-9142-C7AF2AED3458}">
      <text>
        <t>[Comentario encadenado]
Tu versión de Excel te permite leer este comentario encadenado; sin embargo, las ediciones que se apliquen se quitarán si el archivo se abre en una versión más reciente de Excel. Más información: https://go.microsoft.com/fwlink/?linkid=870924
Comentario:
    84617 se facturo sin iva
85690 No se debia facturar</t>
      </text>
    </comment>
    <comment ref="O38" authorId="49" shapeId="0" xr:uid="{F99EC4D9-342B-41CC-8881-E5F0F02EBF5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84457 Arpro no se radico con los soportes Maria Paola
83995 Fuera de la fecha de cierre Astrid Jimenez
84499 Error en los valores Alejandra Velasqyez
79160 Error en razon social Yeison Urrego </t>
      </text>
    </comment>
    <comment ref="J39" authorId="50" shapeId="0" xr:uid="{147FFF87-08F2-4147-B334-7A1AD11E420E}">
      <text>
        <t>[Comentario encadenado]
Tu versión de Excel te permite leer este comentario encadenado; sin embargo, las ediciones que se apliquen se quitarán si el archivo se abre en una versión más reciente de Excel. Más información: https://go.microsoft.com/fwlink/?linkid=870924
Comentario:
    81739
76816</t>
      </text>
    </comment>
    <comment ref="M39" authorId="51" shapeId="0" xr:uid="{005E4062-6ECE-49E6-B53C-3D82ED95F6C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84871 Juan David se hace ajuste interno </t>
      </text>
    </comment>
    <comment ref="O39" authorId="52" shapeId="0" xr:uid="{A5DE6736-69D9-4322-BF98-B8303B96449F}">
      <text>
        <t>[Comentario encadenado]
Tu versión de Excel te permite leer este comentario encadenado; sin embargo, las ediciones que se apliquen se quitarán si el archivo se abre en una versión más reciente de Excel. Más información: https://go.microsoft.com/fwlink/?linkid=870924
Comentario:
    85907-85908-85909-85910-85911-85912-85913-85915-85914 no se debian facturar falto comunicacion.
85967 se facturo al código que no era
85953 se facturo fuera de la fecha de facturacion 
84769</t>
      </text>
    </comment>
    <comment ref="Q39" authorId="53" shapeId="0" xr:uid="{8A346FFA-FA62-40E6-BBFF-CDD77A91E808}">
      <text>
        <t>[Comentario encadenado]
Tu versión de Excel te permite leer este comentario encadenado; sin embargo, las ediciones que se apliquen se quitarán si el archivo se abre en una versión más reciente de Excel. Más información: https://go.microsoft.com/fwlink/?linkid=870924
Comentario:
    82817 cliente no radico factura 
85982 Error en los teclados cliente solicito mal 
79157 cliente no reconoce la factura 
78927 error en razon social 
76816 devuelte se recibe por garantia 
85638-85637 por cierre defcaturacion en españa
84206 Error razon social 
86162 Error razon social
84768 cliente rechaza por error</t>
      </text>
    </comment>
    <comment ref="M40" authorId="54" shapeId="0" xr:uid="{FE2611D7-CCC1-43E1-BC8E-B09AE943AE8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86701 falto agregar una remision karol 
82826 ajuste fact empleado aut x rafael novoa </t>
      </text>
    </comment>
    <comment ref="O40" authorId="55" shapeId="0" xr:uid="{454095A3-B4F9-434A-B552-B95E48F0CD7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86468 falto agregar un disco en la factura 
85178 se radico factura sin la  OC 
85433 se facturo una renta y era un producto </t>
      </text>
    </comment>
    <comment ref="Q40" authorId="56" shapeId="0" xr:uid="{D22DCC9D-29DB-41DD-9F2E-845B9BD5D69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84357 error razon social  
83978 por cierre de facturacion 
85777 fuera de la fecha de cierre 
85960 se debia facturar en una sola factura 
85959 se debia facturar en una sola factura 
85743 No se tenia oc ni numero de contrato
84396 No se sabe el rechazo 
86205 Cambio de razon social
78597 No la recibieron
</t>
      </text>
    </comment>
    <comment ref="M41" authorId="57" shapeId="0" xr:uid="{E7C56B42-D485-4372-9A3D-3D25D0A0C9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86523 Logistica Entrego tarde la mercancia 
87214 Error de razon social
84886 Doble facturacion oscar p bajo el pedido dosveces </t>
      </text>
    </comment>
    <comment ref="O41" authorId="58" shapeId="0" xr:uid="{3A7CD8B3-2335-493A-B85F-B15EED9C5A9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86559 error razon social Alejandra Velasquez
85422 No se radico OC Maria P
86689 Errorrazon social claudia 
86919 Se debia relacionar trm Alejandra velasquez 
87217 Falto relacionar la OC Angelica C
87218 Falto relacionar la OC Angelica C
8534 Error de la OC Esmeralda 
86049 Se debe facturar en 3 Fredy peña
83693 Se facturo antes de entregarmercancia karent c
86069 Mayor valor cobrado Freddy p
86528 No relacionaron la OC completa  yeison u
</t>
      </text>
    </comment>
    <comment ref="Q41" authorId="59" shapeId="0" xr:uid="{B026F588-B188-4B01-8F57-C48AF8333D3E}">
      <text>
        <t>[Comentario encadenado]
Tu versión de Excel te permite leer este comentario encadenado; sin embargo, las ediciones que se apliquen se quitarán si el archivo se abre en una versión más reciente de Excel. Más información: https://go.microsoft.com/fwlink/?linkid=870924
Comentario:
    86250 No se tenia aun el numero de contrato
85169 Cliente rechaza x error
86799 Cliente no recibe producto 
86793 Cliente no recibe producto 
84455 Cliente rechaza por error
86448 Error razon social cliente emite mal la oc 
81839 Error de correo 
85991 Cliente no radico factura 
84746 Devolucion producto 
85681 Cliente rechaza por error
85710 Cliente no legalizao la factura</t>
      </text>
    </comment>
    <comment ref="J42" authorId="60" shapeId="0" xr:uid="{07415A23-4B62-49F4-938B-F75FB68FA2F0}">
      <text>
        <t>[Comentario encadenado]
Tu versión de Excel te permite leer este comentario encadenado; sin embargo, las ediciones que se apliquen se quitarán si el archivo se abre en una versión más reciente de Excel. Más información: https://go.microsoft.com/fwlink/?linkid=870924
Comentario:
    83551 JONNATAN NIÑO X CIERRE DE FACT 
85785 DEVOLUCION MERCANCIA CAJA ARCHIVO SE DEBIA FACTURAR SOLO CLAUDIA</t>
      </text>
    </comment>
    <comment ref="M42" authorId="61" shapeId="0" xr:uid="{C9BFF230-8369-4B75-AF4E-3D644BC6A1DA}">
      <text>
        <t>[Comentario encadenado]
Tu versión de Excel te permite leer este comentario encadenado; sin embargo, las ediciones que se apliquen se quitarán si el archivo se abre en una versión más reciente de Excel. Más información: https://go.microsoft.com/fwlink/?linkid=870924
Comentario:
    87636 SE FCATURARON EQUIPO CON IVA Y SON EXCENTOS TATIANA PARRA
Respuesta:
    84420 yeison urrego logisca se le cobro mas al cliente mayor valor cobrado</t>
      </text>
    </comment>
    <comment ref="O42" authorId="62" shapeId="0" xr:uid="{8B12603B-CEC3-46D0-8D04-6621FC4E0CC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83551 Jhonnathan Niño X cierre de facturación 
84571 Jhonatan Camilo Hern Error en el correo de facturación
85536 Esmeralda Error en la oc
85754 Esmeralda Error en la oc 
8658087783 Juan camilo piña X cierre de facturacion 
87761 Tatiana parra mando facturar con iva y no aplicaba 
86502 Esmeralda
86503 Esmeralda
87494 Esmeralda 
86738 Esmeralda 
</t>
      </text>
    </comment>
    <comment ref="Q42" authorId="63" shapeId="0" xr:uid="{36F6B7DC-3ACB-46F8-8750-DC91B698F9E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84660 Dafne Cliente devuelve un producto y rechaza toda la factura 
85785 Claudia  Cliente solicita que se fcature un producto aparte 
86066 yeison falto cobrar un flete
87615 Maria Eu Cliente solicita una sola factura
87857 Maria Eu Cliente solicita una sola factura
</t>
      </text>
    </comment>
    <comment ref="J43" authorId="64" shapeId="0" xr:uid="{F8EF1DEC-B11D-4D99-9802-C3559350D5B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83202 Maria Eugenia x cierre pero la acepto
86501 Devolución P Mario Reyes
85605 Devolución P Julieth Galindo 
</t>
      </text>
    </comment>
    <comment ref="M43" authorId="65" shapeId="0" xr:uid="{75B883EE-F0A7-4D96-AF3C-B43454BBF50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87318 No se debia facturar benji lo  pidio camilo </t>
      </text>
    </comment>
    <comment ref="P43" authorId="66" shapeId="0" xr:uid="{B85BCC42-5161-4A41-994E-1CCCD1B9726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88225 Dafne </t>
      </text>
    </comment>
    <comment ref="J44" authorId="67" shapeId="0" xr:uid="{771D7DDB-EED7-4265-89BB-3BB5C40F5E8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87359 MARIO DEVOLUCION PAR ESFEROS
86376 WILSON DEVOLUCION PAR JABON 
87359 MARIO DEVOLUCION PAR ESFEROS DOBLE NC </t>
      </text>
    </comment>
    <comment ref="M44" authorId="68" shapeId="0" xr:uid="{459CE368-2C15-42AC-9542-5A811D60AD9E}">
      <text>
        <t>[Comentario encadenado]
Tu versión de Excel te permite leer este comentario encadenado; sin embargo, las ediciones que se apliquen se quitarán si el archivo se abre en una versión más reciente de Excel. Más información: https://go.microsoft.com/fwlink/?linkid=870924
Comentario:
    88623 Falto facturar otra remision 
88663 Salió producto en o 
88664 Salió producto en o 
88421 Se facturaron las unidades erróneas</t>
      </text>
    </comment>
    <comment ref="O44" authorId="69" shapeId="0" xr:uid="{EB3F1BD8-EF57-4E28-8386-F45C49F20926}">
      <text>
        <t>[Comentario encadenado]
Tu versión de Excel te permite leer este comentario encadenado; sin embargo, las ediciones que se apliquen se quitarán si el archivo se abre en una versión más reciente de Excel. Más información: https://go.microsoft.com/fwlink/?linkid=870924
Comentario:
    82151 Daniel galindo licenciamiento 
87359 doble NC Se ajusto con la ND11</t>
      </text>
    </comment>
    <comment ref="Q44" authorId="70" shapeId="0" xr:uid="{D8DF615D-7F07-45DD-B807-34B56F984CA6}">
      <text>
        <t>[Comentario encadenado]
Tu versión de Excel te permite leer este comentario encadenado; sin embargo, las ediciones que se apliquen se quitarán si el archivo se abre en una versión más reciente de Excel. Más información: https://go.microsoft.com/fwlink/?linkid=870924
Comentario:
    87908 Cliente no la radico
88136 Cliente solicita que al mes se genere una sola factura
86382 Falto facturar una unidad cliente envio mal la oc 
85334 Cliente solicita refactura en abril </t>
      </text>
    </comment>
    <comment ref="J45" authorId="71" shapeId="0" xr:uid="{49A88C98-A811-44FB-A32E-16B0D1A8BE22}">
      <text>
        <t>[Comentario encadenado]
Tu versión de Excel te permite leer este comentario encadenado; sin embargo, las ediciones que se apliquen se quitarán si el archivo se abre en una versión más reciente de Excel. Más información: https://go.microsoft.com/fwlink/?linkid=870924
Comentario:
    87716 daniel galindo devolución mercancía  cargador</t>
      </text>
    </comment>
    <comment ref="M45" authorId="72" shapeId="0" xr:uid="{BBC37085-9E8D-465E-BCD8-775EF3AFEC61}">
      <text>
        <t>[Comentario encadenado]
Tu versión de Excel te permite leer este comentario encadenado; sin embargo, las ediciones que se apliquen se quitarán si el archivo se abre en una versión más reciente de Excel. Más información: https://go.microsoft.com/fwlink/?linkid=870924
Comentario:
    88533 fernando celular se factuiro sin iva 
Respuesta:
    89162 Falto facturar una extension degarantia Rafa</t>
      </text>
    </comment>
    <comment ref="O45" authorId="73" shapeId="0" xr:uid="{74251667-2FDF-4D34-92CC-AC6D609589E5}">
      <text>
        <t>[Comentario encadenado]
Tu versión de Excel te permite leer este comentario encadenado; sin embargo, las ediciones que se apliquen se quitarán si el archivo se abre en una versión más reciente de Excel. Más información: https://go.microsoft.com/fwlink/?linkid=870924
Comentario:
    88462 Dilma Se debian facturar dos remisiones y comercial solo paso una 
88509 Maria P Se cobro doble el flete 
89207 dafne Error en la trm enviada por el comercial</t>
      </text>
    </comment>
    <comment ref="Q45" authorId="74" shapeId="0" xr:uid="{2E42A5CD-F788-4B25-AC39-76EAB1941BD3}">
      <text>
        <t>[Comentario encadenado]
Tu versión de Excel te permite leer este comentario encadenado; sin embargo, las ediciones que se apliquen se quitarán si el archivo se abre en una versión más reciente de Excel. Más información: https://go.microsoft.com/fwlink/?linkid=870924
Comentario:
    86638Cliente rechazo por error
87931Cliente rechaza no sabemos el motivo
87930Cliente rechaza no sabemos el motivo
87826Cliente no radico la factura 
87827Cliente no radico la factura 
86551Cliente no le dio ingreso a la mercancia y no radicaron la factura 
87743Cliente solicito mal las cantidades NC por devolucion licencias
87037Error del cliente al enviarnos un rut sin actualizacion 
85832Cliente niega haber recibido la factura pero la rechaza
87864Cliente solicita dividir la factura 
87867Cliente solicita dividir la factura 
88838Error de razon social
84408 No le llego la factura al cliente </t>
      </text>
    </comment>
    <comment ref="M46" authorId="75" shapeId="0" xr:uid="{B6082A5B-4B9B-4E48-BBC7-5C521EB342C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88271 alejandra velasquez cafe
Respuesta:
    89310 Se facturo sin entregar mercancia Rosmira </t>
      </text>
    </comment>
    <comment ref="O46" authorId="76" shapeId="0" xr:uid="{B1F42768-284D-4CC7-8BCC-D96E89CE834A}">
      <text>
        <t>[Comentario encadenado]
Tu versión de Excel te permite leer este comentario encadenado; sin embargo, las ediciones que se apliquen se quitarán si el archivo se abre en una versión más reciente de Excel. Más información: https://go.microsoft.com/fwlink/?linkid=870924
Comentario:
    89047  Error en el kit se armo con el equipo equibocado Juan camilo piña
89178 Error en la oc mario</t>
      </text>
    </comment>
    <comment ref="Q46" authorId="77" shapeId="0" xr:uid="{E9B91A94-E418-4258-8AE0-C257573C74BD}">
      <text>
        <t>[Comentario encadenado]
Tu versión de Excel te permite leer este comentario encadenado; sin embargo, las ediciones que se apliquen se quitarán si el archivo se abre en una versión más reciente de Excel. Más información: https://go.microsoft.com/fwlink/?linkid=870924
Comentario:
    89167 Error en la razon social 
88933 Cambio de productos 
83098 Error del iva en un producto </t>
      </text>
    </comment>
    <comment ref="J47" authorId="78" shapeId="0" xr:uid="{35FE741B-424D-414A-8687-2B48970C6D7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88316 devolucion diadema mario 
86810 error razon social camilo </t>
      </text>
    </comment>
    <comment ref="M47" authorId="79" shapeId="0" xr:uid="{7B2519B5-44A2-4793-A697-DA65CFCB3E6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89016 Se le cobro iva a unas licencias axentas Santillana
89125 Error en la OC Colsubsidio
Respuesta:
    89809 No se debia facturar Wilson Sanchez </t>
      </text>
    </comment>
    <comment ref="J48" authorId="80" shapeId="0" xr:uid="{CECD6932-EE2B-4244-A879-EB0EFE8D3C0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88688  Devolución cámaras 40 jenny gonzalez </t>
      </text>
    </comment>
    <comment ref="M48" authorId="81" shapeId="0" xr:uid="{214DD1A4-FAEA-4EE3-80E8-5ACAE0ACB22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89700 Se facturo item sin iva tablet  mariela
Respuesta:
    89895 Se facturo con una trm erronea mercadeo cristian </t>
      </text>
    </comment>
    <comment ref="O48" authorId="82" shapeId="0" xr:uid="{5AAAE208-DBD7-47BD-A9C8-25840C7DD254}">
      <text>
        <t>[Comentario encadenado]
Tu versión de Excel te permite leer este comentario encadenado; sin embargo, las ediciones que se apliquen se quitarán si el archivo se abre en una versión más reciente de Excel. Más información: https://go.microsoft.com/fwlink/?linkid=870924
Comentario:
    90106 Se debia facturar adaptador en kit dafne</t>
      </text>
    </comment>
    <comment ref="Q48" authorId="83" shapeId="0" xr:uid="{6F080C6C-F389-413F-8352-5EC9ADB4E27F}">
      <text>
        <t>[Comentario encadenado]
Tu versión de Excel te permite leer este comentario encadenado; sin embargo, las ediciones que se apliquen se quitarán si el archivo se abre en una versión más reciente de Excel. Más información: https://go.microsoft.com/fwlink/?linkid=870924
Comentario:
    83152 Cliente indica no recibir la factura 
87085 Cliente niega recibir la factura juan camilo p
86516 Cliente niega recibir la factura  juan camilo p 
89641 Cliente niega recibir la factura yomaira  
Respuesta:
    89541 Error en la razon social rosa
89597 No se sabe el motivo  rosa</t>
      </text>
    </comment>
    <comment ref="M49" authorId="84" shapeId="0" xr:uid="{DA4E0558-D6AC-4DFE-92A8-4827134D35F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90266 Error de benjamin al montar el pedido error en el precio angie tatiena </t>
      </text>
    </comment>
    <comment ref="O49" authorId="85" shapeId="0" xr:uid="{FC0D2A94-AAE9-4C4E-8A5C-39C70EBDB39C}">
      <text>
        <t>[Comentario encadenado]
Tu versión de Excel te permite leer este comentario encadenado; sin embargo, las ediciones que se apliquen se quitarán si el archivo se abre en una versión más reciente de Excel. Más información: https://go.microsoft.com/fwlink/?linkid=870924
Comentario:
    89908 Error razón social  Mario
90003 Mayor valor cobrado Maria e 
88290 Error de razón social Camilo</t>
      </text>
    </comment>
    <comment ref="P49" authorId="86" shapeId="0" xr:uid="{0F2B3CF4-597B-453E-86EC-32D7E2815344}">
      <text>
        <t>[Comentario encadenado]
Tu versión de Excel te permite leer este comentario encadenado; sin embargo, las ediciones que se apliquen se quitarán si el archivo se abre en una versión más reciente de Excel. Más información: https://go.microsoft.com/fwlink/?linkid=870924
Comentario:
    90507 valores  erroneos que tomo el sistema Maria Angelica alvarez</t>
      </text>
    </comment>
    <comment ref="Q49" authorId="87" shapeId="0" xr:uid="{F6ACDF80-ACA8-4B9F-A5A4-8289797C1177}">
      <text>
        <t>[Comentario encadenado]
Tu versión de Excel te permite leer este comentario encadenado; sin embargo, las ediciones que se apliquen se quitarán si el archivo se abre en una versión más reciente de Excel. Más información: https://go.microsoft.com/fwlink/?linkid=870924
Comentario:
    88720 Error de correo electronico
84230 Error de correo electronico
90403 Cliente no recibe mercancia</t>
      </text>
    </comment>
    <comment ref="J50" authorId="88" shapeId="0" xr:uid="{5ECDD5E6-0B42-4D39-A1D6-D722A764371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90317 Maru error razón social
89389 Wilson devolucion par 
89837 Carolina  devolucion par  </t>
      </text>
    </comment>
    <comment ref="M50" authorId="89" shapeId="0" xr:uid="{C997DD4C-EF50-4A74-A6FC-B3AA169631A2}">
      <text>
        <t>[Comentario encadenado]
Tu versión de Excel te permite leer este comentario encadenado; sin embargo, las ediciones que se apliquen se quitarán si el archivo se abre en una versión más reciente de Excel. Más información: https://go.microsoft.com/fwlink/?linkid=870924
Comentario:
    91272 no se debía facturar colsubsidio</t>
      </text>
    </comment>
    <comment ref="O50" authorId="90" shapeId="0" xr:uid="{674EE9EA-EAE1-4DA8-983F-969D3E59974A}">
      <text>
        <t>[Comentario encadenado]
Tu versión de Excel te permite leer este comentario encadenado; sin embargo, las ediciones que se apliquen se quitarán si el archivo se abre en una versión más reciente de Excel. Más información: https://go.microsoft.com/fwlink/?linkid=870924
Comentario:
    89849 fuera de la fecha de cierre oscar bohorquez</t>
      </text>
    </comment>
    <comment ref="Q50" authorId="91" shapeId="0" xr:uid="{E2063D9D-D6BE-4ABF-89B9-B4E525A824BD}">
      <text>
        <t>[Comentario encadenado]
Tu versión de Excel te permite leer este comentario encadenado; sin embargo, las ediciones que se apliquen se quitarán si el archivo se abre en una versión más reciente de Excel. Más información: https://go.microsoft.com/fwlink/?linkid=870924
Comentario:
    86369 Cliente indica que necesita su factura tal cual la OC 
89952 Cambio de convertidores
86039 Cliente no la radico 
90628 Cliente rechaza por centavos 
87872 Cliente no la radico a tiempo 
90737 Quedo cliente de contado y debe salir a credito 
84227 Cliente no las radico a tiempo 
86619 Cliente no las radico a tiempo 
90317 Error razon Social 
89442 Cliente solicito refacturar con fecha de Mayo
87143 Cliente rechazo por error</t>
      </text>
    </comment>
    <comment ref="U50" authorId="92" shapeId="0" xr:uid="{9D0D0125-53F1-493C-811D-CD0B4B3726FF}">
      <text>
        <t>[Comentario encadenado]
Tu versión de Excel te permite leer este comentario encadenado; sin embargo, las ediciones que se apliquen se quitarán si el archivo se abre en una versión más reciente de Excel. Más información: https://go.microsoft.com/fwlink/?linkid=870924
Comentario:
    88291 Bateria salio defectuosa</t>
      </text>
    </comment>
    <comment ref="M51" authorId="93" shapeId="0" xr:uid="{43406479-85B5-4104-9812-043ED0960C2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91404 No se debia facturar y adicional se facturo con iva 
91407 No se debia facturar 
</t>
      </text>
    </comment>
    <comment ref="O51" authorId="94" shapeId="0" xr:uid="{91995F3F-AA05-4C3C-9F45-F1987D537451}">
      <text>
        <t>[Comentario encadenado]
Tu versión de Excel te permite leer este comentario encadenado; sin embargo, las ediciones que se apliquen se quitarán si el archivo se abre en una versión más reciente de Excel. Más información: https://go.microsoft.com/fwlink/?linkid=870924
Comentario:
    91381 Era un obsequio y peña lo facturo 
91641 Fuera de la fecha de facturación diana buitrago</t>
      </text>
    </comment>
    <comment ref="Q51" authorId="95" shapeId="0" xr:uid="{B1012AB8-A4E8-415B-A555-659F173326D8}">
      <text>
        <t>[Comentario encadenado]
Tu versión de Excel te permite leer este comentario encadenado; sin embargo, las ediciones que se apliquen se quitarán si el archivo se abre en una versión más reciente de Excel. Más información: https://go.microsoft.com/fwlink/?linkid=870924
Comentario:
    90752 Cliente rechazo por error
90997 Error de razón social
87001 No se sabe el motivo 
91394 Cliente cambio fechas de cierre </t>
      </text>
    </comment>
    <comment ref="J52" authorId="96" shapeId="0" xr:uid="{C900B23B-3B18-48C9-A7D0-6F9C0B61C89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87319 cliente no radico la factura gina </t>
      </text>
    </comment>
    <comment ref="O52" authorId="97" shapeId="0" xr:uid="{37030A95-C1B5-42DB-A59C-DDB778C8B70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90899 ERROR EN LA OC ZULMA IA4
91180 ERROR ENEL PRECIO JASBLEIDI
91427 ERROR EN LA RAZON SOCIAL M PAOLA
91151 MAYOR VALOR COBRADO JENNY G </t>
      </text>
    </comment>
    <comment ref="Q52" authorId="98" shapeId="0" xr:uid="{1AF5A548-920B-4971-ACB2-843B75E8775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91617 Se negocio con cliente para que aceptara la primera factura Daniel g 
91321 No sabemos el motivo daniel g
88459 Cliente no radico factura camilo 
87319 Cliente no la radico a tiempo  gina 
</t>
      </text>
    </comment>
    <comment ref="J53" authorId="99" shapeId="0" xr:uid="{9AF258FF-20E9-4E68-871F-5AF7358B3895}">
      <text>
        <t>[Comentario encadenado]
Tu versión de Excel te permite leer este comentario encadenado; sin embargo, las ediciones que se apliquen se quitarán si el archivo se abre en una versión más reciente de Excel. Más información: https://go.microsoft.com/fwlink/?linkid=870924
Comentario:
    87319 CLIENTE NO RADICO LA FACTURA GINA</t>
      </text>
    </comment>
    <comment ref="M53" authorId="100" shapeId="0" xr:uid="{BBFCFA84-F4CF-41E3-9417-0F5EC7618FF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92209 SE FACTURO PRODUCTO EN 0 ALEJANDRA VELASQUEZ </t>
      </text>
    </comment>
    <comment ref="O53" authorId="101" shapeId="0" xr:uid="{AA171BA8-0646-42AE-B8CE-899731906ECC}">
      <text>
        <t>[Comentario encadenado]
Tu versión de Excel te permite leer este comentario encadenado; sin embargo, las ediciones que se apliquen se quitarán si el archivo se abre en una versión más reciente de Excel. Más información: https://go.microsoft.com/fwlink/?linkid=870924
Comentario:
    92229 Error razon razon social Jasbleidy</t>
      </text>
    </comment>
    <comment ref="Q53" authorId="102" shapeId="0" xr:uid="{F1CF8A18-BB07-4EBE-9145-25B4BDC6E1A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87319 Cliente no la radico a tiempo 
91568 Error en el correo de facturacion electronica 
91610 Error en el correo de facturacion electronica 
90707 Cliente no as radico 
88551 Cliente no as radico 
90333 Cliente solicita una sola factura Cliente solicita una sola factura 
89132 Cliente solicita una sola factura
88619 Cliente modifico la oc 
91774 Cliente rechazo por error
94775 Cliente rechazo por error
91776 Cliente rechazo por error
92222 Cambio de nit 
89511 Cambio de nit 
91707 Debe ir facturado sin  iva 
</t>
      </text>
    </comment>
    <comment ref="J54" authorId="103" shapeId="0" xr:uid="{AC62AAAD-7414-4D94-886C-BC0A7C3CD655}">
      <text>
        <t>[Comentario encadenado]
Tu versión de Excel te permite leer este comentario encadenado; sin embargo, las ediciones que se apliquen se quitarán si el archivo se abre en una versión más reciente de Excel. Más información: https://go.microsoft.com/fwlink/?linkid=870924
Comentario:
    91884 colfondos  cliente no la radico y cambio la oc</t>
      </text>
    </comment>
    <comment ref="M54" authorId="104" shapeId="0" xr:uid="{32BC662B-A848-4EAA-84B3-5BDC1AC3E3F0}">
      <text>
        <t>[Comentario encadenado]
Tu versión de Excel te permite leer este comentario encadenado; sin embargo, las ediciones que se apliquen se quitarán si el archivo se abre en una versión más reciente de Excel. Más información: https://go.microsoft.com/fwlink/?linkid=870924
Comentario:
    93008 Debia salir en kit 
89184 Error de correo de facturacion </t>
      </text>
    </comment>
    <comment ref="O54" authorId="105" shapeId="0" xr:uid="{9F43B773-9B2C-47DF-9051-978748A15067}">
      <text>
        <t>[Comentario encadenado]
Tu versión de Excel te permite leer este comentario encadenado; sin embargo, las ediciones que se apliquen se quitarán si el archivo se abre en una versión más reciente de Excel. Más información: https://go.microsoft.com/fwlink/?linkid=870924
Comentario:
    92342 Error razon social Dilma
92266 Error en la OC Mario</t>
      </text>
    </comment>
    <comment ref="P54" authorId="106" shapeId="0" xr:uid="{63EDB1D2-8E7F-49E4-9036-86A2639F74FA}">
      <text>
        <t>[Comentario encadenado]
Tu versión de Excel te permite leer este comentario encadenado; sin embargo, las ediciones que se apliquen se quitarán si el archivo se abre en una versión más reciente de Excel. Más información: https://go.microsoft.com/fwlink/?linkid=870924
Comentario:
    92398 Error en el kit salio sin iva 
92477 Error razon Social</t>
      </text>
    </comment>
    <comment ref="Q54" authorId="107" shapeId="0" xr:uid="{477A3B20-87BD-4338-800A-581300F32965}">
      <text>
        <t>[Comentario encadenado]
Tu versión de Excel te permite leer este comentario encadenado; sin embargo, las ediciones que se apliquen se quitarán si el archivo se abre en una versión más reciente de Excel. Más información: https://go.microsoft.com/fwlink/?linkid=870924
Comentario:
    90722 Cliente no la radico 
92430 Faltaron agregar unas Observaciones
Respuesta:
    89634 Error razon social
92256 Cliente solicita cambio de oc en 2 facturas 
91884 Cliente solicito cambio de factura por la OC </t>
      </text>
    </comment>
    <comment ref="J55" authorId="108" shapeId="0" xr:uid="{F597BC90-51E1-4D84-9A97-DD1075C1A306}">
      <text>
        <t>[Comentario encadenado]
Tu versión de Excel te permite leer este comentario encadenado; sin embargo, las ediciones que se apliquen se quitarán si el archivo se abre en una versión más reciente de Excel. Más información: https://go.microsoft.com/fwlink/?linkid=870924
Comentario:
    89671 Kata Cliente no la radico a tiempo  Maria Eugenia 
92412 Kapiro Cliente solicita facturar 2 licencias en otra razon social Diana Castro</t>
      </text>
    </comment>
    <comment ref="M55" authorId="109" shapeId="0" xr:uid="{872DD058-7383-4096-853F-94007E35D54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93355 Se facturo en dólares  karol </t>
      </text>
    </comment>
    <comment ref="N55" authorId="110" shapeId="0" xr:uid="{33481A81-F944-46F0-AE72-9EAD100AC3E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93314 Se facturo una licencia de mas compras y logistica </t>
      </text>
    </comment>
    <comment ref="O55" authorId="111" shapeId="0" xr:uid="{C710E235-E855-40FF-95BE-3251D87DAFBD}">
      <text>
        <t>[Comentario encadenado]
Tu versión de Excel te permite leer este comentario encadenado; sin embargo, las ediciones que se apliquen se quitarán si el archivo se abre en una versión más reciente de Excel. Más información: https://go.microsoft.com/fwlink/?linkid=870924
Comentario:
    88521 No se radico en la plataforma Mariela
92014 Faltaron radicar documentos adicionales a la factura  Maria Eugenia 
91613 Fuera de la fecha de cierre Zulma  </t>
      </text>
    </comment>
    <comment ref="Q55" authorId="112" shapeId="0" xr:uid="{A4B366FD-A2F5-4A9B-A792-737249F3301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91754 Cliente no radico factura 
92627 Error de razón social
89671 Cliente no la radico a tiempo 
92470 Error razón social emitida x el cliente (correo) 
91666 Cliente no la radico 
89466 Cliente rechaza x inconvenientes internos 
92947 Cliente envio mal la OC 
93186  Cliente no recibió 
92412 Cliente solicita facturar 2 licencias en otra razón social 
88913 Error de correo de facturación 
</t>
      </text>
    </comment>
    <comment ref="O56" authorId="113" shapeId="0" xr:uid="{56B5B44A-A421-4E52-AB74-5C68F9E61ABC}">
      <text>
        <t>[Comentario encadenado]
Tu versión de Excel te permite leer este comentario encadenado; sin embargo, las ediciones que se apliquen se quitarán si el archivo se abre en una versión más reciente de Excel. Más información: https://go.microsoft.com/fwlink/?linkid=870924
Comentario:
    90894 Error razón social  Jasbleidy
92687 Error en las cantidades de producto  Jenny Gonzales
93480 Por cierre de facturación Jasbleidy</t>
      </text>
    </comment>
    <comment ref="Q56" authorId="114" shapeId="0" xr:uid="{1721D24D-7860-4C9F-AD0D-BAE4F957F16B}">
      <text>
        <t>[Comentario encadenado]
Tu versión de Excel te permite leer este comentario encadenado; sin embargo, las ediciones que se apliquen se quitarán si el archivo se abre en una versión más reciente de Excel. Más información: https://go.microsoft.com/fwlink/?linkid=870924
Comentario:
    91988 Cliente rechaza x la observacion de la factura 
92195 No se sabe el motivo del rechazo </t>
      </text>
    </comment>
    <comment ref="J57" authorId="115" shapeId="0" xr:uid="{BB7851C0-641C-4668-A2C1-8993C6760FE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93904 zmo jasbleidy </t>
      </text>
    </comment>
    <comment ref="N57" authorId="116" shapeId="0" xr:uid="{2F5EB34E-7FF3-41F5-874E-458E08E72381}">
      <text>
        <t>[Comentario encadenado]
Tu versión de Excel te permite leer este comentario encadenado; sin embargo, las ediciones que se apliquen se quitarán si el archivo se abre en una versión más reciente de Excel. Más información: https://go.microsoft.com/fwlink/?linkid=870924
Comentario:
    88932 Error en la descripcion del codigo natalia
93947 Faltaron agregar unas remisiones  karol</t>
      </text>
    </comment>
    <comment ref="O57" authorId="117" shapeId="0" xr:uid="{CA89A69D-47C0-4E76-8F26-38BE3C8D37C9}">
      <text>
        <t>[Comentario encadenado]
Tu versión de Excel te permite leer este comentario encadenado; sin embargo, las ediciones que se apliquen se quitarán si el archivo se abre en una versión más reciente de Excel. Más información: https://go.microsoft.com/fwlink/?linkid=870924
Comentario:
    93614 Por cierre de facturacion 
92024 Se facturo 2 veces
92604 Mayor valor cobrado 
93982 Error de razón social 
93381 No se radico la factura con los soportes</t>
      </text>
    </comment>
    <comment ref="Q57" authorId="118" shapeId="0" xr:uid="{9E19E5B9-D281-4E5D-ADC3-08829AE6061F}">
      <text>
        <t>[Comentario encadenado]
Tu versión de Excel te permite leer este comentario encadenado; sin embargo, las ediciones que se apliquen se quitarán si el archivo se abre en una versión más reciente de Excel. Más información: https://go.microsoft.com/fwlink/?linkid=870924
Comentario:
    93414 Por cierre de facturacion no informo cambios 
92511 Cliente rechazo por decimales
93638 Cliente solicita que se coloquen los seriales en la factura 
89032 Cliente no la radico
90829 Cliente iba a devolver producto y finalmente no lo hizo pero la rechazo 
93657 Cliente solicita refacturar diferente 
93504 Cliente no recibe mercancia
91249 Cliente indica que no les llego pero el correo estaba bien
91877 Cliente no modifico iva internamente 
91821 Cliente no modifico iva internamente 
91820 Cliente no modifico iva internamente 
91878 Cliente no modifico iva internamente 
93993 Se debe facturar con iva de acuerdo a la OC 
87554 Cliente no la radico internamente </t>
      </text>
    </comment>
    <comment ref="J58" authorId="119" shapeId="0" xr:uid="{CEB70847-B25F-41E7-9AE0-C82301712FF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92934 IRCC LINGTON </t>
      </text>
    </comment>
    <comment ref="N58" authorId="120" shapeId="0" xr:uid="{74B828FF-319F-41A5-A986-3AE03163A73E}">
      <text>
        <t>[Comentario encadenado]
Tu versión de Excel te permite leer este comentario encadenado; sin embargo, las ediciones que se apliquen se quitarán si el archivo se abre en una versión más reciente de Excel. Más información: https://go.microsoft.com/fwlink/?linkid=870924
Comentario:
    94329 No se debia facturar y benji la paso SANTILLANA camilo
94506 Falto agregar un item la OC no coincide con la factura DAFNE</t>
      </text>
    </comment>
    <comment ref="O58" authorId="121" shapeId="0" xr:uid="{ED241B9F-AC13-4197-B465-82D9887D3374}">
      <text>
        <t>[Comentario encadenado]
Tu versión de Excel te permite leer este comentario encadenado; sin embargo, las ediciones que se apliquen se quitarán si el archivo se abre en una versión más reciente de Excel. Más información: https://go.microsoft.com/fwlink/?linkid=870924
Comentario:
    93739 Error en los codigos Fernando</t>
      </text>
    </comment>
    <comment ref="P58" authorId="122" shapeId="0" xr:uid="{A2D18F04-4BF2-45BE-9FCF-2BDAFF832B9F}">
      <text>
        <t>[Comentario encadenado]
Tu versión de Excel te permite leer este comentario encadenado; sin embargo, las ediciones que se apliquen se quitarán si el archivo se abre en una versión más reciente de Excel. Más información: https://go.microsoft.com/fwlink/?linkid=870924
Comentario:
    94301 Tomo el tercero que no era</t>
      </text>
    </comment>
    <comment ref="Q58" authorId="123" shapeId="0" xr:uid="{0CBB3336-A7AF-43EA-9645-990F3ECADB8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92216No se debia facturar aese tercero 
93739 Error en los codigos 
88068 Error de correo cliente no notifico el cambio 
93425 Cliente indica haber recibido tarde la mercancia 
91097 Cliente rechazo por error 
93767 Cliente envio una oc a una razon social y era por otra 
93987 Cliente envio una oc a una razon social y era por otra 
93155 Faltaba la Orden de servicio 
92936 Cliente envio una oc a una razon social y era por otra 
90509 Fallas en la pagina receptora de la universidad 
94611 Cliente cambia correo no notifica y la factura anterior si la radicaron siendo el mismo correo 
94613 Cliente cambia correo no notifica y la factura anterior si la radicaron siendo el mismo correo 
</t>
      </text>
    </comment>
    <comment ref="J59" authorId="124" shapeId="0" xr:uid="{E2E8B994-E839-4505-823D-5A1B47E61E96}">
      <text>
        <t>[Comentario encadenado]
Tu versión de Excel te permite leer este comentario encadenado; sin embargo, las ediciones que se apliquen se quitarán si el archivo se abre en una versión más reciente de Excel. Más información: https://go.microsoft.com/fwlink/?linkid=870924
Comentario:
    93577 nutrabiotics Rosa</t>
      </text>
    </comment>
    <comment ref="N59" authorId="125" shapeId="0" xr:uid="{CC43E0AC-0BB7-468B-B1BD-8F16A8F0CF48}">
      <text>
        <t>[Comentario encadenado]
Tu versión de Excel te permite leer este comentario encadenado; sin embargo, las ediciones que se apliquen se quitarán si el archivo se abre en una versión más reciente de Excel. Más información: https://go.microsoft.com/fwlink/?linkid=870924
Comentario:
    94017 No se facturo el flete benji remisiono 
94755 Se debia facturar mas producto </t>
      </text>
    </comment>
    <comment ref="O59" authorId="126" shapeId="0" xr:uid="{31217876-9013-401F-BF57-420450505E12}">
      <text>
        <t>[Comentario encadenado]
Tu versión de Excel te permite leer este comentario encadenado; sin embargo, las ediciones que se apliquen se quitarán si el archivo se abre en una versión más reciente de Excel. Más información: https://go.microsoft.com/fwlink/?linkid=870924
Comentario:
    95059 Error en codigo ,aria Eugenia 
93467 Fuera de la fecha de cierre Mario</t>
      </text>
    </comment>
    <comment ref="P59" authorId="127" shapeId="0" xr:uid="{A05A606E-497E-49BE-B268-77A19CCDCFE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93745 tomo mal el tercero </t>
      </text>
    </comment>
    <comment ref="Q59" authorId="128" shapeId="0" xr:uid="{AF0F799B-54D4-409C-A748-D2FC74911C25}">
      <text>
        <t>[Comentario encadenado]
Tu versión de Excel te permite leer este comentario encadenado; sin embargo, las ediciones que se apliquen se quitarán si el archivo se abre en una versión más reciente de Excel. Más información: https://go.microsoft.com/fwlink/?linkid=870924
Comentario:
    91708 No se sabe el motivo del rechazo 
94574 Error en razon social, cliente despues de facturar envio la OC a otrarazon social 
91749 No se sabe el motivo del rechazo 
91719 No enviaron las actas, la encargada de esto renuncio 
93420 Cliente cambia correo no notifica y la factura anterior si la radicaron siendo el mismo correo 
93636 Cliente rechazo por error 
89622 Cliente no la radico internamente 
93668 Cliente devuelve cables y de deja remisionado mientras llega el producto 
93773 Cliente proporciona numero de ingreso errado por lo que la rechazaron 
88815 Cliente no tenia aval de la licencia y la rechazo 
94507 Cliente rechaza por no tener nuestro documentos pero fueron enviados a tiempo
93577Cliente renovo por otro lado el mismo mes
89670 Cliente no identifico el servicio y la rechazo 
93496 No se sabe el motivo del rechazo 
93437 Cliente no la radico internamente 
90849 Error en la oc del cliente 
93320 Por una devolucion rechazo todo </t>
      </text>
    </comment>
    <comment ref="R59" authorId="129" shapeId="0" xr:uid="{FDC534A9-E5ED-468C-8C14-AD2BEBAC1E23}">
      <text>
        <t>[Comentario encadenado]
Tu versión de Excel te permite leer este comentario encadenado; sin embargo, las ediciones que se apliquen se quitarán si el archivo se abre en una versión más reciente de Excel. Más información: https://go.microsoft.com/fwlink/?linkid=870924
Comentario:
    91442 No se presto el servicio 
92925 No se debia facturar </t>
      </text>
    </comment>
    <comment ref="O60" authorId="130" shapeId="0" xr:uid="{C281008E-69B4-4934-A23C-553B183AE532}">
      <text>
        <t>[Comentario encadenado]
Tu versión de Excel te permite leer este comentario encadenado; sin embargo, las ediciones que se apliquen se quitarán si el archivo se abre en una versión más reciente de Excel. Más información: https://go.microsoft.com/fwlink/?linkid=870924
Comentario:
    95334 Comercial mando facturar y luego indico que debia salir con tra remision  Rosa 
95289 Error en la OC Faltaba un numero Astrid 
95416 Por fecha de cierre Alvarez </t>
      </text>
    </comment>
    <comment ref="M61" authorId="131" shapeId="0" xr:uid="{0FF9B2CF-9E02-4713-A8AB-F4CA115AE9F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94584  Producto salio sin IVA Maria Eugenia </t>
      </text>
    </comment>
    <comment ref="O61" authorId="132" shapeId="0" xr:uid="{12CBFD37-7AAA-492A-8BF5-4DFE8D5D3825}">
      <text>
        <t>[Comentario encadenado]
Tu versión de Excel te permite leer este comentario encadenado; sin embargo, las ediciones que se apliquen se quitarán si el archivo se abre en una versión más reciente de Excel. Más información: https://go.microsoft.com/fwlink/?linkid=870924
Comentario:
    94644 Error en OC x comercial CarolinaBossa
95198 Por cierre de facturacion Dilma</t>
      </text>
    </comment>
    <comment ref="Q61" authorId="133" shapeId="0" xr:uid="{57430CD3-8DA7-4868-A0B6-DC783BAA1B6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95359 Error de razon social Cliente no notifico ni envio documentos  Julieth Galindo 
95360 Error de razon social Cliente no notifico ni envio documentos  Julieth Galindo 
95265 No se sabe el motivo del rechazo  Yeison Urrego 
90687 Error de correo cliente no notifico el cambio 
93931 No se sabe el motivo del rechazo 
91436 Rechazo por $600 de diferencia contra la OC
95182 Producto Vencido 
95429 No se sabe el motivo del rechazo
95233 No se sabe el motivo del rechazo
93134 Cliente no radico factura
93546 Error de razón social Claudia 
93541 Error de razón social Claudia 
93556 Error de razón social Claudia 
93544 Error de razón social Claudia 
93544 Error de razón social Claudia 
93543 Error de razon social
93542 Error de razon social
93540 Error de razon social
93545 Error de razon social
95021 No se sabe el motivo del rechazo
94893 No se sabe el motivo del rechazo
94548 No se sabe el motivo del rechazo
Respuesta:
    90858 Cliente no la radicó internamente  Gina </t>
      </text>
    </comment>
    <comment ref="M62" authorId="134" shapeId="0" xr:uid="{E9540014-2466-48EF-9AE0-BE13DF3B066F}">
      <text>
        <t>[Comentario encadenado]
Tu versión de Excel te permite leer este comentario encadenado; sin embargo, las ediciones que se apliquen se quitarán si el archivo se abre en una versión más reciente de Excel. Más información: https://go.microsoft.com/fwlink/?linkid=870924
Comentario:
    95682 Producto salio sin IVA</t>
      </text>
    </comment>
    <comment ref="O62" authorId="135" shapeId="0" xr:uid="{41B81C5E-DC7B-414F-923D-50F7B1968CAD}">
      <text>
        <t>[Comentario encadenado]
Tu versión de Excel te permite leer este comentario encadenado; sin embargo, las ediciones que se apliquen se quitarán si el archivo se abre en una versión más reciente de Excel. Más información: https://go.microsoft.com/fwlink/?linkid=870924
Comentario:
    95930 Error en razón social Yomaira
94800 Error en razón social M. Paola
92888 Error en los valores, no coinciden con la OC Freddy P</t>
      </text>
    </comment>
    <comment ref="Q62" authorId="136" shapeId="0" xr:uid="{5CD088E2-07C7-49A0-B367-1BCB10D2127F}">
      <text>
        <t>[Comentario encadenado]
Tu versión de Excel te permite leer este comentario encadenado; sin embargo, las ediciones que se apliquen se quitarán si el archivo se abre en una versión más reciente de Excel. Más información: https://go.microsoft.com/fwlink/?linkid=870924
Comentario:
    94937 Cliente envió mal el # de MIGO, se cruza con otra factura M.Paola
94997 Cliente envió mal el # de MIGO, se cruza con otra factura M.Paola
95637 Se tuvo que bajar el precio  Gina Paola
94608 Cliente no la radico  M.Alejandra V</t>
      </text>
    </comment>
    <comment ref="M63" authorId="137" shapeId="0" xr:uid="{C6561CA2-227E-4A43-9627-3D421C66202D}">
      <text>
        <t>[Comentario encadenado]
Tu versión de Excel te permite leer este comentario encadenado; sin embargo, las ediciones que se apliquen se quitarán si el archivo se abre en una versión más reciente de Excel. Más información: https://go.microsoft.com/fwlink/?linkid=870924
Comentario:
    96476 Iba con otra remisión 
96609 Comercial envió correo pero no fue claro, iba con más remisiones</t>
      </text>
    </comment>
    <comment ref="O63" authorId="138" shapeId="0" xr:uid="{E0645E50-A36D-4F97-BBC5-39C95DA8EB60}">
      <text>
        <t>[Comentario encadenado]
Tu versión de Excel te permite leer este comentario encadenado; sin embargo, las ediciones que se apliquen se quitarán si el archivo se abre en una versión más reciente de Excel. Más información: https://go.microsoft.com/fwlink/?linkid=870924
Comentario:
    96344 Error en el Valor 
95990 Mayor Valor Cobrado
96272 No se debía facturar 
93563 Cierre de Facturación 
95785 Se debia facturar por separado 
95797 Error en la OC
90095 Mayor Valor Cobrado
96357 Se facturo 2 veces
95987 Error en el codigo </t>
      </text>
    </comment>
    <comment ref="Q63" authorId="139" shapeId="0" xr:uid="{D31B81A1-2645-4113-8A03-1085D4734866}">
      <text>
        <t>[Comentario encadenado]
Tu versión de Excel te permite leer este comentario encadenado; sin embargo, las ediciones que se apliquen se quitarán si el archivo se abre en una versión más reciente de Excel. Más información: https://go.microsoft.com/fwlink/?linkid=870924
Comentario:
    96186 Cliente no recibe los productos
91819 Cliente no la radico 
95928 Cliente cambió políticas de radicación de facturas
92655 No se sabe el motivo de rechazo
95256 Cliente la rechazo por error
93046 Cliente la rechazo por error
92528 Cliente la rechazo por error
96260 Error en razón social
95545 Cliente rechaza por error 
96239 Error en razón social
92177 Cliente rechaza por error oc no coincide, pero esta la conversacion donde autoriza cmprar mas caro pr la urgencia 
92884 Error en la OC del cliente
95864 Producto salio sin IVA
95381 No sabemos el motivo del rechazo 
94840 Cliente no radico factura
88792 Cliente no radico factura
96102 Cliente solicita que se haga una sola fcatura </t>
      </text>
    </comment>
    <comment ref="M64" authorId="140" shapeId="0" xr:uid="{A2171217-75A0-41FC-9569-55BD1E9072F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97008 No sedebia facturar cliente ya habia cerrado no llamo al comercial </t>
      </text>
    </comment>
    <comment ref="O64" authorId="141" shapeId="0" xr:uid="{E7EF1256-2FAB-4DE6-9E3D-36986E88EEDA}">
      <text>
        <t>[Comentario encadenado]
Tu versión de Excel te permite leer este comentario encadenado; sin embargo, las ediciones que se apliquen se quitarán si el archivo se abre en una versión más reciente de Excel. Más información: https://go.microsoft.com/fwlink/?linkid=870924
Comentario:
    96357 Se facturo 2 veces Gabriela oscar b
95987 Error en el codigo maria eug
96947 Error en las cantidades yomaira
 96985 Fuera de la fecha de facturacion dafne
92326 Error en razon social tatiana 
96702 No se relaciono la OC javier cortes
96701 No se relaciono la OC javier cortes</t>
      </text>
    </comment>
    <comment ref="Q64" authorId="142" shapeId="0" xr:uid="{2FADBBDC-3149-4824-85C8-EC36479AD851}">
      <text>
        <t>[Comentario encadenado]
Tu versión de Excel te permite leer este comentario encadenado; sin embargo, las ediciones que se apliquen se quitarán si el archivo se abre en una versión más reciente de Excel. Más información: https://go.microsoft.com/fwlink/?linkid=870924
Comentario:
    94840 Cliente no radico factura
88792 Cliente no radico factura
96102 Cliente solicita que se haga una sola fcatura 
94973 Cliente indica que no la recibio 
96722 Cliente rechazo por error se adjunta correo
96064 Se anula factura por cambio de referencia a solicitud del cliente 
96556 Se salio del presupuesto del cliente 
95804 Clienta solicita una sola factura 
96633 Error en los valoreesdel monitor 
94383 Cliente No la radico 
94297 Cliente No la radico 
97005 Cliente envio mal las especificaciones del producto</t>
      </text>
    </comment>
    <comment ref="R64" authorId="143" shapeId="0" xr:uid="{5538F85B-92AC-4DEA-B1D5-E67FFBDDF287}">
      <text>
        <t>[Comentario encadenado]
Tu versión de Excel te permite leer este comentario encadenado; sin embargo, las ediciones que se apliquen se quitarán si el archivo se abre en una versión más reciente de Excel. Más información: https://go.microsoft.com/fwlink/?linkid=870924
Comentario:
    96912 Oscar mando facturar x correo del comercial y debia ir facturado con otra remision </t>
      </text>
    </comment>
    <comment ref="N65" authorId="144" shapeId="0" xr:uid="{13C45B8E-245A-4990-B93E-48D22E3E7EE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97260 Mando Facturar y no se podía </t>
      </text>
    </comment>
    <comment ref="O65" authorId="145" shapeId="0" xr:uid="{5647AE72-CBEB-4E60-8DBB-0E7A9EE9DCDE}">
      <text>
        <t>[Comentario encadenado]
Tu versión de Excel te permite leer este comentario encadenado; sin embargo, las ediciones que se apliquen se quitarán si el archivo se abre en una versión más reciente de Excel. Más información: https://go.microsoft.com/fwlink/?linkid=870924
Comentario:
    97237 No se radico la factura con los soportes Rosmira 
97464 Comercial se eequivoco y envió producto que no era  Jenny Gonzalez
95234 No se radico la factura con los soportes Gabriela
95235 No se radico la factura con los soportes Gabriela</t>
      </text>
    </comment>
    <comment ref="Q65" authorId="146" shapeId="0" xr:uid="{9E55B54D-1778-44E7-AB99-30B796DB2AD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92889 Cliente no recibio algunos productos
96813 Cliente rechazo por error
95905 Cliente cambio su razon social de SA SAS
96054 Cliente no le coincide IVA, tienen productos que los tienen errados
95968 Error en las observaciones, faltaba información solicitada por el cliente
95300 Cliente No la radico 
95301 Cliente No la radico 
94761 No le llegó al cliente
</t>
      </text>
    </comment>
    <comment ref="M66" authorId="147" shapeId="0" xr:uid="{D98040F7-315C-4B91-AF9A-0F23390A3790}">
      <text>
        <t>[Comentario encadenado]
Tu versión de Excel te permite leer este comentario encadenado; sin embargo, las ediciones que se apliquen se quitarán si el archivo se abre en una versión más reciente de Excel. Más información: https://go.microsoft.com/fwlink/?linkid=870924
Comentario:
    97747 no se coloco numero de ingreso karol</t>
      </text>
    </comment>
    <comment ref="N66" authorId="148" shapeId="0" xr:uid="{181279D2-7A3A-4DE4-836A-2D6011F997A0}">
      <text>
        <t>[Comentario encadenado]
Tu versión de Excel te permite leer este comentario encadenado; sin embargo, las ediciones que se apliquen se quitarán si el archivo se abre en una versión más reciente de Excel. Más información: https://go.microsoft.com/fwlink/?linkid=870924
Comentario:
    97717 no se debia facturar fernando
97592 error en las cantidades  mariela</t>
      </text>
    </comment>
    <comment ref="O66" authorId="149" shapeId="0" xr:uid="{9A0737F8-B75F-4117-8002-228709DA60ED}">
      <text>
        <t>[Comentario encadenado]
Tu versión de Excel te permite leer este comentario encadenado; sin embargo, las ediciones que se apliquen se quitarán si el archivo se abre en una versión más reciente de Excel. Más información: https://go.microsoft.com/fwlink/?linkid=870924
Comentario:
    97751 Error en la razón social Alejandra Velásquez
97592 Falto agregar una remisión Mariela
97579 Debe ir facturado a otra razón social Mari Eugenia 
94564 Error en la razón social Álvaro
96069 No se relaciono la OC  Álvaro</t>
      </text>
    </comment>
    <comment ref="Q66" authorId="150" shapeId="0" xr:uid="{7154AF24-E8D4-4264-BE98-F52CFDE349D1}">
      <text>
        <t>[Comentario encadenado]
Tu versión de Excel te permite leer este comentario encadenado; sin embargo, las ediciones que se apliquen se quitarán si el archivo se abre en una versión más reciente de Excel. Más información: https://go.microsoft.com/fwlink/?linkid=870924
Comentario:
    93646 Cliente no la radico 
93949 No se pudo procesar la extension de garantia 
95079 Ciertos productos debian ir a otra razon social 
95084 Ciertos productos debian ir a otra razon social 
95083 Ciertos productos debian ir a otra razon social 
95073 Ciertos productos debian ir a otra razon social 
95081 Ciertos productos debian ir a otra razon social 
96922 Cliente no radico la fcatura </t>
      </text>
    </comment>
    <comment ref="J67" authorId="151" shapeId="0" xr:uid="{AAE0CC49-350E-4C4D-B384-59F9330D2862}">
      <text>
        <t>[Comentario encadenado]
Tu versión de Excel te permite leer este comentario encadenado; sin embargo, las ediciones que se apliquen se quitarán si el archivo se abre en una versión más reciente de Excel. Más información: https://go.microsoft.com/fwlink/?linkid=870924
Comentario:
    97760 ROSMIRA DEVOLUCION PROD TE MERCANCIA NO LLEGO Y FACTURARON 
92390 CABALLERO DEVOLVIERON UN CABLE NO LE FUNCIONO AL CLIENTE
97036 JENNY G FACTURO DOBLE VEZ EL IVA</t>
      </text>
    </comment>
    <comment ref="M67" authorId="152" shapeId="0" xr:uid="{55BB8ED7-8D20-4574-ABDA-CC78AE1B708C}">
      <text>
        <t>[Comentario encadenado]
Tu versión de Excel te permite leer este comentario encadenado; sin embargo, las ediciones que se apliquen se quitarán si el archivo se abre en una versión más reciente de Excel. Más información: https://go.microsoft.com/fwlink/?linkid=870924
Comentario:
    98628 Se facturo con sin iva unos portátiles Benji cambio pedido y karol no valido</t>
      </text>
    </comment>
    <comment ref="N67" authorId="153" shapeId="0" xr:uid="{72A5C55A-255C-4DBA-A0ED-6D728368E3D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97622 Mayor valor cobrado en unas memorias 
98455 Logística mando facturar y comercial le indico que no se podia facturar aun 
98346 Falto agregar una remision benji mando facturar y era un faltante 
</t>
      </text>
    </comment>
    <comment ref="O67" authorId="154" shapeId="0" xr:uid="{A8DB6F9F-EBC2-424C-8919-3EF8458BFFD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96540 Mayor valor cobrado camilo
97036 Comercial facturo doble vez el iva yenni
94257 Error en la OC  oscar beltran zulma 
</t>
      </text>
    </comment>
    <comment ref="Q67" authorId="155" shapeId="0" xr:uid="{046538EE-0EA6-4568-932E-7B6B28281556}">
      <text>
        <t>[Comentario encadenado]
Tu versión de Excel te permite leer este comentario encadenado; sin embargo, las ediciones que se apliquen se quitarán si el archivo se abre en una versión más reciente de Excel. Más información: https://go.microsoft.com/fwlink/?linkid=870924
Comentario:
    89614 Cliente no radico factura y pidio que se refacturara
96414 Cliente no radico la factura 
96352 Cliente no radico la factura 
98173 Cliente solicito facturar un valor mas alto cambio la OC 
98266 Cliente rechaza la factura x 1 peso se adjunta correo 
96774 Cliente indica que no le llego </t>
      </text>
    </comment>
    <comment ref="U67" authorId="156" shapeId="0" xr:uid="{36D9C15F-619F-4E37-87D0-9F3A533DBF7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97296 Devolucion Total TECNOLOGIA  Cargador proveedor  nos genero NC
</t>
      </text>
    </comment>
    <comment ref="V67" authorId="157" shapeId="0" xr:uid="{C0F0EE2B-7662-450C-87C3-C478C5A815F2}">
      <text>
        <t>[Comentario encadenado]
Tu versión de Excel te permite leer este comentario encadenado; sin embargo, las ediciones que se apliquen se quitarán si el archivo se abre en una versión más reciente de Excel. Más información: https://go.microsoft.com/fwlink/?linkid=870924
Comentario:
    98072 Devolucion Total PAC Mario pidio mal la mercancia </t>
      </text>
    </comment>
    <comment ref="X67" authorId="158" shapeId="0" xr:uid="{C9071D00-C901-4C21-891B-33279C0D94B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97760  Mercancia no llego te 
92390 Devolucion cable
98087 devolucion rotulo no le sirvio al cliente 
98459 Devolución instacrem cliente no especifico que era en sobres </t>
      </text>
    </comment>
    <comment ref="J68" authorId="159" shapeId="0" xr:uid="{84F7FFCD-110C-46D0-85AC-67ACFF2C3574}">
      <text>
        <t>[Comentario encadenado]
Tu versión de Excel te permite leer este comentario encadenado; sin embargo, las ediciones que se apliquen se quitarán si el archivo se abre en una versión más reciente de Excel. Más información: https://go.microsoft.com/fwlink/?linkid=870924
Comentario:
    93510 Cliente hasta este mes ingreso la mercancia, niega haber recibido la mercancia  Jonathan Acevedo
98111 Devolucion Parcial PAC Diana Castro</t>
      </text>
    </comment>
    <comment ref="M68" authorId="160" shapeId="0" xr:uid="{2AC54677-A3CC-45B8-B4B2-883B02C85D79}">
      <text>
        <t>[Comentario encadenado]
Tu versión de Excel te permite leer este comentario encadenado; sin embargo, las ediciones que se apliquen se quitarán si el archivo se abre en una versión más reciente de Excel. Más información: https://go.microsoft.com/fwlink/?linkid=870924
Comentario:
    98669 No se había ingresado la factura de proveedor Mario 
99117 Kit creado sin IVA Melisa</t>
      </text>
    </comment>
    <comment ref="O68" authorId="161" shapeId="0" xr:uid="{088C7128-059C-4999-BE10-7D67BA018ED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89961 No se radicaron los documentos junto con la factura  maria eugenia 
98842 No debia salir en KIT Juan Camilo Piña </t>
      </text>
    </comment>
    <comment ref="Q68" authorId="162" shapeId="0" xr:uid="{5EDD3F02-0712-4260-AA08-8F28F3D3C3B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93510 Cliente hasta este mes ingreso la mercancia, niega haber recibido la mercancia  Acevedo 
98351 Se facturo sin OC, cliente la suministro luego de haber facturado
96850 Cliente no indicó que iba a cambiar la OC
92604 Cliente solicita cambio de factura por un error interno en la OC 
91871 No se Validaron los documentos internamente para el cobro
</t>
      </text>
    </comment>
    <comment ref="R68" authorId="163" shapeId="0" xr:uid="{7FDEF9A9-C757-442C-8420-5C94D5AB0E0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Mercadeo Nini  HP error en los valores </t>
      </text>
    </comment>
    <comment ref="X68" authorId="164" shapeId="0" xr:uid="{4C765C9B-B96A-43EC-8AF3-66433AC11FDA}">
      <text>
        <t>[Comentario encadenado]
Tu versión de Excel te permite leer este comentario encadenado; sin embargo, las ediciones que se apliquen se quitarán si el archivo se abre en una versión más reciente de Excel. Más información: https://go.microsoft.com/fwlink/?linkid=870924
Comentario:
    98181 Devolucion parcial TECNOLOGIA 
98604 Devolucion parcial TECNOLOGIA 
98516 Devolucion Parcial TECNOLOGIA </t>
      </text>
    </comment>
    <comment ref="Y68" authorId="165" shapeId="0" xr:uid="{51C75FBA-B54A-43CB-B6DC-0A05D5FBEDA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98111 Devolucion Parcial PAC Filtro aguila roja 
98877 Devolucion Parcial PAC rollo poli estresh
98561 Devolucion Parcial PACambientador 
98352 Devolucion Parcial PAC marcadores 
98075 Devolucion Parcial PAC Bayetilla y jabon 
</t>
      </text>
    </comment>
    <comment ref="J69" authorId="166" shapeId="0" xr:uid="{FB331394-692B-40F7-B171-17931D7CB913}">
      <text>
        <t>[Comentario encadenado]
Tu versión de Excel te permite leer este comentario encadenado; sin embargo, las ediciones que se apliquen se quitarán si el archivo se abre en una versión más reciente de Excel. Más información: https://go.microsoft.com/fwlink/?linkid=870924
Comentario:
    98656 devolucion prod</t>
      </text>
    </comment>
    <comment ref="M69" authorId="167" shapeId="0" xr:uid="{A146711C-0E06-422A-94B0-78177908D3A9}">
      <text>
        <t>[Comentario encadenado]
Tu versión de Excel te permite leer este comentario encadenado; sin embargo, las ediciones que se apliquen se quitarán si el archivo se abre en una versión más reciente de Excel. Más información: https://go.microsoft.com/fwlink/?linkid=870924
Comentario:
    99209 se facturo portatil sin iva diana castro 
Respuesta:
    99330 No se firmo q tiempo acta para la radicacion de la factura alexa</t>
      </text>
    </comment>
    <comment ref="O69" authorId="168" shapeId="0" xr:uid="{E2AA2BD8-7825-4C6D-9690-11F8CCE7266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99155 Por cierre de facturacion carolina bosa
98515 No se relaciono la OC Mariela </t>
      </text>
    </comment>
    <comment ref="Q69" authorId="169" shapeId="0" xr:uid="{B96CD8A8-F211-437D-889D-B0C705E9F352}">
      <text>
        <t>[Comentario encadenado]
Tu versión de Excel te permite leer este comentario encadenado; sin embargo, las ediciones que se apliquen se quitarán si el archivo se abre en una versión más reciente de Excel. Más información: https://go.microsoft.com/fwlink/?linkid=870924
Comentario:
    96467 Cliente no radico la factura  astrid
97387 Cliente solicita cambio de unidades en las facturas astrid
97510 Cliente solicita cambio de unidades en las facturas astrid
99256 Cliente solicita cambio de unidades en las facturas astrid
97914 Cliente x presupuesto devuelve mercancia y cambia la oc julieth
97661 No sabemos el motivo del rechazo lington
99053 Cliente se encuentra en reestructuracion facturar en octubre  daniel g 
98015 No sabemos el motivo del rechazo  Freddy p</t>
      </text>
    </comment>
    <comment ref="X69" authorId="170" shapeId="0" xr:uid="{74F0D19E-FBA7-4679-BF55-20598548CFFE}">
      <text>
        <t>[Comentario encadenado]
Tu versión de Excel te permite leer este comentario encadenado; sin embargo, las ediciones que se apliquen se quitarán si el archivo se abre en una versión más reciente de Excel. Más información: https://go.microsoft.com/fwlink/?linkid=870924
Comentario:
    98656 Devolución esponjillas</t>
      </text>
    </comment>
    <comment ref="Y69" authorId="171" shapeId="0" xr:uid="{597D2F32-1059-43A6-A109-5A68E7544394}">
      <text>
        <t>[Comentario encadenado]
Tu versión de Excel te permite leer este comentario encadenado; sin embargo, las ediciones que se apliquen se quitarán si el archivo se abre en una versión más reciente de Excel. Más información: https://go.microsoft.com/fwlink/?linkid=870924
Comentario:
    75435  devolucion combo teclado 2024 caballero</t>
      </text>
    </comment>
    <comment ref="J70" authorId="172" shapeId="0" xr:uid="{670F3092-90E3-4B8F-B984-A9C6CFFAEA8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90095 DEVOLUCION COMBO TECLADO  ALEJA V </t>
      </text>
    </comment>
    <comment ref="M70" authorId="173" shapeId="0" xr:uid="{46BB14C2-ADED-4737-A3AA-D298DF43B8E9}">
      <text>
        <t>[Comentario encadenado]
Tu versión de Excel te permite leer este comentario encadenado; sin embargo, las ediciones que se apliquen se quitarán si el archivo se abre en una versión más reciente de Excel. Más información: https://go.microsoft.com/fwlink/?linkid=870924
Comentario:
    99381 Se tomo la remision que no era </t>
      </text>
    </comment>
    <comment ref="O70" authorId="174" shapeId="0" xr:uid="{0B982E86-EA85-42D9-B02F-25CD9B03838F}">
      <text>
        <t>[Comentario encadenado]
Tu versión de Excel te permite leer este comentario encadenado; sin embargo, las ediciones que se apliquen se quitarán si el archivo se abre en una versión más reciente de Excel. Más información: https://go.microsoft.com/fwlink/?linkid=870924
Comentario:
    99427  Error de razon social JUAN C PIÑA
99522 Se facturo antes de entregar la mercancia MARIO</t>
      </text>
    </comment>
    <comment ref="Q70" authorId="175" shapeId="0" xr:uid="{33B8D454-5620-4F54-84B5-87BAC6F5AFA0}">
      <text>
        <t>[Comentario encadenado]
Tu versión de Excel te permite leer este comentario encadenado; sin embargo, las ediciones que se apliquen se quitarán si el archivo se abre en una versión más reciente de Excel. Más información: https://go.microsoft.com/fwlink/?linkid=870924
Comentario:
    98998 Cliente solicita NC porque va a genrar el pago en pesos CABALLERO 
97830 Cliente solicita el cambio de la factura CAMILO</t>
      </text>
    </comment>
    <comment ref="U70" authorId="176" shapeId="0" xr:uid="{70170B5F-8346-45EE-9E0D-318D5DDA33A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99248 MONITOR 
97454 CARGADOR </t>
      </text>
    </comment>
    <comment ref="X70" authorId="177" shapeId="0" xr:uid="{62EE2257-605F-4935-A75D-F08CB18E6230}">
      <text>
        <t>[Comentario encadenado]
Tu versión de Excel te permite leer este comentario encadenado; sin embargo, las ediciones que se apliquen se quitarán si el archivo se abre en una versión más reciente de Excel. Más información: https://go.microsoft.com/fwlink/?linkid=870924
Comentario:
    90005 COMBO TECLADO 
90049 SOBRES</t>
      </text>
    </comment>
    <comment ref="J71" authorId="178" shapeId="0" xr:uid="{741E6AF1-8EB4-407F-B460-BC957675089B}">
      <text>
        <t>[Comentario encadenado]
Tu versión de Excel te permite leer este comentario encadenado; sin embargo, las ediciones que se apliquen se quitarán si el archivo se abre en una versión más reciente de Excel. Más información: https://go.microsoft.com/fwlink/?linkid=870924
Comentario:
    98018 devolucion pac</t>
      </text>
    </comment>
    <comment ref="M71" authorId="179" shapeId="0" xr:uid="{97B406A2-EFE3-4F12-8B89-B4A7249E4290}">
      <text>
        <t>[Comentario encadenado]
Tu versión de Excel te permite leer este comentario encadenado; sin embargo, las ediciones que se apliquen se quitarán si el archivo se abre en una versión más reciente de Excel. Más información: https://go.microsoft.com/fwlink/?linkid=870924
Comentario:
    99982 No habia el product en la presentacion solicitada y debia salir remisionado karol lo facturo Karol
99439 No se facturaron unas licencias karol
99085 Se envio al correo erroneo Alexa
98822 Se envio al correo erroneo Alexa
100214 se facturaron 900 pesos de mas  karol
100222  Error en el kit karol
100206 Se digito mal el valor de la unidad  karol</t>
      </text>
    </comment>
    <comment ref="O71" authorId="180" shapeId="0" xr:uid="{010283A7-8DD8-416A-BFB9-C63EF746485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99911 Se facturaron 2 veces el mismo producto Mario
95973 Mayor valor cobrado Peña
94518 Error en el correo de facturacion comercial olvido el cambio Juan Camilo Piña
96846 Falto radicar la factura con soportes  astrid </t>
      </text>
    </comment>
    <comment ref="Q71" authorId="181" shapeId="0" xr:uid="{7E0601CE-0CFB-406C-8E2F-4034D89FF2F9}">
      <text>
        <t>[Comentario encadenado]
Tu versión de Excel te permite leer este comentario encadenado; sin embargo, las ediciones que se apliquen se quitarán si el archivo se abre en una versión más reciente de Excel. Más información: https://go.microsoft.com/fwlink/?linkid=870924
Comentario:
    99229 Cliente no la radico 
98780 Cliente no envio OC y se facturo 
99265 Cliente pidio facturar en 2 oc </t>
      </text>
    </comment>
    <comment ref="X71" authorId="182" shapeId="0" xr:uid="{9A5E2130-0B4D-4E8F-8078-E7E4DD7DBE3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5540 toallas familia
5543 papelera y filtro agua
5553 az y marbete </t>
      </text>
    </comment>
    <comment ref="Y71" authorId="183" shapeId="0" xr:uid="{E6088668-4A92-4E6A-9D42-B8738749433E}">
      <text>
        <t>[Comentario encadenado]
Tu versión de Excel te permite leer este comentario encadenado; sin embargo, las ediciones que se apliquen se quitarán si el archivo se abre en una versión más reciente de Excel. Más información: https://go.microsoft.com/fwlink/?linkid=870924
Comentario:
    5537 parlantes</t>
      </text>
    </comment>
    <comment ref="M72" authorId="184" shapeId="0" xr:uid="{9A94F6ED-F3A4-48FF-B499-E19525D6669E}">
      <text>
        <t>[Comentario encadenado]
Tu versión de Excel te permite leer este comentario encadenado; sin embargo, las ediciones que se apliquen se quitarán si el archivo se abre en una versión más reciente de Excel. Más información: https://go.microsoft.com/fwlink/?linkid=870924
Comentario:
    99876 Doble facturacion
99877 Doble facturacion
93150 Rafael N autorizo NC 
93972 Rafael N autorizo NC 
99030 Rafael N autorizo NC </t>
      </text>
    </comment>
    <comment ref="N72" authorId="185" shapeId="0" xr:uid="{122FBEEC-FF88-4FFF-ADD7-632F2933EF08}">
      <text>
        <t>[Comentario encadenado]
Tu versión de Excel te permite leer este comentario encadenado; sin embargo, las ediciones que se apliquen se quitarán si el archivo se abre en una versión más reciente de Excel. Más información: https://go.microsoft.com/fwlink/?linkid=870924
Comentario:
    99273 Se perdio el producto no aparecen radios jessica</t>
      </text>
    </comment>
    <comment ref="O72" authorId="186" shapeId="0" xr:uid="{3603A676-3CB8-414B-AA36-4883543F2F3A}">
      <text>
        <t>[Comentario encadenado]
Tu versión de Excel te permite leer este comentario encadenado; sin embargo, las ediciones que se apliquen se quitarán si el archivo se abre en una versión más reciente de Excel. Más información: https://go.microsoft.com/fwlink/?linkid=870924
Comentario:
    100413 Faltaron Agregar unas licencias julieth
100412 Faltaron Agregar unas licencias julieth
100243 Error de razon social caro bosa
98568 Error en la OC tatiana parra
Respuesta:
     100523 no se debia facturar y lo mando facturar mariela</t>
      </text>
    </comment>
    <comment ref="P72" authorId="187" shapeId="0" xr:uid="{6EF66556-D506-4ED7-88B4-A06E835F221E}">
      <text>
        <t>[Comentario encadenado]
Tu versión de Excel te permite leer este comentario encadenado; sin embargo, las ediciones que se apliquen se quitarán si el archivo se abre en una versión más reciente de Excel. Más información: https://go.microsoft.com/fwlink/?linkid=870924
Comentario:
     100580 No subio por factura por los decimales rosa</t>
      </text>
    </comment>
    <comment ref="Q72" authorId="188" shapeId="0" xr:uid="{09353432-F864-4F73-BFCA-826200E4452A}">
      <text>
        <t>[Comentario encadenado]
Tu versión de Excel te permite leer este comentario encadenado; sin embargo, las ediciones que se apliquen se quitarán si el archivo se abre en una versión más reciente de Excel. Más información: https://go.microsoft.com/fwlink/?linkid=870924
Comentario:
    96882 No sabemos el motivo del rechazo Peña
97661 No sabemos el motivo del rechazo Lington
100052 cliente rechaza por error mariela
98866 Cliente solicita hacer facturas pos centro de costos Peña</t>
      </text>
    </comment>
    <comment ref="U72" authorId="189" shapeId="0" xr:uid="{6AA70445-AD5F-40DF-907B-B6785E8866E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100643 No era el producto cliente seequico tonerjenny g 
98293 portatiles no eran Rosmira </t>
      </text>
    </comment>
    <comment ref="Y72" authorId="190" shapeId="0" xr:uid="{3D3F3B4B-31D1-4262-B0E7-F0679FAD92B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88791 tajetas de video alejandra </t>
      </text>
    </comment>
    <comment ref="N73" authorId="191" shapeId="0" xr:uid="{45F30103-B6E3-4BF3-9176-46EFC64202DF}">
      <text>
        <t>[Comentario encadenado]
Tu versión de Excel te permite leer este comentario encadenado; sin embargo, las ediciones que se apliquen se quitarán si el archivo se abre en una versión más reciente de Excel. Más información: https://go.microsoft.com/fwlink/?linkid=870924
Comentario:
    100601 Error en los productos entregados Jenny Gonzalez</t>
      </text>
    </comment>
    <comment ref="O73" authorId="192" shapeId="0" xr:uid="{5DB9024C-F0F4-4117-B07A-2378AF31E01E}">
      <text>
        <t>[Comentario encadenado]
Tu versión de Excel te permite leer este comentario encadenado; sin embargo, las ediciones que se apliquen se quitarán si el archivo se abre en una versión más reciente de Excel. Más información: https://go.microsoft.com/fwlink/?linkid=870924
Comentario:
    98829 Mayor valor cobrado yomaira
100621 Quedo facturado mal un item daniel
100406 Error en el valor unitario astrid</t>
      </text>
    </comment>
    <comment ref="P73" authorId="193" shapeId="0" xr:uid="{37156EFC-C14B-43ED-8E70-0E4CFCFC6DCD}">
      <text>
        <t>[Comentario encadenado]
Tu versión de Excel te permite leer este comentario encadenado; sin embargo, las ediciones que se apliquen se quitarán si el archivo se abre en una versión más reciente de Excel. Más información: https://go.microsoft.com/fwlink/?linkid=870924
Comentario:
    100924 La factura venia con varios decimales y el iva no daba  rosa</t>
      </text>
    </comment>
    <comment ref="Q73" authorId="194" shapeId="0" xr:uid="{A5E69E92-3F03-4FF3-833E-796982448339}">
      <text>
        <t>[Comentario encadenado]
Tu versión de Excel te permite leer este comentario encadenado; sin embargo, las ediciones que se apliquen se quitarán si el archivo se abre en una versión más reciente de Excel. Más información: https://go.microsoft.com/fwlink/?linkid=870924
Comentario:
    98274  Cliente solicita facturara a otra razon social peña
100196 Cliente cancela la oc  wilson
99824 Se refacturo un soporte de garantia m paola
97494 Cliente indica no haber recibido la factura  Caballero
97493 Cliente indica no haber recibido la factura  Caballero
95902 Cliente no radico la factura internamente
96804 No sabemos el motivo del rechazo  rosa
101014 La licencias se deben facturar aparte 2 y 1 claudia</t>
      </text>
    </comment>
    <comment ref="R73" authorId="195" shapeId="0" xr:uid="{2E8460D1-2D0C-485A-8D8A-F9432ADCB787}">
      <text>
        <t>[Comentario encadenado]
Tu versión de Excel te permite leer este comentario encadenado; sin embargo, las ediciones que se apliquen se quitarán si el archivo se abre en una versión más reciente de Excel. Más información: https://go.microsoft.com/fwlink/?linkid=870924
Comentario:
    Compras compro mal
el producto</t>
      </text>
    </comment>
    <comment ref="O74" authorId="196" shapeId="0" xr:uid="{D0E85CC2-528E-49D2-B37E-BCA924810E7B}">
      <text>
        <t>[Comentario encadenado]
Tu versión de Excel te permite leer este comentario encadenado; sin embargo, las ediciones que se apliquen se quitarán si el archivo se abre en una versión más reciente de Excel. Más información: https://go.microsoft.com/fwlink/?linkid=870924
Comentario:
    100771 X cierre de facturacion Yenny G
100778 X cierre de facturacion Yenny G
100815 X cierre de facturacion yenny G</t>
      </text>
    </comment>
    <comment ref="Q74" authorId="197" shapeId="0" xr:uid="{E98DF2D9-CA0E-4C21-86D0-12C2949A007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89962 Cliente no radico la factura internamente MARIA E
99591 Cliente cambio la oc JASBLEIDY
97409 Cliente negó recibir facturas FERNANDO
97410 Cliente negó recibir facturas FERNANDO
97411 Cliente negó recibir facturas FERNANDO
97412 Cliente nego recibir facturas FERNANDO
98182 Cliente negó recibir facturas FERNANDO
97908 Cliente negó recibir facturas FERNANDO
98154 Cliente negó recibir facturas FERNANDO
98684 Cliente negó recibir facturas FERNANDO
</t>
      </text>
    </comment>
    <comment ref="J75" authorId="198" shapeId="0" xr:uid="{8BB092E5-BB8B-4F13-8543-7F2CA7C54C95}">
      <text>
        <t>[Comentario encadenado]
Tu versión de Excel te permite leer este comentario encadenado; sin embargo, las ediciones que se apliquen se quitarán si el archivo se abre en una versión más reciente de Excel. Más información: https://go.microsoft.com/fwlink/?linkid=870924
Comentario:
    100831 JOHANA JAIME LICENCIA NO EFECTIVA</t>
      </text>
    </comment>
    <comment ref="M75" authorId="199" shapeId="0" xr:uid="{564D8F02-0A80-4ED7-AD66-BF3DD19B4660}">
      <text>
        <t>[Comentario encadenado]
Tu versión de Excel te permite leer este comentario encadenado; sin embargo, las ediciones que se apliquen se quitarán si el archivo se abre en una versión más reciente de Excel. Más información: https://go.microsoft.com/fwlink/?linkid=870924
Comentario:
    101966 Se facturaron 2 pdidos en una sola factura  mario
100994 Codigo estaba creado con sistema operativo y venia sin maria eug</t>
      </text>
    </comment>
    <comment ref="N75" authorId="200" shapeId="0" xr:uid="{EA22B456-A6B9-4840-8333-0DA8935DA5BC}">
      <text>
        <t>[Comentario encadenado]
Tu versión de Excel te permite leer este comentario encadenado; sin embargo, las ediciones que se apliquen se quitarán si el archivo se abre en una versión más reciente de Excel. Más información: https://go.microsoft.com/fwlink/?linkid=870924
Comentario:
    101727 Se remisiono solo el producto y falto el flete oscar b
99867 Se facturo sin haber recibido el cliente la mercancia  rosmira</t>
      </text>
    </comment>
    <comment ref="O75" authorId="201" shapeId="0" xr:uid="{A5D6C985-D32C-40AF-B36B-E9B78B20F94B}">
      <text>
        <t>[Comentario encadenado]
Tu versión de Excel te permite leer este comentario encadenado; sin embargo, las ediciones que se apliquen se quitarán si el archivo se abre en una versión más reciente de Excel. Más información: https://go.microsoft.com/fwlink/?linkid=870924
Comentario:
    100770 Se facturo despues de la fecha de cierre jenny
101956 Comercial no informo que el precio cambio camilo</t>
      </text>
    </comment>
    <comment ref="Q75" authorId="202" shapeId="0" xr:uid="{CF1212A5-37FD-4471-B457-F4FB5600A1C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101200 Cliente pidio facturar y no la radico 
96150 Error en razon social
101229 Cliente no la radico internamente 
100932 Cliente pidio cambio van a manejar oc a partir de la fecha 
101272 Cliente tiene la oc por mayor valos
101190 Cliente solicita facturar por otra razon social
100400 Cliente rechaza por error
100571 Error razon social cliente se equivoco
</t>
      </text>
    </comment>
    <comment ref="M76" authorId="203" shapeId="0" xr:uid="{97A6353C-2FAB-4A17-A487-05D3CBDB9EA6}">
      <text>
        <t>[Comentario encadenado]
Tu versión de Excel te permite leer este comentario encadenado; sin embargo, las ediciones que se apliquen se quitarán si el archivo se abre en una versión más reciente de Excel. Más información: https://go.microsoft.com/fwlink/?linkid=870924
Comentario:
    96944 Error de correo no le llego al cliente la factura  TATIANA
100488 No le llego la factura al cliente  FERNANDO
Respuesta:
    101986 No se debian facturar las diademas ACEVEDO</t>
      </text>
    </comment>
    <comment ref="N76" authorId="204" shapeId="0" xr:uid="{485B77D9-DB25-4618-AA72-D2E90DE1B559}">
      <text>
        <t>[Comentario encadenado]
Tu versión de Excel te permite leer este comentario encadenado; sin embargo, las ediciones que se apliquen se quitarán si el archivo se abre en una versión más reciente de Excel. Más información: https://go.microsoft.com/fwlink/?linkid=870924
Comentario:
    101709 Se facturo y la mercancia llego tarde JULIETH
101857 No se entregaron unos productos PEÑA</t>
      </text>
    </comment>
    <comment ref="P76" authorId="205" shapeId="0" xr:uid="{E6ED9BD7-BE7A-4494-8CDB-5C20142BE28B}">
      <text>
        <t>[Comentario encadenado]
Tu versión de Excel te permite leer este comentario encadenado; sin embargo, las ediciones que se apliquen se quitarán si el archivo se abre en una versión más reciente de Excel. Más información: https://go.microsoft.com/fwlink/?linkid=870924
Comentario:
    102318 Error en el cargue de los seriales  ALEJA</t>
      </text>
    </comment>
    <comment ref="Q76" authorId="206" shapeId="0" xr:uid="{1337D8EE-C995-4AAC-A4D3-844E9F253A68}">
      <text>
        <t>[Comentario encadenado]
Tu versión de Excel te permite leer este comentario encadenado; sin embargo, las ediciones que se apliquen se quitarán si el archivo se abre en una versión más reciente de Excel. Más información: https://go.microsoft.com/fwlink/?linkid=870924
Comentario:
    98916 No sehabian radicado la remison YEISON 
100333 Faltaron agregar unas observaciones ALVAREZ
1010199 Cliente no radico la factura VELASQUEZ ALEJA 
99263 Error en el correo de facturacion  ALEJA 
100984 Cliente nego recibirla pero la rechazo  ROSA</t>
      </text>
    </comment>
    <comment ref="M77" authorId="207" shapeId="0" xr:uid="{94E3AF7B-73EB-44A0-BEE5-812F05690BD8}">
      <text>
        <t>[Comentario encadenado]
Tu versión de Excel te permite leer este comentario encadenado; sin embargo, las ediciones que se apliquen se quitarán si el archivo se abre en una versión más reciente de Excel. Más información: https://go.microsoft.com/fwlink/?linkid=870924
Comentario:
    102232 Se facturo sin previo aviso karent C</t>
      </text>
    </comment>
    <comment ref="N77" authorId="208" shapeId="0" xr:uid="{199DDEDD-8694-4B3F-951A-96D89547C1A7}">
      <text>
        <t>[Comentario encadenado]
Tu versión de Excel te permite leer este comentario encadenado; sin embargo, las ediciones que se apliquen se quitarán si el archivo se abre en una versión más reciente de Excel. Más información: https://go.microsoft.com/fwlink/?linkid=870924
Comentario:
    102259 Producto llego averiado
101996 Los cargadores entregados uno venia incompleto 
101276 La mercancia le llego tarde el cliente </t>
      </text>
    </comment>
    <comment ref="O77" authorId="209" shapeId="0" xr:uid="{9C026811-2E7B-41D0-BDD0-2533B368FD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98295 Error en el correo de facturacion 
92400 Se facturo dos veces el producto 
101450 Cliente solicita factura a credito , comercial no habia enviado documentacion 
101216 Falto agregar una remision 
101725 Error en razon social (Gabriela)
102362 Se facturo con iva y el cliente es exento (Gabriela)
96166 Error en los valores del producto (Carolina Bossa)
</t>
      </text>
    </comment>
    <comment ref="Q77" authorId="210" shapeId="0" xr:uid="{E4863FC3-E551-4941-9566-3EE0B11574E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99874 Cliente indica no recibir factura
99889 Cliente solicito dividir la fcatura en dos
101344 Cliete solicito el cambio de factura por una devolucion 
102548 Cliente devuelve producto y rechaza
97440 Cliente no la radico 
102326 Cliente no la radico 
</t>
      </text>
    </comment>
    <comment ref="R77" authorId="211" shapeId="0" xr:uid="{9CF4B1E6-305E-444D-B022-2913F687386E}">
      <text>
        <t>[Comentario encadenado]
Tu versión de Excel te permite leer este comentario encadenado; sin embargo, las ediciones que se apliquen se quitarán si el archivo se abre en una versión más reciente de Excel. Más información: https://go.microsoft.com/fwlink/?linkid=870924
Comentario:
    99480 No se le enytrego nuca la licencia al cliente </t>
      </text>
    </comment>
    <comment ref="J78" authorId="212" shapeId="0" xr:uid="{978EAE46-93DB-4B0D-8EE9-3103DA0A4CA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102867 DEVOLUCION PROD </t>
      </text>
    </comment>
    <comment ref="N78" authorId="213" shapeId="0" xr:uid="{FE94AA6E-0F95-4C06-A997-497384099245}">
      <text>
        <t>[Comentario encadenado]
Tu versión de Excel te permite leer este comentario encadenado; sin embargo, las ediciones que se apliquen se quitarán si el archivo se abre en una versión más reciente de Excel. Más información: https://go.microsoft.com/fwlink/?linkid=870924
Comentario:
    No se debia facturar 
102683
102684
102685
102686
102687 Jenny Gonzalez</t>
      </text>
    </comment>
    <comment ref="Q78" authorId="214" shapeId="0" xr:uid="{78F3C516-A953-4CB6-B052-89BFB22C1A75}">
      <text>
        <t>[Comentario encadenado]
Tu versión de Excel te permite leer este comentario encadenado; sin embargo, las ediciones que se apliquen se quitarán si el archivo se abre en una versión más reciente de Excel. Más información: https://go.microsoft.com/fwlink/?linkid=870924
Comentario:
    102840 Cliente rechzao por error 
100714 Error del cliente 
102003 Factura debia salir con credito y salio de contado
99044 Cliente devuelve no fue compatible</t>
      </text>
    </comment>
    <comment ref="J79" authorId="215" shapeId="0" xr:uid="{26472361-CE7D-4C4D-AA62-0F87753FD204}">
      <text>
        <t>[Comentario encadenado]
Tu versión de Excel te permite leer este comentario encadenado; sin embargo, las ediciones que se apliquen se quitarán si el archivo se abre en una versión más reciente de Excel. Más información: https://go.microsoft.com/fwlink/?linkid=870924
Comentario:
    103250 Devolucion prod  BASE PORTATIL Astrid</t>
      </text>
    </comment>
    <comment ref="M79" authorId="216" shapeId="0" xr:uid="{6A30A311-FAAF-4830-AFCC-660FADCED57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103352 error en la creacion del codigo alexa </t>
      </text>
    </comment>
    <comment ref="N79" authorId="217" shapeId="0" xr:uid="{85DE8006-218B-4568-84CF-13B710A0EB25}">
      <text>
        <t>[Comentario encadenado]
Tu versión de Excel te permite leer este comentario encadenado; sin embargo, las ediciones que se apliquen se quitarán si el archivo se abre en una versión más reciente de Excel. Más información: https://go.microsoft.com/fwlink/?linkid=870924
Comentario:
    103267 Logistica alisto mal
102902 X cierre de facturacion </t>
      </text>
    </comment>
    <comment ref="O79" authorId="218" shapeId="0" xr:uid="{53A92A36-5271-43F5-838D-F03C83E675F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103042 No se debía facturar Aleja
102077 No se envio la OC Rosmira
101920 No se envio la OC Rosmira
101921 No se envio la OC Rosmira
</t>
      </text>
    </comment>
    <comment ref="Q79" authorId="219" shapeId="0" xr:uid="{F6713BE0-F1AB-4EA7-8FD2-9B2EF5093C2E}">
      <text>
        <t>[Comentario encadenado]
Tu versión de Excel te permite leer este comentario encadenado; sin embargo, las ediciones que se apliquen se quitarán si el archivo se abre en una versión más reciente de Excel. Más información: https://go.microsoft.com/fwlink/?linkid=870924
Comentario:
    103447 Error en el codigo  pidio mal
102691 Cliente no la radico 
86732 No sirbio la mercancia 
102116 No sabemos el motivo
102695 Cliente no la radico 
103082 Error de razon social
101738 Falto la OC 
103600 No les llego la factura al correo correcto solo suministraron uno 
101916 Cliente no la radico 
100555 Cliente no la radico </t>
      </text>
    </comment>
    <comment ref="R79" authorId="220" shapeId="0" xr:uid="{9264D4D3-0B8B-46F9-AE47-D752DD07BC80}">
      <text>
        <t>[Comentario encadenado]
Tu versión de Excel te permite leer este comentario encadenado; sin embargo, las ediciones que se apliquen se quitarán si el archivo se abre en una versión más reciente de Excel. Más información: https://go.microsoft.com/fwlink/?linkid=870924
Comentario:
    103351 Se hace cambio x utilidad compras</t>
      </text>
    </comment>
    <comment ref="J80" authorId="221" shapeId="0" xr:uid="{AA0C9891-B2F4-405B-85A4-C42E188D1BED}">
      <text>
        <t>[Comentario encadenado]
Tu versión de Excel te permite leer este comentario encadenado; sin embargo, las ediciones que se apliquen se quitarán si el archivo se abre en una versión más reciente de Excel. Más información: https://go.microsoft.com/fwlink/?linkid=870924
Comentario:
    103981 devolucion parcial 
92984 mario facturo mal y cliente pidio divir la factura por la oc</t>
      </text>
    </comment>
    <comment ref="M80" authorId="222" shapeId="0" xr:uid="{17F7AFE7-EE66-438C-A463-B24DB8FE56BB}">
      <text>
        <t>[Comentario encadenado]
Tu versión de Excel te permite leer este comentario encadenado; sin embargo, las ediciones que se apliquen se quitarán si el archivo se abre en una versión más reciente de Excel. Más información: https://go.microsoft.com/fwlink/?linkid=870924
Comentario:
    103367 no se debia facturar</t>
      </text>
    </comment>
    <comment ref="N80" authorId="223" shapeId="0" xr:uid="{B4F10162-28A5-43F1-BE74-50AE6D5A92A0}">
      <text>
        <t>[Comentario encadenado]
Tu versión de Excel te permite leer este comentario encadenado; sin embargo, las ediciones que se apliquen se quitarán si el archivo se abre en una versión más reciente de Excel. Más información: https://go.microsoft.com/fwlink/?linkid=870924
Comentario:
    103989 no se debia facturar benji 
104027 Se debia facturar con otra mercancia benji</t>
      </text>
    </comment>
    <comment ref="O80" authorId="224" shapeId="0" xr:uid="{58D41391-A7AE-423B-877F-5AA7FDFC153C}">
      <text>
        <t>[Comentario encadenado]
Tu versión de Excel te permite leer este comentario encadenado; sin embargo, las ediciones que se apliquen se quitarán si el archivo se abre en una versión más reciente de Excel. Más información: https://go.microsoft.com/fwlink/?linkid=870924
Comentario:
    103488 Error en la TRM
92984 La OC estaba por una unidad y comercial envio 2
103742 Mayor valor cobrado
103899 Error en la oc 
104231 Se debia facturar con otra mercancia 
104281 Se debia facturar con otra mercancia </t>
      </text>
    </comment>
    <comment ref="Q80" authorId="225" shapeId="0" xr:uid="{F9682AB4-7DA4-4721-B0FF-C0BE6407AC5E}">
      <text>
        <t>[Comentario encadenado]
Tu versión de Excel te permite leer este comentario encadenado; sin embargo, las ediciones que se apliquen se quitarán si el archivo se abre en una versión más reciente de Excel. Más información: https://go.microsoft.com/fwlink/?linkid=870924
Comentario:
    101154 Cliente no la radico 
100273 por trm
103624 Cliente solicita NC c 38 centavos 
103036 Error Razon Social cliente envio mal la oc 
98836 Cliente no la rdico 
102282 Cliente no la radico 
103783 Falto agregar un mes cliente autoriza
103782 Falto agregar un mes cliente autoriza
103236 Se debia facturar en una sola factura 
102984 Se debia facturar en una sola factura 
99832 Cliente no la radico 
103801 Cliente pidio mal las memoria 
102490 Cliente no la radico </t>
      </text>
    </comment>
    <comment ref="R80" authorId="226" shapeId="0" xr:uid="{239BDF44-91D1-4DA3-9440-AC4B83F62E6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76794 descuento ramon </t>
      </text>
    </comment>
    <comment ref="J81" authorId="227" shapeId="0" xr:uid="{602EE05C-B872-4839-B0B7-79AAB26EDC25}">
      <text>
        <t>[Comentario encadenado]
Tu versión de Excel te permite leer este comentario encadenado; sin embargo, las ediciones que se apliquen se quitarán si el archivo se abre en una versión más reciente de Excel. Más información: https://go.microsoft.com/fwlink/?linkid=870924
Comentario:
    102301 devolucion parial</t>
      </text>
    </comment>
    <comment ref="O81" authorId="228" shapeId="0" xr:uid="{057E2DE9-21CD-4540-B824-85EA1DF48A11}">
      <text>
        <t>[Comentario encadenado]
Tu versión de Excel te permite leer este comentario encadenado; sin embargo, las ediciones que se apliquen se quitarán si el archivo se abre en una versión más reciente de Excel. Más información: https://go.microsoft.com/fwlink/?linkid=870924
Comentario:
    104284 Error en la OC 
99131 Falto nuemrro deentrada de mercancia </t>
      </text>
    </comment>
    <comment ref="P81" authorId="229" shapeId="0" xr:uid="{BBCE8449-D143-41E9-A5F9-4A246B8886CD}">
      <text>
        <t>[Comentario encadenado]
Tu versión de Excel te permite leer este comentario encadenado; sin embargo, las ediciones que se apliquen se quitarán si el archivo se abre en una versión más reciente de Excel. Más información: https://go.microsoft.com/fwlink/?linkid=870924
Comentario:
    102502 no le llego factura al cliente el sistema tenia su correo</t>
      </text>
    </comment>
    <comment ref="Q81" authorId="230" shapeId="0" xr:uid="{06C609A9-CB01-4BC1-82F6-144D9EC76C64}">
      <text>
        <t>[Comentario encadenado]
Tu versión de Excel te permite leer este comentario encadenado; sin embargo, las ediciones que se apliquen se quitarán si el archivo se abre en una versión más reciente de Excel. Más información: https://go.microsoft.com/fwlink/?linkid=870924
Comentario:
    103473 Cliente rechazo por error
104104 Rechazan x presupuesto
104103 Rechazan x presupuesto
104106 Rechazan x presupuesto
104105 Rechazan x presupuesto
103459 Mayor valor cobrado 
101502 Falto OC 
101357 No se sabe el motivo 
102692 No se sabe el motivo 
101419 No se sabe el motivo 
101420 No se sabe el motivo 
104341 No se sabe el motivo </t>
      </text>
    </comment>
    <comment ref="R81" authorId="231" shapeId="0" xr:uid="{5DEAF7BA-4663-489B-802E-C61F6EDB3C3F}">
      <text>
        <t>[Comentario encadenado]
Tu versión de Excel te permite leer este comentario encadenado; sin embargo, las ediciones que se apliquen se quitarán si el archivo se abre en una versión más reciente de Excel. Más información: https://go.microsoft.com/fwlink/?linkid=870924
Comentario:
    90191 descuento ronald
104563 descuento german 
Respuesta:
    100423 Se facturo 2 veces el mismo pedido oscar p</t>
      </text>
    </comment>
    <comment ref="M83" authorId="232" shapeId="0" xr:uid="{55B84075-BD11-4CED-B20B-C32D18257EC6}">
      <text>
        <t>[Comentario encadenado]
Tu versión de Excel te permite leer este comentario encadenado; sin embargo, las ediciones que se apliquen se quitarán si el archivo se abre en una versión más reciente de Excel. Más información: https://go.microsoft.com/fwlink/?linkid=870924
Comentario:
    103874 Error de correo alexa</t>
      </text>
    </comment>
    <comment ref="O83" authorId="233" shapeId="0" xr:uid="{038777B0-597B-4E19-A90A-D43313A342A0}">
      <text>
        <t>[Comentario encadenado]
Tu versión de Excel te permite leer este comentario encadenado; sin embargo, las ediciones que se apliquen se quitarán si el archivo se abre en una versión más reciente de Excel. Más información: https://go.microsoft.com/fwlink/?linkid=870924
Comentario:
    104050 X una direfencia de 1000</t>
      </text>
    </comment>
    <comment ref="J84" authorId="234" shapeId="0" xr:uid="{9881957C-41BC-430C-8CFC-7DEEB2468D8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103713 devolucion prod </t>
      </text>
    </comment>
    <comment ref="M84" authorId="235" shapeId="0" xr:uid="{C11E42E6-3F25-4934-920F-D959C6E37929}">
      <text>
        <t>[Comentario encadenado]
Tu versión de Excel te permite leer este comentario encadenado; sin embargo, las ediciones que se apliquen se quitarán si el archivo se abre en una versión más reciente de Excel. Más información: https://go.microsoft.com/fwlink/?linkid=870924
Comentario:
    104369 Kit salio sin iva alexa</t>
      </text>
    </comment>
    <comment ref="O84" authorId="236" shapeId="0" xr:uid="{65A3B19B-19DA-44A3-A99D-620C9CAEF15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101059 Doble facturacion 98886 peña
102880 Se radico factura en otro mes yeison
104421 Se radico factura en otro mes yeison </t>
      </text>
    </comment>
    <comment ref="O85" authorId="237" shapeId="0" xr:uid="{BEF9D391-3142-4868-8812-D2FE94108162}">
      <text>
        <t>[Comentario encadenado]
Tu versión de Excel te permite leer este comentario encadenado; sin embargo, las ediciones que se apliquen se quitarán si el archivo se abre en una versión más reciente de Excel. Más información: https://go.microsoft.com/fwlink/?linkid=870924
Comentario:
    104701 Error en la OC 
Respuesta:
    102413 Se radico factura en otro mes</t>
      </text>
    </comment>
    <comment ref="Q85" authorId="238" shapeId="0" xr:uid="{82B4362F-D8F8-4004-84F8-3C171F955E62}">
      <text>
        <t>[Comentario encadenado]
Tu versión de Excel te permite leer este comentario encadenado; sin embargo, las ediciones que se apliquen se quitarán si el archivo se abre en una versión más reciente de Excel. Más información: https://go.microsoft.com/fwlink/?linkid=870924
Comentario:
    104787 Cliente solicita una sola factura jasbleidy
108786 Cliente solicita una sola factura jasbleidy
104192 No tiene orden de entrada peña
104330 No se sabe el motivo del rechazo  peña
104286 Error en la trm mpaola
101528 Cliente no la radico internamente acevedo
104552 Cliente rechaza x error  urrego</t>
      </text>
    </comment>
    <comment ref="J86" authorId="239" shapeId="0" xr:uid="{AE80FE86-03C0-49EB-B3F8-1246E16B8BC1}">
      <text>
        <t>[Comentario encadenado]
Tu versión de Excel te permite leer este comentario encadenado; sin embargo, las ediciones que se apliquen se quitarán si el archivo se abre en una versión más reciente de Excel. Más información: https://go.microsoft.com/fwlink/?linkid=870924
Comentario:
    90777 devolucion total</t>
      </text>
    </comment>
    <comment ref="M86" authorId="240" shapeId="0" xr:uid="{3BF4A259-F1BC-424D-B993-784F3A633947}">
      <text>
        <t>[Comentario encadenado]
Tu versión de Excel te permite leer este comentario encadenado; sin embargo, las ediciones que se apliquen se quitarán si el archivo se abre en una versión más reciente de Excel. Más información: https://go.microsoft.com/fwlink/?linkid=870924
Comentario:
    104661 Kit salio sin iva
105110 Se facturo algo errado 4 pesos
105440 No se debia facturar </t>
      </text>
    </comment>
    <comment ref="N86" authorId="241" shapeId="0" xr:uid="{CE19F6AB-7F89-4C4E-A213-ADCC5E923616}">
      <text>
        <t>[Comentario encadenado]
Tu versión de Excel te permite leer este comentario encadenado; sin embargo, las ediciones que se apliquen se quitarán si el archivo se abre en una versión más reciente de Excel. Más información: https://go.microsoft.com/fwlink/?linkid=870924
Comentario:
    1056221 No se debia facturar 
Respuesta:
    105510 Se facturo las unidades erradas</t>
      </text>
    </comment>
    <comment ref="O86" authorId="242" shapeId="0" xr:uid="{7E7F2431-94F5-4948-B5E2-3C575CF51AAB}">
      <text>
        <t>[Comentario encadenado]
Tu versión de Excel te permite leer este comentario encadenado; sin embargo, las ediciones que se apliquen se quitarán si el archivo se abre en una versión más reciente de Excel. Más información: https://go.microsoft.com/fwlink/?linkid=870924
Comentario:
    105354 Errror razon social
105442 Seduplico la orden de pedido
105016 Se facturo con iva y son exentos
104792 Se facturo con iva y son exentos
105483 Por cierre de facturacion
105609 No se radico la fcatura con los soportes</t>
      </text>
    </comment>
    <comment ref="Q86" authorId="243" shapeId="0" xr:uid="{70C86030-0D36-478C-832F-4B1D794AF60E}">
      <text>
        <t>[Comentario encadenado]
Tu versión de Excel te permite leer este comentario encadenado; sin embargo, las ediciones que se apliquen se quitarán si el archivo se abre en una versión más reciente de Excel. Más información: https://go.microsoft.com/fwlink/?linkid=870924
Comentario:
    102301 Cliente solicita cambio por fecha se adjunta carta 
105081 Cliente solicita varias facturas se adjunta correo 
105157 Cliente rechaza por error 
102528 Cliente rechazo por error 
104616 Cliente no radico la factura 
104364 No sabemos el motivo del rechazo 
Respuesta:
    105504 Cliente envia mal la oc del producto que requiere </t>
      </text>
    </comment>
    <comment ref="J87" authorId="244" shapeId="0" xr:uid="{32658401-2D01-4FD5-AF1D-8AD90149C4A7}">
      <text>
        <t>[Comentario encadenado]
Tu versión de Excel te permite leer este comentario encadenado; sin embargo, las ediciones que se apliquen se quitarán si el archivo se abre en una versión más reciente de Excel. Más información: https://go.microsoft.com/fwlink/?linkid=870924
Comentario:
    93788 NUNCA SE ACTIVARON LICENCIAS</t>
      </text>
    </comment>
    <comment ref="M87" authorId="245" shapeId="0" xr:uid="{B6C91B23-D3D8-45FF-BE60-96D2B6F43724}">
      <text>
        <t>[Comentario encadenado]
Tu versión de Excel te permite leer este comentario encadenado; sin embargo, las ediciones que se apliquen se quitarán si el archivo se abre en una versión más reciente de Excel. Más información: https://go.microsoft.com/fwlink/?linkid=870924
Comentario:
    101714 Se envio al correo errado
101713 Se envio al correo errado
101586 Se envio al correo errado</t>
      </text>
    </comment>
    <comment ref="N87" authorId="246" shapeId="0" xr:uid="{2E215ED3-B138-44D3-9D6A-69C2B4CAE220}">
      <text>
        <t>[Comentario encadenado]
Tu versión de Excel te permite leer este comentario encadenado; sin embargo, las ediciones que se apliquen se quitarán si el archivo se abre en una versión más reciente de Excel. Más información: https://go.microsoft.com/fwlink/?linkid=870924
Comentario:
    105549 Por cierre de facturacion
105648 Se facturo sin entregar mercancia
103671 Quedo mal facturado </t>
      </text>
    </comment>
    <comment ref="O87" authorId="247" shapeId="0" xr:uid="{AD143510-4C8F-407A-B5FC-34FEBACF5A20}">
      <text>
        <t>[Comentario encadenado]
Tu versión de Excel te permite leer este comentario encadenado; sin embargo, las ediciones que se apliquen se quitarán si el archivo se abre en una versión más reciente de Excel. Más información: https://go.microsoft.com/fwlink/?linkid=870924
Comentario:
    105622 Por cierre de facturacion
100607 Se facturo doble 
105432 No se radicaron los soportes para la fcaturacion 
105338 Se facturo con iva y son exentos
99026 Falto numero de entrada de mercancia
102247 Error en el correo
104462 Se facturo con iva y son exentos</t>
      </text>
    </comment>
    <comment ref="Q87" authorId="248" shapeId="0" xr:uid="{FAE312BD-3EE5-432A-9739-0C30DFD417A2}">
      <text>
        <t>[Comentario encadenado]
Tu versión de Excel te permite leer este comentario encadenado; sin embargo, las ediciones que se apliquen se quitarán si el archivo se abre en una versión más reciente de Excel. Más información: https://go.microsoft.com/fwlink/?linkid=870924
Comentario:
    105563 Cliente cambio la razon social
101194 Cliente no radico la factura 
103106 Recuperando datos. Espere unos segundos e intente cortar o copiar de nuevo.
104224 No sabemos el motivo del rechazo
104736 No sabemos el motivo del rechazo
104730 No sabemos el motivo del rechazo</t>
      </text>
    </comment>
    <comment ref="J88" authorId="249" shapeId="0" xr:uid="{24576087-FA0A-4FA7-B17C-B47EE596752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101624 mario doble fact </t>
      </text>
    </comment>
    <comment ref="M88" authorId="250" shapeId="0" xr:uid="{1EA1E810-2766-482B-BD5F-4670AEF2AB31}">
      <text>
        <t>[Comentario encadenado]
Tu versión de Excel te permite leer este comentario encadenado; sin embargo, las ediciones que se apliquen se quitarán si el archivo se abre en una versión más reciente de Excel. Más información: https://go.microsoft.com/fwlink/?linkid=870924
Comentario:
    106491 SE CREO CODIGO CON IVA</t>
      </text>
    </comment>
    <comment ref="N88" authorId="251" shapeId="0" xr:uid="{A811F9DD-4B1B-402D-A71C-1B07A87D664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105684 NO LLEGO LA MERCANCIA </t>
      </text>
    </comment>
    <comment ref="O88" authorId="252" shapeId="0" xr:uid="{4AF92D1E-0DC3-4106-927E-37FE5A49F5DE}">
      <text>
        <t>[Comentario encadenado]
Tu versión de Excel te permite leer este comentario encadenado; sin embargo, las ediciones que se apliquen se quitarán si el archivo se abre en una versión más reciente de Excel. Más información: https://go.microsoft.com/fwlink/?linkid=870924
Comentario:
    106098 Falto agregar in par de guantes
105693 Falto agregar un producto
105356 Error en razon social
106563 Debia salir con otra remision 
105604 Fuera de la fecha de cierre</t>
      </text>
    </comment>
    <comment ref="Q88" authorId="253" shapeId="0" xr:uid="{46BCAD2D-B8EA-4551-A471-C981ADE27F3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98509 Cliente no la radico 
98377 Cliente no la radico 
102160 Cliente no la radico 
102140 Cliente no radico la factura
101191 Cliente no radico la factura
100172 Cliente no radico la factura
102183 Cliente cambio correo y no informo
</t>
      </text>
    </comment>
    <comment ref="R88" authorId="254" shapeId="0" xr:uid="{6878672C-C567-441B-A804-33C446A92BF0}">
      <text>
        <t>[Comentario encadenado]
Tu versión de Excel te permite leer este comentario encadenado; sin embargo, las ediciones que se apliquen se quitarán si el archivo se abre en una versión más reciente de Excel. Más información: https://go.microsoft.com/fwlink/?linkid=870924
Comentario:
    101624 Doble facturacion </t>
      </text>
    </comment>
    <comment ref="O89" authorId="255" shapeId="0" xr:uid="{AB700A07-198B-44DF-98B6-06C729F4B991}">
      <text>
        <t>[Comentario encadenado]
Tu versión de Excel te permite leer este comentario encadenado; sin embargo, las ediciones que se apliquen se quitarán si el archivo se abre en una versión más reciente de Excel. Más información: https://go.microsoft.com/fwlink/?linkid=870924
Comentario:
    106735 Se cobro menos el monitor</t>
      </text>
    </comment>
    <comment ref="Q89" authorId="256" shapeId="0" xr:uid="{C9511C90-3ECB-4236-86DD-31299D3A797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106637 Error en los codigos 
100383 Cliente no radico la factura
106201 Cliente envio mal los datos de entrada de mercancia
98055 Cliente no radico la factura
104177 Cliente no la radico 
Respuesta:
    106626 Error al facturar  cliente pidio una cosa y luego otra </t>
      </text>
    </comment>
    <comment ref="J90" authorId="257" shapeId="0" xr:uid="{31FDA596-F5AD-4B11-92D2-F8165A9DBB86}">
      <text>
        <t>[Comentario encadenado]
Tu versión de Excel te permite leer este comentario encadenado; sin embargo, las ediciones que se apliquen se quitarán si el archivo se abre en una versión más reciente de Excel. Más información: https://go.microsoft.com/fwlink/?linkid=870924
Comentario:
    102021</t>
      </text>
    </comment>
    <comment ref="M90" authorId="258" shapeId="0" xr:uid="{F9DADFFA-FFF4-43E0-B79C-7DD51FE777ED}">
      <text>
        <t>[Comentario encadenado]
Tu versión de Excel te permite leer este comentario encadenado; sin embargo, las ediciones que se apliquen se quitarán si el archivo se abre en una versión más reciente de Excel. Más información: https://go.microsoft.com/fwlink/?linkid=870924
Comentario:
    106050 Se facturo producto sin iva 
107390 Eerror en los valores iva no cuadra 
106578 Se facturaron proctos doble vez</t>
      </text>
    </comment>
    <comment ref="O90" authorId="259" shapeId="0" xr:uid="{A1D852E4-1D54-4188-AA12-26C17D0FA675}">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107090 Error de razon social 
105712 Mayor valor cobrado 
105714 Mayor valor cobrado 
105714 Mayor valor cobrado 
105711 Mayor valor cobrado 
106289 Mayor valor cobrado 
105703 Mayor valor cobrado 
105704 Mayor valor cobrado 
105341 Mayor valor cobrado 
105709 Mayor valor cobrado 
105706 Mayor valor cobrado 
105708 Mayor valor cobrado 
105710 Mayor valor cobrado 
105715 Mayor valor cobrado 
105701 Mayor valor cobrado 
105707 Mayor valor cobrado 
106292 Mayor valor cobrado 
105716 Mayor valor cobrado 
105695 Mayor valor cobrado 
105694 Mayor valor cobrado 
105697 Mayor valor cobrado 
105691 Mayor valor cobrado 
105696 Mayor valor cobrado 
106291 Mayor valor cobrado 
107272 Comercial envio pedido equivocado
103209 Se envio factura al correo erroneo ya que comercial no actualizo datos cliente viejo 
106367 Mayor valor cobrado 
</t>
      </text>
    </comment>
    <comment ref="Q90" authorId="260" shapeId="0" xr:uid="{9C1DF4D6-0EE8-4B7D-B292-87F4B1DB19A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107051 Cliente no la radico  
105154 Cliente solicita la factura con fecha de Febrero
105488 Clienterechaza por error
106231 Cambio de razon social 
106466 Cambio de razon social 
106255 Error de razon social 
106448 No sabemos el motivo 
102021 Cliente no la radico 
101138 Cliente no la rdico 
106556 Cambio de razon social 
105852 Cambio de razon social 
106560 Cambio de razon social 
102519 Cliente no la radico 
106915 Cliente solicita que se facture un producto aparte 
103239 Error de razon social 
102415 Error de razon social 
109631 Cambio de razon social 
107353 Por cierre de facturacion cliente envio comunicado tarde 
107315 Por cierre de facturacion cliente envio comunicado tarde 
107394 Por cierre de facturacion cliente envio comunicado tarde 
</t>
      </text>
    </comment>
    <comment ref="R90" authorId="261" shapeId="0" xr:uid="{759B6023-2A6D-48B7-8529-93D475EC48BB}">
      <text>
        <t>[Comentario encadenado]
Tu versión de Excel te permite leer este comentario encadenado; sin embargo, las ediciones que se apliquen se quitarán si el archivo se abre en una versión más reciente de Excel. Más información: https://go.microsoft.com/fwlink/?linkid=870924
Comentario:
    101607 Doble facturacion 
103451 Doble facturacion 
104144 Cliente no la radico nunca le llego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tc={7B4E5E92-0F0E-4304-B409-7FC7BEF0D434}</author>
    <author>tc={7EE3130D-3252-45AE-9FF4-823839603133}</author>
    <author>tc={17BCE63A-B88A-4AEE-A447-2BFEC65DA750}</author>
    <author>tc={E9B2C7E6-AEBE-4DA9-A38F-5774C8215C44}</author>
    <author>tc={F2BC595A-A877-4C8C-A051-FF2EEE1EE587}</author>
    <author>tc={D760D431-34AF-48F3-BC00-A16BF4AED9A4}</author>
    <author>tc={DB81807A-8F07-47D3-8DEB-027623D744F5}</author>
    <author>tc={CEC3EB6C-3EC1-4EC9-9622-ED265FD9003B}</author>
    <author>tc={05C01163-5A93-4A43-B0F4-9F09C3088FE1}</author>
    <author>tc={DAE2CDEA-E2BB-49A2-9E18-A62E97187AC2}</author>
    <author>tc={E1AD053F-7AD1-46B5-9B32-171DE28273F0}</author>
    <author>tc={EB153D90-89F8-44BA-8032-D1922FA3D641}</author>
    <author>tc={89AACF9D-B170-4747-807D-6A33907FD38A}</author>
    <author>tc={881730AB-0556-438F-A6E4-38617CAC41D8}</author>
    <author>tc={B891EF2C-D0E0-4967-8D1F-857A8C119922}</author>
    <author>tc={4FFD8EAE-689C-4EC5-A68D-F81A3C9E8787}</author>
    <author>tc={A3703A2F-8528-4E65-A934-A58229672108}</author>
    <author>tc={DD29DC01-9475-45E1-8575-3B169EAA2D8C}</author>
    <author>tc={8A74C9C8-FC6B-4F1E-8D34-A6EB06EB2EE6}</author>
    <author>tc={81017DE2-EBC3-4BD3-B46C-169BFC39FA49}</author>
    <author>tc={42A3021C-E784-46FD-B9C1-07E432B2584D}</author>
    <author>tc={B19EEBD5-B874-4E5C-8E64-3A0E5DDA037C}</author>
    <author>tc={AEECC0D7-87F4-4443-867F-C516DB4B71E7}</author>
    <author>tc={D43187EA-2F06-41A7-BDBA-58FA9BDD0642}</author>
    <author>tc={7D340A97-5512-4AE1-BEF8-8DC195C8CBAE}</author>
    <author>tc={D35374B6-2E46-4D16-85AB-6E6EFF9CC327}</author>
    <author>tc={C922252C-6DB7-474E-9C6F-53B04DF283AA}</author>
    <author>tc={2D0A1A70-0AD9-4925-9FF6-018AE657B7DF}</author>
    <author>tc={D4CDEF78-224F-449C-A91C-7917FAF7F8F6}</author>
    <author>tc={3B3C91F8-D75D-4F31-93B6-E563A9821F27}</author>
    <author>tc={99B317FA-ED2C-43D1-804C-32DFA39CB0E9}</author>
    <author>tc={7E484D11-B746-423A-ACAD-90C543FBF707}</author>
    <author>tc={1FE5411C-D3E0-4678-A491-4C057FFE715E}</author>
    <author>tc={58A8B976-2F26-4680-8A4C-05BC757AB674}</author>
    <author>tc={389767CD-EDCD-41F5-82F7-16220060D6B8}</author>
    <author>tc={12C44367-4010-4D38-B9A3-423C7EF9C911}</author>
    <author>tc={36A04B9A-E3C6-4761-91F4-223CB6F39E9B}</author>
    <author>tc={273DFEE4-7C71-425F-A6E2-12D56EA33542}</author>
    <author>tc={F76F3FDF-BE71-4730-B44D-AA2B8527F717}</author>
    <author>tc={06596C31-B906-4FD0-80A7-59A31513E36B}</author>
    <author>tc={BBF21D17-869C-4316-A2A2-957A6282E2C9}</author>
    <author>tc={2789651C-05D8-4585-A959-03E46D8A72AA}</author>
    <author>tc={916E381A-BE94-473B-BC45-E4DE2AD8E122}</author>
    <author>tc={3110E4E5-9690-48BB-A601-715C0065DC93}</author>
    <author>tc={74D299D2-F1B9-4FF1-ABA2-1B93ACFA08B8}</author>
    <author>tc={48DA67E8-1420-40A5-85E6-4FCBA6B9D6A7}</author>
    <author>tc={FB566E4C-6A47-45D7-BEF3-756FFC7DC556}</author>
    <author>tc={F79DFAA6-88DC-4E5C-BDEA-BEC915E702D6}</author>
    <author>tc={7A3D6E43-5417-42B0-8666-13D732A627F2}</author>
    <author>tc={233B0D83-4BB0-4F7A-A88B-8986AEB746A4}</author>
    <author>tc={CFCF41E7-0477-4219-8D81-2BB7F1275575}</author>
    <author>tc={0EEC9B60-1F38-43B7-8545-9559DEDD6534}</author>
    <author>tc={68D73B78-C974-4CF1-B0DC-D27AADA1DD27}</author>
    <author>tc={8C4D8FE6-3822-466A-A30F-CDECEDFE49C1}</author>
    <author>tc={CCC00BB7-C605-4FD9-9325-AAE21DB7E8E5}</author>
    <author>tc={A9B87001-6825-4EAE-A51F-B6B1C575AD01}</author>
    <author>tc={D10011FE-7361-45BD-920F-86BD076A7198}</author>
    <author>tc={CB870032-64C4-4CE4-979F-A8110AB2E5B4}</author>
    <author>tc={ABB57BA7-82E4-4CDC-A9FD-2E5892942FCB}</author>
    <author>tc={FA9E4343-6CAC-4473-BEC2-7582A773F607}</author>
    <author>tc={A650BD22-E763-4E3B-B1F9-E1BDD56FD54B}</author>
    <author>tc={7255F090-25BB-4534-A85A-E5DE59E96D55}</author>
    <author>tc={68298B62-AA43-4EAC-86E1-3E983BFBBF7F}</author>
    <author>tc={9D919332-D3F6-47D3-B595-637A103E2B12}</author>
    <author>tc={07AF6DB8-9638-470F-AA6B-95D00F7F4BAD}</author>
    <author>tc={378E063C-74A0-4DF2-AD10-1B6E5E61BFDC}</author>
    <author>tc={1B9AC89A-129B-4CA3-A56F-E8801DE35D80}</author>
    <author>tc={79533660-8D17-472C-BBFD-78AE0DAC95C8}</author>
    <author>tc={2ED34BE0-A509-4EAA-9909-B0BAAAA2B14F}</author>
    <author>tc={0FDAA1F3-22D2-40A7-BBD6-9C22E36C0F51}</author>
    <author>tc={77E79636-DEF0-46B0-A615-182C57E18170}</author>
    <author>tc={66365A06-4A40-42F4-A2F8-52C08996A1E8}</author>
    <author>tc={C05E21BC-18A0-4996-91FB-782A15FF03FF}</author>
    <author>tc={2B90FA2E-E3C0-4EF9-BBFA-EC72D8A09246}</author>
    <author>tc={D128F118-DAE9-4918-A2F0-DC703A08F4F8}</author>
    <author>tc={9E35CFA7-3279-4D8E-BEAA-D2208F6F5726}</author>
    <author>tc={92D5FA65-1121-4FD1-8D4B-38A58932C3E4}</author>
    <author>tc={46FC9A27-7D23-445E-824A-047E1849CE79}</author>
    <author>tc={429A6623-542D-4A53-AAF9-6C844F696297}</author>
    <author>tc={CCBE6608-E4DB-4BCF-8694-95B3F4540DDB}</author>
    <author>tc={FCACE414-9753-463C-99EA-BBACF4337F01}</author>
    <author>tc={8C18181F-AE37-425C-9242-9B35A20F5BA4}</author>
    <author>tc={4FFF53C6-D559-4EEE-8C83-7E224E98D840}</author>
    <author>tc={21FB0FA5-DF51-424E-8B04-EEB27DD0EE49}</author>
    <author>tc={291ED9CC-9CB7-4279-844B-4722BF1F6A4D}</author>
    <author>tc={361B54C6-181C-46BD-96C4-350D295BB722}</author>
    <author>tc={38E0E8D2-8728-4C47-A1D2-BC176817719A}</author>
    <author>tc={0788CF1C-CE72-4A8E-9730-CBE0775B374B}</author>
    <author>tc={033EBBA3-EE16-4E48-B54C-F14C4F4B787A}</author>
    <author>tc={25D1A85B-65FC-4A4E-82E6-8FFDE335E2E5}</author>
    <author>tc={A62D0541-D192-453A-8773-A4E0236A4ECA}</author>
    <author>tc={7AB4EA5E-0225-4A7E-8AF6-B11265A4A5AF}</author>
    <author>tc={5ADA5DE9-1219-4D1B-8A8A-B5D93B42B104}</author>
    <author>tc={EF31B123-D35D-4078-B2FE-C3BF917073E6}</author>
    <author>tc={A7D8221B-9A0A-4C58-BC50-691ABA17095D}</author>
    <author>tc={20213B45-0801-4CF3-8CB7-963E9C8D67A9}</author>
    <author>tc={305C8C0C-32EA-4353-BD80-BF942D528507}</author>
    <author>tc={3142D880-BDAE-43BB-99D8-F7357C08D6C3}</author>
    <author>tc={8FAFE1BA-E98D-4C70-BB92-7C866DD5A75E}</author>
    <author>tc={CE39BF5E-1F86-44BD-9F9A-46128D23CD9C}</author>
    <author>tc={C9436D8D-E2DC-42EE-A459-9A6C9FC4EC34}</author>
    <author>tc={FEAF8D5A-EDD3-4BF4-9075-74A6F6381D77}</author>
    <author>tc={73964881-4FE0-411F-B5D5-5C0D8D400FE4}</author>
    <author>tc={18F38677-68C8-43E7-8F7E-541F925125E4}</author>
    <author>tc={1403F8CF-BC29-4E16-A2CF-4033FACFC1C7}</author>
    <author>tc={9941A145-E7F9-4215-8678-D2C0B735379C}</author>
    <author>tc={0FA4CD7A-7C44-499B-BA2F-8B18FE7B597F}</author>
    <author>tc={D3F437B1-E0A6-4ECD-A64A-5299228E22E7}</author>
    <author>tc={31D9C360-79D6-449E-B12A-0458C99C880C}</author>
    <author>tc={CA2008FE-EC86-4B34-8427-E4F70B57A08A}</author>
    <author>tc={FF156A61-2C95-4C49-9492-539F167AB775}</author>
    <author>tc={535F5A03-ED6A-4692-B2FA-A93C7B8385FF}</author>
    <author>tc={7ABD1D20-F783-4B4B-9C75-E183AA6FFCD1}</author>
    <author>tc={748AAFCE-9CD6-4E67-A1F7-6C76C9E849AC}</author>
    <author>tc={FE303079-5D90-4E67-AB0C-BEDE8B9A8EC0}</author>
    <author>tc={335C8070-5E75-4A8A-BBDB-B7AC06377948}</author>
    <author>tc={92BF96FB-0203-4EED-8778-E9FA9A67BE8C}</author>
    <author>tc={F3F1008F-16BC-4461-9E3F-FFA9EF1B2B02}</author>
    <author>tc={49714520-2566-42D5-9795-49C18033A6B8}</author>
    <author>tc={A6FB75DE-2C07-4846-8536-82FB5E234C3B}</author>
    <author>tc={DE4EA125-ABD6-4220-8BBF-D1007FC9A004}</author>
    <author>tc={1C70C8F2-ABD5-411E-80E6-865D469E062A}</author>
    <author>tc={5D7C28AA-B9FB-4977-9543-EA5F82032EC5}</author>
    <author>tc={D7F37B31-A868-40BA-96CF-AFEE7C395895}</author>
    <author>tc={9820902D-A062-430B-9BCE-4901829D9E89}</author>
    <author>tc={D4635B09-000C-4D6D-8694-D867CAB891CA}</author>
    <author>tc={E21F62C1-A844-417D-95D8-A87FA0E80F7E}</author>
    <author>tc={886DD009-1D3A-4EBF-92B4-61F0E853062B}</author>
    <author>tc={9346E7A0-D49B-4DFD-8B95-C573BDDB6435}</author>
    <author>tc={31825716-4E63-477B-87F7-B67C88F819F0}</author>
    <author>tc={41587C72-2CAF-4C1C-AB55-230AB8DBB1E3}</author>
    <author>tc={A785C9D3-A063-4109-B18C-3D533F846E0A}</author>
    <author>tc={222DF393-7C4B-43A2-A15A-505D3B88B4DB}</author>
    <author>tc={978C8A15-66E7-4B24-9C1D-273EDDEB05EA}</author>
    <author>tc={27410F98-B442-4C5E-9041-4BC3CDD09E81}</author>
    <author>tc={4577BBB9-EC21-45D6-AD5F-B8FDDD2FC256}</author>
    <author>tc={133096C3-4E01-4410-8813-8DC7C91A445F}</author>
    <author>tc={36945E7D-81E5-43C5-82D6-AB6053B64EFE}</author>
    <author>tc={34D97923-AA1E-4E67-879B-610E19201BFD}</author>
    <author>tc={347995F1-04DB-4918-B611-A3F6113D34CA}</author>
    <author>tc={AB87FB7C-AEFB-477F-BF83-D41CC6D2DA91}</author>
    <author>tc={A4DC89F4-F120-405D-9BB7-2BB57F02E30F}</author>
    <author>tc={31091061-2648-4DFA-9104-F2CCF16D65DB}</author>
    <author>tc={D9F3C8E2-80D3-4F2E-BA5A-8F2B57645E87}</author>
    <author>tc={5DCE7DFD-02F4-4F1E-86D2-3562543B6533}</author>
    <author>tc={7199A4C8-C5BF-41D5-9EE7-13031CC8EDC8}</author>
    <author>tc={A5544008-CB7B-4239-84C1-E0DAF7345C34}</author>
    <author>tc={8F85A080-E83D-4ADF-8A0E-FE71A88C9BBE}</author>
    <author>tc={0F20ED27-B83B-401A-A94D-96FA8EE5283C}</author>
    <author>tc={4F16E9F9-5975-4646-9DCE-E98647E925A8}</author>
    <author>tc={EFF275E8-903F-4C72-9879-7370D4B2691C}</author>
    <author>tc={836C127D-40BA-4F39-A52C-2D964E2D666E}</author>
    <author>tc={05742A1A-AFF4-4553-8CE9-F5865460C28F}</author>
    <author>tc={936F21CA-7206-4431-8983-39D2D73106E7}</author>
    <author>tc={860BA907-F058-4C7F-9638-86C898610C0C}</author>
    <author>tc={B9ECB056-BF8B-492F-BD3D-8C9C0CB1A063}</author>
    <author>tc={A292D473-97DB-4ED9-BA22-C6B6EF1FAEFC}</author>
    <author>tc={E801CEB8-EF10-4E50-87A5-C75369CFCE64}</author>
    <author>tc={D54312D2-F67A-4964-A01D-E7476CEAAEBB}</author>
    <author>tc={F3A05878-4978-48C7-828F-0539F9610A91}</author>
    <author>tc={9CFDC881-0837-4CE9-8E54-A4F1D3E551AF}</author>
    <author>tc={F17F9EDA-9F2B-44AD-AC4C-51DEB0149821}</author>
    <author>tc={88440988-0021-44C8-A27D-E7CFB7F094A1}</author>
    <author>tc={1C75C592-9868-43AB-8A86-1B3FB6A80C12}</author>
    <author>tc={0F33E092-ED49-48BF-9DB3-DB5019DBA7DC}</author>
    <author>tc={60A2C9B3-89D2-42D5-B6DB-ADCBF224D38A}</author>
    <author>tc={D2B7D6C6-316A-4C77-AD11-50D383A4FAF7}</author>
    <author>tc={C080DEC3-6A63-4D42-B734-EA50424CBD0B}</author>
    <author>tc={38BEFEBD-B3AB-48A9-8785-289E99098938}</author>
    <author>tc={3F84DF72-2D5A-4E74-8FA2-868C471D8F26}</author>
    <author>tc={1D541CE3-D46D-49FB-90CC-EA734AF0B2C6}</author>
    <author>tc={BC3FA7DD-C448-452D-BE2B-02EF3593E10E}</author>
    <author>tc={7E54504A-F6F1-4963-8A84-EFABE4E84873}</author>
    <author>tc={38B6487D-D3BD-4BDA-97C5-A79CE04C6152}</author>
    <author>tc={939395B2-D5A3-489A-88F8-2575EDE6F4C4}</author>
    <author>tc={49A3D864-C78D-4A9F-80B0-9CC029FD7D8A}</author>
    <author>tc={03FF5789-515C-42C7-BA3A-4B2A8B2C0D93}</author>
    <author>tc={528269A6-56C8-4EB3-BB16-8A6D528F7F6F}</author>
    <author>tc={B1DF2858-7756-4735-BAEC-79254B79EB42}</author>
    <author>tc={4E786FCB-DCED-4CEC-BB55-ACA705E62EC8}</author>
    <author>tc={A5923F17-EC75-4A15-8895-4913DDF4C71D}</author>
    <author>tc={0F5A792F-CD01-4E5C-8B3E-00692ED1C8FA}</author>
    <author>tc={37F32791-424B-4553-A90E-823FF48F1B9A}</author>
    <author>tc={938AA443-B00C-4004-8367-513EBC45BF0E}</author>
    <author>tc={86BE8F6A-B2E7-4F21-B448-2614688A14B2}</author>
    <author>tc={EFA742A4-5AA2-4C99-8DB8-C09B216C11F1}</author>
    <author>tc={45BED805-5DDA-4D8A-8ADC-135FFCB66751}</author>
  </authors>
  <commentList>
    <comment ref="N16" authorId="0" shapeId="0" xr:uid="{7B4E5E92-0F0E-4304-B409-7FC7BEF0D434}">
      <text>
        <t>[Comentario encadenado]
Tu versión de Excel te permite leer este comentario encadenado; sin embargo, las ediciones que se apliquen se quitarán si el archivo se abre en una versión más reciente de Excel. Más información: https://go.microsoft.com/fwlink/?linkid=870924
Comentario:
    Salieron sin IVA las facturas al hacer la conversión de dólares a pesos</t>
      </text>
    </comment>
    <comment ref="K17" authorId="1" shapeId="0" xr:uid="{7EE3130D-3252-45AE-9FF4-82383960313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Error de digitación karen
Wil facturo dos facturas con iva y eran exentas
Wil facturo dos pedidos en una sola factura </t>
      </text>
    </comment>
    <comment ref="M17" authorId="2" shapeId="0" xr:uid="{17BCE63A-B88A-4AEE-A447-2BFEC65DA750}">
      <text>
        <t>[Comentario encadenado]
Tu versión de Excel te permite leer este comentario encadenado; sin embargo, las ediciones que se apliquen se quitarán si el archivo se abre en una versión más reciente de Excel. Más información: https://go.microsoft.com/fwlink/?linkid=870924
Comentario:
    Errores de zulma en apoyo a maria angelica caballero</t>
      </text>
    </comment>
    <comment ref="N17" authorId="3" shapeId="0" xr:uid="{E9B2C7E6-AEBE-4DA9-A38F-5774C8215C44}">
      <text>
        <t>[Comentario encadenado]
Tu versión de Excel te permite leer este comentario encadenado; sin embargo, las ediciones que se apliquen se quitarán si el archivo se abre en una versión más reciente de Excel. Más información: https://go.microsoft.com/fwlink/?linkid=870924
Comentario:
    Equipo salio sin iva y estaba en el sistema con iva</t>
      </text>
    </comment>
    <comment ref="K18" authorId="4" shapeId="0" xr:uid="{F2BC595A-A877-4C8C-A051-FF2EEE1EE58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Se facturo sin IVA </t>
      </text>
    </comment>
    <comment ref="M18" authorId="5" shapeId="0" xr:uid="{D760D431-34AF-48F3-BC00-A16BF4AED9A4}">
      <text>
        <t>[Comentario encadenado]
Tu versión de Excel te permite leer este comentario encadenado; sin embargo, las ediciones que se apliquen se quitarán si el archivo se abre en una versión más reciente de Excel. Más información: https://go.microsoft.com/fwlink/?linkid=870924
Comentario:
    Jhonatan Camilo Hernandez facturo fuera dela fecha de cierre</t>
      </text>
    </comment>
    <comment ref="O18" authorId="6" shapeId="0" xr:uid="{DB81807A-8F07-47D3-8DEB-027623D744F5}">
      <text>
        <t>[Comentario encadenado]
Tu versión de Excel te permite leer este comentario encadenado; sin embargo, las ediciones que se apliquen se quitarán si el archivo se abre en una versión más reciente de Excel. Más información: https://go.microsoft.com/fwlink/?linkid=870924
Comentario:
    Alejandra v Razon social ya no existe</t>
      </text>
    </comment>
    <comment ref="K19" authorId="7" shapeId="0" xr:uid="{CEC3EB6C-3EC1-4EC9-9622-ED265FD9003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Marsela y Karen no validaron el iva del licenciamiento 
Karol se debia facturar en kit y no se hizo
Karol debía salir Re misionado y se facturo.
Logística mercancia se demoro en llegar por coordinadora
Karen facturo 2 veces la misma factura
logistica se despacho doble ves
Karen se coloco mal la OC 
</t>
      </text>
    </comment>
    <comment ref="K22" authorId="8" shapeId="0" xr:uid="{05C01163-5A93-4A43-B0F4-9F09C3088FE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Factura se fue en dólares
No se debía facturar
factura salio a 3 dias y debia ser a 30 dias
Quedo mal digitada la oc 
</t>
      </text>
    </comment>
    <comment ref="K25" authorId="9" shapeId="0" xr:uid="{DAE2CDEA-E2BB-49A2-9E18-A62E97187AC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3 logistica demoras en la entrega
1 karen error de digitacion
2 alexa no radico en ariba 
1 cartera
5 karol y benji  no se debia facturar </t>
      </text>
    </comment>
    <comment ref="K26" authorId="10" shapeId="0" xr:uid="{E1AD053F-7AD1-46B5-9B32-171DE28273F0}">
      <text>
        <t>[Comentario encadenado]
Tu versión de Excel te permite leer este comentario encadenado; sin embargo, las ediciones que se apliquen se quitarán si el archivo se abre en una versión más reciente de Excel. Más información: https://go.microsoft.com/fwlink/?linkid=870924
Comentario:
    6 no se radicaron en ariba yanbal
1 falto el flete
3 logistica se entrego tarde la mercancia 
5 no se debia facturar benjamin atorizo  y karon.</t>
      </text>
    </comment>
    <comment ref="K29" authorId="11" shapeId="0" xr:uid="{EB153D90-89F8-44BA-8032-D1922FA3D64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Se cobro doble el flete </t>
      </text>
    </comment>
    <comment ref="K30" authorId="12" shapeId="0" xr:uid="{89AACF9D-B170-4747-807D-6A33907FD38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Doble facturación
Se facturo doble un flete
No se genero un servicio de IT  </t>
      </text>
    </comment>
    <comment ref="M30" authorId="13" shapeId="0" xr:uid="{881730AB-0556-438F-A6E4-38617CAC41D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No sedebian facturar unos equipos de lington 
Caro b facturo sin informar que debia salir en kit
Se facturó con iva </t>
      </text>
    </comment>
    <comment ref="O30" authorId="14" shapeId="0" xr:uid="{B891EF2C-D0E0-4967-8D1F-857A8C119922}">
      <text>
        <t>[Comentario encadenado]
Tu versión de Excel te permite leer este comentario encadenado; sin embargo, las ediciones que se apliquen se quitarán si el archivo se abre en una versión más reciente de Excel. Más información: https://go.microsoft.com/fwlink/?linkid=870924
Comentario:
    Cliente devuelve dos equipos
Error razón social</t>
      </text>
    </comment>
    <comment ref="K31" authorId="15" shapeId="0" xr:uid="{4FFD8EAE-689C-4EC5-A68D-F81A3C9E8787}">
      <text>
        <t>[Comentario encadenado]
Tu versión de Excel te permite leer este comentario encadenado; sin embargo, las ediciones que se apliquen se quitarán si el archivo se abre en una versión más reciente de Excel. Más información: https://go.microsoft.com/fwlink/?linkid=870924
Comentario:
    78082 No se cambio el correo facturacion
83759 El costo quedo mal wilmer
82740 Quedo mal creado el nit karol</t>
      </text>
    </comment>
    <comment ref="M31" authorId="16" shapeId="0" xr:uid="{A3703A2F-8528-4E65-A934-A58229672108}">
      <text>
        <t>[Comentario encadenado]
Tu versión de Excel te permite leer este comentario encadenado; sin embargo, las ediciones que se apliquen se quitarán si el archivo se abre en una versión más reciente de Excel. Más información: https://go.microsoft.com/fwlink/?linkid=870924
Comentario:
    75878 Error de razon social
83191/83192 Falto agregar oc x carolina bosa
81505 Error en la trm
83470 Error en la OC 
78422 Mayorvalorcobrado</t>
      </text>
    </comment>
    <comment ref="O31" authorId="17" shapeId="0" xr:uid="{DD29DC01-9475-45E1-8575-3B169EAA2D8C}">
      <text>
        <t>[Comentario encadenado]
Tu versión de Excel te permite leer este comentario encadenado; sin embargo, las ediciones que se apliquen se quitarán si el archivo se abre en una versión más reciente de Excel. Más información: https://go.microsoft.com/fwlink/?linkid=870924
Comentario:
    83240/83241/83242 Cliente cambia las políticas de radicación
72764 cliente indica no tener la factura 
83394 errores internos de bancolombia 
83637 x cierre de facturacion 
81024/81344 cliente no radico las factcuras 
devoluciones</t>
      </text>
    </comment>
    <comment ref="K32" authorId="18" shapeId="0" xr:uid="{8A74C9C8-FC6B-4F1E-8D34-A6EB06EB2EE6}">
      <text>
        <t>[Comentario encadenado]
Tu versión de Excel te permite leer este comentario encadenado; sin embargo, las ediciones que se apliquen se quitarán si el archivo se abre en una versión más reciente de Excel. Más información: https://go.microsoft.com/fwlink/?linkid=870924
Comentario:
    84147 No se debía facturar karol</t>
      </text>
    </comment>
    <comment ref="M32" authorId="19" shapeId="0" xr:uid="{81017DE2-EBC3-4BD3-B46C-169BFC39FA49}">
      <text>
        <t>[Comentario encadenado]
Tu versión de Excel te permite leer este comentario encadenado; sin embargo, las ediciones que se apliquen se quitarán si el archivo se abre en una versión más reciente de Excel. Más información: https://go.microsoft.com/fwlink/?linkid=870924
Comentario:
    79276 error en razon social
83959 Comercial no especifico como se debía facturar
84167 no se debía facturar, ya estaba facturado 
83881 no se radicaron los soportes para la radicación de la factura.</t>
      </text>
    </comment>
    <comment ref="O32" authorId="20" shapeId="0" xr:uid="{42A3021C-E784-46FD-B9C1-07E432B2584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83585 cliente rechaza x que no le habia llegado la mercancia 
83624 no se sabe el rechazo 
81776 no se sabe el rechazo </t>
      </text>
    </comment>
    <comment ref="K33" authorId="21" shapeId="0" xr:uid="{B19EEBD5-B874-4E5C-8E64-3A0E5DDA037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84147 No se debia facturar
84464 Falto agregar una remision 
84476 Se facturo en dolares
84791  Falto agregar una remision 
84574 No se debia facturar
</t>
      </text>
    </comment>
    <comment ref="M33" authorId="22" shapeId="0" xr:uid="{AEECC0D7-87F4-4443-867F-C516DB4B71E7}">
      <text>
        <t>[Comentario encadenado]
Tu versión de Excel te permite leer este comentario encadenado; sin embargo, las ediciones que se apliquen se quitarán si el archivo se abre en una versión más reciente de Excel. Más información: https://go.microsoft.com/fwlink/?linkid=870924
Comentario:
    84346/84347/84348 Error en precios
84229 error en el margen 
84527 error en razon social
68603 se factura 2 veces y se entrego 2 veces 
89945 error4 en la oc y fcatura x 700 pesos</t>
      </text>
    </comment>
    <comment ref="O33" authorId="23" shapeId="0" xr:uid="{D43187EA-2F06-41A7-BDBA-58FA9BDD064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83962 rechazo x error
81554 debe ir en 2 razones sociales
83783/83784 por cierre de facturacion no notificaron
83940 x cierre no enviaron comunicado
82051 cliente rechaza x error
</t>
      </text>
    </comment>
    <comment ref="K34" authorId="24" shapeId="0" xr:uid="{7D340A97-5512-4AE1-BEF8-8DC195C8CBAE}">
      <text>
        <t>[Comentario encadenado]
Tu versión de Excel te permite leer este comentario encadenado; sin embargo, las ediciones que se apliquen se quitarán si el archivo se abre en una versión más reciente de Excel. Más información: https://go.microsoft.com/fwlink/?linkid=870924
Comentario:
    85184 Error al tomar el clienteparafacturar
84687 Falto un numero de la OC
84065 Se facturo antes de entregar mercancia Logistica 
81181 Que por menor valor la NC 
85302 No se debia facturar
84706 Se facturo sin iva</t>
      </text>
    </comment>
    <comment ref="M34" authorId="25" shapeId="0" xr:uid="{D35374B6-2E46-4D16-85AB-6E6EFF9CC327}">
      <text>
        <t>[Comentario encadenado]
Tu versión de Excel te permite leer este comentario encadenado; sin embargo, las ediciones que se apliquen se quitarán si el archivo se abre en una versión más reciente de Excel. Más información: https://go.microsoft.com/fwlink/?linkid=870924
Comentario:
    80578 Error razon social</t>
      </text>
    </comment>
    <comment ref="O34" authorId="26" shapeId="0" xr:uid="{C922252C-6DB7-474E-9C6F-53B04DF283AA}">
      <text>
        <t>[Comentario encadenado]
Tu versión de Excel te permite leer este comentario encadenado; sin embargo, las ediciones que se apliquen se quitarán si el archivo se abre en una versión más reciente de Excel. Más información: https://go.microsoft.com/fwlink/?linkid=870924
Comentario:
    84903 Error en la oc emitidapor el cliente
84051 Cliente no recibio mercancia 
84041 Cliente x error genera OC con iva
84551 Error razon social
84814 Error razon social</t>
      </text>
    </comment>
    <comment ref="K35" authorId="27" shapeId="0" xr:uid="{2D0A1A70-0AD9-4925-9FF6-018AE657B7DF}">
      <text>
        <t>[Comentario encadenado]
Tu versión de Excel te permite leer este comentario encadenado; sin embargo, las ediciones que se apliquen se quitarán si el archivo se abre en una versión más reciente de Excel. Más información: https://go.microsoft.com/fwlink/?linkid=870924
Comentario:
    84617 se facturo sin iva
85690 No se debia facturar</t>
      </text>
    </comment>
    <comment ref="M35" authorId="28" shapeId="0" xr:uid="{D4CDEF78-224F-449C-A91C-7917FAF7F8F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84457 Arpro no se radico con los soportes Maria Paola
83995 Fuera de la fecha de cierre Astrid Jimenez
84499 Error en los valores Alejandra Velasqyez
79160 Error en razon social Yeison Urrego </t>
      </text>
    </comment>
    <comment ref="K36" authorId="29" shapeId="0" xr:uid="{3B3C91F8-D75D-4F31-93B6-E563A9821F2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84871 Juan David se hace ajuste interno </t>
      </text>
    </comment>
    <comment ref="M36" authorId="30" shapeId="0" xr:uid="{99B317FA-ED2C-43D1-804C-32DFA39CB0E9}">
      <text>
        <t>[Comentario encadenado]
Tu versión de Excel te permite leer este comentario encadenado; sin embargo, las ediciones que se apliquen se quitarán si el archivo se abre en una versión más reciente de Excel. Más información: https://go.microsoft.com/fwlink/?linkid=870924
Comentario:
    85907-85908-85909-85910-85911-85912-85913-85915-85914 no se debian facturar falto comunicacion.
85967 se facturo al código que no era
85953 se facturo fuera de la fecha de facturacion 
84769</t>
      </text>
    </comment>
    <comment ref="O36" authorId="31" shapeId="0" xr:uid="{7E484D11-B746-423A-ACAD-90C543FBF707}">
      <text>
        <t>[Comentario encadenado]
Tu versión de Excel te permite leer este comentario encadenado; sin embargo, las ediciones que se apliquen se quitarán si el archivo se abre en una versión más reciente de Excel. Más información: https://go.microsoft.com/fwlink/?linkid=870924
Comentario:
    82817 cliente no radico factura 
85982 Error en los teclados cliente solicito mal 
79157 cliente no reconoce la factura 
78927 error en razon social 
76816 devuelte se recibe por garantia 
85638-85637 por cierre defcaturacion en españa
84206 Error razon social 
86162 Error razon social
84768 cliente rechaza por error</t>
      </text>
    </comment>
    <comment ref="K37" authorId="32" shapeId="0" xr:uid="{1FE5411C-D3E0-4678-A491-4C057FFE715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86701 falto agregar una remision karol 
82826 ajuste fact empleado aut x rafael novoa </t>
      </text>
    </comment>
    <comment ref="M37" authorId="33" shapeId="0" xr:uid="{58A8B976-2F26-4680-8A4C-05BC757AB67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86468 falto agregar un disco en la factura 
85178 se radico factura sin la  OC 
85433 se facturo una renta y era un producto </t>
      </text>
    </comment>
    <comment ref="O37" authorId="34" shapeId="0" xr:uid="{389767CD-EDCD-41F5-82F7-16220060D6B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84357 error razon social  
83978 por cierre de facturacion 
85777 fuera de la fecha de cierre 
85960 se debia facturar en una sola factura 
85959 se debia facturar en una sola factura 
85743 No se tenia oc ni numero de contrato
84396 No se sabe el rechazo 
86205 Cambio de razon social
78597 No la recibieron
</t>
      </text>
    </comment>
    <comment ref="K38" authorId="35" shapeId="0" xr:uid="{12C44367-4010-4D38-B9A3-423C7EF9C91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86523 Logistica Entrego tarde la mercancia 
87214 Error de razon social
84886 Doble facturacion oscar p bajo el pedido dosveces </t>
      </text>
    </comment>
    <comment ref="M38" authorId="36" shapeId="0" xr:uid="{36A04B9A-E3C6-4761-91F4-223CB6F39E9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86559 error razon social Alejandra Velasquez
85422 No se radico OC Maria P
86689 Errorrazon social claudia 
86919 Se debia relacionar trm Alejandra velasquez 
87217 Falto relacionar la OC Angelica C
87218 Falto relacionar la OC Angelica C
8534 Error de la OC Esmeralda 
86049 Se debe facturar en 3 Fredy peña
83693 Se facturo antes de entregarmercancia karent c
86069 Mayor valor cobrado Freddy p
86528 No relacionaron la OC completa  yeison u
</t>
      </text>
    </comment>
    <comment ref="O38" authorId="37" shapeId="0" xr:uid="{273DFEE4-7C71-425F-A6E2-12D56EA33542}">
      <text>
        <t>[Comentario encadenado]
Tu versión de Excel te permite leer este comentario encadenado; sin embargo, las ediciones que se apliquen se quitarán si el archivo se abre en una versión más reciente de Excel. Más información: https://go.microsoft.com/fwlink/?linkid=870924
Comentario:
    86250 No se tenia aun el numero de contrato
85169 Cliente rechaza x error
86799 Cliente no recibe producto 
86793 Cliente no recibe producto 
84455 Cliente rechaza por error
86448 Error razon social cliente emite mal la oc 
81839 Error de correo 
85991 Cliente no radico factura 
84746 Devolucion producto 
85681 Cliente rechaza por error
85710 Cliente no legalizao la factura</t>
      </text>
    </comment>
    <comment ref="K39" authorId="38" shapeId="0" xr:uid="{F76F3FDF-BE71-4730-B44D-AA2B8527F717}">
      <text>
        <t>[Comentario encadenado]
Tu versión de Excel te permite leer este comentario encadenado; sin embargo, las ediciones que se apliquen se quitarán si el archivo se abre en una versión más reciente de Excel. Más información: https://go.microsoft.com/fwlink/?linkid=870924
Comentario:
    87636 SE FCATURARON EQUIPO CON IVA Y SON EXCENTOS TATIANA PARRA</t>
      </text>
    </comment>
    <comment ref="M39" authorId="39" shapeId="0" xr:uid="{06596C31-B906-4FD0-80A7-59A31513E36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83551 Jhonnathan Niño X cierre de facturación 
84571 Jhonatan Camilo Hern Error en el correo de facturación
85536 Esmeralda Error en la oc
85754 Esmeralda Error en la oc 
8658087783 Juan camilo piña X cierre de facturacion 
87761 Tatiana parra mando facturar con iva y no aplicaba 
86502 Esmeralda
86503 Esmeralda
87494 Esmeralda 
86738 Esmeralda 
</t>
      </text>
    </comment>
    <comment ref="O39" authorId="40" shapeId="0" xr:uid="{BBF21D17-869C-4316-A2A2-957A6282E2C9}">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84660 Dafne Cliente devuelve un producto y rechaza toda la factura 
85785 Claudia  Cliente solicita que se fcature un producto aparte 
86066 yeison falto cobrar un flete
87615 Maria Eu Cliente solicita una sola factura
87857 Maria Eu Cliente solicita una sola factura
</t>
      </text>
    </comment>
    <comment ref="K40" authorId="41" shapeId="0" xr:uid="{2789651C-05D8-4585-A959-03E46D8A72A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87318 No se debia facturar benji lo  pidio camilo </t>
      </text>
    </comment>
    <comment ref="N40" authorId="42" shapeId="0" xr:uid="{916E381A-BE94-473B-BC45-E4DE2AD8E12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88225 Dafne </t>
      </text>
    </comment>
    <comment ref="K41" authorId="43" shapeId="0" xr:uid="{3110E4E5-9690-48BB-A601-715C0065DC93}">
      <text>
        <t>[Comentario encadenado]
Tu versión de Excel te permite leer este comentario encadenado; sin embargo, las ediciones que se apliquen se quitarán si el archivo se abre en una versión más reciente de Excel. Más información: https://go.microsoft.com/fwlink/?linkid=870924
Comentario:
    88623 Falto facturar otra remision 
88663 Salió producto en o 
88664 Salió producto en o 
88421 Se facturaron las unidades erróneas</t>
      </text>
    </comment>
    <comment ref="M41" authorId="44" shapeId="0" xr:uid="{74D299D2-F1B9-4FF1-ABA2-1B93ACFA08B8}">
      <text>
        <t>[Comentario encadenado]
Tu versión de Excel te permite leer este comentario encadenado; sin embargo, las ediciones que se apliquen se quitarán si el archivo se abre en una versión más reciente de Excel. Más información: https://go.microsoft.com/fwlink/?linkid=870924
Comentario:
    82151 Daniel galindo licenciamiento 
87359 doble NC Se ajusto con la ND11</t>
      </text>
    </comment>
    <comment ref="O41" authorId="45" shapeId="0" xr:uid="{48DA67E8-1420-40A5-85E6-4FCBA6B9D6A7}">
      <text>
        <t>[Comentario encadenado]
Tu versión de Excel te permite leer este comentario encadenado; sin embargo, las ediciones que se apliquen se quitarán si el archivo se abre en una versión más reciente de Excel. Más información: https://go.microsoft.com/fwlink/?linkid=870924
Comentario:
    87908 Cliente no la radico
88136 Cliente solicita que al mes se genere una sola factura
86382 Falto facturar una unidad cliente envio mal la oc 
85334 Cliente solicita refactura en abril </t>
      </text>
    </comment>
    <comment ref="K42" authorId="46" shapeId="0" xr:uid="{FB566E4C-6A47-45D7-BEF3-756FFC7DC55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88533 fernando celular se factuiro sin iva </t>
      </text>
    </comment>
    <comment ref="M42" authorId="47" shapeId="0" xr:uid="{F79DFAA6-88DC-4E5C-BDEA-BEC915E702D6}">
      <text>
        <t>[Comentario encadenado]
Tu versión de Excel te permite leer este comentario encadenado; sin embargo, las ediciones que se apliquen se quitarán si el archivo se abre en una versión más reciente de Excel. Más información: https://go.microsoft.com/fwlink/?linkid=870924
Comentario:
    88462 Dilma Se debian facturar dos remisiones y comercial solo paso una 
88509 Maria P Se cobro doble el flete 
89207 dafne Error en la trm enviada por el comercial</t>
      </text>
    </comment>
    <comment ref="O42" authorId="48" shapeId="0" xr:uid="{7A3D6E43-5417-42B0-8666-13D732A627F2}">
      <text>
        <t>[Comentario encadenado]
Tu versión de Excel te permite leer este comentario encadenado; sin embargo, las ediciones que se apliquen se quitarán si el archivo se abre en una versión más reciente de Excel. Más información: https://go.microsoft.com/fwlink/?linkid=870924
Comentario:
    86638Cliente rechazo por error
87931Cliente rechaza no sabemos el motivo
87930Cliente rechaza no sabemos el motivo
87826Cliente no radico la factura 
87827Cliente no radico la factura 
86551Cliente no le dio ingreso a la mercancia y no radicaron la factura 
87743Cliente solicito mal las cantidades NC por devolucion licencias
87037Error del cliente al enviarnos un rut sin actualizacion 
85832Cliente niega haber recibido la factura pero la rechaza
87864Cliente solicita dividir la factura 
87867Cliente solicita dividir la factura 
88838Error de razon social
84408 No le llego la factura al cliente </t>
      </text>
    </comment>
    <comment ref="K43" authorId="49" shapeId="0" xr:uid="{233B0D83-4BB0-4F7A-A88B-8986AEB746A4}">
      <text>
        <t>[Comentario encadenado]
Tu versión de Excel te permite leer este comentario encadenado; sin embargo, las ediciones que se apliquen se quitarán si el archivo se abre en una versión más reciente de Excel. Más información: https://go.microsoft.com/fwlink/?linkid=870924
Comentario:
    88271 alejandra velasquez cafe</t>
      </text>
    </comment>
    <comment ref="M43" authorId="50" shapeId="0" xr:uid="{CFCF41E7-0477-4219-8D81-2BB7F1275575}">
      <text>
        <t>[Comentario encadenado]
Tu versión de Excel te permite leer este comentario encadenado; sin embargo, las ediciones que se apliquen se quitarán si el archivo se abre en una versión más reciente de Excel. Más información: https://go.microsoft.com/fwlink/?linkid=870924
Comentario:
    89047  Error en el kit se armo con el equipo equibocado Juan camilo piña
89178 Error en la oc mario</t>
      </text>
    </comment>
    <comment ref="O43" authorId="51" shapeId="0" xr:uid="{0EEC9B60-1F38-43B7-8545-9559DEDD6534}">
      <text>
        <t>[Comentario encadenado]
Tu versión de Excel te permite leer este comentario encadenado; sin embargo, las ediciones que se apliquen se quitarán si el archivo se abre en una versión más reciente de Excel. Más información: https://go.microsoft.com/fwlink/?linkid=870924
Comentario:
    89167 Error en la razon social 
88933 Cambio de productos 
83098 Error del iva en un producto </t>
      </text>
    </comment>
    <comment ref="K44" authorId="52" shapeId="0" xr:uid="{68D73B78-C974-4CF1-B0DC-D27AADA1DD27}">
      <text>
        <t>[Comentario encadenado]
Tu versión de Excel te permite leer este comentario encadenado; sin embargo, las ediciones que se apliquen se quitarán si el archivo se abre en una versión más reciente de Excel. Más información: https://go.microsoft.com/fwlink/?linkid=870924
Comentario:
    89016 Se le cobro iva a unas licencias axentas Santillana
89125 Error en la OC Colsubsidio</t>
      </text>
    </comment>
    <comment ref="K45" authorId="53" shapeId="0" xr:uid="{8C4D8FE6-3822-466A-A30F-CDECEDFE49C1}">
      <text>
        <t>[Comentario encadenado]
Tu versión de Excel te permite leer este comentario encadenado; sin embargo, las ediciones que se apliquen se quitarán si el archivo se abre en una versión más reciente de Excel. Más información: https://go.microsoft.com/fwlink/?linkid=870924
Comentario:
    89700 Se facturo item sin iva tablet  mariela</t>
      </text>
    </comment>
    <comment ref="M45" authorId="54" shapeId="0" xr:uid="{CCC00BB7-C605-4FD9-9325-AAE21DB7E8E5}">
      <text>
        <t>[Comentario encadenado]
Tu versión de Excel te permite leer este comentario encadenado; sin embargo, las ediciones que se apliquen se quitarán si el archivo se abre en una versión más reciente de Excel. Más información: https://go.microsoft.com/fwlink/?linkid=870924
Comentario:
    90106 Se debia facturar adaptador en kit dafne</t>
      </text>
    </comment>
    <comment ref="O45" authorId="55" shapeId="0" xr:uid="{A9B87001-6825-4EAE-A51F-B6B1C575AD01}">
      <text>
        <t>[Comentario encadenado]
Tu versión de Excel te permite leer este comentario encadenado; sin embargo, las ediciones que se apliquen se quitarán si el archivo se abre en una versión más reciente de Excel. Más información: https://go.microsoft.com/fwlink/?linkid=870924
Comentario:
    83152 Cliente indica no recibir la factura 
87085 Cliente niega recibir la factura juan camilo p
86516 Cliente niega recibir la factura  juan camilo p 
89641 Cliente niega recibir la factura yomaira  </t>
      </text>
    </comment>
    <comment ref="K46" authorId="56" shapeId="0" xr:uid="{D10011FE-7361-45BD-920F-86BD076A719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90266 Error de benjamin al montar el pedido error en el precio angie tatiena </t>
      </text>
    </comment>
    <comment ref="M46" authorId="57" shapeId="0" xr:uid="{CB870032-64C4-4CE4-979F-A8110AB2E5B4}">
      <text>
        <t>[Comentario encadenado]
Tu versión de Excel te permite leer este comentario encadenado; sin embargo, las ediciones que se apliquen se quitarán si el archivo se abre en una versión más reciente de Excel. Más información: https://go.microsoft.com/fwlink/?linkid=870924
Comentario:
    89908 Error razón social  Mario
90003 Mayor valor cobrado Maria e 
88290 Error de razón social Camilo</t>
      </text>
    </comment>
    <comment ref="N46" authorId="58" shapeId="0" xr:uid="{ABB57BA7-82E4-4CDC-A9FD-2E5892942FCB}">
      <text>
        <t>[Comentario encadenado]
Tu versión de Excel te permite leer este comentario encadenado; sin embargo, las ediciones que se apliquen se quitarán si el archivo se abre en una versión más reciente de Excel. Más información: https://go.microsoft.com/fwlink/?linkid=870924
Comentario:
    90507 valores  erroneos que tomo el sistema Maria Angelica alvarez</t>
      </text>
    </comment>
    <comment ref="O46" authorId="59" shapeId="0" xr:uid="{FA9E4343-6CAC-4473-BEC2-7582A773F607}">
      <text>
        <t>[Comentario encadenado]
Tu versión de Excel te permite leer este comentario encadenado; sin embargo, las ediciones que se apliquen se quitarán si el archivo se abre en una versión más reciente de Excel. Más información: https://go.microsoft.com/fwlink/?linkid=870924
Comentario:
    88720 Error de correo electronico
84230 Error de correo electronico
90403 Cliente no recibe mercancia</t>
      </text>
    </comment>
    <comment ref="K47" authorId="60" shapeId="0" xr:uid="{A650BD22-E763-4E3B-B1F9-E1BDD56FD54B}">
      <text>
        <t>[Comentario encadenado]
Tu versión de Excel te permite leer este comentario encadenado; sin embargo, las ediciones que se apliquen se quitarán si el archivo se abre en una versión más reciente de Excel. Más información: https://go.microsoft.com/fwlink/?linkid=870924
Comentario:
    91272 no se debía facturar colsubsidio</t>
      </text>
    </comment>
    <comment ref="M47" authorId="61" shapeId="0" xr:uid="{7255F090-25BB-4534-A85A-E5DE59E96D55}">
      <text>
        <t>[Comentario encadenado]
Tu versión de Excel te permite leer este comentario encadenado; sin embargo, las ediciones que se apliquen se quitarán si el archivo se abre en una versión más reciente de Excel. Más información: https://go.microsoft.com/fwlink/?linkid=870924
Comentario:
    89849 fuera de la fecha de cierre oscar bohorquez</t>
      </text>
    </comment>
    <comment ref="O47" authorId="62" shapeId="0" xr:uid="{68298B62-AA43-4EAC-86E1-3E983BFBBF7F}">
      <text>
        <t>[Comentario encadenado]
Tu versión de Excel te permite leer este comentario encadenado; sin embargo, las ediciones que se apliquen se quitarán si el archivo se abre en una versión más reciente de Excel. Más información: https://go.microsoft.com/fwlink/?linkid=870924
Comentario:
    86369 Cliente indica que necesita su factura tal cual la OC 
89952 Cambio de convertidores
86039 Cliente no la radico 
90628 Cliente rechaza por centavos 
87872 Cliente no la radico a tiempo 
90737 Quedo cliente de contado y debe salir a credito 
84227 Cliente no las radico a tiempo 
86619 Cliente no las radico a tiempo 
90317 Error razon Social 
89442 Cliente solicito refacturar con fecha de Mayo
87143 Cliente rechazo por error</t>
      </text>
    </comment>
    <comment ref="K48" authorId="63" shapeId="0" xr:uid="{9D919332-D3F6-47D3-B595-637A103E2B1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91404 No se debia facturar y adicional se facturo con iva 
91407 No se debia facturar 
</t>
      </text>
    </comment>
    <comment ref="M48" authorId="64" shapeId="0" xr:uid="{07AF6DB8-9638-470F-AA6B-95D00F7F4BAD}">
      <text>
        <t>[Comentario encadenado]
Tu versión de Excel te permite leer este comentario encadenado; sin embargo, las ediciones que se apliquen se quitarán si el archivo se abre en una versión más reciente de Excel. Más información: https://go.microsoft.com/fwlink/?linkid=870924
Comentario:
    91381 Era un obsequio y peña lo facturo 
91641 Fuera de la fecha de facturación diana buitrago</t>
      </text>
    </comment>
    <comment ref="O48" authorId="65" shapeId="0" xr:uid="{378E063C-74A0-4DF2-AD10-1B6E5E61BFDC}">
      <text>
        <t>[Comentario encadenado]
Tu versión de Excel te permite leer este comentario encadenado; sin embargo, las ediciones que se apliquen se quitarán si el archivo se abre en una versión más reciente de Excel. Más información: https://go.microsoft.com/fwlink/?linkid=870924
Comentario:
    90752 Cliente rechazo por error
90997 Error de razón social
87001 No se sabe el motivo 
91394 Cliente cambio fechas de cierre </t>
      </text>
    </comment>
    <comment ref="M49" authorId="66" shapeId="0" xr:uid="{1B9AC89A-129B-4CA3-A56F-E8801DE35D8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90899 ERROR EN LA OC ZULMA IA4
91180 ERROR ENEL PRECIO JASBLEIDI
91427 ERROR EN LA RAZON SOCIAL M PAOLA
91151 MAYOR VALOR COBRADO JENNY G </t>
      </text>
    </comment>
    <comment ref="O49" authorId="67" shapeId="0" xr:uid="{79533660-8D17-472C-BBFD-78AE0DAC95C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91617 Se negocio con cliente para que aceptara la primera factura Daniel g 
91321 No sabemos el motivo daniel g
88459 Cliente no radico factura camilo 
87319 Cliente no la radico a tiempo  gina 
</t>
      </text>
    </comment>
    <comment ref="K50" authorId="68" shapeId="0" xr:uid="{2ED34BE0-A509-4EAA-9909-B0BAAAA2B14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92209 SE FACTURO PRODUCTO EN 0 ALEJANDRA VELASQUEZ </t>
      </text>
    </comment>
    <comment ref="M50" authorId="69" shapeId="0" xr:uid="{0FDAA1F3-22D2-40A7-BBD6-9C22E36C0F51}">
      <text>
        <t>[Comentario encadenado]
Tu versión de Excel te permite leer este comentario encadenado; sin embargo, las ediciones que se apliquen se quitarán si el archivo se abre en una versión más reciente de Excel. Más información: https://go.microsoft.com/fwlink/?linkid=870924
Comentario:
    92229 Error razon razon social Jasbleidy</t>
      </text>
    </comment>
    <comment ref="O50" authorId="70" shapeId="0" xr:uid="{77E79636-DEF0-46B0-A615-182C57E1817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87319 Cliente no la radico a tiempo 
91568 Error en el correo de facturacion electronica 
91610 Error en el correo de facturacion electronica 
90707 Cliente no as radico 
88551 Cliente no as radico 
90333 Cliente solicita una sola factura Cliente solicita una sola factura 
89132 Cliente solicita una sola factura
88619 Cliente modifico la oc 
91774 Cliente rechazo por error
94775 Cliente rechazo por error
91776 Cliente rechazo por error
92222 Cambio de nit 
89511 Cambio de nit 
91707 Debe ir facturado sin  iva 
</t>
      </text>
    </comment>
    <comment ref="K51" authorId="71" shapeId="0" xr:uid="{66365A06-4A40-42F4-A2F8-52C08996A1E8}">
      <text>
        <t>[Comentario encadenado]
Tu versión de Excel te permite leer este comentario encadenado; sin embargo, las ediciones que se apliquen se quitarán si el archivo se abre en una versión más reciente de Excel. Más información: https://go.microsoft.com/fwlink/?linkid=870924
Comentario:
    93008 Debia salir en kit 
89184 Error de correo de facturacion </t>
      </text>
    </comment>
    <comment ref="M51" authorId="72" shapeId="0" xr:uid="{C05E21BC-18A0-4996-91FB-782A15FF03FF}">
      <text>
        <t>[Comentario encadenado]
Tu versión de Excel te permite leer este comentario encadenado; sin embargo, las ediciones que se apliquen se quitarán si el archivo se abre en una versión más reciente de Excel. Más información: https://go.microsoft.com/fwlink/?linkid=870924
Comentario:
    92342 Error razon social Dilma
92266 Error en la OC Mario</t>
      </text>
    </comment>
    <comment ref="N51" authorId="73" shapeId="0" xr:uid="{2B90FA2E-E3C0-4EF9-BBFA-EC72D8A09246}">
      <text>
        <t>[Comentario encadenado]
Tu versión de Excel te permite leer este comentario encadenado; sin embargo, las ediciones que se apliquen se quitarán si el archivo se abre en una versión más reciente de Excel. Más información: https://go.microsoft.com/fwlink/?linkid=870924
Comentario:
    92398 Error en el kit salio sin iva 
92477 Error razon Social</t>
      </text>
    </comment>
    <comment ref="O51" authorId="74" shapeId="0" xr:uid="{D128F118-DAE9-4918-A2F0-DC703A08F4F8}">
      <text>
        <t>[Comentario encadenado]
Tu versión de Excel te permite leer este comentario encadenado; sin embargo, las ediciones que se apliquen se quitarán si el archivo se abre en una versión más reciente de Excel. Más información: https://go.microsoft.com/fwlink/?linkid=870924
Comentario:
    90722 Cliente no la radico 
92430 Faltaron agregar unas Observaciones</t>
      </text>
    </comment>
    <comment ref="K52" authorId="75" shapeId="0" xr:uid="{9E35CFA7-3279-4D8E-BEAA-D2208F6F572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93355 Se facturo en dólares  karol </t>
      </text>
    </comment>
    <comment ref="L52" authorId="76" shapeId="0" xr:uid="{92D5FA65-1121-4FD1-8D4B-38A58932C3E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93314 Se facturo una licencia de mas compras y logistica </t>
      </text>
    </comment>
    <comment ref="M52" authorId="77" shapeId="0" xr:uid="{46FC9A27-7D23-445E-824A-047E1849CE79}">
      <text>
        <t>[Comentario encadenado]
Tu versión de Excel te permite leer este comentario encadenado; sin embargo, las ediciones que se apliquen se quitarán si el archivo se abre en una versión más reciente de Excel. Más información: https://go.microsoft.com/fwlink/?linkid=870924
Comentario:
    88521 No se radico en la plataforma Mariela
92014 Faltaron radicar documentos adicionales a la factura  Maria Eugenia 
91613 Fuera de la fecha de cierre Zulma  </t>
      </text>
    </comment>
    <comment ref="O52" authorId="78" shapeId="0" xr:uid="{429A6623-542D-4A53-AAF9-6C844F69629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91754 Cliente no radico factura 
92627 Error de razón social
89671 Cliente no la radico a tiempo 
92470 Error razón social emitida x el cliente (correo) 
91666 Cliente no la radico 
89466 Cliente rechaza x inconvenientes internos 
92947 Cliente envio mal la OC 
93186  Cliente no recibió 
92412 Cliente solicita facturar 2 licencias en otra razón social 
88913 Error de correo de facturación 
</t>
      </text>
    </comment>
    <comment ref="M53" authorId="79" shapeId="0" xr:uid="{CCBE6608-E4DB-4BCF-8694-95B3F4540DDB}">
      <text>
        <t>[Comentario encadenado]
Tu versión de Excel te permite leer este comentario encadenado; sin embargo, las ediciones que se apliquen se quitarán si el archivo se abre en una versión más reciente de Excel. Más información: https://go.microsoft.com/fwlink/?linkid=870924
Comentario:
    90894 Error razón social  Jasbleidy
92687 Error en las cantidades de producto  Jenny Gonzales
93480 Por cierre de facturación Jasbleidy</t>
      </text>
    </comment>
    <comment ref="O53" authorId="80" shapeId="0" xr:uid="{FCACE414-9753-463C-99EA-BBACF4337F01}">
      <text>
        <t>[Comentario encadenado]
Tu versión de Excel te permite leer este comentario encadenado; sin embargo, las ediciones que se apliquen se quitarán si el archivo se abre en una versión más reciente de Excel. Más información: https://go.microsoft.com/fwlink/?linkid=870924
Comentario:
    91988 Cliente rechaza x la observacion de la factura 
92195 No se sabe el motivo del rechazo </t>
      </text>
    </comment>
    <comment ref="L54" authorId="81" shapeId="0" xr:uid="{8C18181F-AE37-425C-9242-9B35A20F5BA4}">
      <text>
        <t>[Comentario encadenado]
Tu versión de Excel te permite leer este comentario encadenado; sin embargo, las ediciones que se apliquen se quitarán si el archivo se abre en una versión más reciente de Excel. Más información: https://go.microsoft.com/fwlink/?linkid=870924
Comentario:
    88932 Error en la descripcion del codigo natalia
93947 Faltaron agregar unas remisiones  karol</t>
      </text>
    </comment>
    <comment ref="M54" authorId="82" shapeId="0" xr:uid="{4FFF53C6-D559-4EEE-8C83-7E224E98D840}">
      <text>
        <t>[Comentario encadenado]
Tu versión de Excel te permite leer este comentario encadenado; sin embargo, las ediciones que se apliquen se quitarán si el archivo se abre en una versión más reciente de Excel. Más información: https://go.microsoft.com/fwlink/?linkid=870924
Comentario:
    93614 Por cierre de facturacion 
92024 Se facturo 2 veces
92604 Mayor valor cobrado 
93982 Error de razón social 
93381 No se radico la factura con los soportes</t>
      </text>
    </comment>
    <comment ref="O54" authorId="83" shapeId="0" xr:uid="{21FB0FA5-DF51-424E-8B04-EEB27DD0EE49}">
      <text>
        <t>[Comentario encadenado]
Tu versión de Excel te permite leer este comentario encadenado; sin embargo, las ediciones que se apliquen se quitarán si el archivo se abre en una versión más reciente de Excel. Más información: https://go.microsoft.com/fwlink/?linkid=870924
Comentario:
    93414 Por cierre de facturacion no informo cambios 
92511 Cliente rechazo por decimales
93638 Cliente solicita que se coloquen los seriales en la factura 
89032 Cliente no la radico
90829 Cliente iba a devolver producto y finalmente no lo hizo pero la rechazo 
93657 Cliente solicita refacturar diferente 
93504 Cliente no recibe mercancia
91249 Cliente indica que no les llego pero el correo estaba bien
91877 Cliente no modifico iva internamente 
91821 Cliente no modifico iva internamente 
91820 Cliente no modifico iva internamente 
91878 Cliente no modifico iva internamente 
93993 Se debe facturar con iva de acuerdo a la OC 
87554 Cliente no la radico internamente </t>
      </text>
    </comment>
    <comment ref="L55" authorId="84" shapeId="0" xr:uid="{291ED9CC-9CB7-4279-844B-4722BF1F6A4D}">
      <text>
        <t>[Comentario encadenado]
Tu versión de Excel te permite leer este comentario encadenado; sin embargo, las ediciones que se apliquen se quitarán si el archivo se abre en una versión más reciente de Excel. Más información: https://go.microsoft.com/fwlink/?linkid=870924
Comentario:
    94329 No se debia facturar y benji la paso SANTILLANA camilo
94506 Falto agregar un item la OC no coincide con la factura DAFNE</t>
      </text>
    </comment>
    <comment ref="M55" authorId="85" shapeId="0" xr:uid="{361B54C6-181C-46BD-96C4-350D295BB722}">
      <text>
        <t>[Comentario encadenado]
Tu versión de Excel te permite leer este comentario encadenado; sin embargo, las ediciones que se apliquen se quitarán si el archivo se abre en una versión más reciente de Excel. Más información: https://go.microsoft.com/fwlink/?linkid=870924
Comentario:
    93739 Error en los codigos Fernando</t>
      </text>
    </comment>
    <comment ref="N55" authorId="86" shapeId="0" xr:uid="{38E0E8D2-8728-4C47-A1D2-BC176817719A}">
      <text>
        <t>[Comentario encadenado]
Tu versión de Excel te permite leer este comentario encadenado; sin embargo, las ediciones que se apliquen se quitarán si el archivo se abre en una versión más reciente de Excel. Más información: https://go.microsoft.com/fwlink/?linkid=870924
Comentario:
    94301 Tomo el tercero que no era</t>
      </text>
    </comment>
    <comment ref="O55" authorId="87" shapeId="0" xr:uid="{0788CF1C-CE72-4A8E-9730-CBE0775B374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92216No se debia facturar aese tercero 
93739 Error en los codigos 
88068 Error de correo cliente no notifico el cambio 
93425 Cliente indica haber recibido tarde la mercancia 
91097 Cliente rechazo por error 
93767 Cliente envio una oc a una razon social y era por otra 
93987 Cliente envio una oc a una razon social y era por otra 
93155 Faltaba la Orden de servicio 
92936 Cliente envio una oc a una razon social y era por otra 
90509 Fallas en la pagina receptora de la universidad 
94611 Cliente cambia correo no notifica y la factura anterior si la radicaron siendo el mismo correo 
94613 Cliente cambia correo no notifica y la factura anterior si la radicaron siendo el mismo correo 
</t>
      </text>
    </comment>
    <comment ref="L56" authorId="88" shapeId="0" xr:uid="{033EBBA3-EE16-4E48-B54C-F14C4F4B787A}">
      <text>
        <t>[Comentario encadenado]
Tu versión de Excel te permite leer este comentario encadenado; sin embargo, las ediciones que se apliquen se quitarán si el archivo se abre en una versión más reciente de Excel. Más información: https://go.microsoft.com/fwlink/?linkid=870924
Comentario:
    94017 No se facturo el flete benji remisiono 
94755 Se debia facturar mas producto </t>
      </text>
    </comment>
    <comment ref="M56" authorId="89" shapeId="0" xr:uid="{25D1A85B-65FC-4A4E-82E6-8FFDE335E2E5}">
      <text>
        <t>[Comentario encadenado]
Tu versión de Excel te permite leer este comentario encadenado; sin embargo, las ediciones que se apliquen se quitarán si el archivo se abre en una versión más reciente de Excel. Más información: https://go.microsoft.com/fwlink/?linkid=870924
Comentario:
    95059 Error en codigo ,aria Eugenia 
93467 Fuera de la fecha de cierre Mario</t>
      </text>
    </comment>
    <comment ref="N56" authorId="90" shapeId="0" xr:uid="{A62D0541-D192-453A-8773-A4E0236A4EC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93745 tomo mal el tercero </t>
      </text>
    </comment>
    <comment ref="O56" authorId="91" shapeId="0" xr:uid="{7AB4EA5E-0225-4A7E-8AF6-B11265A4A5AF}">
      <text>
        <t>[Comentario encadenado]
Tu versión de Excel te permite leer este comentario encadenado; sin embargo, las ediciones que se apliquen se quitarán si el archivo se abre en una versión más reciente de Excel. Más información: https://go.microsoft.com/fwlink/?linkid=870924
Comentario:
    91708 No se sabe el motivo del rechazo 
94574 Error en razon social, cliente despues de facturar envio la OC a otrarazon social 
91749 No se sabe el motivo del rechazo 
91719 No enviaron las actas, la encargada de esto renuncio 
93420 Cliente cambia correo no notifica y la factura anterior si la radicaron siendo el mismo correo 
93636 Cliente rechazo por error 
89622 Cliente no la radico internamente 
93668 Cliente devuelve cables y de deja remisionado mientras llega el producto 
93773 Cliente proporciona numero de ingreso errado por lo que la rechazaron 
88815 Cliente no tenia aval de la licencia y la rechazo 
94507 Cliente rechaza por no tener nuestro documentos pero fueron enviados a tiempo
93577Cliente renovo por otro lado el mismo mes
89670 Cliente no identifico el servicio y la rechazo 
93496 No se sabe el motivo del rechazo 
93437 Cliente no la radico internamente 
90849 Error en la oc del cliente 
93320 Por una devolucion rechazo todo </t>
      </text>
    </comment>
    <comment ref="M57" authorId="92" shapeId="0" xr:uid="{5ADA5DE9-1219-4D1B-8A8A-B5D93B42B104}">
      <text>
        <t>[Comentario encadenado]
Tu versión de Excel te permite leer este comentario encadenado; sin embargo, las ediciones que se apliquen se quitarán si el archivo se abre en una versión más reciente de Excel. Más información: https://go.microsoft.com/fwlink/?linkid=870924
Comentario:
    95334 Comercial mando facturar y luego indico que debia salir con tra remision  Rosa 
95289 Error en la OC Faltaba un numero Astrid 
95416 Por fecha de cierre Alvarez </t>
      </text>
    </comment>
    <comment ref="K58" authorId="93" shapeId="0" xr:uid="{EF31B123-D35D-4078-B2FE-C3BF917073E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94584  Producto salio sin IVA Maria Eugenia </t>
      </text>
    </comment>
    <comment ref="M58" authorId="94" shapeId="0" xr:uid="{A7D8221B-9A0A-4C58-BC50-691ABA17095D}">
      <text>
        <t>[Comentario encadenado]
Tu versión de Excel te permite leer este comentario encadenado; sin embargo, las ediciones que se apliquen se quitarán si el archivo se abre en una versión más reciente de Excel. Más información: https://go.microsoft.com/fwlink/?linkid=870924
Comentario:
    94644 Error en OC x comercial CarolinaBossa
95198 Por cierre de facturacion Dilma</t>
      </text>
    </comment>
    <comment ref="O58" authorId="95" shapeId="0" xr:uid="{20213B45-0801-4CF3-8CB7-963E9C8D67A9}">
      <text>
        <t>[Comentario encadenado]
Tu versión de Excel te permite leer este comentario encadenado; sin embargo, las ediciones que se apliquen se quitarán si el archivo se abre en una versión más reciente de Excel. Más información: https://go.microsoft.com/fwlink/?linkid=870924
Comentario:
    95359 Error de razon social Cliente no notifico ni envio documentos  Julieth Galindo 
95360 Error de razon social Cliente no notifico ni envio documentos  Julieth Galindo 
95265 No se sabe el motivo del rechazo  Yeison Urrego 
90687 Error de correo cliente no notifico el cambio 
93931 No se sabe el motivo del rechazo 
91436 Rechazo por $600 de diferencia contra la OC
95182 Producto Vencido 
95429 No se sabe el motivo del rechazo
95233 No se sabe el motivo del rechazo
93134 Cliente no radico factura
93546 Error de razón social Claudia 
93541 Error de razón social Claudia 
93556 Error de razón social Claudia 
93544 Error de razón social Claudia 
93544 Error de razón social Claudia 
93543 Error de razon social
93542 Error de razon social
93540 Error de razon social
93545 Error de razon social
95021 No se sabe el motivo del rechazo
94893 No se sabe el motivo del rechazo
94548 No se sabe el motivo del rechazo</t>
      </text>
    </comment>
    <comment ref="K59" authorId="96" shapeId="0" xr:uid="{305C8C0C-32EA-4353-BD80-BF942D528507}">
      <text>
        <t>[Comentario encadenado]
Tu versión de Excel te permite leer este comentario encadenado; sin embargo, las ediciones que se apliquen se quitarán si el archivo se abre en una versión más reciente de Excel. Más información: https://go.microsoft.com/fwlink/?linkid=870924
Comentario:
    95682 Producto salio sin IVA</t>
      </text>
    </comment>
    <comment ref="M59" authorId="97" shapeId="0" xr:uid="{3142D880-BDAE-43BB-99D8-F7357C08D6C3}">
      <text>
        <t>[Comentario encadenado]
Tu versión de Excel te permite leer este comentario encadenado; sin embargo, las ediciones que se apliquen se quitarán si el archivo se abre en una versión más reciente de Excel. Más información: https://go.microsoft.com/fwlink/?linkid=870924
Comentario:
    95930 Error en razón social Yomaira
94800 Error en razón social M. Paola
92888 Error en los valores, no coinciden con la OC Freddy P</t>
      </text>
    </comment>
    <comment ref="O59" authorId="98" shapeId="0" xr:uid="{8FAFE1BA-E98D-4C70-BB92-7C866DD5A75E}">
      <text>
        <t>[Comentario encadenado]
Tu versión de Excel te permite leer este comentario encadenado; sin embargo, las ediciones que se apliquen se quitarán si el archivo se abre en una versión más reciente de Excel. Más información: https://go.microsoft.com/fwlink/?linkid=870924
Comentario:
    94937 Cliente envió mal el # de MIGO, se cruza con otra factura M.Paola
94997 Cliente envió mal el # de MIGO, se cruza con otra factura M.Paola
95637 Se tuvo que bajar el precio  Gina Paola
94608 Cliente no la radico  M.Alejandra V</t>
      </text>
    </comment>
    <comment ref="K60" authorId="99" shapeId="0" xr:uid="{CE39BF5E-1F86-44BD-9F9A-46128D23CD9C}">
      <text>
        <t>[Comentario encadenado]
Tu versión de Excel te permite leer este comentario encadenado; sin embargo, las ediciones que se apliquen se quitarán si el archivo se abre en una versión más reciente de Excel. Más información: https://go.microsoft.com/fwlink/?linkid=870924
Comentario:
    96476 Iba con otra remisión 
96609 Comercial envió correo pero no fue claro, iba con más remisiones</t>
      </text>
    </comment>
    <comment ref="M60" authorId="100" shapeId="0" xr:uid="{C9436D8D-E2DC-42EE-A459-9A6C9FC4EC34}">
      <text>
        <t>[Comentario encadenado]
Tu versión de Excel te permite leer este comentario encadenado; sin embargo, las ediciones que se apliquen se quitarán si el archivo se abre en una versión más reciente de Excel. Más información: https://go.microsoft.com/fwlink/?linkid=870924
Comentario:
    96344 Error en el Valor 
95990 Mayor Valor Cobrado
96272 No se debía facturar 
93563 Cierre de Facturación 
95785 Se debia facturar por separado 
95797 Error en la OC
90095 Mayor Valor Cobrado
96357 Se facturo 2 veces
95987 Error en el codigo </t>
      </text>
    </comment>
    <comment ref="O60" authorId="101" shapeId="0" xr:uid="{FEAF8D5A-EDD3-4BF4-9075-74A6F6381D77}">
      <text>
        <t>[Comentario encadenado]
Tu versión de Excel te permite leer este comentario encadenado; sin embargo, las ediciones que se apliquen se quitarán si el archivo se abre en una versión más reciente de Excel. Más información: https://go.microsoft.com/fwlink/?linkid=870924
Comentario:
    96186 Cliente no recibe los productos
91819 Cliente no la radico 
95928 Cliente cambió políticas de radicación de facturas
92655 No se sabe el motivo de rechazo
95256 Cliente la rechazo por error
93046 Cliente la rechazo por error
92528 Cliente la rechazo por error
96260 Error en razón social
95545 Cliente rechaza por error 
96239 Error en razón social
92177 Cliente rechaza por error oc no coincide, pero esta la conversacion donde autoriza cmprar mas caro pr la urgencia 
92884 Error en la OC del cliente
95864 Producto salio sin IVA
95381 No sabemos el motivo del rechazo 
94840 Cliente no radico factura
88792 Cliente no radico factura
96102 Cliente solicita que se haga una sola fcatura </t>
      </text>
    </comment>
    <comment ref="K61" authorId="102" shapeId="0" xr:uid="{73964881-4FE0-411F-B5D5-5C0D8D400FE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97008 No sedebia facturar cliente ya habia cerrado no llamo al comercial </t>
      </text>
    </comment>
    <comment ref="M61" authorId="103" shapeId="0" xr:uid="{18F38677-68C8-43E7-8F7E-541F925125E4}">
      <text>
        <t>[Comentario encadenado]
Tu versión de Excel te permite leer este comentario encadenado; sin embargo, las ediciones que se apliquen se quitarán si el archivo se abre en una versión más reciente de Excel. Más información: https://go.microsoft.com/fwlink/?linkid=870924
Comentario:
    96357 Se facturo 2 veces Gabriela oscar b
95987 Error en el codigo maria eug
96947 Error en las cantidades yomaira
 96985 Fuera de la fecha de facturacion dafne
92326 Error en razon social tatiana 
96702 No se relaciono la OC javier cortes
96701 No se relaciono la OC javier cortes</t>
      </text>
    </comment>
    <comment ref="O61" authorId="104" shapeId="0" xr:uid="{1403F8CF-BC29-4E16-A2CF-4033FACFC1C7}">
      <text>
        <t>[Comentario encadenado]
Tu versión de Excel te permite leer este comentario encadenado; sin embargo, las ediciones que se apliquen se quitarán si el archivo se abre en una versión más reciente de Excel. Más información: https://go.microsoft.com/fwlink/?linkid=870924
Comentario:
    94840 Cliente no radico factura
88792 Cliente no radico factura
96102 Cliente solicita que se haga una sola fcatura 
94973 Cliente indica que no la recibio 
96722 Cliente rechazo por error se adjunta correo
96064 Se anula factura por cambio de referencia a solicitud del cliente 
96556 Se salio del presupuesto del cliente 
95804 Clienta solicita una sola factura 
96633 Error en los valoreesdel monitor 
94383 Cliente No la radico 
94297 Cliente No la radico 
97005 Cliente envio mal las especificaciones del producto</t>
      </text>
    </comment>
    <comment ref="L62" authorId="105" shapeId="0" xr:uid="{9941A145-E7F9-4215-8678-D2C0B735379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97260 Mando Facturar y no se podía </t>
      </text>
    </comment>
    <comment ref="M62" authorId="106" shapeId="0" xr:uid="{0FA4CD7A-7C44-499B-BA2F-8B18FE7B597F}">
      <text>
        <t>[Comentario encadenado]
Tu versión de Excel te permite leer este comentario encadenado; sin embargo, las ediciones que se apliquen se quitarán si el archivo se abre en una versión más reciente de Excel. Más información: https://go.microsoft.com/fwlink/?linkid=870924
Comentario:
    97237 No se radico la factura con los soportes Rosmira 
97464 Comercial se eequivoco y envió producto que no era  Jenny Gonzalez
95234 No se radico la factura con los soportes Gabriela
95235 No se radico la factura con los soportes Gabriela</t>
      </text>
    </comment>
    <comment ref="O62" authorId="107" shapeId="0" xr:uid="{D3F437B1-E0A6-4ECD-A64A-5299228E22E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92889 Cliente no recibio algunos productos
96813 Cliente rechazo por error
95905 Cliente cambio su razon social de SA SAS
96054 Cliente no le coincide IVA, tienen productos que los tienen errados
95968 Error en las observaciones, faltaba información solicitada por el cliente
95300 Cliente No la radico 
95301 Cliente No la radico 
94761 No le llegó al cliente
</t>
      </text>
    </comment>
    <comment ref="K63" authorId="108" shapeId="0" xr:uid="{31D9C360-79D6-449E-B12A-0458C99C880C}">
      <text>
        <t>[Comentario encadenado]
Tu versión de Excel te permite leer este comentario encadenado; sin embargo, las ediciones que se apliquen se quitarán si el archivo se abre en una versión más reciente de Excel. Más información: https://go.microsoft.com/fwlink/?linkid=870924
Comentario:
    97747 no se coloco numero de ingreso karol</t>
      </text>
    </comment>
    <comment ref="L63" authorId="109" shapeId="0" xr:uid="{CA2008FE-EC86-4B34-8427-E4F70B57A08A}">
      <text>
        <t>[Comentario encadenado]
Tu versión de Excel te permite leer este comentario encadenado; sin embargo, las ediciones que se apliquen se quitarán si el archivo se abre en una versión más reciente de Excel. Más información: https://go.microsoft.com/fwlink/?linkid=870924
Comentario:
    97717 no se debia facturar fernando
97592 error en las cantidades  mariela</t>
      </text>
    </comment>
    <comment ref="M63" authorId="110" shapeId="0" xr:uid="{FF156A61-2C95-4C49-9492-539F167AB775}">
      <text>
        <t>[Comentario encadenado]
Tu versión de Excel te permite leer este comentario encadenado; sin embargo, las ediciones que se apliquen se quitarán si el archivo se abre en una versión más reciente de Excel. Más información: https://go.microsoft.com/fwlink/?linkid=870924
Comentario:
    97751 Error en la razón social Alejandra Velásquez
97592 Falto agregar una remisión Mariela
97579 Debe ir facturado a otra razón social Mari Eugenia 
94564 Error en la razón social Álvaro
96069 No se relaciono la OC  Álvaro</t>
      </text>
    </comment>
    <comment ref="O63" authorId="111" shapeId="0" xr:uid="{535F5A03-ED6A-4692-B2FA-A93C7B8385FF}">
      <text>
        <t>[Comentario encadenado]
Tu versión de Excel te permite leer este comentario encadenado; sin embargo, las ediciones que se apliquen se quitarán si el archivo se abre en una versión más reciente de Excel. Más información: https://go.microsoft.com/fwlink/?linkid=870924
Comentario:
    93646 Cliente no la radico 
93949 No se pudo procesar la extension de garantia 
95079 Ciertos productos debian ir a otra razon social 
95084 Ciertos productos debian ir a otra razon social 
95083 Ciertos productos debian ir a otra razon social 
95073 Ciertos productos debian ir a otra razon social 
95081 Ciertos productos debian ir a otra razon social 
96922 Cliente no radico la fcatura </t>
      </text>
    </comment>
    <comment ref="K64" authorId="112" shapeId="0" xr:uid="{7ABD1D20-F783-4B4B-9C75-E183AA6FFCD1}">
      <text>
        <t>[Comentario encadenado]
Tu versión de Excel te permite leer este comentario encadenado; sin embargo, las ediciones que se apliquen se quitarán si el archivo se abre en una versión más reciente de Excel. Más información: https://go.microsoft.com/fwlink/?linkid=870924
Comentario:
    98628 Se facturo con sin iva unos portátiles Benji cambio pedido y karol no valido</t>
      </text>
    </comment>
    <comment ref="L64" authorId="113" shapeId="0" xr:uid="{748AAFCE-9CD6-4E67-A1F7-6C76C9E849A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97622 Mayor valor cobrado en unas memorias 
98455 Logística mando facturar y comercial le indico que no se podia facturar aun 
98346 Falto agregar una remision benji mando facturar y era un faltante 
</t>
      </text>
    </comment>
    <comment ref="M64" authorId="114" shapeId="0" xr:uid="{FE303079-5D90-4E67-AB0C-BEDE8B9A8EC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96540 Mayor valor cobrado camilo
97036 Comercial facturo doble vez el iva yenni
94257 Error en la OC  oscar beltran zulma 
</t>
      </text>
    </comment>
    <comment ref="O64" authorId="115" shapeId="0" xr:uid="{335C8070-5E75-4A8A-BBDB-B7AC06377948}">
      <text>
        <t>[Comentario encadenado]
Tu versión de Excel te permite leer este comentario encadenado; sin embargo, las ediciones que se apliquen se quitarán si el archivo se abre en una versión más reciente de Excel. Más información: https://go.microsoft.com/fwlink/?linkid=870924
Comentario:
    89614 Cliente no radico factura y pidio que se refacturara
96414 Cliente no radico la factura 
96352 Cliente no radico la factura 
98173 Cliente solicito facturar un valor mas alto cambio la OC 
98266 Cliente rechaza la factura x 1 peso se adjunta correo 
96774 Cliente indica que no le llego </t>
      </text>
    </comment>
    <comment ref="K65" authorId="116" shapeId="0" xr:uid="{92BF96FB-0203-4EED-8778-E9FA9A67BE8C}">
      <text>
        <t>[Comentario encadenado]
Tu versión de Excel te permite leer este comentario encadenado; sin embargo, las ediciones que se apliquen se quitarán si el archivo se abre en una versión más reciente de Excel. Más información: https://go.microsoft.com/fwlink/?linkid=870924
Comentario:
    98669 No se había ingresado la factura de proveedor Mario 
99117 Kit creado sin IVA Melisa</t>
      </text>
    </comment>
    <comment ref="M65" authorId="117" shapeId="0" xr:uid="{F3F1008F-16BC-4461-9E3F-FFA9EF1B2B02}">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89961 No se radicaron los documentos junto con la factura  maria eugenia 
98842 No debia salir en KIT Juan Camilo Piña </t>
      </text>
    </comment>
    <comment ref="O65" authorId="118" shapeId="0" xr:uid="{49714520-2566-42D5-9795-49C18033A6B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93510 Cliente hasta este mes ingreso la mercancia, niega haber recibido la mercancia  Acevedo 
98351 Se facturo sin OC, cliente la suministro luego de haber facturado
96850 Cliente no indicó que iba a cambiar la OC
92604 Cliente solicita cambio de factura por un error interno en la OC 
91871 No se Validaron los documentos internamente para el cobro
</t>
      </text>
    </comment>
    <comment ref="K66" authorId="119" shapeId="0" xr:uid="{A6FB75DE-2C07-4846-8536-82FB5E234C3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99209 se facturo portatil sin iva diana castro </t>
      </text>
    </comment>
    <comment ref="M66" authorId="120" shapeId="0" xr:uid="{DE4EA125-ABD6-4220-8BBF-D1007FC9A004}">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99155 Por cierre de facturacion carolina bosa
98515 No se relaciono la OC Mariela </t>
      </text>
    </comment>
    <comment ref="O66" authorId="121" shapeId="0" xr:uid="{1C70C8F2-ABD5-411E-80E6-865D469E062A}">
      <text>
        <t>[Comentario encadenado]
Tu versión de Excel te permite leer este comentario encadenado; sin embargo, las ediciones que se apliquen se quitarán si el archivo se abre en una versión más reciente de Excel. Más información: https://go.microsoft.com/fwlink/?linkid=870924
Comentario:
    96467 Cliente no radico la factura  astrid
97387 Cliente solicita cambio de unidades en las facturas astrid
97510 Cliente solicita cambio de unidades en las facturas astrid
99256 Cliente solicita cambio de unidades en las facturas astrid
97914 Cliente x presupuesto devuelve mercancia y cambia la oc julieth
97661 No sabemos el motivo del rechazo lington
99053 Cliente se encuentra en reestructuracion facturar en octubre  daniel g 
98015 No sabemos el motivo del rechazo  Freddy p</t>
      </text>
    </comment>
    <comment ref="K67" authorId="122" shapeId="0" xr:uid="{5D7C28AA-B9FB-4977-9543-EA5F82032EC5}">
      <text>
        <t>[Comentario encadenado]
Tu versión de Excel te permite leer este comentario encadenado; sin embargo, las ediciones que se apliquen se quitarán si el archivo se abre en una versión más reciente de Excel. Más información: https://go.microsoft.com/fwlink/?linkid=870924
Comentario:
    99381 Se tomo la remision que no era </t>
      </text>
    </comment>
    <comment ref="M67" authorId="123" shapeId="0" xr:uid="{D7F37B31-A868-40BA-96CF-AFEE7C395895}">
      <text>
        <t>[Comentario encadenado]
Tu versión de Excel te permite leer este comentario encadenado; sin embargo, las ediciones que se apliquen se quitarán si el archivo se abre en una versión más reciente de Excel. Más información: https://go.microsoft.com/fwlink/?linkid=870924
Comentario:
    99427  Error de razon social JUAN C PIÑA
99522 Se facturo antes de entregar la mercancia MARIO</t>
      </text>
    </comment>
    <comment ref="O67" authorId="124" shapeId="0" xr:uid="{9820902D-A062-430B-9BCE-4901829D9E89}">
      <text>
        <t>[Comentario encadenado]
Tu versión de Excel te permite leer este comentario encadenado; sin embargo, las ediciones que se apliquen se quitarán si el archivo se abre en una versión más reciente de Excel. Más información: https://go.microsoft.com/fwlink/?linkid=870924
Comentario:
    98998 Cliente solicita NC porque va a genrar el pago en pesos CABALLERO 
97830 Cliente solicita el cambio de la factura CAMILO</t>
      </text>
    </comment>
    <comment ref="K68" authorId="125" shapeId="0" xr:uid="{D4635B09-000C-4D6D-8694-D867CAB891CA}">
      <text>
        <t>[Comentario encadenado]
Tu versión de Excel te permite leer este comentario encadenado; sin embargo, las ediciones que se apliquen se quitarán si el archivo se abre en una versión más reciente de Excel. Más información: https://go.microsoft.com/fwlink/?linkid=870924
Comentario:
    99982 No habia el product en la presentacion solicitada y debia salir remisionado karol lo facturo Karol
99439 No se facturaron unas licencias karol
99085 Se envio al correo erroneo Alexa
98822 Se envio al correo erroneo Alexa
100214 se facturaron 900 pesos de mas  karol
100222  Error en el kit karol
100206 Se digito mal el valor de la unidad  karol</t>
      </text>
    </comment>
    <comment ref="M68" authorId="126" shapeId="0" xr:uid="{E21F62C1-A844-417D-95D8-A87FA0E80F7E}">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99911 Se facturaron 2 veces el mismo producto Mario
95973 Mayor valor cobrado Peña
94518 Error en el correo de facturacion comercial olvido el cambio Juan Camilo Piña
96846 Falto radicar la factura con soportes  astrid </t>
      </text>
    </comment>
    <comment ref="O68" authorId="127" shapeId="0" xr:uid="{886DD009-1D3A-4EBF-92B4-61F0E853062B}">
      <text>
        <t>[Comentario encadenado]
Tu versión de Excel te permite leer este comentario encadenado; sin embargo, las ediciones que se apliquen se quitarán si el archivo se abre en una versión más reciente de Excel. Más información: https://go.microsoft.com/fwlink/?linkid=870924
Comentario:
    99229 Cliente no la radico 
98780 Cliente no envio OC y se facturo 
99265 Cliente pidio facturar en 2 oc </t>
      </text>
    </comment>
    <comment ref="K69" authorId="128" shapeId="0" xr:uid="{9346E7A0-D49B-4DFD-8B95-C573BDDB6435}">
      <text>
        <t>[Comentario encadenado]
Tu versión de Excel te permite leer este comentario encadenado; sin embargo, las ediciones que se apliquen se quitarán si el archivo se abre en una versión más reciente de Excel. Más información: https://go.microsoft.com/fwlink/?linkid=870924
Comentario:
    99876 Doble facturacion
99877 Doble facturacion
93150 Rafael N autorizo NC 
93972 Rafael N autorizo NC 
99030 Rafael N autorizo NC </t>
      </text>
    </comment>
    <comment ref="L69" authorId="129" shapeId="0" xr:uid="{31825716-4E63-477B-87F7-B67C88F819F0}">
      <text>
        <t>[Comentario encadenado]
Tu versión de Excel te permite leer este comentario encadenado; sin embargo, las ediciones que se apliquen se quitarán si el archivo se abre en una versión más reciente de Excel. Más información: https://go.microsoft.com/fwlink/?linkid=870924
Comentario:
    99273 Se perdio el producto no aparecen radios jessica</t>
      </text>
    </comment>
    <comment ref="M69" authorId="130" shapeId="0" xr:uid="{41587C72-2CAF-4C1C-AB55-230AB8DBB1E3}">
      <text>
        <t>[Comentario encadenado]
Tu versión de Excel te permite leer este comentario encadenado; sin embargo, las ediciones que se apliquen se quitarán si el archivo se abre en una versión más reciente de Excel. Más información: https://go.microsoft.com/fwlink/?linkid=870924
Comentario:
    100413 Faltaron Agregar unas licencias julieth
100412 Faltaron Agregar unas licencias julieth
100243 Error de razon social caro bosa
98568 Error en la OC tatiana parra</t>
      </text>
    </comment>
    <comment ref="N69" authorId="131" shapeId="0" xr:uid="{A785C9D3-A063-4109-B18C-3D533F846E0A}">
      <text>
        <t>[Comentario encadenado]
Tu versión de Excel te permite leer este comentario encadenado; sin embargo, las ediciones que se apliquen se quitarán si el archivo se abre en una versión más reciente de Excel. Más información: https://go.microsoft.com/fwlink/?linkid=870924
Comentario:
     100580 No subio por factura por los decimales rosa</t>
      </text>
    </comment>
    <comment ref="O69" authorId="132" shapeId="0" xr:uid="{222DF393-7C4B-43A2-A15A-505D3B88B4DB}">
      <text>
        <t>[Comentario encadenado]
Tu versión de Excel te permite leer este comentario encadenado; sin embargo, las ediciones que se apliquen se quitarán si el archivo se abre en una versión más reciente de Excel. Más información: https://go.microsoft.com/fwlink/?linkid=870924
Comentario:
    96882 No sabemos el motivo del rechazo Peña
97661 No sabemos el motivo del rechazo Lington
100052 cliente rechaza por error mariela
98866 Cliente solicita hacer facturas pos centro de costos Peña</t>
      </text>
    </comment>
    <comment ref="L70" authorId="133" shapeId="0" xr:uid="{978C8A15-66E7-4B24-9C1D-273EDDEB05EA}">
      <text>
        <t>[Comentario encadenado]
Tu versión de Excel te permite leer este comentario encadenado; sin embargo, las ediciones que se apliquen se quitarán si el archivo se abre en una versión más reciente de Excel. Más información: https://go.microsoft.com/fwlink/?linkid=870924
Comentario:
    100601 Error en los productos entregados Jenny Gonzalez</t>
      </text>
    </comment>
    <comment ref="M70" authorId="134" shapeId="0" xr:uid="{27410F98-B442-4C5E-9041-4BC3CDD09E81}">
      <text>
        <t>[Comentario encadenado]
Tu versión de Excel te permite leer este comentario encadenado; sin embargo, las ediciones que se apliquen se quitarán si el archivo se abre en una versión más reciente de Excel. Más información: https://go.microsoft.com/fwlink/?linkid=870924
Comentario:
    98829 Mayor valor cobrado yomaira
100621 Quedo facturado mal un item daniel
100406 Error en el valor unitario astrid</t>
      </text>
    </comment>
    <comment ref="N70" authorId="135" shapeId="0" xr:uid="{4577BBB9-EC21-45D6-AD5F-B8FDDD2FC256}">
      <text>
        <t>[Comentario encadenado]
Tu versión de Excel te permite leer este comentario encadenado; sin embargo, las ediciones que se apliquen se quitarán si el archivo se abre en una versión más reciente de Excel. Más información: https://go.microsoft.com/fwlink/?linkid=870924
Comentario:
    100924 La factura venia con varios decimales y el iva no daba  rosa</t>
      </text>
    </comment>
    <comment ref="O70" authorId="136" shapeId="0" xr:uid="{133096C3-4E01-4410-8813-8DC7C91A445F}">
      <text>
        <t>[Comentario encadenado]
Tu versión de Excel te permite leer este comentario encadenado; sin embargo, las ediciones que se apliquen se quitarán si el archivo se abre en una versión más reciente de Excel. Más información: https://go.microsoft.com/fwlink/?linkid=870924
Comentario:
    98274  Cliente solicita facturara a otra razon social peña
100196 Cliente cancela la oc  wilson
99824 Se refacturo un soporte de garantia m paola
97494 Cliente indica no haber recibido la factura  Caballero
97493 Cliente indica no haber recibido la factura  Caballero
95902 Cliente no radico la factura internamente
96804 No sabemos el motivo del rechazo  rosa
101014 La licencias se deben facturar aparte 2 y 1 claudia</t>
      </text>
    </comment>
    <comment ref="M71" authorId="137" shapeId="0" xr:uid="{36945E7D-81E5-43C5-82D6-AB6053B64EFE}">
      <text>
        <t>[Comentario encadenado]
Tu versión de Excel te permite leer este comentario encadenado; sin embargo, las ediciones que se apliquen se quitarán si el archivo se abre en una versión más reciente de Excel. Más información: https://go.microsoft.com/fwlink/?linkid=870924
Comentario:
    100771 X cierre de facturacion Yenny G
100778 X cierre de facturacion Yenny G
100815 X cierre de facturacion yenny G</t>
      </text>
    </comment>
    <comment ref="O71" authorId="138" shapeId="0" xr:uid="{34D97923-AA1E-4E67-879B-610E19201BFD}">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89962 Cliente no radico la factura internamente MARIA E
99591 Cliente cambio la oc JASBLEIDY
97409 Cliente negó recibir facturas FERNANDO
97410 Cliente negó recibir facturas FERNANDO
97411 Cliente negó recibir facturas FERNANDO
97412 Cliente nego recibir facturas FERNANDO
98182 Cliente negó recibir facturas FERNANDO
97908 Cliente negó recibir facturas FERNANDO
98154 Cliente negó recibir facturas FERNANDO
98684 Cliente negó recibir facturas FERNANDO
</t>
      </text>
    </comment>
    <comment ref="K72" authorId="139" shapeId="0" xr:uid="{347995F1-04DB-4918-B611-A3F6113D34CA}">
      <text>
        <t>[Comentario encadenado]
Tu versión de Excel te permite leer este comentario encadenado; sin embargo, las ediciones que se apliquen se quitarán si el archivo se abre en una versión más reciente de Excel. Más información: https://go.microsoft.com/fwlink/?linkid=870924
Comentario:
    101966 Se facturaron 2 pdidos en una sola factura  mario
100994 Codigo estaba creado con sistema operativo y venia sin maria eug</t>
      </text>
    </comment>
    <comment ref="L72" authorId="140" shapeId="0" xr:uid="{AB87FB7C-AEFB-477F-BF83-D41CC6D2DA91}">
      <text>
        <t>[Comentario encadenado]
Tu versión de Excel te permite leer este comentario encadenado; sin embargo, las ediciones que se apliquen se quitarán si el archivo se abre en una versión más reciente de Excel. Más información: https://go.microsoft.com/fwlink/?linkid=870924
Comentario:
    101727 Se remisiono solo el producto y falto el flete oscar b
99867 Se facturo sin haber recibido el cliente la mercancia  rosmira</t>
      </text>
    </comment>
    <comment ref="M72" authorId="141" shapeId="0" xr:uid="{A4DC89F4-F120-405D-9BB7-2BB57F02E30F}">
      <text>
        <t>[Comentario encadenado]
Tu versión de Excel te permite leer este comentario encadenado; sin embargo, las ediciones que se apliquen se quitarán si el archivo se abre en una versión más reciente de Excel. Más información: https://go.microsoft.com/fwlink/?linkid=870924
Comentario:
    100770 Se facturo despues de la fecha de cierre jenny
101956 Comercial no informo que el precio cambio camilo</t>
      </text>
    </comment>
    <comment ref="O72" authorId="142" shapeId="0" xr:uid="{31091061-2648-4DFA-9104-F2CCF16D65D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101200 Cliente pidio facturar y no la radico 
96150 Error en razon social
101229 Cliente no la radico internamente 
100932 Cliente pidio cambio van a manejar oc a partir de la fecha 
101272 Cliente tiene la oc por mayor valos
101190 Cliente solicita facturar por otra razon social
100400 Cliente rechaza por error
100571 Error razon social cliente se equivoco
</t>
      </text>
    </comment>
    <comment ref="K73" authorId="143" shapeId="0" xr:uid="{D9F3C8E2-80D3-4F2E-BA5A-8F2B57645E87}">
      <text>
        <t>[Comentario encadenado]
Tu versión de Excel te permite leer este comentario encadenado; sin embargo, las ediciones que se apliquen se quitarán si el archivo se abre en una versión más reciente de Excel. Más información: https://go.microsoft.com/fwlink/?linkid=870924
Comentario:
    96944 Error de correo no le llego al cliente la factura  TATIANA
100488 No le llego la factura al cliente  FERNANDO</t>
      </text>
    </comment>
    <comment ref="L73" authorId="144" shapeId="0" xr:uid="{5DCE7DFD-02F4-4F1E-86D2-3562543B6533}">
      <text>
        <t>[Comentario encadenado]
Tu versión de Excel te permite leer este comentario encadenado; sin embargo, las ediciones que se apliquen se quitarán si el archivo se abre en una versión más reciente de Excel. Más información: https://go.microsoft.com/fwlink/?linkid=870924
Comentario:
    101709 Se facturo y la mercancia llego tarde JULIETH
101857 No se entregaron unos productos PEÑA</t>
      </text>
    </comment>
    <comment ref="N73" authorId="145" shapeId="0" xr:uid="{7199A4C8-C5BF-41D5-9EE7-13031CC8EDC8}">
      <text>
        <t>[Comentario encadenado]
Tu versión de Excel te permite leer este comentario encadenado; sin embargo, las ediciones que se apliquen se quitarán si el archivo se abre en una versión más reciente de Excel. Más información: https://go.microsoft.com/fwlink/?linkid=870924
Comentario:
    102318 Error en el cargue de los seriales  ALEJA</t>
      </text>
    </comment>
    <comment ref="O73" authorId="146" shapeId="0" xr:uid="{A5544008-CB7B-4239-84C1-E0DAF7345C34}">
      <text>
        <t>[Comentario encadenado]
Tu versión de Excel te permite leer este comentario encadenado; sin embargo, las ediciones que se apliquen se quitarán si el archivo se abre en una versión más reciente de Excel. Más información: https://go.microsoft.com/fwlink/?linkid=870924
Comentario:
    98916 No sehabian radicado la remison YEISON 
100333 Faltaron agregar unas observaciones ALVAREZ
1010199 Cliente no radico la factura VELASQUEZ ALEJA 
99263 Error en el correo de facturacion  ALEJA 
100984 Cliente nego recibirla pero la rechazo  ROSA</t>
      </text>
    </comment>
    <comment ref="K74" authorId="147" shapeId="0" xr:uid="{8F85A080-E83D-4ADF-8A0E-FE71A88C9BBE}">
      <text>
        <t>[Comentario encadenado]
Tu versión de Excel te permite leer este comentario encadenado; sin embargo, las ediciones que se apliquen se quitarán si el archivo se abre en una versión más reciente de Excel. Más información: https://go.microsoft.com/fwlink/?linkid=870924
Comentario:
    102232 Se facturo sin previo aviso karent C</t>
      </text>
    </comment>
    <comment ref="L74" authorId="148" shapeId="0" xr:uid="{0F20ED27-B83B-401A-A94D-96FA8EE5283C}">
      <text>
        <t>[Comentario encadenado]
Tu versión de Excel te permite leer este comentario encadenado; sin embargo, las ediciones que se apliquen se quitarán si el archivo se abre en una versión más reciente de Excel. Más información: https://go.microsoft.com/fwlink/?linkid=870924
Comentario:
    102259 Producto llego averiado
101996 Los cargadores entregados uno venia incompleto 
101276 La mercancia le llego tarde el cliente </t>
      </text>
    </comment>
    <comment ref="M74" authorId="149" shapeId="0" xr:uid="{4F16E9F9-5975-4646-9DCE-E98647E925A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98295 Error en el correo de facturacion 
92400 Se facturo dos veces el producto 
101450 Cliente solicita factura a credito , comercial no habia enviado documentacion 
101216 Falto agregar una remision 
101725 Error en razon social (Gabriela)
102362 Se facturo con iva y el cliente es exento (Gabriela)
96166 Error en los valores del producto (Carolina Bossa)
</t>
      </text>
    </comment>
    <comment ref="O74" authorId="150" shapeId="0" xr:uid="{EFF275E8-903F-4C72-9879-7370D4B2691C}">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99874 Cliente indica no recibir factura
99889 Cliente solicito dividir la fcatura en dos
101344 Cliete solicito el cambio de factura por una devolucion 
102548 Cliente devuelve producto y rechaza
97440 Cliente no la radico 
102326 Cliente no la radico 
</t>
      </text>
    </comment>
    <comment ref="L75" authorId="151" shapeId="0" xr:uid="{836C127D-40BA-4F39-A52C-2D964E2D666E}">
      <text>
        <t>[Comentario encadenado]
Tu versión de Excel te permite leer este comentario encadenado; sin embargo, las ediciones que se apliquen se quitarán si el archivo se abre en una versión más reciente de Excel. Más información: https://go.microsoft.com/fwlink/?linkid=870924
Comentario:
    No se debia facturar 
102683
102684
102685
102686
102687 Jenny Gonzalez</t>
      </text>
    </comment>
    <comment ref="O75" authorId="152" shapeId="0" xr:uid="{05742A1A-AFF4-4553-8CE9-F5865460C28F}">
      <text>
        <t>[Comentario encadenado]
Tu versión de Excel te permite leer este comentario encadenado; sin embargo, las ediciones que se apliquen se quitarán si el archivo se abre en una versión más reciente de Excel. Más información: https://go.microsoft.com/fwlink/?linkid=870924
Comentario:
    102840 Cliente rechzao por error 
100714 Error del cliente 
102003 Factura debia salir con credito y salio de contado
99044 Cliente devuelve no fue compatible</t>
      </text>
    </comment>
    <comment ref="K76" authorId="153" shapeId="0" xr:uid="{936F21CA-7206-4431-8983-39D2D73106E7}">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103352 error en la creacion del codigo alexa </t>
      </text>
    </comment>
    <comment ref="L76" authorId="154" shapeId="0" xr:uid="{860BA907-F058-4C7F-9638-86C898610C0C}">
      <text>
        <t>[Comentario encadenado]
Tu versión de Excel te permite leer este comentario encadenado; sin embargo, las ediciones que se apliquen se quitarán si el archivo se abre en una versión más reciente de Excel. Más información: https://go.microsoft.com/fwlink/?linkid=870924
Comentario:
    103267 Logistica alisto mal
102902 X cierre de facturacion </t>
      </text>
    </comment>
    <comment ref="M76" authorId="155" shapeId="0" xr:uid="{B9ECB056-BF8B-492F-BD3D-8C9C0CB1A063}">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103042 No se debía facturar Aleja
102077 No se envio la OC Rosmira
101920 No se envio la OC Rosmira
101921 No se envio la OC Rosmira
</t>
      </text>
    </comment>
    <comment ref="O76" authorId="156" shapeId="0" xr:uid="{A292D473-97DB-4ED9-BA22-C6B6EF1FAEFC}">
      <text>
        <t>[Comentario encadenado]
Tu versión de Excel te permite leer este comentario encadenado; sin embargo, las ediciones que se apliquen se quitarán si el archivo se abre en una versión más reciente de Excel. Más información: https://go.microsoft.com/fwlink/?linkid=870924
Comentario:
    103447 Error en el codigo  pidio mal
102691 Cliente no la radico 
86732 No sirbio la mercancia 
102116 No sabemos el motivo
102695 Cliente no la radico 
103082 Error de razon social
101738 Falto la OC 
103600 No les llego la factura al correo correcto solo suministraron uno 
101916 Cliente no la radico 
100555 Cliente no la radico </t>
      </text>
    </comment>
    <comment ref="K77" authorId="157" shapeId="0" xr:uid="{E801CEB8-EF10-4E50-87A5-C75369CFCE64}">
      <text>
        <t>[Comentario encadenado]
Tu versión de Excel te permite leer este comentario encadenado; sin embargo, las ediciones que se apliquen se quitarán si el archivo se abre en una versión más reciente de Excel. Más información: https://go.microsoft.com/fwlink/?linkid=870924
Comentario:
    103367 no se debia facturar</t>
      </text>
    </comment>
    <comment ref="L77" authorId="158" shapeId="0" xr:uid="{D54312D2-F67A-4964-A01D-E7476CEAAEBB}">
      <text>
        <t>[Comentario encadenado]
Tu versión de Excel te permite leer este comentario encadenado; sin embargo, las ediciones que se apliquen se quitarán si el archivo se abre en una versión más reciente de Excel. Más información: https://go.microsoft.com/fwlink/?linkid=870924
Comentario:
    103989 no se debia facturar benji 
104027 Se debia facturar con otra mercancia benji</t>
      </text>
    </comment>
    <comment ref="M77" authorId="159" shapeId="0" xr:uid="{F3A05878-4978-48C7-828F-0539F9610A91}">
      <text>
        <t>[Comentario encadenado]
Tu versión de Excel te permite leer este comentario encadenado; sin embargo, las ediciones que se apliquen se quitarán si el archivo se abre en una versión más reciente de Excel. Más información: https://go.microsoft.com/fwlink/?linkid=870924
Comentario:
    103488 Error en la TRM
92984 La OC estaba por una unidad y comercial envio 2
103742 Mayor valor cobrado
103899 Error en la oc 
104231 Se debia facturar con otra mercancia 
104281 Se debia facturar con otra mercancia </t>
      </text>
    </comment>
    <comment ref="O77" authorId="160" shapeId="0" xr:uid="{9CFDC881-0837-4CE9-8E54-A4F1D3E551AF}">
      <text>
        <t>[Comentario encadenado]
Tu versión de Excel te permite leer este comentario encadenado; sin embargo, las ediciones que se apliquen se quitarán si el archivo se abre en una versión más reciente de Excel. Más información: https://go.microsoft.com/fwlink/?linkid=870924
Comentario:
    101154 Cliente no la radico 
100273 por trm
103624 Cliente solicita NC c 38 centavos 
103036 Error Razon Social cliente envio mal la oc 
98836 Cliente no la rdico 
102282 Cliente no la radico 
103783 Falto agregar un mes cliente autoriza
103782 Falto agregar un mes cliente autoriza
103236 Se debia facturar en una sola factura 
102984 Se debia facturar en una sola factura 
99832 Cliente no la radico 
103801 Cliente pidio mal las memoria 
102490 Cliente no la radico </t>
      </text>
    </comment>
    <comment ref="M78" authorId="161" shapeId="0" xr:uid="{F17F9EDA-9F2B-44AD-AC4C-51DEB0149821}">
      <text>
        <t>[Comentario encadenado]
Tu versión de Excel te permite leer este comentario encadenado; sin embargo, las ediciones que se apliquen se quitarán si el archivo se abre en una versión más reciente de Excel. Más información: https://go.microsoft.com/fwlink/?linkid=870924
Comentario:
    104284 Error en la OC 
99131 Falto nuemrro deentrada de mercancia </t>
      </text>
    </comment>
    <comment ref="N78" authorId="162" shapeId="0" xr:uid="{88440988-0021-44C8-A27D-E7CFB7F094A1}">
      <text>
        <t>[Comentario encadenado]
Tu versión de Excel te permite leer este comentario encadenado; sin embargo, las ediciones que se apliquen se quitarán si el archivo se abre en una versión más reciente de Excel. Más información: https://go.microsoft.com/fwlink/?linkid=870924
Comentario:
    102502 no le llego factura al cliente el sistema tenia su correo</t>
      </text>
    </comment>
    <comment ref="O78" authorId="163" shapeId="0" xr:uid="{1C75C592-9868-43AB-8A86-1B3FB6A80C12}">
      <text>
        <t>[Comentario encadenado]
Tu versión de Excel te permite leer este comentario encadenado; sin embargo, las ediciones que se apliquen se quitarán si el archivo se abre en una versión más reciente de Excel. Más información: https://go.microsoft.com/fwlink/?linkid=870924
Comentario:
    103473 Cliente rechazo por error
104104 Rechazan x presupuesto
104103 Rechazan x presupuesto
104106 Rechazan x presupuesto
104105 Rechazan x presupuesto
103459 Mayor valor cobrado 
101502 Falto OC 
101357 No se sabe el motivo 
102692 No se sabe el motivo 
101419 No se sabe el motivo 
101420 No se sabe el motivo 
104341 No se sabe el motivo </t>
      </text>
    </comment>
    <comment ref="K80" authorId="164" shapeId="0" xr:uid="{0F33E092-ED49-48BF-9DB3-DB5019DBA7DC}">
      <text>
        <t>[Comentario encadenado]
Tu versión de Excel te permite leer este comentario encadenado; sin embargo, las ediciones que se apliquen se quitarán si el archivo se abre en una versión más reciente de Excel. Más información: https://go.microsoft.com/fwlink/?linkid=870924
Comentario:
    103874 Error de correo alexa</t>
      </text>
    </comment>
    <comment ref="M80" authorId="165" shapeId="0" xr:uid="{60A2C9B3-89D2-42D5-B6DB-ADCBF224D38A}">
      <text>
        <t>[Comentario encadenado]
Tu versión de Excel te permite leer este comentario encadenado; sin embargo, las ediciones que se apliquen se quitarán si el archivo se abre en una versión más reciente de Excel. Más información: https://go.microsoft.com/fwlink/?linkid=870924
Comentario:
    104050 X una direfencia de 1000</t>
      </text>
    </comment>
    <comment ref="K81" authorId="166" shapeId="0" xr:uid="{D2B7D6C6-316A-4C77-AD11-50D383A4FAF7}">
      <text>
        <t>[Comentario encadenado]
Tu versión de Excel te permite leer este comentario encadenado; sin embargo, las ediciones que se apliquen se quitarán si el archivo se abre en una versión más reciente de Excel. Más información: https://go.microsoft.com/fwlink/?linkid=870924
Comentario:
    104369 Kit salio sin iva alexa</t>
      </text>
    </comment>
    <comment ref="M81" authorId="167" shapeId="0" xr:uid="{C080DEC3-6A63-4D42-B734-EA50424CBD0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101059 Doble facturacion 98886 peña
102880 Se radico factura en otro mes yeison
104421 Se radico factura en otro mes yeison </t>
      </text>
    </comment>
    <comment ref="M82" authorId="168" shapeId="0" xr:uid="{38BEFEBD-B3AB-48A9-8785-289E99098938}">
      <text>
        <t>[Comentario encadenado]
Tu versión de Excel te permite leer este comentario encadenado; sin embargo, las ediciones que se apliquen se quitarán si el archivo se abre en una versión más reciente de Excel. Más información: https://go.microsoft.com/fwlink/?linkid=870924
Comentario:
    104701 Error en la OC </t>
      </text>
    </comment>
    <comment ref="O82" authorId="169" shapeId="0" xr:uid="{3F84DF72-2D5A-4E74-8FA2-868C471D8F26}">
      <text>
        <t>[Comentario encadenado]
Tu versión de Excel te permite leer este comentario encadenado; sin embargo, las ediciones que se apliquen se quitarán si el archivo se abre en una versión más reciente de Excel. Más información: https://go.microsoft.com/fwlink/?linkid=870924
Comentario:
    104787 Cliente solicita una sola factura jasbleidy
108786 Cliente solicita una sola factura jasbleidy
104192 No tiene orden de entrada peña
104330 No se sabe el motivo del rechazo  peña
104286 Error en la trm mpaola
101528 Cliente no la radico internamente acevedo
104552 Cliente rechaza x error  urrego</t>
      </text>
    </comment>
    <comment ref="K83" authorId="170" shapeId="0" xr:uid="{1D541CE3-D46D-49FB-90CC-EA734AF0B2C6}">
      <text>
        <t>[Comentario encadenado]
Tu versión de Excel te permite leer este comentario encadenado; sin embargo, las ediciones que se apliquen se quitarán si el archivo se abre en una versión más reciente de Excel. Más información: https://go.microsoft.com/fwlink/?linkid=870924
Comentario:
    104661 Kit salio sin iva
105110 Se facturo algo errado 4 pesos
105440 No se debia facturar </t>
      </text>
    </comment>
    <comment ref="L83" authorId="171" shapeId="0" xr:uid="{BC3FA7DD-C448-452D-BE2B-02EF3593E10E}">
      <text>
        <t>[Comentario encadenado]
Tu versión de Excel te permite leer este comentario encadenado; sin embargo, las ediciones que se apliquen se quitarán si el archivo se abre en una versión más reciente de Excel. Más información: https://go.microsoft.com/fwlink/?linkid=870924
Comentario:
    1056221 No se debia facturar </t>
      </text>
    </comment>
    <comment ref="M83" authorId="172" shapeId="0" xr:uid="{7E54504A-F6F1-4963-8A84-EFABE4E84873}">
      <text>
        <t>[Comentario encadenado]
Tu versión de Excel te permite leer este comentario encadenado; sin embargo, las ediciones que se apliquen se quitarán si el archivo se abre en una versión más reciente de Excel. Más información: https://go.microsoft.com/fwlink/?linkid=870924
Comentario:
    105354 Errror razon social
105442 Seduplico la orden de pedido
105016 Se facturo con iva y son exentos
104792 Se facturo con iva y son exentos
105483 Por cierre de facturacion
105609 No se radico la fcatura con los soportes</t>
      </text>
    </comment>
    <comment ref="O83" authorId="173" shapeId="0" xr:uid="{38B6487D-D3BD-4BDA-97C5-A79CE04C6152}">
      <text>
        <t>[Comentario encadenado]
Tu versión de Excel te permite leer este comentario encadenado; sin embargo, las ediciones que se apliquen se quitarán si el archivo se abre en una versión más reciente de Excel. Más información: https://go.microsoft.com/fwlink/?linkid=870924
Comentario:
    102301 Cliente solicita cambio por fecha se adjunta carta 
105081 Cliente solicita varias facturas se adjunta correo 
105157 Cliente rechaza por error 
102528 Cliente rechazo por error 
104616 Cliente no radico la factura 
104364 No sabemos el motivo del rechazo </t>
      </text>
    </comment>
    <comment ref="K84" authorId="174" shapeId="0" xr:uid="{939395B2-D5A3-489A-88F8-2575EDE6F4C4}">
      <text>
        <t>[Comentario encadenado]
Tu versión de Excel te permite leer este comentario encadenado; sin embargo, las ediciones que se apliquen se quitarán si el archivo se abre en una versión más reciente de Excel. Más información: https://go.microsoft.com/fwlink/?linkid=870924
Comentario:
    101714 Se envio al correo errado
101713 Se envio al correo errado
101586 Se envio al correo errado</t>
      </text>
    </comment>
    <comment ref="L84" authorId="175" shapeId="0" xr:uid="{49A3D864-C78D-4A9F-80B0-9CC029FD7D8A}">
      <text>
        <t>[Comentario encadenado]
Tu versión de Excel te permite leer este comentario encadenado; sin embargo, las ediciones que se apliquen se quitarán si el archivo se abre en una versión más reciente de Excel. Más información: https://go.microsoft.com/fwlink/?linkid=870924
Comentario:
    105549 Por cierre de facturacion
105648 Se facturo sin entregar mercancia
103671 Quedo mal facturado </t>
      </text>
    </comment>
    <comment ref="M84" authorId="176" shapeId="0" xr:uid="{03FF5789-515C-42C7-BA3A-4B2A8B2C0D93}">
      <text>
        <t>[Comentario encadenado]
Tu versión de Excel te permite leer este comentario encadenado; sin embargo, las ediciones que se apliquen se quitarán si el archivo se abre en una versión más reciente de Excel. Más información: https://go.microsoft.com/fwlink/?linkid=870924
Comentario:
    105622 Por cierre de facturacion
100607 Se facturo doble 
105432 No se radicaron los soportes para la fcaturacion 
105338 Se facturo con iva y son exentos
99026 Falto numero de entrada de mercancia
102247 Error en el correo
104462 Se facturo con iva y son exentos</t>
      </text>
    </comment>
    <comment ref="O84" authorId="177" shapeId="0" xr:uid="{528269A6-56C8-4EB3-BB16-8A6D528F7F6F}">
      <text>
        <t>[Comentario encadenado]
Tu versión de Excel te permite leer este comentario encadenado; sin embargo, las ediciones que se apliquen se quitarán si el archivo se abre en una versión más reciente de Excel. Más información: https://go.microsoft.com/fwlink/?linkid=870924
Comentario:
    105563 Cliente cambio la razon social
101194 Cliente no radico la factura 
103106 Recuperando datos. Espere unos segundos e intente cortar o copiar de nuevo.
104224 No sabemos el motivo del rechazo
104736 No sabemos el motivo del rechazo
104730 No sabemos el motivo del rechazo</t>
      </text>
    </comment>
    <comment ref="K85" authorId="178" shapeId="0" xr:uid="{B1DF2858-7756-4735-BAEC-79254B79EB42}">
      <text>
        <t>[Comentario encadenado]
Tu versión de Excel te permite leer este comentario encadenado; sin embargo, las ediciones que se apliquen se quitarán si el archivo se abre en una versión más reciente de Excel. Más información: https://go.microsoft.com/fwlink/?linkid=870924
Comentario:
    106491 SE CREO CODIGO CON IVA</t>
      </text>
    </comment>
    <comment ref="L85" authorId="179" shapeId="0" xr:uid="{4E786FCB-DCED-4CEC-BB55-ACA705E62EC8}">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105684 NO LLEGO LA MERCANCIA </t>
      </text>
    </comment>
    <comment ref="M85" authorId="180" shapeId="0" xr:uid="{A5923F17-EC75-4A15-8895-4913DDF4C71D}">
      <text>
        <t>[Comentario encadenado]
Tu versión de Excel te permite leer este comentario encadenado; sin embargo, las ediciones que se apliquen se quitarán si el archivo se abre en una versión más reciente de Excel. Más información: https://go.microsoft.com/fwlink/?linkid=870924
Comentario:
    106098 Falto agregar in par de guantes
105693 Falto agregar un producto
105356 Error en razon social
106563 Debia salir con otra remision 
105604 Fuera de la fecha de cierre</t>
      </text>
    </comment>
    <comment ref="O85" authorId="181" shapeId="0" xr:uid="{0F5A792F-CD01-4E5C-8B3E-00692ED1C8FA}">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98509 Cliente no la radico 
98377 Cliente no la radico 
102160 Cliente no la radico 
102140 Cliente no radico la factura
101191 Cliente no radico la factura
100172 Cliente no radico la factura
102183 Cliente cambio correo y no informo
</t>
      </text>
    </comment>
    <comment ref="M86" authorId="182" shapeId="0" xr:uid="{37F32791-424B-4553-A90E-823FF48F1B9A}">
      <text>
        <t>[Comentario encadenado]
Tu versión de Excel te permite leer este comentario encadenado; sin embargo, las ediciones que se apliquen se quitarán si el archivo se abre en una versión más reciente de Excel. Más información: https://go.microsoft.com/fwlink/?linkid=870924
Comentario:
    106735 Se cobro menos el monitor</t>
      </text>
    </comment>
    <comment ref="O86" authorId="183" shapeId="0" xr:uid="{938AA443-B00C-4004-8367-513EBC45BF0E}">
      <text>
        <t>[Comentario encadenado]
Tu versión de Excel te permite leer este comentario encadenado; sin embargo, las ediciones que se apliquen se quitarán si el archivo se abre en una versión más reciente de Excel. Más información: https://go.microsoft.com/fwlink/?linkid=870924
Comentario:
    106637 Error en los codigos 
100383 Cliente no radico la factura
106201 Cliente envio mal los datos de entrada de mercancia
98055 Cliente no radico la factura
104177 Cliente no la radico </t>
      </text>
    </comment>
    <comment ref="K87" authorId="184" shapeId="0" xr:uid="{86BE8F6A-B2E7-4F21-B448-2614688A14B2}">
      <text>
        <t>[Comentario encadenado]
Tu versión de Excel te permite leer este comentario encadenado; sin embargo, las ediciones que se apliquen se quitarán si el archivo se abre en una versión más reciente de Excel. Más información: https://go.microsoft.com/fwlink/?linkid=870924
Comentario:
    106050 Se facturo producto sin iva 
107390 Eerror en los valores iva no cuadra 
106578 Se facturaron proctos doble vez</t>
      </text>
    </comment>
    <comment ref="M87" authorId="185" shapeId="0" xr:uid="{EFA742A4-5AA2-4C99-8DB8-C09B216C11F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107090 Error de razon social 
105712 Mayor valor cobrado 
105714 Mayor valor cobrado 
105714 Mayor valor cobrado 
105711 Mayor valor cobrado 
106289 Mayor valor cobrado 
105703 Mayor valor cobrado 
105704 Mayor valor cobrado 
105341 Mayor valor cobrado 
105709 Mayor valor cobrado 
105706 Mayor valor cobrado 
105708 Mayor valor cobrado 
105710 Mayor valor cobrado 
105715 Mayor valor cobrado 
105701 Mayor valor cobrado 
105707 Mayor valor cobrado 
106292 Mayor valor cobrado 
105716 Mayor valor cobrado 
105695 Mayor valor cobrado 
105694 Mayor valor cobrado 
105697 Mayor valor cobrado 
105691 Mayor valor cobrado 
105696 Mayor valor cobrado 
106291 Mayor valor cobrado 
107272 Comercial envio pedido equivocado
103209 Se envio factura al correo erroneo ya que comercial no actualizo datos cliente viejo 
106367 Mayor valor cobrado 
</t>
      </text>
    </comment>
    <comment ref="O87" authorId="186" shapeId="0" xr:uid="{45BED805-5DDA-4D8A-8ADC-135FFCB66751}">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107051 Cliente no la radico  
105154 Cliente solicita la factura con fecha de Febrero
105488 Clienterechaza por error
106231 Cambio de razon social 
106466 Cambio de razon social 
106255 Error de razon social 
106448 No sabemos el motivo 
102021 Cliente no la radico 
101138 Cliente no la rdico 
106556 Cambio de razon social 
105852 Cambio de razon social 
106560 Cambio de razon social 
102519 Cliente no la radico 
106915 Cliente solicita que se facture un producto aparte 
103239 Error de razon social 
102415 Error de razon social 
109631 Cambio de razon social 
107353 Por cierre de facturacion cliente envio comunicado tarde 
107315 Por cierre de facturacion cliente envio comunicado tarde 
107394 Por cierre de facturacion cliente envio comunicado tarde 
</t>
      </text>
    </comment>
  </commentList>
</comments>
</file>

<file path=xl/sharedStrings.xml><?xml version="1.0" encoding="utf-8"?>
<sst xmlns="http://schemas.openxmlformats.org/spreadsheetml/2006/main" count="1958" uniqueCount="216">
  <si>
    <t>promedio</t>
  </si>
  <si>
    <t>Promedios</t>
  </si>
  <si>
    <t xml:space="preserve">FECHA INICIAL </t>
  </si>
  <si>
    <t>FECHA FINAL</t>
  </si>
  <si>
    <t>NUMERO DE FACTURAS EMITIDAS</t>
  </si>
  <si>
    <t>Diferencia num facturadas</t>
  </si>
  <si>
    <t>NC INICIO</t>
  </si>
  <si>
    <t xml:space="preserve">NC FINAL </t>
  </si>
  <si>
    <t>CONTROL SEMANAL NC</t>
  </si>
  <si>
    <t xml:space="preserve">NUMERO DE NC EMITIDAS </t>
  </si>
  <si>
    <t>NC DE FAC MESES ANTERIORES</t>
  </si>
  <si>
    <t>NC EMITIDAS SIN REFERENCIACION</t>
  </si>
  <si>
    <t>NC DEL MISMO MES</t>
  </si>
  <si>
    <t>NUMERO DE NC REFACTURADAS</t>
  </si>
  <si>
    <t>NUMERO DE ERRORES ADMON</t>
  </si>
  <si>
    <t>NUMERO DE ERRORES LOGISTICA</t>
  </si>
  <si>
    <t xml:space="preserve">NUMERO DE ERRORES COMERCIALES </t>
  </si>
  <si>
    <t>NUMERO DE ERRORES DEL SISTEMA</t>
  </si>
  <si>
    <t>NUMERO DE ERRORES  INDUCIDOS POR CLIENTE</t>
  </si>
  <si>
    <t>ERRORES AREA DE SERVICIOS U OTRAS</t>
  </si>
  <si>
    <t>TOTAL DEVOLUCIONES DE LA SEMANA</t>
  </si>
  <si>
    <t>NUMERO DE FACTURAS CON DEVOLUCION  COMPLETA</t>
  </si>
  <si>
    <t>NUMERO DE DEVOLUCIONES TECNOLOGIA COMPLETA</t>
  </si>
  <si>
    <t>NUMERO DE DEVOLUCIONES  PAC COMPLETA</t>
  </si>
  <si>
    <t>NUMERO DE FACTURAS CON DEVOLUCION TEC PARCIAL</t>
  </si>
  <si>
    <t>NUMERO DE DEVOLUCIONES PAC PARCIAL</t>
  </si>
  <si>
    <t>NUMERO DE DEVOLUCIONES TECNOLOGIA PARCIAL</t>
  </si>
  <si>
    <t xml:space="preserve">VALOR TOTAL DE FACTURAS EMITIDAS </t>
  </si>
  <si>
    <t xml:space="preserve">VALOR NOTAS CREDITO </t>
  </si>
  <si>
    <t>VALOR REFACTURACIONES</t>
  </si>
  <si>
    <t xml:space="preserve">VALOR ERRORES ADMON </t>
  </si>
  <si>
    <t xml:space="preserve">VALOR ERRORES COMERCIALES </t>
  </si>
  <si>
    <t>VALOR DEVOLUCIONES MERCANCIA TOTALES</t>
  </si>
  <si>
    <t>VALOR DEVOLUCIONES MERCANCIA PARCIAL</t>
  </si>
  <si>
    <t>Semana</t>
  </si>
  <si>
    <t>Facturado</t>
  </si>
  <si>
    <t>Notas crédito</t>
  </si>
  <si>
    <t xml:space="preserve"> </t>
  </si>
  <si>
    <t>oc</t>
  </si>
  <si>
    <t>Seguimiento Requerimientos gestion documental</t>
  </si>
  <si>
    <t xml:space="preserve">desde </t>
  </si>
  <si>
    <t>hasta</t>
  </si>
  <si>
    <t>Solicitudes</t>
  </si>
  <si>
    <t>procesadas a tiempo</t>
  </si>
  <si>
    <t>represadas en la semana</t>
  </si>
  <si>
    <t>Procesadas  represadas en la semana</t>
  </si>
  <si>
    <t>Errores procesamiento de acuses</t>
  </si>
  <si>
    <t>Observaciones</t>
  </si>
  <si>
    <t xml:space="preserve">Las 6 represadas corresponden al 27 estams dentro de los tiempos </t>
  </si>
  <si>
    <t>Las 6 represeadas corresponden al 15 y 16 estamos dentro de los tiempos</t>
  </si>
  <si>
    <t>2 solicitudes del 6 julieth</t>
  </si>
  <si>
    <t>3 DEL LUNES Y UNO DE AYER</t>
  </si>
  <si>
    <t>Seguimiento de codificacion</t>
  </si>
  <si>
    <t xml:space="preserve">DESDE </t>
  </si>
  <si>
    <t>HASTA</t>
  </si>
  <si>
    <t>Solicitudes Tecnologia</t>
  </si>
  <si>
    <t>Solicitudes PAC</t>
  </si>
  <si>
    <t>Codigos ya existentes</t>
  </si>
  <si>
    <t>total solicitudes</t>
  </si>
  <si>
    <t>pendientes</t>
  </si>
  <si>
    <t>Errores en  descripcion</t>
  </si>
  <si>
    <t>Errores codigos contables</t>
  </si>
  <si>
    <t xml:space="preserve">Error en codificacion </t>
  </si>
  <si>
    <t xml:space="preserve">Las represedas es porque se debe hacer un kit para un proyecto grande </t>
  </si>
  <si>
    <t>Seguimiento de ingreso de facturacion compras</t>
  </si>
  <si>
    <t>Solicitudes fac Tecnologia</t>
  </si>
  <si>
    <t>Solicitudes fac PAC</t>
  </si>
  <si>
    <t>errores en ingresos tec</t>
  </si>
  <si>
    <t>errores en ingresos PAC</t>
  </si>
  <si>
    <t xml:space="preserve">CONSOLIDADO </t>
  </si>
  <si>
    <t xml:space="preserve">SEMANA </t>
  </si>
  <si>
    <t>FACTURAS VENTAS KAROL</t>
  </si>
  <si>
    <t>GESTION DOCUMENTAL STHEPANIE</t>
  </si>
  <si>
    <t xml:space="preserve">CODIFICACION </t>
  </si>
  <si>
    <t xml:space="preserve">INGRESO FACTURAS PAC Y TECNOLOGIA </t>
  </si>
  <si>
    <t>TOTALES</t>
  </si>
  <si>
    <t>02/07/2025 al 08/07/2025</t>
  </si>
  <si>
    <t>09/07/2025 al 15/07/2025</t>
  </si>
  <si>
    <t>16/06/2025 al 22/06/2025</t>
  </si>
  <si>
    <t>23/07/2025 al 29/07/2025</t>
  </si>
  <si>
    <t xml:space="preserve">TOTAL ERRORES JULIO </t>
  </si>
  <si>
    <t>30/07/2025 al 05/08/2025</t>
  </si>
  <si>
    <t>06/08/2025 al 12/08/2025</t>
  </si>
  <si>
    <t>13/08/2025 al 19/08/2025</t>
  </si>
  <si>
    <t>20/08/2025 al 26/08/2025</t>
  </si>
  <si>
    <t>27/08/2025 al 02/09/2025</t>
  </si>
  <si>
    <t>TOTAL ERRORES AGOSTO</t>
  </si>
  <si>
    <t>03/09/2025 AL 09/09/2025</t>
  </si>
  <si>
    <t>10/09/2025 AL 16/09/2025</t>
  </si>
  <si>
    <t>17/09/2025 AL 23/09/2025</t>
  </si>
  <si>
    <t>24/09/2025 AL 30/09/2025</t>
  </si>
  <si>
    <t xml:space="preserve">TOTAL ERRORES SEPTIEMBRE </t>
  </si>
  <si>
    <t>01/10/2025 al 07/10/2025</t>
  </si>
  <si>
    <t>08/10/2025 AL 14/10/2025</t>
  </si>
  <si>
    <t>15/10/2025 AL 21/10/2025</t>
  </si>
  <si>
    <t>22/10/2025 AL 28/10/2025</t>
  </si>
  <si>
    <t>proceso</t>
  </si>
  <si>
    <t>estado</t>
  </si>
  <si>
    <t>ENTRA A INVENTARIO</t>
  </si>
  <si>
    <t>ACTIVA</t>
  </si>
  <si>
    <t>SE DEVUELVE A PROVEEDOR</t>
  </si>
  <si>
    <t>CERRADA</t>
  </si>
  <si>
    <t>CONSUMO INTERNO</t>
  </si>
  <si>
    <t>FACTURAR A COMERCIAL</t>
  </si>
  <si>
    <t>Año</t>
  </si>
  <si>
    <t>Llave_Semana</t>
  </si>
  <si>
    <t>Fecha_Inicial</t>
  </si>
  <si>
    <t>Fecha_Final</t>
  </si>
  <si>
    <t>Numero_Facturas_Emitidas</t>
  </si>
  <si>
    <t>NC_Inicio</t>
  </si>
  <si>
    <t>NC_Final</t>
  </si>
  <si>
    <t>Numero_NC_Emitidas</t>
  </si>
  <si>
    <t>Numero_NC_Refacturadas</t>
  </si>
  <si>
    <t>Numero_Errores_Admon</t>
  </si>
  <si>
    <t>Numero_Errores_Logistica</t>
  </si>
  <si>
    <t>Numero_Errores_Comerciales</t>
  </si>
  <si>
    <t>Numero_Errores_Sistema</t>
  </si>
  <si>
    <t>Numero_Errores_Cliente</t>
  </si>
  <si>
    <t>Total_Devoluciones_Semana</t>
  </si>
  <si>
    <t>Valor_Facturado_Bruto</t>
  </si>
  <si>
    <t>Valor_Notas_Credito</t>
  </si>
  <si>
    <t>Valor_Refacturaciones</t>
  </si>
  <si>
    <t>Valor_Errores_Admon</t>
  </si>
  <si>
    <t>Valor_Errores_Comerciales</t>
  </si>
  <si>
    <t>Valor_Devoluciones_Totales</t>
  </si>
  <si>
    <t>Valor_Devoluciones_Parcial</t>
  </si>
  <si>
    <t>Facturado_Neto</t>
  </si>
  <si>
    <t>Porcentaje_NC</t>
  </si>
  <si>
    <t>Comentario_Gerencial</t>
  </si>
  <si>
    <t>2024_28</t>
  </si>
  <si>
    <t>2024_29</t>
  </si>
  <si>
    <t>2024_30</t>
  </si>
  <si>
    <t>2024_31</t>
  </si>
  <si>
    <t>2024_32</t>
  </si>
  <si>
    <t>2024_33</t>
  </si>
  <si>
    <t>2024_34</t>
  </si>
  <si>
    <t>2024_35</t>
  </si>
  <si>
    <t>2024_36</t>
  </si>
  <si>
    <t>2024_37</t>
  </si>
  <si>
    <t>2024_38</t>
  </si>
  <si>
    <t>2024_39</t>
  </si>
  <si>
    <t>2024_40</t>
  </si>
  <si>
    <t>2024_41</t>
  </si>
  <si>
    <t>2024_42</t>
  </si>
  <si>
    <t>2024_43</t>
  </si>
  <si>
    <t>2024_44</t>
  </si>
  <si>
    <t>2024_45</t>
  </si>
  <si>
    <t>2024_46</t>
  </si>
  <si>
    <t>2024_47</t>
  </si>
  <si>
    <t>2024_48</t>
  </si>
  <si>
    <t>2024_49</t>
  </si>
  <si>
    <t>2024_50</t>
  </si>
  <si>
    <t>2024_51</t>
  </si>
  <si>
    <t>2024_52</t>
  </si>
  <si>
    <t>2025_01</t>
  </si>
  <si>
    <t>2025_02</t>
  </si>
  <si>
    <t>2025_03</t>
  </si>
  <si>
    <t>2025_04</t>
  </si>
  <si>
    <t>2025_05</t>
  </si>
  <si>
    <t>2025_06</t>
  </si>
  <si>
    <t>2025_07</t>
  </si>
  <si>
    <t>2025_08</t>
  </si>
  <si>
    <t>2025_09</t>
  </si>
  <si>
    <t>2025_10</t>
  </si>
  <si>
    <t>2025_11</t>
  </si>
  <si>
    <t>2025_12</t>
  </si>
  <si>
    <t>2025_13</t>
  </si>
  <si>
    <t>2025_14</t>
  </si>
  <si>
    <t>2025_15</t>
  </si>
  <si>
    <t>2025_16</t>
  </si>
  <si>
    <t>2025_17</t>
  </si>
  <si>
    <t>2025_18</t>
  </si>
  <si>
    <t>2025_19</t>
  </si>
  <si>
    <t>2025_20</t>
  </si>
  <si>
    <t>2025_21</t>
  </si>
  <si>
    <t>2025_22</t>
  </si>
  <si>
    <t>2025_23</t>
  </si>
  <si>
    <t>2025_24</t>
  </si>
  <si>
    <t>2025_25</t>
  </si>
  <si>
    <t>2025_26</t>
  </si>
  <si>
    <t>2025_27</t>
  </si>
  <si>
    <t>2025_28</t>
  </si>
  <si>
    <t>2025_29</t>
  </si>
  <si>
    <t>2025_30</t>
  </si>
  <si>
    <t>2025_31</t>
  </si>
  <si>
    <t>2025_32</t>
  </si>
  <si>
    <t>2025_33</t>
  </si>
  <si>
    <t>2025_34</t>
  </si>
  <si>
    <t>2025_35</t>
  </si>
  <si>
    <t>2025_36</t>
  </si>
  <si>
    <t>2025_37</t>
  </si>
  <si>
    <t>2025_38</t>
  </si>
  <si>
    <t>2025_39</t>
  </si>
  <si>
    <t>2025_40</t>
  </si>
  <si>
    <t>2025_41</t>
  </si>
  <si>
    <t>2025_42</t>
  </si>
  <si>
    <t>2025_43</t>
  </si>
  <si>
    <t>2025_44</t>
  </si>
  <si>
    <t>2025_45</t>
  </si>
  <si>
    <t>2025_46</t>
  </si>
  <si>
    <t>2025_47</t>
  </si>
  <si>
    <t>2025_48</t>
  </si>
  <si>
    <t>2025_49</t>
  </si>
  <si>
    <t>2025_50</t>
  </si>
  <si>
    <t>2025_51</t>
  </si>
  <si>
    <t>2025_52</t>
  </si>
  <si>
    <t>2026_01</t>
  </si>
  <si>
    <t>2026_02</t>
  </si>
  <si>
    <t>2026_03</t>
  </si>
  <si>
    <t>2026_04</t>
  </si>
  <si>
    <t>2026_05</t>
  </si>
  <si>
    <t>2026_06</t>
  </si>
  <si>
    <t>2026_07</t>
  </si>
  <si>
    <t>2026_08</t>
  </si>
  <si>
    <t>2026_09</t>
  </si>
  <si>
    <t>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</si>
</sst>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00%"/>
    <numFmt numFmtId="165" formatCode="_-&quot;$&quot;\ * #,##0_-;\-&quot;$&quot;\ * #,##0_-;_-&quot;$&quot;\ *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11"/>
      <color rgb="FF000000"/>
      <name val="Calibri"/>
      <family val="2"/>
      <scheme val="minor"/>
    </font>
    <font>
      <sz val="12"/>
      <color theme="1"/>
      <name val="Calibri"/>
      <family val="2"/>
      <scheme val="minor"/>
    </font>
    <font>
      <b/>
      <sz val="12"/>
      <color theme="1"/>
      <name val="Calibri"/>
      <family val="2"/>
      <scheme val="minor"/>
    </font>
    <font>
      <sz val="11"/>
      <color rgb="FF242424"/>
      <name val="Aptos Narrow"/>
      <charset val="1"/>
    </font>
  </fonts>
  <fills count="11">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9" tint="0.39997558519241921"/>
        <bgColor indexed="64"/>
      </patternFill>
    </fill>
    <fill>
      <patternFill patternType="solid">
        <fgColor rgb="FF7030A0"/>
        <bgColor indexed="64"/>
      </patternFill>
    </fill>
    <fill>
      <patternFill patternType="solid">
        <fgColor rgb="FFFF0000"/>
        <bgColor indexed="64"/>
      </patternFill>
    </fill>
    <fill>
      <patternFill patternType="solid">
        <fgColor rgb="FFD9EAF7"/>
        <bgColor indexed="64"/>
      </patternFill>
    </fill>
    <fill>
      <patternFill patternType="solid">
        <fgColor rgb="FFF2F2F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diagonal/>
    </border>
  </borders>
  <cellStyleXfs count="2">
    <xf numFmtId="0" fontId="0" fillId="0" borderId="0"/>
    <xf numFmtId="44" fontId="1" fillId="0" borderId="0" applyFont="0" applyFill="0" applyBorder="0" applyAlignment="0" applyProtection="0"/>
  </cellStyleXfs>
  <cellXfs count="81">
    <xf numFmtId="0" fontId="0" fillId="0" borderId="0" xfId="0"/>
    <xf numFmtId="0" fontId="0" fillId="0" borderId="0" xfId="0" applyAlignment="1">
      <alignment wrapText="1"/>
    </xf>
    <xf numFmtId="44" fontId="0" fillId="0" borderId="0" xfId="1" applyFont="1"/>
    <xf numFmtId="0" fontId="2" fillId="0" borderId="1" xfId="0" applyFont="1" applyBorder="1" applyAlignment="1">
      <alignment horizontal="center"/>
    </xf>
    <xf numFmtId="44" fontId="2" fillId="0" borderId="1" xfId="1" applyFont="1" applyBorder="1"/>
    <xf numFmtId="14" fontId="2" fillId="0" borderId="1" xfId="0" applyNumberFormat="1" applyFont="1" applyBorder="1" applyAlignment="1">
      <alignment horizontal="center"/>
    </xf>
    <xf numFmtId="14" fontId="2" fillId="0" borderId="2" xfId="0" applyNumberFormat="1" applyFont="1" applyBorder="1"/>
    <xf numFmtId="14" fontId="2" fillId="0" borderId="1" xfId="0" applyNumberFormat="1" applyFont="1" applyBorder="1"/>
    <xf numFmtId="44" fontId="2" fillId="0" borderId="3" xfId="1" applyFont="1" applyBorder="1"/>
    <xf numFmtId="14" fontId="2" fillId="0" borderId="5" xfId="0" applyNumberFormat="1" applyFont="1" applyBorder="1" applyAlignment="1">
      <alignment horizontal="center"/>
    </xf>
    <xf numFmtId="14" fontId="2" fillId="0" borderId="5" xfId="0" applyNumberFormat="1" applyFont="1" applyBorder="1"/>
    <xf numFmtId="44" fontId="2" fillId="0" borderId="4" xfId="1" applyFont="1" applyBorder="1"/>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44" fontId="2" fillId="5" borderId="7" xfId="1" applyFont="1" applyFill="1" applyBorder="1" applyAlignment="1">
      <alignment horizontal="center" vertical="center" wrapText="1"/>
    </xf>
    <xf numFmtId="44" fontId="2" fillId="5" borderId="8" xfId="1" applyFont="1" applyFill="1" applyBorder="1" applyAlignment="1">
      <alignment horizontal="center" vertical="center" wrapText="1"/>
    </xf>
    <xf numFmtId="14" fontId="2" fillId="0" borderId="9" xfId="0" applyNumberFormat="1" applyFont="1" applyBorder="1"/>
    <xf numFmtId="14" fontId="2" fillId="0" borderId="10" xfId="0" applyNumberFormat="1" applyFont="1" applyBorder="1"/>
    <xf numFmtId="0" fontId="2" fillId="0" borderId="10" xfId="0" applyFont="1" applyBorder="1" applyAlignment="1">
      <alignment horizontal="center"/>
    </xf>
    <xf numFmtId="44" fontId="2" fillId="0" borderId="10" xfId="1" applyFont="1" applyBorder="1"/>
    <xf numFmtId="44" fontId="2" fillId="0" borderId="11" xfId="1" applyFont="1" applyBorder="1"/>
    <xf numFmtId="0" fontId="2" fillId="7" borderId="7" xfId="0" applyFont="1" applyFill="1" applyBorder="1" applyAlignment="1">
      <alignment horizontal="center" vertical="center" wrapText="1"/>
    </xf>
    <xf numFmtId="0" fontId="4" fillId="2" borderId="7" xfId="0" applyFont="1" applyFill="1" applyBorder="1" applyAlignment="1">
      <alignment horizontal="center" vertical="center" wrapText="1"/>
    </xf>
    <xf numFmtId="44" fontId="0" fillId="0" borderId="0" xfId="1" applyFont="1" applyAlignment="1">
      <alignment horizontal="center"/>
    </xf>
    <xf numFmtId="0" fontId="2" fillId="8" borderId="7" xfId="0" applyFont="1" applyFill="1" applyBorder="1" applyAlignment="1">
      <alignment horizontal="center" vertical="center" wrapText="1"/>
    </xf>
    <xf numFmtId="44" fontId="2" fillId="0" borderId="1" xfId="1" applyFont="1" applyFill="1" applyBorder="1"/>
    <xf numFmtId="44" fontId="2" fillId="0" borderId="3" xfId="1" applyFont="1" applyFill="1" applyBorder="1"/>
    <xf numFmtId="0" fontId="3" fillId="5" borderId="7"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0" fillId="2" borderId="12" xfId="0" applyFill="1" applyBorder="1"/>
    <xf numFmtId="0" fontId="0" fillId="2" borderId="12" xfId="0" applyFill="1" applyBorder="1" applyAlignment="1">
      <alignment wrapText="1"/>
    </xf>
    <xf numFmtId="0" fontId="0" fillId="0" borderId="12" xfId="0" applyBorder="1"/>
    <xf numFmtId="14" fontId="0" fillId="0" borderId="12" xfId="0" applyNumberFormat="1" applyBorder="1"/>
    <xf numFmtId="0" fontId="0" fillId="0" borderId="12" xfId="0" applyBorder="1" applyAlignment="1">
      <alignment horizontal="center"/>
    </xf>
    <xf numFmtId="0" fontId="0" fillId="0" borderId="1" xfId="0" applyBorder="1"/>
    <xf numFmtId="14" fontId="0" fillId="0" borderId="13" xfId="0" applyNumberFormat="1" applyBorder="1"/>
    <xf numFmtId="0" fontId="0" fillId="0" borderId="14" xfId="0" applyBorder="1" applyAlignment="1">
      <alignment horizontal="center"/>
    </xf>
    <xf numFmtId="0" fontId="0" fillId="0" borderId="14" xfId="0" applyBorder="1"/>
    <xf numFmtId="0" fontId="0" fillId="0" borderId="1" xfId="0" applyBorder="1" applyAlignment="1">
      <alignment horizontal="center"/>
    </xf>
    <xf numFmtId="14" fontId="0" fillId="0" borderId="1" xfId="0" applyNumberFormat="1" applyBorder="1"/>
    <xf numFmtId="14" fontId="0" fillId="0" borderId="14" xfId="0" applyNumberFormat="1" applyBorder="1"/>
    <xf numFmtId="14" fontId="0" fillId="0" borderId="10" xfId="0" applyNumberFormat="1" applyBorder="1"/>
    <xf numFmtId="0" fontId="0" fillId="0" borderId="10" xfId="0" applyBorder="1" applyAlignment="1">
      <alignment horizontal="center"/>
    </xf>
    <xf numFmtId="0" fontId="0" fillId="0" borderId="10" xfId="0" applyBorder="1"/>
    <xf numFmtId="0" fontId="0" fillId="0" borderId="0" xfId="0" applyAlignment="1">
      <alignment horizontal="center"/>
    </xf>
    <xf numFmtId="0" fontId="0" fillId="0" borderId="4" xfId="0" applyBorder="1"/>
    <xf numFmtId="0" fontId="5" fillId="0" borderId="4" xfId="0" applyFont="1" applyBorder="1"/>
    <xf numFmtId="0" fontId="5" fillId="0" borderId="1" xfId="0" applyFont="1" applyBorder="1" applyAlignment="1">
      <alignment horizontal="center"/>
    </xf>
    <xf numFmtId="0" fontId="5" fillId="5" borderId="1" xfId="0" applyFont="1" applyFill="1" applyBorder="1" applyAlignment="1">
      <alignment horizontal="center"/>
    </xf>
    <xf numFmtId="0" fontId="5" fillId="3" borderId="4" xfId="0" applyFont="1" applyFill="1" applyBorder="1" applyAlignment="1">
      <alignment horizontal="center"/>
    </xf>
    <xf numFmtId="0" fontId="5" fillId="3" borderId="1" xfId="0" applyFont="1" applyFill="1" applyBorder="1" applyAlignment="1">
      <alignment horizontal="center"/>
    </xf>
    <xf numFmtId="0" fontId="6" fillId="2" borderId="1" xfId="0" applyFont="1" applyFill="1" applyBorder="1" applyAlignment="1">
      <alignment horizontal="center"/>
    </xf>
    <xf numFmtId="14" fontId="0" fillId="0" borderId="4" xfId="0" applyNumberFormat="1" applyBorder="1"/>
    <xf numFmtId="14" fontId="0" fillId="0" borderId="15" xfId="0" applyNumberFormat="1" applyBorder="1"/>
    <xf numFmtId="0" fontId="0" fillId="0" borderId="11" xfId="0" applyBorder="1"/>
    <xf numFmtId="0" fontId="0" fillId="0" borderId="16" xfId="0" applyBorder="1" applyAlignment="1">
      <alignment horizontal="center"/>
    </xf>
    <xf numFmtId="0" fontId="0" fillId="5" borderId="1" xfId="0" applyFill="1" applyBorder="1" applyAlignment="1">
      <alignment horizontal="center"/>
    </xf>
    <xf numFmtId="14" fontId="0" fillId="0" borderId="4" xfId="0" applyNumberFormat="1" applyBorder="1" applyAlignment="1">
      <alignment horizontal="left"/>
    </xf>
    <xf numFmtId="14" fontId="0" fillId="0" borderId="11" xfId="0" applyNumberFormat="1" applyBorder="1"/>
    <xf numFmtId="0" fontId="0" fillId="0" borderId="1" xfId="0" applyBorder="1" applyAlignment="1">
      <alignment wrapText="1"/>
    </xf>
    <xf numFmtId="0" fontId="7" fillId="0" borderId="1" xfId="0" applyFont="1" applyBorder="1"/>
    <xf numFmtId="0" fontId="0" fillId="0" borderId="13" xfId="0" applyBorder="1" applyAlignment="1">
      <alignment horizontal="center"/>
    </xf>
    <xf numFmtId="0" fontId="0" fillId="0" borderId="15" xfId="0" applyBorder="1" applyAlignment="1">
      <alignment horizontal="center"/>
    </xf>
    <xf numFmtId="0" fontId="0" fillId="0" borderId="4" xfId="0" applyBorder="1" applyAlignment="1">
      <alignment horizontal="center"/>
    </xf>
    <xf numFmtId="0" fontId="0" fillId="0" borderId="11" xfId="0" applyBorder="1" applyAlignment="1">
      <alignment horizontal="center"/>
    </xf>
    <xf numFmtId="0" fontId="0" fillId="2" borderId="14" xfId="0" applyFill="1" applyBorder="1"/>
    <xf numFmtId="14" fontId="0" fillId="0" borderId="0" xfId="0" applyNumberFormat="1" applyAlignment="1">
      <alignment wrapText="1"/>
    </xf>
    <xf numFmtId="44" fontId="0" fillId="0" borderId="0" xfId="1" applyFont="1" applyAlignment="1">
      <alignment wrapText="1"/>
    </xf>
    <xf numFmtId="14" fontId="2" fillId="0" borderId="4" xfId="0" applyNumberFormat="1" applyFont="1" applyBorder="1"/>
    <xf numFmtId="44" fontId="2" fillId="0" borderId="17" xfId="1" applyFont="1" applyBorder="1"/>
    <xf numFmtId="14" fontId="2" fillId="0" borderId="18" xfId="0" applyNumberFormat="1" applyFont="1" applyBorder="1"/>
    <xf numFmtId="14" fontId="2" fillId="0" borderId="11" xfId="0" applyNumberFormat="1" applyFont="1" applyBorder="1"/>
    <xf numFmtId="44" fontId="0" fillId="0" borderId="1" xfId="1" applyFont="1" applyBorder="1"/>
    <xf numFmtId="14" fontId="0" fillId="0" borderId="0" xfId="0" applyNumberFormat="1"/>
    <xf numFmtId="0" fontId="2" fillId="9" borderId="0" xfId="0" applyFont="1" applyFill="1" applyAlignment="1">
      <alignment horizontal="center"/>
    </xf>
    <xf numFmtId="164" fontId="0" fillId="0" borderId="0" xfId="0" applyNumberFormat="1"/>
    <xf numFmtId="0" fontId="2" fillId="10" borderId="0" xfId="0" applyFont="1" applyFill="1" applyAlignment="1">
      <alignment horizontal="center"/>
    </xf>
    <xf numFmtId="165" fontId="0" fillId="0" borderId="0" xfId="1" applyNumberFormat="1" applyFont="1"/>
    <xf numFmtId="44" fontId="0" fillId="0" borderId="0" xfId="0" applyNumberFormat="1"/>
  </cellXfs>
  <cellStyles count="2">
    <cellStyle name="Moneda" xfId="1" builtinId="4"/>
    <cellStyle name="Normal" xfId="0" builtinId="0"/>
  </cellStyles>
  <dxfs count="37">
    <dxf>
      <font>
        <b/>
        <i val="0"/>
        <strike val="0"/>
        <condense val="0"/>
        <extend val="0"/>
        <outline val="0"/>
        <shadow val="0"/>
        <u val="none"/>
        <vertAlign val="baseline"/>
        <sz val="11"/>
        <color theme="1"/>
        <name val="Calibri"/>
        <family val="2"/>
        <scheme val="minor"/>
      </font>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numFmt numFmtId="19" formatCode="d/mm/yyyy"/>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Calibri"/>
        <family val="2"/>
        <scheme val="minor"/>
      </font>
      <numFmt numFmtId="19" formatCode="d/mm/yyyy"/>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medium">
          <color rgb="FF000000"/>
        </left>
        <right style="medium">
          <color rgb="FF000000"/>
        </right>
        <top style="medium">
          <color rgb="FF000000"/>
        </top>
        <bottom style="thin">
          <color rgb="FF000000"/>
        </bottom>
      </border>
    </dxf>
    <dxf>
      <font>
        <b/>
        <i val="0"/>
        <strike val="0"/>
        <condense val="0"/>
        <extend val="0"/>
        <outline val="0"/>
        <shadow val="0"/>
        <u val="none"/>
        <vertAlign val="baseline"/>
        <sz val="11"/>
        <color theme="1"/>
        <name val="Calibri"/>
        <family val="2"/>
        <scheme val="minor"/>
      </font>
    </dxf>
    <dxf>
      <border outline="0">
        <bottom style="thin">
          <color rgb="FF000000"/>
        </bottom>
      </border>
    </dxf>
    <dxf>
      <font>
        <b/>
        <i val="0"/>
        <strike val="0"/>
        <condense val="0"/>
        <extend val="0"/>
        <outline val="0"/>
        <shadow val="0"/>
        <u val="none"/>
        <vertAlign val="baseline"/>
        <sz val="11"/>
        <color theme="1"/>
        <name val="Calibri"/>
        <family val="2"/>
        <scheme val="minor"/>
      </font>
      <fill>
        <patternFill patternType="solid">
          <fgColor indexed="64"/>
          <bgColor rgb="FF00B0F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Comportamiento Semanal</a:t>
            </a:r>
            <a:r>
              <a:rPr lang="es-CO" baseline="0"/>
              <a:t> </a:t>
            </a:r>
            <a:r>
              <a:rPr lang="es-CO"/>
              <a:t>Cantidad Facturas Emitidas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'CONSOLIDADO SEMANAL'!$B$5:$B$70</c:f>
              <c:numCache>
                <c:formatCode>m/d/yyyy</c:formatCode>
                <c:ptCount val="66"/>
                <c:pt idx="0">
                  <c:v>45482</c:v>
                </c:pt>
                <c:pt idx="1">
                  <c:v>45489</c:v>
                </c:pt>
                <c:pt idx="2">
                  <c:v>45496</c:v>
                </c:pt>
                <c:pt idx="3">
                  <c:v>45503</c:v>
                </c:pt>
                <c:pt idx="4">
                  <c:v>45510</c:v>
                </c:pt>
                <c:pt idx="5">
                  <c:v>45517</c:v>
                </c:pt>
                <c:pt idx="6">
                  <c:v>45524</c:v>
                </c:pt>
                <c:pt idx="7">
                  <c:v>45531</c:v>
                </c:pt>
                <c:pt idx="8">
                  <c:v>45538</c:v>
                </c:pt>
                <c:pt idx="9">
                  <c:v>45545</c:v>
                </c:pt>
                <c:pt idx="10">
                  <c:v>45552</c:v>
                </c:pt>
                <c:pt idx="11">
                  <c:v>45559</c:v>
                </c:pt>
                <c:pt idx="12">
                  <c:v>45566</c:v>
                </c:pt>
                <c:pt idx="13">
                  <c:v>45573</c:v>
                </c:pt>
                <c:pt idx="14">
                  <c:v>45580</c:v>
                </c:pt>
                <c:pt idx="15">
                  <c:v>45587</c:v>
                </c:pt>
                <c:pt idx="16">
                  <c:v>45594</c:v>
                </c:pt>
                <c:pt idx="17">
                  <c:v>45601</c:v>
                </c:pt>
                <c:pt idx="18">
                  <c:v>45608</c:v>
                </c:pt>
                <c:pt idx="19">
                  <c:v>45615</c:v>
                </c:pt>
                <c:pt idx="20">
                  <c:v>45622</c:v>
                </c:pt>
                <c:pt idx="21">
                  <c:v>45629</c:v>
                </c:pt>
                <c:pt idx="22">
                  <c:v>45636</c:v>
                </c:pt>
                <c:pt idx="23">
                  <c:v>45643</c:v>
                </c:pt>
                <c:pt idx="24">
                  <c:v>45650</c:v>
                </c:pt>
                <c:pt idx="25">
                  <c:v>45657</c:v>
                </c:pt>
                <c:pt idx="26">
                  <c:v>45664</c:v>
                </c:pt>
                <c:pt idx="27">
                  <c:v>45671</c:v>
                </c:pt>
                <c:pt idx="28">
                  <c:v>45678</c:v>
                </c:pt>
                <c:pt idx="29">
                  <c:v>45685</c:v>
                </c:pt>
                <c:pt idx="30">
                  <c:v>45692</c:v>
                </c:pt>
                <c:pt idx="31">
                  <c:v>45699</c:v>
                </c:pt>
                <c:pt idx="32">
                  <c:v>45706</c:v>
                </c:pt>
                <c:pt idx="33">
                  <c:v>45713</c:v>
                </c:pt>
                <c:pt idx="34">
                  <c:v>45720</c:v>
                </c:pt>
                <c:pt idx="35">
                  <c:v>45727</c:v>
                </c:pt>
                <c:pt idx="36">
                  <c:v>45734</c:v>
                </c:pt>
                <c:pt idx="37">
                  <c:v>45741</c:v>
                </c:pt>
                <c:pt idx="38">
                  <c:v>45748</c:v>
                </c:pt>
                <c:pt idx="39">
                  <c:v>45755</c:v>
                </c:pt>
                <c:pt idx="40">
                  <c:v>45762</c:v>
                </c:pt>
                <c:pt idx="41">
                  <c:v>45769</c:v>
                </c:pt>
                <c:pt idx="42">
                  <c:v>45776</c:v>
                </c:pt>
                <c:pt idx="43">
                  <c:v>45783</c:v>
                </c:pt>
                <c:pt idx="44">
                  <c:v>45790</c:v>
                </c:pt>
                <c:pt idx="45">
                  <c:v>45797</c:v>
                </c:pt>
                <c:pt idx="46">
                  <c:v>45804</c:v>
                </c:pt>
                <c:pt idx="47">
                  <c:v>45811</c:v>
                </c:pt>
                <c:pt idx="48">
                  <c:v>45818</c:v>
                </c:pt>
                <c:pt idx="49">
                  <c:v>45825</c:v>
                </c:pt>
                <c:pt idx="50">
                  <c:v>45832</c:v>
                </c:pt>
                <c:pt idx="51">
                  <c:v>45839</c:v>
                </c:pt>
                <c:pt idx="52">
                  <c:v>45846</c:v>
                </c:pt>
                <c:pt idx="53">
                  <c:v>45853</c:v>
                </c:pt>
                <c:pt idx="54">
                  <c:v>45860</c:v>
                </c:pt>
                <c:pt idx="55">
                  <c:v>45867</c:v>
                </c:pt>
                <c:pt idx="56">
                  <c:v>45874</c:v>
                </c:pt>
                <c:pt idx="57">
                  <c:v>45881</c:v>
                </c:pt>
                <c:pt idx="58">
                  <c:v>45888</c:v>
                </c:pt>
                <c:pt idx="59">
                  <c:v>45895</c:v>
                </c:pt>
                <c:pt idx="60">
                  <c:v>45902</c:v>
                </c:pt>
                <c:pt idx="61">
                  <c:v>45909</c:v>
                </c:pt>
                <c:pt idx="62">
                  <c:v>45916</c:v>
                </c:pt>
                <c:pt idx="63">
                  <c:v>45923</c:v>
                </c:pt>
                <c:pt idx="64">
                  <c:v>45930</c:v>
                </c:pt>
                <c:pt idx="65">
                  <c:v>45937</c:v>
                </c:pt>
              </c:numCache>
            </c:numRef>
          </c:cat>
          <c:val>
            <c:numRef>
              <c:f>'CONSOLIDADO SEMANAL'!$C$5:$C$70</c:f>
              <c:numCache>
                <c:formatCode>General</c:formatCode>
                <c:ptCount val="66"/>
                <c:pt idx="0">
                  <c:v>668</c:v>
                </c:pt>
                <c:pt idx="1">
                  <c:v>451</c:v>
                </c:pt>
                <c:pt idx="2">
                  <c:v>443</c:v>
                </c:pt>
                <c:pt idx="3">
                  <c:v>128</c:v>
                </c:pt>
                <c:pt idx="4">
                  <c:v>577</c:v>
                </c:pt>
                <c:pt idx="5">
                  <c:v>465</c:v>
                </c:pt>
                <c:pt idx="6">
                  <c:v>409</c:v>
                </c:pt>
                <c:pt idx="7">
                  <c:v>275</c:v>
                </c:pt>
                <c:pt idx="8">
                  <c:v>449</c:v>
                </c:pt>
                <c:pt idx="9">
                  <c:v>506</c:v>
                </c:pt>
                <c:pt idx="10">
                  <c:v>430</c:v>
                </c:pt>
                <c:pt idx="11">
                  <c:v>451</c:v>
                </c:pt>
                <c:pt idx="12">
                  <c:v>313</c:v>
                </c:pt>
                <c:pt idx="13">
                  <c:v>620</c:v>
                </c:pt>
                <c:pt idx="14">
                  <c:v>425</c:v>
                </c:pt>
                <c:pt idx="15">
                  <c:v>522</c:v>
                </c:pt>
                <c:pt idx="16">
                  <c:v>234</c:v>
                </c:pt>
                <c:pt idx="17">
                  <c:v>332</c:v>
                </c:pt>
                <c:pt idx="18">
                  <c:v>473</c:v>
                </c:pt>
                <c:pt idx="19">
                  <c:v>594</c:v>
                </c:pt>
                <c:pt idx="20">
                  <c:v>375</c:v>
                </c:pt>
                <c:pt idx="21">
                  <c:v>476</c:v>
                </c:pt>
                <c:pt idx="22">
                  <c:v>631</c:v>
                </c:pt>
                <c:pt idx="23">
                  <c:v>564</c:v>
                </c:pt>
                <c:pt idx="24">
                  <c:v>292</c:v>
                </c:pt>
                <c:pt idx="25">
                  <c:v>38</c:v>
                </c:pt>
                <c:pt idx="26">
                  <c:v>0</c:v>
                </c:pt>
                <c:pt idx="27">
                  <c:v>401</c:v>
                </c:pt>
                <c:pt idx="28">
                  <c:v>451</c:v>
                </c:pt>
                <c:pt idx="29">
                  <c:v>268</c:v>
                </c:pt>
                <c:pt idx="30">
                  <c:v>502</c:v>
                </c:pt>
                <c:pt idx="31">
                  <c:v>566</c:v>
                </c:pt>
                <c:pt idx="32">
                  <c:v>512</c:v>
                </c:pt>
                <c:pt idx="33">
                  <c:v>408</c:v>
                </c:pt>
                <c:pt idx="34">
                  <c:v>458</c:v>
                </c:pt>
                <c:pt idx="35">
                  <c:v>643</c:v>
                </c:pt>
                <c:pt idx="36">
                  <c:v>596</c:v>
                </c:pt>
                <c:pt idx="37">
                  <c:v>310</c:v>
                </c:pt>
                <c:pt idx="38">
                  <c:v>332</c:v>
                </c:pt>
                <c:pt idx="39">
                  <c:v>564</c:v>
                </c:pt>
                <c:pt idx="40">
                  <c:v>519</c:v>
                </c:pt>
                <c:pt idx="41">
                  <c:v>191</c:v>
                </c:pt>
                <c:pt idx="42">
                  <c:v>281</c:v>
                </c:pt>
                <c:pt idx="43">
                  <c:v>454</c:v>
                </c:pt>
                <c:pt idx="44">
                  <c:v>540</c:v>
                </c:pt>
                <c:pt idx="45">
                  <c:v>503</c:v>
                </c:pt>
                <c:pt idx="46">
                  <c:v>394</c:v>
                </c:pt>
                <c:pt idx="47">
                  <c:v>310</c:v>
                </c:pt>
                <c:pt idx="48">
                  <c:v>648</c:v>
                </c:pt>
                <c:pt idx="49">
                  <c:v>571</c:v>
                </c:pt>
                <c:pt idx="50">
                  <c:v>396</c:v>
                </c:pt>
                <c:pt idx="51">
                  <c:v>250</c:v>
                </c:pt>
                <c:pt idx="52">
                  <c:v>510</c:v>
                </c:pt>
                <c:pt idx="53">
                  <c:v>456</c:v>
                </c:pt>
                <c:pt idx="54">
                  <c:v>476</c:v>
                </c:pt>
                <c:pt idx="55">
                  <c:v>229</c:v>
                </c:pt>
                <c:pt idx="56">
                  <c:v>511</c:v>
                </c:pt>
                <c:pt idx="57">
                  <c:v>435</c:v>
                </c:pt>
                <c:pt idx="58">
                  <c:v>416</c:v>
                </c:pt>
                <c:pt idx="59">
                  <c:v>438</c:v>
                </c:pt>
                <c:pt idx="60">
                  <c:v>406</c:v>
                </c:pt>
                <c:pt idx="61">
                  <c:v>559</c:v>
                </c:pt>
                <c:pt idx="62">
                  <c:v>500</c:v>
                </c:pt>
                <c:pt idx="63">
                  <c:v>429</c:v>
                </c:pt>
                <c:pt idx="64">
                  <c:v>198</c:v>
                </c:pt>
                <c:pt idx="65">
                  <c:v>682</c:v>
                </c:pt>
              </c:numCache>
            </c:numRef>
          </c:val>
          <c:smooth val="0"/>
          <c:extLst>
            <c:ext xmlns:c16="http://schemas.microsoft.com/office/drawing/2014/chart" uri="{C3380CC4-5D6E-409C-BE32-E72D297353CC}">
              <c16:uniqueId val="{00000000-ACB0-4398-9C33-B8C6D29676EC}"/>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734393439"/>
        <c:axId val="1734393919"/>
      </c:lineChart>
      <c:dateAx>
        <c:axId val="17343934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Periodo</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34393919"/>
        <c:crosses val="autoZero"/>
        <c:auto val="1"/>
        <c:lblOffset val="100"/>
        <c:baseTimeUnit val="days"/>
      </c:dateAx>
      <c:valAx>
        <c:axId val="1734393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Cantidad facturas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343934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br>
              <a:rPr lang="es-CO"/>
            </a:br>
            <a:r>
              <a:rPr lang="es-CO"/>
              <a:t>Comportamiento semanal  valor</a:t>
            </a:r>
            <a:r>
              <a:rPr lang="es-CO" baseline="0"/>
              <a:t> facturación y Notas crédito</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'CONSOLIDADO SEMANAL'!$AI$4</c:f>
              <c:strCache>
                <c:ptCount val="1"/>
                <c:pt idx="0">
                  <c:v> Facturado </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numRef>
              <c:f>'CONSOLIDADO SEMANAL'!$AH$5:$AH$70</c:f>
              <c:numCache>
                <c:formatCode>m/d/yyyy</c:formatCode>
                <c:ptCount val="66"/>
                <c:pt idx="0">
                  <c:v>45482</c:v>
                </c:pt>
                <c:pt idx="1">
                  <c:v>45489</c:v>
                </c:pt>
                <c:pt idx="2">
                  <c:v>45496</c:v>
                </c:pt>
                <c:pt idx="3">
                  <c:v>45503</c:v>
                </c:pt>
                <c:pt idx="4">
                  <c:v>45510</c:v>
                </c:pt>
                <c:pt idx="5">
                  <c:v>45517</c:v>
                </c:pt>
                <c:pt idx="6">
                  <c:v>45524</c:v>
                </c:pt>
                <c:pt idx="7">
                  <c:v>45531</c:v>
                </c:pt>
                <c:pt idx="8">
                  <c:v>45538</c:v>
                </c:pt>
                <c:pt idx="9">
                  <c:v>45545</c:v>
                </c:pt>
                <c:pt idx="10">
                  <c:v>45552</c:v>
                </c:pt>
                <c:pt idx="11">
                  <c:v>45559</c:v>
                </c:pt>
                <c:pt idx="12">
                  <c:v>45566</c:v>
                </c:pt>
                <c:pt idx="13">
                  <c:v>45573</c:v>
                </c:pt>
                <c:pt idx="14">
                  <c:v>45580</c:v>
                </c:pt>
                <c:pt idx="15">
                  <c:v>45587</c:v>
                </c:pt>
                <c:pt idx="16">
                  <c:v>45594</c:v>
                </c:pt>
                <c:pt idx="17">
                  <c:v>45601</c:v>
                </c:pt>
                <c:pt idx="18">
                  <c:v>45608</c:v>
                </c:pt>
                <c:pt idx="19">
                  <c:v>45615</c:v>
                </c:pt>
                <c:pt idx="20">
                  <c:v>45622</c:v>
                </c:pt>
                <c:pt idx="21">
                  <c:v>45629</c:v>
                </c:pt>
                <c:pt idx="22">
                  <c:v>45636</c:v>
                </c:pt>
                <c:pt idx="23">
                  <c:v>45643</c:v>
                </c:pt>
                <c:pt idx="24">
                  <c:v>45650</c:v>
                </c:pt>
                <c:pt idx="25">
                  <c:v>45657</c:v>
                </c:pt>
                <c:pt idx="26">
                  <c:v>45664</c:v>
                </c:pt>
                <c:pt idx="27">
                  <c:v>45671</c:v>
                </c:pt>
                <c:pt idx="28">
                  <c:v>45678</c:v>
                </c:pt>
                <c:pt idx="29">
                  <c:v>45685</c:v>
                </c:pt>
                <c:pt idx="30">
                  <c:v>45692</c:v>
                </c:pt>
                <c:pt idx="31">
                  <c:v>45699</c:v>
                </c:pt>
                <c:pt idx="32">
                  <c:v>45706</c:v>
                </c:pt>
                <c:pt idx="33">
                  <c:v>45713</c:v>
                </c:pt>
                <c:pt idx="34">
                  <c:v>45720</c:v>
                </c:pt>
                <c:pt idx="35">
                  <c:v>45727</c:v>
                </c:pt>
                <c:pt idx="36">
                  <c:v>45734</c:v>
                </c:pt>
                <c:pt idx="37">
                  <c:v>45741</c:v>
                </c:pt>
                <c:pt idx="38">
                  <c:v>45748</c:v>
                </c:pt>
                <c:pt idx="39">
                  <c:v>45755</c:v>
                </c:pt>
                <c:pt idx="40">
                  <c:v>45762</c:v>
                </c:pt>
                <c:pt idx="41">
                  <c:v>45769</c:v>
                </c:pt>
                <c:pt idx="42">
                  <c:v>45776</c:v>
                </c:pt>
                <c:pt idx="43">
                  <c:v>45783</c:v>
                </c:pt>
                <c:pt idx="44">
                  <c:v>45790</c:v>
                </c:pt>
                <c:pt idx="45">
                  <c:v>45797</c:v>
                </c:pt>
                <c:pt idx="46">
                  <c:v>45804</c:v>
                </c:pt>
                <c:pt idx="47">
                  <c:v>45811</c:v>
                </c:pt>
                <c:pt idx="48">
                  <c:v>45818</c:v>
                </c:pt>
                <c:pt idx="49">
                  <c:v>45825</c:v>
                </c:pt>
                <c:pt idx="50">
                  <c:v>45832</c:v>
                </c:pt>
                <c:pt idx="51">
                  <c:v>45839</c:v>
                </c:pt>
                <c:pt idx="52">
                  <c:v>45846</c:v>
                </c:pt>
                <c:pt idx="53">
                  <c:v>45853</c:v>
                </c:pt>
                <c:pt idx="54">
                  <c:v>45860</c:v>
                </c:pt>
                <c:pt idx="55">
                  <c:v>45867</c:v>
                </c:pt>
                <c:pt idx="56">
                  <c:v>45874</c:v>
                </c:pt>
                <c:pt idx="57">
                  <c:v>45881</c:v>
                </c:pt>
                <c:pt idx="58">
                  <c:v>45888</c:v>
                </c:pt>
                <c:pt idx="59">
                  <c:v>45895</c:v>
                </c:pt>
                <c:pt idx="60">
                  <c:v>45902</c:v>
                </c:pt>
                <c:pt idx="61">
                  <c:v>45909</c:v>
                </c:pt>
                <c:pt idx="62">
                  <c:v>45916</c:v>
                </c:pt>
                <c:pt idx="63">
                  <c:v>45923</c:v>
                </c:pt>
                <c:pt idx="64">
                  <c:v>45930</c:v>
                </c:pt>
                <c:pt idx="65">
                  <c:v>45937</c:v>
                </c:pt>
              </c:numCache>
            </c:numRef>
          </c:cat>
          <c:val>
            <c:numRef>
              <c:f>'CONSOLIDADO SEMANAL'!$AI$5:$AI$70</c:f>
              <c:numCache>
                <c:formatCode>_("$"* #,##0.00_);_("$"* \(#,##0.00\);_("$"* "-"??_);_(@_)</c:formatCode>
                <c:ptCount val="66"/>
                <c:pt idx="0">
                  <c:v>2434426475</c:v>
                </c:pt>
                <c:pt idx="1">
                  <c:v>1781607021</c:v>
                </c:pt>
                <c:pt idx="2">
                  <c:v>1744411864</c:v>
                </c:pt>
                <c:pt idx="3">
                  <c:v>611297854</c:v>
                </c:pt>
                <c:pt idx="4">
                  <c:v>2926705380</c:v>
                </c:pt>
                <c:pt idx="5">
                  <c:v>1294428975</c:v>
                </c:pt>
                <c:pt idx="6">
                  <c:v>1420404107</c:v>
                </c:pt>
                <c:pt idx="7">
                  <c:v>1533791399</c:v>
                </c:pt>
                <c:pt idx="8">
                  <c:v>2034851461</c:v>
                </c:pt>
                <c:pt idx="9">
                  <c:v>2245832145</c:v>
                </c:pt>
                <c:pt idx="10">
                  <c:v>1971219536</c:v>
                </c:pt>
                <c:pt idx="11">
                  <c:v>2718967070</c:v>
                </c:pt>
                <c:pt idx="12">
                  <c:v>1530373539</c:v>
                </c:pt>
                <c:pt idx="13">
                  <c:v>2446166505</c:v>
                </c:pt>
                <c:pt idx="14">
                  <c:v>2402665134</c:v>
                </c:pt>
                <c:pt idx="15">
                  <c:v>2052136937</c:v>
                </c:pt>
                <c:pt idx="16">
                  <c:v>1138362081</c:v>
                </c:pt>
                <c:pt idx="17">
                  <c:v>1732692214</c:v>
                </c:pt>
                <c:pt idx="18">
                  <c:v>1931097325</c:v>
                </c:pt>
                <c:pt idx="19">
                  <c:v>2661334715</c:v>
                </c:pt>
                <c:pt idx="20">
                  <c:v>1702309861</c:v>
                </c:pt>
                <c:pt idx="21">
                  <c:v>2489335984</c:v>
                </c:pt>
                <c:pt idx="22">
                  <c:v>4322111868</c:v>
                </c:pt>
                <c:pt idx="23">
                  <c:v>3716303358</c:v>
                </c:pt>
                <c:pt idx="24">
                  <c:v>1825119729</c:v>
                </c:pt>
                <c:pt idx="25">
                  <c:v>1047712420</c:v>
                </c:pt>
                <c:pt idx="26">
                  <c:v>0</c:v>
                </c:pt>
                <c:pt idx="27">
                  <c:v>2142553979</c:v>
                </c:pt>
                <c:pt idx="28">
                  <c:v>3391577494</c:v>
                </c:pt>
                <c:pt idx="29">
                  <c:v>1325739105</c:v>
                </c:pt>
                <c:pt idx="30">
                  <c:v>2971251525</c:v>
                </c:pt>
                <c:pt idx="31">
                  <c:v>2633921157</c:v>
                </c:pt>
                <c:pt idx="32">
                  <c:v>1753553077</c:v>
                </c:pt>
                <c:pt idx="33">
                  <c:v>1709198079</c:v>
                </c:pt>
                <c:pt idx="34">
                  <c:v>2837551119</c:v>
                </c:pt>
                <c:pt idx="35">
                  <c:v>2426242381</c:v>
                </c:pt>
                <c:pt idx="36">
                  <c:v>1935955886</c:v>
                </c:pt>
                <c:pt idx="37">
                  <c:v>1785152262</c:v>
                </c:pt>
                <c:pt idx="38">
                  <c:v>1295432593</c:v>
                </c:pt>
                <c:pt idx="39">
                  <c:v>2360022740</c:v>
                </c:pt>
                <c:pt idx="40">
                  <c:v>2193769103</c:v>
                </c:pt>
                <c:pt idx="41">
                  <c:v>924585492</c:v>
                </c:pt>
                <c:pt idx="42">
                  <c:v>1278786751</c:v>
                </c:pt>
                <c:pt idx="43">
                  <c:v>1977479161</c:v>
                </c:pt>
                <c:pt idx="44">
                  <c:v>5864093707</c:v>
                </c:pt>
                <c:pt idx="45">
                  <c:v>1849693334</c:v>
                </c:pt>
                <c:pt idx="46">
                  <c:v>930644348</c:v>
                </c:pt>
                <c:pt idx="47">
                  <c:v>1035953378</c:v>
                </c:pt>
                <c:pt idx="48">
                  <c:v>2684327475</c:v>
                </c:pt>
                <c:pt idx="49">
                  <c:v>2141665314</c:v>
                </c:pt>
                <c:pt idx="50">
                  <c:v>1325997188</c:v>
                </c:pt>
                <c:pt idx="51">
                  <c:v>1365219905</c:v>
                </c:pt>
                <c:pt idx="52">
                  <c:v>1972569670</c:v>
                </c:pt>
                <c:pt idx="53">
                  <c:v>2231045240</c:v>
                </c:pt>
                <c:pt idx="54">
                  <c:v>398661391</c:v>
                </c:pt>
                <c:pt idx="55">
                  <c:v>1236409219</c:v>
                </c:pt>
                <c:pt idx="56">
                  <c:v>0</c:v>
                </c:pt>
                <c:pt idx="57">
                  <c:v>1855809179</c:v>
                </c:pt>
                <c:pt idx="58">
                  <c:v>1420092193</c:v>
                </c:pt>
                <c:pt idx="59">
                  <c:v>1829148407</c:v>
                </c:pt>
                <c:pt idx="60">
                  <c:v>1547434757</c:v>
                </c:pt>
                <c:pt idx="61">
                  <c:v>2909351132</c:v>
                </c:pt>
                <c:pt idx="62">
                  <c:v>1944472061</c:v>
                </c:pt>
                <c:pt idx="63">
                  <c:v>162465546</c:v>
                </c:pt>
                <c:pt idx="64">
                  <c:v>1409052277</c:v>
                </c:pt>
                <c:pt idx="65">
                  <c:v>2738539964</c:v>
                </c:pt>
              </c:numCache>
            </c:numRef>
          </c:val>
          <c:smooth val="0"/>
          <c:extLst>
            <c:ext xmlns:c16="http://schemas.microsoft.com/office/drawing/2014/chart" uri="{C3380CC4-5D6E-409C-BE32-E72D297353CC}">
              <c16:uniqueId val="{00000000-A977-4128-9BC3-D6158B66506D}"/>
            </c:ext>
          </c:extLst>
        </c:ser>
        <c:ser>
          <c:idx val="1"/>
          <c:order val="1"/>
          <c:tx>
            <c:strRef>
              <c:f>'CONSOLIDADO SEMANAL'!$AJ$4</c:f>
              <c:strCache>
                <c:ptCount val="1"/>
                <c:pt idx="0">
                  <c:v> Notas crédito </c:v>
                </c:pt>
              </c:strCache>
            </c:strRef>
          </c:tx>
          <c:spPr>
            <a:ln w="28575" cap="rnd">
              <a:solidFill>
                <a:schemeClr val="accent2"/>
              </a:solidFill>
              <a:round/>
            </a:ln>
            <a:effectLst/>
          </c:spPr>
          <c:marker>
            <c:symbol val="none"/>
          </c:marker>
          <c:cat>
            <c:numRef>
              <c:f>'CONSOLIDADO SEMANAL'!$AH$5:$AH$70</c:f>
              <c:numCache>
                <c:formatCode>m/d/yyyy</c:formatCode>
                <c:ptCount val="66"/>
                <c:pt idx="0">
                  <c:v>45482</c:v>
                </c:pt>
                <c:pt idx="1">
                  <c:v>45489</c:v>
                </c:pt>
                <c:pt idx="2">
                  <c:v>45496</c:v>
                </c:pt>
                <c:pt idx="3">
                  <c:v>45503</c:v>
                </c:pt>
                <c:pt idx="4">
                  <c:v>45510</c:v>
                </c:pt>
                <c:pt idx="5">
                  <c:v>45517</c:v>
                </c:pt>
                <c:pt idx="6">
                  <c:v>45524</c:v>
                </c:pt>
                <c:pt idx="7">
                  <c:v>45531</c:v>
                </c:pt>
                <c:pt idx="8">
                  <c:v>45538</c:v>
                </c:pt>
                <c:pt idx="9">
                  <c:v>45545</c:v>
                </c:pt>
                <c:pt idx="10">
                  <c:v>45552</c:v>
                </c:pt>
                <c:pt idx="11">
                  <c:v>45559</c:v>
                </c:pt>
                <c:pt idx="12">
                  <c:v>45566</c:v>
                </c:pt>
                <c:pt idx="13">
                  <c:v>45573</c:v>
                </c:pt>
                <c:pt idx="14">
                  <c:v>45580</c:v>
                </c:pt>
                <c:pt idx="15">
                  <c:v>45587</c:v>
                </c:pt>
                <c:pt idx="16">
                  <c:v>45594</c:v>
                </c:pt>
                <c:pt idx="17">
                  <c:v>45601</c:v>
                </c:pt>
                <c:pt idx="18">
                  <c:v>45608</c:v>
                </c:pt>
                <c:pt idx="19">
                  <c:v>45615</c:v>
                </c:pt>
                <c:pt idx="20">
                  <c:v>45622</c:v>
                </c:pt>
                <c:pt idx="21">
                  <c:v>45629</c:v>
                </c:pt>
                <c:pt idx="22">
                  <c:v>45636</c:v>
                </c:pt>
                <c:pt idx="23">
                  <c:v>45643</c:v>
                </c:pt>
                <c:pt idx="24">
                  <c:v>45650</c:v>
                </c:pt>
                <c:pt idx="25">
                  <c:v>45657</c:v>
                </c:pt>
                <c:pt idx="26">
                  <c:v>45664</c:v>
                </c:pt>
                <c:pt idx="27">
                  <c:v>45671</c:v>
                </c:pt>
                <c:pt idx="28">
                  <c:v>45678</c:v>
                </c:pt>
                <c:pt idx="29">
                  <c:v>45685</c:v>
                </c:pt>
                <c:pt idx="30">
                  <c:v>45692</c:v>
                </c:pt>
                <c:pt idx="31">
                  <c:v>45699</c:v>
                </c:pt>
                <c:pt idx="32">
                  <c:v>45706</c:v>
                </c:pt>
                <c:pt idx="33">
                  <c:v>45713</c:v>
                </c:pt>
                <c:pt idx="34">
                  <c:v>45720</c:v>
                </c:pt>
                <c:pt idx="35">
                  <c:v>45727</c:v>
                </c:pt>
                <c:pt idx="36">
                  <c:v>45734</c:v>
                </c:pt>
                <c:pt idx="37">
                  <c:v>45741</c:v>
                </c:pt>
                <c:pt idx="38">
                  <c:v>45748</c:v>
                </c:pt>
                <c:pt idx="39">
                  <c:v>45755</c:v>
                </c:pt>
                <c:pt idx="40">
                  <c:v>45762</c:v>
                </c:pt>
                <c:pt idx="41">
                  <c:v>45769</c:v>
                </c:pt>
                <c:pt idx="42">
                  <c:v>45776</c:v>
                </c:pt>
                <c:pt idx="43">
                  <c:v>45783</c:v>
                </c:pt>
                <c:pt idx="44">
                  <c:v>45790</c:v>
                </c:pt>
                <c:pt idx="45">
                  <c:v>45797</c:v>
                </c:pt>
                <c:pt idx="46">
                  <c:v>45804</c:v>
                </c:pt>
                <c:pt idx="47">
                  <c:v>45811</c:v>
                </c:pt>
                <c:pt idx="48">
                  <c:v>45818</c:v>
                </c:pt>
                <c:pt idx="49">
                  <c:v>45825</c:v>
                </c:pt>
                <c:pt idx="50">
                  <c:v>45832</c:v>
                </c:pt>
                <c:pt idx="51">
                  <c:v>45839</c:v>
                </c:pt>
                <c:pt idx="52">
                  <c:v>45846</c:v>
                </c:pt>
                <c:pt idx="53">
                  <c:v>45853</c:v>
                </c:pt>
                <c:pt idx="54">
                  <c:v>45860</c:v>
                </c:pt>
                <c:pt idx="55">
                  <c:v>45867</c:v>
                </c:pt>
                <c:pt idx="56">
                  <c:v>45874</c:v>
                </c:pt>
                <c:pt idx="57">
                  <c:v>45881</c:v>
                </c:pt>
                <c:pt idx="58">
                  <c:v>45888</c:v>
                </c:pt>
                <c:pt idx="59">
                  <c:v>45895</c:v>
                </c:pt>
                <c:pt idx="60">
                  <c:v>45902</c:v>
                </c:pt>
                <c:pt idx="61">
                  <c:v>45909</c:v>
                </c:pt>
                <c:pt idx="62">
                  <c:v>45916</c:v>
                </c:pt>
                <c:pt idx="63">
                  <c:v>45923</c:v>
                </c:pt>
                <c:pt idx="64">
                  <c:v>45930</c:v>
                </c:pt>
                <c:pt idx="65">
                  <c:v>45937</c:v>
                </c:pt>
              </c:numCache>
            </c:numRef>
          </c:cat>
          <c:val>
            <c:numRef>
              <c:f>'CONSOLIDADO SEMANAL'!$AJ$5:$AJ$70</c:f>
              <c:numCache>
                <c:formatCode>_("$"* #,##0.00_);_("$"* \(#,##0.00\);_("$"* "-"??_);_(@_)</c:formatCode>
                <c:ptCount val="66"/>
                <c:pt idx="0">
                  <c:v>89550463</c:v>
                </c:pt>
                <c:pt idx="1">
                  <c:v>57482781</c:v>
                </c:pt>
                <c:pt idx="2">
                  <c:v>93475643</c:v>
                </c:pt>
                <c:pt idx="3">
                  <c:v>8581926</c:v>
                </c:pt>
                <c:pt idx="4">
                  <c:v>155579507</c:v>
                </c:pt>
                <c:pt idx="5">
                  <c:v>37689117</c:v>
                </c:pt>
                <c:pt idx="6">
                  <c:v>98979028.159999996</c:v>
                </c:pt>
                <c:pt idx="7">
                  <c:v>30783667</c:v>
                </c:pt>
                <c:pt idx="8">
                  <c:v>99162776</c:v>
                </c:pt>
                <c:pt idx="9">
                  <c:v>292494682</c:v>
                </c:pt>
                <c:pt idx="10">
                  <c:v>98716616</c:v>
                </c:pt>
                <c:pt idx="11">
                  <c:v>96913673</c:v>
                </c:pt>
                <c:pt idx="12">
                  <c:v>138625405</c:v>
                </c:pt>
                <c:pt idx="13">
                  <c:v>635745376</c:v>
                </c:pt>
                <c:pt idx="14">
                  <c:v>150330947</c:v>
                </c:pt>
                <c:pt idx="15">
                  <c:v>70132765</c:v>
                </c:pt>
                <c:pt idx="16">
                  <c:v>125815721</c:v>
                </c:pt>
                <c:pt idx="17">
                  <c:v>157771652</c:v>
                </c:pt>
                <c:pt idx="18">
                  <c:v>41271804</c:v>
                </c:pt>
                <c:pt idx="19">
                  <c:v>206335478</c:v>
                </c:pt>
                <c:pt idx="20">
                  <c:v>229415942</c:v>
                </c:pt>
                <c:pt idx="21">
                  <c:v>270334258</c:v>
                </c:pt>
                <c:pt idx="22">
                  <c:v>213130369</c:v>
                </c:pt>
                <c:pt idx="23">
                  <c:v>348376306</c:v>
                </c:pt>
                <c:pt idx="24">
                  <c:v>100148418</c:v>
                </c:pt>
                <c:pt idx="25">
                  <c:v>11579930</c:v>
                </c:pt>
                <c:pt idx="26">
                  <c:v>0</c:v>
                </c:pt>
                <c:pt idx="27">
                  <c:v>113796635</c:v>
                </c:pt>
                <c:pt idx="28">
                  <c:v>46678375</c:v>
                </c:pt>
                <c:pt idx="29">
                  <c:v>475590695</c:v>
                </c:pt>
                <c:pt idx="30">
                  <c:v>54436775</c:v>
                </c:pt>
                <c:pt idx="31">
                  <c:v>30349421</c:v>
                </c:pt>
                <c:pt idx="32">
                  <c:v>33472651</c:v>
                </c:pt>
                <c:pt idx="33">
                  <c:v>13253856</c:v>
                </c:pt>
                <c:pt idx="34">
                  <c:v>312712093</c:v>
                </c:pt>
                <c:pt idx="35">
                  <c:v>81555123</c:v>
                </c:pt>
                <c:pt idx="36">
                  <c:v>64646365</c:v>
                </c:pt>
                <c:pt idx="37">
                  <c:v>106904180</c:v>
                </c:pt>
                <c:pt idx="38">
                  <c:v>172689123</c:v>
                </c:pt>
                <c:pt idx="39">
                  <c:v>71253584</c:v>
                </c:pt>
                <c:pt idx="40">
                  <c:v>156954008</c:v>
                </c:pt>
                <c:pt idx="41">
                  <c:v>25321063</c:v>
                </c:pt>
                <c:pt idx="42">
                  <c:v>174030562</c:v>
                </c:pt>
                <c:pt idx="43">
                  <c:v>79279324</c:v>
                </c:pt>
                <c:pt idx="44">
                  <c:v>3817112125</c:v>
                </c:pt>
                <c:pt idx="45">
                  <c:v>123822041</c:v>
                </c:pt>
                <c:pt idx="46">
                  <c:v>8647158</c:v>
                </c:pt>
                <c:pt idx="47">
                  <c:v>248191295</c:v>
                </c:pt>
                <c:pt idx="48">
                  <c:v>39866034</c:v>
                </c:pt>
                <c:pt idx="49">
                  <c:v>110771569</c:v>
                </c:pt>
                <c:pt idx="50">
                  <c:v>49768347</c:v>
                </c:pt>
                <c:pt idx="51">
                  <c:v>35717188</c:v>
                </c:pt>
                <c:pt idx="52">
                  <c:v>176951994</c:v>
                </c:pt>
                <c:pt idx="53">
                  <c:v>399071420</c:v>
                </c:pt>
                <c:pt idx="54">
                  <c:v>227940319</c:v>
                </c:pt>
                <c:pt idx="55">
                  <c:v>143244656</c:v>
                </c:pt>
                <c:pt idx="56">
                  <c:v>0</c:v>
                </c:pt>
                <c:pt idx="57">
                  <c:v>164161765</c:v>
                </c:pt>
                <c:pt idx="58">
                  <c:v>90774858</c:v>
                </c:pt>
                <c:pt idx="59">
                  <c:v>71319047</c:v>
                </c:pt>
                <c:pt idx="60">
                  <c:v>75218683</c:v>
                </c:pt>
                <c:pt idx="61">
                  <c:v>46514978</c:v>
                </c:pt>
                <c:pt idx="62">
                  <c:v>79762297</c:v>
                </c:pt>
                <c:pt idx="63">
                  <c:v>83913493.579999998</c:v>
                </c:pt>
                <c:pt idx="64">
                  <c:v>231454126</c:v>
                </c:pt>
                <c:pt idx="65">
                  <c:v>9200304</c:v>
                </c:pt>
              </c:numCache>
            </c:numRef>
          </c:val>
          <c:smooth val="0"/>
          <c:extLst>
            <c:ext xmlns:c16="http://schemas.microsoft.com/office/drawing/2014/chart" uri="{C3380CC4-5D6E-409C-BE32-E72D297353CC}">
              <c16:uniqueId val="{00000001-A977-4128-9BC3-D6158B66506D}"/>
            </c:ext>
          </c:extLst>
        </c:ser>
        <c:dLbls>
          <c:showLegendKey val="0"/>
          <c:showVal val="0"/>
          <c:showCatName val="0"/>
          <c:showSerName val="0"/>
          <c:showPercent val="0"/>
          <c:showBubbleSize val="0"/>
        </c:dLbls>
        <c:smooth val="0"/>
        <c:axId val="1554878543"/>
        <c:axId val="1554877103"/>
      </c:lineChart>
      <c:dateAx>
        <c:axId val="15548785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54877103"/>
        <c:crosses val="autoZero"/>
        <c:auto val="1"/>
        <c:lblOffset val="100"/>
        <c:baseTimeUnit val="days"/>
      </c:dateAx>
      <c:valAx>
        <c:axId val="1554877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 Valor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54878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1004520</xdr:colOff>
      <xdr:row>117</xdr:row>
      <xdr:rowOff>159727</xdr:rowOff>
    </xdr:from>
    <xdr:to>
      <xdr:col>7</xdr:col>
      <xdr:colOff>770792</xdr:colOff>
      <xdr:row>139</xdr:row>
      <xdr:rowOff>7327</xdr:rowOff>
    </xdr:to>
    <xdr:graphicFrame macro="">
      <xdr:nvGraphicFramePr>
        <xdr:cNvPr id="3" name="Gráfico 2">
          <a:extLst>
            <a:ext uri="{FF2B5EF4-FFF2-40B4-BE49-F238E27FC236}">
              <a16:creationId xmlns:a16="http://schemas.microsoft.com/office/drawing/2014/main" id="{4D53D0E7-4423-962C-33B8-B26974E68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16119</xdr:colOff>
      <xdr:row>118</xdr:row>
      <xdr:rowOff>27846</xdr:rowOff>
    </xdr:from>
    <xdr:to>
      <xdr:col>17</xdr:col>
      <xdr:colOff>962025</xdr:colOff>
      <xdr:row>139</xdr:row>
      <xdr:rowOff>71804</xdr:rowOff>
    </xdr:to>
    <xdr:graphicFrame macro="">
      <xdr:nvGraphicFramePr>
        <xdr:cNvPr id="2" name="Gráfico 1">
          <a:extLst>
            <a:ext uri="{FF2B5EF4-FFF2-40B4-BE49-F238E27FC236}">
              <a16:creationId xmlns:a16="http://schemas.microsoft.com/office/drawing/2014/main" id="{E7AE7AE9-EFF7-E2C7-E266-9BBC20F1B16F}"/>
            </a:ext>
            <a:ext uri="{147F2762-F138-4A5C-976F-8EAC2B608ADB}">
              <a16:predDERef xmlns:a16="http://schemas.microsoft.com/office/drawing/2014/main" pred="{4D53D0E7-4423-962C-33B8-B26974E68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Darli Alexandra Muñoz Cuadros" id="{DD401B4A-B41D-40A3-A1EA-F811F9F8454A}" userId="S::gestion@provexpress.com.co::83951985-3d65-4d9c-a9c0-af618e03246c" providerId="AD"/>
  <person displayName="Daniel Felipe Cardenas Rivera" id="{5C20BA9F-5BE7-4D28-BC2F-BE39EE1634F4}" userId="S::especialista.preventa@provexpress.com.co::ebceebac-7efd-4959-8688-3d68ad63968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9D396C-ADA0-4F4E-B930-1939E1F51170}" name="Tabla1" displayName="Tabla1" ref="A4:AF18" totalsRowShown="0" headerRowDxfId="36" dataDxfId="34" headerRowBorderDxfId="35" tableBorderDxfId="33" totalsRowBorderDxfId="32">
  <tableColumns count="32">
    <tableColumn id="1" xr3:uid="{5D95C95F-F748-4277-8BC8-C2DDF86A76CC}" name="FECHA INICIAL " dataDxfId="31">
      <calculatedColumnFormula>B4+1</calculatedColumnFormula>
    </tableColumn>
    <tableColumn id="2" xr3:uid="{391DA567-FC58-40BD-A978-98D91FDAAD4D}" name="FECHA FINAL" dataDxfId="30">
      <calculatedColumnFormula>A5+6</calculatedColumnFormula>
    </tableColumn>
    <tableColumn id="3" xr3:uid="{594C92B4-28FE-4BCB-B82F-D112282D4658}" name="NUMERO DE FACTURAS EMITIDAS" dataDxfId="29"/>
    <tableColumn id="4" xr3:uid="{BA42746F-4DBC-4700-8FF7-2E6A287D7A8F}" name="Diferencia num facturadas" dataDxfId="28">
      <calculatedColumnFormula>+C5-C4</calculatedColumnFormula>
    </tableColumn>
    <tableColumn id="5" xr3:uid="{55FAB0BE-9591-4CB5-B5E2-BD11B6FF513E}" name="NC INICIO" dataDxfId="27"/>
    <tableColumn id="6" xr3:uid="{FBEBF165-0D05-416D-9871-526A5EBB576B}" name="NC FINAL " dataDxfId="26"/>
    <tableColumn id="7" xr3:uid="{F6755385-ADF0-4A8D-B71B-F37C1C74ADCF}" name="CONTROL SEMANAL NC" dataDxfId="25">
      <calculatedColumnFormula>+F5-E5+1</calculatedColumnFormula>
    </tableColumn>
    <tableColumn id="8" xr3:uid="{533700F7-7F2D-4695-9BF3-25D67F0BA4E4}" name="NUMERO DE NC EMITIDAS " dataDxfId="24">
      <calculatedColumnFormula>+L5+S5</calculatedColumnFormula>
    </tableColumn>
    <tableColumn id="9" xr3:uid="{56492570-9552-4E7C-A3BC-C4B9321318E9}" name="NC DE FAC MESES ANTERIORES" dataDxfId="23"/>
    <tableColumn id="10" xr3:uid="{A3540139-157A-47D5-8D2A-22AF817F0259}" name="NC EMITIDAS SIN REFERENCIACION" dataDxfId="22"/>
    <tableColumn id="11" xr3:uid="{428149C3-D9D3-4613-BB84-38488C3F15E4}" name="NC DEL MISMO MES" dataDxfId="21"/>
    <tableColumn id="12" xr3:uid="{B0C73671-833D-469C-AEF6-E10865C261C9}" name="NUMERO DE NC REFACTURADAS" dataDxfId="20">
      <calculatedColumnFormula>SUM(M5:Q5)</calculatedColumnFormula>
    </tableColumn>
    <tableColumn id="13" xr3:uid="{873BBBAB-6667-41D4-82F4-D4A329B00B1A}" name="NUMERO DE ERRORES ADMON" dataDxfId="19"/>
    <tableColumn id="31" xr3:uid="{B51135C1-0E86-4C9D-B03C-01D786C95CFE}" name="NUMERO DE ERRORES LOGISTICA" dataDxfId="18"/>
    <tableColumn id="14" xr3:uid="{844C73F2-EE4F-4715-BE11-8D8FF8EC07E8}" name="NUMERO DE ERRORES COMERCIALES " dataDxfId="17"/>
    <tableColumn id="15" xr3:uid="{C7394DAC-C17D-4FFD-BEE8-E501FAE2EFB7}" name="NUMERO DE ERRORES DEL SISTEMA" dataDxfId="16"/>
    <tableColumn id="16" xr3:uid="{9E91E37F-ADF2-4DAB-AF9B-A4A3D77B33B8}" name="NUMERO DE ERRORES  INDUCIDOS POR CLIENTE" dataDxfId="15"/>
    <tableColumn id="34" xr3:uid="{34018886-47D2-4413-9E6D-85E589DEE605}" name="ERRORES AREA DE SERVICIOS U OTRAS" dataDxfId="14"/>
    <tableColumn id="17" xr3:uid="{B3869FF6-97F8-446E-8489-35F10DE1E201}" name="TOTAL DEVOLUCIONES DE LA SEMANA" dataDxfId="13">
      <calculatedColumnFormula>+T5+W5</calculatedColumnFormula>
    </tableColumn>
    <tableColumn id="18" xr3:uid="{68FA0084-4AF9-433C-B3F4-A0303B53CF3C}" name="NUMERO DE FACTURAS CON DEVOLUCION  COMPLETA" dataDxfId="12">
      <calculatedColumnFormula>+U5+V5</calculatedColumnFormula>
    </tableColumn>
    <tableColumn id="19" xr3:uid="{A0FDA132-3776-429C-A363-F2A4C5A28173}" name="NUMERO DE DEVOLUCIONES TECNOLOGIA COMPLETA" dataDxfId="11"/>
    <tableColumn id="20" xr3:uid="{56EB38FD-14E0-4420-8683-4CAD6DC01AB8}" name="NUMERO DE DEVOLUCIONES  PAC COMPLETA" dataDxfId="10"/>
    <tableColumn id="21" xr3:uid="{B5B52E3E-6F33-44F5-A59C-CF3F64D49E42}" name="NUMERO DE FACTURAS CON DEVOLUCION TEC PARCIAL" dataDxfId="9">
      <calculatedColumnFormula>+X5+Y5</calculatedColumnFormula>
    </tableColumn>
    <tableColumn id="22" xr3:uid="{D7BCD124-B2EB-4779-9C69-35F083DA6FD3}" name="NUMERO DE DEVOLUCIONES PAC PARCIAL" dataDxfId="8"/>
    <tableColumn id="23" xr3:uid="{FAF3413B-551B-432B-B9CD-DE4070B9ECFB}" name="NUMERO DE DEVOLUCIONES TECNOLOGIA PARCIAL" dataDxfId="7"/>
    <tableColumn id="24" xr3:uid="{B5F8B721-D2B7-4A6D-A853-F090A87E45A4}" name="VALOR TOTAL DE FACTURAS EMITIDAS " dataDxfId="6"/>
    <tableColumn id="25" xr3:uid="{F64DE433-9DC2-45AD-B127-A7D6AA1E3D66}" name="VALOR NOTAS CREDITO " dataDxfId="5"/>
    <tableColumn id="26" xr3:uid="{73ABC14A-FED8-40AD-A034-8EE31E3E77F9}" name="VALOR REFACTURACIONES" dataDxfId="4"/>
    <tableColumn id="27" xr3:uid="{B5FABFE8-9117-460F-8B9A-89B4471EA40A}" name="VALOR ERRORES ADMON " dataDxfId="3"/>
    <tableColumn id="28" xr3:uid="{B2900A84-2F6F-4960-8D19-401997CBDD0B}" name="VALOR ERRORES COMERCIALES " dataDxfId="2"/>
    <tableColumn id="29" xr3:uid="{B4501200-EB24-4073-BB61-0F4B7662A75F}" name="VALOR DEVOLUCIONES MERCANCIA TOTALES" dataDxfId="1"/>
    <tableColumn id="30" xr3:uid="{58EF6C62-F6FF-456A-8D01-DBDF09828909}" name="VALOR DEVOLUCIONES MERCANCIA PARCIAL"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C38D6F-8276-4F3B-A5AA-C3E514ED85F6}" name="Tabla3" displayName="Tabla3" ref="C3:D7" totalsRowShown="0">
  <autoFilter ref="C3:D7" xr:uid="{17C38D6F-8276-4F3B-A5AA-C3E514ED85F6}"/>
  <tableColumns count="2">
    <tableColumn id="1" xr3:uid="{CB83363B-4AC1-4786-B20B-6961F255D6A8}" name="proceso"/>
    <tableColumn id="2" xr3:uid="{794DA682-65C6-42AE-B2C5-94CF65A83FD1}" name="estad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4" dT="2024-10-23T16:08:43.30" personId="{DD401B4A-B41D-40A3-A1EA-F811F9F8454A}" id="{B9ACCAA3-610A-479D-8803-4D359925F746}">
    <text>74316-74317</text>
  </threadedComment>
  <threadedComment ref="J17" dT="2024-10-23T16:06:36.59" personId="{DD401B4A-B41D-40A3-A1EA-F811F9F8454A}" id="{4C3EE1E0-5ABA-40CE-A3AA-F0D906E66E3A}">
    <text>73343-73383</text>
  </threadedComment>
  <threadedComment ref="J18" dT="2024-10-23T16:05:49.37" personId="{DD401B4A-B41D-40A3-A1EA-F811F9F8454A}" id="{F3C9A44E-59BB-4E1C-B161-E740354F7435}">
    <text>73915-76350-75946-74846-70491</text>
  </threadedComment>
  <threadedComment ref="J19" dT="2024-10-23T16:03:26.45" personId="{DD401B4A-B41D-40A3-A1EA-F811F9F8454A}" id="{64C7F39D-C64A-43E4-8C18-FE84F5AE9327}">
    <text>71844</text>
  </threadedComment>
  <threadedComment ref="P19" dT="2024-10-17T13:38:50.75" personId="{DD401B4A-B41D-40A3-A1EA-F811F9F8454A}" id="{3BB329BC-FF51-4ADB-8910-1EA5F4F7E7FD}">
    <text>Salieron sin IVA las facturas al hacer la conversión de dólares a pesos</text>
  </threadedComment>
  <threadedComment ref="J20" dT="2024-10-23T15:50:39.60" personId="{DD401B4A-B41D-40A3-A1EA-F811F9F8454A}" id="{138C5E39-E444-42E4-A632-8C8DC3A341DD}">
    <text>76512-76780-77779-74968</text>
  </threadedComment>
  <threadedComment ref="M20" dT="2024-10-23T15:13:31.04" personId="{DD401B4A-B41D-40A3-A1EA-F811F9F8454A}" id="{4476700F-D33D-4DC6-813C-0D7A8BCF5616}">
    <text xml:space="preserve">Error de digitación karen
Wil facturo dos facturas con iva y eran exentas
Wil facturo dos pedidos en una sola factura </text>
  </threadedComment>
  <threadedComment ref="M20" dT="2024-10-23T15:13:49.07" personId="{DD401B4A-B41D-40A3-A1EA-F811F9F8454A}" id="{73F32DF6-8943-4242-BE9C-D9E503AC7BFC}" parentId="{4476700F-D33D-4DC6-813C-0D7A8BCF5616}">
    <text xml:space="preserve">Karen no relaciono OC </text>
  </threadedComment>
  <threadedComment ref="O20" dT="2024-10-23T15:51:16.47" personId="{DD401B4A-B41D-40A3-A1EA-F811F9F8454A}" id="{96F5787C-A5BE-43A3-969B-4DD2DABC936D}">
    <text>Errores de zulma en apoyo a maria angelica caballero</text>
  </threadedComment>
  <threadedComment ref="P20" dT="2024-10-23T15:10:08.15" personId="{DD401B4A-B41D-40A3-A1EA-F811F9F8454A}" id="{A87DA546-F60A-4072-8229-F16447024991}">
    <text>Equipo salio sin iva y estaba en el sistema con iva</text>
  </threadedComment>
  <threadedComment ref="J21" dT="2024-10-30T14:03:23.75" personId="{DD401B4A-B41D-40A3-A1EA-F811F9F8454A}" id="{59FCDF3E-CB09-4187-8AAA-2676D040613F}">
    <text>74984</text>
  </threadedComment>
  <threadedComment ref="M21" dT="2024-10-30T13:43:55.27" personId="{DD401B4A-B41D-40A3-A1EA-F811F9F8454A}" id="{3E23091A-2290-40AE-9A79-DD2217A93C35}">
    <text xml:space="preserve">Se facturo sin IVA </text>
  </threadedComment>
  <threadedComment ref="M21" dT="2024-10-30T13:45:27.66" personId="{DD401B4A-B41D-40A3-A1EA-F811F9F8454A}" id="{53155A97-C931-4B45-AE30-D3D836DDDADD}" parentId="{3E23091A-2290-40AE-9A79-DD2217A93C35}">
    <text>Karol no debia facturar
Benji creo mal el kit
Maria Pastrana mando facturar</text>
  </threadedComment>
  <threadedComment ref="O21" dT="2024-10-30T14:04:06.96" personId="{DD401B4A-B41D-40A3-A1EA-F811F9F8454A}" id="{110316AD-3644-4E1F-827A-1B8A06D65819}">
    <text>Jhonatan Camilo Hernandez facturo fuera dela fecha de cierre</text>
  </threadedComment>
  <threadedComment ref="Q21" dT="2024-10-30T14:04:34.85" personId="{DD401B4A-B41D-40A3-A1EA-F811F9F8454A}" id="{569D82DA-69E7-47D5-B585-767507C43A9D}">
    <text>Alejandra v Razon social ya no existe</text>
  </threadedComment>
  <threadedComment ref="Q21" dT="2024-10-30T14:05:01.79" personId="{DD401B4A-B41D-40A3-A1EA-F811F9F8454A}" id="{0C0373C4-1BDE-4AF2-A979-146C8F4B2147}" parentId="{569D82DA-69E7-47D5-B585-767507C43A9D}">
    <text>Jhonatan Steven AcevedoProducto defectuodo hp genera garantia</text>
  </threadedComment>
  <threadedComment ref="Q21" dT="2024-10-30T14:05:42.95" personId="{DD401B4A-B41D-40A3-A1EA-F811F9F8454A}" id="{E2597DCF-ABC5-410A-A480-55A87C41FD41}" parentId="{569D82DA-69E7-47D5-B585-767507C43A9D}">
    <text>Alejandra Velasquez Cliente bloqueo correo nuestro y no radico factura</text>
  </threadedComment>
  <threadedComment ref="T21" dT="2024-10-23T15:53:58.72" personId="{DD401B4A-B41D-40A3-A1EA-F811F9F8454A}" id="{66626395-9773-46BB-98C9-51FE9DF8EAA5}">
    <text>74968 Disco</text>
  </threadedComment>
  <threadedComment ref="J22" dT="2024-11-07T14:48:37.60" personId="{DD401B4A-B41D-40A3-A1EA-F811F9F8454A}" id="{AB18679F-6629-4E14-8C0D-C5102A086E0B}">
    <text>77351-74919-79447-79446-79445-79444-79443-79442-79441-79439-79438-79437-79448</text>
  </threadedComment>
  <threadedComment ref="M22" dT="2024-11-07T14:52:48.43" personId="{DD401B4A-B41D-40A3-A1EA-F811F9F8454A}" id="{27584553-9C09-4979-91FE-CA67E80755E2}">
    <text xml:space="preserve">Marsela y Karen no validaron el iva del licenciamiento 
Karol se debia facturar en kit y no se hizo
Karol debía salir Re misionado y se facturo.
Logística mercancia se demoro en llegar por coordinadora
Karen facturo 2 veces la misma factura
logistica se despacho doble ves
Karen se coloco mal la OC 
</text>
  </threadedComment>
  <threadedComment ref="J24" dT="2024-11-27T13:04:38.96" personId="{DD401B4A-B41D-40A3-A1EA-F811F9F8454A}" id="{1E9E0BF0-0923-48CB-AF21-3F280C89EE36}">
    <text>79593
71017
72992</text>
  </threadedComment>
  <threadedComment ref="J25" dT="2024-11-27T13:03:18.12" personId="{DD401B4A-B41D-40A3-A1EA-F811F9F8454A}" id="{BA33C30F-A800-4695-AB4C-4AEB97F2B1D7}">
    <text>79167</text>
  </threadedComment>
  <threadedComment ref="M25" dT="2024-11-27T14:02:11.48" personId="{DD401B4A-B41D-40A3-A1EA-F811F9F8454A}" id="{E79FC653-B496-4D1E-94DF-F618FFAFC2E2}">
    <text xml:space="preserve">Factura se fue en dólares
No se debía facturar
factura salio a 3 dias y debia ser a 30 dias
Quedo mal digitada la oc 
</text>
  </threadedComment>
  <threadedComment ref="J26" dT="2024-12-04T14:52:22.80" personId="{DD401B4A-B41D-40A3-A1EA-F811F9F8454A}" id="{B880A9A9-6F63-4E5C-8252-9A306C34C0AD}">
    <text>80189</text>
  </threadedComment>
  <threadedComment ref="J26" dT="2024-12-04T14:52:54.69" personId="{DD401B4A-B41D-40A3-A1EA-F811F9F8454A}" id="{D51321D7-C05A-4F05-845F-38CAFE512BEB}" parentId="{B880A9A9-6F63-4E5C-8252-9A306C34C0AD}">
    <text>75277
76073
76551</text>
  </threadedComment>
  <threadedComment ref="J27" dT="2024-12-11T14:48:21.67" personId="{DD401B4A-B41D-40A3-A1EA-F811F9F8454A}" id="{8DDACF5D-8371-4B8D-9DA2-6E66DFADADFE}">
    <text>80189
80872</text>
  </threadedComment>
  <threadedComment ref="J28" dT="2025-01-17T12:18:07.60" personId="{DD401B4A-B41D-40A3-A1EA-F811F9F8454A}" id="{52EB0BDF-EA64-46BD-AA92-F251C5444D48}">
    <text>82159
76438
78132</text>
  </threadedComment>
  <threadedComment ref="M28" dT="2025-01-17T12:21:46.87" personId="{DD401B4A-B41D-40A3-A1EA-F811F9F8454A}" id="{05D816F7-32DD-4BE4-A680-7CF39570F306}">
    <text xml:space="preserve">3 logistica demoras en la entrega
1 karen error de digitacion
2 alexa no radico en ariba 
1 cartera
5 karol y benji  no se debia facturar </text>
  </threadedComment>
  <threadedComment ref="J29" dT="2025-01-17T12:18:07.60" personId="{DD401B4A-B41D-40A3-A1EA-F811F9F8454A}" id="{E3E54A4D-E784-450A-A844-C0DFBBDDDEB7}">
    <text>82159
76438
78132</text>
  </threadedComment>
  <threadedComment ref="M29" dT="2025-01-17T13:23:44.87" personId="{DD401B4A-B41D-40A3-A1EA-F811F9F8454A}" id="{5FBA814B-63FC-46B4-BF29-72CE340F214B}">
    <text>6 no se radicaron en ariba yanbal
1 falto el flete
3 logistica se entrego tarde la mercancia 
5 no se debia facturar benjamin atorizo  y karon.</text>
  </threadedComment>
  <threadedComment ref="J32" dT="2025-01-17T12:49:37.43" personId="{DD401B4A-B41D-40A3-A1EA-F811F9F8454A}" id="{BD9308DF-B35C-4E29-BF2A-3BAE7AC3E423}">
    <text>82763</text>
  </threadedComment>
  <threadedComment ref="M32" dT="2025-01-17T13:24:08.48" personId="{DD401B4A-B41D-40A3-A1EA-F811F9F8454A}" id="{11D858DB-DF8B-426D-930F-CA2CC73940BE}">
    <text xml:space="preserve">Se cobro doble el flete </text>
  </threadedComment>
  <threadedComment ref="J33" dT="2025-01-22T14:12:12.63" personId="{DD401B4A-B41D-40A3-A1EA-F811F9F8454A}" id="{5E237884-A21A-406B-8A01-240584FDCD07}">
    <text>81219
81220
83049
74289</text>
  </threadedComment>
  <threadedComment ref="M33" dT="2025-01-22T14:31:24.42" personId="{DD401B4A-B41D-40A3-A1EA-F811F9F8454A}" id="{3E4D4BCF-AEE8-4EE0-A109-B111AC967E12}">
    <text xml:space="preserve">Doble facturación
Se facturo doble un flete
No se genero un servicio de IT  </text>
  </threadedComment>
  <threadedComment ref="O33" dT="2025-01-22T14:33:09.29" personId="{DD401B4A-B41D-40A3-A1EA-F811F9F8454A}" id="{B3778F6D-7392-4C6A-985A-3FE897DAC74E}">
    <text xml:space="preserve">No sedebian facturar unos equipos de lington 
Caro b facturo sin informar que debia salir en kit
Se facturó con iva </text>
  </threadedComment>
  <threadedComment ref="Q33" dT="2025-01-22T14:35:31.01" personId="{DD401B4A-B41D-40A3-A1EA-F811F9F8454A}" id="{5B4C5174-73C1-4C3E-A6EA-975A7181657B}">
    <text>Cliente devuelve dos equipos
Error razón social</text>
  </threadedComment>
  <threadedComment ref="J34" dT="2025-01-29T14:51:49.37" personId="{DD401B4A-B41D-40A3-A1EA-F811F9F8454A}" id="{9284B9C2-56B4-449E-9BD5-57F6292A564E}">
    <text>81505</text>
  </threadedComment>
  <threadedComment ref="M34" dT="2025-01-29T14:54:07.61" personId="{DD401B4A-B41D-40A3-A1EA-F811F9F8454A}" id="{F36C2499-E36A-479A-A31D-13CC0778C35D}">
    <text>78082 No se cambio el correo facturacion
83759 El costo quedo mal wilmer
82740 Quedo mal creado el nit karol</text>
  </threadedComment>
  <threadedComment ref="O34" dT="2025-01-29T15:13:04.50" personId="{DD401B4A-B41D-40A3-A1EA-F811F9F8454A}" id="{8FD08EDD-F6BB-4340-83F8-688969766890}">
    <text>75878 Error de razon social
83191/83192 Falto agregar oc x carolina bosa
81505 Error en la trm
83470 Error en la OC 
78422 Mayorvalorcobrado</text>
  </threadedComment>
  <threadedComment ref="Q34" dT="2025-01-29T15:10:51.51" personId="{DD401B4A-B41D-40A3-A1EA-F811F9F8454A}" id="{53759DCE-6B29-401C-A0B1-7BB3A8CE9D32}">
    <text>83240/83241/83242 Cliente cambia las políticas de radicación
72764 cliente indica no tener la factura 
83394 errores internos de bancolombia 
83637 x cierre de facturacion 
81024/81344 cliente no radico las factcuras 
devoluciones</text>
  </threadedComment>
  <threadedComment ref="I35" dT="2025-02-05T14:45:13.25" personId="{DD401B4A-B41D-40A3-A1EA-F811F9F8454A}" id="{F38B4524-8467-400B-8748-4645B1A88968}">
    <text xml:space="preserve">81776 no se sabe el rechazo 
79276 error en razón social </text>
  </threadedComment>
  <threadedComment ref="J35" dT="2025-02-05T14:34:13.79" personId="{DD401B4A-B41D-40A3-A1EA-F811F9F8454A}" id="{72956D40-4BCA-4F62-AAF5-B600C3CDEBE4}">
    <text>83955
82845
82957
83303</text>
  </threadedComment>
  <threadedComment ref="M35" dT="2025-02-05T14:38:38.46" personId="{DD401B4A-B41D-40A3-A1EA-F811F9F8454A}" id="{9C88D96A-BC43-4A0C-909C-1A28BF22FF13}">
    <text>84147 No se debía facturar karol</text>
  </threadedComment>
  <threadedComment ref="O35" dT="2025-02-05T14:40:37.91" personId="{DD401B4A-B41D-40A3-A1EA-F811F9F8454A}" id="{E3CAB966-94FA-479B-83C5-BD7C395F1AC0}">
    <text>79276 error en razon social
83959 Comercial no especifico como se debía facturar
84167 no se debía facturar, ya estaba facturado 
83881 no se radicaron los soportes para la radicación de la factura.</text>
  </threadedComment>
  <threadedComment ref="Q35" dT="2025-02-05T14:43:28.45" personId="{DD401B4A-B41D-40A3-A1EA-F811F9F8454A}" id="{63FA221D-B907-44F1-A51F-B54571E397A3}">
    <text xml:space="preserve">83585 cliente rechaza x que no le habia llegado la mercancia 
83624 no se sabe el rechazo 
81776 no se sabe el rechazo </text>
  </threadedComment>
  <threadedComment ref="J36" dT="2025-02-12T14:53:15.15" personId="{DD401B4A-B41D-40A3-A1EA-F811F9F8454A}" id="{80630D68-B200-4536-8271-1B82E7CF4AAA}">
    <text xml:space="preserve">83303 Devolución parcial Cable </text>
  </threadedComment>
  <threadedComment ref="M36" dT="2025-02-12T14:55:24.45" personId="{DD401B4A-B41D-40A3-A1EA-F811F9F8454A}" id="{206A6282-AD84-4F62-A775-E3FA81049CAF}">
    <text xml:space="preserve">84147 No se debia facturar
84464 Falto agregar una remision 
84476 Se facturo en dolares
84791  Falto agregar una remision 
84574 No se debia facturar
</text>
  </threadedComment>
  <threadedComment ref="O36" dT="2025-02-12T15:12:03.10" personId="{DD401B4A-B41D-40A3-A1EA-F811F9F8454A}" id="{6ABC9B9A-F7AC-477E-B7FE-5F303A6188EB}">
    <text>84346/84347/84348 Error en precios
84229 error en el margen 
84527 error en razon social
68603 se factura 2 veces y se entrego 2 veces 
89945 error4 en la oc y fcatura x 700 pesos</text>
  </threadedComment>
  <threadedComment ref="Q36" dT="2025-02-12T15:14:51.25" personId="{DD401B4A-B41D-40A3-A1EA-F811F9F8454A}" id="{C3885405-C23C-4B77-86B8-236B2A8B6D16}">
    <text xml:space="preserve">83962 rechazo x error
81554 debe ir en 2 razones sociales
83783/83784 por cierre de facturacion no notificaron
83940 x cierre no enviaron comunicado
82051 cliente rechaza x error
</text>
  </threadedComment>
  <threadedComment ref="M37" dT="2025-02-19T14:17:48.43" personId="{DD401B4A-B41D-40A3-A1EA-F811F9F8454A}" id="{BE47701F-E766-4B8F-8FD0-C6DEAEF3025D}">
    <text>85184 Error al tomar el clienteparafacturar
84687 Falto un numero de la OC
84065 Se facturo antes de entregar mercancia Logistica 
81181 Que por menor valor la NC 
85302 No se debia facturar
84706 Se facturo sin iva</text>
  </threadedComment>
  <threadedComment ref="O37" dT="2025-02-19T14:18:13.56" personId="{DD401B4A-B41D-40A3-A1EA-F811F9F8454A}" id="{24EFCDBB-2742-4A2A-BE2F-A54679B2B0AA}">
    <text>80578 Error razon social</text>
  </threadedComment>
  <threadedComment ref="Q37" dT="2025-02-19T14:20:01.48" personId="{DD401B4A-B41D-40A3-A1EA-F811F9F8454A}" id="{B403865D-8C65-44FA-9B85-FA2910DA09C1}">
    <text>84903 Error en la oc emitidapor el cliente
84051 Cliente no recibio mercancia 
84041 Cliente x error genera OC con iva
84551 Error razon social
84814 Error razon social</text>
  </threadedComment>
  <threadedComment ref="J38" dT="2025-02-26T13:32:09.48" personId="{DD401B4A-B41D-40A3-A1EA-F811F9F8454A}" id="{D67773B7-175A-465E-A266-5F019CFC11A5}">
    <text xml:space="preserve">84499 ERROR EN LO VALORES Alejandra Velasquez
84986 ERROR RAZON SOCIAL  Alejandra Velasquez
79160 ERROR RAZON SOCIAL Yeison Urrego </text>
  </threadedComment>
  <threadedComment ref="M38" dT="2025-02-26T13:36:03.40" personId="{DD401B4A-B41D-40A3-A1EA-F811F9F8454A}" id="{DF4CA525-DD9B-4F08-9142-C7AF2AED3458}">
    <text>84617 se facturo sin iva
85690 No se debia facturar</text>
  </threadedComment>
  <threadedComment ref="O38" dT="2025-02-26T13:39:02.71" personId="{DD401B4A-B41D-40A3-A1EA-F811F9F8454A}" id="{F99EC4D9-342B-41CC-8881-E5F0F02EBF53}">
    <text xml:space="preserve">84457 Arpro no se radico con los soportes Maria Paola
83995 Fuera de la fecha de cierre Astrid Jimenez
84499 Error en los valores Alejandra Velasqyez
79160 Error en razon social Yeison Urrego </text>
  </threadedComment>
  <threadedComment ref="J39" dT="2025-03-12T01:36:24.20" personId="{DD401B4A-B41D-40A3-A1EA-F811F9F8454A}" id="{147FFF87-08F2-4147-B334-7A1AD11E420E}">
    <text>81739
76816</text>
  </threadedComment>
  <threadedComment ref="M39" dT="2025-03-12T13:54:08.44" personId="{DD401B4A-B41D-40A3-A1EA-F811F9F8454A}" id="{005E4062-6ECE-49E6-B53C-3D82ED95F6CB}">
    <text xml:space="preserve">84871 Juan David se hace ajuste interno </text>
  </threadedComment>
  <threadedComment ref="O39" dT="2025-03-12T13:58:59.80" personId="{DD401B4A-B41D-40A3-A1EA-F811F9F8454A}" id="{A5DE6736-69D9-4322-BF98-B8303B96449F}">
    <text>85907-85908-85909-85910-85911-85912-85913-85915-85914 no se debian facturar falto comunicacion.
85967 se facturo al código que no era
85953 se facturo fuera de la fecha de facturacion 
84769</text>
  </threadedComment>
  <threadedComment ref="Q39" dT="2025-03-12T14:08:22.50" personId="{DD401B4A-B41D-40A3-A1EA-F811F9F8454A}" id="{8A346FFA-FA62-40E6-BBFF-CDD77A91E808}">
    <text>82817 cliente no radico factura 
85982 Error en los teclados cliente solicito mal 
79157 cliente no reconoce la factura 
78927 error en razon social 
76816 devuelte se recibe por garantia 
85638-85637 por cierre defcaturacion en españa
84206 Error razon social 
86162 Error razon social
84768 cliente rechaza por error</text>
  </threadedComment>
  <threadedComment ref="M40" dT="2025-03-12T13:55:21.44" personId="{DD401B4A-B41D-40A3-A1EA-F811F9F8454A}" id="{FE2611D7-CCC1-43E1-BC8E-B09AE943AE81}">
    <text xml:space="preserve">86701 falto agregar una remision karol 
82826 ajuste fact empleado aut x rafael novoa </text>
  </threadedComment>
  <threadedComment ref="O40" dT="2025-03-12T14:01:53.19" personId="{DD401B4A-B41D-40A3-A1EA-F811F9F8454A}" id="{454095A3-B4F9-434A-B552-B95E48F0CD75}">
    <text xml:space="preserve">86468 falto agregar un disco en la factura 
85178 se radico factura sin la  OC 
85433 se facturo una renta y era un producto </text>
  </threadedComment>
  <threadedComment ref="Q40" dT="2025-03-12T14:23:21.76" personId="{DD401B4A-B41D-40A3-A1EA-F811F9F8454A}" id="{D22DCC9D-29DB-41DD-9F2E-845B9BD5D696}">
    <text xml:space="preserve">84357 error razon social  
83978 por cierre de facturacion 
85777 fuera de la fecha de cierre 
85960 se debia facturar en una sola factura 
85959 se debia facturar en una sola factura 
85743 No se tenia oc ni numero de contrato
84396 No se sabe el rechazo 
86205 Cambio de razon social
78597 No la recibieron
</text>
  </threadedComment>
  <threadedComment ref="M41" dT="2025-03-19T14:45:47.09" personId="{DD401B4A-B41D-40A3-A1EA-F811F9F8454A}" id="{E7C56B42-D485-4372-9A3D-3D25D0A0C987}">
    <text xml:space="preserve">86523 Logistica Entrego tarde la mercancia 
87214 Error de razon social
84886 Doble facturacion oscar p bajo el pedido dosveces </text>
  </threadedComment>
  <threadedComment ref="O41" dT="2025-03-19T15:10:56.25" personId="{DD401B4A-B41D-40A3-A1EA-F811F9F8454A}" id="{3A7CD8B3-2335-493A-B85F-B15EED9C5A9F}">
    <text xml:space="preserve">86559 error razon social Alejandra Velasquez
85422 No se radico OC Maria P
86689 Errorrazon social claudia 
86919 Se debia relacionar trm Alejandra velasquez 
87217 Falto relacionar la OC Angelica C
87218 Falto relacionar la OC Angelica C
8534 Error de la OC Esmeralda 
86049 Se debe facturar en 3 Fredy peña
83693 Se facturo antes de entregarmercancia karent c
86069 Mayor valor cobrado Freddy p
86528 No relacionaron la OC completa  yeison u
</text>
  </threadedComment>
  <threadedComment ref="Q41" dT="2025-03-19T15:19:03.65" personId="{DD401B4A-B41D-40A3-A1EA-F811F9F8454A}" id="{B026F588-B188-4B01-8F57-C48AF8333D3E}">
    <text>86250 No se tenia aun el numero de contrato
85169 Cliente rechaza x error
86799 Cliente no recibe producto 
86793 Cliente no recibe producto 
84455 Cliente rechaza por error
86448 Error razon social cliente emite mal la oc 
81839 Error de correo 
85991 Cliente no radico factura 
84746 Devolucion producto 
85681 Cliente rechaza por error
85710 Cliente no legalizao la factura</text>
  </threadedComment>
  <threadedComment ref="J42" dT="2025-03-27T02:04:47.30" personId="{DD401B4A-B41D-40A3-A1EA-F811F9F8454A}" id="{07415A23-4B62-49F4-938B-F75FB68FA2F0}">
    <text>83551 JONNATAN NIÑO X CIERRE DE FACT 
85785 DEVOLUCION MERCANCIA CAJA ARCHIVO SE DEBIA FACTURAR SOLO CLAUDIA</text>
  </threadedComment>
  <threadedComment ref="M42" dT="2025-03-27T02:08:06.70" personId="{DD401B4A-B41D-40A3-A1EA-F811F9F8454A}" id="{C9BFF230-8369-4B75-AF4E-3D644BC6A1DA}">
    <text>87636 SE FCATURARON EQUIPO CON IVA Y SON EXCENTOS TATIANA PARRA</text>
  </threadedComment>
  <threadedComment ref="M42" dT="2025-03-27T02:19:02.84" personId="{DD401B4A-B41D-40A3-A1EA-F811F9F8454A}" id="{DFB6303D-F010-4568-B7E3-8FDA0C7E913C}" parentId="{C9BFF230-8369-4B75-AF4E-3D644BC6A1DA}">
    <text>84420 yeison urrego logisca se le cobro mas al cliente mayor valor cobrado</text>
  </threadedComment>
  <threadedComment ref="O42" dT="2025-03-27T02:12:51.69" personId="{DD401B4A-B41D-40A3-A1EA-F811F9F8454A}" id="{8B12603B-CEC3-46D0-8D04-6621FC4E0CCB}">
    <text xml:space="preserve">83551 Jhonnathan Niño X cierre de facturación 
84571 Jhonatan Camilo Hern Error en el correo de facturación
85536 Esmeralda Error en la oc
85754 Esmeralda Error en la oc 
8658087783 Juan camilo piña X cierre de facturacion 
87761 Tatiana parra mando facturar con iva y no aplicaba 
86502 Esmeralda
86503 Esmeralda
87494 Esmeralda 
86738 Esmeralda 
</text>
  </threadedComment>
  <threadedComment ref="Q42" dT="2025-03-27T02:16:56.69" personId="{DD401B4A-B41D-40A3-A1EA-F811F9F8454A}" id="{36F6B7DC-3ACB-46F8-8750-DC91B698F9E7}">
    <text xml:space="preserve">84660 Dafne Cliente devuelve un producto y rechaza toda la factura 
85785 Claudia  Cliente solicita que se fcature un producto aparte 
86066 yeison falto cobrar un flete
87615 Maria Eu Cliente solicita una sola factura
87857 Maria Eu Cliente solicita una sola factura
</text>
  </threadedComment>
  <threadedComment ref="J43" dT="2025-04-02T14:24:12.65" personId="{DD401B4A-B41D-40A3-A1EA-F811F9F8454A}" id="{F8EF1DEC-B11D-4D99-9802-C3559350D5B6}">
    <text xml:space="preserve">83202 Maria Eugenia x cierre pero la acepto
86501 Devolución P Mario Reyes
85605 Devolución P Julieth Galindo 
</text>
  </threadedComment>
  <threadedComment ref="M43" dT="2025-04-02T14:38:41.86" personId="{DD401B4A-B41D-40A3-A1EA-F811F9F8454A}" id="{75B883EE-F0A7-4D96-AF3C-B43454BBF50E}">
    <text xml:space="preserve">87318 No se debia facturar benji lo  pidio camilo </text>
  </threadedComment>
  <threadedComment ref="P43" dT="2025-04-02T14:37:26.52" personId="{DD401B4A-B41D-40A3-A1EA-F811F9F8454A}" id="{B85BCC42-5161-4A41-994E-1CCCD1B97266}">
    <text xml:space="preserve">88225 Dafne </text>
  </threadedComment>
  <threadedComment ref="J44" dT="2025-04-08T22:12:29.18" personId="{DD401B4A-B41D-40A3-A1EA-F811F9F8454A}" id="{771D7DDB-EED7-4265-89BB-3BB5C40F5E86}">
    <text xml:space="preserve">87359 MARIO DEVOLUCION PAR ESFEROS
86376 WILSON DEVOLUCION PAR JABON 
87359 MARIO DEVOLUCION PAR ESFEROS DOBLE NC </text>
  </threadedComment>
  <threadedComment ref="M44" dT="2025-04-09T01:34:18.68" personId="{DD401B4A-B41D-40A3-A1EA-F811F9F8454A}" id="{459CE368-2C15-42AC-9542-5A811D60AD9E}">
    <text>88623 Falto facturar otra remision 
88663 Salió producto en o 
88664 Salió producto en o 
88421 Se facturaron las unidades erróneas</text>
  </threadedComment>
  <threadedComment ref="O44" dT="2025-04-09T01:45:29.65" personId="{DD401B4A-B41D-40A3-A1EA-F811F9F8454A}" id="{EB3F1BD8-EF57-4E28-8386-F45C49F20926}">
    <text>82151 Daniel galindo licenciamiento 
87359 doble NC Se ajusto con la ND11</text>
  </threadedComment>
  <threadedComment ref="Q44" dT="2025-04-09T02:16:25.22" personId="{DD401B4A-B41D-40A3-A1EA-F811F9F8454A}" id="{D8DF615D-7F07-45DD-B807-34B56F984CA6}">
    <text>87908 Cliente no la radico
88136 Cliente solicita que al mes se genere una sola factura
86382 Falto facturar una unidad cliente envio mal la oc 
85334 Cliente solicita refactura en abril </text>
  </threadedComment>
  <threadedComment ref="J45" dT="2025-04-23T14:06:28.71" personId="{DD401B4A-B41D-40A3-A1EA-F811F9F8454A}" id="{49A88C98-A811-44FB-A32E-16B0D1A8BE22}">
    <text>87716 daniel galindo devolución mercancía  cargador</text>
  </threadedComment>
  <threadedComment ref="M45" dT="2025-04-23T14:08:01.24" personId="{DD401B4A-B41D-40A3-A1EA-F811F9F8454A}" id="{BBC37085-9E8D-465E-BCD8-775EF3AFEC61}">
    <text xml:space="preserve">88533 fernando celular se factuiro sin iva </text>
  </threadedComment>
  <threadedComment ref="M45" dT="2025-04-23T14:11:48.43" personId="{DD401B4A-B41D-40A3-A1EA-F811F9F8454A}" id="{E7B44762-8BAD-4C00-A7A5-0313D065ED37}" parentId="{BBC37085-9E8D-465E-BCD8-775EF3AFEC61}">
    <text>89162 Falto facturar una extension degarantia Rafa</text>
  </threadedComment>
  <threadedComment ref="O45" dT="2025-04-23T14:11:20.51" personId="{DD401B4A-B41D-40A3-A1EA-F811F9F8454A}" id="{74251667-2FDF-4D34-92CC-AC6D609589E5}">
    <text>88462 Dilma Se debian facturar dos remisiones y comercial solo paso una 
88509 Maria P Se cobro doble el flete 
89207 dafne Error en la trm enviada por el comercial</text>
  </threadedComment>
  <threadedComment ref="Q45" dT="2025-04-23T14:22:56.80" personId="{DD401B4A-B41D-40A3-A1EA-F811F9F8454A}" id="{2E42A5CD-F788-4B25-AC39-76EAB1941BD3}">
    <text>86638Cliente rechazo por error
87931Cliente rechaza no sabemos el motivo
87930Cliente rechaza no sabemos el motivo
87826Cliente no radico la factura 
87827Cliente no radico la factura 
86551Cliente no le dio ingreso a la mercancia y no radicaron la factura 
87743Cliente solicito mal las cantidades NC por devolucion licencias
87037Error del cliente al enviarnos un rut sin actualizacion 
85832Cliente niega haber recibido la factura pero la rechaza
87864Cliente solicita dividir la factura 
87867Cliente solicita dividir la factura 
88838Error de razon social
84408 No le llego la factura al cliente </text>
  </threadedComment>
  <threadedComment ref="M46" dT="2025-04-23T14:31:01.80" personId="{DD401B4A-B41D-40A3-A1EA-F811F9F8454A}" id="{B6082A5B-4B9B-4E48-BBC7-5C521EB342C0}">
    <text>88271 alejandra velasquez cafe</text>
  </threadedComment>
  <threadedComment ref="M46" dT="2025-04-23T14:50:13.48" personId="{DD401B4A-B41D-40A3-A1EA-F811F9F8454A}" id="{AB2E6C17-C121-49B4-B49F-AF017E7FD501}" parentId="{B6082A5B-4B9B-4E48-BBC7-5C521EB342C0}">
    <text xml:space="preserve">89310 Se facturo sin entregar mercancia Rosmira </text>
  </threadedComment>
  <threadedComment ref="O46" dT="2025-04-23T14:34:45.75" personId="{DD401B4A-B41D-40A3-A1EA-F811F9F8454A}" id="{B1F42768-284D-4CC7-8BCC-D96E89CE834A}">
    <text>89047  Error en el kit se armo con el equipo equibocado Juan camilo piña
89178 Error en la oc mario</text>
  </threadedComment>
  <threadedComment ref="Q46" dT="2025-04-23T14:39:08.55" personId="{DD401B4A-B41D-40A3-A1EA-F811F9F8454A}" id="{E9B91A94-E418-4258-8AE0-C257573C74BD}">
    <text>89167 Error en la razon social 
88933 Cambio de productos 
83098 Error del iva en un producto </text>
  </threadedComment>
  <threadedComment ref="J47" dT="2025-04-30T13:45:02.87" personId="{DD401B4A-B41D-40A3-A1EA-F811F9F8454A}" id="{35FE741B-424D-414A-8687-2B48970C6D75}">
    <text xml:space="preserve">88316 devolucion diadema mario 
86810 error razon social camilo </text>
  </threadedComment>
  <threadedComment ref="M47" dT="2025-04-30T13:51:08.66" personId="{DD401B4A-B41D-40A3-A1EA-F811F9F8454A}" id="{7B2519B5-44A2-4793-A697-DA65CFCB3E63}">
    <text>89016 Se le cobro iva a unas licencias axentas Santillana
89125 Error en la OC Colsubsidio</text>
  </threadedComment>
  <threadedComment ref="M47" dT="2025-04-30T13:53:09.12" personId="{DD401B4A-B41D-40A3-A1EA-F811F9F8454A}" id="{511BEC59-DEF7-4273-8D3F-DCA90FCC5047}" parentId="{7B2519B5-44A2-4793-A697-DA65CFCB3E63}">
    <text xml:space="preserve">89809 No se debia facturar Wilson Sanchez </text>
  </threadedComment>
  <threadedComment ref="J48" dT="2025-05-07T14:14:17.19" personId="{DD401B4A-B41D-40A3-A1EA-F811F9F8454A}" id="{CECD6932-EE2B-4244-A879-EB0EFE8D3C03}">
    <text xml:space="preserve">88688  Devolución cámaras 40 jenny gonzalez </text>
  </threadedComment>
  <threadedComment ref="M48" dT="2025-05-07T14:16:48.92" personId="{DD401B4A-B41D-40A3-A1EA-F811F9F8454A}" id="{214DD1A4-FAEA-4EE3-80E8-5ACAE0ACB220}">
    <text>89700 Se facturo item sin iva tablet  mariela</text>
  </threadedComment>
  <threadedComment ref="M48" dT="2025-05-07T14:31:45.70" personId="{DD401B4A-B41D-40A3-A1EA-F811F9F8454A}" id="{2235D2DF-0C43-4752-A49C-DB435D181679}" parentId="{214DD1A4-FAEA-4EE3-80E8-5ACAE0ACB220}">
    <text xml:space="preserve">89895 Se facturo con una trm erronea mercadeo cristian </text>
  </threadedComment>
  <threadedComment ref="O48" dT="2025-05-07T14:17:32.08" personId="{DD401B4A-B41D-40A3-A1EA-F811F9F8454A}" id="{5AAAE208-DBD7-47BD-A9C8-25840C7DD254}">
    <text>90106 Se debia facturar adaptador en kit dafne</text>
  </threadedComment>
  <threadedComment ref="Q48" dT="2025-05-07T14:28:36.05" personId="{DD401B4A-B41D-40A3-A1EA-F811F9F8454A}" id="{6F080C6C-F389-413F-8352-5EC9ADB4E27F}">
    <text>83152 Cliente indica no recibir la factura 
87085 Cliente niega recibir la factura juan camilo p
86516 Cliente niega recibir la factura  juan camilo p 
89641 Cliente niega recibir la factura yomaira  </text>
  </threadedComment>
  <threadedComment ref="Q48" dT="2025-05-07T14:33:00.03" personId="{DD401B4A-B41D-40A3-A1EA-F811F9F8454A}" id="{7014E7F0-BA41-49D5-BC60-6AEFF504410D}" parentId="{6F080C6C-F389-413F-8352-5EC9ADB4E27F}">
    <text>89541 Error en la razon social rosa
89597 No se sabe el motivo  rosa</text>
  </threadedComment>
  <threadedComment ref="M49" dT="2025-05-14T14:15:03.34" personId="{DD401B4A-B41D-40A3-A1EA-F811F9F8454A}" id="{DA4E0558-D6AC-4DFE-92A8-4827134D35F6}">
    <text xml:space="preserve">90266 Error de benjamin al montar el pedido error en el precio angie tatiena </text>
  </threadedComment>
  <threadedComment ref="O49" dT="2025-05-14T14:06:54.51" personId="{DD401B4A-B41D-40A3-A1EA-F811F9F8454A}" id="{FC0D2A94-AAE9-4C4E-8A5C-39C70EBDB39C}">
    <text>89908 Error razón social  Mario
90003 Mayor valor cobrado Maria e 
88290 Error de razón social Camilo</text>
  </threadedComment>
  <threadedComment ref="P49" dT="2025-05-14T14:09:04.48" personId="{DD401B4A-B41D-40A3-A1EA-F811F9F8454A}" id="{0F2B3CF4-597B-453E-86EC-32D7E2815344}">
    <text>90507 valores  erroneos que tomo el sistema Maria Angelica alvarez</text>
  </threadedComment>
  <threadedComment ref="Q49" dT="2025-05-14T14:11:13.21" personId="{DD401B4A-B41D-40A3-A1EA-F811F9F8454A}" id="{F6ACDF80-ACA8-4B9F-A5A4-8289797C1177}">
    <text>88720 Error de correo electronico
84230 Error de correo electronico
90403 Cliente no recibe mercancia</text>
  </threadedComment>
  <threadedComment ref="J50" dT="2025-05-28T13:57:47.11" personId="{DD401B4A-B41D-40A3-A1EA-F811F9F8454A}" id="{5ECDD5E6-0B42-4D39-A1D6-D722A764371C}">
    <text xml:space="preserve">90317 Maru error razón social
89389 Wilson devolucion par 
89837 Carolina  devolucion par  </text>
  </threadedComment>
  <threadedComment ref="M50" dT="2025-05-28T13:59:00.25" personId="{DD401B4A-B41D-40A3-A1EA-F811F9F8454A}" id="{C997DD4C-EF50-4A74-A6FC-B3AA169631A2}">
    <text>91272 no se debía facturar colsubsidio</text>
  </threadedComment>
  <threadedComment ref="O50" dT="2025-05-28T14:00:41.81" personId="{DD401B4A-B41D-40A3-A1EA-F811F9F8454A}" id="{674EE9EA-EAE1-4DA8-983F-969D3E59974A}">
    <text>89849 fuera de la fecha de cierre oscar bohorquez</text>
  </threadedComment>
  <threadedComment ref="Q50" dT="2025-05-28T14:04:27.73" personId="{DD401B4A-B41D-40A3-A1EA-F811F9F8454A}" id="{E2063D9D-D6BE-4ABF-89B9-B4E525A824BD}">
    <text>86369 Cliente indica que necesita su factura tal cual la OC 
89952 Cambio de convertidores
86039 Cliente no la radico 
90628 Cliente rechaza por centavos 
87872 Cliente no la radico a tiempo 
90737 Quedo cliente de contado y debe salir a credito 
84227 Cliente no las radico a tiempo 
86619 Cliente no las radico a tiempo 
90317 Error razon Social 
89442 Cliente solicito refacturar con fecha de Mayo
87143 Cliente rechazo por error</text>
  </threadedComment>
  <threadedComment ref="U50" dT="2025-05-28T14:06:06.47" personId="{DD401B4A-B41D-40A3-A1EA-F811F9F8454A}" id="{9D0D0125-53F1-493C-811D-CD0B4B3726FF}">
    <text>88291 Bateria salio defectuosa</text>
  </threadedComment>
  <threadedComment ref="M51" dT="2025-05-28T14:24:56.54" personId="{DD401B4A-B41D-40A3-A1EA-F811F9F8454A}" id="{43406479-85B5-4104-9812-043ED0960C2B}">
    <text xml:space="preserve">91404 No se debia facturar y adicional se facturo con iva 
91407 No se debia facturar 
</text>
  </threadedComment>
  <threadedComment ref="O51" dT="2025-05-28T14:26:18.68" personId="{DD401B4A-B41D-40A3-A1EA-F811F9F8454A}" id="{91995F3F-AA05-4C3C-9F45-F1987D537451}">
    <text>91381 Era un obsequio y peña lo facturo 
91641 Fuera de la fecha de facturación diana buitrago</text>
  </threadedComment>
  <threadedComment ref="Q51" dT="2025-05-28T14:28:49.30" personId="{DD401B4A-B41D-40A3-A1EA-F811F9F8454A}" id="{B1012AB8-A4E8-415B-A555-659F173326D8}">
    <text>90752 Cliente rechazo por error
90997 Error de razón social
87001 No se sabe el motivo 
91394 Cliente cambio fechas de cierre </text>
  </threadedComment>
  <threadedComment ref="J52" dT="2025-06-05T14:47:20.60" personId="{DD401B4A-B41D-40A3-A1EA-F811F9F8454A}" id="{C900B23B-3B18-48C9-A7D0-6F9C0B61C89A}">
    <text xml:space="preserve">87319 cliente no radico la factura gina </text>
  </threadedComment>
  <threadedComment ref="O52" dT="2025-06-05T14:49:48.95" personId="{DD401B4A-B41D-40A3-A1EA-F811F9F8454A}" id="{37030A95-C1B5-42DB-A59C-DDB778C8B701}">
    <text xml:space="preserve">90899 ERROR EN LA OC ZULMA IA4
91180 ERROR ENEL PRECIO JASBLEIDI
91427 ERROR EN LA RAZON SOCIAL M PAOLA
91151 MAYOR VALOR COBRADO JENNY G </text>
  </threadedComment>
  <threadedComment ref="Q52" dT="2025-06-05T14:57:59.99" personId="{DD401B4A-B41D-40A3-A1EA-F811F9F8454A}" id="{1AF5A548-920B-4971-ACB2-843B75E87755}">
    <text xml:space="preserve">91617 Se negocio con cliente para que aceptara la primera factura Daniel g 
91321 No sabemos el motivo daniel g
88459 Cliente no radico factura camilo 
87319 Cliente no la radico a tiempo  gina 
</text>
  </threadedComment>
  <threadedComment ref="J53" dT="2025-06-11T14:17:37.54" personId="{DD401B4A-B41D-40A3-A1EA-F811F9F8454A}" id="{9AF258FF-20E9-4E68-871F-5AF7358B3895}">
    <text>87319 CLIENTE NO RADICO LA FACTURA GINA</text>
  </threadedComment>
  <threadedComment ref="M53" dT="2025-06-11T14:19:32.06" personId="{DD401B4A-B41D-40A3-A1EA-F811F9F8454A}" id="{BBFCFA84-F4CF-41E3-9417-0F5EC7618FF7}">
    <text xml:space="preserve">92209 SE FACTURO PRODUCTO EN 0 ALEJANDRA VELASQUEZ </text>
  </threadedComment>
  <threadedComment ref="O53" dT="2025-06-11T14:21:00.72" personId="{DD401B4A-B41D-40A3-A1EA-F811F9F8454A}" id="{AA171BA8-0646-42AE-B8CE-899731906ECC}">
    <text>92229 Error razon razon social Jasbleidy</text>
  </threadedComment>
  <threadedComment ref="Q53" dT="2025-06-11T14:32:20.61" personId="{DD401B4A-B41D-40A3-A1EA-F811F9F8454A}" id="{F1CF8A18-BB07-4EBE-9145-25B4BDC6E1A3}">
    <text xml:space="preserve">87319 Cliente no la radico a tiempo 
91568 Error en el correo de facturacion electronica 
91610 Error en el correo de facturacion electronica 
90707 Cliente no as radico 
88551 Cliente no as radico 
90333 Cliente solicita una sola factura Cliente solicita una sola factura 
89132 Cliente solicita una sola factura
88619 Cliente modifico la oc 
91774 Cliente rechazo por error
94775 Cliente rechazo por error
91776 Cliente rechazo por error
92222 Cambio de nit 
89511 Cambio de nit 
91707 Debe ir facturado sin  iva 
</text>
  </threadedComment>
  <threadedComment ref="J54" dT="2025-06-18T14:29:44.06" personId="{DD401B4A-B41D-40A3-A1EA-F811F9F8454A}" id="{AC62AAAD-7414-4D94-886C-BC0A7C3CD655}">
    <text>91884 colfondos  cliente no la radico y cambio la oc</text>
  </threadedComment>
  <threadedComment ref="M54" dT="2025-06-18T14:31:52.64" personId="{DD401B4A-B41D-40A3-A1EA-F811F9F8454A}" id="{32BC662B-A848-4EAA-84B3-5BDC1AC3E3F0}">
    <text>93008 Debia salir en kit 
89184 Error de correo de facturacion </text>
  </threadedComment>
  <threadedComment ref="O54" dT="2025-06-18T14:34:28.35" personId="{DD401B4A-B41D-40A3-A1EA-F811F9F8454A}" id="{9F43B773-9B2C-47DF-9051-978748A15067}">
    <text>92342 Error razon social Dilma
92266 Error en la OC Mario</text>
  </threadedComment>
  <threadedComment ref="P54" dT="2025-06-18T14:33:34.90" personId="{DD401B4A-B41D-40A3-A1EA-F811F9F8454A}" id="{63EDB1D2-8E7F-49E4-9036-86A2639F74FA}">
    <text>92398 Error en el kit salio sin iva 
92477 Error razon Social</text>
  </threadedComment>
  <threadedComment ref="Q54" dT="2025-06-18T14:37:36.75" personId="{DD401B4A-B41D-40A3-A1EA-F811F9F8454A}" id="{477A3B20-87BD-4338-800A-581300F32965}">
    <text>90722 Cliente no la radico 
92430 Faltaron agregar unas Observaciones</text>
  </threadedComment>
  <threadedComment ref="Q54" dT="2025-06-18T14:38:30.44" personId="{DD401B4A-B41D-40A3-A1EA-F811F9F8454A}" id="{E3735653-C4A2-4915-A066-9E4DE15523BC}" parentId="{477A3B20-87BD-4338-800A-581300F32965}">
    <text>89634 Error razon social
92256 Cliente solicita cambio de oc en 2 facturas 
91884 Cliente solicito cambio de factura por la OC </text>
  </threadedComment>
  <threadedComment ref="J55" dT="2025-06-26T13:29:14.92" personId="{DD401B4A-B41D-40A3-A1EA-F811F9F8454A}" id="{F597BC90-51E1-4D84-9A97-DD1075C1A306}">
    <text>89671 Kata Cliente no la radico a tiempo  Maria Eugenia 
92412 Kapiro Cliente solicita facturar 2 licencias en otra razon social Diana Castro</text>
  </threadedComment>
  <threadedComment ref="M55" dT="2025-06-26T13:30:03.59" personId="{DD401B4A-B41D-40A3-A1EA-F811F9F8454A}" id="{872DD058-7383-4096-853F-94007E35D545}">
    <text xml:space="preserve">93355 Se facturo en dólares  karol </text>
  </threadedComment>
  <threadedComment ref="N55" dT="2025-06-26T13:41:09.27" personId="{DD401B4A-B41D-40A3-A1EA-F811F9F8454A}" id="{33481A81-F944-46F0-AE72-9EAD100AC3E9}">
    <text xml:space="preserve">93314 Se facturo una licencia de mas compras y logistica </text>
  </threadedComment>
  <threadedComment ref="O55" dT="2025-06-26T13:34:20.10" personId="{DD401B4A-B41D-40A3-A1EA-F811F9F8454A}" id="{C710E235-E855-40FF-95BE-3251D87DAFBD}">
    <text>88521 No se radico en la plataforma Mariela
92014 Faltaron radicar documentos adicionales a la factura  Maria Eugenia 
91613 Fuera de la fecha de cierre Zulma  </text>
  </threadedComment>
  <threadedComment ref="Q55" dT="2025-06-26T13:40:16.14" personId="{DD401B4A-B41D-40A3-A1EA-F811F9F8454A}" id="{A4B366FD-A2F5-4A9B-A792-737249F33019}">
    <text xml:space="preserve">91754 Cliente no radico factura 
92627 Error de razón social
89671 Cliente no la radico a tiempo 
92470 Error razón social emitida x el cliente (correo) 
91666 Cliente no la radico 
89466 Cliente rechaza x inconvenientes internos 
92947 Cliente envio mal la OC 
93186  Cliente no recibió 
92412 Cliente solicita facturar 2 licencias en otra razón social 
88913 Error de correo de facturación 
</text>
  </threadedComment>
  <threadedComment ref="O56" dT="2025-07-09T13:39:32.78" personId="{DD401B4A-B41D-40A3-A1EA-F811F9F8454A}" id="{56B5B44A-A421-4E52-AB74-5C68F9E61ABC}">
    <text>90894 Error razón social  Jasbleidy
92687 Error en las cantidades de producto  Jenny Gonzales
93480 Por cierre de facturación Jasbleidy</text>
  </threadedComment>
  <threadedComment ref="Q56" dT="2025-07-09T13:40:38.82" personId="{DD401B4A-B41D-40A3-A1EA-F811F9F8454A}" id="{1721D24D-7860-4C9F-AD0D-BAE4F957F16B}">
    <text>91988 Cliente rechaza x la observacion de la factura 
92195 No se sabe el motivo del rechazo </text>
  </threadedComment>
  <threadedComment ref="J57" dT="2025-07-10T14:22:29.18" personId="{DD401B4A-B41D-40A3-A1EA-F811F9F8454A}" id="{BB7851C0-641C-4668-A2C1-8993C6760FE6}">
    <text xml:space="preserve">93904 zmo jasbleidy </text>
  </threadedComment>
  <threadedComment ref="N57" dT="2025-07-10T14:39:24.20" personId="{DD401B4A-B41D-40A3-A1EA-F811F9F8454A}" id="{2F5EB34E-7FF3-41F5-874E-458E08E72381}">
    <text>88932 Error en la descripcion del codigo natalia
93947 Faltaron agregar unas remisiones  karol</text>
  </threadedComment>
  <threadedComment ref="O57" dT="2025-07-10T14:25:44.81" personId="{DD401B4A-B41D-40A3-A1EA-F811F9F8454A}" id="{CA89A69D-47C0-4E76-8F26-38BE3C8D37C9}">
    <text>93614 Por cierre de facturacion 
92024 Se facturo 2 veces
92604 Mayor valor cobrado 
93982 Error de razón social 
93381 No se radico la factura con los soportes</text>
  </threadedComment>
  <threadedComment ref="Q57" dT="2025-07-10T14:32:51.60" personId="{DD401B4A-B41D-40A3-A1EA-F811F9F8454A}" id="{9E19E5B9-D281-4E5D-ADC3-08829AE6061F}">
    <text>93414 Por cierre de facturacion no informo cambios 
92511 Cliente rechazo por decimales
93638 Cliente solicita que se coloquen los seriales en la factura 
89032 Cliente no la radico
90829 Cliente iba a devolver producto y finalmente no lo hizo pero la rechazo 
93657 Cliente solicita refacturar diferente 
93504 Cliente no recibe mercancia
91249 Cliente indica que no les llego pero el correo estaba bien
91877 Cliente no modifico iva internamente 
91821 Cliente no modifico iva internamente 
91820 Cliente no modifico iva internamente 
91878 Cliente no modifico iva internamente 
93993 Se debe facturar con iva de acuerdo a la OC 
87554 Cliente no la radico internamente </text>
  </threadedComment>
  <threadedComment ref="J58" dT="2025-07-23T01:19:04.36" personId="{DD401B4A-B41D-40A3-A1EA-F811F9F8454A}" id="{CEB70847-B25F-41E7-9AE0-C82301712FF7}">
    <text xml:space="preserve">92934 IRCC LINGTON </text>
  </threadedComment>
  <threadedComment ref="N58" dT="2025-07-23T01:24:23.84" personId="{DD401B4A-B41D-40A3-A1EA-F811F9F8454A}" id="{74B828FF-319F-41A5-A986-3AE03163A73E}">
    <text>94329 No se debia facturar y benji la paso SANTILLANA camilo
94506 Falto agregar un item la OC no coincide con la factura DAFNE</text>
  </threadedComment>
  <threadedComment ref="O58" dT="2025-07-23T01:25:32.76" personId="{DD401B4A-B41D-40A3-A1EA-F811F9F8454A}" id="{ED241B9F-AC13-4197-B465-82D9887D3374}">
    <text>93739 Error en los codigos Fernando</text>
  </threadedComment>
  <threadedComment ref="P58" dT="2025-07-23T01:26:31.24" personId="{DD401B4A-B41D-40A3-A1EA-F811F9F8454A}" id="{A2D18F04-4BF2-45BE-9FCF-2BDAFF832B9F}">
    <text>94301 Tomo el tercero que no era</text>
  </threadedComment>
  <threadedComment ref="Q58" dT="2025-07-23T01:36:11.32" personId="{DD401B4A-B41D-40A3-A1EA-F811F9F8454A}" id="{0CBB3336-A7AF-43EA-9645-990F3ECADB8D}">
    <text xml:space="preserve">92216No se debia facturar aese tercero 
93739 Error en los codigos 
88068 Error de correo cliente no notifico el cambio 
93425 Cliente indica haber recibido tarde la mercancia 
91097 Cliente rechazo por error 
93767 Cliente envio una oc a una razon social y era por otra 
93987 Cliente envio una oc a una razon social y era por otra 
93155 Faltaba la Orden de servicio 
92936 Cliente envio una oc a una razon social y era por otra 
90509 Fallas en la pagina receptora de la universidad 
94611 Cliente cambia correo no notifica y la factura anterior si la radicaron siendo el mismo correo 
94613 Cliente cambia correo no notifica y la factura anterior si la radicaron siendo el mismo correo 
</text>
  </threadedComment>
  <threadedComment ref="J59" dT="2025-07-23T01:47:36.11" personId="{DD401B4A-B41D-40A3-A1EA-F811F9F8454A}" id="{E2E8B994-E839-4505-823D-5A1B47E61E96}">
    <text>93577 nutrabiotics Rosa</text>
  </threadedComment>
  <threadedComment ref="N59" dT="2025-07-23T01:51:59.10" personId="{DD401B4A-B41D-40A3-A1EA-F811F9F8454A}" id="{CC43E0AC-0BB7-468B-B1BD-8F16A8F0CF48}">
    <text>94017 No se facturo el flete benji remisiono 
94755 Se debia facturar mas producto </text>
  </threadedComment>
  <threadedComment ref="O59" dT="2025-07-23T01:53:23.79" personId="{DD401B4A-B41D-40A3-A1EA-F811F9F8454A}" id="{31217876-9013-401F-BF57-420450505E12}">
    <text>95059 Error en codigo ,aria Eugenia 
93467 Fuera de la fecha de cierre Mario</text>
  </threadedComment>
  <threadedComment ref="P59" dT="2025-07-23T01:54:30.87" personId="{DD401B4A-B41D-40A3-A1EA-F811F9F8454A}" id="{A05A606E-497E-49BE-B268-77A19CCDCFEF}">
    <text xml:space="preserve">93745 tomo mal el tercero </text>
  </threadedComment>
  <threadedComment ref="Q59" dT="2025-07-23T03:12:16.39" personId="{DD401B4A-B41D-40A3-A1EA-F811F9F8454A}" id="{AF0F799B-54D4-409C-A748-D2FC74911C25}">
    <text>91708 No se sabe el motivo del rechazo 
94574 Error en razon social, cliente despues de facturar envio la OC a otrarazon social 
91749 No se sabe el motivo del rechazo 
91719 No enviaron las actas, la encargada de esto renuncio 
93420 Cliente cambia correo no notifica y la factura anterior si la radicaron siendo el mismo correo 
93636 Cliente rechazo por error 
89622 Cliente no la radico internamente 
93668 Cliente devuelve cables y de deja remisionado mientras llega el producto 
93773 Cliente proporciona numero de ingreso errado por lo que la rechazaron 
88815 Cliente no tenia aval de la licencia y la rechazo 
94507 Cliente rechaza por no tener nuestro documentos pero fueron enviados a tiempo
93577Cliente renovo por otro lado el mismo mes
89670 Cliente no identifico el servicio y la rechazo 
93496 No se sabe el motivo del rechazo 
93437 Cliente no la radico internamente 
90849 Error en la oc del cliente 
93320 Por una devolucion rechazo todo </text>
  </threadedComment>
  <threadedComment ref="R59" dT="2025-07-23T01:58:28.50" personId="{DD401B4A-B41D-40A3-A1EA-F811F9F8454A}" id="{FDC534A9-E5ED-468C-8C14-AD2BEBAC1E23}">
    <text>91442 No se presto el servicio 
92925 No se debia facturar </text>
  </threadedComment>
  <threadedComment ref="O60" dT="2025-07-30T14:28:49.13" personId="{DD401B4A-B41D-40A3-A1EA-F811F9F8454A}" id="{C281008E-69B4-4934-A23C-553B183AE532}">
    <text>95334 Comercial mando facturar y luego indico que debia salir con tra remision  Rosa 
95289 Error en la OC Faltaba un numero Astrid 
95416 Por fecha de cierre Alvarez </text>
  </threadedComment>
  <threadedComment ref="M61" dT="2025-08-06T14:37:17.98" personId="{DD401B4A-B41D-40A3-A1EA-F811F9F8454A}" id="{0FF9B2CF-9E02-4713-A8AB-F4CA115AE9F5}">
    <text xml:space="preserve">94584  Producto salio sin IVA Maria Eugenia </text>
  </threadedComment>
  <threadedComment ref="O61" dT="2025-08-06T14:25:27.28" personId="{DD401B4A-B41D-40A3-A1EA-F811F9F8454A}" id="{12CBFD37-7AAA-492A-8BF5-4DFE8D5D3825}">
    <text>94644 Error en OC x comercial CarolinaBossa
95198 Por cierre de facturacion Dilma</text>
  </threadedComment>
  <threadedComment ref="Q61" dT="2025-08-06T14:36:48.65" personId="{DD401B4A-B41D-40A3-A1EA-F811F9F8454A}" id="{57430CD3-8DA7-4868-A0B6-DC783BAA1B6E}">
    <text>95359 Error de razon social Cliente no notifico ni envio documentos  Julieth Galindo 
95360 Error de razon social Cliente no notifico ni envio documentos  Julieth Galindo 
95265 No se sabe el motivo del rechazo  Yeison Urrego 
90687 Error de correo cliente no notifico el cambio 
93931 No se sabe el motivo del rechazo 
91436 Rechazo por $600 de diferencia contra la OC
95182 Producto Vencido 
95429 No se sabe el motivo del rechazo
95233 No se sabe el motivo del rechazo
93134 Cliente no radico factura
93546 Error de razón social Claudia 
93541 Error de razón social Claudia 
93556 Error de razón social Claudia 
93544 Error de razón social Claudia 
93544 Error de razón social Claudia 
93543 Error de razon social
93542 Error de razon social
93540 Error de razon social
93545 Error de razon social
95021 No se sabe el motivo del rechazo
94893 No se sabe el motivo del rechazo
94548 No se sabe el motivo del rechazo</text>
  </threadedComment>
  <threadedComment ref="Q61" dT="2025-08-06T14:46:09.70" personId="{DD401B4A-B41D-40A3-A1EA-F811F9F8454A}" id="{43B9D2A8-29F6-42E4-937B-F837680754F4}" parentId="{57430CD3-8DA7-4868-A0B6-DC783BAA1B6E}">
    <text xml:space="preserve">90858 Cliente no la radicó internamente  Gina </text>
  </threadedComment>
  <threadedComment ref="M62" dT="2025-08-13T14:36:01.87" personId="{DD401B4A-B41D-40A3-A1EA-F811F9F8454A}" id="{E9540014-2466-48EF-9AE0-BE13DF3B066F}">
    <text>95682 Producto salio sin IVA</text>
  </threadedComment>
  <threadedComment ref="O62" dT="2025-08-13T14:38:19.92" personId="{DD401B4A-B41D-40A3-A1EA-F811F9F8454A}" id="{41B81C5E-DC7B-414F-923D-50F7B1968CAD}">
    <text>95930 Error en razón social Yomaira
94800 Error en razón social M. Paola
92888 Error en los valores, no coinciden con la OC Freddy P</text>
  </threadedComment>
  <threadedComment ref="Q62" dT="2025-08-13T14:41:05.96" personId="{DD401B4A-B41D-40A3-A1EA-F811F9F8454A}" id="{5CD088E2-07C7-49A0-B367-1BCB10D2127F}">
    <text>94937 Cliente envió mal el # de MIGO, se cruza con otra factura M.Paola
94997 Cliente envió mal el # de MIGO, se cruza con otra factura M.Paola
95637 Se tuvo que bajar el precio  Gina Paola
94608 Cliente no la radico  M.Alejandra V</text>
  </threadedComment>
  <threadedComment ref="M63" dT="2025-08-21T14:38:30.10" personId="{DD401B4A-B41D-40A3-A1EA-F811F9F8454A}" id="{C6561CA2-227E-4A43-9627-3D421C66202D}">
    <text>96476 Iba con otra remisión 
96609 Comercial envió correo pero no fue claro, iba con más remisiones</text>
  </threadedComment>
  <threadedComment ref="O63" dT="2025-08-21T14:49:31.71" personId="{DD401B4A-B41D-40A3-A1EA-F811F9F8454A}" id="{E0645E50-A36D-4F97-BBC5-39C95DA8EB60}">
    <text>96344 Error en el Valor 
95990 Mayor Valor Cobrado
96272 No se debía facturar 
93563 Cierre de Facturación 
95785 Se debia facturar por separado 
95797 Error en la OC
90095 Mayor Valor Cobrado
96357 Se facturo 2 veces
95987 Error en el codigo </text>
  </threadedComment>
  <threadedComment ref="Q63" dT="2025-08-21T14:54:25.21" personId="{DD401B4A-B41D-40A3-A1EA-F811F9F8454A}" id="{D31B81A1-2645-4113-8A03-1085D4734866}">
    <text>96186 Cliente no recibe los productos
91819 Cliente no la radico 
95928 Cliente cambió políticas de radicación de facturas
92655 No se sabe el motivo de rechazo
95256 Cliente la rechazo por error
93046 Cliente la rechazo por error
92528 Cliente la rechazo por error
96260 Error en razón social
95545 Cliente rechaza por error 
96239 Error en razón social
92177 Cliente rechaza por error oc no coincide, pero esta la conversacion donde autoriza cmprar mas caro pr la urgencia 
92884 Error en la OC del cliente
95864 Producto salio sin IVA
95381 No sabemos el motivo del rechazo 
94840 Cliente no radico factura
88792 Cliente no radico factura
96102 Cliente solicita que se haga una sola fcatura </text>
  </threadedComment>
  <threadedComment ref="M64" dT="2025-09-02T21:46:24.05" personId="{DD401B4A-B41D-40A3-A1EA-F811F9F8454A}" id="{A2171217-75A0-41FC-9569-55BD1E9072FF}">
    <text xml:space="preserve">97008 No sedebia facturar cliente ya habia cerrado no llamo al comercial </text>
  </threadedComment>
  <threadedComment ref="O64" dT="2025-09-02T21:51:16.67" personId="{DD401B4A-B41D-40A3-A1EA-F811F9F8454A}" id="{E7EF1256-2FAB-4DE6-9E3D-36986E88EEDA}">
    <text>96357 Se facturo 2 veces Gabriela oscar b
95987 Error en el codigo maria eug
96947 Error en las cantidades yomaira
 96985 Fuera de la fecha de facturacion dafne
92326 Error en razon social tatiana 
96702 No se relaciono la OC javier cortes
96701 No se relaciono la OC javier cortes</text>
  </threadedComment>
  <threadedComment ref="Q64" dT="2025-09-02T21:58:18.30" personId="{DD401B4A-B41D-40A3-A1EA-F811F9F8454A}" id="{2FADBBDC-3149-4824-85C8-EC36479AD851}">
    <text>94840 Cliente no radico factura
88792 Cliente no radico factura
96102 Cliente solicita que se haga una sola fcatura 
94973 Cliente indica que no la recibio 
96722 Cliente rechazo por error se adjunta correo
96064 Se anula factura por cambio de referencia a solicitud del cliente 
96556 Se salio del presupuesto del cliente 
95804 Clienta solicita una sola factura 
96633 Error en los valoreesdel monitor 
94383 Cliente No la radico 
94297 Cliente No la radico 
97005 Cliente envio mal las especificaciones del producto</text>
  </threadedComment>
  <threadedComment ref="R64" dT="2025-09-02T21:58:58.21" personId="{DD401B4A-B41D-40A3-A1EA-F811F9F8454A}" id="{5538F85B-92AC-4DEA-B1D5-E67FFBDDF287}">
    <text>96912 Oscar mando facturar x correo del comercial y debia ir facturado con otra remision </text>
  </threadedComment>
  <threadedComment ref="N65" dT="2025-09-03T15:31:40.01" personId="{DD401B4A-B41D-40A3-A1EA-F811F9F8454A}" id="{13C45B8E-245A-4990-B93E-48D22E3E7EE5}">
    <text xml:space="preserve">97260 Mando Facturar y no se podía </text>
  </threadedComment>
  <threadedComment ref="O65" dT="2025-09-03T15:30:07.39" personId="{DD401B4A-B41D-40A3-A1EA-F811F9F8454A}" id="{5647AE72-CBEB-4E60-8DBB-0E7A9EE9DCDE}">
    <text>97237 No se radico la factura con los soportes Rosmira 
97464 Comercial se eequivoco y envió producto que no era  Jenny Gonzalez
95234 No se radico la factura con los soportes Gabriela
95235 No se radico la factura con los soportes Gabriela</text>
  </threadedComment>
  <threadedComment ref="Q65" dT="2025-09-03T15:37:08.36" personId="{DD401B4A-B41D-40A3-A1EA-F811F9F8454A}" id="{9E55B54D-1778-44E7-AB99-30B796DB2ADA}">
    <text xml:space="preserve">92889 Cliente no recibio algunos productos
96813 Cliente rechazo por error
95905 Cliente cambio su razon social de SA SAS
96054 Cliente no le coincide IVA, tienen productos que los tienen errados
95968 Error en las observaciones, faltaba información solicitada por el cliente
95300 Cliente No la radico 
95301 Cliente No la radico 
94761 No le llegó al cliente
</text>
  </threadedComment>
  <threadedComment ref="M66" dT="2025-09-10T14:41:24.65" personId="{DD401B4A-B41D-40A3-A1EA-F811F9F8454A}" id="{D98040F7-315C-4B91-AF9A-0F23390A3790}">
    <text>97747 no se coloco numero de ingreso karol</text>
  </threadedComment>
  <threadedComment ref="N66" dT="2025-09-10T14:42:32.30" personId="{DD401B4A-B41D-40A3-A1EA-F811F9F8454A}" id="{181279D2-7A3A-4DE4-836A-2D6011F997A0}">
    <text>97717 no se debia facturar fernando
97592 error en las cantidades  mariela</text>
  </threadedComment>
  <threadedComment ref="O66" dT="2025-09-10T14:44:57.95" personId="{DD401B4A-B41D-40A3-A1EA-F811F9F8454A}" id="{9A0737F8-B75F-4117-8002-228709DA60ED}">
    <text>97751 Error en la razón social Alejandra Velásquez
97592 Falto agregar una remisión Mariela
97579 Debe ir facturado a otra razón social Mari Eugenia 
94564 Error en la razón social Álvaro
96069 No se relaciono la OC  Álvaro</text>
  </threadedComment>
  <threadedComment ref="Q66" dT="2025-09-10T14:50:07.60" personId="{DD401B4A-B41D-40A3-A1EA-F811F9F8454A}" id="{7154AF24-E8D4-4264-BE98-F52CFDE349D1}">
    <text>93646 Cliente no la radico 
93949 No se pudo procesar la extension de garantia 
95079 Ciertos productos debian ir a otra razon social 
95084 Ciertos productos debian ir a otra razon social 
95083 Ciertos productos debian ir a otra razon social 
95073 Ciertos productos debian ir a otra razon social 
95081 Ciertos productos debian ir a otra razon social 
96922 Cliente no radico la fcatura </text>
  </threadedComment>
  <threadedComment ref="J67" dT="2025-09-17T13:47:20.07" personId="{DD401B4A-B41D-40A3-A1EA-F811F9F8454A}" id="{AAE0CC49-350E-4C4D-B384-59F9330D2862}">
    <text>97760 ROSMIRA DEVOLUCION PROD TE MERCANCIA NO LLEGO Y FACTURARON 
92390 CABALLERO DEVOLVIERON UN CABLE NO LE FUNCIONO AL CLIENTE
97036 JENNY G FACTURO DOBLE VEZ EL IVA</text>
  </threadedComment>
  <threadedComment ref="M67" dT="2025-09-17T13:49:51.88" personId="{DD401B4A-B41D-40A3-A1EA-F811F9F8454A}" id="{55BB8ED7-8D20-4574-ABDA-CC78AE1B708C}">
    <text>98628 Se facturo con sin iva unos portátiles Benji cambio pedido y karol no valido</text>
  </threadedComment>
  <threadedComment ref="N67" dT="2025-09-17T13:54:09.15" personId="{DD401B4A-B41D-40A3-A1EA-F811F9F8454A}" id="{72A5C55A-255C-4DBA-A0ED-6D728368E3D0}">
    <text xml:space="preserve">97622 Mayor valor cobrado en unas memorias 
98455 Logística mando facturar y comercial le indico que no se podia facturar aun 
98346 Falto agregar una remision benji mando facturar y era un faltante 
</text>
  </threadedComment>
  <threadedComment ref="O67" dT="2025-09-17T13:58:13.69" personId="{DD401B4A-B41D-40A3-A1EA-F811F9F8454A}" id="{A8DB6F9F-EBC2-424C-8919-3EF8458BFFDE}">
    <text xml:space="preserve">96540 Mayor valor cobrado camilo
97036 Comercial facturo doble vez el iva yenni
94257 Error en la OC  oscar beltran zulma 
</text>
  </threadedComment>
  <threadedComment ref="Q67" dT="2025-09-17T14:00:44.99" personId="{DD401B4A-B41D-40A3-A1EA-F811F9F8454A}" id="{046538EE-0EA6-4568-932E-7B6B28281556}">
    <text>89614 Cliente no radico factura y pidio que se refacturara
96414 Cliente no radico la factura 
96352 Cliente no radico la factura 
98173 Cliente solicito facturar un valor mas alto cambio la OC 
98266 Cliente rechaza la factura x 1 peso se adjunta correo 
96774 Cliente indica que no le llego </text>
  </threadedComment>
  <threadedComment ref="U67" dT="2025-09-17T14:04:19.84" personId="{DD401B4A-B41D-40A3-A1EA-F811F9F8454A}" id="{36D9C15F-619F-4E37-87D0-9F3A533DBF7F}">
    <text xml:space="preserve">97296 Devolucion Total TECNOLOGIA  Cargador proveedor  nos genero NC
</text>
  </threadedComment>
  <threadedComment ref="V67" dT="2025-09-17T14:06:00.89" personId="{DD401B4A-B41D-40A3-A1EA-F811F9F8454A}" id="{C0F0EE2B-7662-450C-87C3-C478C5A815F2}">
    <text>98072 Devolucion Total PAC Mario pidio mal la mercancia </text>
  </threadedComment>
  <threadedComment ref="X67" dT="2025-09-17T14:12:11.90" personId="{DD401B4A-B41D-40A3-A1EA-F811F9F8454A}" id="{C9071D00-C901-4C21-891B-33279C0D94BF}">
    <text xml:space="preserve">97760  Mercancia no llego te 
92390 Devolucion cable
98087 devolucion rotulo no le sirvio al cliente 
98459 Devolución instacrem cliente no especifico que era en sobres </text>
  </threadedComment>
  <threadedComment ref="J68" dT="2025-09-24T14:39:35.52" personId="{DD401B4A-B41D-40A3-A1EA-F811F9F8454A}" id="{84F7FFCD-110C-46D0-85AC-67ACFF2C3574}">
    <text>93510 Cliente hasta este mes ingreso la mercancia, niega haber recibido la mercancia  Jonathan Acevedo
98111 Devolucion Parcial PAC Diana Castro</text>
  </threadedComment>
  <threadedComment ref="M68" dT="2025-09-24T14:41:46.24" personId="{DD401B4A-B41D-40A3-A1EA-F811F9F8454A}" id="{2AC54677-A3CC-45B8-B4B2-883B02C85D79}">
    <text>98669 No se había ingresado la factura de proveedor Mario 
99117 Kit creado sin IVA Melisa</text>
  </threadedComment>
  <threadedComment ref="O68" dT="2025-09-24T14:46:06.93" personId="{DD401B4A-B41D-40A3-A1EA-F811F9F8454A}" id="{088C7128-059C-4999-BE10-7D67BA018ED6}">
    <text xml:space="preserve">89961 No se radicaron los documentos junto con la factura  maria eugenia 
98842 No debia salir en KIT Juan Camilo Piña </text>
  </threadedComment>
  <threadedComment ref="Q68" dT="2025-09-24T15:04:49.24" personId="{DD401B4A-B41D-40A3-A1EA-F811F9F8454A}" id="{5EDD3F02-0712-4260-AA08-8F28F3D3C3BC}">
    <text xml:space="preserve">93510 Cliente hasta este mes ingreso la mercancia, niega haber recibido la mercancia  Acevedo 
98351 Se facturo sin OC, cliente la suministro luego de haber facturado
96850 Cliente no indicó que iba a cambiar la OC
92604 Cliente solicita cambio de factura por un error interno en la OC 
91871 No se Validaron los documentos internamente para el cobro
</text>
  </threadedComment>
  <threadedComment ref="R68" dT="2025-09-24T15:05:40.72" personId="{DD401B4A-B41D-40A3-A1EA-F811F9F8454A}" id="{7FDEF9A9-C757-442C-8420-5C94D5AB0E05}">
    <text xml:space="preserve">Mercadeo Nini  HP error en los valores </text>
  </threadedComment>
  <threadedComment ref="X68" dT="2025-09-24T15:10:42.35" personId="{DD401B4A-B41D-40A3-A1EA-F811F9F8454A}" id="{4C765C9B-B96A-43EC-8AF3-66433AC11FDA}">
    <text>98181 Devolucion parcial TECNOLOGIA 
98604 Devolucion parcial TECNOLOGIA 
98516 Devolucion Parcial TECNOLOGIA </text>
  </threadedComment>
  <threadedComment ref="Y68" dT="2025-09-24T15:13:35.21" personId="{DD401B4A-B41D-40A3-A1EA-F811F9F8454A}" id="{51C75FBA-B54A-43CB-B6DC-0A05D5FBEDAA}">
    <text xml:space="preserve">98111 Devolucion Parcial PAC Filtro aguila roja 
98877 Devolucion Parcial PAC rollo poli estresh
98561 Devolucion Parcial PACambientador 
98352 Devolucion Parcial PAC marcadores 
98075 Devolucion Parcial PAC Bayetilla y jabon 
</text>
  </threadedComment>
  <threadedComment ref="J69" dT="2025-10-07T16:18:43.10" personId="{DD401B4A-B41D-40A3-A1EA-F811F9F8454A}" id="{FB331394-692B-40F7-B171-17931D7CB913}">
    <text>98656 devolucion prod</text>
  </threadedComment>
  <threadedComment ref="M69" dT="2025-10-07T16:20:46.31" personId="{DD401B4A-B41D-40A3-A1EA-F811F9F8454A}" id="{A146711C-0E06-422A-94B0-78177908D3A9}">
    <text xml:space="preserve">99209 se facturo portatil sin iva diana castro </text>
  </threadedComment>
  <threadedComment ref="M69" dT="2025-10-07T16:21:26.01" personId="{DD401B4A-B41D-40A3-A1EA-F811F9F8454A}" id="{F5AE6AE6-A612-4EE1-B537-7943006AB0F6}" parentId="{A146711C-0E06-422A-94B0-78177908D3A9}">
    <text>99330 No se firmo q tiempo acta para la radicacion de la factura alexa</text>
  </threadedComment>
  <threadedComment ref="O69" dT="2025-10-07T16:22:25.75" personId="{DD401B4A-B41D-40A3-A1EA-F811F9F8454A}" id="{E2AA2BD8-7825-4C6D-9690-11F8CCE7266B}">
    <text xml:space="preserve">99155 Por cierre de facturacion carolina bosa
98515 No se relaciono la OC Mariela </text>
  </threadedComment>
  <threadedComment ref="Q69" dT="2025-10-07T16:25:37.78" personId="{DD401B4A-B41D-40A3-A1EA-F811F9F8454A}" id="{B96CD8A8-F211-437D-889D-B0C705E9F352}">
    <text>96467 Cliente no radico la factura  astrid
97387 Cliente solicita cambio de unidades en las facturas astrid
97510 Cliente solicita cambio de unidades en las facturas astrid
99256 Cliente solicita cambio de unidades en las facturas astrid
97914 Cliente x presupuesto devuelve mercancia y cambia la oc julieth
97661 No sabemos el motivo del rechazo lington
99053 Cliente se encuentra en reestructuracion facturar en octubre  daniel g 
98015 No sabemos el motivo del rechazo  Freddy p</text>
  </threadedComment>
  <threadedComment ref="X69" dT="2025-10-07T16:28:20.74" personId="{DD401B4A-B41D-40A3-A1EA-F811F9F8454A}" id="{74F0D19E-FBA7-4679-BF55-20598548CFFE}">
    <text>98656 Devolución esponjillas</text>
  </threadedComment>
  <threadedComment ref="Y69" dT="2025-10-07T16:29:23.16" personId="{DD401B4A-B41D-40A3-A1EA-F811F9F8454A}" id="{597D2F32-1059-43A6-A109-5A68E7544394}">
    <text>75435  devolucion combo teclado 2024 caballero</text>
  </threadedComment>
  <threadedComment ref="J70" dT="2025-10-08T13:41:49.49" personId="{DD401B4A-B41D-40A3-A1EA-F811F9F8454A}" id="{670F3092-90E3-4B8F-B984-A9C6CFFAEA83}">
    <text xml:space="preserve">90095 DEVOLUCION COMBO TECLADO  ALEJA V </text>
  </threadedComment>
  <threadedComment ref="M70" dT="2025-10-08T13:43:14.26" personId="{DD401B4A-B41D-40A3-A1EA-F811F9F8454A}" id="{46BB14C2-ADED-4737-A3AA-D298DF43B8E9}">
    <text>99381 Se tomo la remision que no era </text>
  </threadedComment>
  <threadedComment ref="O70" dT="2025-10-08T13:44:27.92" personId="{DD401B4A-B41D-40A3-A1EA-F811F9F8454A}" id="{0B982E86-EA85-42D9-B02F-25CD9B03838F}">
    <text>99427  Error de razon social JUAN C PIÑA
99522 Se facturo antes de entregar la mercancia MARIO</text>
  </threadedComment>
  <threadedComment ref="Q70" dT="2025-10-08T13:45:45.07" personId="{DD401B4A-B41D-40A3-A1EA-F811F9F8454A}" id="{33B8D454-5620-4F54-84B5-87BAC6F5AFA0}">
    <text>98998 Cliente solicita NC porque va a genrar el pago en pesos CABALLERO 
97830 Cliente solicita el cambio de la factura CAMILO</text>
  </threadedComment>
  <threadedComment ref="U70" dT="2025-10-08T13:55:35.13" personId="{DD401B4A-B41D-40A3-A1EA-F811F9F8454A}" id="{70170B5F-8346-45EE-9E0D-318D5DDA33A7}">
    <text xml:space="preserve">99248 MONITOR 
97454 CARGADOR </text>
  </threadedComment>
  <threadedComment ref="X70" dT="2025-10-08T13:57:20.20" personId="{DD401B4A-B41D-40A3-A1EA-F811F9F8454A}" id="{62EE2257-605F-4935-A75D-F08CB18E6230}">
    <text>90005 COMBO TECLADO 
90049 SOBRES</text>
  </threadedComment>
  <threadedComment ref="J71" dT="2025-10-15T20:06:47.35" personId="{DD401B4A-B41D-40A3-A1EA-F811F9F8454A}" id="{741E6AF1-8EB4-407F-B460-BC957675089B}">
    <text>98018 devolucion pac</text>
  </threadedComment>
  <threadedComment ref="M71" dT="2025-10-15T20:10:30.62" personId="{DD401B4A-B41D-40A3-A1EA-F811F9F8454A}" id="{97B406A2-EFE3-4F12-8B89-B4A7249E4290}">
    <text>99982 No habia el product en la presentacion solicitada y debia salir remisionado karol lo facturo Karol
99439 No se facturaron unas licencias karol
99085 Se envio al correo erroneo Alexa
98822 Se envio al correo erroneo Alexa
100214 se facturaron 900 pesos de mas  karol
100222  Error en el kit karol
100206 Se digito mal el valor de la unidad  karol</text>
  </threadedComment>
  <threadedComment ref="O71" dT="2025-10-15T20:12:09.29" personId="{DD401B4A-B41D-40A3-A1EA-F811F9F8454A}" id="{010283A7-8DD8-416A-BFB9-C63EF7464852}">
    <text xml:space="preserve">99911 Se facturaron 2 veces el mismo producto Mario
95973 Mayor valor cobrado Peña
94518 Error en el correo de facturacion comercial olvido el cambio Juan Camilo Piña
96846 Falto radicar la factura con soportes  astrid </text>
  </threadedComment>
  <threadedComment ref="Q71" dT="2025-10-15T20:15:12.73" personId="{DD401B4A-B41D-40A3-A1EA-F811F9F8454A}" id="{7E0601CE-0CFB-406C-8E2F-4034D89FF2F9}">
    <text>99229 Cliente no la radico 
98780 Cliente no envio OC y se facturo 
99265 Cliente pidio facturar en 2 oc </text>
  </threadedComment>
  <threadedComment ref="X71" dT="2025-10-15T20:17:51.81" personId="{DD401B4A-B41D-40A3-A1EA-F811F9F8454A}" id="{9A5E2130-0B4D-4E8F-8078-E7E4DD7DBE3B}">
    <text xml:space="preserve">5540 toallas familia
5543 papelera y filtro agua
5553 az y marbete </text>
  </threadedComment>
  <threadedComment ref="Y71" dT="2025-10-15T20:18:25.59" personId="{DD401B4A-B41D-40A3-A1EA-F811F9F8454A}" id="{E6088668-4A92-4E6A-9D42-B8738749433E}">
    <text>5537 parlantes</text>
  </threadedComment>
  <threadedComment ref="M72" dT="2025-10-21T21:48:20.06" personId="{DD401B4A-B41D-40A3-A1EA-F811F9F8454A}" id="{9A94F6ED-F3A4-48FF-B499-E19525D6669E}">
    <text>99876 Doble facturacion
99877 Doble facturacion
93150 Rafael N autorizo NC 
93972 Rafael N autorizo NC 
99030 Rafael N autorizo NC </text>
  </threadedComment>
  <threadedComment ref="N72" dT="2025-10-21T21:48:55.53" personId="{DD401B4A-B41D-40A3-A1EA-F811F9F8454A}" id="{122FBEEC-FF88-4FFF-ADD7-632F2933EF08}">
    <text>99273 Se perdio el producto no aparecen radios jessica</text>
  </threadedComment>
  <threadedComment ref="O72" dT="2025-10-21T21:50:53.11" personId="{DD401B4A-B41D-40A3-A1EA-F811F9F8454A}" id="{3603A676-3CB8-414B-AA36-4883543F2F3A}">
    <text>100413 Faltaron Agregar unas licencias julieth
100412 Faltaron Agregar unas licencias julieth
100243 Error de razon social caro bosa
98568 Error en la OC tatiana parra</text>
  </threadedComment>
  <threadedComment ref="O72" dT="2025-10-21T21:53:30.35" personId="{DD401B4A-B41D-40A3-A1EA-F811F9F8454A}" id="{E51575E6-5E7F-48ED-8535-883C98EBE0C8}" parentId="{3603A676-3CB8-414B-AA36-4883543F2F3A}">
    <text xml:space="preserve"> 100523 no se debia facturar y lo mando facturar mariela</text>
  </threadedComment>
  <threadedComment ref="P72" dT="2025-10-21T21:52:19.30" personId="{DD401B4A-B41D-40A3-A1EA-F811F9F8454A}" id="{6EF66556-D506-4ED7-88B4-A06E835F221E}">
    <text xml:space="preserve"> 100580 No subio por factura por los decimales rosa</text>
  </threadedComment>
  <threadedComment ref="Q72" dT="2025-10-21T21:56:16.12" personId="{DD401B4A-B41D-40A3-A1EA-F811F9F8454A}" id="{09353432-F864-4F73-BFCA-826200E4452A}">
    <text>96882 No sabemos el motivo del rechazo Peña
97661 No sabemos el motivo del rechazo Lington
100052 cliente rechaza por error mariela
98866 Cliente solicita hacer facturas pos centro de costos Peña</text>
  </threadedComment>
  <threadedComment ref="U72" dT="2025-10-21T21:57:40.92" personId="{DD401B4A-B41D-40A3-A1EA-F811F9F8454A}" id="{6AA70445-AD5F-40DF-907B-B6785E8866E0}">
    <text xml:space="preserve">100643 No era el producto cliente seequico tonerjenny g 
98293 portatiles no eran Rosmira </text>
  </threadedComment>
  <threadedComment ref="Y72" dT="2025-10-21T21:58:46.43" personId="{DD401B4A-B41D-40A3-A1EA-F811F9F8454A}" id="{3D3F3B4B-31D1-4262-B0E7-F0679FAD92BA}">
    <text xml:space="preserve">88791 tajetas de video alejandra </text>
  </threadedComment>
  <threadedComment ref="N73" dT="2025-11-06T10:01:26.35" personId="{DD401B4A-B41D-40A3-A1EA-F811F9F8454A}" id="{45F30103-B6E3-4BF3-9176-46EFC64202DF}">
    <text>100601 Error en los productos entregados Jenny Gonzalez</text>
  </threadedComment>
  <threadedComment ref="O73" dT="2025-11-06T10:03:16.76" personId="{DD401B4A-B41D-40A3-A1EA-F811F9F8454A}" id="{5DB9024C-F0F4-4117-B07A-2378AF31E01E}">
    <text>98829 Mayor valor cobrado yomaira
100621 Quedo facturado mal un item daniel
100406 Error en el valor unitario astrid</text>
  </threadedComment>
  <threadedComment ref="P73" dT="2025-11-06T10:04:09.65" personId="{DD401B4A-B41D-40A3-A1EA-F811F9F8454A}" id="{37156EFC-C14B-43ED-8E70-0E4CFCFC6DCD}">
    <text>100924 La factura venia con varios decimales y el iva no daba  rosa</text>
  </threadedComment>
  <threadedComment ref="Q73" dT="2025-11-06T10:08:58.15" personId="{DD401B4A-B41D-40A3-A1EA-F811F9F8454A}" id="{A5E69E92-3F03-4FF3-833E-796982448339}">
    <text>98274  Cliente solicita facturara a otra razon social peña
100196 Cliente cancela la oc  wilson
99824 Se refacturo un soporte de garantia m paola
97494 Cliente indica no haber recibido la factura  Caballero
97493 Cliente indica no haber recibido la factura  Caballero
95902 Cliente no radico la factura internamente
96804 No sabemos el motivo del rechazo  rosa
101014 La licencias se deben facturar aparte 2 y 1 claudia</text>
  </threadedComment>
  <threadedComment ref="R73" dT="2025-11-06T10:41:39.70" personId="{DD401B4A-B41D-40A3-A1EA-F811F9F8454A}" id="{2E8460D1-2D0C-485A-8D8A-F9432ADCB787}">
    <text>Compras compro mal
el producto</text>
  </threadedComment>
  <threadedComment ref="O74" dT="2025-11-06T14:24:04.23" personId="{DD401B4A-B41D-40A3-A1EA-F811F9F8454A}" id="{D0E85CC2-528E-49D2-B37E-BCA924810E7B}">
    <text>100771 X cierre de facturacion Yenny G
100778 X cierre de facturacion Yenny G
100815 X cierre de facturacion yenny G</text>
  </threadedComment>
  <threadedComment ref="Q74" dT="2025-11-06T14:33:05.76" personId="{DD401B4A-B41D-40A3-A1EA-F811F9F8454A}" id="{E98DF2D9-CA0E-4C21-86D0-12C2949A0070}">
    <text xml:space="preserve">89962 Cliente no radico la factura internamente MARIA E
99591 Cliente cambio la oc JASBLEIDY
97409 Cliente negó recibir facturas FERNANDO
97410 Cliente negó recibir facturas FERNANDO
97411 Cliente negó recibir facturas FERNANDO
97412 Cliente nego recibir facturas FERNANDO
98182 Cliente negó recibir facturas FERNANDO
97908 Cliente negó recibir facturas FERNANDO
98154 Cliente negó recibir facturas FERNANDO
98684 Cliente negó recibir facturas FERNANDO
</text>
  </threadedComment>
  <threadedComment ref="J75" dT="2025-12-11T13:33:17.47" personId="{DD401B4A-B41D-40A3-A1EA-F811F9F8454A}" id="{8BB092E5-BB8B-4F13-8543-7F2CA7C54C95}">
    <text>100831 JOHANA JAIME LICENCIA NO EFECTIVA</text>
  </threadedComment>
  <threadedComment ref="M75" dT="2025-12-11T13:35:23.68" personId="{DD401B4A-B41D-40A3-A1EA-F811F9F8454A}" id="{564D8F02-0A80-4ED7-AD66-BF3DD19B4660}">
    <text>101966 Se facturaron 2 pdidos en una sola factura  mario
100994 Codigo estaba creado con sistema operativo y venia sin maria eug</text>
  </threadedComment>
  <threadedComment ref="N75" dT="2025-12-11T13:36:28.18" personId="{DD401B4A-B41D-40A3-A1EA-F811F9F8454A}" id="{EA22B456-A6B9-4840-8333-0DA8935DA5BC}">
    <text>101727 Se remisiono solo el producto y falto el flete oscar b
99867 Se facturo sin haber recibido el cliente la mercancia  rosmira</text>
  </threadedComment>
  <threadedComment ref="O75" dT="2025-12-11T13:37:23.35" personId="{DD401B4A-B41D-40A3-A1EA-F811F9F8454A}" id="{A5D6C985-D32C-40AF-B36B-E9B78B20F94B}">
    <text>100770 Se facturo despues de la fecha de cierre jenny
101956 Comercial no informo que el precio cambio camilo</text>
  </threadedComment>
  <threadedComment ref="Q75" dT="2025-12-11T13:40:19.53" personId="{DD401B4A-B41D-40A3-A1EA-F811F9F8454A}" id="{CF1212A5-37FD-4471-B457-F4FB5600A1C1}">
    <text xml:space="preserve">101200 Cliente pidio facturar y no la radico 
96150 Error en razon social
101229 Cliente no la radico internamente 
100932 Cliente pidio cambio van a manejar oc a partir de la fecha 
101272 Cliente tiene la oc por mayor valos
101190 Cliente solicita facturar por otra razon social
100400 Cliente rechaza por error
100571 Error razon social cliente se equivoco
</text>
  </threadedComment>
  <threadedComment ref="M76" dT="2025-12-11T14:03:56.28" personId="{DD401B4A-B41D-40A3-A1EA-F811F9F8454A}" id="{97A6353C-2FAB-4A17-A487-05D3CBDB9EA6}">
    <text>96944 Error de correo no le llego al cliente la factura  TATIANA
100488 No le llego la factura al cliente  FERNANDO</text>
  </threadedComment>
  <threadedComment ref="M76" dT="2025-12-11T14:12:23.04" personId="{DD401B4A-B41D-40A3-A1EA-F811F9F8454A}" id="{02FCF6B0-6300-4434-AE58-2264AB6EDCF2}" parentId="{97A6353C-2FAB-4A17-A487-05D3CBDB9EA6}">
    <text>101986 No se debian facturar las diademas ACEVEDO</text>
  </threadedComment>
  <threadedComment ref="N76" dT="2025-12-11T14:05:08.61" personId="{DD401B4A-B41D-40A3-A1EA-F811F9F8454A}" id="{485B77D9-DB25-4618-AA72-D2E90DE1B559}">
    <text>101709 Se facturo y la mercancia llego tarde JULIETH
101857 No se entregaron unos productos PEÑA</text>
  </threadedComment>
  <threadedComment ref="P76" dT="2025-12-11T14:13:11.57" personId="{DD401B4A-B41D-40A3-A1EA-F811F9F8454A}" id="{E6ED9BD7-BE7A-4494-8CDB-5C20142BE28B}">
    <text>102318 Error en el cargue de los seriales  ALEJA</text>
  </threadedComment>
  <threadedComment ref="Q76" dT="2025-12-11T14:08:30.79" personId="{DD401B4A-B41D-40A3-A1EA-F811F9F8454A}" id="{1337D8EE-C995-4AAC-A4D3-844E9F253A68}">
    <text>98916 No sehabian radicado la remison YEISON 
100333 Faltaron agregar unas observaciones ALVAREZ
1010199 Cliente no radico la factura VELASQUEZ ALEJA 
99263 Error en el correo de facturacion  ALEJA 
100984 Cliente nego recibirla pero la rechazo  ROSA</text>
  </threadedComment>
  <threadedComment ref="M77" dT="2025-12-15T13:50:03.45" personId="{DD401B4A-B41D-40A3-A1EA-F811F9F8454A}" id="{94E3AF7B-73EB-44A0-BEE5-812F05690BD8}">
    <text>102232 Se facturo sin previo aviso karent C</text>
  </threadedComment>
  <threadedComment ref="N77" dT="2025-12-15T13:51:29.50" personId="{DD401B4A-B41D-40A3-A1EA-F811F9F8454A}" id="{199DDEDD-8694-4B3F-951A-96D89547C1A7}">
    <text>102259 Producto llego averiado
101996 Los cargadores entregados uno venia incompleto 
101276 La mercancia le llego tarde el cliente </text>
  </threadedComment>
  <threadedComment ref="O77" dT="2025-12-15T13:55:20.68" personId="{DD401B4A-B41D-40A3-A1EA-F811F9F8454A}" id="{9C026811-2E7B-41D0-BDD0-2533B368FD87}">
    <text xml:space="preserve">98295 Error en el correo de facturacion 
92400 Se facturo dos veces el producto 
101450 Cliente solicita factura a credito , comercial no habia enviado documentacion 
101216 Falto agregar una remision 
101725 Error en razon social (Gabriela)
102362 Se facturo con iva y el cliente es exento (Gabriela)
96166 Error en los valores del producto (Carolina Bossa)
</text>
  </threadedComment>
  <threadedComment ref="Q77" dT="2025-12-15T13:58:51.31" personId="{DD401B4A-B41D-40A3-A1EA-F811F9F8454A}" id="{E4863FC3-E551-4941-9566-3EE0B11574E7}">
    <text xml:space="preserve">99874 Cliente indica no recibir factura
99889 Cliente solicito dividir la fcatura en dos
101344 Cliete solicito el cambio de factura por una devolucion 
102548 Cliente devuelve producto y rechaza
97440 Cliente no la radico 
102326 Cliente no la radico 
</text>
  </threadedComment>
  <threadedComment ref="R77" dT="2025-12-15T14:02:48.69" personId="{DD401B4A-B41D-40A3-A1EA-F811F9F8454A}" id="{9CF4B1E6-305E-444D-B022-2913F687386E}">
    <text>99480 No se le enytrego nuca la licencia al cliente </text>
  </threadedComment>
  <threadedComment ref="J78" dT="2025-12-15T14:22:32.51" personId="{DD401B4A-B41D-40A3-A1EA-F811F9F8454A}" id="{978EAE46-93DB-4B0D-8EE9-3103DA0A4CAB}">
    <text xml:space="preserve">102867 DEVOLUCION PROD </text>
  </threadedComment>
  <threadedComment ref="N78" dT="2025-12-15T14:49:18.63" personId="{DD401B4A-B41D-40A3-A1EA-F811F9F8454A}" id="{FE94AA6E-0F95-4C06-A997-497384099245}">
    <text>No se debia facturar 
102683
102684
102685
102686
102687 Jenny Gonzalez</text>
  </threadedComment>
  <threadedComment ref="Q78" dT="2025-12-15T14:52:36.50" personId="{DD401B4A-B41D-40A3-A1EA-F811F9F8454A}" id="{78F3C516-A953-4CB6-B052-89BFB22C1A75}">
    <text>102840 Cliente rechzao por error 
100714 Error del cliente 
102003 Factura debia salir con credito y salio de contado
99044 Cliente devuelve no fue compatible</text>
  </threadedComment>
  <threadedComment ref="J79" dT="2026-01-06T13:17:56.09" personId="{DD401B4A-B41D-40A3-A1EA-F811F9F8454A}" id="{26472361-CE7D-4C4D-AA62-0F87753FD204}">
    <text>103250 Devolucion prod  BASE PORTATIL Astrid</text>
  </threadedComment>
  <threadedComment ref="M79" dT="2026-01-06T13:22:00.42" personId="{DD401B4A-B41D-40A3-A1EA-F811F9F8454A}" id="{6A30A311-FAAF-4830-AFCC-660FADCED571}">
    <text xml:space="preserve">103352 error en la creacion del codigo alexa </text>
  </threadedComment>
  <threadedComment ref="N79" dT="2026-01-06T13:23:07.77" personId="{DD401B4A-B41D-40A3-A1EA-F811F9F8454A}" id="{85DE8006-218B-4568-84CF-13B710A0EB25}">
    <text>103267 Logistica alisto mal
102902 X cierre de facturacion </text>
  </threadedComment>
  <threadedComment ref="O79" dT="2026-01-06T13:25:00.14" personId="{DD401B4A-B41D-40A3-A1EA-F811F9F8454A}" id="{53A92A36-5271-43F5-838D-F03C83E675FA}">
    <text xml:space="preserve">103042 No se debía facturar Aleja
102077 No se envio la OC Rosmira
101920 No se envio la OC Rosmira
101921 No se envio la OC Rosmira
</text>
  </threadedComment>
  <threadedComment ref="Q79" dT="2026-01-06T13:30:20.23" personId="{DD401B4A-B41D-40A3-A1EA-F811F9F8454A}" id="{F6713BE0-F1AB-4EA7-8FD2-9B2EF5093C2E}">
    <text>103447 Error en el codigo  pidio mal
102691 Cliente no la radico 
86732 No sirbio la mercancia 
102116 No sabemos el motivo
102695 Cliente no la radico 
103082 Error de razon social
101738 Falto la OC 
103600 No les llego la factura al correo correcto solo suministraron uno 
101916 Cliente no la radico 
100555 Cliente no la radico </text>
  </threadedComment>
  <threadedComment ref="R79" dT="2026-01-06T13:26:53.68" personId="{DD401B4A-B41D-40A3-A1EA-F811F9F8454A}" id="{9264D4D3-0B8B-46F9-AE47-D752DD07BC80}">
    <text>103351 Se hace cambio x utilidad compras</text>
  </threadedComment>
  <threadedComment ref="J80" dT="2026-01-06T13:38:03.42" personId="{DD401B4A-B41D-40A3-A1EA-F811F9F8454A}" id="{AA0C9891-B2F4-405B-85A4-C42E188D1BED}">
    <text>103981 devolucion parcial 
92984 mario facturo mal y cliente pidio divir la factura por la oc</text>
  </threadedComment>
  <threadedComment ref="M80" dT="2026-01-06T13:48:08.41" personId="{DD401B4A-B41D-40A3-A1EA-F811F9F8454A}" id="{17F7AFE7-EE66-438C-A463-B24DB8FE56BB}">
    <text>103367 no se debia facturar</text>
  </threadedComment>
  <threadedComment ref="N80" dT="2026-01-06T13:49:31.86" personId="{DD401B4A-B41D-40A3-A1EA-F811F9F8454A}" id="{B4F10162-28A5-43F1-BE74-50AE6D5A92A0}">
    <text>103989 no se debia facturar benji 
104027 Se debia facturar con otra mercancia benji</text>
  </threadedComment>
  <threadedComment ref="O80" dT="2026-01-06T13:53:58.28" personId="{DD401B4A-B41D-40A3-A1EA-F811F9F8454A}" id="{58D41391-A7AE-423B-877F-5AA7FDFC153C}">
    <text>103488 Error en la TRM
92984 La OC estaba por una unidad y comercial envio 2
103742 Mayor valor cobrado
103899 Error en la oc 
104231 Se debia facturar con otra mercancia 
104281 Se debia facturar con otra mercancia </text>
  </threadedComment>
  <threadedComment ref="Q80" dT="2026-01-06T14:02:16.49" personId="{DD401B4A-B41D-40A3-A1EA-F811F9F8454A}" id="{F9682AB4-7DA4-4721-B0FF-C0BE6407AC5E}">
    <text>101154 Cliente no la radico 
100273 por trm
103624 Cliente solicita NC c 38 centavos 
103036 Error Razon Social cliente envio mal la oc 
98836 Cliente no la rdico 
102282 Cliente no la radico 
103783 Falto agregar un mes cliente autoriza
103782 Falto agregar un mes cliente autoriza
103236 Se debia facturar en una sola factura 
102984 Se debia facturar en una sola factura 
99832 Cliente no la radico 
103801 Cliente pidio mal las memoria 
102490 Cliente no la radico </text>
  </threadedComment>
  <threadedComment ref="R80" dT="2026-01-06T14:07:47.12" personId="{DD401B4A-B41D-40A3-A1EA-F811F9F8454A}" id="{239BDF44-91D1-4DA3-9440-AC4B83F62E64}">
    <text xml:space="preserve">76794 descuento ramon </text>
  </threadedComment>
  <threadedComment ref="J81" dT="2026-01-06T14:50:35.69" personId="{DD401B4A-B41D-40A3-A1EA-F811F9F8454A}" id="{602EE05C-B872-4839-B0B7-79AAB26EDC25}">
    <text>102301 devolucion parial</text>
  </threadedComment>
  <threadedComment ref="O81" dT="2026-01-06T14:54:02.11" personId="{DD401B4A-B41D-40A3-A1EA-F811F9F8454A}" id="{057E2DE9-21CD-4540-B824-85EA1DF48A11}">
    <text>104284 Error en la OC 
99131 Falto nuemrro deentrada de mercancia </text>
  </threadedComment>
  <threadedComment ref="P81" dT="2026-01-06T15:02:12.27" personId="{DD401B4A-B41D-40A3-A1EA-F811F9F8454A}" id="{BBCE8449-D143-41E9-A5F9-4A246B8886CD}">
    <text>102502 no le llego factura al cliente el sistema tenia su correo</text>
  </threadedComment>
  <threadedComment ref="Q81" dT="2026-01-06T14:58:13.29" personId="{DD401B4A-B41D-40A3-A1EA-F811F9F8454A}" id="{06C609A9-CB01-4BC1-82F6-144D9EC76C64}">
    <text>103473 Cliente rechazo por error
104104 Rechazan x presupuesto
104103 Rechazan x presupuesto
104106 Rechazan x presupuesto
104105 Rechazan x presupuesto
103459 Mayor valor cobrado 
101502 Falto OC 
101357 No se sabe el motivo 
102692 No se sabe el motivo 
101419 No se sabe el motivo 
101420 No se sabe el motivo 
104341 No se sabe el motivo </text>
  </threadedComment>
  <threadedComment ref="R81" dT="2026-01-06T14:59:24.50" personId="{DD401B4A-B41D-40A3-A1EA-F811F9F8454A}" id="{5DEAF7BA-4663-489B-802E-C61F6EDB3C3F}">
    <text xml:space="preserve">90191 descuento ronald
104563 descuento german </text>
  </threadedComment>
  <threadedComment ref="R81" dT="2026-01-06T15:01:17.06" personId="{DD401B4A-B41D-40A3-A1EA-F811F9F8454A}" id="{96DAD123-32EB-46D2-8248-A47779DADDC6}" parentId="{5DEAF7BA-4663-489B-802E-C61F6EDB3C3F}">
    <text>100423 Se facturo 2 veces el mismo pedido oscar p</text>
  </threadedComment>
  <threadedComment ref="M83" dT="2026-01-09T20:14:12.60" personId="{DD401B4A-B41D-40A3-A1EA-F811F9F8454A}" id="{55B84075-BD11-4CED-B20B-C32D18257EC6}">
    <text>103874 Error de correo alexa</text>
  </threadedComment>
  <threadedComment ref="O83" dT="2026-01-09T20:14:42.35" personId="{DD401B4A-B41D-40A3-A1EA-F811F9F8454A}" id="{038777B0-597B-4E19-A90A-D43313A342A0}">
    <text>104050 X una direfencia de 1000</text>
  </threadedComment>
  <threadedComment ref="J84" dT="2026-01-21T15:47:05.07" personId="{DD401B4A-B41D-40A3-A1EA-F811F9F8454A}" id="{9881957C-41BC-430C-8CFC-7DEEB2468D89}">
    <text xml:space="preserve">103713 devolucion prod </text>
  </threadedComment>
  <threadedComment ref="M84" dT="2026-01-21T15:48:19.66" personId="{DD401B4A-B41D-40A3-A1EA-F811F9F8454A}" id="{C11E42E6-3F25-4934-920F-D959C6E37929}">
    <text>104369 Kit salio sin iva alexa</text>
  </threadedComment>
  <threadedComment ref="O84" dT="2026-01-21T15:49:34.79" personId="{DD401B4A-B41D-40A3-A1EA-F811F9F8454A}" id="{65A3B19B-19DA-44A3-A99D-620C9CAEF15A}">
    <text xml:space="preserve">101059 Doble facturacion 98886 peña
102880 Se radico factura en otro mes yeison
104421 Se radico factura en otro mes yeison </text>
  </threadedComment>
  <threadedComment ref="O85" dT="2026-01-21T16:02:31.19" personId="{DD401B4A-B41D-40A3-A1EA-F811F9F8454A}" id="{BEF9D391-3142-4868-8812-D2FE94108162}">
    <text>104701 Error en la OC </text>
  </threadedComment>
  <threadedComment ref="O85" dT="2026-01-21T16:03:53.36" personId="{DD401B4A-B41D-40A3-A1EA-F811F9F8454A}" id="{3AB6EF70-0030-4442-9519-DF9E1D093FB2}" parentId="{BEF9D391-3142-4868-8812-D2FE94108162}">
    <text>102413 Se radico factura en otro mes</text>
  </threadedComment>
  <threadedComment ref="Q85" dT="2026-01-21T16:07:17.19" personId="{DD401B4A-B41D-40A3-A1EA-F811F9F8454A}" id="{82B4362F-D8F8-4004-84F8-3C171F955E62}">
    <text>104787 Cliente solicita una sola factura jasbleidy
108786 Cliente solicita una sola factura jasbleidy
104192 No tiene orden de entrada peña
104330 No se sabe el motivo del rechazo  peña
104286 Error en la trm mpaola
101528 Cliente no la radico internamente acevedo
104552 Cliente rechaza x error  urrego</text>
  </threadedComment>
  <threadedComment ref="J86" dT="2026-02-04T15:44:45.48" personId="{DD401B4A-B41D-40A3-A1EA-F811F9F8454A}" id="{AE80FE86-03C0-49EB-B3F8-1246E16B8BC1}">
    <text>90777 devolucion total</text>
  </threadedComment>
  <threadedComment ref="M86" dT="2026-02-04T15:49:58.79" personId="{DD401B4A-B41D-40A3-A1EA-F811F9F8454A}" id="{3BF4A259-F1BC-424D-B993-784F3A633947}">
    <text>104661 Kit salio sin iva
105110 Se facturo algo errado 4 pesos
105440 No se debia facturar </text>
  </threadedComment>
  <threadedComment ref="N86" dT="2026-02-04T15:50:14.43" personId="{DD401B4A-B41D-40A3-A1EA-F811F9F8454A}" id="{CE19F6AB-7F89-4C4E-A213-ADCC5E923616}">
    <text>1056221 No se debia facturar </text>
  </threadedComment>
  <threadedComment ref="N86" dT="2026-02-04T15:50:49.28" personId="{DD401B4A-B41D-40A3-A1EA-F811F9F8454A}" id="{CCA82302-0701-47A2-913F-9BBEFED0219B}" parentId="{CE19F6AB-7F89-4C4E-A213-ADCC5E923616}">
    <text>105510 Se facturo las unidades erradas</text>
  </threadedComment>
  <threadedComment ref="O86" dT="2026-02-04T15:53:33.96" personId="{DD401B4A-B41D-40A3-A1EA-F811F9F8454A}" id="{7E7F2431-94F5-4948-B5E2-3C575CF51AAB}">
    <text>105354 Errror razon social
105442 Seduplico la orden de pedido
105016 Se facturo con iva y son exentos
104792 Se facturo con iva y son exentos
105483 Por cierre de facturacion
105609 No se radico la fcatura con los soportes</text>
  </threadedComment>
  <threadedComment ref="Q86" dT="2026-02-04T15:57:05.20" personId="{DD401B4A-B41D-40A3-A1EA-F811F9F8454A}" id="{70C86030-0D36-478C-832F-4B1D794AF60E}">
    <text>102301 Cliente solicita cambio por fecha se adjunta carta 
105081 Cliente solicita varias facturas se adjunta correo 
105157 Cliente rechaza por error 
102528 Cliente rechazo por error 
104616 Cliente no radico la factura 
104364 No sabemos el motivo del rechazo </text>
  </threadedComment>
  <threadedComment ref="Q86" dT="2026-02-04T15:57:19.04" personId="{DD401B4A-B41D-40A3-A1EA-F811F9F8454A}" id="{FCA35B17-0763-4BEE-BB38-AEB05C5205D7}" parentId="{70C86030-0D36-478C-832F-4B1D794AF60E}">
    <text>105504 Cliente envia mal la oc del producto que requiere </text>
  </threadedComment>
  <threadedComment ref="J87" dT="2026-02-04T17:24:28.17" personId="{DD401B4A-B41D-40A3-A1EA-F811F9F8454A}" id="{32658401-2D01-4FD5-AF1D-8AD90149C4A7}">
    <text>93788 NUNCA SE ACTIVARON LICENCIAS</text>
  </threadedComment>
  <threadedComment ref="M87" dT="2026-02-04T17:26:38.80" personId="{DD401B4A-B41D-40A3-A1EA-F811F9F8454A}" id="{B6C91B23-D3D8-45FF-BE60-96D2B6F43724}">
    <text>101714 Se envio al correo errado
101713 Se envio al correo errado
101586 Se envio al correo errado</text>
  </threadedComment>
  <threadedComment ref="N87" dT="2026-02-04T17:28:23.35" personId="{DD401B4A-B41D-40A3-A1EA-F811F9F8454A}" id="{2E215ED3-B138-44D3-9D6A-69C2B4CAE220}">
    <text>105549 Por cierre de facturacion
105648 Se facturo sin entregar mercancia
103671 Quedo mal facturado </text>
  </threadedComment>
  <threadedComment ref="O87" dT="2026-02-04T17:32:21.55" personId="{DD401B4A-B41D-40A3-A1EA-F811F9F8454A}" id="{AD143510-4C8F-407A-B5FC-34FEBACF5A20}">
    <text>105622 Por cierre de facturacion
100607 Se facturo doble 
105432 No se radicaron los soportes para la fcaturacion 
105338 Se facturo con iva y son exentos
99026 Falto numero de entrada de mercancia
102247 Error en el correo
104462 Se facturo con iva y son exentos</text>
  </threadedComment>
  <threadedComment ref="Q87" dT="2026-02-04T17:39:02.69" personId="{DD401B4A-B41D-40A3-A1EA-F811F9F8454A}" id="{FAE312BD-3EE5-432A-9739-0C30DFD417A2}">
    <text>105563 Cliente cambio la razon social
101194 Cliente no radico la factura 
103106 Recuperando datos. Espere unos segundos e intente cortar o copiar de nuevo.
104224 No sabemos el motivo del rechazo
104736 No sabemos el motivo del rechazo
104730 No sabemos el motivo del rechazo</text>
  </threadedComment>
  <threadedComment ref="J88" dT="2026-02-18T13:39:51.83" personId="{DD401B4A-B41D-40A3-A1EA-F811F9F8454A}" id="{24576087-FA0A-4FA7-B17C-B47EE5967527}">
    <text xml:space="preserve">101624 mario doble fact </text>
  </threadedComment>
  <threadedComment ref="M88" dT="2026-02-18T13:41:13.49" personId="{DD401B4A-B41D-40A3-A1EA-F811F9F8454A}" id="{1EA1E810-2766-482B-BD5F-4670AEF2AB31}">
    <text>106491 SE CREO CODIGO CON IVA</text>
  </threadedComment>
  <threadedComment ref="N88" dT="2026-02-18T13:41:57.29" personId="{DD401B4A-B41D-40A3-A1EA-F811F9F8454A}" id="{A811F9DD-4B1B-402D-A71C-1B07A87D664B}">
    <text xml:space="preserve">105684 NO LLEGO LA MERCANCIA </text>
  </threadedComment>
  <threadedComment ref="O88" dT="2026-02-18T13:43:27.55" personId="{DD401B4A-B41D-40A3-A1EA-F811F9F8454A}" id="{4AF92D1E-0DC3-4106-927E-37FE5A49F5DE}">
    <text>106098 Falto agregar in par de guantes
105693 Falto agregar un producto
105356 Error en razon social
106563 Debia salir con otra remision 
105604 Fuera de la fecha de cierre</text>
  </threadedComment>
  <threadedComment ref="Q88" dT="2026-02-18T13:45:49.12" personId="{DD401B4A-B41D-40A3-A1EA-F811F9F8454A}" id="{46BCAD2D-B8EA-4551-A471-C981ADE27F3F}">
    <text xml:space="preserve">98509 Cliente no la radico 
98377 Cliente no la radico 
102160 Cliente no la radico 
102140 Cliente no radico la factura
101191 Cliente no radico la factura
100172 Cliente no radico la factura
102183 Cliente cambio correo y no informo
</text>
  </threadedComment>
  <threadedComment ref="R88" dT="2026-02-18T13:46:57.37" personId="{DD401B4A-B41D-40A3-A1EA-F811F9F8454A}" id="{6878672C-C567-441B-A804-33C446A92BF0}">
    <text>101624 Doble facturacion </text>
  </threadedComment>
  <threadedComment ref="O89" dT="2026-02-18T13:55:09.29" personId="{DD401B4A-B41D-40A3-A1EA-F811F9F8454A}" id="{AB700A07-198B-44DF-98B6-06C729F4B991}">
    <text>106735 Se cobro menos el monitor</text>
  </threadedComment>
  <threadedComment ref="Q89" dT="2026-02-18T13:57:54.45" personId="{DD401B4A-B41D-40A3-A1EA-F811F9F8454A}" id="{C9511C90-3ECB-4236-86DD-31299D3A7978}">
    <text>106637 Error en los codigos 
100383 Cliente no radico la factura
106201 Cliente envio mal los datos de entrada de mercancia
98055 Cliente no radico la factura
104177 Cliente no la radico </text>
  </threadedComment>
  <threadedComment ref="Q89" dT="2026-02-18T14:01:05.90" personId="{DD401B4A-B41D-40A3-A1EA-F811F9F8454A}" id="{C6DDE88A-DB4A-4B16-BAE9-AE3896392AFF}" parentId="{C9511C90-3ECB-4236-86DD-31299D3A7978}">
    <text xml:space="preserve">106626 Error al facturar  cliente pidio una cosa y luego otra </text>
  </threadedComment>
  <threadedComment ref="J90" dT="2026-02-25T19:49:04.67" personId="{DD401B4A-B41D-40A3-A1EA-F811F9F8454A}" id="{31FDA596-F5AD-4B11-92D2-F8165A9DBB86}">
    <text>102021</text>
  </threadedComment>
  <threadedComment ref="M90" dT="2026-02-25T19:53:19.01" personId="{DD401B4A-B41D-40A3-A1EA-F811F9F8454A}" id="{F9DADFFA-FFF4-43E0-B79C-7DD51FE777ED}">
    <text>106050 Se facturo producto sin iva 
107390 Eerror en los valores iva no cuadra 
106578 Se facturaron proctos doble vez</text>
  </threadedComment>
  <threadedComment ref="O90" dT="2026-02-25T19:59:12.88" personId="{DD401B4A-B41D-40A3-A1EA-F811F9F8454A}" id="{A1D852E4-1D54-4188-AA12-26C17D0FA675}">
    <text xml:space="preserve">107090 Error de razon social 
105712 Mayor valor cobrado 
105714 Mayor valor cobrado 
105714 Mayor valor cobrado 
105711 Mayor valor cobrado 
106289 Mayor valor cobrado 
105703 Mayor valor cobrado 
105704 Mayor valor cobrado 
105341 Mayor valor cobrado 
105709 Mayor valor cobrado 
105706 Mayor valor cobrado 
105708 Mayor valor cobrado 
105710 Mayor valor cobrado 
105715 Mayor valor cobrado 
105701 Mayor valor cobrado 
105707 Mayor valor cobrado 
106292 Mayor valor cobrado 
105716 Mayor valor cobrado 
105695 Mayor valor cobrado 
105694 Mayor valor cobrado 
105697 Mayor valor cobrado 
105691 Mayor valor cobrado 
105696 Mayor valor cobrado 
106291 Mayor valor cobrado 
107272 Comercial envio pedido equivocado
103209 Se envio factura al correo erroneo ya que comercial no actualizo datos cliente viejo 
106367 Mayor valor cobrado 
</text>
  </threadedComment>
  <threadedComment ref="Q90" dT="2026-02-25T20:21:45.62" personId="{DD401B4A-B41D-40A3-A1EA-F811F9F8454A}" id="{9C1DF4D6-0EE8-4B7D-B292-87F4B1DB19A2}">
    <text xml:space="preserve">107051 Cliente no la radico  
105154 Cliente solicita la factura con fecha de Febrero
105488 Clienterechaza por error
106231 Cambio de razon social 
106466 Cambio de razon social 
106255 Error de razon social 
106448 No sabemos el motivo 
102021 Cliente no la radico 
101138 Cliente no la rdico 
106556 Cambio de razon social 
105852 Cambio de razon social 
106560 Cambio de razon social 
102519 Cliente no la radico 
106915 Cliente solicita que se facture un producto aparte 
103239 Error de razon social 
102415 Error de razon social 
109631 Cambio de razon social 
107353 Por cierre de facturacion cliente envio comunicado tarde 
107315 Por cierre de facturacion cliente envio comunicado tarde 
107394 Por cierre de facturacion cliente envio comunicado tarde 
</text>
  </threadedComment>
  <threadedComment ref="R90" dT="2026-02-25T20:23:21.48" personId="{DD401B4A-B41D-40A3-A1EA-F811F9F8454A}" id="{759B6023-2A6D-48B7-8529-93D475EC48BB}">
    <text>101607 Doble facturacion 
103451 Doble facturacion 
104144 Cliente no la radico nunca le llego </text>
  </threadedComment>
</ThreadedComments>
</file>

<file path=xl/threadedComments/threadedComment2.xml><?xml version="1.0" encoding="utf-8"?>
<ThreadedComments xmlns="http://schemas.microsoft.com/office/spreadsheetml/2018/threadedcomments" xmlns:x="http://schemas.openxmlformats.org/spreadsheetml/2006/main">
  <threadedComment ref="N16" dT="2026-04-10T17:16:43.48" personId="{5C20BA9F-5BE7-4D28-BC2F-BE39EE1634F4}" id="{7B4E5E92-0F0E-4304-B409-7FC7BEF0D434}">
    <text>Salieron sin IVA las facturas al hacer la conversión de dólares a pesos</text>
  </threadedComment>
  <threadedComment ref="K17" dT="2026-04-10T17:16:44.16" personId="{5C20BA9F-5BE7-4D28-BC2F-BE39EE1634F4}" id="{7EE3130D-3252-45AE-9FF4-823839603133}">
    <text xml:space="preserve">Error de digitación karen
Wil facturo dos facturas con iva y eran exentas
Wil facturo dos pedidos en una sola factura </text>
  </threadedComment>
  <threadedComment ref="M17" dT="2026-04-10T17:16:44.31" personId="{5C20BA9F-5BE7-4D28-BC2F-BE39EE1634F4}" id="{17BCE63A-B88A-4AEE-A447-2BFEC65DA750}">
    <text>Errores de zulma en apoyo a maria angelica caballero</text>
  </threadedComment>
  <threadedComment ref="N17" dT="2026-04-10T17:16:44.41" personId="{5C20BA9F-5BE7-4D28-BC2F-BE39EE1634F4}" id="{E9B2C7E6-AEBE-4DA9-A38F-5774C8215C44}">
    <text>Equipo salio sin iva y estaba en el sistema con iva</text>
  </threadedComment>
  <threadedComment ref="K18" dT="2026-04-10T17:16:45.05" personId="{5C20BA9F-5BE7-4D28-BC2F-BE39EE1634F4}" id="{F2BC595A-A877-4C8C-A051-FF2EEE1EE587}">
    <text xml:space="preserve">Se facturo sin IVA </text>
  </threadedComment>
  <threadedComment ref="M18" dT="2026-04-10T17:16:45.21" personId="{5C20BA9F-5BE7-4D28-BC2F-BE39EE1634F4}" id="{D760D431-34AF-48F3-BC00-A16BF4AED9A4}">
    <text>Jhonatan Camilo Hernandez facturo fuera dela fecha de cierre</text>
  </threadedComment>
  <threadedComment ref="O18" dT="2026-04-10T17:16:45.35" personId="{5C20BA9F-5BE7-4D28-BC2F-BE39EE1634F4}" id="{DB81807A-8F07-47D3-8DEB-027623D744F5}">
    <text>Alejandra v Razon social ya no existe</text>
  </threadedComment>
  <threadedComment ref="K19" dT="2026-04-10T17:16:46.13" personId="{5C20BA9F-5BE7-4D28-BC2F-BE39EE1634F4}" id="{CEC3EB6C-3EC1-4EC9-9622-ED265FD9003B}">
    <text xml:space="preserve">Marsela y Karen no validaron el iva del licenciamiento 
Karol se debia facturar en kit y no se hizo
Karol debía salir Re misionado y se facturo.
Logística mercancia se demoro en llegar por coordinadora
Karen facturo 2 veces la misma factura
logistica se despacho doble ves
Karen se coloco mal la OC 
</text>
  </threadedComment>
  <threadedComment ref="K22" dT="2026-04-10T17:16:48.63" personId="{5C20BA9F-5BE7-4D28-BC2F-BE39EE1634F4}" id="{05C01163-5A93-4A43-B0F4-9F09C3088FE1}">
    <text xml:space="preserve">Factura se fue en dólares
No se debía facturar
factura salio a 3 dias y debia ser a 30 dias
Quedo mal digitada la oc 
</text>
  </threadedComment>
  <threadedComment ref="K25" dT="2026-04-10T17:16:51.06" personId="{5C20BA9F-5BE7-4D28-BC2F-BE39EE1634F4}" id="{DAE2CDEA-E2BB-49A2-9E18-A62E97187AC2}">
    <text xml:space="preserve">3 logistica demoras en la entrega
1 karen error de digitacion
2 alexa no radico en ariba 
1 cartera
5 karol y benji  no se debia facturar </text>
  </threadedComment>
  <threadedComment ref="K26" dT="2026-04-10T17:16:51.88" personId="{5C20BA9F-5BE7-4D28-BC2F-BE39EE1634F4}" id="{E1AD053F-7AD1-46B5-9B32-171DE28273F0}">
    <text>6 no se radicaron en ariba yanbal
1 falto el flete
3 logistica se entrego tarde la mercancia 
5 no se debia facturar benjamin atorizo  y karon.</text>
  </threadedComment>
  <threadedComment ref="K29" dT="2026-04-10T17:16:54.77" personId="{5C20BA9F-5BE7-4D28-BC2F-BE39EE1634F4}" id="{EB153D90-89F8-44BA-8032-D1922FA3D641}">
    <text xml:space="preserve">Se cobro doble el flete </text>
  </threadedComment>
  <threadedComment ref="K30" dT="2026-04-10T17:16:55.66" personId="{5C20BA9F-5BE7-4D28-BC2F-BE39EE1634F4}" id="{89AACF9D-B170-4747-807D-6A33907FD38A}">
    <text xml:space="preserve">Doble facturación
Se facturo doble un flete
No se genero un servicio de IT  </text>
  </threadedComment>
  <threadedComment ref="M30" dT="2026-04-10T17:16:55.81" personId="{5C20BA9F-5BE7-4D28-BC2F-BE39EE1634F4}" id="{881730AB-0556-438F-A6E4-38617CAC41D8}">
    <text xml:space="preserve">No sedebian facturar unos equipos de lington 
Caro b facturo sin informar que debia salir en kit
Se facturó con iva </text>
  </threadedComment>
  <threadedComment ref="O30" dT="2026-04-10T17:16:55.96" personId="{5C20BA9F-5BE7-4D28-BC2F-BE39EE1634F4}" id="{B891EF2C-D0E0-4967-8D1F-857A8C119922}">
    <text>Cliente devuelve dos equipos
Error razón social</text>
  </threadedComment>
  <threadedComment ref="K31" dT="2026-04-10T17:16:56.56" personId="{5C20BA9F-5BE7-4D28-BC2F-BE39EE1634F4}" id="{4FFD8EAE-689C-4EC5-A68D-F81A3C9E8787}">
    <text>78082 No se cambio el correo facturacion
83759 El costo quedo mal wilmer
82740 Quedo mal creado el nit karol</text>
  </threadedComment>
  <threadedComment ref="M31" dT="2026-04-10T17:16:56.71" personId="{5C20BA9F-5BE7-4D28-BC2F-BE39EE1634F4}" id="{A3703A2F-8528-4E65-A934-A58229672108}">
    <text>75878 Error de razon social
83191/83192 Falto agregar oc x carolina bosa
81505 Error en la trm
83470 Error en la OC 
78422 Mayorvalorcobrado</text>
  </threadedComment>
  <threadedComment ref="O31" dT="2026-04-10T17:16:56.88" personId="{5C20BA9F-5BE7-4D28-BC2F-BE39EE1634F4}" id="{DD29DC01-9475-45E1-8575-3B169EAA2D8C}">
    <text>83240/83241/83242 Cliente cambia las políticas de radicación
72764 cliente indica no tener la factura 
83394 errores internos de bancolombia 
83637 x cierre de facturacion 
81024/81344 cliente no radico las factcuras 
devoluciones</text>
  </threadedComment>
  <threadedComment ref="K32" dT="2026-04-10T17:16:57.64" personId="{5C20BA9F-5BE7-4D28-BC2F-BE39EE1634F4}" id="{8A74C9C8-FC6B-4F1E-8D34-A6EB06EB2EE6}">
    <text>84147 No se debía facturar karol</text>
  </threadedComment>
  <threadedComment ref="M32" dT="2026-04-10T17:16:57.81" personId="{5C20BA9F-5BE7-4D28-BC2F-BE39EE1634F4}" id="{81017DE2-EBC3-4BD3-B46C-169BFC39FA49}">
    <text>79276 error en razon social
83959 Comercial no especifico como se debía facturar
84167 no se debía facturar, ya estaba facturado 
83881 no se radicaron los soportes para la radicación de la factura.</text>
  </threadedComment>
  <threadedComment ref="O32" dT="2026-04-10T17:16:58.05" personId="{5C20BA9F-5BE7-4D28-BC2F-BE39EE1634F4}" id="{42A3021C-E784-46FD-B9C1-07E432B2584D}">
    <text xml:space="preserve">83585 cliente rechaza x que no le habia llegado la mercancia 
83624 no se sabe el rechazo 
81776 no se sabe el rechazo </text>
  </threadedComment>
  <threadedComment ref="K33" dT="2026-04-10T17:16:58.68" personId="{5C20BA9F-5BE7-4D28-BC2F-BE39EE1634F4}" id="{B19EEBD5-B874-4E5C-8E64-3A0E5DDA037C}">
    <text xml:space="preserve">84147 No se debia facturar
84464 Falto agregar una remision 
84476 Se facturo en dolares
84791  Falto agregar una remision 
84574 No se debia facturar
</text>
  </threadedComment>
  <threadedComment ref="M33" dT="2026-04-10T17:16:58.84" personId="{5C20BA9F-5BE7-4D28-BC2F-BE39EE1634F4}" id="{AEECC0D7-87F4-4443-867F-C516DB4B71E7}">
    <text>84346/84347/84348 Error en precios
84229 error en el margen 
84527 error en razon social
68603 se factura 2 veces y se entrego 2 veces 
89945 error4 en la oc y fcatura x 700 pesos</text>
  </threadedComment>
  <threadedComment ref="O33" dT="2026-04-10T17:16:58.98" personId="{5C20BA9F-5BE7-4D28-BC2F-BE39EE1634F4}" id="{D43187EA-2F06-41A7-BDBA-58FA9BDD0642}">
    <text xml:space="preserve">83962 rechazo x error
81554 debe ir en 2 razones sociales
83783/83784 por cierre de facturacion no notificaron
83940 x cierre no enviaron comunicado
82051 cliente rechaza x error
</text>
  </threadedComment>
  <threadedComment ref="K34" dT="2026-04-10T17:16:59.77" personId="{5C20BA9F-5BE7-4D28-BC2F-BE39EE1634F4}" id="{7D340A97-5512-4AE1-BEF8-8DC195C8CBAE}">
    <text>85184 Error al tomar el clienteparafacturar
84687 Falto un numero de la OC
84065 Se facturo antes de entregar mercancia Logistica 
81181 Que por menor valor la NC 
85302 No se debia facturar
84706 Se facturo sin iva</text>
  </threadedComment>
  <threadedComment ref="M34" dT="2026-04-10T17:16:59.94" personId="{5C20BA9F-5BE7-4D28-BC2F-BE39EE1634F4}" id="{D35374B6-2E46-4D16-85AB-6E6EFF9CC327}">
    <text>80578 Error razon social</text>
  </threadedComment>
  <threadedComment ref="O34" dT="2026-04-10T17:17:00.09" personId="{5C20BA9F-5BE7-4D28-BC2F-BE39EE1634F4}" id="{C922252C-6DB7-474E-9C6F-53B04DF283AA}">
    <text>84903 Error en la oc emitidapor el cliente
84051 Cliente no recibio mercancia 
84041 Cliente x error genera OC con iva
84551 Error razon social
84814 Error razon social</text>
  </threadedComment>
  <threadedComment ref="K35" dT="2026-04-10T17:17:00.71" personId="{5C20BA9F-5BE7-4D28-BC2F-BE39EE1634F4}" id="{2D0A1A70-0AD9-4925-9FF6-018AE657B7DF}">
    <text>84617 se facturo sin iva
85690 No se debia facturar</text>
  </threadedComment>
  <threadedComment ref="M35" dT="2026-04-10T17:17:00.89" personId="{5C20BA9F-5BE7-4D28-BC2F-BE39EE1634F4}" id="{D4CDEF78-224F-449C-A91C-7917FAF7F8F6}">
    <text xml:space="preserve">84457 Arpro no se radico con los soportes Maria Paola
83995 Fuera de la fecha de cierre Astrid Jimenez
84499 Error en los valores Alejandra Velasqyez
79160 Error en razon social Yeison Urrego </text>
  </threadedComment>
  <threadedComment ref="K36" dT="2026-04-10T17:17:01.80" personId="{5C20BA9F-5BE7-4D28-BC2F-BE39EE1634F4}" id="{3B3C91F8-D75D-4F31-93B6-E563A9821F27}">
    <text xml:space="preserve">84871 Juan David se hace ajuste interno </text>
  </threadedComment>
  <threadedComment ref="M36" dT="2026-04-10T17:17:01.97" personId="{5C20BA9F-5BE7-4D28-BC2F-BE39EE1634F4}" id="{99B317FA-ED2C-43D1-804C-32DFA39CB0E9}">
    <text>85907-85908-85909-85910-85911-85912-85913-85915-85914 no se debian facturar falto comunicacion.
85967 se facturo al código que no era
85953 se facturo fuera de la fecha de facturacion 
84769</text>
  </threadedComment>
  <threadedComment ref="O36" dT="2026-04-10T17:17:02.14" personId="{5C20BA9F-5BE7-4D28-BC2F-BE39EE1634F4}" id="{7E484D11-B746-423A-ACAD-90C543FBF707}">
    <text>82817 cliente no radico factura 
85982 Error en los teclados cliente solicito mal 
79157 cliente no reconoce la factura 
78927 error en razon social 
76816 devuelte se recibe por garantia 
85638-85637 por cierre defcaturacion en españa
84206 Error razon social 
86162 Error razon social
84768 cliente rechaza por error</text>
  </threadedComment>
  <threadedComment ref="K37" dT="2026-04-10T17:17:02.86" personId="{5C20BA9F-5BE7-4D28-BC2F-BE39EE1634F4}" id="{1FE5411C-D3E0-4678-A491-4C057FFE715E}">
    <text xml:space="preserve">86701 falto agregar una remision karol 
82826 ajuste fact empleado aut x rafael novoa </text>
  </threadedComment>
  <threadedComment ref="M37" dT="2026-04-10T17:17:03.00" personId="{5C20BA9F-5BE7-4D28-BC2F-BE39EE1634F4}" id="{58A8B976-2F26-4680-8A4C-05BC757AB674}">
    <text xml:space="preserve">86468 falto agregar un disco en la factura 
85178 se radico factura sin la  OC 
85433 se facturo una renta y era un producto </text>
  </threadedComment>
  <threadedComment ref="O37" dT="2026-04-10T17:17:03.16" personId="{5C20BA9F-5BE7-4D28-BC2F-BE39EE1634F4}" id="{389767CD-EDCD-41F5-82F7-16220060D6B8}">
    <text xml:space="preserve">84357 error razon social  
83978 por cierre de facturacion 
85777 fuera de la fecha de cierre 
85960 se debia facturar en una sola factura 
85959 se debia facturar en una sola factura 
85743 No se tenia oc ni numero de contrato
84396 No se sabe el rechazo 
86205 Cambio de razon social
78597 No la recibieron
</text>
  </threadedComment>
  <threadedComment ref="K38" dT="2026-04-10T17:17:03.76" personId="{5C20BA9F-5BE7-4D28-BC2F-BE39EE1634F4}" id="{12C44367-4010-4D38-B9A3-423C7EF9C911}">
    <text xml:space="preserve">86523 Logistica Entrego tarde la mercancia 
87214 Error de razon social
84886 Doble facturacion oscar p bajo el pedido dosveces </text>
  </threadedComment>
  <threadedComment ref="M38" dT="2026-04-10T17:17:03.91" personId="{5C20BA9F-5BE7-4D28-BC2F-BE39EE1634F4}" id="{36A04B9A-E3C6-4761-91F4-223CB6F39E9B}">
    <text xml:space="preserve">86559 error razon social Alejandra Velasquez
85422 No se radico OC Maria P
86689 Errorrazon social claudia 
86919 Se debia relacionar trm Alejandra velasquez 
87217 Falto relacionar la OC Angelica C
87218 Falto relacionar la OC Angelica C
8534 Error de la OC Esmeralda 
86049 Se debe facturar en 3 Fredy peña
83693 Se facturo antes de entregarmercancia karent c
86069 Mayor valor cobrado Freddy p
86528 No relacionaron la OC completa  yeison u
</text>
  </threadedComment>
  <threadedComment ref="O38" dT="2026-04-10T17:17:04.09" personId="{5C20BA9F-5BE7-4D28-BC2F-BE39EE1634F4}" id="{273DFEE4-7C71-425F-A6E2-12D56EA33542}">
    <text>86250 No se tenia aun el numero de contrato
85169 Cliente rechaza x error
86799 Cliente no recibe producto 
86793 Cliente no recibe producto 
84455 Cliente rechaza por error
86448 Error razon social cliente emite mal la oc 
81839 Error de correo 
85991 Cliente no radico factura 
84746 Devolucion producto 
85681 Cliente rechaza por error
85710 Cliente no legalizao la factura</text>
  </threadedComment>
  <threadedComment ref="K39" dT="2026-04-10T17:17:04.73" personId="{5C20BA9F-5BE7-4D28-BC2F-BE39EE1634F4}" id="{F76F3FDF-BE71-4730-B44D-AA2B8527F717}">
    <text>87636 SE FCATURARON EQUIPO CON IVA Y SON EXCENTOS TATIANA PARRA</text>
  </threadedComment>
  <threadedComment ref="M39" dT="2026-04-10T17:17:04.88" personId="{5C20BA9F-5BE7-4D28-BC2F-BE39EE1634F4}" id="{06596C31-B906-4FD0-80A7-59A31513E36B}">
    <text xml:space="preserve">83551 Jhonnathan Niño X cierre de facturación 
84571 Jhonatan Camilo Hern Error en el correo de facturación
85536 Esmeralda Error en la oc
85754 Esmeralda Error en la oc 
8658087783 Juan camilo piña X cierre de facturacion 
87761 Tatiana parra mando facturar con iva y no aplicaba 
86502 Esmeralda
86503 Esmeralda
87494 Esmeralda 
86738 Esmeralda 
</text>
  </threadedComment>
  <threadedComment ref="O39" dT="2026-04-10T17:17:05.04" personId="{5C20BA9F-5BE7-4D28-BC2F-BE39EE1634F4}" id="{BBF21D17-869C-4316-A2A2-957A6282E2C9}">
    <text xml:space="preserve">84660 Dafne Cliente devuelve un producto y rechaza toda la factura 
85785 Claudia  Cliente solicita que se fcature un producto aparte 
86066 yeison falto cobrar un flete
87615 Maria Eu Cliente solicita una sola factura
87857 Maria Eu Cliente solicita una sola factura
</text>
  </threadedComment>
  <threadedComment ref="K40" dT="2026-04-10T17:17:05.64" personId="{5C20BA9F-5BE7-4D28-BC2F-BE39EE1634F4}" id="{2789651C-05D8-4585-A959-03E46D8A72AA}">
    <text xml:space="preserve">87318 No se debia facturar benji lo  pidio camilo </text>
  </threadedComment>
  <threadedComment ref="N40" dT="2026-04-10T17:17:05.86" personId="{5C20BA9F-5BE7-4D28-BC2F-BE39EE1634F4}" id="{916E381A-BE94-473B-BC45-E4DE2AD8E122}">
    <text xml:space="preserve">88225 Dafne </text>
  </threadedComment>
  <threadedComment ref="K41" dT="2026-04-10T17:17:06.54" personId="{5C20BA9F-5BE7-4D28-BC2F-BE39EE1634F4}" id="{3110E4E5-9690-48BB-A601-715C0065DC93}">
    <text>88623 Falto facturar otra remision 
88663 Salió producto en o 
88664 Salió producto en o 
88421 Se facturaron las unidades erróneas</text>
  </threadedComment>
  <threadedComment ref="M41" dT="2026-04-10T17:17:06.69" personId="{5C20BA9F-5BE7-4D28-BC2F-BE39EE1634F4}" id="{74D299D2-F1B9-4FF1-ABA2-1B93ACFA08B8}">
    <text>82151 Daniel galindo licenciamiento 
87359 doble NC Se ajusto con la ND11</text>
  </threadedComment>
  <threadedComment ref="O41" dT="2026-04-10T17:17:06.84" personId="{5C20BA9F-5BE7-4D28-BC2F-BE39EE1634F4}" id="{48DA67E8-1420-40A5-85E6-4FCBA6B9D6A7}">
    <text>87908 Cliente no la radico
88136 Cliente solicita que al mes se genere una sola factura
86382 Falto facturar una unidad cliente envio mal la oc 
85334 Cliente solicita refactura en abril </text>
  </threadedComment>
  <threadedComment ref="K42" dT="2026-04-10T17:17:07.46" personId="{5C20BA9F-5BE7-4D28-BC2F-BE39EE1634F4}" id="{FB566E4C-6A47-45D7-BEF3-756FFC7DC556}">
    <text xml:space="preserve">88533 fernando celular se factuiro sin iva </text>
  </threadedComment>
  <threadedComment ref="M42" dT="2026-04-10T17:17:07.60" personId="{5C20BA9F-5BE7-4D28-BC2F-BE39EE1634F4}" id="{F79DFAA6-88DC-4E5C-BDEA-BEC915E702D6}">
    <text>88462 Dilma Se debian facturar dos remisiones y comercial solo paso una 
88509 Maria P Se cobro doble el flete 
89207 dafne Error en la trm enviada por el comercial</text>
  </threadedComment>
  <threadedComment ref="O42" dT="2026-04-10T17:17:07.76" personId="{5C20BA9F-5BE7-4D28-BC2F-BE39EE1634F4}" id="{7A3D6E43-5417-42B0-8666-13D732A627F2}">
    <text>86638Cliente rechazo por error
87931Cliente rechaza no sabemos el motivo
87930Cliente rechaza no sabemos el motivo
87826Cliente no radico la factura 
87827Cliente no radico la factura 
86551Cliente no le dio ingreso a la mercancia y no radicaron la factura 
87743Cliente solicito mal las cantidades NC por devolucion licencias
87037Error del cliente al enviarnos un rut sin actualizacion 
85832Cliente niega haber recibido la factura pero la rechaza
87864Cliente solicita dividir la factura 
87867Cliente solicita dividir la factura 
88838Error de razon social
84408 No le llego la factura al cliente </text>
  </threadedComment>
  <threadedComment ref="K43" dT="2026-04-10T17:17:08.44" personId="{5C20BA9F-5BE7-4D28-BC2F-BE39EE1634F4}" id="{233B0D83-4BB0-4F7A-A88B-8986AEB746A4}">
    <text>88271 alejandra velasquez cafe</text>
  </threadedComment>
  <threadedComment ref="M43" dT="2026-04-10T17:17:08.64" personId="{5C20BA9F-5BE7-4D28-BC2F-BE39EE1634F4}" id="{CFCF41E7-0477-4219-8D81-2BB7F1275575}">
    <text>89047  Error en el kit se armo con el equipo equibocado Juan camilo piña
89178 Error en la oc mario</text>
  </threadedComment>
  <threadedComment ref="O43" dT="2026-04-10T17:17:08.79" personId="{5C20BA9F-5BE7-4D28-BC2F-BE39EE1634F4}" id="{0EEC9B60-1F38-43B7-8545-9559DEDD6534}">
    <text>89167 Error en la razon social 
88933 Cambio de productos 
83098 Error del iva en un producto </text>
  </threadedComment>
  <threadedComment ref="K44" dT="2026-04-10T17:17:09.42" personId="{5C20BA9F-5BE7-4D28-BC2F-BE39EE1634F4}" id="{68D73B78-C974-4CF1-B0DC-D27AADA1DD27}">
    <text>89016 Se le cobro iva a unas licencias axentas Santillana
89125 Error en la OC Colsubsidio</text>
  </threadedComment>
  <threadedComment ref="K45" dT="2026-04-10T17:17:10.30" personId="{5C20BA9F-5BE7-4D28-BC2F-BE39EE1634F4}" id="{8C4D8FE6-3822-466A-A30F-CDECEDFE49C1}">
    <text>89700 Se facturo item sin iva tablet  mariela</text>
  </threadedComment>
  <threadedComment ref="M45" dT="2026-04-10T17:17:10.51" personId="{5C20BA9F-5BE7-4D28-BC2F-BE39EE1634F4}" id="{CCC00BB7-C605-4FD9-9325-AAE21DB7E8E5}">
    <text>90106 Se debia facturar adaptador en kit dafne</text>
  </threadedComment>
  <threadedComment ref="O45" dT="2026-04-10T17:17:10.72" personId="{5C20BA9F-5BE7-4D28-BC2F-BE39EE1634F4}" id="{A9B87001-6825-4EAE-A51F-B6B1C575AD01}">
    <text>83152 Cliente indica no recibir la factura 
87085 Cliente niega recibir la factura juan camilo p
86516 Cliente niega recibir la factura  juan camilo p 
89641 Cliente niega recibir la factura yomaira  </text>
  </threadedComment>
  <threadedComment ref="K46" dT="2026-04-10T17:17:11.34" personId="{5C20BA9F-5BE7-4D28-BC2F-BE39EE1634F4}" id="{D10011FE-7361-45BD-920F-86BD076A7198}">
    <text xml:space="preserve">90266 Error de benjamin al montar el pedido error en el precio angie tatiena </text>
  </threadedComment>
  <threadedComment ref="M46" dT="2026-04-10T17:17:11.48" personId="{5C20BA9F-5BE7-4D28-BC2F-BE39EE1634F4}" id="{CB870032-64C4-4CE4-979F-A8110AB2E5B4}">
    <text>89908 Error razón social  Mario
90003 Mayor valor cobrado Maria e 
88290 Error de razón social Camilo</text>
  </threadedComment>
  <threadedComment ref="N46" dT="2026-04-10T17:17:11.59" personId="{5C20BA9F-5BE7-4D28-BC2F-BE39EE1634F4}" id="{ABB57BA7-82E4-4CDC-A9FD-2E5892942FCB}">
    <text>90507 valores  erroneos que tomo el sistema Maria Angelica alvarez</text>
  </threadedComment>
  <threadedComment ref="O46" dT="2026-04-10T17:17:11.68" personId="{5C20BA9F-5BE7-4D28-BC2F-BE39EE1634F4}" id="{FA9E4343-6CAC-4473-BEC2-7582A773F607}">
    <text>88720 Error de correo electronico
84230 Error de correo electronico
90403 Cliente no recibe mercancia</text>
  </threadedComment>
  <threadedComment ref="K47" dT="2026-04-10T17:17:12.29" personId="{5C20BA9F-5BE7-4D28-BC2F-BE39EE1634F4}" id="{A650BD22-E763-4E3B-B1F9-E1BDD56FD54B}">
    <text>91272 no se debía facturar colsubsidio</text>
  </threadedComment>
  <threadedComment ref="M47" dT="2026-04-10T17:17:12.47" personId="{5C20BA9F-5BE7-4D28-BC2F-BE39EE1634F4}" id="{7255F090-25BB-4534-A85A-E5DE59E96D55}">
    <text>89849 fuera de la fecha de cierre oscar bohorquez</text>
  </threadedComment>
  <threadedComment ref="O47" dT="2026-04-10T17:17:12.68" personId="{5C20BA9F-5BE7-4D28-BC2F-BE39EE1634F4}" id="{68298B62-AA43-4EAC-86E1-3E983BFBBF7F}">
    <text>86369 Cliente indica que necesita su factura tal cual la OC 
89952 Cambio de convertidores
86039 Cliente no la radico 
90628 Cliente rechaza por centavos 
87872 Cliente no la radico a tiempo 
90737 Quedo cliente de contado y debe salir a credito 
84227 Cliente no las radico a tiempo 
86619 Cliente no las radico a tiempo 
90317 Error razon Social 
89442 Cliente solicito refacturar con fecha de Mayo
87143 Cliente rechazo por error</text>
  </threadedComment>
  <threadedComment ref="K48" dT="2026-04-10T17:17:13.31" personId="{5C20BA9F-5BE7-4D28-BC2F-BE39EE1634F4}" id="{9D919332-D3F6-47D3-B595-637A103E2B12}">
    <text xml:space="preserve">91404 No se debia facturar y adicional se facturo con iva 
91407 No se debia facturar 
</text>
  </threadedComment>
  <threadedComment ref="M48" dT="2026-04-10T17:17:13.46" personId="{5C20BA9F-5BE7-4D28-BC2F-BE39EE1634F4}" id="{07AF6DB8-9638-470F-AA6B-95D00F7F4BAD}">
    <text>91381 Era un obsequio y peña lo facturo 
91641 Fuera de la fecha de facturación diana buitrago</text>
  </threadedComment>
  <threadedComment ref="O48" dT="2026-04-10T17:17:13.60" personId="{5C20BA9F-5BE7-4D28-BC2F-BE39EE1634F4}" id="{378E063C-74A0-4DF2-AD10-1B6E5E61BFDC}">
    <text>90752 Cliente rechazo por error
90997 Error de razón social
87001 No se sabe el motivo 
91394 Cliente cambio fechas de cierre </text>
  </threadedComment>
  <threadedComment ref="M49" dT="2026-04-10T17:17:14.42" personId="{5C20BA9F-5BE7-4D28-BC2F-BE39EE1634F4}" id="{1B9AC89A-129B-4CA3-A56F-E8801DE35D80}">
    <text xml:space="preserve">90899 ERROR EN LA OC ZULMA IA4
91180 ERROR ENEL PRECIO JASBLEIDI
91427 ERROR EN LA RAZON SOCIAL M PAOLA
91151 MAYOR VALOR COBRADO JENNY G </text>
  </threadedComment>
  <threadedComment ref="O49" dT="2026-04-10T17:17:14.59" personId="{5C20BA9F-5BE7-4D28-BC2F-BE39EE1634F4}" id="{79533660-8D17-472C-BBFD-78AE0DAC95C8}">
    <text xml:space="preserve">91617 Se negocio con cliente para que aceptara la primera factura Daniel g 
91321 No sabemos el motivo daniel g
88459 Cliente no radico factura camilo 
87319 Cliente no la radico a tiempo  gina 
</text>
  </threadedComment>
  <threadedComment ref="K50" dT="2026-04-10T17:17:15.47" personId="{5C20BA9F-5BE7-4D28-BC2F-BE39EE1634F4}" id="{2ED34BE0-A509-4EAA-9909-B0BAAAA2B14F}">
    <text xml:space="preserve">92209 SE FACTURO PRODUCTO EN 0 ALEJANDRA VELASQUEZ </text>
  </threadedComment>
  <threadedComment ref="M50" dT="2026-04-10T17:17:15.64" personId="{5C20BA9F-5BE7-4D28-BC2F-BE39EE1634F4}" id="{0FDAA1F3-22D2-40A7-BBD6-9C22E36C0F51}">
    <text>92229 Error razon razon social Jasbleidy</text>
  </threadedComment>
  <threadedComment ref="O50" dT="2026-04-10T17:17:15.79" personId="{5C20BA9F-5BE7-4D28-BC2F-BE39EE1634F4}" id="{77E79636-DEF0-46B0-A615-182C57E18170}">
    <text xml:space="preserve">87319 Cliente no la radico a tiempo 
91568 Error en el correo de facturacion electronica 
91610 Error en el correo de facturacion electronica 
90707 Cliente no as radico 
88551 Cliente no as radico 
90333 Cliente solicita una sola factura Cliente solicita una sola factura 
89132 Cliente solicita una sola factura
88619 Cliente modifico la oc 
91774 Cliente rechazo por error
94775 Cliente rechazo por error
91776 Cliente rechazo por error
92222 Cambio de nit 
89511 Cambio de nit 
91707 Debe ir facturado sin  iva 
</text>
  </threadedComment>
  <threadedComment ref="K51" dT="2026-04-10T17:17:16.51" personId="{5C20BA9F-5BE7-4D28-BC2F-BE39EE1634F4}" id="{66365A06-4A40-42F4-A2F8-52C08996A1E8}">
    <text>93008 Debia salir en kit 
89184 Error de correo de facturacion </text>
  </threadedComment>
  <threadedComment ref="M51" dT="2026-04-10T17:17:16.77" personId="{5C20BA9F-5BE7-4D28-BC2F-BE39EE1634F4}" id="{C05E21BC-18A0-4996-91FB-782A15FF03FF}">
    <text>92342 Error razon social Dilma
92266 Error en la OC Mario</text>
  </threadedComment>
  <threadedComment ref="N51" dT="2026-04-10T17:17:16.86" personId="{5C20BA9F-5BE7-4D28-BC2F-BE39EE1634F4}" id="{2B90FA2E-E3C0-4EF9-BBFA-EC72D8A09246}">
    <text>92398 Error en el kit salio sin iva 
92477 Error razon Social</text>
  </threadedComment>
  <threadedComment ref="O51" dT="2026-04-10T17:17:16.97" personId="{5C20BA9F-5BE7-4D28-BC2F-BE39EE1634F4}" id="{D128F118-DAE9-4918-A2F0-DC703A08F4F8}">
    <text>90722 Cliente no la radico 
92430 Faltaron agregar unas Observaciones</text>
  </threadedComment>
  <threadedComment ref="K52" dT="2026-04-10T17:17:17.58" personId="{5C20BA9F-5BE7-4D28-BC2F-BE39EE1634F4}" id="{9E35CFA7-3279-4D8E-BEAA-D2208F6F5726}">
    <text xml:space="preserve">93355 Se facturo en dólares  karol </text>
  </threadedComment>
  <threadedComment ref="L52" dT="2026-04-10T17:17:17.69" personId="{5C20BA9F-5BE7-4D28-BC2F-BE39EE1634F4}" id="{92D5FA65-1121-4FD1-8D4B-38A58932C3E4}">
    <text xml:space="preserve">93314 Se facturo una licencia de mas compras y logistica </text>
  </threadedComment>
  <threadedComment ref="M52" dT="2026-04-10T17:17:17.80" personId="{5C20BA9F-5BE7-4D28-BC2F-BE39EE1634F4}" id="{46FC9A27-7D23-445E-824A-047E1849CE79}">
    <text>88521 No se radico en la plataforma Mariela
92014 Faltaron radicar documentos adicionales a la factura  Maria Eugenia 
91613 Fuera de la fecha de cierre Zulma  </text>
  </threadedComment>
  <threadedComment ref="O52" dT="2026-04-10T17:17:18.05" personId="{5C20BA9F-5BE7-4D28-BC2F-BE39EE1634F4}" id="{429A6623-542D-4A53-AAF9-6C844F696297}">
    <text xml:space="preserve">91754 Cliente no radico factura 
92627 Error de razón social
89671 Cliente no la radico a tiempo 
92470 Error razón social emitida x el cliente (correo) 
91666 Cliente no la radico 
89466 Cliente rechaza x inconvenientes internos 
92947 Cliente envio mal la OC 
93186  Cliente no recibió 
92412 Cliente solicita facturar 2 licencias en otra razón social 
88913 Error de correo de facturación 
</text>
  </threadedComment>
  <threadedComment ref="M53" dT="2026-04-10T17:17:18.76" personId="{5C20BA9F-5BE7-4D28-BC2F-BE39EE1634F4}" id="{CCBE6608-E4DB-4BCF-8694-95B3F4540DDB}">
    <text>90894 Error razón social  Jasbleidy
92687 Error en las cantidades de producto  Jenny Gonzales
93480 Por cierre de facturación Jasbleidy</text>
  </threadedComment>
  <threadedComment ref="O53" dT="2026-04-10T17:17:18.97" personId="{5C20BA9F-5BE7-4D28-BC2F-BE39EE1634F4}" id="{FCACE414-9753-463C-99EA-BBACF4337F01}">
    <text>91988 Cliente rechaza x la observacion de la factura 
92195 No se sabe el motivo del rechazo </text>
  </threadedComment>
  <threadedComment ref="L54" dT="2026-04-10T17:17:19.66" personId="{5C20BA9F-5BE7-4D28-BC2F-BE39EE1634F4}" id="{8C18181F-AE37-425C-9242-9B35A20F5BA4}">
    <text>88932 Error en la descripcion del codigo natalia
93947 Faltaron agregar unas remisiones  karol</text>
  </threadedComment>
  <threadedComment ref="M54" dT="2026-04-10T17:17:19.80" personId="{5C20BA9F-5BE7-4D28-BC2F-BE39EE1634F4}" id="{4FFF53C6-D559-4EEE-8C83-7E224E98D840}">
    <text>93614 Por cierre de facturacion 
92024 Se facturo 2 veces
92604 Mayor valor cobrado 
93982 Error de razón social 
93381 No se radico la factura con los soportes</text>
  </threadedComment>
  <threadedComment ref="O54" dT="2026-04-10T17:17:20.05" personId="{5C20BA9F-5BE7-4D28-BC2F-BE39EE1634F4}" id="{21FB0FA5-DF51-424E-8B04-EEB27DD0EE49}">
    <text>93414 Por cierre de facturacion no informo cambios 
92511 Cliente rechazo por decimales
93638 Cliente solicita que se coloquen los seriales en la factura 
89032 Cliente no la radico
90829 Cliente iba a devolver producto y finalmente no lo hizo pero la rechazo 
93657 Cliente solicita refacturar diferente 
93504 Cliente no recibe mercancia
91249 Cliente indica que no les llego pero el correo estaba bien
91877 Cliente no modifico iva internamente 
91821 Cliente no modifico iva internamente 
91820 Cliente no modifico iva internamente 
91878 Cliente no modifico iva internamente 
93993 Se debe facturar con iva de acuerdo a la OC 
87554 Cliente no la radico internamente </text>
  </threadedComment>
  <threadedComment ref="L55" dT="2026-04-10T17:17:20.71" personId="{5C20BA9F-5BE7-4D28-BC2F-BE39EE1634F4}" id="{291ED9CC-9CB7-4279-844B-4722BF1F6A4D}">
    <text>94329 No se debia facturar y benji la paso SANTILLANA camilo
94506 Falto agregar un item la OC no coincide con la factura DAFNE</text>
  </threadedComment>
  <threadedComment ref="M55" dT="2026-04-10T17:17:20.80" personId="{5C20BA9F-5BE7-4D28-BC2F-BE39EE1634F4}" id="{361B54C6-181C-46BD-96C4-350D295BB722}">
    <text>93739 Error en los codigos Fernando</text>
  </threadedComment>
  <threadedComment ref="N55" dT="2026-04-10T17:17:20.93" personId="{5C20BA9F-5BE7-4D28-BC2F-BE39EE1634F4}" id="{38E0E8D2-8728-4C47-A1D2-BC176817719A}">
    <text>94301 Tomo el tercero que no era</text>
  </threadedComment>
  <threadedComment ref="O55" dT="2026-04-10T17:17:21.10" personId="{5C20BA9F-5BE7-4D28-BC2F-BE39EE1634F4}" id="{0788CF1C-CE72-4A8E-9730-CBE0775B374B}">
    <text xml:space="preserve">92216No se debia facturar aese tercero 
93739 Error en los codigos 
88068 Error de correo cliente no notifico el cambio 
93425 Cliente indica haber recibido tarde la mercancia 
91097 Cliente rechazo por error 
93767 Cliente envio una oc a una razon social y era por otra 
93987 Cliente envio una oc a una razon social y era por otra 
93155 Faltaba la Orden de servicio 
92936 Cliente envio una oc a una razon social y era por otra 
90509 Fallas en la pagina receptora de la universidad 
94611 Cliente cambia correo no notifica y la factura anterior si la radicaron siendo el mismo correo 
94613 Cliente cambia correo no notifica y la factura anterior si la radicaron siendo el mismo correo 
</text>
  </threadedComment>
  <threadedComment ref="L56" dT="2026-04-10T17:17:21.76" personId="{5C20BA9F-5BE7-4D28-BC2F-BE39EE1634F4}" id="{033EBBA3-EE16-4E48-B54C-F14C4F4B787A}">
    <text>94017 No se facturo el flete benji remisiono 
94755 Se debia facturar mas producto </text>
  </threadedComment>
  <threadedComment ref="M56" dT="2026-04-10T17:17:21.85" personId="{5C20BA9F-5BE7-4D28-BC2F-BE39EE1634F4}" id="{25D1A85B-65FC-4A4E-82E6-8FFDE335E2E5}">
    <text>95059 Error en codigo ,aria Eugenia 
93467 Fuera de la fecha de cierre Mario</text>
  </threadedComment>
  <threadedComment ref="N56" dT="2026-04-10T17:17:21.96" personId="{5C20BA9F-5BE7-4D28-BC2F-BE39EE1634F4}" id="{A62D0541-D192-453A-8773-A4E0236A4ECA}">
    <text xml:space="preserve">93745 tomo mal el tercero </text>
  </threadedComment>
  <threadedComment ref="O56" dT="2026-04-10T17:17:22.06" personId="{5C20BA9F-5BE7-4D28-BC2F-BE39EE1634F4}" id="{7AB4EA5E-0225-4A7E-8AF6-B11265A4A5AF}">
    <text>91708 No se sabe el motivo del rechazo 
94574 Error en razon social, cliente despues de facturar envio la OC a otrarazon social 
91749 No se sabe el motivo del rechazo 
91719 No enviaron las actas, la encargada de esto renuncio 
93420 Cliente cambia correo no notifica y la factura anterior si la radicaron siendo el mismo correo 
93636 Cliente rechazo por error 
89622 Cliente no la radico internamente 
93668 Cliente devuelve cables y de deja remisionado mientras llega el producto 
93773 Cliente proporciona numero de ingreso errado por lo que la rechazaron 
88815 Cliente no tenia aval de la licencia y la rechazo 
94507 Cliente rechaza por no tener nuestro documentos pero fueron enviados a tiempo
93577Cliente renovo por otro lado el mismo mes
89670 Cliente no identifico el servicio y la rechazo 
93496 No se sabe el motivo del rechazo 
93437 Cliente no la radico internamente 
90849 Error en la oc del cliente 
93320 Por una devolucion rechazo todo </text>
  </threadedComment>
  <threadedComment ref="M57" dT="2026-04-10T17:17:22.85" personId="{5C20BA9F-5BE7-4D28-BC2F-BE39EE1634F4}" id="{5ADA5DE9-1219-4D1B-8A8A-B5D93B42B104}">
    <text>95334 Comercial mando facturar y luego indico que debia salir con tra remision  Rosa 
95289 Error en la OC Faltaba un numero Astrid 
95416 Por fecha de cierre Alvarez </text>
  </threadedComment>
  <threadedComment ref="K58" dT="2026-04-10T17:17:23.55" personId="{5C20BA9F-5BE7-4D28-BC2F-BE39EE1634F4}" id="{EF31B123-D35D-4078-B2FE-C3BF917073E6}">
    <text xml:space="preserve">94584  Producto salio sin IVA Maria Eugenia </text>
  </threadedComment>
  <threadedComment ref="M58" dT="2026-04-10T17:17:23.71" personId="{5C20BA9F-5BE7-4D28-BC2F-BE39EE1634F4}" id="{A7D8221B-9A0A-4C58-BC50-691ABA17095D}">
    <text>94644 Error en OC x comercial CarolinaBossa
95198 Por cierre de facturacion Dilma</text>
  </threadedComment>
  <threadedComment ref="O58" dT="2026-04-10T17:17:23.85" personId="{5C20BA9F-5BE7-4D28-BC2F-BE39EE1634F4}" id="{20213B45-0801-4CF3-8CB7-963E9C8D67A9}">
    <text>95359 Error de razon social Cliente no notifico ni envio documentos  Julieth Galindo 
95360 Error de razon social Cliente no notifico ni envio documentos  Julieth Galindo 
95265 No se sabe el motivo del rechazo  Yeison Urrego 
90687 Error de correo cliente no notifico el cambio 
93931 No se sabe el motivo del rechazo 
91436 Rechazo por $600 de diferencia contra la OC
95182 Producto Vencido 
95429 No se sabe el motivo del rechazo
95233 No se sabe el motivo del rechazo
93134 Cliente no radico factura
93546 Error de razón social Claudia 
93541 Error de razón social Claudia 
93556 Error de razón social Claudia 
93544 Error de razón social Claudia 
93544 Error de razón social Claudia 
93543 Error de razon social
93542 Error de razon social
93540 Error de razon social
93545 Error de razon social
95021 No se sabe el motivo del rechazo
94893 No se sabe el motivo del rechazo
94548 No se sabe el motivo del rechazo</text>
  </threadedComment>
  <threadedComment ref="K59" dT="2026-04-10T17:17:24.51" personId="{5C20BA9F-5BE7-4D28-BC2F-BE39EE1634F4}" id="{305C8C0C-32EA-4353-BD80-BF942D528507}">
    <text>95682 Producto salio sin IVA</text>
  </threadedComment>
  <threadedComment ref="M59" dT="2026-04-10T17:17:24.67" personId="{5C20BA9F-5BE7-4D28-BC2F-BE39EE1634F4}" id="{3142D880-BDAE-43BB-99D8-F7357C08D6C3}">
    <text>95930 Error en razón social Yomaira
94800 Error en razón social M. Paola
92888 Error en los valores, no coinciden con la OC Freddy P</text>
  </threadedComment>
  <threadedComment ref="O59" dT="2026-04-10T17:17:24.81" personId="{5C20BA9F-5BE7-4D28-BC2F-BE39EE1634F4}" id="{8FAFE1BA-E98D-4C70-BB92-7C866DD5A75E}">
    <text>94937 Cliente envió mal el # de MIGO, se cruza con otra factura M.Paola
94997 Cliente envió mal el # de MIGO, se cruza con otra factura M.Paola
95637 Se tuvo que bajar el precio  Gina Paola
94608 Cliente no la radico  M.Alejandra V</text>
  </threadedComment>
  <threadedComment ref="K60" dT="2026-04-10T17:17:25.41" personId="{5C20BA9F-5BE7-4D28-BC2F-BE39EE1634F4}" id="{CE39BF5E-1F86-44BD-9F9A-46128D23CD9C}">
    <text>96476 Iba con otra remisión 
96609 Comercial envió correo pero no fue claro, iba con más remisiones</text>
  </threadedComment>
  <threadedComment ref="M60" dT="2026-04-10T17:17:25.55" personId="{5C20BA9F-5BE7-4D28-BC2F-BE39EE1634F4}" id="{C9436D8D-E2DC-42EE-A459-9A6C9FC4EC34}">
    <text>96344 Error en el Valor 
95990 Mayor Valor Cobrado
96272 No se debía facturar 
93563 Cierre de Facturación 
95785 Se debia facturar por separado 
95797 Error en la OC
90095 Mayor Valor Cobrado
96357 Se facturo 2 veces
95987 Error en el codigo </text>
  </threadedComment>
  <threadedComment ref="O60" dT="2026-04-10T17:17:25.71" personId="{5C20BA9F-5BE7-4D28-BC2F-BE39EE1634F4}" id="{FEAF8D5A-EDD3-4BF4-9075-74A6F6381D77}">
    <text>96186 Cliente no recibe los productos
91819 Cliente no la radico 
95928 Cliente cambió políticas de radicación de facturas
92655 No se sabe el motivo de rechazo
95256 Cliente la rechazo por error
93046 Cliente la rechazo por error
92528 Cliente la rechazo por error
96260 Error en razón social
95545 Cliente rechaza por error 
96239 Error en razón social
92177 Cliente rechaza por error oc no coincide, pero esta la conversacion donde autoriza cmprar mas caro pr la urgencia 
92884 Error en la OC del cliente
95864 Producto salio sin IVA
95381 No sabemos el motivo del rechazo 
94840 Cliente no radico factura
88792 Cliente no radico factura
96102 Cliente solicita que se haga una sola fcatura </text>
  </threadedComment>
  <threadedComment ref="K61" dT="2026-04-10T17:17:26.47" personId="{5C20BA9F-5BE7-4D28-BC2F-BE39EE1634F4}" id="{73964881-4FE0-411F-B5D5-5C0D8D400FE4}">
    <text xml:space="preserve">97008 No sedebia facturar cliente ya habia cerrado no llamo al comercial </text>
  </threadedComment>
  <threadedComment ref="M61" dT="2026-04-10T17:17:26.67" personId="{5C20BA9F-5BE7-4D28-BC2F-BE39EE1634F4}" id="{18F38677-68C8-43E7-8F7E-541F925125E4}">
    <text>96357 Se facturo 2 veces Gabriela oscar b
95987 Error en el codigo maria eug
96947 Error en las cantidades yomaira
 96985 Fuera de la fecha de facturacion dafne
92326 Error en razon social tatiana 
96702 No se relaciono la OC javier cortes
96701 No se relaciono la OC javier cortes</text>
  </threadedComment>
  <threadedComment ref="O61" dT="2026-04-10T17:17:26.84" personId="{5C20BA9F-5BE7-4D28-BC2F-BE39EE1634F4}" id="{1403F8CF-BC29-4E16-A2CF-4033FACFC1C7}">
    <text>94840 Cliente no radico factura
88792 Cliente no radico factura
96102 Cliente solicita que se haga una sola fcatura 
94973 Cliente indica que no la recibio 
96722 Cliente rechazo por error se adjunta correo
96064 Se anula factura por cambio de referencia a solicitud del cliente 
96556 Se salio del presupuesto del cliente 
95804 Clienta solicita una sola factura 
96633 Error en los valoreesdel monitor 
94383 Cliente No la radico 
94297 Cliente No la radico 
97005 Cliente envio mal las especificaciones del producto</text>
  </threadedComment>
  <threadedComment ref="L62" dT="2026-04-10T17:17:27.61" personId="{5C20BA9F-5BE7-4D28-BC2F-BE39EE1634F4}" id="{9941A145-E7F9-4215-8678-D2C0B735379C}">
    <text xml:space="preserve">97260 Mando Facturar y no se podía </text>
  </threadedComment>
  <threadedComment ref="M62" dT="2026-04-10T17:17:27.72" personId="{5C20BA9F-5BE7-4D28-BC2F-BE39EE1634F4}" id="{0FA4CD7A-7C44-499B-BA2F-8B18FE7B597F}">
    <text>97237 No se radico la factura con los soportes Rosmira 
97464 Comercial se eequivoco y envió producto que no era  Jenny Gonzalez
95234 No se radico la factura con los soportes Gabriela
95235 No se radico la factura con los soportes Gabriela</text>
  </threadedComment>
  <threadedComment ref="O62" dT="2026-04-10T17:17:27.89" personId="{5C20BA9F-5BE7-4D28-BC2F-BE39EE1634F4}" id="{D3F437B1-E0A6-4ECD-A64A-5299228E22E7}">
    <text xml:space="preserve">92889 Cliente no recibio algunos productos
96813 Cliente rechazo por error
95905 Cliente cambio su razon social de SA SAS
96054 Cliente no le coincide IVA, tienen productos que los tienen errados
95968 Error en las observaciones, faltaba información solicitada por el cliente
95300 Cliente No la radico 
95301 Cliente No la radico 
94761 No le llegó al cliente
</text>
  </threadedComment>
  <threadedComment ref="K63" dT="2026-04-10T17:17:28.48" personId="{5C20BA9F-5BE7-4D28-BC2F-BE39EE1634F4}" id="{31D9C360-79D6-449E-B12A-0458C99C880C}">
    <text>97747 no se coloco numero de ingreso karol</text>
  </threadedComment>
  <threadedComment ref="L63" dT="2026-04-10T17:17:28.59" personId="{5C20BA9F-5BE7-4D28-BC2F-BE39EE1634F4}" id="{CA2008FE-EC86-4B34-8427-E4F70B57A08A}">
    <text>97717 no se debia facturar fernando
97592 error en las cantidades  mariela</text>
  </threadedComment>
  <threadedComment ref="M63" dT="2026-04-10T17:17:28.68" personId="{5C20BA9F-5BE7-4D28-BC2F-BE39EE1634F4}" id="{FF156A61-2C95-4C49-9492-539F167AB775}">
    <text>97751 Error en la razón social Alejandra Velásquez
97592 Falto agregar una remisión Mariela
97579 Debe ir facturado a otra razón social Mari Eugenia 
94564 Error en la razón social Álvaro
96069 No se relaciono la OC  Álvaro</text>
  </threadedComment>
  <threadedComment ref="O63" dT="2026-04-10T17:17:28.84" personId="{5C20BA9F-5BE7-4D28-BC2F-BE39EE1634F4}" id="{535F5A03-ED6A-4692-B2FA-A93C7B8385FF}">
    <text>93646 Cliente no la radico 
93949 No se pudo procesar la extension de garantia 
95079 Ciertos productos debian ir a otra razon social 
95084 Ciertos productos debian ir a otra razon social 
95083 Ciertos productos debian ir a otra razon social 
95073 Ciertos productos debian ir a otra razon social 
95081 Ciertos productos debian ir a otra razon social 
96922 Cliente no radico la fcatura </text>
  </threadedComment>
  <threadedComment ref="K64" dT="2026-04-10T17:17:29.73" personId="{5C20BA9F-5BE7-4D28-BC2F-BE39EE1634F4}" id="{7ABD1D20-F783-4B4B-9C75-E183AA6FFCD1}">
    <text>98628 Se facturo con sin iva unos portátiles Benji cambio pedido y karol no valido</text>
  </threadedComment>
  <threadedComment ref="L64" dT="2026-04-10T17:17:29.84" personId="{5C20BA9F-5BE7-4D28-BC2F-BE39EE1634F4}" id="{748AAFCE-9CD6-4E67-A1F7-6C76C9E849AC}">
    <text xml:space="preserve">97622 Mayor valor cobrado en unas memorias 
98455 Logística mando facturar y comercial le indico que no se podia facturar aun 
98346 Falto agregar una remision benji mando facturar y era un faltante 
</text>
  </threadedComment>
  <threadedComment ref="M64" dT="2026-04-10T17:17:29.93" personId="{5C20BA9F-5BE7-4D28-BC2F-BE39EE1634F4}" id="{FE303079-5D90-4E67-AB0C-BEDE8B9A8EC0}">
    <text xml:space="preserve">96540 Mayor valor cobrado camilo
97036 Comercial facturo doble vez el iva yenni
94257 Error en la OC  oscar beltran zulma 
</text>
  </threadedComment>
  <threadedComment ref="O64" dT="2026-04-10T17:17:30.09" personId="{5C20BA9F-5BE7-4D28-BC2F-BE39EE1634F4}" id="{335C8070-5E75-4A8A-BBDB-B7AC06377948}">
    <text>89614 Cliente no radico factura y pidio que se refacturara
96414 Cliente no radico la factura 
96352 Cliente no radico la factura 
98173 Cliente solicito facturar un valor mas alto cambio la OC 
98266 Cliente rechaza la factura x 1 peso se adjunta correo 
96774 Cliente indica que no le llego </text>
  </threadedComment>
  <threadedComment ref="K65" dT="2026-04-10T17:17:30.80" personId="{5C20BA9F-5BE7-4D28-BC2F-BE39EE1634F4}" id="{92BF96FB-0203-4EED-8778-E9FA9A67BE8C}">
    <text>98669 No se había ingresado la factura de proveedor Mario 
99117 Kit creado sin IVA Melisa</text>
  </threadedComment>
  <threadedComment ref="M65" dT="2026-04-10T17:17:31.05" personId="{5C20BA9F-5BE7-4D28-BC2F-BE39EE1634F4}" id="{F3F1008F-16BC-4461-9E3F-FFA9EF1B2B02}">
    <text xml:space="preserve">89961 No se radicaron los documentos junto con la factura  maria eugenia 
98842 No debia salir en KIT Juan Camilo Piña </text>
  </threadedComment>
  <threadedComment ref="O65" dT="2026-04-10T17:17:31.30" personId="{5C20BA9F-5BE7-4D28-BC2F-BE39EE1634F4}" id="{49714520-2566-42D5-9795-49C18033A6B8}">
    <text xml:space="preserve">93510 Cliente hasta este mes ingreso la mercancia, niega haber recibido la mercancia  Acevedo 
98351 Se facturo sin OC, cliente la suministro luego de haber facturado
96850 Cliente no indicó que iba a cambiar la OC
92604 Cliente solicita cambio de factura por un error interno en la OC 
91871 No se Validaron los documentos internamente para el cobro
</text>
  </threadedComment>
  <threadedComment ref="K66" dT="2026-04-10T17:17:31.92" personId="{5C20BA9F-5BE7-4D28-BC2F-BE39EE1634F4}" id="{A6FB75DE-2C07-4846-8536-82FB5E234C3B}">
    <text xml:space="preserve">99209 se facturo portatil sin iva diana castro </text>
  </threadedComment>
  <threadedComment ref="M66" dT="2026-04-10T17:17:32.09" personId="{5C20BA9F-5BE7-4D28-BC2F-BE39EE1634F4}" id="{DE4EA125-ABD6-4220-8BBF-D1007FC9A004}">
    <text xml:space="preserve">99155 Por cierre de facturacion carolina bosa
98515 No se relaciono la OC Mariela </text>
  </threadedComment>
  <threadedComment ref="O66" dT="2026-04-10T17:17:32.26" personId="{5C20BA9F-5BE7-4D28-BC2F-BE39EE1634F4}" id="{1C70C8F2-ABD5-411E-80E6-865D469E062A}">
    <text>96467 Cliente no radico la factura  astrid
97387 Cliente solicita cambio de unidades en las facturas astrid
97510 Cliente solicita cambio de unidades en las facturas astrid
99256 Cliente solicita cambio de unidades en las facturas astrid
97914 Cliente x presupuesto devuelve mercancia y cambia la oc julieth
97661 No sabemos el motivo del rechazo lington
99053 Cliente se encuentra en reestructuracion facturar en octubre  daniel g 
98015 No sabemos el motivo del rechazo  Freddy p</text>
  </threadedComment>
  <threadedComment ref="K67" dT="2026-04-10T17:17:32.97" personId="{5C20BA9F-5BE7-4D28-BC2F-BE39EE1634F4}" id="{5D7C28AA-B9FB-4977-9543-EA5F82032EC5}">
    <text>99381 Se tomo la remision que no era </text>
  </threadedComment>
  <threadedComment ref="M67" dT="2026-04-10T17:17:33.14" personId="{5C20BA9F-5BE7-4D28-BC2F-BE39EE1634F4}" id="{D7F37B31-A868-40BA-96CF-AFEE7C395895}">
    <text>99427  Error de razon social JUAN C PIÑA
99522 Se facturo antes de entregar la mercancia MARIO</text>
  </threadedComment>
  <threadedComment ref="O67" dT="2026-04-10T17:17:33.31" personId="{5C20BA9F-5BE7-4D28-BC2F-BE39EE1634F4}" id="{9820902D-A062-430B-9BCE-4901829D9E89}">
    <text>98998 Cliente solicita NC porque va a genrar el pago en pesos CABALLERO 
97830 Cliente solicita el cambio de la factura CAMILO</text>
  </threadedComment>
  <threadedComment ref="K68" dT="2026-04-10T17:17:34.04" personId="{5C20BA9F-5BE7-4D28-BC2F-BE39EE1634F4}" id="{D4635B09-000C-4D6D-8694-D867CAB891CA}">
    <text>99982 No habia el product en la presentacion solicitada y debia salir remisionado karol lo facturo Karol
99439 No se facturaron unas licencias karol
99085 Se envio al correo erroneo Alexa
98822 Se envio al correo erroneo Alexa
100214 se facturaron 900 pesos de mas  karol
100222  Error en el kit karol
100206 Se digito mal el valor de la unidad  karol</text>
  </threadedComment>
  <threadedComment ref="M68" dT="2026-04-10T17:17:34.18" personId="{5C20BA9F-5BE7-4D28-BC2F-BE39EE1634F4}" id="{E21F62C1-A844-417D-95D8-A87FA0E80F7E}">
    <text xml:space="preserve">99911 Se facturaron 2 veces el mismo producto Mario
95973 Mayor valor cobrado Peña
94518 Error en el correo de facturacion comercial olvido el cambio Juan Camilo Piña
96846 Falto radicar la factura con soportes  astrid </text>
  </threadedComment>
  <threadedComment ref="O68" dT="2026-04-10T17:17:34.34" personId="{5C20BA9F-5BE7-4D28-BC2F-BE39EE1634F4}" id="{886DD009-1D3A-4EBF-92B4-61F0E853062B}">
    <text>99229 Cliente no la radico 
98780 Cliente no envio OC y se facturo 
99265 Cliente pidio facturar en 2 oc </text>
  </threadedComment>
  <threadedComment ref="K69" dT="2026-04-10T17:17:35.09" personId="{5C20BA9F-5BE7-4D28-BC2F-BE39EE1634F4}" id="{9346E7A0-D49B-4DFD-8B95-C573BDDB6435}">
    <text>99876 Doble facturacion
99877 Doble facturacion
93150 Rafael N autorizo NC 
93972 Rafael N autorizo NC 
99030 Rafael N autorizo NC </text>
  </threadedComment>
  <threadedComment ref="L69" dT="2026-04-10T17:17:35.18" personId="{5C20BA9F-5BE7-4D28-BC2F-BE39EE1634F4}" id="{31825716-4E63-477B-87F7-B67C88F819F0}">
    <text>99273 Se perdio el producto no aparecen radios jessica</text>
  </threadedComment>
  <threadedComment ref="M69" dT="2026-04-10T17:17:35.29" personId="{5C20BA9F-5BE7-4D28-BC2F-BE39EE1634F4}" id="{41587C72-2CAF-4C1C-AB55-230AB8DBB1E3}">
    <text>100413 Faltaron Agregar unas licencias julieth
100412 Faltaron Agregar unas licencias julieth
100243 Error de razon social caro bosa
98568 Error en la OC tatiana parra</text>
  </threadedComment>
  <threadedComment ref="N69" dT="2026-04-10T17:17:35.39" personId="{5C20BA9F-5BE7-4D28-BC2F-BE39EE1634F4}" id="{A785C9D3-A063-4109-B18C-3D533F846E0A}">
    <text xml:space="preserve"> 100580 No subio por factura por los decimales rosa</text>
  </threadedComment>
  <threadedComment ref="O69" dT="2026-04-10T17:17:35.49" personId="{5C20BA9F-5BE7-4D28-BC2F-BE39EE1634F4}" id="{222DF393-7C4B-43A2-A15A-505D3B88B4DB}">
    <text>96882 No sabemos el motivo del rechazo Peña
97661 No sabemos el motivo del rechazo Lington
100052 cliente rechaza por error mariela
98866 Cliente solicita hacer facturas pos centro de costos Peña</text>
  </threadedComment>
  <threadedComment ref="L70" dT="2026-04-10T17:17:36.17" personId="{5C20BA9F-5BE7-4D28-BC2F-BE39EE1634F4}" id="{978C8A15-66E7-4B24-9C1D-273EDDEB05EA}">
    <text>100601 Error en los productos entregados Jenny Gonzalez</text>
  </threadedComment>
  <threadedComment ref="M70" dT="2026-04-10T17:17:36.26" personId="{5C20BA9F-5BE7-4D28-BC2F-BE39EE1634F4}" id="{27410F98-B442-4C5E-9041-4BC3CDD09E81}">
    <text>98829 Mayor valor cobrado yomaira
100621 Quedo facturado mal un item daniel
100406 Error en el valor unitario astrid</text>
  </threadedComment>
  <threadedComment ref="N70" dT="2026-04-10T17:17:36.36" personId="{5C20BA9F-5BE7-4D28-BC2F-BE39EE1634F4}" id="{4577BBB9-EC21-45D6-AD5F-B8FDDD2FC256}">
    <text>100924 La factura venia con varios decimales y el iva no daba  rosa</text>
  </threadedComment>
  <threadedComment ref="O70" dT="2026-04-10T17:17:36.47" personId="{5C20BA9F-5BE7-4D28-BC2F-BE39EE1634F4}" id="{133096C3-4E01-4410-8813-8DC7C91A445F}">
    <text>98274  Cliente solicita facturara a otra razon social peña
100196 Cliente cancela la oc  wilson
99824 Se refacturo un soporte de garantia m paola
97494 Cliente indica no haber recibido la factura  Caballero
97493 Cliente indica no haber recibido la factura  Caballero
95902 Cliente no radico la factura internamente
96804 No sabemos el motivo del rechazo  rosa
101014 La licencias se deben facturar aparte 2 y 1 claudia</text>
  </threadedComment>
  <threadedComment ref="M71" dT="2026-04-10T17:17:37.19" personId="{5C20BA9F-5BE7-4D28-BC2F-BE39EE1634F4}" id="{36945E7D-81E5-43C5-82D6-AB6053B64EFE}">
    <text>100771 X cierre de facturacion Yenny G
100778 X cierre de facturacion Yenny G
100815 X cierre de facturacion yenny G</text>
  </threadedComment>
  <threadedComment ref="O71" dT="2026-04-10T17:17:37.39" personId="{5C20BA9F-5BE7-4D28-BC2F-BE39EE1634F4}" id="{34D97923-AA1E-4E67-879B-610E19201BFD}">
    <text xml:space="preserve">89962 Cliente no radico la factura internamente MARIA E
99591 Cliente cambio la oc JASBLEIDY
97409 Cliente negó recibir facturas FERNANDO
97410 Cliente negó recibir facturas FERNANDO
97411 Cliente negó recibir facturas FERNANDO
97412 Cliente nego recibir facturas FERNANDO
98182 Cliente negó recibir facturas FERNANDO
97908 Cliente negó recibir facturas FERNANDO
98154 Cliente negó recibir facturas FERNANDO
98684 Cliente negó recibir facturas FERNANDO
</text>
  </threadedComment>
  <threadedComment ref="K72" dT="2026-04-10T17:17:38.01" personId="{5C20BA9F-5BE7-4D28-BC2F-BE39EE1634F4}" id="{347995F1-04DB-4918-B611-A3F6113D34CA}">
    <text>101966 Se facturaron 2 pdidos en una sola factura  mario
100994 Codigo estaba creado con sistema operativo y venia sin maria eug</text>
  </threadedComment>
  <threadedComment ref="L72" dT="2026-04-10T17:17:38.11" personId="{5C20BA9F-5BE7-4D28-BC2F-BE39EE1634F4}" id="{AB87FB7C-AEFB-477F-BF83-D41CC6D2DA91}">
    <text>101727 Se remisiono solo el producto y falto el flete oscar b
99867 Se facturo sin haber recibido el cliente la mercancia  rosmira</text>
  </threadedComment>
  <threadedComment ref="M72" dT="2026-04-10T17:17:38.22" personId="{5C20BA9F-5BE7-4D28-BC2F-BE39EE1634F4}" id="{A4DC89F4-F120-405D-9BB7-2BB57F02E30F}">
    <text>100770 Se facturo despues de la fecha de cierre jenny
101956 Comercial no informo que el precio cambio camilo</text>
  </threadedComment>
  <threadedComment ref="O72" dT="2026-04-10T17:17:38.38" personId="{5C20BA9F-5BE7-4D28-BC2F-BE39EE1634F4}" id="{31091061-2648-4DFA-9104-F2CCF16D65DB}">
    <text xml:space="preserve">101200 Cliente pidio facturar y no la radico 
96150 Error en razon social
101229 Cliente no la radico internamente 
100932 Cliente pidio cambio van a manejar oc a partir de la fecha 
101272 Cliente tiene la oc por mayor valos
101190 Cliente solicita facturar por otra razon social
100400 Cliente rechaza por error
100571 Error razon social cliente se equivoco
</text>
  </threadedComment>
  <threadedComment ref="K73" dT="2026-04-10T17:17:38.98" personId="{5C20BA9F-5BE7-4D28-BC2F-BE39EE1634F4}" id="{D9F3C8E2-80D3-4F2E-BA5A-8F2B57645E87}">
    <text>96944 Error de correo no le llego al cliente la factura  TATIANA
100488 No le llego la factura al cliente  FERNANDO</text>
  </threadedComment>
  <threadedComment ref="L73" dT="2026-04-10T17:17:39.09" personId="{5C20BA9F-5BE7-4D28-BC2F-BE39EE1634F4}" id="{5DCE7DFD-02F4-4F1E-86D2-3562543B6533}">
    <text>101709 Se facturo y la mercancia llego tarde JULIETH
101857 No se entregaron unos productos PEÑA</text>
  </threadedComment>
  <threadedComment ref="N73" dT="2026-04-10T17:17:39.23" personId="{5C20BA9F-5BE7-4D28-BC2F-BE39EE1634F4}" id="{7199A4C8-C5BF-41D5-9EE7-13031CC8EDC8}">
    <text>102318 Error en el cargue de los seriales  ALEJA</text>
  </threadedComment>
  <threadedComment ref="O73" dT="2026-04-10T17:17:39.34" personId="{5C20BA9F-5BE7-4D28-BC2F-BE39EE1634F4}" id="{A5544008-CB7B-4239-84C1-E0DAF7345C34}">
    <text>98916 No sehabian radicado la remison YEISON 
100333 Faltaron agregar unas observaciones ALVAREZ
1010199 Cliente no radico la factura VELASQUEZ ALEJA 
99263 Error en el correo de facturacion  ALEJA 
100984 Cliente nego recibirla pero la rechazo  ROSA</text>
  </threadedComment>
  <threadedComment ref="K74" dT="2026-04-10T17:17:40.00" personId="{5C20BA9F-5BE7-4D28-BC2F-BE39EE1634F4}" id="{8F85A080-E83D-4ADF-8A0E-FE71A88C9BBE}">
    <text>102232 Se facturo sin previo aviso karent C</text>
  </threadedComment>
  <threadedComment ref="L74" dT="2026-04-10T17:17:40.10" personId="{5C20BA9F-5BE7-4D28-BC2F-BE39EE1634F4}" id="{0F20ED27-B83B-401A-A94D-96FA8EE5283C}">
    <text>102259 Producto llego averiado
101996 Los cargadores entregados uno venia incompleto 
101276 La mercancia le llego tarde el cliente </text>
  </threadedComment>
  <threadedComment ref="M74" dT="2026-04-10T17:17:40.21" personId="{5C20BA9F-5BE7-4D28-BC2F-BE39EE1634F4}" id="{4F16E9F9-5975-4646-9DCE-E98647E925A8}">
    <text xml:space="preserve">98295 Error en el correo de facturacion 
92400 Se facturo dos veces el producto 
101450 Cliente solicita factura a credito , comercial no habia enviado documentacion 
101216 Falto agregar una remision 
101725 Error en razon social (Gabriela)
102362 Se facturo con iva y el cliente es exento (Gabriela)
96166 Error en los valores del producto (Carolina Bossa)
</text>
  </threadedComment>
  <threadedComment ref="O74" dT="2026-04-10T17:17:40.36" personId="{5C20BA9F-5BE7-4D28-BC2F-BE39EE1634F4}" id="{EFF275E8-903F-4C72-9879-7370D4B2691C}">
    <text xml:space="preserve">99874 Cliente indica no recibir factura
99889 Cliente solicito dividir la fcatura en dos
101344 Cliete solicito el cambio de factura por una devolucion 
102548 Cliente devuelve producto y rechaza
97440 Cliente no la radico 
102326 Cliente no la radico 
</text>
  </threadedComment>
  <threadedComment ref="L75" dT="2026-04-10T17:17:41.04" personId="{5C20BA9F-5BE7-4D28-BC2F-BE39EE1634F4}" id="{836C127D-40BA-4F39-A52C-2D964E2D666E}">
    <text>No se debia facturar 
102683
102684
102685
102686
102687 Jenny Gonzalez</text>
  </threadedComment>
  <threadedComment ref="O75" dT="2026-04-10T17:17:41.38" personId="{5C20BA9F-5BE7-4D28-BC2F-BE39EE1634F4}" id="{05742A1A-AFF4-4553-8CE9-F5865460C28F}">
    <text>102840 Cliente rechzao por error 
100714 Error del cliente 
102003 Factura debia salir con credito y salio de contado
99044 Cliente devuelve no fue compatible</text>
  </threadedComment>
  <threadedComment ref="K76" dT="2026-04-10T17:17:42.16" personId="{5C20BA9F-5BE7-4D28-BC2F-BE39EE1634F4}" id="{936F21CA-7206-4431-8983-39D2D73106E7}">
    <text xml:space="preserve">103352 error en la creacion del codigo alexa </text>
  </threadedComment>
  <threadedComment ref="L76" dT="2026-04-10T17:17:42.26" personId="{5C20BA9F-5BE7-4D28-BC2F-BE39EE1634F4}" id="{860BA907-F058-4C7F-9638-86C898610C0C}">
    <text>103267 Logistica alisto mal
102902 X cierre de facturacion </text>
  </threadedComment>
  <threadedComment ref="M76" dT="2026-04-10T17:17:42.36" personId="{5C20BA9F-5BE7-4D28-BC2F-BE39EE1634F4}" id="{B9ECB056-BF8B-492F-BD3D-8C9C0CB1A063}">
    <text xml:space="preserve">103042 No se debía facturar Aleja
102077 No se envio la OC Rosmira
101920 No se envio la OC Rosmira
101921 No se envio la OC Rosmira
</text>
  </threadedComment>
  <threadedComment ref="O76" dT="2026-04-10T17:17:42.51" personId="{5C20BA9F-5BE7-4D28-BC2F-BE39EE1634F4}" id="{A292D473-97DB-4ED9-BA22-C6B6EF1FAEFC}">
    <text>103447 Error en el codigo  pidio mal
102691 Cliente no la radico 
86732 No sirbio la mercancia 
102116 No sabemos el motivo
102695 Cliente no la radico 
103082 Error de razon social
101738 Falto la OC 
103600 No les llego la factura al correo correcto solo suministraron uno 
101916 Cliente no la radico 
100555 Cliente no la radico </text>
  </threadedComment>
  <threadedComment ref="K77" dT="2026-04-10T17:17:43.21" personId="{5C20BA9F-5BE7-4D28-BC2F-BE39EE1634F4}" id="{E801CEB8-EF10-4E50-87A5-C75369CFCE64}">
    <text>103367 no se debia facturar</text>
  </threadedComment>
  <threadedComment ref="L77" dT="2026-04-10T17:17:43.31" personId="{5C20BA9F-5BE7-4D28-BC2F-BE39EE1634F4}" id="{D54312D2-F67A-4964-A01D-E7476CEAAEBB}">
    <text>103989 no se debia facturar benji 
104027 Se debia facturar con otra mercancia benji</text>
  </threadedComment>
  <threadedComment ref="M77" dT="2026-04-10T17:17:43.42" personId="{5C20BA9F-5BE7-4D28-BC2F-BE39EE1634F4}" id="{F3A05878-4978-48C7-828F-0539F9610A91}">
    <text>103488 Error en la TRM
92984 La OC estaba por una unidad y comercial envio 2
103742 Mayor valor cobrado
103899 Error en la oc 
104231 Se debia facturar con otra mercancia 
104281 Se debia facturar con otra mercancia </text>
  </threadedComment>
  <threadedComment ref="O77" dT="2026-04-10T17:17:43.56" personId="{5C20BA9F-5BE7-4D28-BC2F-BE39EE1634F4}" id="{9CFDC881-0837-4CE9-8E54-A4F1D3E551AF}">
    <text>101154 Cliente no la radico 
100273 por trm
103624 Cliente solicita NC c 38 centavos 
103036 Error Razon Social cliente envio mal la oc 
98836 Cliente no la rdico 
102282 Cliente no la radico 
103783 Falto agregar un mes cliente autoriza
103782 Falto agregar un mes cliente autoriza
103236 Se debia facturar en una sola factura 
102984 Se debia facturar en una sola factura 
99832 Cliente no la radico 
103801 Cliente pidio mal las memoria 
102490 Cliente no la radico </text>
  </threadedComment>
  <threadedComment ref="M78" dT="2026-04-10T17:17:44.38" personId="{5C20BA9F-5BE7-4D28-BC2F-BE39EE1634F4}" id="{F17F9EDA-9F2B-44AD-AC4C-51DEB0149821}">
    <text>104284 Error en la OC 
99131 Falto nuemrro deentrada de mercancia </text>
  </threadedComment>
  <threadedComment ref="N78" dT="2026-04-10T17:17:44.48" personId="{5C20BA9F-5BE7-4D28-BC2F-BE39EE1634F4}" id="{88440988-0021-44C8-A27D-E7CFB7F094A1}">
    <text>102502 no le llego factura al cliente el sistema tenia su correo</text>
  </threadedComment>
  <threadedComment ref="O78" dT="2026-04-10T17:17:44.59" personId="{5C20BA9F-5BE7-4D28-BC2F-BE39EE1634F4}" id="{1C75C592-9868-43AB-8A86-1B3FB6A80C12}">
    <text>103473 Cliente rechazo por error
104104 Rechazan x presupuesto
104103 Rechazan x presupuesto
104106 Rechazan x presupuesto
104105 Rechazan x presupuesto
103459 Mayor valor cobrado 
101502 Falto OC 
101357 No se sabe el motivo 
102692 No se sabe el motivo 
101419 No se sabe el motivo 
101420 No se sabe el motivo 
104341 No se sabe el motivo </text>
  </threadedComment>
  <threadedComment ref="K80" dT="2026-04-10T17:17:46.04" personId="{5C20BA9F-5BE7-4D28-BC2F-BE39EE1634F4}" id="{0F33E092-ED49-48BF-9DB3-DB5019DBA7DC}">
    <text>103874 Error de correo alexa</text>
  </threadedComment>
  <threadedComment ref="M80" dT="2026-04-10T17:17:46.18" personId="{5C20BA9F-5BE7-4D28-BC2F-BE39EE1634F4}" id="{60A2C9B3-89D2-42D5-B6DB-ADCBF224D38A}">
    <text>104050 X una direfencia de 1000</text>
  </threadedComment>
  <threadedComment ref="K81" dT="2026-04-10T17:17:46.88" personId="{5C20BA9F-5BE7-4D28-BC2F-BE39EE1634F4}" id="{D2B7D6C6-316A-4C77-AD11-50D383A4FAF7}">
    <text>104369 Kit salio sin iva alexa</text>
  </threadedComment>
  <threadedComment ref="M81" dT="2026-04-10T17:17:47.05" personId="{5C20BA9F-5BE7-4D28-BC2F-BE39EE1634F4}" id="{C080DEC3-6A63-4D42-B734-EA50424CBD0B}">
    <text xml:space="preserve">101059 Doble facturacion 98886 peña
102880 Se radico factura en otro mes yeison
104421 Se radico factura en otro mes yeison </text>
  </threadedComment>
  <threadedComment ref="M82" dT="2026-04-10T17:17:47.91" personId="{5C20BA9F-5BE7-4D28-BC2F-BE39EE1634F4}" id="{38BEFEBD-B3AB-48A9-8785-289E99098938}">
    <text>104701 Error en la OC </text>
  </threadedComment>
  <threadedComment ref="O82" dT="2026-04-10T17:17:48.84" personId="{5C20BA9F-5BE7-4D28-BC2F-BE39EE1634F4}" id="{3F84DF72-2D5A-4E74-8FA2-868C471D8F26}">
    <text>104787 Cliente solicita una sola factura jasbleidy
108786 Cliente solicita una sola factura jasbleidy
104192 No tiene orden de entrada peña
104330 No se sabe el motivo del rechazo  peña
104286 Error en la trm mpaola
101528 Cliente no la radico internamente acevedo
104552 Cliente rechaza x error  urrego</text>
  </threadedComment>
  <threadedComment ref="K83" dT="2026-04-10T17:17:49.50" personId="{5C20BA9F-5BE7-4D28-BC2F-BE39EE1634F4}" id="{1D541CE3-D46D-49FB-90CC-EA734AF0B2C6}">
    <text>104661 Kit salio sin iva
105110 Se facturo algo errado 4 pesos
105440 No se debia facturar </text>
  </threadedComment>
  <threadedComment ref="L83" dT="2026-04-10T17:17:49.60" personId="{5C20BA9F-5BE7-4D28-BC2F-BE39EE1634F4}" id="{BC3FA7DD-C448-452D-BE2B-02EF3593E10E}">
    <text>1056221 No se debia facturar </text>
  </threadedComment>
  <threadedComment ref="M83" dT="2026-04-10T17:17:49.71" personId="{5C20BA9F-5BE7-4D28-BC2F-BE39EE1634F4}" id="{7E54504A-F6F1-4963-8A84-EFABE4E84873}">
    <text>105354 Errror razon social
105442 Seduplico la orden de pedido
105016 Se facturo con iva y son exentos
104792 Se facturo con iva y son exentos
105483 Por cierre de facturacion
105609 No se radico la fcatura con los soportes</text>
  </threadedComment>
  <threadedComment ref="O83" dT="2026-04-10T17:17:49.85" personId="{5C20BA9F-5BE7-4D28-BC2F-BE39EE1634F4}" id="{38B6487D-D3BD-4BDA-97C5-A79CE04C6152}">
    <text>102301 Cliente solicita cambio por fecha se adjunta carta 
105081 Cliente solicita varias facturas se adjunta correo 
105157 Cliente rechaza por error 
102528 Cliente rechazo por error 
104616 Cliente no radico la factura 
104364 No sabemos el motivo del rechazo </text>
  </threadedComment>
  <threadedComment ref="K84" dT="2026-04-10T17:17:50.47" personId="{5C20BA9F-5BE7-4D28-BC2F-BE39EE1634F4}" id="{939395B2-D5A3-489A-88F8-2575EDE6F4C4}">
    <text>101714 Se envio al correo errado
101713 Se envio al correo errado
101586 Se envio al correo errado</text>
  </threadedComment>
  <threadedComment ref="L84" dT="2026-04-10T17:17:50.59" personId="{5C20BA9F-5BE7-4D28-BC2F-BE39EE1634F4}" id="{49A3D864-C78D-4A9F-80B0-9CC029FD7D8A}">
    <text>105549 Por cierre de facturacion
105648 Se facturo sin entregar mercancia
103671 Quedo mal facturado </text>
  </threadedComment>
  <threadedComment ref="M84" dT="2026-04-10T17:17:50.68" personId="{5C20BA9F-5BE7-4D28-BC2F-BE39EE1634F4}" id="{03FF5789-515C-42C7-BA3A-4B2A8B2C0D93}">
    <text>105622 Por cierre de facturacion
100607 Se facturo doble 
105432 No se radicaron los soportes para la fcaturacion 
105338 Se facturo con iva y son exentos
99026 Falto numero de entrada de mercancia
102247 Error en el correo
104462 Se facturo con iva y son exentos</text>
  </threadedComment>
  <threadedComment ref="O84" dT="2026-04-10T17:17:50.84" personId="{5C20BA9F-5BE7-4D28-BC2F-BE39EE1634F4}" id="{528269A6-56C8-4EB3-BB16-8A6D528F7F6F}">
    <text>105563 Cliente cambio la razon social
101194 Cliente no radico la factura 
103106 Recuperando datos. Espere unos segundos e intente cortar o copiar de nuevo.
104224 No sabemos el motivo del rechazo
104736 No sabemos el motivo del rechazo
104730 No sabemos el motivo del rechazo</text>
  </threadedComment>
  <threadedComment ref="K85" dT="2026-04-10T17:17:51.44" personId="{5C20BA9F-5BE7-4D28-BC2F-BE39EE1634F4}" id="{B1DF2858-7756-4735-BAEC-79254B79EB42}">
    <text>106491 SE CREO CODIGO CON IVA</text>
  </threadedComment>
  <threadedComment ref="L85" dT="2026-04-10T17:17:51.55" personId="{5C20BA9F-5BE7-4D28-BC2F-BE39EE1634F4}" id="{4E786FCB-DCED-4CEC-BB55-ACA705E62EC8}">
    <text xml:space="preserve">105684 NO LLEGO LA MERCANCIA </text>
  </threadedComment>
  <threadedComment ref="M85" dT="2026-04-10T17:17:51.67" personId="{5C20BA9F-5BE7-4D28-BC2F-BE39EE1634F4}" id="{A5923F17-EC75-4A15-8895-4913DDF4C71D}">
    <text>106098 Falto agregar in par de guantes
105693 Falto agregar un producto
105356 Error en razon social
106563 Debia salir con otra remision 
105604 Fuera de la fecha de cierre</text>
  </threadedComment>
  <threadedComment ref="O85" dT="2026-04-10T17:17:51.80" personId="{5C20BA9F-5BE7-4D28-BC2F-BE39EE1634F4}" id="{0F5A792F-CD01-4E5C-8B3E-00692ED1C8FA}">
    <text xml:space="preserve">98509 Cliente no la radico 
98377 Cliente no la radico 
102160 Cliente no la radico 
102140 Cliente no radico la factura
101191 Cliente no radico la factura
100172 Cliente no radico la factura
102183 Cliente cambio correo y no informo
</text>
  </threadedComment>
  <threadedComment ref="M86" dT="2026-04-10T17:17:52.51" personId="{5C20BA9F-5BE7-4D28-BC2F-BE39EE1634F4}" id="{37F32791-424B-4553-A90E-823FF48F1B9A}">
    <text>106735 Se cobro menos el monitor</text>
  </threadedComment>
  <threadedComment ref="O86" dT="2026-04-10T17:17:52.66" personId="{5C20BA9F-5BE7-4D28-BC2F-BE39EE1634F4}" id="{938AA443-B00C-4004-8367-513EBC45BF0E}">
    <text>106637 Error en los codigos 
100383 Cliente no radico la factura
106201 Cliente envio mal los datos de entrada de mercancia
98055 Cliente no radico la factura
104177 Cliente no la radico </text>
  </threadedComment>
  <threadedComment ref="K87" dT="2026-04-10T17:17:53.31" personId="{5C20BA9F-5BE7-4D28-BC2F-BE39EE1634F4}" id="{86BE8F6A-B2E7-4F21-B448-2614688A14B2}">
    <text>106050 Se facturo producto sin iva 
107390 Eerror en los valores iva no cuadra 
106578 Se facturaron proctos doble vez</text>
  </threadedComment>
  <threadedComment ref="M87" dT="2026-04-10T17:17:53.46" personId="{5C20BA9F-5BE7-4D28-BC2F-BE39EE1634F4}" id="{EFA742A4-5AA2-4C99-8DB8-C09B216C11F1}">
    <text xml:space="preserve">107090 Error de razon social 
105712 Mayor valor cobrado 
105714 Mayor valor cobrado 
105714 Mayor valor cobrado 
105711 Mayor valor cobrado 
106289 Mayor valor cobrado 
105703 Mayor valor cobrado 
105704 Mayor valor cobrado 
105341 Mayor valor cobrado 
105709 Mayor valor cobrado 
105706 Mayor valor cobrado 
105708 Mayor valor cobrado 
105710 Mayor valor cobrado 
105715 Mayor valor cobrado 
105701 Mayor valor cobrado 
105707 Mayor valor cobrado 
106292 Mayor valor cobrado 
105716 Mayor valor cobrado 
105695 Mayor valor cobrado 
105694 Mayor valor cobrado 
105697 Mayor valor cobrado 
105691 Mayor valor cobrado 
105696 Mayor valor cobrado 
106291 Mayor valor cobrado 
107272 Comercial envio pedido equivocado
103209 Se envio factura al correo erroneo ya que comercial no actualizo datos cliente viejo 
106367 Mayor valor cobrado 
</text>
  </threadedComment>
  <threadedComment ref="O87" dT="2026-04-10T17:17:53.61" personId="{5C20BA9F-5BE7-4D28-BC2F-BE39EE1634F4}" id="{45BED805-5DDA-4D8A-8ADC-135FFCB66751}">
    <text xml:space="preserve">107051 Cliente no la radico  
105154 Cliente solicita la factura con fecha de Febrero
105488 Clienterechaza por error
106231 Cambio de razon social 
106466 Cambio de razon social 
106255 Error de razon social 
106448 No sabemos el motivo 
102021 Cliente no la radico 
101138 Cliente no la rdico 
106556 Cambio de razon social 
105852 Cambio de razon social 
106560 Cambio de razon social 
102519 Cliente no la radico 
106915 Cliente solicita que se facture un producto aparte 
103239 Error de razon social 
102415 Error de razon social 
109631 Cambio de razon social 
107353 Por cierre de facturacion cliente envio comunicado tarde 
107315 Por cierre de facturacion cliente envio comunicado tarde 
107394 Por cierre de facturacion cliente envio comunicado tarde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98"/>
  <sheetViews>
    <sheetView tabSelected="1" topLeftCell="X1" zoomScale="85" zoomScaleNormal="85" zoomScaleSheetLayoutView="160" workbookViewId="0">
      <pane ySplit="4" topLeftCell="A79" activePane="bottomLeft" state="frozen"/>
      <selection pane="bottomLeft" activeCell="O4" sqref="O4"/>
    </sheetView>
  </sheetViews>
  <sheetFormatPr baseColWidth="10" defaultColWidth="9.1796875" defaultRowHeight="15" customHeight="1" x14ac:dyDescent="0.35"/>
  <cols>
    <col min="1" max="1" width="15.453125" customWidth="1"/>
    <col min="2" max="2" width="15.7265625" bestFit="1" customWidth="1"/>
    <col min="3" max="3" width="17.1796875" customWidth="1"/>
    <col min="4" max="4" width="15" customWidth="1"/>
    <col min="5" max="6" width="14.453125" customWidth="1"/>
    <col min="7" max="7" width="14.26953125" customWidth="1"/>
    <col min="8" max="8" width="13.54296875" customWidth="1"/>
    <col min="9" max="9" width="12.453125" customWidth="1"/>
    <col min="10" max="10" width="12.1796875" customWidth="1"/>
    <col min="11" max="11" width="10.1796875" customWidth="1"/>
    <col min="12" max="14" width="15.1796875" customWidth="1"/>
    <col min="15" max="15" width="15.81640625" customWidth="1"/>
    <col min="16" max="16" width="15.54296875" customWidth="1"/>
    <col min="17" max="18" width="16" customWidth="1"/>
    <col min="19" max="19" width="15.1796875" customWidth="1"/>
    <col min="20" max="20" width="18.7265625" customWidth="1"/>
    <col min="21" max="21" width="21.453125" customWidth="1"/>
    <col min="22" max="22" width="20.26953125" customWidth="1"/>
    <col min="23" max="23" width="17.81640625" customWidth="1"/>
    <col min="24" max="24" width="15.7265625" customWidth="1"/>
    <col min="25" max="25" width="21.26953125" customWidth="1"/>
    <col min="26" max="26" width="32.81640625" style="2" customWidth="1"/>
    <col min="27" max="27" width="28.26953125" style="2" bestFit="1" customWidth="1"/>
    <col min="28" max="28" width="26.7265625" style="2" customWidth="1"/>
    <col min="29" max="29" width="25.7265625" style="2" bestFit="1" customWidth="1"/>
    <col min="30" max="30" width="26.1796875" style="2" bestFit="1" customWidth="1"/>
    <col min="31" max="32" width="24.1796875" style="2" bestFit="1" customWidth="1"/>
    <col min="33" max="33" width="24.453125" customWidth="1"/>
    <col min="34" max="34" width="17.1796875" bestFit="1" customWidth="1"/>
    <col min="35" max="35" width="22.453125" style="2" bestFit="1" customWidth="1"/>
    <col min="36" max="36" width="22" style="2" bestFit="1" customWidth="1"/>
  </cols>
  <sheetData>
    <row r="1" spans="1:36" ht="15" customHeight="1" x14ac:dyDescent="0.35">
      <c r="H1" t="s">
        <v>0</v>
      </c>
      <c r="Z1" s="25" t="s">
        <v>1</v>
      </c>
    </row>
    <row r="3" spans="1:36" ht="14.5" x14ac:dyDescent="0.35">
      <c r="H3">
        <f>AVERAGE(H6:H9)</f>
        <v>19.75</v>
      </c>
      <c r="L3">
        <f t="shared" ref="L3:S3" si="0">AVERAGE(L6:L9)</f>
        <v>13.5</v>
      </c>
      <c r="M3">
        <f t="shared" si="0"/>
        <v>2.25</v>
      </c>
      <c r="O3">
        <f t="shared" si="0"/>
        <v>4</v>
      </c>
      <c r="P3">
        <f t="shared" si="0"/>
        <v>0.5</v>
      </c>
      <c r="Q3">
        <f t="shared" si="0"/>
        <v>9.5</v>
      </c>
      <c r="S3">
        <f t="shared" si="0"/>
        <v>6.25</v>
      </c>
      <c r="Z3" s="2">
        <f>AVERAGE(Z6:Z9)</f>
        <v>1766005529.75</v>
      </c>
      <c r="AA3" s="2">
        <f t="shared" ref="AA3:AF3" si="1">AVERAGE(AA6:AA9)</f>
        <v>78779964.25</v>
      </c>
      <c r="AB3" s="2">
        <f t="shared" si="1"/>
        <v>69480812.25</v>
      </c>
      <c r="AC3" s="2">
        <f t="shared" si="1"/>
        <v>14218981.25</v>
      </c>
      <c r="AD3" s="2">
        <f t="shared" si="1"/>
        <v>38680699</v>
      </c>
      <c r="AE3" s="2">
        <f t="shared" si="1"/>
        <v>4721418.5</v>
      </c>
      <c r="AF3" s="2">
        <f t="shared" si="1"/>
        <v>1547930</v>
      </c>
    </row>
    <row r="4" spans="1:36" s="1" customFormat="1" ht="58" x14ac:dyDescent="0.35">
      <c r="A4" s="12" t="s">
        <v>2</v>
      </c>
      <c r="B4" s="13" t="s">
        <v>3</v>
      </c>
      <c r="C4" s="14" t="s">
        <v>4</v>
      </c>
      <c r="D4" s="14" t="s">
        <v>5</v>
      </c>
      <c r="E4" s="14" t="s">
        <v>6</v>
      </c>
      <c r="F4" s="14" t="s">
        <v>7</v>
      </c>
      <c r="G4" s="14" t="s">
        <v>8</v>
      </c>
      <c r="H4" s="26" t="s">
        <v>9</v>
      </c>
      <c r="I4" s="23" t="s">
        <v>10</v>
      </c>
      <c r="J4" s="23" t="s">
        <v>11</v>
      </c>
      <c r="K4" s="23" t="s">
        <v>12</v>
      </c>
      <c r="L4" s="26" t="s">
        <v>13</v>
      </c>
      <c r="M4" s="14" t="s">
        <v>14</v>
      </c>
      <c r="N4" s="14" t="s">
        <v>15</v>
      </c>
      <c r="O4" s="14" t="s">
        <v>16</v>
      </c>
      <c r="P4" s="14" t="s">
        <v>17</v>
      </c>
      <c r="Q4" s="14" t="s">
        <v>18</v>
      </c>
      <c r="R4" s="14" t="s">
        <v>19</v>
      </c>
      <c r="S4" s="29" t="s">
        <v>20</v>
      </c>
      <c r="T4" s="29" t="s">
        <v>21</v>
      </c>
      <c r="U4" s="24" t="s">
        <v>22</v>
      </c>
      <c r="V4" s="24" t="s">
        <v>23</v>
      </c>
      <c r="W4" s="30" t="s">
        <v>24</v>
      </c>
      <c r="X4" s="15" t="s">
        <v>25</v>
      </c>
      <c r="Y4" s="15" t="s">
        <v>26</v>
      </c>
      <c r="Z4" s="16" t="s">
        <v>27</v>
      </c>
      <c r="AA4" s="16" t="s">
        <v>28</v>
      </c>
      <c r="AB4" s="16" t="s">
        <v>29</v>
      </c>
      <c r="AC4" s="16" t="s">
        <v>30</v>
      </c>
      <c r="AD4" s="16" t="s">
        <v>31</v>
      </c>
      <c r="AE4" s="16" t="s">
        <v>32</v>
      </c>
      <c r="AF4" s="17" t="s">
        <v>33</v>
      </c>
      <c r="AH4" t="s">
        <v>34</v>
      </c>
      <c r="AI4" s="69" t="s">
        <v>35</v>
      </c>
      <c r="AJ4" s="69" t="s">
        <v>36</v>
      </c>
    </row>
    <row r="5" spans="1:36" s="1" customFormat="1" ht="14.5" x14ac:dyDescent="0.35">
      <c r="A5" s="9">
        <v>45475</v>
      </c>
      <c r="B5" s="5">
        <v>45482</v>
      </c>
      <c r="C5" s="3">
        <v>668</v>
      </c>
      <c r="D5" s="3"/>
      <c r="E5" s="3"/>
      <c r="F5" s="3"/>
      <c r="G5" s="3"/>
      <c r="H5" s="3">
        <f t="shared" ref="H5:H18" si="2">+L5+S5</f>
        <v>27</v>
      </c>
      <c r="I5" s="3"/>
      <c r="J5" s="3"/>
      <c r="K5" s="3"/>
      <c r="L5" s="3">
        <v>22</v>
      </c>
      <c r="M5" s="3">
        <v>6</v>
      </c>
      <c r="N5" s="3"/>
      <c r="O5" s="3">
        <v>10</v>
      </c>
      <c r="P5" s="3">
        <v>0</v>
      </c>
      <c r="Q5" s="3">
        <v>11</v>
      </c>
      <c r="R5" s="3"/>
      <c r="S5" s="3">
        <v>5</v>
      </c>
      <c r="T5" s="3">
        <f>+U5+V5</f>
        <v>6</v>
      </c>
      <c r="U5" s="3">
        <v>0</v>
      </c>
      <c r="V5" s="3">
        <v>6</v>
      </c>
      <c r="W5" s="3">
        <f t="shared" ref="W5:W18" si="3">+X5+Y5</f>
        <v>2</v>
      </c>
      <c r="X5" s="3">
        <v>2</v>
      </c>
      <c r="Y5" s="3">
        <v>0</v>
      </c>
      <c r="Z5" s="4">
        <v>2434426475</v>
      </c>
      <c r="AA5" s="4">
        <v>89550463</v>
      </c>
      <c r="AB5" s="4"/>
      <c r="AC5" s="4">
        <v>4558004</v>
      </c>
      <c r="AD5" s="4">
        <v>76231929</v>
      </c>
      <c r="AE5" s="4"/>
      <c r="AF5" s="11"/>
      <c r="AH5" s="68">
        <f>Tabla1[[#This Row],[FECHA FINAL]]</f>
        <v>45482</v>
      </c>
      <c r="AI5" s="69">
        <f>+Tabla1[[#This Row],[VALOR TOTAL DE FACTURAS EMITIDAS ]]</f>
        <v>2434426475</v>
      </c>
      <c r="AJ5" s="69">
        <f>+Tabla1[[#This Row],[VALOR NOTAS CREDITO ]]</f>
        <v>89550463</v>
      </c>
    </row>
    <row r="6" spans="1:36" ht="14.5" x14ac:dyDescent="0.35">
      <c r="A6" s="9">
        <v>45483</v>
      </c>
      <c r="B6" s="5">
        <v>45489</v>
      </c>
      <c r="C6" s="3">
        <v>451</v>
      </c>
      <c r="D6" s="3">
        <f>+C6-C5</f>
        <v>-217</v>
      </c>
      <c r="E6" s="3"/>
      <c r="F6" s="3"/>
      <c r="G6" s="3"/>
      <c r="H6" s="3">
        <f t="shared" si="2"/>
        <v>14</v>
      </c>
      <c r="I6" s="3"/>
      <c r="J6" s="3"/>
      <c r="K6" s="3"/>
      <c r="L6" s="3">
        <v>11</v>
      </c>
      <c r="M6" s="3">
        <v>3</v>
      </c>
      <c r="N6" s="3"/>
      <c r="O6" s="3">
        <v>4</v>
      </c>
      <c r="P6" s="3">
        <v>0</v>
      </c>
      <c r="Q6" s="3">
        <v>6</v>
      </c>
      <c r="R6" s="3"/>
      <c r="S6" s="3">
        <v>3</v>
      </c>
      <c r="T6" s="3">
        <f>+U6+V6</f>
        <v>6</v>
      </c>
      <c r="U6" s="3">
        <v>0</v>
      </c>
      <c r="V6" s="3">
        <v>6</v>
      </c>
      <c r="W6" s="3">
        <f t="shared" si="3"/>
        <v>2</v>
      </c>
      <c r="X6" s="3">
        <v>2</v>
      </c>
      <c r="Y6" s="3">
        <v>0</v>
      </c>
      <c r="Z6" s="4">
        <v>1781607021</v>
      </c>
      <c r="AA6" s="4">
        <v>57482781</v>
      </c>
      <c r="AB6" s="4">
        <v>56481631</v>
      </c>
      <c r="AC6" s="4">
        <v>154700</v>
      </c>
      <c r="AD6" s="4">
        <v>57328081</v>
      </c>
      <c r="AE6" s="4">
        <v>841330</v>
      </c>
      <c r="AF6" s="11">
        <v>2891069</v>
      </c>
      <c r="AH6" s="68">
        <f>Tabla1[[#This Row],[FECHA FINAL]]</f>
        <v>45489</v>
      </c>
      <c r="AI6" s="69">
        <f>+Tabla1[[#This Row],[VALOR TOTAL DE FACTURAS EMITIDAS ]]</f>
        <v>1781607021</v>
      </c>
      <c r="AJ6" s="69">
        <f>+Tabla1[[#This Row],[VALOR NOTAS CREDITO ]]</f>
        <v>57482781</v>
      </c>
    </row>
    <row r="7" spans="1:36" ht="14.5" x14ac:dyDescent="0.35">
      <c r="A7" s="9">
        <v>45490</v>
      </c>
      <c r="B7" s="5">
        <v>45496</v>
      </c>
      <c r="C7" s="3">
        <v>443</v>
      </c>
      <c r="D7" s="3">
        <f>+C7-C6</f>
        <v>-8</v>
      </c>
      <c r="E7" s="3"/>
      <c r="F7" s="3"/>
      <c r="G7" s="3"/>
      <c r="H7" s="3">
        <f t="shared" si="2"/>
        <v>25</v>
      </c>
      <c r="I7" s="3"/>
      <c r="J7" s="3"/>
      <c r="K7" s="3"/>
      <c r="L7" s="3">
        <v>15</v>
      </c>
      <c r="M7" s="3">
        <v>3</v>
      </c>
      <c r="N7" s="3"/>
      <c r="O7" s="3">
        <v>4</v>
      </c>
      <c r="P7" s="3">
        <v>0</v>
      </c>
      <c r="Q7" s="3">
        <v>17</v>
      </c>
      <c r="R7" s="3"/>
      <c r="S7" s="3">
        <f>+T7+W7</f>
        <v>10</v>
      </c>
      <c r="T7" s="3">
        <f t="shared" ref="T7" si="4">+U7+V7</f>
        <v>8</v>
      </c>
      <c r="U7" s="3">
        <v>0</v>
      </c>
      <c r="V7" s="3">
        <v>8</v>
      </c>
      <c r="W7" s="3">
        <f t="shared" si="3"/>
        <v>2</v>
      </c>
      <c r="X7" s="3">
        <v>2</v>
      </c>
      <c r="Y7" s="3">
        <v>0</v>
      </c>
      <c r="Z7" s="4">
        <v>1744411864</v>
      </c>
      <c r="AA7" s="4">
        <v>93475643</v>
      </c>
      <c r="AB7" s="4">
        <v>64360359</v>
      </c>
      <c r="AC7" s="4">
        <v>0</v>
      </c>
      <c r="AD7" s="4">
        <v>4093779</v>
      </c>
      <c r="AE7" s="4">
        <v>14188518</v>
      </c>
      <c r="AF7" s="11">
        <v>375445</v>
      </c>
      <c r="AH7" s="68">
        <f>Tabla1[[#This Row],[FECHA FINAL]]</f>
        <v>45496</v>
      </c>
      <c r="AI7" s="69">
        <f>+Tabla1[[#This Row],[VALOR TOTAL DE FACTURAS EMITIDAS ]]</f>
        <v>1744411864</v>
      </c>
      <c r="AJ7" s="69">
        <f>+Tabla1[[#This Row],[VALOR NOTAS CREDITO ]]</f>
        <v>93475643</v>
      </c>
    </row>
    <row r="8" spans="1:36" ht="14.5" x14ac:dyDescent="0.35">
      <c r="A8" s="9">
        <v>45497</v>
      </c>
      <c r="B8" s="5">
        <v>45503</v>
      </c>
      <c r="C8" s="3">
        <v>128</v>
      </c>
      <c r="D8" s="3">
        <f t="shared" ref="D8:D18" si="5">+C8-C7</f>
        <v>-315</v>
      </c>
      <c r="E8" s="3"/>
      <c r="F8" s="3"/>
      <c r="G8" s="3"/>
      <c r="H8" s="3">
        <f t="shared" si="2"/>
        <v>20</v>
      </c>
      <c r="I8" s="3"/>
      <c r="J8" s="3"/>
      <c r="K8" s="3"/>
      <c r="L8" s="3">
        <f t="shared" ref="L8:L18" si="6">SUM(M8:Q8)</f>
        <v>11</v>
      </c>
      <c r="M8" s="3">
        <v>1</v>
      </c>
      <c r="N8" s="3"/>
      <c r="O8" s="3">
        <v>0</v>
      </c>
      <c r="P8" s="3">
        <v>0</v>
      </c>
      <c r="Q8" s="3">
        <v>10</v>
      </c>
      <c r="R8" s="3"/>
      <c r="S8" s="3">
        <v>9</v>
      </c>
      <c r="T8" s="3">
        <f>+U8+V8</f>
        <v>2</v>
      </c>
      <c r="U8" s="3">
        <v>1</v>
      </c>
      <c r="V8" s="3">
        <v>1</v>
      </c>
      <c r="W8" s="3">
        <f t="shared" si="3"/>
        <v>6</v>
      </c>
      <c r="X8" s="3">
        <v>6</v>
      </c>
      <c r="Y8" s="3">
        <v>0</v>
      </c>
      <c r="Z8" s="4">
        <v>611297854</v>
      </c>
      <c r="AA8" s="4">
        <v>8581926</v>
      </c>
      <c r="AB8" s="4">
        <f>151130+4499152+2858816</f>
        <v>7509098</v>
      </c>
      <c r="AC8" s="4">
        <v>0</v>
      </c>
      <c r="AD8" s="4">
        <v>450000</v>
      </c>
      <c r="AE8" s="4">
        <f>151130+196350</f>
        <v>347480</v>
      </c>
      <c r="AF8" s="11">
        <f>50456+11114+54488+9250+257040+43858</f>
        <v>426206</v>
      </c>
      <c r="AH8" s="68">
        <f>Tabla1[[#This Row],[FECHA FINAL]]</f>
        <v>45503</v>
      </c>
      <c r="AI8" s="69">
        <f>+Tabla1[[#This Row],[VALOR TOTAL DE FACTURAS EMITIDAS ]]</f>
        <v>611297854</v>
      </c>
      <c r="AJ8" s="69">
        <f>+Tabla1[[#This Row],[VALOR NOTAS CREDITO ]]</f>
        <v>8581926</v>
      </c>
    </row>
    <row r="9" spans="1:36" ht="14.5" x14ac:dyDescent="0.35">
      <c r="A9" s="10">
        <v>45504</v>
      </c>
      <c r="B9" s="7">
        <v>45510</v>
      </c>
      <c r="C9" s="3">
        <v>577</v>
      </c>
      <c r="D9" s="3">
        <f t="shared" si="5"/>
        <v>449</v>
      </c>
      <c r="E9" s="3"/>
      <c r="F9" s="3"/>
      <c r="G9" s="3"/>
      <c r="H9" s="3">
        <f t="shared" si="2"/>
        <v>20</v>
      </c>
      <c r="I9" s="3"/>
      <c r="J9" s="3"/>
      <c r="K9" s="3"/>
      <c r="L9" s="3">
        <f t="shared" si="6"/>
        <v>17</v>
      </c>
      <c r="M9" s="3">
        <v>2</v>
      </c>
      <c r="N9" s="3"/>
      <c r="O9" s="3">
        <v>8</v>
      </c>
      <c r="P9" s="3">
        <v>2</v>
      </c>
      <c r="Q9" s="3">
        <v>5</v>
      </c>
      <c r="R9" s="3"/>
      <c r="S9" s="3">
        <f t="shared" ref="S9" si="7">+T9+W9</f>
        <v>3</v>
      </c>
      <c r="T9" s="3">
        <f t="shared" ref="T9:T18" si="8">+U9+V9</f>
        <v>2</v>
      </c>
      <c r="U9" s="3">
        <v>0</v>
      </c>
      <c r="V9" s="3">
        <v>2</v>
      </c>
      <c r="W9" s="3">
        <f t="shared" si="3"/>
        <v>1</v>
      </c>
      <c r="X9" s="3">
        <v>0</v>
      </c>
      <c r="Y9" s="3">
        <v>1</v>
      </c>
      <c r="Z9" s="4">
        <v>2926705380</v>
      </c>
      <c r="AA9" s="4">
        <v>155579507</v>
      </c>
      <c r="AB9" s="4">
        <v>149572161</v>
      </c>
      <c r="AC9" s="4">
        <f>54338400+2382825</f>
        <v>56721225</v>
      </c>
      <c r="AD9" s="4">
        <v>92850936</v>
      </c>
      <c r="AE9" s="4">
        <f>2581110+927236</f>
        <v>3508346</v>
      </c>
      <c r="AF9" s="11">
        <v>2499000</v>
      </c>
      <c r="AH9" s="68">
        <f>Tabla1[[#This Row],[FECHA FINAL]]</f>
        <v>45510</v>
      </c>
      <c r="AI9" s="69">
        <f>+Tabla1[[#This Row],[VALOR TOTAL DE FACTURAS EMITIDAS ]]</f>
        <v>2926705380</v>
      </c>
      <c r="AJ9" s="69">
        <f>+Tabla1[[#This Row],[VALOR NOTAS CREDITO ]]</f>
        <v>155579507</v>
      </c>
    </row>
    <row r="10" spans="1:36" ht="14.5" x14ac:dyDescent="0.35">
      <c r="A10" s="10">
        <v>45511</v>
      </c>
      <c r="B10" s="7">
        <v>45517</v>
      </c>
      <c r="C10" s="3">
        <v>465</v>
      </c>
      <c r="D10" s="3">
        <f t="shared" si="5"/>
        <v>-112</v>
      </c>
      <c r="E10" s="3">
        <v>4257</v>
      </c>
      <c r="F10" s="3">
        <v>4276</v>
      </c>
      <c r="G10" s="3">
        <f t="shared" ref="G10:G16" si="9">+F10-E10+1</f>
        <v>20</v>
      </c>
      <c r="H10" s="3">
        <f>+L10+S10</f>
        <v>20</v>
      </c>
      <c r="I10" s="3"/>
      <c r="J10" s="3"/>
      <c r="K10" s="3"/>
      <c r="L10" s="3">
        <f t="shared" si="6"/>
        <v>14</v>
      </c>
      <c r="M10" s="3">
        <v>6</v>
      </c>
      <c r="N10" s="3"/>
      <c r="O10" s="3">
        <v>3</v>
      </c>
      <c r="P10" s="3">
        <v>0</v>
      </c>
      <c r="Q10" s="3">
        <v>5</v>
      </c>
      <c r="R10" s="3"/>
      <c r="S10" s="3">
        <f t="shared" ref="S10:S18" si="10">+T10+W10</f>
        <v>6</v>
      </c>
      <c r="T10" s="3">
        <f t="shared" si="8"/>
        <v>2</v>
      </c>
      <c r="U10" s="3">
        <v>0</v>
      </c>
      <c r="V10" s="3">
        <v>2</v>
      </c>
      <c r="W10" s="3">
        <f t="shared" si="3"/>
        <v>4</v>
      </c>
      <c r="X10" s="3">
        <v>3</v>
      </c>
      <c r="Y10" s="3">
        <v>1</v>
      </c>
      <c r="Z10" s="4">
        <v>1294428975</v>
      </c>
      <c r="AA10" s="4">
        <v>37689117</v>
      </c>
      <c r="AB10" s="4">
        <v>35929601</v>
      </c>
      <c r="AC10" s="4">
        <v>25510750</v>
      </c>
      <c r="AD10" s="4">
        <v>9336145</v>
      </c>
      <c r="AE10" s="4">
        <f>838950+9256</f>
        <v>848206</v>
      </c>
      <c r="AF10" s="11">
        <f>164220+115727.5+66111.64+64260</f>
        <v>410319.14</v>
      </c>
      <c r="AH10" s="68">
        <f>Tabla1[[#This Row],[FECHA FINAL]]</f>
        <v>45517</v>
      </c>
      <c r="AI10" s="69">
        <f>+Tabla1[[#This Row],[VALOR TOTAL DE FACTURAS EMITIDAS ]]</f>
        <v>1294428975</v>
      </c>
      <c r="AJ10" s="69">
        <f>+Tabla1[[#This Row],[VALOR NOTAS CREDITO ]]</f>
        <v>37689117</v>
      </c>
    </row>
    <row r="11" spans="1:36" ht="14.5" x14ac:dyDescent="0.35">
      <c r="A11" s="10">
        <f>B10+1</f>
        <v>45518</v>
      </c>
      <c r="B11" s="7">
        <f t="shared" ref="B11:B18" si="11">A11+6</f>
        <v>45524</v>
      </c>
      <c r="C11" s="3">
        <v>409</v>
      </c>
      <c r="D11" s="3">
        <f t="shared" si="5"/>
        <v>-56</v>
      </c>
      <c r="E11" s="3">
        <v>4277</v>
      </c>
      <c r="F11" s="3">
        <v>4292</v>
      </c>
      <c r="G11" s="3">
        <f t="shared" si="9"/>
        <v>16</v>
      </c>
      <c r="H11" s="3">
        <f t="shared" si="2"/>
        <v>16</v>
      </c>
      <c r="I11" s="3"/>
      <c r="J11" s="3"/>
      <c r="K11" s="3"/>
      <c r="L11" s="3">
        <f t="shared" si="6"/>
        <v>12</v>
      </c>
      <c r="M11" s="3">
        <v>3</v>
      </c>
      <c r="N11" s="3"/>
      <c r="O11" s="3">
        <v>6</v>
      </c>
      <c r="P11" s="3">
        <v>0</v>
      </c>
      <c r="Q11" s="3">
        <v>3</v>
      </c>
      <c r="R11" s="3"/>
      <c r="S11" s="3">
        <f t="shared" si="10"/>
        <v>4</v>
      </c>
      <c r="T11" s="3">
        <f t="shared" si="8"/>
        <v>1</v>
      </c>
      <c r="U11" s="3">
        <v>0</v>
      </c>
      <c r="V11" s="3">
        <v>1</v>
      </c>
      <c r="W11" s="3">
        <f t="shared" si="3"/>
        <v>3</v>
      </c>
      <c r="X11" s="3">
        <v>2</v>
      </c>
      <c r="Y11" s="3">
        <v>1</v>
      </c>
      <c r="Z11" s="4">
        <v>1420404107</v>
      </c>
      <c r="AA11" s="4">
        <v>98979028.159999996</v>
      </c>
      <c r="AB11" s="4">
        <v>97622766.120000005</v>
      </c>
      <c r="AC11" s="4">
        <v>14366870</v>
      </c>
      <c r="AD11" s="4">
        <v>22165843</v>
      </c>
      <c r="AE11" s="4">
        <v>1140186.6000000001</v>
      </c>
      <c r="AF11" s="11">
        <f>3124.44+166540.5+46410</f>
        <v>216074.94</v>
      </c>
      <c r="AH11" s="68">
        <f>Tabla1[[#This Row],[FECHA FINAL]]</f>
        <v>45524</v>
      </c>
      <c r="AI11" s="69">
        <f>+Tabla1[[#This Row],[VALOR TOTAL DE FACTURAS EMITIDAS ]]</f>
        <v>1420404107</v>
      </c>
      <c r="AJ11" s="69">
        <f>+Tabla1[[#This Row],[VALOR NOTAS CREDITO ]]</f>
        <v>98979028.159999996</v>
      </c>
    </row>
    <row r="12" spans="1:36" ht="14.5" x14ac:dyDescent="0.35">
      <c r="A12" s="10">
        <f t="shared" ref="A12:A18" si="12">B11+1</f>
        <v>45525</v>
      </c>
      <c r="B12" s="7">
        <f t="shared" si="11"/>
        <v>45531</v>
      </c>
      <c r="C12" s="3">
        <v>275</v>
      </c>
      <c r="D12" s="3">
        <f t="shared" si="5"/>
        <v>-134</v>
      </c>
      <c r="E12" s="3">
        <v>4293</v>
      </c>
      <c r="F12" s="3">
        <v>4306</v>
      </c>
      <c r="G12" s="3">
        <f t="shared" si="9"/>
        <v>14</v>
      </c>
      <c r="H12" s="3">
        <f t="shared" si="2"/>
        <v>14</v>
      </c>
      <c r="I12" s="3"/>
      <c r="J12" s="3"/>
      <c r="K12" s="3"/>
      <c r="L12" s="3">
        <f t="shared" si="6"/>
        <v>12</v>
      </c>
      <c r="M12" s="3">
        <v>3</v>
      </c>
      <c r="N12" s="3"/>
      <c r="O12" s="3">
        <v>7</v>
      </c>
      <c r="P12" s="3">
        <v>0</v>
      </c>
      <c r="Q12" s="3">
        <v>2</v>
      </c>
      <c r="R12" s="3"/>
      <c r="S12" s="3">
        <f t="shared" si="10"/>
        <v>2</v>
      </c>
      <c r="T12" s="3">
        <f t="shared" si="8"/>
        <v>1</v>
      </c>
      <c r="U12" s="3">
        <v>0</v>
      </c>
      <c r="V12" s="3">
        <v>1</v>
      </c>
      <c r="W12" s="3">
        <f t="shared" si="3"/>
        <v>1</v>
      </c>
      <c r="X12" s="3">
        <v>0</v>
      </c>
      <c r="Y12" s="3">
        <v>1</v>
      </c>
      <c r="Z12" s="4">
        <v>1533791399</v>
      </c>
      <c r="AA12" s="4">
        <v>30783667</v>
      </c>
      <c r="AB12" s="4">
        <v>26901650</v>
      </c>
      <c r="AC12" s="4">
        <v>4304640</v>
      </c>
      <c r="AD12" s="4">
        <v>21389160</v>
      </c>
      <c r="AE12" s="4">
        <v>157316</v>
      </c>
      <c r="AF12" s="11">
        <v>3724700</v>
      </c>
      <c r="AH12" s="68">
        <f>Tabla1[[#This Row],[FECHA FINAL]]</f>
        <v>45531</v>
      </c>
      <c r="AI12" s="69">
        <f>+Tabla1[[#This Row],[VALOR TOTAL DE FACTURAS EMITIDAS ]]</f>
        <v>1533791399</v>
      </c>
      <c r="AJ12" s="69">
        <f>+Tabla1[[#This Row],[VALOR NOTAS CREDITO ]]</f>
        <v>30783667</v>
      </c>
    </row>
    <row r="13" spans="1:36" ht="14.5" x14ac:dyDescent="0.35">
      <c r="A13" s="10">
        <f t="shared" si="12"/>
        <v>45532</v>
      </c>
      <c r="B13" s="7">
        <f t="shared" si="11"/>
        <v>45538</v>
      </c>
      <c r="C13" s="3">
        <v>449</v>
      </c>
      <c r="D13" s="3">
        <f t="shared" si="5"/>
        <v>174</v>
      </c>
      <c r="E13" s="3">
        <v>4307</v>
      </c>
      <c r="F13" s="3">
        <v>4334</v>
      </c>
      <c r="G13" s="3">
        <f t="shared" si="9"/>
        <v>28</v>
      </c>
      <c r="H13" s="3">
        <f>+L13+S13</f>
        <v>28</v>
      </c>
      <c r="I13" s="3"/>
      <c r="J13" s="3"/>
      <c r="K13" s="3"/>
      <c r="L13" s="3">
        <f t="shared" si="6"/>
        <v>18</v>
      </c>
      <c r="M13" s="3">
        <v>4</v>
      </c>
      <c r="N13" s="3"/>
      <c r="O13" s="3">
        <v>8</v>
      </c>
      <c r="P13" s="3">
        <v>0</v>
      </c>
      <c r="Q13" s="3">
        <v>6</v>
      </c>
      <c r="R13" s="3"/>
      <c r="S13" s="3">
        <f>+T13+W13</f>
        <v>10</v>
      </c>
      <c r="T13" s="3">
        <f t="shared" si="8"/>
        <v>0</v>
      </c>
      <c r="U13" s="3">
        <v>0</v>
      </c>
      <c r="V13" s="3">
        <v>0</v>
      </c>
      <c r="W13" s="3">
        <f t="shared" si="3"/>
        <v>10</v>
      </c>
      <c r="X13" s="3">
        <v>10</v>
      </c>
      <c r="Y13" s="3">
        <v>0</v>
      </c>
      <c r="Z13" s="4">
        <v>2034851461</v>
      </c>
      <c r="AA13" s="4">
        <v>99162776</v>
      </c>
      <c r="AB13" s="4">
        <v>95435994</v>
      </c>
      <c r="AC13" s="4">
        <v>58255600</v>
      </c>
      <c r="AD13" s="4">
        <v>10156797</v>
      </c>
      <c r="AE13" s="4">
        <v>0</v>
      </c>
      <c r="AF13" s="11">
        <v>3588922</v>
      </c>
      <c r="AH13" s="68">
        <f>Tabla1[[#This Row],[FECHA FINAL]]</f>
        <v>45538</v>
      </c>
      <c r="AI13" s="69">
        <f>+Tabla1[[#This Row],[VALOR TOTAL DE FACTURAS EMITIDAS ]]</f>
        <v>2034851461</v>
      </c>
      <c r="AJ13" s="69">
        <f>+Tabla1[[#This Row],[VALOR NOTAS CREDITO ]]</f>
        <v>99162776</v>
      </c>
    </row>
    <row r="14" spans="1:36" ht="14.5" x14ac:dyDescent="0.35">
      <c r="A14" s="10">
        <f t="shared" si="12"/>
        <v>45539</v>
      </c>
      <c r="B14" s="7">
        <f t="shared" si="11"/>
        <v>45545</v>
      </c>
      <c r="C14" s="3">
        <v>506</v>
      </c>
      <c r="D14" s="3">
        <f t="shared" si="5"/>
        <v>57</v>
      </c>
      <c r="E14" s="3">
        <v>4335</v>
      </c>
      <c r="F14" s="3">
        <v>4359</v>
      </c>
      <c r="G14" s="3">
        <f t="shared" si="9"/>
        <v>25</v>
      </c>
      <c r="H14" s="3">
        <f>+L14+S14</f>
        <v>25</v>
      </c>
      <c r="I14" s="3">
        <f>1+1+1+1+1+1+10+3</f>
        <v>19</v>
      </c>
      <c r="J14" s="3">
        <v>2</v>
      </c>
      <c r="K14" s="3">
        <v>4</v>
      </c>
      <c r="L14" s="3">
        <f>SUM(M14:Q14)</f>
        <v>19</v>
      </c>
      <c r="M14" s="3">
        <v>3</v>
      </c>
      <c r="N14" s="3"/>
      <c r="O14" s="3">
        <v>6</v>
      </c>
      <c r="P14" s="3">
        <v>0</v>
      </c>
      <c r="Q14" s="3">
        <v>10</v>
      </c>
      <c r="R14" s="3"/>
      <c r="S14" s="3">
        <f t="shared" si="10"/>
        <v>6</v>
      </c>
      <c r="T14" s="3">
        <f t="shared" si="8"/>
        <v>0</v>
      </c>
      <c r="U14" s="3">
        <v>0</v>
      </c>
      <c r="V14" s="3">
        <v>0</v>
      </c>
      <c r="W14" s="3">
        <f t="shared" si="3"/>
        <v>6</v>
      </c>
      <c r="X14" s="3">
        <v>3</v>
      </c>
      <c r="Y14" s="3">
        <v>3</v>
      </c>
      <c r="Z14" s="4">
        <v>2245832145</v>
      </c>
      <c r="AA14" s="4">
        <v>292494682</v>
      </c>
      <c r="AB14" s="4">
        <v>281367986</v>
      </c>
      <c r="AC14" s="4">
        <v>2190294</v>
      </c>
      <c r="AD14" s="4">
        <v>173267899</v>
      </c>
      <c r="AE14" s="4">
        <v>0</v>
      </c>
      <c r="AF14" s="11">
        <v>21809245</v>
      </c>
      <c r="AH14" s="68">
        <f>Tabla1[[#This Row],[FECHA FINAL]]</f>
        <v>45545</v>
      </c>
      <c r="AI14" s="69">
        <f>+Tabla1[[#This Row],[VALOR TOTAL DE FACTURAS EMITIDAS ]]</f>
        <v>2245832145</v>
      </c>
      <c r="AJ14" s="69">
        <f>+Tabla1[[#This Row],[VALOR NOTAS CREDITO ]]</f>
        <v>292494682</v>
      </c>
    </row>
    <row r="15" spans="1:36" ht="14.5" x14ac:dyDescent="0.35">
      <c r="A15" s="10">
        <f t="shared" si="12"/>
        <v>45546</v>
      </c>
      <c r="B15" s="7">
        <f t="shared" si="11"/>
        <v>45552</v>
      </c>
      <c r="C15" s="3">
        <v>430</v>
      </c>
      <c r="D15" s="3">
        <f t="shared" si="5"/>
        <v>-76</v>
      </c>
      <c r="E15" s="3">
        <v>4360</v>
      </c>
      <c r="F15" s="3">
        <v>4388</v>
      </c>
      <c r="G15" s="3">
        <f t="shared" si="9"/>
        <v>29</v>
      </c>
      <c r="H15" s="3">
        <f>+L15+S15</f>
        <v>29</v>
      </c>
      <c r="I15" s="3">
        <v>15</v>
      </c>
      <c r="J15" s="3">
        <v>0</v>
      </c>
      <c r="K15" s="3">
        <v>14</v>
      </c>
      <c r="L15" s="3">
        <f t="shared" si="6"/>
        <v>23</v>
      </c>
      <c r="M15" s="3">
        <v>8</v>
      </c>
      <c r="N15" s="3"/>
      <c r="O15" s="3">
        <v>6</v>
      </c>
      <c r="P15" s="3">
        <v>0</v>
      </c>
      <c r="Q15" s="3">
        <v>9</v>
      </c>
      <c r="R15" s="3"/>
      <c r="S15" s="3">
        <f t="shared" si="10"/>
        <v>6</v>
      </c>
      <c r="T15" s="3">
        <f t="shared" si="8"/>
        <v>4</v>
      </c>
      <c r="U15" s="3">
        <v>1</v>
      </c>
      <c r="V15" s="3">
        <v>3</v>
      </c>
      <c r="W15" s="3">
        <f t="shared" si="3"/>
        <v>2</v>
      </c>
      <c r="X15" s="3">
        <v>2</v>
      </c>
      <c r="Y15" s="3">
        <v>0</v>
      </c>
      <c r="Z15" s="4">
        <v>1971219536</v>
      </c>
      <c r="AA15" s="4">
        <v>98716616</v>
      </c>
      <c r="AB15" s="4">
        <v>85229985</v>
      </c>
      <c r="AC15" s="4">
        <v>16863269</v>
      </c>
      <c r="AD15" s="4">
        <v>14238990</v>
      </c>
      <c r="AE15" s="4">
        <v>1025661</v>
      </c>
      <c r="AF15" s="11">
        <v>1748574</v>
      </c>
      <c r="AH15" s="68">
        <f>Tabla1[[#This Row],[FECHA FINAL]]</f>
        <v>45552</v>
      </c>
      <c r="AI15" s="69">
        <f>+Tabla1[[#This Row],[VALOR TOTAL DE FACTURAS EMITIDAS ]]</f>
        <v>1971219536</v>
      </c>
      <c r="AJ15" s="69">
        <f>+Tabla1[[#This Row],[VALOR NOTAS CREDITO ]]</f>
        <v>98716616</v>
      </c>
    </row>
    <row r="16" spans="1:36" ht="14.5" x14ac:dyDescent="0.35">
      <c r="A16" s="10">
        <f t="shared" si="12"/>
        <v>45553</v>
      </c>
      <c r="B16" s="7">
        <f t="shared" si="11"/>
        <v>45559</v>
      </c>
      <c r="C16" s="3">
        <v>451</v>
      </c>
      <c r="D16" s="3">
        <f t="shared" si="5"/>
        <v>21</v>
      </c>
      <c r="E16" s="3">
        <v>4389</v>
      </c>
      <c r="F16" s="3">
        <v>4415</v>
      </c>
      <c r="G16" s="3">
        <f t="shared" si="9"/>
        <v>27</v>
      </c>
      <c r="H16" s="3">
        <f t="shared" si="2"/>
        <v>27</v>
      </c>
      <c r="I16" s="3">
        <v>7</v>
      </c>
      <c r="J16" s="3">
        <v>0</v>
      </c>
      <c r="K16" s="3">
        <v>20</v>
      </c>
      <c r="L16" s="3">
        <v>21</v>
      </c>
      <c r="M16" s="3">
        <v>9</v>
      </c>
      <c r="N16" s="3"/>
      <c r="O16" s="3">
        <v>4</v>
      </c>
      <c r="P16" s="3">
        <v>1</v>
      </c>
      <c r="Q16" s="3">
        <v>13</v>
      </c>
      <c r="R16" s="3"/>
      <c r="S16" s="3">
        <f t="shared" si="10"/>
        <v>6</v>
      </c>
      <c r="T16" s="3">
        <f t="shared" si="8"/>
        <v>1</v>
      </c>
      <c r="U16" s="3">
        <v>0</v>
      </c>
      <c r="V16" s="3">
        <v>1</v>
      </c>
      <c r="W16" s="3">
        <f t="shared" si="3"/>
        <v>5</v>
      </c>
      <c r="X16" s="3">
        <v>4</v>
      </c>
      <c r="Y16" s="3">
        <v>1</v>
      </c>
      <c r="Z16" s="4">
        <v>2718967070</v>
      </c>
      <c r="AA16" s="4">
        <v>96913673</v>
      </c>
      <c r="AB16" s="4">
        <v>66060439</v>
      </c>
      <c r="AC16" s="4">
        <v>48730931</v>
      </c>
      <c r="AD16" s="4">
        <v>9981226</v>
      </c>
      <c r="AE16" s="4">
        <v>3459568</v>
      </c>
      <c r="AF16" s="11">
        <v>10655669</v>
      </c>
      <c r="AH16" s="68">
        <f>Tabla1[[#This Row],[FECHA FINAL]]</f>
        <v>45559</v>
      </c>
      <c r="AI16" s="69">
        <f>+Tabla1[[#This Row],[VALOR TOTAL DE FACTURAS EMITIDAS ]]</f>
        <v>2718967070</v>
      </c>
      <c r="AJ16" s="69">
        <f>+Tabla1[[#This Row],[VALOR NOTAS CREDITO ]]</f>
        <v>96913673</v>
      </c>
    </row>
    <row r="17" spans="1:36" ht="14.5" x14ac:dyDescent="0.35">
      <c r="A17" s="18">
        <f t="shared" si="12"/>
        <v>45560</v>
      </c>
      <c r="B17" s="19">
        <f t="shared" si="11"/>
        <v>45566</v>
      </c>
      <c r="C17" s="20">
        <v>313</v>
      </c>
      <c r="D17" s="20">
        <f t="shared" si="5"/>
        <v>-138</v>
      </c>
      <c r="E17" s="20">
        <v>4416</v>
      </c>
      <c r="F17" s="20">
        <v>4433</v>
      </c>
      <c r="G17" s="20">
        <f t="shared" ref="G17:G18" si="13">+F17-E17+1</f>
        <v>18</v>
      </c>
      <c r="H17" s="20">
        <f t="shared" si="2"/>
        <v>18</v>
      </c>
      <c r="I17" s="20">
        <v>4</v>
      </c>
      <c r="J17" s="20">
        <v>2</v>
      </c>
      <c r="K17" s="20">
        <v>12</v>
      </c>
      <c r="L17" s="20">
        <f t="shared" si="6"/>
        <v>10</v>
      </c>
      <c r="M17" s="20">
        <v>3</v>
      </c>
      <c r="N17" s="20"/>
      <c r="O17" s="20">
        <v>2</v>
      </c>
      <c r="P17" s="20">
        <v>2</v>
      </c>
      <c r="Q17" s="20">
        <v>3</v>
      </c>
      <c r="R17" s="20"/>
      <c r="S17" s="20">
        <f t="shared" si="10"/>
        <v>8</v>
      </c>
      <c r="T17" s="20">
        <f t="shared" si="8"/>
        <v>5</v>
      </c>
      <c r="U17" s="20">
        <v>0</v>
      </c>
      <c r="V17" s="20">
        <v>5</v>
      </c>
      <c r="W17" s="20">
        <f t="shared" si="3"/>
        <v>3</v>
      </c>
      <c r="X17" s="20">
        <v>1</v>
      </c>
      <c r="Y17" s="20">
        <v>2</v>
      </c>
      <c r="Z17" s="21">
        <v>1530373539</v>
      </c>
      <c r="AA17" s="21">
        <v>138625405</v>
      </c>
      <c r="AB17" s="21">
        <v>178772411</v>
      </c>
      <c r="AC17" s="21">
        <v>20451054</v>
      </c>
      <c r="AD17" s="21">
        <f>3434170+1270206</f>
        <v>4704376</v>
      </c>
      <c r="AE17" s="21">
        <v>1603465</v>
      </c>
      <c r="AF17" s="22">
        <f>559300+666400+3570000</f>
        <v>4795700</v>
      </c>
      <c r="AH17" s="68">
        <f>Tabla1[[#This Row],[FECHA FINAL]]</f>
        <v>45566</v>
      </c>
      <c r="AI17" s="69">
        <f>+Tabla1[[#This Row],[VALOR TOTAL DE FACTURAS EMITIDAS ]]</f>
        <v>1530373539</v>
      </c>
      <c r="AJ17" s="69">
        <f>+Tabla1[[#This Row],[VALOR NOTAS CREDITO ]]</f>
        <v>138625405</v>
      </c>
    </row>
    <row r="18" spans="1:36" ht="14.5" x14ac:dyDescent="0.35">
      <c r="A18" s="18">
        <f t="shared" si="12"/>
        <v>45567</v>
      </c>
      <c r="B18" s="19">
        <f t="shared" si="11"/>
        <v>45573</v>
      </c>
      <c r="C18" s="20">
        <v>620</v>
      </c>
      <c r="D18" s="20">
        <f t="shared" si="5"/>
        <v>307</v>
      </c>
      <c r="E18" s="20">
        <v>4434</v>
      </c>
      <c r="F18" s="20">
        <v>4470</v>
      </c>
      <c r="G18" s="20">
        <f t="shared" si="13"/>
        <v>37</v>
      </c>
      <c r="H18" s="20">
        <f t="shared" si="2"/>
        <v>37</v>
      </c>
      <c r="I18" s="20">
        <v>27</v>
      </c>
      <c r="J18" s="20">
        <v>5</v>
      </c>
      <c r="K18" s="20">
        <v>5</v>
      </c>
      <c r="L18" s="20">
        <f t="shared" si="6"/>
        <v>28</v>
      </c>
      <c r="M18" s="20">
        <v>6</v>
      </c>
      <c r="N18" s="20"/>
      <c r="O18" s="20">
        <v>14</v>
      </c>
      <c r="P18" s="20">
        <v>1</v>
      </c>
      <c r="Q18" s="20">
        <v>7</v>
      </c>
      <c r="R18" s="20"/>
      <c r="S18" s="20">
        <f t="shared" si="10"/>
        <v>9</v>
      </c>
      <c r="T18" s="20">
        <f t="shared" si="8"/>
        <v>4</v>
      </c>
      <c r="U18" s="20">
        <v>0</v>
      </c>
      <c r="V18" s="20">
        <v>4</v>
      </c>
      <c r="W18" s="20">
        <f t="shared" si="3"/>
        <v>5</v>
      </c>
      <c r="X18" s="20">
        <v>0</v>
      </c>
      <c r="Y18" s="20">
        <v>5</v>
      </c>
      <c r="Z18" s="21">
        <v>2446166505</v>
      </c>
      <c r="AA18" s="21">
        <v>635745376</v>
      </c>
      <c r="AB18" s="21">
        <v>634208366</v>
      </c>
      <c r="AC18" s="21">
        <v>43471767</v>
      </c>
      <c r="AD18" s="21">
        <v>574710370</v>
      </c>
      <c r="AE18" s="21">
        <v>737919</v>
      </c>
      <c r="AF18" s="22">
        <f>133280+48314+3570000+97580+1028636+54561+269297</f>
        <v>5201668</v>
      </c>
      <c r="AH18" s="68">
        <f>Tabla1[[#This Row],[FECHA FINAL]]</f>
        <v>45573</v>
      </c>
      <c r="AI18" s="69">
        <f>+Tabla1[[#This Row],[VALOR TOTAL DE FACTURAS EMITIDAS ]]</f>
        <v>2446166505</v>
      </c>
      <c r="AJ18" s="69">
        <f>+Tabla1[[#This Row],[VALOR NOTAS CREDITO ]]</f>
        <v>635745376</v>
      </c>
    </row>
    <row r="19" spans="1:36" ht="14.5" x14ac:dyDescent="0.35">
      <c r="A19" s="6">
        <f t="shared" ref="A19:A50" si="14">B18+1</f>
        <v>45574</v>
      </c>
      <c r="B19" s="7">
        <f t="shared" ref="B19:B50" si="15">A19+6</f>
        <v>45580</v>
      </c>
      <c r="C19" s="3">
        <v>425</v>
      </c>
      <c r="D19" s="3">
        <f t="shared" ref="D19:D50" si="16">+C19-C18</f>
        <v>-195</v>
      </c>
      <c r="E19" s="3">
        <v>4471</v>
      </c>
      <c r="F19" s="3">
        <v>4489</v>
      </c>
      <c r="G19" s="3">
        <f t="shared" ref="G19:G30" si="17">+F19-E19+1</f>
        <v>19</v>
      </c>
      <c r="H19" s="3">
        <f t="shared" ref="H19:H50" si="18">+L19+S19</f>
        <v>19</v>
      </c>
      <c r="I19" s="3">
        <v>12</v>
      </c>
      <c r="J19" s="3">
        <v>1</v>
      </c>
      <c r="K19" s="3">
        <v>6</v>
      </c>
      <c r="L19" s="3">
        <f t="shared" ref="L19:L58" si="19">SUM(M19:Q19)</f>
        <v>18</v>
      </c>
      <c r="M19" s="3">
        <v>8</v>
      </c>
      <c r="N19" s="3"/>
      <c r="O19" s="3">
        <v>2</v>
      </c>
      <c r="P19" s="3">
        <v>4</v>
      </c>
      <c r="Q19" s="3">
        <v>4</v>
      </c>
      <c r="R19" s="3"/>
      <c r="S19" s="3">
        <f t="shared" ref="S19:S50" si="20">+T19+W19</f>
        <v>1</v>
      </c>
      <c r="T19" s="3">
        <f t="shared" ref="T19:T50" si="21">+U19+V19</f>
        <v>0</v>
      </c>
      <c r="U19" s="3">
        <v>0</v>
      </c>
      <c r="V19" s="3">
        <v>0</v>
      </c>
      <c r="W19" s="3">
        <f t="shared" ref="W19:W50" si="22">+X19+Y19</f>
        <v>1</v>
      </c>
      <c r="X19" s="3">
        <v>1</v>
      </c>
      <c r="Y19" s="3">
        <v>0</v>
      </c>
      <c r="Z19" s="4">
        <v>2402665134</v>
      </c>
      <c r="AA19" s="4">
        <v>150330947</v>
      </c>
      <c r="AB19" s="4">
        <v>143006492</v>
      </c>
      <c r="AC19" s="4">
        <v>107507057</v>
      </c>
      <c r="AD19" s="4">
        <v>952157</v>
      </c>
      <c r="AE19" s="4">
        <v>0</v>
      </c>
      <c r="AF19" s="8">
        <v>4750</v>
      </c>
      <c r="AH19" s="68">
        <f>B19</f>
        <v>45580</v>
      </c>
      <c r="AI19" s="69">
        <f>+Z19</f>
        <v>2402665134</v>
      </c>
      <c r="AJ19" s="69">
        <f>+AA19</f>
        <v>150330947</v>
      </c>
    </row>
    <row r="20" spans="1:36" ht="14.5" x14ac:dyDescent="0.35">
      <c r="A20" s="6">
        <f t="shared" si="14"/>
        <v>45581</v>
      </c>
      <c r="B20" s="7">
        <f t="shared" si="15"/>
        <v>45587</v>
      </c>
      <c r="C20" s="3">
        <v>522</v>
      </c>
      <c r="D20" s="3">
        <f t="shared" si="16"/>
        <v>97</v>
      </c>
      <c r="E20" s="3">
        <v>4490</v>
      </c>
      <c r="F20" s="3">
        <v>4512</v>
      </c>
      <c r="G20" s="3">
        <f t="shared" si="17"/>
        <v>23</v>
      </c>
      <c r="H20" s="3">
        <f t="shared" si="18"/>
        <v>23</v>
      </c>
      <c r="I20" s="3">
        <v>9</v>
      </c>
      <c r="J20" s="3">
        <v>4</v>
      </c>
      <c r="K20" s="3">
        <v>10</v>
      </c>
      <c r="L20" s="3">
        <f t="shared" si="19"/>
        <v>20</v>
      </c>
      <c r="M20" s="3">
        <v>6</v>
      </c>
      <c r="N20" s="3"/>
      <c r="O20" s="3">
        <v>5</v>
      </c>
      <c r="P20" s="3">
        <v>1</v>
      </c>
      <c r="Q20" s="3">
        <v>8</v>
      </c>
      <c r="R20" s="3"/>
      <c r="S20" s="3">
        <f t="shared" si="20"/>
        <v>3</v>
      </c>
      <c r="T20" s="3">
        <f t="shared" si="21"/>
        <v>1</v>
      </c>
      <c r="U20" s="3">
        <v>0</v>
      </c>
      <c r="V20" s="3">
        <v>1</v>
      </c>
      <c r="W20" s="3">
        <f t="shared" si="22"/>
        <v>2</v>
      </c>
      <c r="X20" s="3">
        <v>2</v>
      </c>
      <c r="Y20" s="3">
        <v>0</v>
      </c>
      <c r="Z20" s="4">
        <v>2052136937</v>
      </c>
      <c r="AA20" s="4">
        <v>70132765</v>
      </c>
      <c r="AB20" s="4">
        <v>42709266</v>
      </c>
      <c r="AC20" s="4">
        <v>35143734</v>
      </c>
      <c r="AD20" s="4">
        <v>13269200</v>
      </c>
      <c r="AE20" s="4">
        <v>344386</v>
      </c>
      <c r="AF20" s="8">
        <v>1594197</v>
      </c>
      <c r="AH20" s="68">
        <f t="shared" ref="AH20:AH70" si="23">B20</f>
        <v>45587</v>
      </c>
      <c r="AI20" s="69">
        <f t="shared" ref="AI20:AI78" si="24">+Z20</f>
        <v>2052136937</v>
      </c>
      <c r="AJ20" s="69">
        <f t="shared" ref="AJ20:AJ78" si="25">+AA20</f>
        <v>70132765</v>
      </c>
    </row>
    <row r="21" spans="1:36" ht="14.5" x14ac:dyDescent="0.35">
      <c r="A21" s="6">
        <f t="shared" si="14"/>
        <v>45588</v>
      </c>
      <c r="B21" s="7">
        <f t="shared" si="15"/>
        <v>45594</v>
      </c>
      <c r="C21" s="3">
        <v>234</v>
      </c>
      <c r="D21" s="3">
        <f t="shared" si="16"/>
        <v>-288</v>
      </c>
      <c r="E21" s="3">
        <v>4513</v>
      </c>
      <c r="F21" s="3">
        <v>4538</v>
      </c>
      <c r="G21" s="3">
        <f t="shared" si="17"/>
        <v>26</v>
      </c>
      <c r="H21" s="3">
        <f t="shared" si="18"/>
        <v>16</v>
      </c>
      <c r="I21" s="3">
        <v>10</v>
      </c>
      <c r="J21" s="3">
        <v>1</v>
      </c>
      <c r="K21" s="3">
        <v>15</v>
      </c>
      <c r="L21" s="3">
        <f t="shared" si="19"/>
        <v>10</v>
      </c>
      <c r="M21" s="3">
        <v>9</v>
      </c>
      <c r="N21" s="3"/>
      <c r="O21" s="3">
        <v>1</v>
      </c>
      <c r="P21" s="3">
        <v>0</v>
      </c>
      <c r="Q21" s="3" t="s">
        <v>37</v>
      </c>
      <c r="R21" s="3"/>
      <c r="S21" s="3">
        <f t="shared" si="20"/>
        <v>6</v>
      </c>
      <c r="T21" s="3">
        <f t="shared" si="21"/>
        <v>2</v>
      </c>
      <c r="U21" s="3">
        <v>1</v>
      </c>
      <c r="V21" s="3">
        <v>1</v>
      </c>
      <c r="W21" s="3">
        <f t="shared" si="22"/>
        <v>4</v>
      </c>
      <c r="X21" s="3">
        <v>3</v>
      </c>
      <c r="Y21" s="3">
        <v>1</v>
      </c>
      <c r="Z21" s="4">
        <v>1138362081</v>
      </c>
      <c r="AA21" s="4">
        <v>125815721</v>
      </c>
      <c r="AB21" s="4">
        <v>124096897</v>
      </c>
      <c r="AC21" s="4">
        <v>21859214</v>
      </c>
      <c r="AD21" s="4">
        <v>297500</v>
      </c>
      <c r="AE21" s="4">
        <v>1497594</v>
      </c>
      <c r="AF21" s="8">
        <v>2105854</v>
      </c>
      <c r="AH21" s="68">
        <f t="shared" si="23"/>
        <v>45594</v>
      </c>
      <c r="AI21" s="69">
        <f t="shared" si="24"/>
        <v>1138362081</v>
      </c>
      <c r="AJ21" s="69">
        <f t="shared" si="25"/>
        <v>125815721</v>
      </c>
    </row>
    <row r="22" spans="1:36" ht="14.5" x14ac:dyDescent="0.35">
      <c r="A22" s="6">
        <f t="shared" si="14"/>
        <v>45595</v>
      </c>
      <c r="B22" s="7">
        <f t="shared" si="15"/>
        <v>45601</v>
      </c>
      <c r="C22" s="3">
        <v>332</v>
      </c>
      <c r="D22" s="3">
        <f t="shared" si="16"/>
        <v>98</v>
      </c>
      <c r="E22" s="3">
        <v>4539</v>
      </c>
      <c r="F22" s="3">
        <v>4567</v>
      </c>
      <c r="G22" s="3">
        <f t="shared" si="17"/>
        <v>29</v>
      </c>
      <c r="H22" s="3">
        <f t="shared" si="18"/>
        <v>29</v>
      </c>
      <c r="I22" s="3">
        <v>6</v>
      </c>
      <c r="J22" s="3">
        <v>13</v>
      </c>
      <c r="K22" s="3">
        <v>10</v>
      </c>
      <c r="L22" s="3">
        <f t="shared" si="19"/>
        <v>29</v>
      </c>
      <c r="M22" s="3">
        <v>19</v>
      </c>
      <c r="N22" s="3"/>
      <c r="O22" s="3">
        <v>6</v>
      </c>
      <c r="P22" s="3">
        <v>0</v>
      </c>
      <c r="Q22" s="3">
        <v>4</v>
      </c>
      <c r="R22" s="3"/>
      <c r="S22" s="3">
        <f t="shared" si="20"/>
        <v>0</v>
      </c>
      <c r="T22" s="3">
        <f t="shared" si="21"/>
        <v>0</v>
      </c>
      <c r="U22" s="3">
        <v>0</v>
      </c>
      <c r="V22" s="3">
        <v>0</v>
      </c>
      <c r="W22" s="3">
        <f t="shared" si="22"/>
        <v>0</v>
      </c>
      <c r="X22" s="3">
        <v>0</v>
      </c>
      <c r="Y22" s="3">
        <v>0</v>
      </c>
      <c r="Z22" s="4">
        <v>1732692214</v>
      </c>
      <c r="AA22" s="4">
        <v>157771652</v>
      </c>
      <c r="AB22" s="4">
        <v>153868214</v>
      </c>
      <c r="AC22" s="4">
        <v>127090531</v>
      </c>
      <c r="AD22" s="4">
        <v>10654991</v>
      </c>
      <c r="AE22" s="4">
        <v>0</v>
      </c>
      <c r="AF22" s="8">
        <v>0</v>
      </c>
      <c r="AH22" s="68">
        <f t="shared" si="23"/>
        <v>45601</v>
      </c>
      <c r="AI22" s="69">
        <f t="shared" si="24"/>
        <v>1732692214</v>
      </c>
      <c r="AJ22" s="69">
        <f t="shared" si="25"/>
        <v>157771652</v>
      </c>
    </row>
    <row r="23" spans="1:36" ht="14.5" x14ac:dyDescent="0.35">
      <c r="A23" s="6">
        <f t="shared" si="14"/>
        <v>45602</v>
      </c>
      <c r="B23" s="7">
        <f t="shared" si="15"/>
        <v>45608</v>
      </c>
      <c r="C23" s="3">
        <v>473</v>
      </c>
      <c r="D23" s="3">
        <f t="shared" si="16"/>
        <v>141</v>
      </c>
      <c r="E23" s="3">
        <v>4568</v>
      </c>
      <c r="F23" s="3">
        <v>4581</v>
      </c>
      <c r="G23" s="3">
        <f t="shared" si="17"/>
        <v>14</v>
      </c>
      <c r="H23" s="3">
        <f t="shared" si="18"/>
        <v>14</v>
      </c>
      <c r="I23" s="3">
        <v>10</v>
      </c>
      <c r="J23" s="3">
        <v>0</v>
      </c>
      <c r="K23" s="3">
        <v>4</v>
      </c>
      <c r="L23" s="3">
        <f t="shared" si="19"/>
        <v>7</v>
      </c>
      <c r="M23" s="3">
        <v>4</v>
      </c>
      <c r="N23" s="3"/>
      <c r="O23" s="3">
        <v>2</v>
      </c>
      <c r="P23" s="3">
        <v>0</v>
      </c>
      <c r="Q23" s="3">
        <v>1</v>
      </c>
      <c r="R23" s="3"/>
      <c r="S23" s="3">
        <f t="shared" si="20"/>
        <v>7</v>
      </c>
      <c r="T23" s="3">
        <f t="shared" si="21"/>
        <v>2</v>
      </c>
      <c r="U23" s="3">
        <v>0</v>
      </c>
      <c r="V23" s="3">
        <v>2</v>
      </c>
      <c r="W23" s="3">
        <f t="shared" si="22"/>
        <v>5</v>
      </c>
      <c r="X23" s="3">
        <v>2</v>
      </c>
      <c r="Y23" s="3">
        <v>3</v>
      </c>
      <c r="Z23" s="4">
        <v>1931097325</v>
      </c>
      <c r="AA23" s="4">
        <v>41271804</v>
      </c>
      <c r="AB23" s="4">
        <v>38380103</v>
      </c>
      <c r="AC23" s="4">
        <v>8564346</v>
      </c>
      <c r="AD23" s="4">
        <v>26014477</v>
      </c>
      <c r="AE23" s="4">
        <v>4107880</v>
      </c>
      <c r="AF23" s="8">
        <v>3899630</v>
      </c>
      <c r="AH23" s="68">
        <f t="shared" si="23"/>
        <v>45608</v>
      </c>
      <c r="AI23" s="69">
        <f t="shared" si="24"/>
        <v>1931097325</v>
      </c>
      <c r="AJ23" s="69">
        <f t="shared" si="25"/>
        <v>41271804</v>
      </c>
    </row>
    <row r="24" spans="1:36" ht="14.5" x14ac:dyDescent="0.35">
      <c r="A24" s="6">
        <f t="shared" si="14"/>
        <v>45609</v>
      </c>
      <c r="B24" s="7">
        <f t="shared" si="15"/>
        <v>45615</v>
      </c>
      <c r="C24" s="3">
        <v>594</v>
      </c>
      <c r="D24" s="3">
        <f t="shared" si="16"/>
        <v>121</v>
      </c>
      <c r="E24" s="3">
        <v>4582</v>
      </c>
      <c r="F24" s="3">
        <v>4607</v>
      </c>
      <c r="G24" s="3">
        <f t="shared" si="17"/>
        <v>26</v>
      </c>
      <c r="H24" s="3">
        <f t="shared" si="18"/>
        <v>26</v>
      </c>
      <c r="I24" s="3">
        <v>8</v>
      </c>
      <c r="J24" s="3">
        <v>3</v>
      </c>
      <c r="K24" s="3">
        <v>15</v>
      </c>
      <c r="L24" s="3">
        <f t="shared" si="19"/>
        <v>24</v>
      </c>
      <c r="M24" s="3">
        <v>11</v>
      </c>
      <c r="N24" s="3"/>
      <c r="O24" s="3">
        <v>6</v>
      </c>
      <c r="P24" s="3">
        <v>0</v>
      </c>
      <c r="Q24" s="3">
        <v>7</v>
      </c>
      <c r="R24" s="3"/>
      <c r="S24" s="3">
        <f t="shared" si="20"/>
        <v>2</v>
      </c>
      <c r="T24" s="3">
        <f t="shared" si="21"/>
        <v>1</v>
      </c>
      <c r="U24" s="3">
        <v>0</v>
      </c>
      <c r="V24" s="3">
        <v>1</v>
      </c>
      <c r="W24" s="3">
        <f t="shared" si="22"/>
        <v>1</v>
      </c>
      <c r="X24" s="3">
        <v>1</v>
      </c>
      <c r="Y24" s="3">
        <v>0</v>
      </c>
      <c r="Z24" s="4">
        <v>2661334715</v>
      </c>
      <c r="AA24" s="4">
        <v>206335478</v>
      </c>
      <c r="AB24" s="4">
        <v>204462270</v>
      </c>
      <c r="AC24" s="4">
        <v>66213956</v>
      </c>
      <c r="AD24" s="4">
        <v>27556269</v>
      </c>
      <c r="AE24" s="4">
        <v>75089</v>
      </c>
      <c r="AF24" s="8">
        <v>919870</v>
      </c>
      <c r="AH24" s="68">
        <f t="shared" si="23"/>
        <v>45615</v>
      </c>
      <c r="AI24" s="69">
        <f t="shared" si="24"/>
        <v>2661334715</v>
      </c>
      <c r="AJ24" s="69">
        <f t="shared" si="25"/>
        <v>206335478</v>
      </c>
    </row>
    <row r="25" spans="1:36" ht="14.5" x14ac:dyDescent="0.35">
      <c r="A25" s="6">
        <f t="shared" si="14"/>
        <v>45616</v>
      </c>
      <c r="B25" s="7">
        <f t="shared" si="15"/>
        <v>45622</v>
      </c>
      <c r="C25" s="3">
        <v>375</v>
      </c>
      <c r="D25" s="3">
        <f t="shared" si="16"/>
        <v>-219</v>
      </c>
      <c r="E25" s="3">
        <v>4608</v>
      </c>
      <c r="F25" s="3">
        <v>4631</v>
      </c>
      <c r="G25" s="3">
        <f t="shared" si="17"/>
        <v>24</v>
      </c>
      <c r="H25" s="3">
        <f t="shared" si="18"/>
        <v>24</v>
      </c>
      <c r="I25" s="3">
        <v>5</v>
      </c>
      <c r="J25" s="3">
        <v>1</v>
      </c>
      <c r="K25" s="3">
        <v>18</v>
      </c>
      <c r="L25" s="3">
        <f t="shared" si="19"/>
        <v>22</v>
      </c>
      <c r="M25" s="3">
        <v>6</v>
      </c>
      <c r="N25" s="3"/>
      <c r="O25" s="3">
        <v>7</v>
      </c>
      <c r="P25" s="3">
        <v>0</v>
      </c>
      <c r="Q25" s="3">
        <v>9</v>
      </c>
      <c r="R25" s="3"/>
      <c r="S25" s="3">
        <f t="shared" si="20"/>
        <v>2</v>
      </c>
      <c r="T25" s="3">
        <f t="shared" si="21"/>
        <v>0</v>
      </c>
      <c r="U25" s="3">
        <v>0</v>
      </c>
      <c r="V25" s="3">
        <v>0</v>
      </c>
      <c r="W25" s="3">
        <f t="shared" si="22"/>
        <v>2</v>
      </c>
      <c r="X25" s="3">
        <v>2</v>
      </c>
      <c r="Y25" s="3">
        <v>0</v>
      </c>
      <c r="Z25" s="4">
        <v>1702309861</v>
      </c>
      <c r="AA25" s="4">
        <v>229415942</v>
      </c>
      <c r="AB25" s="4">
        <v>227805255</v>
      </c>
      <c r="AC25" s="4">
        <v>51181365</v>
      </c>
      <c r="AD25" s="4">
        <v>69864244</v>
      </c>
      <c r="AE25" s="4">
        <v>0</v>
      </c>
      <c r="AF25" s="8">
        <v>177040</v>
      </c>
      <c r="AH25" s="68">
        <f t="shared" si="23"/>
        <v>45622</v>
      </c>
      <c r="AI25" s="69">
        <f t="shared" si="24"/>
        <v>1702309861</v>
      </c>
      <c r="AJ25" s="69">
        <f t="shared" si="25"/>
        <v>229415942</v>
      </c>
    </row>
    <row r="26" spans="1:36" ht="14.5" x14ac:dyDescent="0.35">
      <c r="A26" s="6">
        <f t="shared" si="14"/>
        <v>45623</v>
      </c>
      <c r="B26" s="7">
        <f t="shared" si="15"/>
        <v>45629</v>
      </c>
      <c r="C26" s="3">
        <v>476</v>
      </c>
      <c r="D26" s="3">
        <f t="shared" si="16"/>
        <v>101</v>
      </c>
      <c r="E26" s="3">
        <v>4632</v>
      </c>
      <c r="F26" s="3">
        <v>4655</v>
      </c>
      <c r="G26" s="3">
        <f t="shared" si="17"/>
        <v>24</v>
      </c>
      <c r="H26" s="3">
        <f t="shared" si="18"/>
        <v>24</v>
      </c>
      <c r="I26" s="3">
        <v>9</v>
      </c>
      <c r="J26" s="3">
        <v>4</v>
      </c>
      <c r="K26" s="3">
        <v>11</v>
      </c>
      <c r="L26" s="3">
        <f t="shared" si="19"/>
        <v>17</v>
      </c>
      <c r="M26" s="3">
        <v>6</v>
      </c>
      <c r="N26" s="3"/>
      <c r="O26" s="3">
        <v>1</v>
      </c>
      <c r="P26" s="3">
        <v>0</v>
      </c>
      <c r="Q26" s="3">
        <v>10</v>
      </c>
      <c r="R26" s="3"/>
      <c r="S26" s="3">
        <f t="shared" si="20"/>
        <v>7</v>
      </c>
      <c r="T26" s="3">
        <f t="shared" si="21"/>
        <v>2</v>
      </c>
      <c r="U26" s="3">
        <v>0</v>
      </c>
      <c r="V26" s="3">
        <v>2</v>
      </c>
      <c r="W26" s="3">
        <f t="shared" si="22"/>
        <v>5</v>
      </c>
      <c r="X26" s="3">
        <v>2</v>
      </c>
      <c r="Y26" s="3">
        <v>3</v>
      </c>
      <c r="Z26" s="27">
        <v>2489335984</v>
      </c>
      <c r="AA26" s="27">
        <v>270334258</v>
      </c>
      <c r="AB26" s="27">
        <v>262050622</v>
      </c>
      <c r="AC26" s="27">
        <v>10368146</v>
      </c>
      <c r="AD26" s="27">
        <v>2531725</v>
      </c>
      <c r="AE26" s="27">
        <v>703685</v>
      </c>
      <c r="AF26" s="28">
        <v>1844753</v>
      </c>
      <c r="AH26" s="68">
        <f t="shared" si="23"/>
        <v>45629</v>
      </c>
      <c r="AI26" s="69">
        <f t="shared" si="24"/>
        <v>2489335984</v>
      </c>
      <c r="AJ26" s="69">
        <f t="shared" si="25"/>
        <v>270334258</v>
      </c>
    </row>
    <row r="27" spans="1:36" ht="14.5" x14ac:dyDescent="0.35">
      <c r="A27" s="6">
        <f t="shared" si="14"/>
        <v>45630</v>
      </c>
      <c r="B27" s="7">
        <f t="shared" si="15"/>
        <v>45636</v>
      </c>
      <c r="C27" s="3">
        <v>631</v>
      </c>
      <c r="D27" s="3">
        <f t="shared" si="16"/>
        <v>155</v>
      </c>
      <c r="E27" s="3">
        <v>4656</v>
      </c>
      <c r="F27" s="3">
        <v>4688</v>
      </c>
      <c r="G27" s="3">
        <f t="shared" si="17"/>
        <v>33</v>
      </c>
      <c r="H27" s="3">
        <f t="shared" si="18"/>
        <v>33</v>
      </c>
      <c r="I27" s="3">
        <v>23</v>
      </c>
      <c r="J27" s="3">
        <v>2</v>
      </c>
      <c r="K27" s="3">
        <v>8</v>
      </c>
      <c r="L27" s="3">
        <f t="shared" si="19"/>
        <v>31</v>
      </c>
      <c r="M27" s="3">
        <v>10</v>
      </c>
      <c r="N27" s="3"/>
      <c r="O27" s="3">
        <v>5</v>
      </c>
      <c r="P27" s="3">
        <v>0</v>
      </c>
      <c r="Q27" s="3">
        <v>16</v>
      </c>
      <c r="R27" s="3"/>
      <c r="S27" s="3">
        <f t="shared" si="20"/>
        <v>2</v>
      </c>
      <c r="T27" s="3">
        <f t="shared" si="21"/>
        <v>0</v>
      </c>
      <c r="U27" s="3">
        <v>0</v>
      </c>
      <c r="V27" s="3">
        <v>0</v>
      </c>
      <c r="W27" s="3">
        <f t="shared" si="22"/>
        <v>2</v>
      </c>
      <c r="X27" s="3">
        <v>2</v>
      </c>
      <c r="Y27" s="3">
        <v>0</v>
      </c>
      <c r="Z27" s="27">
        <v>4322111868</v>
      </c>
      <c r="AA27" s="27">
        <v>213130369</v>
      </c>
      <c r="AB27" s="27">
        <v>131494103</v>
      </c>
      <c r="AC27" s="27">
        <v>65076212</v>
      </c>
      <c r="AD27" s="27">
        <v>13505090</v>
      </c>
      <c r="AE27" s="27">
        <v>0</v>
      </c>
      <c r="AF27" s="28">
        <v>1257592</v>
      </c>
      <c r="AH27" s="68">
        <f t="shared" si="23"/>
        <v>45636</v>
      </c>
      <c r="AI27" s="69">
        <f t="shared" si="24"/>
        <v>4322111868</v>
      </c>
      <c r="AJ27" s="69">
        <f t="shared" si="25"/>
        <v>213130369</v>
      </c>
    </row>
    <row r="28" spans="1:36" ht="14.5" x14ac:dyDescent="0.35">
      <c r="A28" s="6">
        <f t="shared" si="14"/>
        <v>45637</v>
      </c>
      <c r="B28" s="7">
        <f t="shared" si="15"/>
        <v>45643</v>
      </c>
      <c r="C28" s="3">
        <v>564</v>
      </c>
      <c r="D28" s="3">
        <f t="shared" si="16"/>
        <v>-67</v>
      </c>
      <c r="E28" s="3">
        <v>4689</v>
      </c>
      <c r="F28" s="3">
        <v>4727</v>
      </c>
      <c r="G28" s="3">
        <f t="shared" si="17"/>
        <v>39</v>
      </c>
      <c r="H28" s="3">
        <f t="shared" si="18"/>
        <v>39</v>
      </c>
      <c r="I28" s="3">
        <v>25</v>
      </c>
      <c r="J28" s="3">
        <v>3</v>
      </c>
      <c r="K28" s="3">
        <v>11</v>
      </c>
      <c r="L28" s="3">
        <f t="shared" si="19"/>
        <v>32</v>
      </c>
      <c r="M28" s="3">
        <v>12</v>
      </c>
      <c r="N28" s="3"/>
      <c r="O28" s="3">
        <v>6</v>
      </c>
      <c r="P28" s="3">
        <v>0</v>
      </c>
      <c r="Q28" s="3">
        <v>14</v>
      </c>
      <c r="R28" s="3"/>
      <c r="S28" s="3">
        <f t="shared" si="20"/>
        <v>7</v>
      </c>
      <c r="T28" s="3">
        <f t="shared" si="21"/>
        <v>1</v>
      </c>
      <c r="U28" s="3">
        <v>0</v>
      </c>
      <c r="V28" s="3">
        <v>1</v>
      </c>
      <c r="W28" s="3">
        <f t="shared" si="22"/>
        <v>6</v>
      </c>
      <c r="X28" s="3">
        <v>5</v>
      </c>
      <c r="Y28" s="3">
        <v>1</v>
      </c>
      <c r="Z28" s="27">
        <v>3716303358</v>
      </c>
      <c r="AA28" s="27">
        <v>348376306</v>
      </c>
      <c r="AB28" s="27">
        <v>231747213</v>
      </c>
      <c r="AC28" s="27">
        <v>188416040</v>
      </c>
      <c r="AD28" s="27">
        <v>6491207</v>
      </c>
      <c r="AE28" s="27">
        <v>430304</v>
      </c>
      <c r="AF28" s="28">
        <v>12832425</v>
      </c>
      <c r="AH28" s="68">
        <f t="shared" si="23"/>
        <v>45643</v>
      </c>
      <c r="AI28" s="69">
        <f t="shared" si="24"/>
        <v>3716303358</v>
      </c>
      <c r="AJ28" s="69">
        <f t="shared" si="25"/>
        <v>348376306</v>
      </c>
    </row>
    <row r="29" spans="1:36" ht="14.5" x14ac:dyDescent="0.35">
      <c r="A29" s="6">
        <f t="shared" si="14"/>
        <v>45644</v>
      </c>
      <c r="B29" s="7">
        <f t="shared" si="15"/>
        <v>45650</v>
      </c>
      <c r="C29" s="3">
        <v>292</v>
      </c>
      <c r="D29" s="3">
        <f t="shared" si="16"/>
        <v>-272</v>
      </c>
      <c r="E29" s="3">
        <v>4728</v>
      </c>
      <c r="F29" s="3">
        <v>4764</v>
      </c>
      <c r="G29" s="3">
        <f t="shared" si="17"/>
        <v>37</v>
      </c>
      <c r="H29" s="3">
        <f t="shared" si="18"/>
        <v>37</v>
      </c>
      <c r="I29" s="3">
        <v>11</v>
      </c>
      <c r="J29" s="3">
        <v>0</v>
      </c>
      <c r="K29" s="3">
        <v>26</v>
      </c>
      <c r="L29" s="3">
        <f t="shared" si="19"/>
        <v>31</v>
      </c>
      <c r="M29" s="3">
        <v>15</v>
      </c>
      <c r="N29" s="3"/>
      <c r="O29" s="3">
        <v>1</v>
      </c>
      <c r="P29" s="3">
        <v>0</v>
      </c>
      <c r="Q29" s="3">
        <v>15</v>
      </c>
      <c r="R29" s="3"/>
      <c r="S29" s="3">
        <f t="shared" si="20"/>
        <v>6</v>
      </c>
      <c r="T29" s="3">
        <f t="shared" si="21"/>
        <v>2</v>
      </c>
      <c r="U29" s="3">
        <v>0</v>
      </c>
      <c r="V29" s="3">
        <v>2</v>
      </c>
      <c r="W29" s="3">
        <f t="shared" si="22"/>
        <v>4</v>
      </c>
      <c r="X29" s="3">
        <v>2</v>
      </c>
      <c r="Y29" s="3">
        <v>2</v>
      </c>
      <c r="Z29" s="27">
        <v>1825119729</v>
      </c>
      <c r="AA29" s="27">
        <v>100148418</v>
      </c>
      <c r="AB29" s="27">
        <v>93022447</v>
      </c>
      <c r="AC29" s="27">
        <v>42980743</v>
      </c>
      <c r="AD29" s="27">
        <v>892500</v>
      </c>
      <c r="AE29" s="27">
        <v>1673806</v>
      </c>
      <c r="AF29" s="28">
        <v>4824438</v>
      </c>
      <c r="AH29" s="68">
        <f t="shared" si="23"/>
        <v>45650</v>
      </c>
      <c r="AI29" s="69">
        <f t="shared" si="24"/>
        <v>1825119729</v>
      </c>
      <c r="AJ29" s="69">
        <f t="shared" si="25"/>
        <v>100148418</v>
      </c>
    </row>
    <row r="30" spans="1:36" ht="14.5" x14ac:dyDescent="0.35">
      <c r="A30" s="6">
        <f t="shared" si="14"/>
        <v>45651</v>
      </c>
      <c r="B30" s="7">
        <f t="shared" si="15"/>
        <v>45657</v>
      </c>
      <c r="C30" s="3">
        <v>38</v>
      </c>
      <c r="D30" s="3">
        <f t="shared" si="16"/>
        <v>-254</v>
      </c>
      <c r="E30" s="3">
        <v>4765</v>
      </c>
      <c r="F30" s="3">
        <v>4769</v>
      </c>
      <c r="G30" s="3">
        <f t="shared" si="17"/>
        <v>5</v>
      </c>
      <c r="H30" s="3">
        <f t="shared" si="18"/>
        <v>5</v>
      </c>
      <c r="I30" s="3">
        <v>2</v>
      </c>
      <c r="J30" s="3">
        <v>0</v>
      </c>
      <c r="K30" s="3">
        <v>3</v>
      </c>
      <c r="L30" s="3">
        <f t="shared" si="19"/>
        <v>0</v>
      </c>
      <c r="M30" s="3">
        <v>0</v>
      </c>
      <c r="N30" s="3"/>
      <c r="O30" s="3">
        <v>0</v>
      </c>
      <c r="P30" s="3">
        <v>0</v>
      </c>
      <c r="Q30" s="3">
        <v>0</v>
      </c>
      <c r="R30" s="3"/>
      <c r="S30" s="3">
        <f t="shared" si="20"/>
        <v>5</v>
      </c>
      <c r="T30" s="3">
        <f t="shared" si="21"/>
        <v>2</v>
      </c>
      <c r="U30" s="3">
        <v>0</v>
      </c>
      <c r="V30" s="3">
        <v>2</v>
      </c>
      <c r="W30" s="3">
        <f t="shared" si="22"/>
        <v>3</v>
      </c>
      <c r="X30" s="3">
        <v>1</v>
      </c>
      <c r="Y30" s="3">
        <v>2</v>
      </c>
      <c r="Z30" s="27">
        <v>1047712420</v>
      </c>
      <c r="AA30" s="27">
        <v>11579930</v>
      </c>
      <c r="AB30" s="27">
        <v>0</v>
      </c>
      <c r="AC30" s="27">
        <v>0</v>
      </c>
      <c r="AD30" s="27">
        <v>0</v>
      </c>
      <c r="AE30" s="27">
        <v>167023</v>
      </c>
      <c r="AF30" s="28">
        <v>10959872</v>
      </c>
      <c r="AH30" s="68">
        <f t="shared" si="23"/>
        <v>45657</v>
      </c>
      <c r="AI30" s="69">
        <f t="shared" si="24"/>
        <v>1047712420</v>
      </c>
      <c r="AJ30" s="69">
        <f t="shared" si="25"/>
        <v>11579930</v>
      </c>
    </row>
    <row r="31" spans="1:36" ht="14.5" x14ac:dyDescent="0.35">
      <c r="A31" s="6">
        <f t="shared" si="14"/>
        <v>45658</v>
      </c>
      <c r="B31" s="7">
        <f t="shared" si="15"/>
        <v>45664</v>
      </c>
      <c r="C31" s="3">
        <v>0</v>
      </c>
      <c r="D31" s="3">
        <f t="shared" si="16"/>
        <v>-38</v>
      </c>
      <c r="E31" s="3">
        <v>0</v>
      </c>
      <c r="F31" s="3">
        <v>0</v>
      </c>
      <c r="G31" s="3">
        <v>0</v>
      </c>
      <c r="H31" s="3">
        <f t="shared" si="18"/>
        <v>0</v>
      </c>
      <c r="I31" s="3">
        <v>0</v>
      </c>
      <c r="J31" s="3">
        <v>0</v>
      </c>
      <c r="K31" s="3">
        <v>0</v>
      </c>
      <c r="L31" s="3">
        <f t="shared" si="19"/>
        <v>0</v>
      </c>
      <c r="M31" s="3">
        <v>0</v>
      </c>
      <c r="N31" s="3"/>
      <c r="O31" s="3">
        <v>0</v>
      </c>
      <c r="P31" s="3">
        <v>0</v>
      </c>
      <c r="Q31" s="3">
        <v>0</v>
      </c>
      <c r="R31" s="3"/>
      <c r="S31" s="3">
        <f t="shared" si="20"/>
        <v>0</v>
      </c>
      <c r="T31" s="3">
        <f t="shared" si="21"/>
        <v>0</v>
      </c>
      <c r="U31" s="3">
        <v>0</v>
      </c>
      <c r="V31" s="3">
        <v>0</v>
      </c>
      <c r="W31" s="3">
        <f t="shared" si="22"/>
        <v>0</v>
      </c>
      <c r="X31" s="3">
        <v>0</v>
      </c>
      <c r="Y31" s="3">
        <v>0</v>
      </c>
      <c r="Z31" s="4">
        <v>0</v>
      </c>
      <c r="AA31" s="4">
        <v>0</v>
      </c>
      <c r="AB31" s="4">
        <v>0</v>
      </c>
      <c r="AC31" s="4">
        <v>0</v>
      </c>
      <c r="AD31" s="4">
        <v>0</v>
      </c>
      <c r="AE31" s="4">
        <v>0</v>
      </c>
      <c r="AF31" s="8">
        <v>0</v>
      </c>
      <c r="AH31" s="68">
        <f t="shared" si="23"/>
        <v>45664</v>
      </c>
      <c r="AI31" s="69">
        <f t="shared" si="24"/>
        <v>0</v>
      </c>
      <c r="AJ31" s="69">
        <f t="shared" si="25"/>
        <v>0</v>
      </c>
    </row>
    <row r="32" spans="1:36" ht="14.5" x14ac:dyDescent="0.35">
      <c r="A32" s="6">
        <f t="shared" si="14"/>
        <v>45665</v>
      </c>
      <c r="B32" s="7">
        <f t="shared" si="15"/>
        <v>45671</v>
      </c>
      <c r="C32" s="3">
        <v>401</v>
      </c>
      <c r="D32" s="3">
        <f t="shared" si="16"/>
        <v>401</v>
      </c>
      <c r="E32" s="3">
        <v>4770</v>
      </c>
      <c r="F32" s="3">
        <v>4779</v>
      </c>
      <c r="G32" s="3">
        <f t="shared" ref="G32:G90" si="26">+F32-E32+1</f>
        <v>10</v>
      </c>
      <c r="H32" s="3">
        <f t="shared" si="18"/>
        <v>10</v>
      </c>
      <c r="I32" s="3">
        <v>9</v>
      </c>
      <c r="J32" s="3">
        <v>1</v>
      </c>
      <c r="K32" s="3">
        <v>0</v>
      </c>
      <c r="L32" s="3">
        <f t="shared" si="19"/>
        <v>8</v>
      </c>
      <c r="M32" s="3">
        <v>1</v>
      </c>
      <c r="N32" s="3"/>
      <c r="O32" s="3">
        <v>3</v>
      </c>
      <c r="P32" s="3">
        <v>0</v>
      </c>
      <c r="Q32" s="3">
        <v>4</v>
      </c>
      <c r="R32" s="3"/>
      <c r="S32" s="3">
        <f t="shared" si="20"/>
        <v>2</v>
      </c>
      <c r="T32" s="3">
        <f t="shared" si="21"/>
        <v>0</v>
      </c>
      <c r="U32" s="3">
        <v>0</v>
      </c>
      <c r="V32" s="3">
        <v>0</v>
      </c>
      <c r="W32" s="3">
        <f t="shared" si="22"/>
        <v>2</v>
      </c>
      <c r="X32" s="3">
        <v>0</v>
      </c>
      <c r="Y32" s="3">
        <v>2</v>
      </c>
      <c r="Z32" s="4">
        <v>2142553979</v>
      </c>
      <c r="AA32" s="4">
        <v>113796635</v>
      </c>
      <c r="AB32" s="4">
        <v>112430367</v>
      </c>
      <c r="AC32" s="4">
        <v>59500</v>
      </c>
      <c r="AD32" s="4">
        <v>23850015</v>
      </c>
      <c r="AE32" s="4">
        <v>0</v>
      </c>
      <c r="AF32" s="8">
        <v>946716</v>
      </c>
      <c r="AH32" s="68">
        <f t="shared" si="23"/>
        <v>45671</v>
      </c>
      <c r="AI32" s="69">
        <f t="shared" si="24"/>
        <v>2142553979</v>
      </c>
      <c r="AJ32" s="69">
        <f t="shared" si="25"/>
        <v>113796635</v>
      </c>
    </row>
    <row r="33" spans="1:36" ht="14.5" x14ac:dyDescent="0.35">
      <c r="A33" s="6">
        <f t="shared" si="14"/>
        <v>45672</v>
      </c>
      <c r="B33" s="7">
        <f t="shared" si="15"/>
        <v>45678</v>
      </c>
      <c r="C33" s="3">
        <v>451</v>
      </c>
      <c r="D33" s="3">
        <f t="shared" si="16"/>
        <v>50</v>
      </c>
      <c r="E33" s="3">
        <v>4780</v>
      </c>
      <c r="F33" s="3">
        <v>4797</v>
      </c>
      <c r="G33" s="3">
        <f t="shared" si="26"/>
        <v>18</v>
      </c>
      <c r="H33" s="3">
        <f t="shared" si="18"/>
        <v>18</v>
      </c>
      <c r="I33" s="3">
        <v>10</v>
      </c>
      <c r="J33" s="3">
        <v>4</v>
      </c>
      <c r="K33" s="3">
        <v>4</v>
      </c>
      <c r="L33" s="3">
        <f t="shared" si="19"/>
        <v>13</v>
      </c>
      <c r="M33" s="3">
        <v>4</v>
      </c>
      <c r="N33" s="3"/>
      <c r="O33" s="3">
        <v>5</v>
      </c>
      <c r="P33" s="3">
        <v>0</v>
      </c>
      <c r="Q33" s="3">
        <v>4</v>
      </c>
      <c r="R33" s="3"/>
      <c r="S33" s="3">
        <f t="shared" si="20"/>
        <v>5</v>
      </c>
      <c r="T33" s="3">
        <f t="shared" si="21"/>
        <v>3</v>
      </c>
      <c r="U33" s="3">
        <v>0</v>
      </c>
      <c r="V33" s="3">
        <v>3</v>
      </c>
      <c r="W33" s="3">
        <f t="shared" si="22"/>
        <v>2</v>
      </c>
      <c r="X33" s="3">
        <v>2</v>
      </c>
      <c r="Y33" s="3">
        <v>0</v>
      </c>
      <c r="Z33" s="4">
        <v>3391577494</v>
      </c>
      <c r="AA33" s="4">
        <v>46678375</v>
      </c>
      <c r="AB33" s="4">
        <v>45434431</v>
      </c>
      <c r="AC33" s="4">
        <v>3060748</v>
      </c>
      <c r="AD33" s="4">
        <v>31999025</v>
      </c>
      <c r="AE33" s="4">
        <v>1357885</v>
      </c>
      <c r="AF33" s="8">
        <v>31647</v>
      </c>
      <c r="AH33" s="68">
        <f t="shared" si="23"/>
        <v>45678</v>
      </c>
      <c r="AI33" s="69">
        <f t="shared" si="24"/>
        <v>3391577494</v>
      </c>
      <c r="AJ33" s="69">
        <f t="shared" si="25"/>
        <v>46678375</v>
      </c>
    </row>
    <row r="34" spans="1:36" ht="14.5" x14ac:dyDescent="0.35">
      <c r="A34" s="6">
        <f t="shared" si="14"/>
        <v>45679</v>
      </c>
      <c r="B34" s="7">
        <f t="shared" si="15"/>
        <v>45685</v>
      </c>
      <c r="C34" s="3">
        <v>268</v>
      </c>
      <c r="D34" s="3">
        <f t="shared" si="16"/>
        <v>-183</v>
      </c>
      <c r="E34" s="3">
        <v>4798</v>
      </c>
      <c r="F34" s="3">
        <v>4819</v>
      </c>
      <c r="G34" s="3">
        <f t="shared" si="26"/>
        <v>22</v>
      </c>
      <c r="H34" s="3">
        <f t="shared" si="18"/>
        <v>22</v>
      </c>
      <c r="I34" s="3">
        <v>10</v>
      </c>
      <c r="J34" s="3">
        <v>1</v>
      </c>
      <c r="K34" s="3">
        <v>11</v>
      </c>
      <c r="L34" s="3">
        <f t="shared" si="19"/>
        <v>19</v>
      </c>
      <c r="M34" s="3">
        <v>3</v>
      </c>
      <c r="N34" s="3"/>
      <c r="O34" s="3">
        <v>7</v>
      </c>
      <c r="P34" s="3">
        <v>0</v>
      </c>
      <c r="Q34" s="3">
        <v>9</v>
      </c>
      <c r="R34" s="3"/>
      <c r="S34" s="3">
        <f t="shared" si="20"/>
        <v>3</v>
      </c>
      <c r="T34" s="3">
        <f t="shared" si="21"/>
        <v>1</v>
      </c>
      <c r="U34" s="3">
        <v>0</v>
      </c>
      <c r="V34" s="3">
        <v>1</v>
      </c>
      <c r="W34" s="3">
        <f t="shared" si="22"/>
        <v>2</v>
      </c>
      <c r="X34" s="3">
        <v>1</v>
      </c>
      <c r="Y34" s="3">
        <v>1</v>
      </c>
      <c r="Z34" s="4">
        <v>1325739105</v>
      </c>
      <c r="AA34" s="4">
        <v>475590695</v>
      </c>
      <c r="AB34" s="4">
        <v>466087444</v>
      </c>
      <c r="AC34" s="4">
        <v>7441110</v>
      </c>
      <c r="AD34" s="4">
        <v>22664284</v>
      </c>
      <c r="AE34" s="4">
        <v>9281936</v>
      </c>
      <c r="AF34" s="8">
        <v>159222</v>
      </c>
      <c r="AH34" s="68">
        <f t="shared" si="23"/>
        <v>45685</v>
      </c>
      <c r="AI34" s="69">
        <f t="shared" si="24"/>
        <v>1325739105</v>
      </c>
      <c r="AJ34" s="69">
        <f t="shared" si="25"/>
        <v>475590695</v>
      </c>
    </row>
    <row r="35" spans="1:36" ht="14.5" x14ac:dyDescent="0.35">
      <c r="A35" s="6">
        <f t="shared" si="14"/>
        <v>45686</v>
      </c>
      <c r="B35" s="7">
        <f t="shared" si="15"/>
        <v>45692</v>
      </c>
      <c r="C35" s="3">
        <v>502</v>
      </c>
      <c r="D35" s="3">
        <f t="shared" si="16"/>
        <v>234</v>
      </c>
      <c r="E35" s="3">
        <v>4820</v>
      </c>
      <c r="F35" s="3">
        <v>4834</v>
      </c>
      <c r="G35" s="3">
        <f t="shared" si="26"/>
        <v>15</v>
      </c>
      <c r="H35" s="3">
        <f t="shared" si="18"/>
        <v>15</v>
      </c>
      <c r="I35" s="3">
        <v>2</v>
      </c>
      <c r="J35" s="3">
        <v>4</v>
      </c>
      <c r="K35" s="3">
        <v>9</v>
      </c>
      <c r="L35" s="3">
        <f t="shared" si="19"/>
        <v>8</v>
      </c>
      <c r="M35" s="3">
        <v>1</v>
      </c>
      <c r="N35" s="3"/>
      <c r="O35" s="3">
        <v>4</v>
      </c>
      <c r="P35" s="3">
        <v>0</v>
      </c>
      <c r="Q35" s="3">
        <v>3</v>
      </c>
      <c r="R35" s="3"/>
      <c r="S35" s="3">
        <f t="shared" si="20"/>
        <v>7</v>
      </c>
      <c r="T35" s="3">
        <f t="shared" si="21"/>
        <v>4</v>
      </c>
      <c r="U35" s="3">
        <v>1</v>
      </c>
      <c r="V35" s="3">
        <v>3</v>
      </c>
      <c r="W35" s="3">
        <f t="shared" si="22"/>
        <v>3</v>
      </c>
      <c r="X35" s="3">
        <v>1</v>
      </c>
      <c r="Y35" s="3">
        <v>2</v>
      </c>
      <c r="Z35" s="4">
        <v>2971251525</v>
      </c>
      <c r="AA35" s="4">
        <v>54436775</v>
      </c>
      <c r="AB35" s="4">
        <v>14977774</v>
      </c>
      <c r="AC35" s="4">
        <v>29714260</v>
      </c>
      <c r="AD35" s="4">
        <v>15488310</v>
      </c>
      <c r="AE35" s="4">
        <v>2537794</v>
      </c>
      <c r="AF35" s="8">
        <v>1187501</v>
      </c>
      <c r="AH35" s="68">
        <f t="shared" si="23"/>
        <v>45692</v>
      </c>
      <c r="AI35" s="69">
        <f t="shared" si="24"/>
        <v>2971251525</v>
      </c>
      <c r="AJ35" s="69">
        <f t="shared" si="25"/>
        <v>54436775</v>
      </c>
    </row>
    <row r="36" spans="1:36" ht="14.5" x14ac:dyDescent="0.35">
      <c r="A36" s="6">
        <f t="shared" si="14"/>
        <v>45693</v>
      </c>
      <c r="B36" s="7">
        <f t="shared" si="15"/>
        <v>45699</v>
      </c>
      <c r="C36" s="3">
        <v>566</v>
      </c>
      <c r="D36" s="3">
        <f t="shared" si="16"/>
        <v>64</v>
      </c>
      <c r="E36" s="3">
        <v>4835</v>
      </c>
      <c r="F36" s="3">
        <v>4854</v>
      </c>
      <c r="G36" s="3">
        <f t="shared" si="26"/>
        <v>20</v>
      </c>
      <c r="H36" s="3">
        <f t="shared" si="18"/>
        <v>20</v>
      </c>
      <c r="I36" s="3">
        <v>9</v>
      </c>
      <c r="J36" s="3">
        <v>1</v>
      </c>
      <c r="K36" s="3">
        <v>10</v>
      </c>
      <c r="L36" s="3">
        <f t="shared" si="19"/>
        <v>17</v>
      </c>
      <c r="M36" s="3">
        <v>4</v>
      </c>
      <c r="N36" s="3"/>
      <c r="O36" s="3">
        <v>7</v>
      </c>
      <c r="P36" s="3">
        <v>0</v>
      </c>
      <c r="Q36" s="3">
        <v>6</v>
      </c>
      <c r="R36" s="3"/>
      <c r="S36" s="3">
        <f t="shared" si="20"/>
        <v>3</v>
      </c>
      <c r="T36" s="3">
        <f t="shared" si="21"/>
        <v>1</v>
      </c>
      <c r="U36" s="3">
        <v>1</v>
      </c>
      <c r="V36" s="3">
        <v>0</v>
      </c>
      <c r="W36" s="3">
        <f t="shared" si="22"/>
        <v>2</v>
      </c>
      <c r="X36" s="3">
        <v>2</v>
      </c>
      <c r="Y36" s="3">
        <v>0</v>
      </c>
      <c r="Z36" s="4">
        <v>2633921157</v>
      </c>
      <c r="AA36" s="4">
        <v>30349421</v>
      </c>
      <c r="AB36" s="4">
        <v>29857306</v>
      </c>
      <c r="AC36" s="4">
        <v>3610351</v>
      </c>
      <c r="AD36" s="4">
        <v>2529550</v>
      </c>
      <c r="AE36" s="4">
        <v>228480</v>
      </c>
      <c r="AF36" s="8">
        <v>87500</v>
      </c>
      <c r="AH36" s="68">
        <f t="shared" si="23"/>
        <v>45699</v>
      </c>
      <c r="AI36" s="69">
        <f t="shared" si="24"/>
        <v>2633921157</v>
      </c>
      <c r="AJ36" s="69">
        <f t="shared" si="25"/>
        <v>30349421</v>
      </c>
    </row>
    <row r="37" spans="1:36" ht="14.5" x14ac:dyDescent="0.35">
      <c r="A37" s="6">
        <f t="shared" si="14"/>
        <v>45700</v>
      </c>
      <c r="B37" s="7">
        <f t="shared" si="15"/>
        <v>45706</v>
      </c>
      <c r="C37" s="3">
        <v>512</v>
      </c>
      <c r="D37" s="3">
        <f t="shared" si="16"/>
        <v>-54</v>
      </c>
      <c r="E37" s="3">
        <v>4855</v>
      </c>
      <c r="F37" s="3">
        <v>4870</v>
      </c>
      <c r="G37" s="3">
        <f t="shared" si="26"/>
        <v>16</v>
      </c>
      <c r="H37" s="3">
        <f t="shared" si="18"/>
        <v>16</v>
      </c>
      <c r="I37" s="3">
        <v>2</v>
      </c>
      <c r="J37" s="3">
        <v>0</v>
      </c>
      <c r="K37" s="3">
        <v>14</v>
      </c>
      <c r="L37" s="3">
        <f t="shared" si="19"/>
        <v>14</v>
      </c>
      <c r="M37" s="3">
        <v>6</v>
      </c>
      <c r="N37" s="3"/>
      <c r="O37" s="3">
        <v>1</v>
      </c>
      <c r="P37" s="3">
        <v>0</v>
      </c>
      <c r="Q37" s="3">
        <v>7</v>
      </c>
      <c r="R37" s="3"/>
      <c r="S37" s="3">
        <f t="shared" si="20"/>
        <v>2</v>
      </c>
      <c r="T37" s="3">
        <f t="shared" si="21"/>
        <v>0</v>
      </c>
      <c r="U37" s="3">
        <v>0</v>
      </c>
      <c r="V37" s="3">
        <v>0</v>
      </c>
      <c r="W37" s="3">
        <f t="shared" si="22"/>
        <v>2</v>
      </c>
      <c r="X37" s="3">
        <v>0</v>
      </c>
      <c r="Y37" s="3">
        <v>2</v>
      </c>
      <c r="Z37" s="4">
        <v>1753553077</v>
      </c>
      <c r="AA37" s="4">
        <v>33472651</v>
      </c>
      <c r="AB37" s="4">
        <v>21393245</v>
      </c>
      <c r="AC37" s="4">
        <v>9623772</v>
      </c>
      <c r="AD37" s="4">
        <v>522410</v>
      </c>
      <c r="AE37" s="4">
        <v>0</v>
      </c>
      <c r="AF37" s="8">
        <v>1857406</v>
      </c>
      <c r="AH37" s="68">
        <f t="shared" si="23"/>
        <v>45706</v>
      </c>
      <c r="AI37" s="69">
        <f t="shared" si="24"/>
        <v>1753553077</v>
      </c>
      <c r="AJ37" s="69">
        <f t="shared" si="25"/>
        <v>33472651</v>
      </c>
    </row>
    <row r="38" spans="1:36" ht="14.5" x14ac:dyDescent="0.35">
      <c r="A38" s="6">
        <f t="shared" si="14"/>
        <v>45707</v>
      </c>
      <c r="B38" s="7">
        <f t="shared" si="15"/>
        <v>45713</v>
      </c>
      <c r="C38" s="3">
        <v>408</v>
      </c>
      <c r="D38" s="3">
        <f t="shared" si="16"/>
        <v>-104</v>
      </c>
      <c r="E38" s="3">
        <v>4871</v>
      </c>
      <c r="F38" s="3">
        <v>4886</v>
      </c>
      <c r="G38" s="3">
        <f t="shared" si="26"/>
        <v>16</v>
      </c>
      <c r="H38" s="3">
        <f t="shared" si="18"/>
        <v>16</v>
      </c>
      <c r="I38" s="3">
        <v>4</v>
      </c>
      <c r="J38" s="3">
        <v>3</v>
      </c>
      <c r="K38" s="3">
        <v>9</v>
      </c>
      <c r="L38" s="3">
        <f t="shared" si="19"/>
        <v>13</v>
      </c>
      <c r="M38" s="3">
        <v>2</v>
      </c>
      <c r="N38" s="3"/>
      <c r="O38" s="3">
        <v>4</v>
      </c>
      <c r="P38" s="3">
        <v>0</v>
      </c>
      <c r="Q38" s="3">
        <v>7</v>
      </c>
      <c r="R38" s="3"/>
      <c r="S38" s="3">
        <f t="shared" si="20"/>
        <v>3</v>
      </c>
      <c r="T38" s="3">
        <f t="shared" si="21"/>
        <v>0</v>
      </c>
      <c r="U38" s="3">
        <v>0</v>
      </c>
      <c r="V38" s="3">
        <v>0</v>
      </c>
      <c r="W38" s="3">
        <f t="shared" si="22"/>
        <v>3</v>
      </c>
      <c r="X38" s="3">
        <v>2</v>
      </c>
      <c r="Y38" s="3">
        <v>1</v>
      </c>
      <c r="Z38" s="4">
        <v>1709198079</v>
      </c>
      <c r="AA38" s="4">
        <v>13253856</v>
      </c>
      <c r="AB38" s="4">
        <v>12578491</v>
      </c>
      <c r="AC38" s="4">
        <v>3084926</v>
      </c>
      <c r="AD38" s="4">
        <v>623718</v>
      </c>
      <c r="AE38" s="4">
        <v>0</v>
      </c>
      <c r="AF38" s="8">
        <v>8834554</v>
      </c>
      <c r="AH38" s="68">
        <f t="shared" si="23"/>
        <v>45713</v>
      </c>
      <c r="AI38" s="69">
        <f t="shared" si="24"/>
        <v>1709198079</v>
      </c>
      <c r="AJ38" s="69">
        <f t="shared" si="25"/>
        <v>13253856</v>
      </c>
    </row>
    <row r="39" spans="1:36" ht="14.5" x14ac:dyDescent="0.35">
      <c r="A39" s="6">
        <f t="shared" si="14"/>
        <v>45714</v>
      </c>
      <c r="B39" s="7">
        <f t="shared" si="15"/>
        <v>45720</v>
      </c>
      <c r="C39" s="3">
        <v>458</v>
      </c>
      <c r="D39" s="3">
        <f t="shared" si="16"/>
        <v>50</v>
      </c>
      <c r="E39" s="3">
        <v>4887</v>
      </c>
      <c r="F39" s="3">
        <v>4915</v>
      </c>
      <c r="G39" s="3">
        <f t="shared" si="26"/>
        <v>29</v>
      </c>
      <c r="H39" s="3">
        <f t="shared" si="18"/>
        <v>29</v>
      </c>
      <c r="I39" s="3">
        <v>5</v>
      </c>
      <c r="J39" s="3">
        <v>2</v>
      </c>
      <c r="K39" s="3">
        <v>22</v>
      </c>
      <c r="L39" s="3">
        <f t="shared" si="19"/>
        <v>23</v>
      </c>
      <c r="M39" s="3">
        <v>1</v>
      </c>
      <c r="N39" s="3"/>
      <c r="O39" s="3">
        <v>12</v>
      </c>
      <c r="P39" s="3">
        <v>0</v>
      </c>
      <c r="Q39" s="3">
        <v>10</v>
      </c>
      <c r="R39" s="3"/>
      <c r="S39" s="3">
        <f t="shared" si="20"/>
        <v>6</v>
      </c>
      <c r="T39" s="3">
        <f t="shared" si="21"/>
        <v>0</v>
      </c>
      <c r="U39" s="3">
        <v>0</v>
      </c>
      <c r="V39" s="3">
        <v>0</v>
      </c>
      <c r="W39" s="3">
        <f t="shared" si="22"/>
        <v>6</v>
      </c>
      <c r="X39" s="3">
        <v>3</v>
      </c>
      <c r="Y39" s="3">
        <v>3</v>
      </c>
      <c r="Z39" s="4">
        <v>2837551119</v>
      </c>
      <c r="AA39" s="4">
        <v>312712093</v>
      </c>
      <c r="AB39" s="4">
        <f>172958727+136093764</f>
        <v>309052491</v>
      </c>
      <c r="AC39" s="4">
        <v>301655</v>
      </c>
      <c r="AD39" s="4">
        <f>38521+10774957</f>
        <v>10813478</v>
      </c>
      <c r="AE39" s="4">
        <v>0</v>
      </c>
      <c r="AF39" s="8">
        <v>4435946</v>
      </c>
      <c r="AH39" s="68">
        <f t="shared" si="23"/>
        <v>45720</v>
      </c>
      <c r="AI39" s="69">
        <f t="shared" si="24"/>
        <v>2837551119</v>
      </c>
      <c r="AJ39" s="69">
        <f t="shared" si="25"/>
        <v>312712093</v>
      </c>
    </row>
    <row r="40" spans="1:36" ht="14.5" x14ac:dyDescent="0.35">
      <c r="A40" s="6">
        <f t="shared" si="14"/>
        <v>45721</v>
      </c>
      <c r="B40" s="7">
        <f t="shared" si="15"/>
        <v>45727</v>
      </c>
      <c r="C40" s="3">
        <v>643</v>
      </c>
      <c r="D40" s="3">
        <f t="shared" si="16"/>
        <v>185</v>
      </c>
      <c r="E40" s="3">
        <v>4916</v>
      </c>
      <c r="F40" s="3">
        <v>4933</v>
      </c>
      <c r="G40" s="3">
        <f t="shared" si="26"/>
        <v>18</v>
      </c>
      <c r="H40" s="3">
        <f t="shared" si="18"/>
        <v>18</v>
      </c>
      <c r="I40" s="3">
        <v>12</v>
      </c>
      <c r="J40" s="3">
        <v>2</v>
      </c>
      <c r="K40" s="3">
        <v>4</v>
      </c>
      <c r="L40" s="3">
        <f t="shared" si="19"/>
        <v>17</v>
      </c>
      <c r="M40" s="3">
        <v>2</v>
      </c>
      <c r="N40" s="3"/>
      <c r="O40" s="3">
        <v>3</v>
      </c>
      <c r="P40" s="3">
        <v>0</v>
      </c>
      <c r="Q40" s="3">
        <v>12</v>
      </c>
      <c r="R40" s="3"/>
      <c r="S40" s="3">
        <f t="shared" si="20"/>
        <v>1</v>
      </c>
      <c r="T40" s="3">
        <f t="shared" si="21"/>
        <v>0</v>
      </c>
      <c r="U40" s="3">
        <v>0</v>
      </c>
      <c r="V40" s="3">
        <v>0</v>
      </c>
      <c r="W40" s="3">
        <f t="shared" si="22"/>
        <v>1</v>
      </c>
      <c r="X40" s="3">
        <v>0</v>
      </c>
      <c r="Y40" s="3">
        <v>1</v>
      </c>
      <c r="Z40" s="4">
        <v>2426242381</v>
      </c>
      <c r="AA40" s="4">
        <v>81555123</v>
      </c>
      <c r="AB40" s="4">
        <v>68767293</v>
      </c>
      <c r="AC40" s="4">
        <v>6666083</v>
      </c>
      <c r="AD40" s="4">
        <v>49634019</v>
      </c>
      <c r="AE40" s="4">
        <v>0</v>
      </c>
      <c r="AF40" s="8">
        <v>316540</v>
      </c>
      <c r="AH40" s="68">
        <f t="shared" si="23"/>
        <v>45727</v>
      </c>
      <c r="AI40" s="69">
        <f t="shared" si="24"/>
        <v>2426242381</v>
      </c>
      <c r="AJ40" s="69">
        <f t="shared" si="25"/>
        <v>81555123</v>
      </c>
    </row>
    <row r="41" spans="1:36" ht="14.5" x14ac:dyDescent="0.35">
      <c r="A41" s="6">
        <f t="shared" si="14"/>
        <v>45728</v>
      </c>
      <c r="B41" s="7">
        <f t="shared" si="15"/>
        <v>45734</v>
      </c>
      <c r="C41" s="3">
        <v>596</v>
      </c>
      <c r="D41" s="3">
        <f t="shared" si="16"/>
        <v>-47</v>
      </c>
      <c r="E41" s="3">
        <v>4934</v>
      </c>
      <c r="F41" s="3">
        <v>4966</v>
      </c>
      <c r="G41" s="3">
        <f t="shared" si="26"/>
        <v>33</v>
      </c>
      <c r="H41" s="3">
        <f t="shared" si="18"/>
        <v>33</v>
      </c>
      <c r="I41" s="3">
        <v>12</v>
      </c>
      <c r="J41" s="3">
        <v>0</v>
      </c>
      <c r="K41" s="3">
        <v>21</v>
      </c>
      <c r="L41" s="3">
        <f t="shared" si="19"/>
        <v>26</v>
      </c>
      <c r="M41" s="3">
        <v>3</v>
      </c>
      <c r="N41" s="3"/>
      <c r="O41" s="3">
        <v>11</v>
      </c>
      <c r="P41" s="3">
        <v>0</v>
      </c>
      <c r="Q41" s="3">
        <v>12</v>
      </c>
      <c r="R41" s="3"/>
      <c r="S41" s="3">
        <f t="shared" si="20"/>
        <v>7</v>
      </c>
      <c r="T41" s="3">
        <f t="shared" si="21"/>
        <v>0</v>
      </c>
      <c r="U41" s="3">
        <v>0</v>
      </c>
      <c r="V41" s="3">
        <v>0</v>
      </c>
      <c r="W41" s="3">
        <f t="shared" si="22"/>
        <v>7</v>
      </c>
      <c r="X41" s="3">
        <v>4</v>
      </c>
      <c r="Y41" s="3">
        <v>3</v>
      </c>
      <c r="Z41" s="4">
        <v>1935955886</v>
      </c>
      <c r="AA41" s="4">
        <v>64646365</v>
      </c>
      <c r="AB41" s="4">
        <v>57590590</v>
      </c>
      <c r="AC41" s="4">
        <v>0</v>
      </c>
      <c r="AD41" s="4">
        <v>18804747</v>
      </c>
      <c r="AE41" s="4">
        <v>0</v>
      </c>
      <c r="AF41" s="8">
        <v>1821488</v>
      </c>
      <c r="AH41" s="68">
        <f t="shared" si="23"/>
        <v>45734</v>
      </c>
      <c r="AI41" s="69">
        <f t="shared" si="24"/>
        <v>1935955886</v>
      </c>
      <c r="AJ41" s="69">
        <f t="shared" si="25"/>
        <v>64646365</v>
      </c>
    </row>
    <row r="42" spans="1:36" ht="14.5" x14ac:dyDescent="0.35">
      <c r="A42" s="6">
        <f t="shared" si="14"/>
        <v>45735</v>
      </c>
      <c r="B42" s="7">
        <f t="shared" si="15"/>
        <v>45741</v>
      </c>
      <c r="C42" s="3">
        <v>310</v>
      </c>
      <c r="D42" s="3">
        <f t="shared" si="16"/>
        <v>-286</v>
      </c>
      <c r="E42" s="3">
        <v>4967</v>
      </c>
      <c r="F42" s="3">
        <v>4989</v>
      </c>
      <c r="G42" s="3">
        <f t="shared" si="26"/>
        <v>23</v>
      </c>
      <c r="H42" s="3">
        <f t="shared" si="18"/>
        <v>23</v>
      </c>
      <c r="I42" s="3">
        <v>7</v>
      </c>
      <c r="J42" s="3">
        <v>2</v>
      </c>
      <c r="K42" s="3">
        <v>14</v>
      </c>
      <c r="L42" s="3">
        <f t="shared" si="19"/>
        <v>17</v>
      </c>
      <c r="M42" s="3">
        <v>2</v>
      </c>
      <c r="N42" s="3"/>
      <c r="O42" s="3">
        <v>10</v>
      </c>
      <c r="P42" s="3">
        <v>0</v>
      </c>
      <c r="Q42" s="3">
        <v>5</v>
      </c>
      <c r="R42" s="3"/>
      <c r="S42" s="3">
        <f t="shared" si="20"/>
        <v>6</v>
      </c>
      <c r="T42" s="3">
        <f t="shared" si="21"/>
        <v>0</v>
      </c>
      <c r="U42" s="3">
        <v>0</v>
      </c>
      <c r="V42" s="3">
        <v>0</v>
      </c>
      <c r="W42" s="3">
        <f t="shared" si="22"/>
        <v>6</v>
      </c>
      <c r="X42" s="3">
        <v>5</v>
      </c>
      <c r="Y42" s="3">
        <v>1</v>
      </c>
      <c r="Z42" s="4">
        <v>1785152262</v>
      </c>
      <c r="AA42" s="4">
        <v>106904180</v>
      </c>
      <c r="AB42" s="4">
        <v>96628492</v>
      </c>
      <c r="AC42" s="4">
        <v>48869071</v>
      </c>
      <c r="AD42" s="4">
        <v>40770662</v>
      </c>
      <c r="AE42" s="4">
        <v>0</v>
      </c>
      <c r="AF42" s="8">
        <v>4497408</v>
      </c>
      <c r="AH42" s="68">
        <f t="shared" si="23"/>
        <v>45741</v>
      </c>
      <c r="AI42" s="69">
        <f t="shared" si="24"/>
        <v>1785152262</v>
      </c>
      <c r="AJ42" s="69">
        <f t="shared" si="25"/>
        <v>106904180</v>
      </c>
    </row>
    <row r="43" spans="1:36" ht="14.5" x14ac:dyDescent="0.35">
      <c r="A43" s="6">
        <f t="shared" si="14"/>
        <v>45742</v>
      </c>
      <c r="B43" s="7">
        <f t="shared" si="15"/>
        <v>45748</v>
      </c>
      <c r="C43" s="3">
        <v>332</v>
      </c>
      <c r="D43" s="3">
        <f t="shared" si="16"/>
        <v>22</v>
      </c>
      <c r="E43" s="3">
        <v>4990</v>
      </c>
      <c r="F43" s="3">
        <v>5016</v>
      </c>
      <c r="G43" s="3">
        <f t="shared" si="26"/>
        <v>27</v>
      </c>
      <c r="H43" s="3">
        <f t="shared" si="18"/>
        <v>27</v>
      </c>
      <c r="I43" s="3">
        <v>9</v>
      </c>
      <c r="J43" s="3">
        <v>3</v>
      </c>
      <c r="K43" s="3">
        <v>15</v>
      </c>
      <c r="L43" s="3">
        <f t="shared" si="19"/>
        <v>16</v>
      </c>
      <c r="M43" s="3">
        <v>1</v>
      </c>
      <c r="N43" s="3"/>
      <c r="O43" s="3">
        <v>8</v>
      </c>
      <c r="P43" s="3">
        <v>1</v>
      </c>
      <c r="Q43" s="3">
        <v>6</v>
      </c>
      <c r="R43" s="3"/>
      <c r="S43" s="3">
        <f t="shared" si="20"/>
        <v>11</v>
      </c>
      <c r="T43" s="3">
        <f t="shared" si="21"/>
        <v>3</v>
      </c>
      <c r="U43" s="3">
        <v>3</v>
      </c>
      <c r="V43" s="3">
        <v>0</v>
      </c>
      <c r="W43" s="3">
        <f t="shared" si="22"/>
        <v>8</v>
      </c>
      <c r="X43" s="3">
        <v>5</v>
      </c>
      <c r="Y43" s="3">
        <v>3</v>
      </c>
      <c r="Z43" s="4">
        <v>1295432593</v>
      </c>
      <c r="AA43" s="4">
        <v>172689123</v>
      </c>
      <c r="AB43" s="4">
        <v>168624842</v>
      </c>
      <c r="AC43" s="4">
        <v>829461</v>
      </c>
      <c r="AD43" s="4">
        <v>44497152</v>
      </c>
      <c r="AE43" s="4">
        <v>353580</v>
      </c>
      <c r="AF43" s="8">
        <v>5548659</v>
      </c>
      <c r="AH43" s="68">
        <f t="shared" si="23"/>
        <v>45748</v>
      </c>
      <c r="AI43" s="69">
        <f t="shared" si="24"/>
        <v>1295432593</v>
      </c>
      <c r="AJ43" s="69">
        <f t="shared" si="25"/>
        <v>172689123</v>
      </c>
    </row>
    <row r="44" spans="1:36" ht="14.5" x14ac:dyDescent="0.35">
      <c r="A44" s="6">
        <f t="shared" si="14"/>
        <v>45749</v>
      </c>
      <c r="B44" s="7">
        <f t="shared" si="15"/>
        <v>45755</v>
      </c>
      <c r="C44" s="3">
        <v>564</v>
      </c>
      <c r="D44" s="3">
        <f t="shared" si="16"/>
        <v>232</v>
      </c>
      <c r="E44" s="3">
        <v>5017</v>
      </c>
      <c r="F44" s="3">
        <v>5038</v>
      </c>
      <c r="G44" s="3">
        <f t="shared" si="26"/>
        <v>22</v>
      </c>
      <c r="H44" s="3">
        <f t="shared" si="18"/>
        <v>22</v>
      </c>
      <c r="I44" s="3">
        <v>17</v>
      </c>
      <c r="J44" s="3">
        <v>3</v>
      </c>
      <c r="K44" s="3">
        <v>2</v>
      </c>
      <c r="L44" s="3">
        <f t="shared" si="19"/>
        <v>10</v>
      </c>
      <c r="M44" s="3">
        <v>4</v>
      </c>
      <c r="N44" s="3"/>
      <c r="O44" s="3">
        <v>2</v>
      </c>
      <c r="P44" s="3">
        <v>0</v>
      </c>
      <c r="Q44" s="3">
        <v>4</v>
      </c>
      <c r="R44" s="3"/>
      <c r="S44" s="3">
        <f t="shared" si="20"/>
        <v>12</v>
      </c>
      <c r="T44" s="3">
        <f t="shared" si="21"/>
        <v>2</v>
      </c>
      <c r="U44" s="3">
        <v>2</v>
      </c>
      <c r="V44" s="3">
        <v>0</v>
      </c>
      <c r="W44" s="3">
        <f t="shared" si="22"/>
        <v>10</v>
      </c>
      <c r="X44" s="3">
        <v>7</v>
      </c>
      <c r="Y44" s="3">
        <v>3</v>
      </c>
      <c r="Z44" s="4">
        <v>2360022740</v>
      </c>
      <c r="AA44" s="4">
        <v>71253584</v>
      </c>
      <c r="AB44" s="4">
        <v>52266298</v>
      </c>
      <c r="AC44" s="4">
        <v>14763986</v>
      </c>
      <c r="AD44" s="4">
        <v>794934</v>
      </c>
      <c r="AE44" s="4">
        <v>187821</v>
      </c>
      <c r="AF44" s="8">
        <v>12558328</v>
      </c>
      <c r="AH44" s="68">
        <f t="shared" si="23"/>
        <v>45755</v>
      </c>
      <c r="AI44" s="69">
        <f t="shared" si="24"/>
        <v>2360022740</v>
      </c>
      <c r="AJ44" s="69">
        <f t="shared" si="25"/>
        <v>71253584</v>
      </c>
    </row>
    <row r="45" spans="1:36" ht="14.5" x14ac:dyDescent="0.35">
      <c r="A45" s="6">
        <f t="shared" si="14"/>
        <v>45756</v>
      </c>
      <c r="B45" s="7">
        <f t="shared" si="15"/>
        <v>45762</v>
      </c>
      <c r="C45" s="3">
        <v>519</v>
      </c>
      <c r="D45" s="3">
        <f t="shared" si="16"/>
        <v>-45</v>
      </c>
      <c r="E45" s="3">
        <v>5039</v>
      </c>
      <c r="F45" s="3">
        <v>5057</v>
      </c>
      <c r="G45" s="3">
        <f t="shared" si="26"/>
        <v>19</v>
      </c>
      <c r="H45" s="3">
        <f t="shared" si="18"/>
        <v>19</v>
      </c>
      <c r="I45" s="3">
        <v>12</v>
      </c>
      <c r="J45" s="3">
        <v>1</v>
      </c>
      <c r="K45" s="3">
        <v>6</v>
      </c>
      <c r="L45" s="3">
        <f t="shared" si="19"/>
        <v>18</v>
      </c>
      <c r="M45" s="3">
        <v>2</v>
      </c>
      <c r="N45" s="3"/>
      <c r="O45" s="3">
        <v>3</v>
      </c>
      <c r="P45" s="3">
        <v>0</v>
      </c>
      <c r="Q45" s="3">
        <v>13</v>
      </c>
      <c r="R45" s="3"/>
      <c r="S45" s="3">
        <f t="shared" si="20"/>
        <v>1</v>
      </c>
      <c r="T45" s="3">
        <f t="shared" si="21"/>
        <v>1</v>
      </c>
      <c r="U45" s="3">
        <v>1</v>
      </c>
      <c r="V45" s="3">
        <v>0</v>
      </c>
      <c r="W45" s="3">
        <f t="shared" si="22"/>
        <v>0</v>
      </c>
      <c r="X45" s="3">
        <v>0</v>
      </c>
      <c r="Y45" s="3">
        <v>0</v>
      </c>
      <c r="Z45" s="4">
        <v>2193769103</v>
      </c>
      <c r="AA45" s="4">
        <v>156954008</v>
      </c>
      <c r="AB45" s="4">
        <v>147770051</v>
      </c>
      <c r="AC45" s="4">
        <v>80633800</v>
      </c>
      <c r="AD45" s="4">
        <v>55853261</v>
      </c>
      <c r="AE45" s="4">
        <v>105910</v>
      </c>
      <c r="AF45" s="8">
        <v>0</v>
      </c>
      <c r="AH45" s="68">
        <f t="shared" si="23"/>
        <v>45762</v>
      </c>
      <c r="AI45" s="69">
        <f t="shared" si="24"/>
        <v>2193769103</v>
      </c>
      <c r="AJ45" s="69">
        <f t="shared" si="25"/>
        <v>156954008</v>
      </c>
    </row>
    <row r="46" spans="1:36" ht="14.5" x14ac:dyDescent="0.35">
      <c r="A46" s="6">
        <f t="shared" si="14"/>
        <v>45763</v>
      </c>
      <c r="B46" s="7">
        <f t="shared" si="15"/>
        <v>45769</v>
      </c>
      <c r="C46" s="3">
        <v>191</v>
      </c>
      <c r="D46" s="3">
        <f t="shared" si="16"/>
        <v>-328</v>
      </c>
      <c r="E46" s="3">
        <v>5058</v>
      </c>
      <c r="F46" s="3">
        <v>5067</v>
      </c>
      <c r="G46" s="3">
        <f t="shared" si="26"/>
        <v>10</v>
      </c>
      <c r="H46" s="3">
        <f t="shared" si="18"/>
        <v>10</v>
      </c>
      <c r="I46" s="3">
        <v>1</v>
      </c>
      <c r="J46" s="3">
        <v>0</v>
      </c>
      <c r="K46" s="3">
        <v>9</v>
      </c>
      <c r="L46" s="3">
        <f t="shared" si="19"/>
        <v>7</v>
      </c>
      <c r="M46" s="3">
        <v>2</v>
      </c>
      <c r="N46" s="3"/>
      <c r="O46" s="3">
        <v>2</v>
      </c>
      <c r="P46" s="3">
        <v>0</v>
      </c>
      <c r="Q46" s="3">
        <v>3</v>
      </c>
      <c r="R46" s="3"/>
      <c r="S46" s="3">
        <f t="shared" si="20"/>
        <v>3</v>
      </c>
      <c r="T46" s="3">
        <f t="shared" si="21"/>
        <v>0</v>
      </c>
      <c r="U46" s="3">
        <v>0</v>
      </c>
      <c r="V46" s="3">
        <v>0</v>
      </c>
      <c r="W46" s="3">
        <f t="shared" si="22"/>
        <v>3</v>
      </c>
      <c r="X46" s="3">
        <v>3</v>
      </c>
      <c r="Y46" s="3">
        <v>0</v>
      </c>
      <c r="Z46" s="4">
        <v>924585492</v>
      </c>
      <c r="AA46" s="4">
        <v>25321063</v>
      </c>
      <c r="AB46" s="4">
        <v>23831505</v>
      </c>
      <c r="AC46" s="4">
        <v>6098065</v>
      </c>
      <c r="AD46" s="4">
        <v>11629191</v>
      </c>
      <c r="AE46" s="4">
        <v>0</v>
      </c>
      <c r="AF46" s="8">
        <v>2602762</v>
      </c>
      <c r="AH46" s="68">
        <f t="shared" si="23"/>
        <v>45769</v>
      </c>
      <c r="AI46" s="69">
        <f t="shared" si="24"/>
        <v>924585492</v>
      </c>
      <c r="AJ46" s="69">
        <f t="shared" si="25"/>
        <v>25321063</v>
      </c>
    </row>
    <row r="47" spans="1:36" ht="14.5" x14ac:dyDescent="0.35">
      <c r="A47" s="6">
        <f t="shared" si="14"/>
        <v>45770</v>
      </c>
      <c r="B47" s="7">
        <f t="shared" si="15"/>
        <v>45776</v>
      </c>
      <c r="C47" s="3">
        <v>281</v>
      </c>
      <c r="D47" s="3">
        <f t="shared" si="16"/>
        <v>90</v>
      </c>
      <c r="E47" s="3">
        <v>5068</v>
      </c>
      <c r="F47" s="3">
        <v>5107</v>
      </c>
      <c r="G47" s="3">
        <f t="shared" si="26"/>
        <v>40</v>
      </c>
      <c r="H47" s="3">
        <f t="shared" si="18"/>
        <v>40</v>
      </c>
      <c r="I47" s="3">
        <v>6</v>
      </c>
      <c r="J47" s="3">
        <v>2</v>
      </c>
      <c r="K47" s="3">
        <v>32</v>
      </c>
      <c r="L47" s="3">
        <f t="shared" si="19"/>
        <v>28</v>
      </c>
      <c r="M47" s="3">
        <v>3</v>
      </c>
      <c r="N47" s="3"/>
      <c r="O47" s="3">
        <v>12</v>
      </c>
      <c r="P47" s="3">
        <v>1</v>
      </c>
      <c r="Q47" s="3">
        <v>12</v>
      </c>
      <c r="R47" s="3"/>
      <c r="S47" s="3">
        <f t="shared" si="20"/>
        <v>12</v>
      </c>
      <c r="T47" s="3">
        <f t="shared" si="21"/>
        <v>3</v>
      </c>
      <c r="U47" s="3">
        <v>3</v>
      </c>
      <c r="V47" s="3">
        <v>0</v>
      </c>
      <c r="W47" s="3">
        <f t="shared" si="22"/>
        <v>9</v>
      </c>
      <c r="X47" s="3">
        <v>3</v>
      </c>
      <c r="Y47" s="3">
        <v>6</v>
      </c>
      <c r="Z47" s="4">
        <v>1278786751</v>
      </c>
      <c r="AA47" s="4">
        <v>174030562</v>
      </c>
      <c r="AB47" s="4">
        <v>162261087</v>
      </c>
      <c r="AC47" s="4">
        <v>17175518</v>
      </c>
      <c r="AD47" s="4">
        <v>38704799</v>
      </c>
      <c r="AE47" s="4">
        <v>644861</v>
      </c>
      <c r="AF47" s="8">
        <v>26750103</v>
      </c>
      <c r="AH47" s="68">
        <f t="shared" si="23"/>
        <v>45776</v>
      </c>
      <c r="AI47" s="69">
        <f t="shared" si="24"/>
        <v>1278786751</v>
      </c>
      <c r="AJ47" s="69">
        <f t="shared" si="25"/>
        <v>174030562</v>
      </c>
    </row>
    <row r="48" spans="1:36" ht="14.5" x14ac:dyDescent="0.35">
      <c r="A48" s="6">
        <f t="shared" si="14"/>
        <v>45777</v>
      </c>
      <c r="B48" s="7">
        <f t="shared" si="15"/>
        <v>45783</v>
      </c>
      <c r="C48" s="3">
        <v>454</v>
      </c>
      <c r="D48" s="3">
        <f t="shared" si="16"/>
        <v>173</v>
      </c>
      <c r="E48" s="3">
        <v>5108</v>
      </c>
      <c r="F48" s="3">
        <v>5120</v>
      </c>
      <c r="G48" s="3">
        <f t="shared" si="26"/>
        <v>13</v>
      </c>
      <c r="H48" s="3">
        <f t="shared" si="18"/>
        <v>13</v>
      </c>
      <c r="I48" s="3">
        <v>5</v>
      </c>
      <c r="J48" s="3">
        <v>1</v>
      </c>
      <c r="K48" s="3">
        <v>7</v>
      </c>
      <c r="L48" s="3">
        <f t="shared" si="19"/>
        <v>9</v>
      </c>
      <c r="M48" s="3">
        <v>2</v>
      </c>
      <c r="N48" s="3"/>
      <c r="O48" s="3">
        <v>1</v>
      </c>
      <c r="P48" s="3">
        <v>0</v>
      </c>
      <c r="Q48" s="3">
        <v>6</v>
      </c>
      <c r="R48" s="3"/>
      <c r="S48" s="3">
        <f t="shared" si="20"/>
        <v>4</v>
      </c>
      <c r="T48" s="3">
        <f t="shared" si="21"/>
        <v>0</v>
      </c>
      <c r="U48" s="3">
        <v>0</v>
      </c>
      <c r="V48" s="3">
        <v>0</v>
      </c>
      <c r="W48" s="3">
        <f t="shared" si="22"/>
        <v>4</v>
      </c>
      <c r="X48" s="3">
        <v>0</v>
      </c>
      <c r="Y48" s="3">
        <v>4</v>
      </c>
      <c r="Z48" s="4">
        <v>1977479161</v>
      </c>
      <c r="AA48" s="4">
        <v>79279324</v>
      </c>
      <c r="AB48" s="4">
        <v>69382557</v>
      </c>
      <c r="AC48" s="4">
        <f>37903543+9752513</f>
        <v>47656056</v>
      </c>
      <c r="AD48" s="4">
        <v>9406995</v>
      </c>
      <c r="AE48" s="4">
        <v>0</v>
      </c>
      <c r="AF48" s="8">
        <v>9896768</v>
      </c>
      <c r="AH48" s="68">
        <f t="shared" si="23"/>
        <v>45783</v>
      </c>
      <c r="AI48" s="69">
        <f t="shared" si="24"/>
        <v>1977479161</v>
      </c>
      <c r="AJ48" s="69">
        <f t="shared" si="25"/>
        <v>79279324</v>
      </c>
    </row>
    <row r="49" spans="1:37" ht="14.5" x14ac:dyDescent="0.35">
      <c r="A49" s="6">
        <f t="shared" si="14"/>
        <v>45784</v>
      </c>
      <c r="B49" s="7">
        <f t="shared" si="15"/>
        <v>45790</v>
      </c>
      <c r="C49" s="3">
        <v>540</v>
      </c>
      <c r="D49" s="3">
        <f t="shared" si="16"/>
        <v>86</v>
      </c>
      <c r="E49" s="3">
        <v>5121</v>
      </c>
      <c r="F49" s="3">
        <v>5130</v>
      </c>
      <c r="G49" s="3">
        <f t="shared" si="26"/>
        <v>10</v>
      </c>
      <c r="H49" s="3">
        <f t="shared" si="18"/>
        <v>10</v>
      </c>
      <c r="I49" s="3">
        <v>3</v>
      </c>
      <c r="J49" s="3">
        <v>0</v>
      </c>
      <c r="K49" s="3">
        <v>7</v>
      </c>
      <c r="L49" s="3">
        <f t="shared" si="19"/>
        <v>8</v>
      </c>
      <c r="M49" s="3">
        <v>0</v>
      </c>
      <c r="N49" s="3">
        <v>1</v>
      </c>
      <c r="O49" s="3">
        <v>3</v>
      </c>
      <c r="P49" s="3">
        <v>1</v>
      </c>
      <c r="Q49" s="3">
        <v>3</v>
      </c>
      <c r="R49" s="3"/>
      <c r="S49" s="3">
        <f t="shared" si="20"/>
        <v>2</v>
      </c>
      <c r="T49" s="3">
        <f t="shared" si="21"/>
        <v>0</v>
      </c>
      <c r="U49" s="3">
        <v>0</v>
      </c>
      <c r="V49" s="3">
        <v>0</v>
      </c>
      <c r="W49" s="3">
        <f t="shared" si="22"/>
        <v>2</v>
      </c>
      <c r="X49" s="3">
        <v>1</v>
      </c>
      <c r="Y49" s="3">
        <v>1</v>
      </c>
      <c r="Z49" s="4">
        <v>5864093707</v>
      </c>
      <c r="AA49" s="4">
        <v>3817112125</v>
      </c>
      <c r="AB49" s="4">
        <f>4050624+41193830</f>
        <v>45244454</v>
      </c>
      <c r="AC49" s="4">
        <v>1398726</v>
      </c>
      <c r="AD49" s="4">
        <v>1496783</v>
      </c>
      <c r="AE49" s="4">
        <v>0</v>
      </c>
      <c r="AF49" s="8">
        <v>4219335</v>
      </c>
      <c r="AH49" s="68">
        <f t="shared" si="23"/>
        <v>45790</v>
      </c>
      <c r="AI49" s="69">
        <f t="shared" si="24"/>
        <v>5864093707</v>
      </c>
      <c r="AJ49" s="69">
        <f t="shared" si="25"/>
        <v>3817112125</v>
      </c>
    </row>
    <row r="50" spans="1:37" ht="14.5" x14ac:dyDescent="0.35">
      <c r="A50" s="6">
        <f t="shared" si="14"/>
        <v>45791</v>
      </c>
      <c r="B50" s="7">
        <f t="shared" si="15"/>
        <v>45797</v>
      </c>
      <c r="C50" s="3">
        <v>503</v>
      </c>
      <c r="D50" s="3">
        <f t="shared" si="16"/>
        <v>-37</v>
      </c>
      <c r="E50" s="3">
        <v>5131</v>
      </c>
      <c r="F50" s="3">
        <v>5147</v>
      </c>
      <c r="G50" s="3">
        <f t="shared" si="26"/>
        <v>17</v>
      </c>
      <c r="H50" s="3">
        <f t="shared" si="18"/>
        <v>17</v>
      </c>
      <c r="I50" s="3">
        <v>12</v>
      </c>
      <c r="J50" s="3">
        <v>3</v>
      </c>
      <c r="K50" s="3">
        <v>2</v>
      </c>
      <c r="L50" s="3">
        <f t="shared" si="19"/>
        <v>13</v>
      </c>
      <c r="M50" s="3">
        <v>1</v>
      </c>
      <c r="N50" s="3">
        <v>0</v>
      </c>
      <c r="O50" s="3">
        <v>1</v>
      </c>
      <c r="P50" s="3">
        <v>0</v>
      </c>
      <c r="Q50" s="3">
        <v>11</v>
      </c>
      <c r="R50" s="3"/>
      <c r="S50" s="3">
        <f t="shared" si="20"/>
        <v>4</v>
      </c>
      <c r="T50" s="3">
        <f t="shared" si="21"/>
        <v>1</v>
      </c>
      <c r="U50" s="3">
        <v>1</v>
      </c>
      <c r="V50" s="3">
        <v>0</v>
      </c>
      <c r="W50" s="3">
        <f t="shared" si="22"/>
        <v>3</v>
      </c>
      <c r="X50" s="3">
        <v>3</v>
      </c>
      <c r="Y50" s="3">
        <v>0</v>
      </c>
      <c r="Z50" s="4">
        <v>1849693334</v>
      </c>
      <c r="AA50" s="4">
        <v>123822041</v>
      </c>
      <c r="AB50" s="4">
        <v>123509032</v>
      </c>
      <c r="AC50" s="4">
        <v>466487</v>
      </c>
      <c r="AD50" s="4">
        <v>574927</v>
      </c>
      <c r="AE50" s="4">
        <v>416500</v>
      </c>
      <c r="AF50" s="8">
        <v>458821</v>
      </c>
      <c r="AH50" s="68">
        <f t="shared" si="23"/>
        <v>45797</v>
      </c>
      <c r="AI50" s="69">
        <f t="shared" si="24"/>
        <v>1849693334</v>
      </c>
      <c r="AJ50" s="69">
        <f t="shared" si="25"/>
        <v>123822041</v>
      </c>
    </row>
    <row r="51" spans="1:37" ht="14.5" x14ac:dyDescent="0.35">
      <c r="A51" s="6">
        <f t="shared" ref="A51:A90" si="27">B50+1</f>
        <v>45798</v>
      </c>
      <c r="B51" s="7">
        <f t="shared" ref="B51:B90" si="28">A51+6</f>
        <v>45804</v>
      </c>
      <c r="C51" s="3">
        <v>394</v>
      </c>
      <c r="D51" s="3">
        <f t="shared" ref="D51:D81" si="29">+C51-C50</f>
        <v>-109</v>
      </c>
      <c r="E51" s="3">
        <v>5148</v>
      </c>
      <c r="F51" s="3">
        <v>5159</v>
      </c>
      <c r="G51" s="3">
        <f t="shared" si="26"/>
        <v>12</v>
      </c>
      <c r="H51" s="3">
        <f t="shared" ref="H51:H90" si="30">+L51+S51</f>
        <v>12</v>
      </c>
      <c r="I51" s="3">
        <v>1</v>
      </c>
      <c r="J51" s="3">
        <v>0</v>
      </c>
      <c r="K51" s="3">
        <v>11</v>
      </c>
      <c r="L51" s="3">
        <f t="shared" si="19"/>
        <v>8</v>
      </c>
      <c r="M51" s="3">
        <v>2</v>
      </c>
      <c r="N51" s="3">
        <v>0</v>
      </c>
      <c r="O51" s="3">
        <v>2</v>
      </c>
      <c r="P51" s="3">
        <v>0</v>
      </c>
      <c r="Q51" s="3">
        <v>4</v>
      </c>
      <c r="R51" s="3"/>
      <c r="S51" s="3">
        <f t="shared" ref="S51:S90" si="31">+T51+W51</f>
        <v>4</v>
      </c>
      <c r="T51" s="3">
        <f t="shared" ref="T51:T90" si="32">+U51+V51</f>
        <v>2</v>
      </c>
      <c r="U51" s="3">
        <v>2</v>
      </c>
      <c r="V51" s="3">
        <v>0</v>
      </c>
      <c r="W51" s="3">
        <f t="shared" ref="W51:W90" si="33">+X51+Y51</f>
        <v>2</v>
      </c>
      <c r="X51" s="3">
        <v>2</v>
      </c>
      <c r="Y51" s="3">
        <v>0</v>
      </c>
      <c r="Z51" s="4">
        <v>930644348</v>
      </c>
      <c r="AA51" s="4">
        <v>8647158</v>
      </c>
      <c r="AB51" s="4">
        <v>7950113</v>
      </c>
      <c r="AC51" s="4">
        <v>648749</v>
      </c>
      <c r="AD51" s="4">
        <v>5828706</v>
      </c>
      <c r="AE51" s="4">
        <v>300776</v>
      </c>
      <c r="AF51" s="8">
        <v>346290</v>
      </c>
      <c r="AH51" s="68">
        <f t="shared" si="23"/>
        <v>45804</v>
      </c>
      <c r="AI51" s="69">
        <f t="shared" si="24"/>
        <v>930644348</v>
      </c>
      <c r="AJ51" s="69">
        <f t="shared" si="25"/>
        <v>8647158</v>
      </c>
    </row>
    <row r="52" spans="1:37" ht="14.5" x14ac:dyDescent="0.35">
      <c r="A52" s="6">
        <f t="shared" si="27"/>
        <v>45805</v>
      </c>
      <c r="B52" s="7">
        <f t="shared" si="28"/>
        <v>45811</v>
      </c>
      <c r="C52" s="3">
        <v>310</v>
      </c>
      <c r="D52" s="3">
        <f t="shared" si="29"/>
        <v>-84</v>
      </c>
      <c r="E52" s="3">
        <v>5160</v>
      </c>
      <c r="F52" s="3">
        <v>5172</v>
      </c>
      <c r="G52" s="3">
        <f t="shared" si="26"/>
        <v>13</v>
      </c>
      <c r="H52" s="3">
        <f t="shared" si="30"/>
        <v>13</v>
      </c>
      <c r="I52" s="3">
        <v>2</v>
      </c>
      <c r="J52" s="3">
        <v>0</v>
      </c>
      <c r="K52" s="3">
        <v>11</v>
      </c>
      <c r="L52" s="3">
        <f t="shared" si="19"/>
        <v>8</v>
      </c>
      <c r="M52" s="3">
        <v>0</v>
      </c>
      <c r="N52" s="3">
        <v>1</v>
      </c>
      <c r="O52" s="3">
        <v>4</v>
      </c>
      <c r="P52" s="3">
        <v>0</v>
      </c>
      <c r="Q52" s="3">
        <v>3</v>
      </c>
      <c r="R52" s="3"/>
      <c r="S52" s="3">
        <f t="shared" si="31"/>
        <v>5</v>
      </c>
      <c r="T52" s="3">
        <f t="shared" si="32"/>
        <v>1</v>
      </c>
      <c r="U52" s="3">
        <v>1</v>
      </c>
      <c r="V52" s="3">
        <v>0</v>
      </c>
      <c r="W52" s="3">
        <f t="shared" si="33"/>
        <v>4</v>
      </c>
      <c r="X52" s="3">
        <v>3</v>
      </c>
      <c r="Y52" s="3">
        <v>1</v>
      </c>
      <c r="Z52" s="4">
        <v>1035953378</v>
      </c>
      <c r="AA52" s="4">
        <v>248191295</v>
      </c>
      <c r="AB52" s="4">
        <v>23363539</v>
      </c>
      <c r="AC52" s="4">
        <v>0</v>
      </c>
      <c r="AD52" s="4">
        <v>13546387</v>
      </c>
      <c r="AE52" s="4">
        <v>1430374</v>
      </c>
      <c r="AF52" s="8">
        <v>486178</v>
      </c>
      <c r="AH52" s="68">
        <f t="shared" si="23"/>
        <v>45811</v>
      </c>
      <c r="AI52" s="69">
        <f t="shared" si="24"/>
        <v>1035953378</v>
      </c>
      <c r="AJ52" s="69">
        <f t="shared" si="25"/>
        <v>248191295</v>
      </c>
    </row>
    <row r="53" spans="1:37" ht="14.5" x14ac:dyDescent="0.35">
      <c r="A53" s="6">
        <f t="shared" si="27"/>
        <v>45812</v>
      </c>
      <c r="B53" s="7">
        <f t="shared" si="28"/>
        <v>45818</v>
      </c>
      <c r="C53" s="3">
        <v>648</v>
      </c>
      <c r="D53" s="3">
        <f t="shared" si="29"/>
        <v>338</v>
      </c>
      <c r="E53" s="3">
        <v>5173</v>
      </c>
      <c r="F53" s="3">
        <v>5190</v>
      </c>
      <c r="G53" s="3">
        <f t="shared" si="26"/>
        <v>18</v>
      </c>
      <c r="H53" s="3">
        <f t="shared" si="30"/>
        <v>18</v>
      </c>
      <c r="I53" s="3">
        <v>11</v>
      </c>
      <c r="J53" s="3">
        <v>1</v>
      </c>
      <c r="K53" s="3">
        <v>6</v>
      </c>
      <c r="L53" s="3">
        <f t="shared" si="19"/>
        <v>17</v>
      </c>
      <c r="M53" s="3">
        <v>1</v>
      </c>
      <c r="N53" s="3">
        <v>0</v>
      </c>
      <c r="O53" s="3">
        <v>2</v>
      </c>
      <c r="P53" s="3">
        <v>0</v>
      </c>
      <c r="Q53" s="3">
        <v>14</v>
      </c>
      <c r="R53" s="3"/>
      <c r="S53" s="3">
        <f t="shared" si="31"/>
        <v>1</v>
      </c>
      <c r="T53" s="3">
        <f t="shared" si="32"/>
        <v>0</v>
      </c>
      <c r="U53" s="3">
        <v>0</v>
      </c>
      <c r="V53" s="3">
        <v>0</v>
      </c>
      <c r="W53" s="3">
        <f t="shared" si="33"/>
        <v>1</v>
      </c>
      <c r="X53" s="3">
        <v>1</v>
      </c>
      <c r="Y53" s="3">
        <v>0</v>
      </c>
      <c r="Z53" s="4">
        <v>2684327475</v>
      </c>
      <c r="AA53" s="4">
        <v>39866034</v>
      </c>
      <c r="AB53" s="4">
        <v>39651834</v>
      </c>
      <c r="AC53" s="4">
        <v>1229652</v>
      </c>
      <c r="AD53" s="4">
        <v>5042364</v>
      </c>
      <c r="AE53" s="4">
        <v>0</v>
      </c>
      <c r="AF53" s="8">
        <v>214200</v>
      </c>
      <c r="AH53" s="68">
        <f t="shared" si="23"/>
        <v>45818</v>
      </c>
      <c r="AI53" s="69">
        <f t="shared" si="24"/>
        <v>2684327475</v>
      </c>
      <c r="AJ53" s="69">
        <f t="shared" si="25"/>
        <v>39866034</v>
      </c>
    </row>
    <row r="54" spans="1:37" ht="14.5" x14ac:dyDescent="0.35">
      <c r="A54" s="6">
        <f t="shared" si="27"/>
        <v>45819</v>
      </c>
      <c r="B54" s="7">
        <f t="shared" si="28"/>
        <v>45825</v>
      </c>
      <c r="C54" s="3">
        <v>571</v>
      </c>
      <c r="D54" s="3">
        <f t="shared" si="29"/>
        <v>-77</v>
      </c>
      <c r="E54" s="3">
        <v>5191</v>
      </c>
      <c r="F54" s="3">
        <v>5207</v>
      </c>
      <c r="G54" s="3">
        <f t="shared" si="26"/>
        <v>17</v>
      </c>
      <c r="H54" s="3">
        <f t="shared" si="30"/>
        <v>17</v>
      </c>
      <c r="I54" s="3">
        <v>5</v>
      </c>
      <c r="J54" s="3">
        <v>1</v>
      </c>
      <c r="K54" s="3">
        <v>11</v>
      </c>
      <c r="L54" s="3">
        <f t="shared" si="19"/>
        <v>11</v>
      </c>
      <c r="M54" s="3">
        <v>2</v>
      </c>
      <c r="N54" s="3">
        <v>0</v>
      </c>
      <c r="O54" s="3">
        <v>2</v>
      </c>
      <c r="P54" s="3">
        <v>2</v>
      </c>
      <c r="Q54" s="3">
        <v>5</v>
      </c>
      <c r="R54" s="3"/>
      <c r="S54" s="3">
        <f t="shared" si="31"/>
        <v>6</v>
      </c>
      <c r="T54" s="3">
        <f t="shared" si="32"/>
        <v>1</v>
      </c>
      <c r="U54" s="3">
        <v>1</v>
      </c>
      <c r="V54" s="3">
        <v>0</v>
      </c>
      <c r="W54" s="3">
        <f t="shared" si="33"/>
        <v>5</v>
      </c>
      <c r="X54" s="3">
        <v>5</v>
      </c>
      <c r="Y54" s="3">
        <v>0</v>
      </c>
      <c r="Z54" s="4">
        <v>2141665314</v>
      </c>
      <c r="AA54" s="4">
        <v>110771569</v>
      </c>
      <c r="AB54" s="4">
        <v>96929746</v>
      </c>
      <c r="AC54" s="4">
        <v>8385101</v>
      </c>
      <c r="AD54" s="4">
        <v>596694</v>
      </c>
      <c r="AE54" s="4">
        <v>13566000</v>
      </c>
      <c r="AF54" s="8">
        <v>275823</v>
      </c>
      <c r="AH54" s="68">
        <f t="shared" si="23"/>
        <v>45825</v>
      </c>
      <c r="AI54" s="69">
        <f t="shared" si="24"/>
        <v>2141665314</v>
      </c>
      <c r="AJ54" s="69">
        <f t="shared" si="25"/>
        <v>110771569</v>
      </c>
    </row>
    <row r="55" spans="1:37" ht="14.5" x14ac:dyDescent="0.35">
      <c r="A55" s="6">
        <f t="shared" si="27"/>
        <v>45826</v>
      </c>
      <c r="B55" s="7">
        <f t="shared" si="28"/>
        <v>45832</v>
      </c>
      <c r="C55" s="3">
        <v>396</v>
      </c>
      <c r="D55" s="3">
        <f t="shared" si="29"/>
        <v>-175</v>
      </c>
      <c r="E55" s="3">
        <v>5208</v>
      </c>
      <c r="F55" s="3">
        <v>5225</v>
      </c>
      <c r="G55" s="3">
        <f t="shared" si="26"/>
        <v>18</v>
      </c>
      <c r="H55" s="3">
        <f t="shared" si="30"/>
        <v>18</v>
      </c>
      <c r="I55" s="3">
        <v>8</v>
      </c>
      <c r="J55" s="3">
        <v>2</v>
      </c>
      <c r="K55" s="3">
        <v>8</v>
      </c>
      <c r="L55" s="3">
        <f t="shared" si="19"/>
        <v>15</v>
      </c>
      <c r="M55" s="3">
        <v>1</v>
      </c>
      <c r="N55" s="3">
        <v>1</v>
      </c>
      <c r="O55" s="3">
        <v>3</v>
      </c>
      <c r="P55" s="3">
        <v>0</v>
      </c>
      <c r="Q55" s="3">
        <v>10</v>
      </c>
      <c r="R55" s="3"/>
      <c r="S55" s="3">
        <f t="shared" si="31"/>
        <v>3</v>
      </c>
      <c r="T55" s="3">
        <f t="shared" si="32"/>
        <v>0</v>
      </c>
      <c r="U55" s="3">
        <v>0</v>
      </c>
      <c r="V55" s="3">
        <v>0</v>
      </c>
      <c r="W55" s="3">
        <f t="shared" si="33"/>
        <v>3</v>
      </c>
      <c r="X55" s="3">
        <v>0</v>
      </c>
      <c r="Y55" s="3">
        <v>3</v>
      </c>
      <c r="Z55" s="4">
        <v>1325997188</v>
      </c>
      <c r="AA55" s="4">
        <v>49768347</v>
      </c>
      <c r="AB55" s="4">
        <v>48596255</v>
      </c>
      <c r="AC55" s="4">
        <v>5086</v>
      </c>
      <c r="AD55" s="4">
        <v>528006</v>
      </c>
      <c r="AE55" s="4">
        <v>0</v>
      </c>
      <c r="AF55" s="8">
        <v>887740</v>
      </c>
      <c r="AH55" s="68">
        <f t="shared" si="23"/>
        <v>45832</v>
      </c>
      <c r="AI55" s="69">
        <f t="shared" si="24"/>
        <v>1325997188</v>
      </c>
      <c r="AJ55" s="69">
        <f t="shared" si="25"/>
        <v>49768347</v>
      </c>
    </row>
    <row r="56" spans="1:37" ht="14.5" x14ac:dyDescent="0.35">
      <c r="A56" s="6">
        <f t="shared" si="27"/>
        <v>45833</v>
      </c>
      <c r="B56" s="7">
        <f t="shared" si="28"/>
        <v>45839</v>
      </c>
      <c r="C56" s="3">
        <v>250</v>
      </c>
      <c r="D56" s="3">
        <f t="shared" si="29"/>
        <v>-146</v>
      </c>
      <c r="E56" s="3">
        <v>5226</v>
      </c>
      <c r="F56" s="3">
        <v>5235</v>
      </c>
      <c r="G56" s="3">
        <f t="shared" si="26"/>
        <v>10</v>
      </c>
      <c r="H56" s="3">
        <f t="shared" si="30"/>
        <v>10</v>
      </c>
      <c r="I56" s="3">
        <v>4</v>
      </c>
      <c r="J56" s="3">
        <v>0</v>
      </c>
      <c r="K56" s="3">
        <v>6</v>
      </c>
      <c r="L56" s="3">
        <f t="shared" si="19"/>
        <v>5</v>
      </c>
      <c r="M56" s="3">
        <v>0</v>
      </c>
      <c r="N56" s="3">
        <v>0</v>
      </c>
      <c r="O56" s="3">
        <v>3</v>
      </c>
      <c r="P56" s="3">
        <v>0</v>
      </c>
      <c r="Q56" s="3">
        <v>2</v>
      </c>
      <c r="R56" s="3"/>
      <c r="S56" s="3">
        <f t="shared" si="31"/>
        <v>5</v>
      </c>
      <c r="T56" s="3">
        <f t="shared" si="32"/>
        <v>3</v>
      </c>
      <c r="U56" s="3">
        <v>2</v>
      </c>
      <c r="V56" s="3">
        <v>1</v>
      </c>
      <c r="W56" s="3">
        <f t="shared" si="33"/>
        <v>2</v>
      </c>
      <c r="X56" s="3">
        <v>0</v>
      </c>
      <c r="Y56" s="3">
        <v>2</v>
      </c>
      <c r="Z56" s="4">
        <v>1365219905</v>
      </c>
      <c r="AA56" s="4">
        <v>35717188</v>
      </c>
      <c r="AB56" s="4">
        <v>17961409</v>
      </c>
      <c r="AC56" s="4">
        <v>0</v>
      </c>
      <c r="AD56" s="4">
        <v>17738612</v>
      </c>
      <c r="AE56" s="4">
        <v>17407107</v>
      </c>
      <c r="AF56" s="8">
        <v>244483</v>
      </c>
      <c r="AH56" s="68">
        <f t="shared" si="23"/>
        <v>45839</v>
      </c>
      <c r="AI56" s="69">
        <f t="shared" si="24"/>
        <v>1365219905</v>
      </c>
      <c r="AJ56" s="69">
        <f t="shared" si="25"/>
        <v>35717188</v>
      </c>
      <c r="AK56" t="s">
        <v>38</v>
      </c>
    </row>
    <row r="57" spans="1:37" ht="14.5" x14ac:dyDescent="0.35">
      <c r="A57" s="6">
        <f t="shared" si="27"/>
        <v>45840</v>
      </c>
      <c r="B57" s="7">
        <f t="shared" si="28"/>
        <v>45846</v>
      </c>
      <c r="C57" s="3">
        <v>510</v>
      </c>
      <c r="D57" s="3">
        <f t="shared" si="29"/>
        <v>260</v>
      </c>
      <c r="E57" s="3">
        <v>5236</v>
      </c>
      <c r="F57" s="3">
        <v>5260</v>
      </c>
      <c r="G57" s="3">
        <f t="shared" si="26"/>
        <v>25</v>
      </c>
      <c r="H57" s="3">
        <f t="shared" si="30"/>
        <v>25</v>
      </c>
      <c r="I57" s="3">
        <v>17</v>
      </c>
      <c r="J57" s="3">
        <v>1</v>
      </c>
      <c r="K57" s="3">
        <v>7</v>
      </c>
      <c r="L57" s="3">
        <f t="shared" si="19"/>
        <v>22</v>
      </c>
      <c r="M57" s="3">
        <v>1</v>
      </c>
      <c r="N57" s="3">
        <v>2</v>
      </c>
      <c r="O57" s="3">
        <v>5</v>
      </c>
      <c r="P57" s="3">
        <v>0</v>
      </c>
      <c r="Q57" s="3">
        <v>14</v>
      </c>
      <c r="R57" s="3"/>
      <c r="S57" s="3">
        <f t="shared" si="31"/>
        <v>3</v>
      </c>
      <c r="T57" s="3">
        <f t="shared" si="32"/>
        <v>2</v>
      </c>
      <c r="U57" s="3">
        <v>2</v>
      </c>
      <c r="V57" s="3">
        <v>0</v>
      </c>
      <c r="W57" s="3">
        <f t="shared" si="33"/>
        <v>1</v>
      </c>
      <c r="X57" s="3">
        <v>1</v>
      </c>
      <c r="Y57" s="3">
        <v>0</v>
      </c>
      <c r="Z57" s="4">
        <v>1972569670</v>
      </c>
      <c r="AA57" s="4">
        <v>176951994</v>
      </c>
      <c r="AB57" s="4">
        <v>169134871</v>
      </c>
      <c r="AC57" s="4">
        <v>21782068</v>
      </c>
      <c r="AD57" s="4">
        <v>6312141</v>
      </c>
      <c r="AE57" s="4">
        <v>275818</v>
      </c>
      <c r="AF57" s="8">
        <v>827821</v>
      </c>
      <c r="AH57" s="68">
        <f t="shared" si="23"/>
        <v>45846</v>
      </c>
      <c r="AI57" s="69">
        <f t="shared" si="24"/>
        <v>1972569670</v>
      </c>
      <c r="AJ57" s="69">
        <f t="shared" si="25"/>
        <v>176951994</v>
      </c>
      <c r="AK57">
        <v>1189.1600000000001</v>
      </c>
    </row>
    <row r="58" spans="1:37" ht="14.5" x14ac:dyDescent="0.35">
      <c r="A58" s="6">
        <f t="shared" si="27"/>
        <v>45847</v>
      </c>
      <c r="B58" s="7">
        <f t="shared" si="28"/>
        <v>45853</v>
      </c>
      <c r="C58" s="3">
        <v>456</v>
      </c>
      <c r="D58" s="3">
        <f t="shared" si="29"/>
        <v>-54</v>
      </c>
      <c r="E58" s="3">
        <v>5261</v>
      </c>
      <c r="F58" s="3">
        <v>5281</v>
      </c>
      <c r="G58" s="3">
        <f t="shared" si="26"/>
        <v>21</v>
      </c>
      <c r="H58" s="3">
        <f t="shared" si="30"/>
        <v>21</v>
      </c>
      <c r="I58" s="3">
        <v>9</v>
      </c>
      <c r="J58" s="3">
        <v>1</v>
      </c>
      <c r="K58" s="3">
        <v>11</v>
      </c>
      <c r="L58" s="3">
        <f t="shared" si="19"/>
        <v>15</v>
      </c>
      <c r="M58" s="3">
        <v>0</v>
      </c>
      <c r="N58" s="3">
        <v>2</v>
      </c>
      <c r="O58" s="3">
        <v>1</v>
      </c>
      <c r="P58" s="3">
        <v>1</v>
      </c>
      <c r="Q58" s="3">
        <v>11</v>
      </c>
      <c r="R58" s="3"/>
      <c r="S58" s="3">
        <f t="shared" si="31"/>
        <v>6</v>
      </c>
      <c r="T58" s="3">
        <f t="shared" si="32"/>
        <v>0</v>
      </c>
      <c r="U58" s="3">
        <v>0</v>
      </c>
      <c r="V58" s="3">
        <v>0</v>
      </c>
      <c r="W58" s="3">
        <f t="shared" si="33"/>
        <v>6</v>
      </c>
      <c r="X58" s="3">
        <v>4</v>
      </c>
      <c r="Y58" s="3">
        <v>2</v>
      </c>
      <c r="Z58" s="4">
        <v>2231045240</v>
      </c>
      <c r="AA58" s="4">
        <v>399071420</v>
      </c>
      <c r="AB58" s="4">
        <v>394785073</v>
      </c>
      <c r="AC58" s="4">
        <v>0</v>
      </c>
      <c r="AD58" s="4">
        <v>3037178</v>
      </c>
      <c r="AE58" s="4">
        <v>0</v>
      </c>
      <c r="AF58" s="8">
        <v>6282962</v>
      </c>
      <c r="AH58" s="68">
        <f t="shared" si="23"/>
        <v>45853</v>
      </c>
      <c r="AI58" s="69">
        <f t="shared" si="24"/>
        <v>2231045240</v>
      </c>
      <c r="AJ58" s="69">
        <f t="shared" si="25"/>
        <v>399071420</v>
      </c>
    </row>
    <row r="59" spans="1:37" ht="14.5" x14ac:dyDescent="0.35">
      <c r="A59" s="6">
        <f t="shared" si="27"/>
        <v>45854</v>
      </c>
      <c r="B59" s="7">
        <f t="shared" si="28"/>
        <v>45860</v>
      </c>
      <c r="C59" s="3">
        <v>476</v>
      </c>
      <c r="D59" s="3">
        <f t="shared" si="29"/>
        <v>20</v>
      </c>
      <c r="E59" s="3">
        <v>5282</v>
      </c>
      <c r="F59" s="3">
        <v>5311</v>
      </c>
      <c r="G59" s="3">
        <f t="shared" si="26"/>
        <v>30</v>
      </c>
      <c r="H59" s="3">
        <f t="shared" si="30"/>
        <v>30</v>
      </c>
      <c r="I59" s="3">
        <v>16</v>
      </c>
      <c r="J59" s="3">
        <v>1</v>
      </c>
      <c r="K59" s="3">
        <v>13</v>
      </c>
      <c r="L59" s="3">
        <f t="shared" ref="L59:L90" si="34">SUM(M59:R59)</f>
        <v>24</v>
      </c>
      <c r="M59" s="3">
        <v>0</v>
      </c>
      <c r="N59" s="3">
        <v>2</v>
      </c>
      <c r="O59" s="3">
        <v>2</v>
      </c>
      <c r="P59" s="3">
        <v>1</v>
      </c>
      <c r="Q59" s="3">
        <v>17</v>
      </c>
      <c r="R59" s="3">
        <v>2</v>
      </c>
      <c r="S59" s="3">
        <f t="shared" si="31"/>
        <v>6</v>
      </c>
      <c r="T59" s="3">
        <f t="shared" si="32"/>
        <v>1</v>
      </c>
      <c r="U59" s="3">
        <v>1</v>
      </c>
      <c r="V59" s="3">
        <v>0</v>
      </c>
      <c r="W59" s="3">
        <f t="shared" si="33"/>
        <v>5</v>
      </c>
      <c r="X59" s="3">
        <v>3</v>
      </c>
      <c r="Y59" s="3">
        <v>2</v>
      </c>
      <c r="Z59" s="4">
        <v>398661391</v>
      </c>
      <c r="AA59" s="4">
        <v>227940319</v>
      </c>
      <c r="AB59" s="4">
        <v>226070211</v>
      </c>
      <c r="AC59" s="4">
        <v>0</v>
      </c>
      <c r="AD59" s="4">
        <v>103425544</v>
      </c>
      <c r="AE59" s="4">
        <v>470117</v>
      </c>
      <c r="AF59" s="8">
        <v>3052151</v>
      </c>
      <c r="AH59" s="68">
        <f t="shared" si="23"/>
        <v>45860</v>
      </c>
      <c r="AI59" s="69">
        <f t="shared" si="24"/>
        <v>398661391</v>
      </c>
      <c r="AJ59" s="69">
        <f t="shared" si="25"/>
        <v>227940319</v>
      </c>
    </row>
    <row r="60" spans="1:37" ht="14.5" x14ac:dyDescent="0.35">
      <c r="A60" s="6">
        <f t="shared" si="27"/>
        <v>45861</v>
      </c>
      <c r="B60" s="7">
        <f t="shared" si="28"/>
        <v>45867</v>
      </c>
      <c r="C60" s="3">
        <v>229</v>
      </c>
      <c r="D60" s="3">
        <f t="shared" si="29"/>
        <v>-247</v>
      </c>
      <c r="E60" s="3">
        <v>5312</v>
      </c>
      <c r="F60" s="3">
        <v>5333</v>
      </c>
      <c r="G60" s="3">
        <f t="shared" si="26"/>
        <v>22</v>
      </c>
      <c r="H60" s="3">
        <f t="shared" si="30"/>
        <v>22</v>
      </c>
      <c r="I60" s="3">
        <v>10</v>
      </c>
      <c r="J60" s="3">
        <v>0</v>
      </c>
      <c r="K60" s="3">
        <v>12</v>
      </c>
      <c r="L60" s="3">
        <f t="shared" si="34"/>
        <v>17</v>
      </c>
      <c r="M60" s="3">
        <v>0</v>
      </c>
      <c r="N60" s="3">
        <v>0</v>
      </c>
      <c r="O60" s="3">
        <v>3</v>
      </c>
      <c r="P60" s="3">
        <v>0</v>
      </c>
      <c r="Q60" s="3">
        <v>14</v>
      </c>
      <c r="R60" s="3">
        <v>0</v>
      </c>
      <c r="S60" s="3">
        <f t="shared" si="31"/>
        <v>5</v>
      </c>
      <c r="T60" s="3">
        <f t="shared" si="32"/>
        <v>1</v>
      </c>
      <c r="U60" s="3">
        <v>1</v>
      </c>
      <c r="V60" s="3">
        <v>0</v>
      </c>
      <c r="W60" s="3">
        <f t="shared" si="33"/>
        <v>4</v>
      </c>
      <c r="X60" s="3">
        <v>2</v>
      </c>
      <c r="Y60" s="3">
        <v>2</v>
      </c>
      <c r="Z60" s="4">
        <v>1236409219</v>
      </c>
      <c r="AA60" s="4">
        <v>143244656</v>
      </c>
      <c r="AB60" s="4">
        <v>142628118</v>
      </c>
      <c r="AC60" s="4">
        <v>0</v>
      </c>
      <c r="AD60" s="4">
        <v>6189633</v>
      </c>
      <c r="AE60" s="4">
        <v>178500</v>
      </c>
      <c r="AF60" s="8">
        <v>685519</v>
      </c>
      <c r="AH60" s="68">
        <f t="shared" si="23"/>
        <v>45867</v>
      </c>
      <c r="AI60" s="69">
        <f t="shared" si="24"/>
        <v>1236409219</v>
      </c>
      <c r="AJ60" s="69">
        <f t="shared" si="25"/>
        <v>143244656</v>
      </c>
    </row>
    <row r="61" spans="1:37" ht="14.5" x14ac:dyDescent="0.35">
      <c r="A61" s="6">
        <f t="shared" si="27"/>
        <v>45868</v>
      </c>
      <c r="B61" s="7">
        <f t="shared" si="28"/>
        <v>45874</v>
      </c>
      <c r="C61" s="3">
        <v>511</v>
      </c>
      <c r="D61" s="3">
        <f t="shared" si="29"/>
        <v>282</v>
      </c>
      <c r="E61" s="3">
        <v>5334</v>
      </c>
      <c r="F61" s="3">
        <v>5363</v>
      </c>
      <c r="G61" s="3">
        <f t="shared" si="26"/>
        <v>30</v>
      </c>
      <c r="H61" s="3">
        <f t="shared" si="30"/>
        <v>30</v>
      </c>
      <c r="I61" s="3">
        <v>12</v>
      </c>
      <c r="J61" s="3">
        <v>0</v>
      </c>
      <c r="K61" s="3">
        <v>18</v>
      </c>
      <c r="L61" s="3">
        <f t="shared" si="34"/>
        <v>26</v>
      </c>
      <c r="M61" s="3">
        <v>1</v>
      </c>
      <c r="N61" s="3">
        <v>0</v>
      </c>
      <c r="O61" s="3">
        <v>2</v>
      </c>
      <c r="P61" s="3">
        <v>0</v>
      </c>
      <c r="Q61" s="3">
        <v>23</v>
      </c>
      <c r="R61" s="3">
        <v>0</v>
      </c>
      <c r="S61" s="3">
        <f t="shared" si="31"/>
        <v>4</v>
      </c>
      <c r="T61" s="3">
        <f t="shared" si="32"/>
        <v>1</v>
      </c>
      <c r="U61" s="3">
        <v>1</v>
      </c>
      <c r="V61" s="3">
        <v>0</v>
      </c>
      <c r="W61" s="3">
        <f t="shared" si="33"/>
        <v>3</v>
      </c>
      <c r="X61" s="3">
        <v>3</v>
      </c>
      <c r="Y61" s="3">
        <v>0</v>
      </c>
      <c r="Z61" s="4"/>
      <c r="AA61" s="4"/>
      <c r="AB61" s="4"/>
      <c r="AC61" s="4"/>
      <c r="AD61" s="4"/>
      <c r="AE61" s="4"/>
      <c r="AF61" s="8"/>
      <c r="AH61" s="68">
        <f t="shared" si="23"/>
        <v>45874</v>
      </c>
      <c r="AI61" s="69">
        <f t="shared" si="24"/>
        <v>0</v>
      </c>
      <c r="AJ61" s="69">
        <f t="shared" si="25"/>
        <v>0</v>
      </c>
    </row>
    <row r="62" spans="1:37" ht="14.5" x14ac:dyDescent="0.35">
      <c r="A62" s="6">
        <f t="shared" si="27"/>
        <v>45875</v>
      </c>
      <c r="B62" s="7">
        <f t="shared" si="28"/>
        <v>45881</v>
      </c>
      <c r="C62" s="3">
        <v>435</v>
      </c>
      <c r="D62" s="3">
        <f t="shared" si="29"/>
        <v>-76</v>
      </c>
      <c r="E62" s="3">
        <v>5364</v>
      </c>
      <c r="F62" s="3">
        <v>5374</v>
      </c>
      <c r="G62" s="3">
        <f t="shared" si="26"/>
        <v>11</v>
      </c>
      <c r="H62" s="3">
        <f t="shared" si="30"/>
        <v>11</v>
      </c>
      <c r="I62" s="3">
        <v>7</v>
      </c>
      <c r="J62" s="3">
        <v>0</v>
      </c>
      <c r="K62" s="3">
        <v>4</v>
      </c>
      <c r="L62" s="3">
        <f t="shared" si="34"/>
        <v>8</v>
      </c>
      <c r="M62" s="3">
        <v>1</v>
      </c>
      <c r="N62" s="3">
        <v>0</v>
      </c>
      <c r="O62" s="3">
        <v>3</v>
      </c>
      <c r="P62" s="3">
        <v>0</v>
      </c>
      <c r="Q62" s="3">
        <v>4</v>
      </c>
      <c r="R62" s="3">
        <v>0</v>
      </c>
      <c r="S62" s="3">
        <f t="shared" si="31"/>
        <v>3</v>
      </c>
      <c r="T62" s="3">
        <f t="shared" si="32"/>
        <v>1</v>
      </c>
      <c r="U62" s="3">
        <v>1</v>
      </c>
      <c r="V62" s="3">
        <v>0</v>
      </c>
      <c r="W62" s="3">
        <f t="shared" si="33"/>
        <v>2</v>
      </c>
      <c r="X62" s="3">
        <v>2</v>
      </c>
      <c r="Y62" s="3">
        <v>0</v>
      </c>
      <c r="Z62" s="4">
        <v>1855809179</v>
      </c>
      <c r="AA62" s="4">
        <v>164161765</v>
      </c>
      <c r="AB62" s="4">
        <v>163888765</v>
      </c>
      <c r="AC62" s="4">
        <v>1284581</v>
      </c>
      <c r="AD62" s="4">
        <v>9372996</v>
      </c>
      <c r="AE62" s="4">
        <v>73185</v>
      </c>
      <c r="AF62" s="8">
        <v>200396</v>
      </c>
      <c r="AH62" s="68">
        <f t="shared" si="23"/>
        <v>45881</v>
      </c>
      <c r="AI62" s="69">
        <f t="shared" si="24"/>
        <v>1855809179</v>
      </c>
      <c r="AJ62" s="69">
        <f t="shared" si="25"/>
        <v>164161765</v>
      </c>
    </row>
    <row r="63" spans="1:37" ht="14.5" x14ac:dyDescent="0.35">
      <c r="A63" s="6">
        <f t="shared" si="27"/>
        <v>45882</v>
      </c>
      <c r="B63" s="7">
        <f t="shared" si="28"/>
        <v>45888</v>
      </c>
      <c r="C63" s="3">
        <v>416</v>
      </c>
      <c r="D63" s="3">
        <f t="shared" si="29"/>
        <v>-19</v>
      </c>
      <c r="E63" s="3">
        <v>5375</v>
      </c>
      <c r="F63" s="3">
        <v>5401</v>
      </c>
      <c r="G63" s="3">
        <f t="shared" si="26"/>
        <v>27</v>
      </c>
      <c r="H63" s="3">
        <f t="shared" si="30"/>
        <v>27</v>
      </c>
      <c r="I63" s="3">
        <v>14</v>
      </c>
      <c r="J63" s="3">
        <v>0</v>
      </c>
      <c r="K63" s="3">
        <v>13</v>
      </c>
      <c r="L63" s="3">
        <f t="shared" si="34"/>
        <v>23</v>
      </c>
      <c r="M63" s="3">
        <v>2</v>
      </c>
      <c r="N63" s="3">
        <v>0</v>
      </c>
      <c r="O63" s="3">
        <v>7</v>
      </c>
      <c r="P63" s="3">
        <v>0</v>
      </c>
      <c r="Q63" s="3">
        <v>14</v>
      </c>
      <c r="R63" s="3">
        <v>0</v>
      </c>
      <c r="S63" s="3">
        <f t="shared" si="31"/>
        <v>4</v>
      </c>
      <c r="T63" s="3">
        <f t="shared" si="32"/>
        <v>2</v>
      </c>
      <c r="U63" s="3">
        <v>1</v>
      </c>
      <c r="V63" s="3">
        <v>1</v>
      </c>
      <c r="W63" s="3">
        <f t="shared" si="33"/>
        <v>2</v>
      </c>
      <c r="X63" s="3">
        <v>2</v>
      </c>
      <c r="Y63" s="3">
        <v>0</v>
      </c>
      <c r="Z63" s="4">
        <v>1420092193</v>
      </c>
      <c r="AA63" s="4">
        <v>90774858</v>
      </c>
      <c r="AB63" s="4">
        <v>82412461</v>
      </c>
      <c r="AC63" s="4">
        <v>3622229</v>
      </c>
      <c r="AD63" s="4">
        <v>49885783</v>
      </c>
      <c r="AE63" s="4">
        <v>1142400</v>
      </c>
      <c r="AF63" s="8"/>
      <c r="AH63" s="68">
        <f t="shared" si="23"/>
        <v>45888</v>
      </c>
      <c r="AI63" s="69">
        <f t="shared" si="24"/>
        <v>1420092193</v>
      </c>
      <c r="AJ63" s="69">
        <f t="shared" si="25"/>
        <v>90774858</v>
      </c>
    </row>
    <row r="64" spans="1:37" ht="14.5" x14ac:dyDescent="0.35">
      <c r="A64" s="6">
        <f t="shared" si="27"/>
        <v>45889</v>
      </c>
      <c r="B64" s="7">
        <f t="shared" si="28"/>
        <v>45895</v>
      </c>
      <c r="C64" s="3">
        <v>438</v>
      </c>
      <c r="D64" s="3">
        <f t="shared" si="29"/>
        <v>22</v>
      </c>
      <c r="E64" s="3">
        <v>5402</v>
      </c>
      <c r="F64" s="3">
        <v>5426</v>
      </c>
      <c r="G64" s="3">
        <f t="shared" si="26"/>
        <v>25</v>
      </c>
      <c r="H64" s="3">
        <f t="shared" si="30"/>
        <v>25</v>
      </c>
      <c r="I64" s="3">
        <v>7</v>
      </c>
      <c r="J64" s="3">
        <v>0</v>
      </c>
      <c r="K64" s="3">
        <v>18</v>
      </c>
      <c r="L64" s="3">
        <f t="shared" si="34"/>
        <v>21</v>
      </c>
      <c r="M64" s="3">
        <v>1</v>
      </c>
      <c r="N64" s="3">
        <v>0</v>
      </c>
      <c r="O64" s="3">
        <v>7</v>
      </c>
      <c r="P64" s="3">
        <v>0</v>
      </c>
      <c r="Q64" s="3">
        <v>12</v>
      </c>
      <c r="R64" s="3">
        <v>1</v>
      </c>
      <c r="S64" s="3">
        <f t="shared" si="31"/>
        <v>4</v>
      </c>
      <c r="T64" s="3">
        <f t="shared" si="32"/>
        <v>1</v>
      </c>
      <c r="U64" s="3">
        <v>1</v>
      </c>
      <c r="V64" s="3">
        <v>0</v>
      </c>
      <c r="W64" s="3">
        <f t="shared" si="33"/>
        <v>3</v>
      </c>
      <c r="X64" s="3">
        <v>2</v>
      </c>
      <c r="Y64" s="3">
        <v>1</v>
      </c>
      <c r="Z64" s="4">
        <v>1829148407</v>
      </c>
      <c r="AA64" s="4">
        <v>71319047</v>
      </c>
      <c r="AB64" s="4">
        <v>67604724</v>
      </c>
      <c r="AC64" s="4">
        <v>460352</v>
      </c>
      <c r="AD64" s="4">
        <v>3897130</v>
      </c>
      <c r="AE64" s="4">
        <v>3494019</v>
      </c>
      <c r="AF64" s="8">
        <v>8671634</v>
      </c>
      <c r="AH64" s="68">
        <f t="shared" si="23"/>
        <v>45895</v>
      </c>
      <c r="AI64" s="69">
        <f t="shared" si="24"/>
        <v>1829148407</v>
      </c>
      <c r="AJ64" s="69">
        <f t="shared" si="25"/>
        <v>71319047</v>
      </c>
    </row>
    <row r="65" spans="1:36" ht="14.5" x14ac:dyDescent="0.35">
      <c r="A65" s="6">
        <f t="shared" si="27"/>
        <v>45896</v>
      </c>
      <c r="B65" s="7">
        <f t="shared" si="28"/>
        <v>45902</v>
      </c>
      <c r="C65" s="3">
        <v>406</v>
      </c>
      <c r="D65" s="3">
        <f t="shared" si="29"/>
        <v>-32</v>
      </c>
      <c r="E65" s="3">
        <v>5427</v>
      </c>
      <c r="F65" s="3">
        <v>5451</v>
      </c>
      <c r="G65" s="3">
        <f t="shared" si="26"/>
        <v>25</v>
      </c>
      <c r="H65" s="3">
        <f t="shared" si="30"/>
        <v>25</v>
      </c>
      <c r="I65" s="3">
        <v>8</v>
      </c>
      <c r="J65" s="3">
        <v>0</v>
      </c>
      <c r="K65" s="3">
        <v>17</v>
      </c>
      <c r="L65" s="3">
        <f t="shared" si="34"/>
        <v>20</v>
      </c>
      <c r="M65" s="3">
        <v>0</v>
      </c>
      <c r="N65" s="3">
        <v>1</v>
      </c>
      <c r="O65" s="3">
        <v>4</v>
      </c>
      <c r="P65" s="3">
        <v>0</v>
      </c>
      <c r="Q65" s="3">
        <v>15</v>
      </c>
      <c r="R65" s="3">
        <v>0</v>
      </c>
      <c r="S65" s="3">
        <f t="shared" si="31"/>
        <v>5</v>
      </c>
      <c r="T65" s="3">
        <f t="shared" si="32"/>
        <v>2</v>
      </c>
      <c r="U65" s="3">
        <v>2</v>
      </c>
      <c r="V65" s="3">
        <v>0</v>
      </c>
      <c r="W65" s="3">
        <f t="shared" si="33"/>
        <v>3</v>
      </c>
      <c r="X65" s="3">
        <v>2</v>
      </c>
      <c r="Y65" s="3">
        <v>1</v>
      </c>
      <c r="Z65" s="4">
        <v>1547434757</v>
      </c>
      <c r="AA65" s="4">
        <v>75218683</v>
      </c>
      <c r="AB65" s="4">
        <v>72521944</v>
      </c>
      <c r="AC65" s="4">
        <v>0</v>
      </c>
      <c r="AD65" s="4">
        <v>13187575</v>
      </c>
      <c r="AE65" s="4">
        <v>2400510</v>
      </c>
      <c r="AF65" s="8">
        <v>132628</v>
      </c>
      <c r="AH65" s="68">
        <f t="shared" si="23"/>
        <v>45902</v>
      </c>
      <c r="AI65" s="69">
        <f t="shared" si="24"/>
        <v>1547434757</v>
      </c>
      <c r="AJ65" s="69">
        <f t="shared" si="25"/>
        <v>75218683</v>
      </c>
    </row>
    <row r="66" spans="1:36" ht="14.5" x14ac:dyDescent="0.35">
      <c r="A66" s="6">
        <f t="shared" si="27"/>
        <v>45903</v>
      </c>
      <c r="B66" s="7">
        <f t="shared" si="28"/>
        <v>45909</v>
      </c>
      <c r="C66" s="3">
        <v>559</v>
      </c>
      <c r="D66" s="3">
        <f t="shared" si="29"/>
        <v>153</v>
      </c>
      <c r="E66" s="3">
        <v>5452</v>
      </c>
      <c r="F66" s="3">
        <v>5471</v>
      </c>
      <c r="G66" s="3">
        <f t="shared" si="26"/>
        <v>20</v>
      </c>
      <c r="H66" s="3">
        <f t="shared" si="30"/>
        <v>20</v>
      </c>
      <c r="I66" s="3">
        <v>14</v>
      </c>
      <c r="J66" s="3">
        <v>1</v>
      </c>
      <c r="K66" s="3">
        <v>5</v>
      </c>
      <c r="L66" s="3">
        <f t="shared" si="34"/>
        <v>16</v>
      </c>
      <c r="M66" s="3">
        <v>1</v>
      </c>
      <c r="N66" s="3">
        <v>2</v>
      </c>
      <c r="O66" s="3">
        <v>5</v>
      </c>
      <c r="P66" s="3">
        <v>0</v>
      </c>
      <c r="Q66" s="3">
        <v>8</v>
      </c>
      <c r="R66" s="3">
        <v>0</v>
      </c>
      <c r="S66" s="3">
        <f t="shared" si="31"/>
        <v>4</v>
      </c>
      <c r="T66" s="3">
        <f t="shared" si="32"/>
        <v>1</v>
      </c>
      <c r="U66" s="3">
        <v>0</v>
      </c>
      <c r="V66" s="3">
        <v>1</v>
      </c>
      <c r="W66" s="3">
        <f t="shared" si="33"/>
        <v>3</v>
      </c>
      <c r="X66" s="3">
        <v>1</v>
      </c>
      <c r="Y66" s="3">
        <v>2</v>
      </c>
      <c r="Z66" s="4">
        <v>2909351132</v>
      </c>
      <c r="AA66" s="4">
        <v>46514978</v>
      </c>
      <c r="AB66" s="4">
        <v>39105866</v>
      </c>
      <c r="AC66" s="4">
        <v>446250</v>
      </c>
      <c r="AD66" s="4">
        <v>10664719</v>
      </c>
      <c r="AE66" s="4">
        <v>177421</v>
      </c>
      <c r="AF66" s="8">
        <v>15314403</v>
      </c>
      <c r="AH66" s="68">
        <f t="shared" si="23"/>
        <v>45909</v>
      </c>
      <c r="AI66" s="69">
        <f t="shared" si="24"/>
        <v>2909351132</v>
      </c>
      <c r="AJ66" s="69">
        <f t="shared" si="25"/>
        <v>46514978</v>
      </c>
    </row>
    <row r="67" spans="1:36" ht="14.5" x14ac:dyDescent="0.35">
      <c r="A67" s="6">
        <f t="shared" si="27"/>
        <v>45910</v>
      </c>
      <c r="B67" s="7">
        <f t="shared" si="28"/>
        <v>45916</v>
      </c>
      <c r="C67" s="3">
        <v>500</v>
      </c>
      <c r="D67" s="3">
        <f t="shared" si="29"/>
        <v>-59</v>
      </c>
      <c r="E67" s="3">
        <v>5472</v>
      </c>
      <c r="F67" s="3">
        <v>5490</v>
      </c>
      <c r="G67" s="3">
        <f t="shared" si="26"/>
        <v>19</v>
      </c>
      <c r="H67" s="3">
        <f t="shared" si="30"/>
        <v>19</v>
      </c>
      <c r="I67" s="3">
        <v>9</v>
      </c>
      <c r="J67" s="3">
        <v>3</v>
      </c>
      <c r="K67" s="3">
        <v>7</v>
      </c>
      <c r="L67" s="3">
        <f t="shared" si="34"/>
        <v>13</v>
      </c>
      <c r="M67" s="3">
        <v>1</v>
      </c>
      <c r="N67" s="3">
        <v>3</v>
      </c>
      <c r="O67" s="3">
        <v>3</v>
      </c>
      <c r="P67" s="3">
        <v>0</v>
      </c>
      <c r="Q67" s="3">
        <v>6</v>
      </c>
      <c r="R67" s="3">
        <v>0</v>
      </c>
      <c r="S67" s="3">
        <f t="shared" si="31"/>
        <v>6</v>
      </c>
      <c r="T67" s="3">
        <f t="shared" si="32"/>
        <v>2</v>
      </c>
      <c r="U67" s="3">
        <v>1</v>
      </c>
      <c r="V67" s="3">
        <v>1</v>
      </c>
      <c r="W67" s="3">
        <f t="shared" si="33"/>
        <v>4</v>
      </c>
      <c r="X67" s="3">
        <v>3</v>
      </c>
      <c r="Y67" s="3">
        <v>1</v>
      </c>
      <c r="Z67" s="4">
        <v>1944472061</v>
      </c>
      <c r="AA67" s="4">
        <v>79762297</v>
      </c>
      <c r="AB67" s="4">
        <v>78351508</v>
      </c>
      <c r="AC67" s="4">
        <v>44102220</v>
      </c>
      <c r="AD67" s="4">
        <v>15994262</v>
      </c>
      <c r="AE67" s="4">
        <v>213043</v>
      </c>
      <c r="AF67" s="8">
        <v>861365</v>
      </c>
      <c r="AH67" s="68">
        <f t="shared" si="23"/>
        <v>45916</v>
      </c>
      <c r="AI67" s="69">
        <f t="shared" si="24"/>
        <v>1944472061</v>
      </c>
      <c r="AJ67" s="69">
        <f t="shared" si="25"/>
        <v>79762297</v>
      </c>
    </row>
    <row r="68" spans="1:36" ht="14.5" x14ac:dyDescent="0.35">
      <c r="A68" s="6">
        <f t="shared" si="27"/>
        <v>45917</v>
      </c>
      <c r="B68" s="7">
        <f t="shared" si="28"/>
        <v>45923</v>
      </c>
      <c r="C68" s="3">
        <v>429</v>
      </c>
      <c r="D68" s="3">
        <f t="shared" si="29"/>
        <v>-71</v>
      </c>
      <c r="E68" s="3">
        <v>5491</v>
      </c>
      <c r="F68" s="3">
        <v>5509</v>
      </c>
      <c r="G68" s="3">
        <f t="shared" si="26"/>
        <v>19</v>
      </c>
      <c r="H68" s="3">
        <f t="shared" si="30"/>
        <v>19</v>
      </c>
      <c r="I68" s="3">
        <v>5</v>
      </c>
      <c r="J68" s="3">
        <v>2</v>
      </c>
      <c r="K68" s="3">
        <v>12</v>
      </c>
      <c r="L68" s="3">
        <f t="shared" si="34"/>
        <v>11</v>
      </c>
      <c r="M68" s="3">
        <v>2</v>
      </c>
      <c r="N68" s="3">
        <v>0</v>
      </c>
      <c r="O68" s="3">
        <v>2</v>
      </c>
      <c r="P68" s="3">
        <v>0</v>
      </c>
      <c r="Q68" s="3">
        <v>5</v>
      </c>
      <c r="R68" s="3">
        <v>2</v>
      </c>
      <c r="S68" s="3">
        <f t="shared" si="31"/>
        <v>8</v>
      </c>
      <c r="T68" s="3">
        <f t="shared" si="32"/>
        <v>0</v>
      </c>
      <c r="U68" s="3">
        <v>0</v>
      </c>
      <c r="V68" s="3">
        <v>0</v>
      </c>
      <c r="W68" s="3">
        <f t="shared" si="33"/>
        <v>8</v>
      </c>
      <c r="X68" s="3">
        <v>3</v>
      </c>
      <c r="Y68" s="3">
        <v>5</v>
      </c>
      <c r="Z68" s="4">
        <v>162465546</v>
      </c>
      <c r="AA68" s="4">
        <v>83913493.579999998</v>
      </c>
      <c r="AB68" s="4">
        <v>57486907</v>
      </c>
      <c r="AC68" s="4">
        <v>23893727</v>
      </c>
      <c r="AD68" s="4">
        <v>3224334</v>
      </c>
      <c r="AE68" s="4">
        <v>0</v>
      </c>
      <c r="AF68" s="8">
        <v>6111393</v>
      </c>
      <c r="AH68" s="68">
        <f t="shared" si="23"/>
        <v>45923</v>
      </c>
      <c r="AI68" s="69">
        <f t="shared" si="24"/>
        <v>162465546</v>
      </c>
      <c r="AJ68" s="69">
        <f t="shared" si="25"/>
        <v>83913493.579999998</v>
      </c>
    </row>
    <row r="69" spans="1:36" ht="14.5" x14ac:dyDescent="0.35">
      <c r="A69" s="6">
        <f t="shared" si="27"/>
        <v>45924</v>
      </c>
      <c r="B69" s="7">
        <f t="shared" si="28"/>
        <v>45930</v>
      </c>
      <c r="C69" s="3">
        <v>198</v>
      </c>
      <c r="D69" s="3">
        <f t="shared" si="29"/>
        <v>-231</v>
      </c>
      <c r="E69" s="3">
        <v>5510</v>
      </c>
      <c r="F69" s="3">
        <v>5525</v>
      </c>
      <c r="G69" s="3">
        <f t="shared" si="26"/>
        <v>16</v>
      </c>
      <c r="H69" s="3">
        <f t="shared" si="30"/>
        <v>16</v>
      </c>
      <c r="I69" s="3">
        <v>1</v>
      </c>
      <c r="J69" s="3">
        <v>1</v>
      </c>
      <c r="K69" s="3">
        <v>14</v>
      </c>
      <c r="L69" s="3">
        <f t="shared" si="34"/>
        <v>12</v>
      </c>
      <c r="M69" s="3">
        <v>2</v>
      </c>
      <c r="N69" s="3">
        <v>0</v>
      </c>
      <c r="O69" s="3">
        <v>2</v>
      </c>
      <c r="P69" s="3">
        <v>0</v>
      </c>
      <c r="Q69" s="3">
        <v>8</v>
      </c>
      <c r="R69" s="3">
        <v>0</v>
      </c>
      <c r="S69" s="3">
        <f t="shared" si="31"/>
        <v>4</v>
      </c>
      <c r="T69" s="3">
        <f t="shared" si="32"/>
        <v>2</v>
      </c>
      <c r="U69" s="3">
        <v>2</v>
      </c>
      <c r="V69" s="3">
        <v>0</v>
      </c>
      <c r="W69" s="3">
        <f t="shared" si="33"/>
        <v>2</v>
      </c>
      <c r="X69" s="3">
        <v>1</v>
      </c>
      <c r="Y69" s="3">
        <v>1</v>
      </c>
      <c r="Z69" s="4">
        <v>1409052277</v>
      </c>
      <c r="AA69" s="4">
        <v>231454126</v>
      </c>
      <c r="AB69" s="4">
        <v>234096164</v>
      </c>
      <c r="AC69" s="4">
        <v>9718221</v>
      </c>
      <c r="AD69" s="4">
        <v>749015</v>
      </c>
      <c r="AE69" s="4">
        <v>909160</v>
      </c>
      <c r="AF69" s="8">
        <v>699259</v>
      </c>
      <c r="AH69" s="68">
        <f t="shared" si="23"/>
        <v>45930</v>
      </c>
      <c r="AI69" s="69">
        <f t="shared" si="24"/>
        <v>1409052277</v>
      </c>
      <c r="AJ69" s="69">
        <f t="shared" si="25"/>
        <v>231454126</v>
      </c>
    </row>
    <row r="70" spans="1:36" ht="14.5" x14ac:dyDescent="0.35">
      <c r="A70" s="6">
        <f t="shared" si="27"/>
        <v>45931</v>
      </c>
      <c r="B70" s="7">
        <f t="shared" si="28"/>
        <v>45937</v>
      </c>
      <c r="C70" s="3">
        <v>682</v>
      </c>
      <c r="D70" s="3">
        <f t="shared" si="29"/>
        <v>484</v>
      </c>
      <c r="E70" s="3">
        <v>5526</v>
      </c>
      <c r="F70" s="3">
        <v>5535</v>
      </c>
      <c r="G70" s="3">
        <f t="shared" si="26"/>
        <v>10</v>
      </c>
      <c r="H70" s="3">
        <f t="shared" si="30"/>
        <v>10</v>
      </c>
      <c r="I70" s="3">
        <v>7</v>
      </c>
      <c r="J70" s="3">
        <v>1</v>
      </c>
      <c r="K70" s="3">
        <v>2</v>
      </c>
      <c r="L70" s="3">
        <f t="shared" si="34"/>
        <v>5</v>
      </c>
      <c r="M70" s="3">
        <v>1</v>
      </c>
      <c r="N70" s="3">
        <v>0</v>
      </c>
      <c r="O70" s="3">
        <v>2</v>
      </c>
      <c r="P70" s="3">
        <v>0</v>
      </c>
      <c r="Q70" s="3">
        <v>2</v>
      </c>
      <c r="R70" s="3">
        <v>0</v>
      </c>
      <c r="S70" s="3">
        <f t="shared" si="31"/>
        <v>5</v>
      </c>
      <c r="T70" s="3">
        <f t="shared" si="32"/>
        <v>2</v>
      </c>
      <c r="U70" s="3">
        <v>2</v>
      </c>
      <c r="V70" s="3">
        <v>0</v>
      </c>
      <c r="W70" s="3">
        <f t="shared" si="33"/>
        <v>3</v>
      </c>
      <c r="X70" s="3">
        <v>2</v>
      </c>
      <c r="Y70" s="3">
        <v>1</v>
      </c>
      <c r="Z70" s="4">
        <v>2738539964</v>
      </c>
      <c r="AA70" s="4">
        <v>9200304</v>
      </c>
      <c r="AB70" s="4">
        <v>8211500</v>
      </c>
      <c r="AC70" s="4">
        <v>3011890</v>
      </c>
      <c r="AD70" s="4">
        <v>3106043</v>
      </c>
      <c r="AE70" s="4">
        <v>716115</v>
      </c>
      <c r="AF70" s="8">
        <v>521487</v>
      </c>
      <c r="AH70" s="68">
        <f t="shared" si="23"/>
        <v>45937</v>
      </c>
      <c r="AI70" s="69">
        <f t="shared" si="24"/>
        <v>2738539964</v>
      </c>
      <c r="AJ70" s="69">
        <f t="shared" si="25"/>
        <v>9200304</v>
      </c>
    </row>
    <row r="71" spans="1:36" ht="14.5" x14ac:dyDescent="0.35">
      <c r="A71" s="6">
        <f t="shared" si="27"/>
        <v>45938</v>
      </c>
      <c r="B71" s="7">
        <f t="shared" si="28"/>
        <v>45944</v>
      </c>
      <c r="C71" s="3">
        <v>411</v>
      </c>
      <c r="D71" s="3">
        <f t="shared" si="29"/>
        <v>-271</v>
      </c>
      <c r="E71" s="3">
        <v>5536</v>
      </c>
      <c r="F71" s="3">
        <v>5553</v>
      </c>
      <c r="G71" s="3">
        <f t="shared" si="26"/>
        <v>18</v>
      </c>
      <c r="H71" s="3">
        <f t="shared" si="30"/>
        <v>18</v>
      </c>
      <c r="I71" s="3">
        <v>10</v>
      </c>
      <c r="J71" s="3">
        <v>1</v>
      </c>
      <c r="K71" s="3">
        <v>7</v>
      </c>
      <c r="L71" s="3">
        <f t="shared" si="34"/>
        <v>14</v>
      </c>
      <c r="M71" s="3">
        <v>7</v>
      </c>
      <c r="N71" s="3">
        <v>0</v>
      </c>
      <c r="O71" s="3">
        <v>4</v>
      </c>
      <c r="P71" s="3">
        <v>0</v>
      </c>
      <c r="Q71" s="3">
        <v>3</v>
      </c>
      <c r="R71" s="3">
        <v>0</v>
      </c>
      <c r="S71" s="3">
        <f t="shared" si="31"/>
        <v>4</v>
      </c>
      <c r="T71" s="3">
        <f t="shared" si="32"/>
        <v>0</v>
      </c>
      <c r="U71" s="3">
        <v>0</v>
      </c>
      <c r="V71" s="3">
        <v>0</v>
      </c>
      <c r="W71" s="3">
        <f t="shared" si="33"/>
        <v>4</v>
      </c>
      <c r="X71" s="3">
        <v>3</v>
      </c>
      <c r="Y71" s="3">
        <v>1</v>
      </c>
      <c r="Z71" s="4">
        <v>1515414622</v>
      </c>
      <c r="AA71" s="4">
        <v>96693237</v>
      </c>
      <c r="AB71" s="4">
        <v>96144958</v>
      </c>
      <c r="AC71" s="4">
        <v>37193215</v>
      </c>
      <c r="AD71" s="4">
        <v>16951569</v>
      </c>
      <c r="AE71" s="4">
        <v>0</v>
      </c>
      <c r="AF71" s="8">
        <v>3228674</v>
      </c>
      <c r="AH71" s="68">
        <f t="shared" ref="AH71:AH78" si="35">B71</f>
        <v>45944</v>
      </c>
      <c r="AI71" s="69">
        <f t="shared" si="24"/>
        <v>1515414622</v>
      </c>
      <c r="AJ71" s="69">
        <f t="shared" si="25"/>
        <v>96693237</v>
      </c>
    </row>
    <row r="72" spans="1:36" ht="14.5" x14ac:dyDescent="0.35">
      <c r="A72" s="6">
        <f t="shared" si="27"/>
        <v>45945</v>
      </c>
      <c r="B72" s="7">
        <f t="shared" si="28"/>
        <v>45951</v>
      </c>
      <c r="C72" s="20">
        <v>422</v>
      </c>
      <c r="D72" s="20">
        <f t="shared" si="29"/>
        <v>11</v>
      </c>
      <c r="E72" s="20">
        <v>5554</v>
      </c>
      <c r="F72" s="20">
        <v>5572</v>
      </c>
      <c r="G72" s="20">
        <f t="shared" si="26"/>
        <v>19</v>
      </c>
      <c r="H72" s="20">
        <f t="shared" si="30"/>
        <v>19</v>
      </c>
      <c r="I72" s="20">
        <v>10</v>
      </c>
      <c r="J72" s="20">
        <v>0</v>
      </c>
      <c r="K72" s="20">
        <v>9</v>
      </c>
      <c r="L72" s="20">
        <f t="shared" si="34"/>
        <v>16</v>
      </c>
      <c r="M72" s="20">
        <v>2</v>
      </c>
      <c r="N72" s="20">
        <v>1</v>
      </c>
      <c r="O72" s="20">
        <v>5</v>
      </c>
      <c r="P72" s="20">
        <v>1</v>
      </c>
      <c r="Q72" s="20">
        <v>7</v>
      </c>
      <c r="R72" s="20">
        <v>0</v>
      </c>
      <c r="S72" s="20">
        <f t="shared" si="31"/>
        <v>3</v>
      </c>
      <c r="T72" s="20">
        <f t="shared" si="32"/>
        <v>2</v>
      </c>
      <c r="U72" s="20">
        <v>2</v>
      </c>
      <c r="V72" s="20">
        <v>0</v>
      </c>
      <c r="W72" s="20">
        <f t="shared" si="33"/>
        <v>1</v>
      </c>
      <c r="X72" s="20">
        <v>0</v>
      </c>
      <c r="Y72" s="20">
        <v>1</v>
      </c>
      <c r="Z72" s="21">
        <v>1705879680</v>
      </c>
      <c r="AA72" s="21">
        <v>201734720</v>
      </c>
      <c r="AB72" s="21"/>
      <c r="AC72" s="21"/>
      <c r="AD72" s="21"/>
      <c r="AE72" s="21"/>
      <c r="AF72" s="71"/>
      <c r="AH72" s="68">
        <f t="shared" si="35"/>
        <v>45951</v>
      </c>
      <c r="AI72" s="69">
        <f t="shared" si="24"/>
        <v>1705879680</v>
      </c>
      <c r="AJ72" s="69">
        <f t="shared" si="25"/>
        <v>201734720</v>
      </c>
    </row>
    <row r="73" spans="1:36" ht="14.5" x14ac:dyDescent="0.35">
      <c r="A73" s="6">
        <f t="shared" si="27"/>
        <v>45952</v>
      </c>
      <c r="B73" s="70">
        <f t="shared" si="28"/>
        <v>45958</v>
      </c>
      <c r="C73" s="3">
        <v>301</v>
      </c>
      <c r="D73" s="20">
        <f t="shared" si="29"/>
        <v>-121</v>
      </c>
      <c r="E73" s="3">
        <v>5573</v>
      </c>
      <c r="F73" s="3">
        <v>5589</v>
      </c>
      <c r="G73" s="20">
        <f t="shared" si="26"/>
        <v>17</v>
      </c>
      <c r="H73" s="20">
        <f t="shared" si="30"/>
        <v>17</v>
      </c>
      <c r="I73" s="3">
        <v>6</v>
      </c>
      <c r="J73" s="3">
        <v>0</v>
      </c>
      <c r="K73" s="3">
        <v>11</v>
      </c>
      <c r="L73" s="20">
        <f t="shared" si="34"/>
        <v>14</v>
      </c>
      <c r="M73" s="3">
        <v>0</v>
      </c>
      <c r="N73" s="3">
        <v>1</v>
      </c>
      <c r="O73" s="3">
        <v>3</v>
      </c>
      <c r="P73" s="3">
        <v>1</v>
      </c>
      <c r="Q73" s="3">
        <v>8</v>
      </c>
      <c r="R73" s="3">
        <v>1</v>
      </c>
      <c r="S73" s="20">
        <f t="shared" si="31"/>
        <v>3</v>
      </c>
      <c r="T73" s="20">
        <f t="shared" si="32"/>
        <v>1</v>
      </c>
      <c r="U73" s="3">
        <v>1</v>
      </c>
      <c r="V73" s="3">
        <v>0</v>
      </c>
      <c r="W73" s="20">
        <f t="shared" si="33"/>
        <v>2</v>
      </c>
      <c r="X73" s="3">
        <v>2</v>
      </c>
      <c r="Y73" s="3">
        <v>0</v>
      </c>
      <c r="Z73" s="4">
        <v>1511697927</v>
      </c>
      <c r="AA73" s="4">
        <v>42156198</v>
      </c>
      <c r="AB73" s="4">
        <v>56167889</v>
      </c>
      <c r="AC73" s="4">
        <v>0</v>
      </c>
      <c r="AD73" s="4">
        <v>13201094</v>
      </c>
      <c r="AE73" s="4">
        <v>192780</v>
      </c>
      <c r="AF73" s="4">
        <v>397834</v>
      </c>
      <c r="AH73" s="68">
        <f t="shared" si="35"/>
        <v>45958</v>
      </c>
      <c r="AI73" s="69">
        <f t="shared" si="24"/>
        <v>1511697927</v>
      </c>
      <c r="AJ73" s="69">
        <f t="shared" si="25"/>
        <v>42156198</v>
      </c>
    </row>
    <row r="74" spans="1:36" ht="14.5" x14ac:dyDescent="0.35">
      <c r="A74" s="6">
        <f t="shared" si="27"/>
        <v>45959</v>
      </c>
      <c r="B74" s="70">
        <f t="shared" si="28"/>
        <v>45965</v>
      </c>
      <c r="C74" s="20">
        <v>173</v>
      </c>
      <c r="D74" s="20">
        <f t="shared" si="29"/>
        <v>-128</v>
      </c>
      <c r="E74" s="20">
        <v>5590</v>
      </c>
      <c r="F74" s="20">
        <v>5603</v>
      </c>
      <c r="G74" s="20">
        <f t="shared" si="26"/>
        <v>14</v>
      </c>
      <c r="H74" s="20">
        <f t="shared" si="30"/>
        <v>14</v>
      </c>
      <c r="I74" s="20">
        <v>9</v>
      </c>
      <c r="J74" s="20">
        <v>0</v>
      </c>
      <c r="K74" s="20">
        <v>5</v>
      </c>
      <c r="L74" s="20">
        <f t="shared" si="34"/>
        <v>13</v>
      </c>
      <c r="M74" s="20">
        <v>0</v>
      </c>
      <c r="N74" s="20">
        <v>0</v>
      </c>
      <c r="O74" s="20">
        <v>3</v>
      </c>
      <c r="P74" s="20">
        <v>0</v>
      </c>
      <c r="Q74" s="20">
        <v>10</v>
      </c>
      <c r="R74" s="20">
        <v>0</v>
      </c>
      <c r="S74" s="20">
        <f t="shared" si="31"/>
        <v>1</v>
      </c>
      <c r="T74" s="20">
        <f t="shared" si="32"/>
        <v>0</v>
      </c>
      <c r="U74" s="20">
        <v>0</v>
      </c>
      <c r="V74" s="20">
        <v>0</v>
      </c>
      <c r="W74" s="20">
        <f t="shared" si="33"/>
        <v>1</v>
      </c>
      <c r="X74" s="20">
        <v>1</v>
      </c>
      <c r="Y74" s="20">
        <v>0</v>
      </c>
      <c r="Z74" s="21">
        <v>1053657954</v>
      </c>
      <c r="AA74" s="21">
        <v>52257540</v>
      </c>
      <c r="AB74" s="21">
        <f>6412620+39636461</f>
        <v>46049081</v>
      </c>
      <c r="AC74" s="21">
        <v>0</v>
      </c>
      <c r="AD74" s="21">
        <f>4516050+6125160</f>
        <v>10641210</v>
      </c>
      <c r="AE74" s="21">
        <v>0</v>
      </c>
      <c r="AF74" s="21">
        <v>347843</v>
      </c>
      <c r="AH74" s="68">
        <f t="shared" si="35"/>
        <v>45965</v>
      </c>
      <c r="AI74" s="69">
        <f t="shared" si="24"/>
        <v>1053657954</v>
      </c>
      <c r="AJ74" s="69">
        <f t="shared" si="25"/>
        <v>52257540</v>
      </c>
    </row>
    <row r="75" spans="1:36" ht="14.5" x14ac:dyDescent="0.35">
      <c r="A75" s="6">
        <f t="shared" si="27"/>
        <v>45966</v>
      </c>
      <c r="B75" s="70">
        <f t="shared" si="28"/>
        <v>45972</v>
      </c>
      <c r="C75" s="3">
        <v>768</v>
      </c>
      <c r="D75" s="20">
        <f t="shared" si="29"/>
        <v>595</v>
      </c>
      <c r="E75" s="20">
        <v>5604</v>
      </c>
      <c r="F75" s="20">
        <v>5623</v>
      </c>
      <c r="G75" s="20">
        <f t="shared" si="26"/>
        <v>20</v>
      </c>
      <c r="H75" s="20">
        <f t="shared" si="30"/>
        <v>20</v>
      </c>
      <c r="I75" s="20">
        <v>15</v>
      </c>
      <c r="J75" s="20">
        <v>1</v>
      </c>
      <c r="K75" s="20">
        <v>4</v>
      </c>
      <c r="L75" s="20">
        <f t="shared" si="34"/>
        <v>14</v>
      </c>
      <c r="M75" s="20">
        <v>2</v>
      </c>
      <c r="N75" s="20">
        <v>2</v>
      </c>
      <c r="O75" s="20">
        <v>2</v>
      </c>
      <c r="P75" s="20">
        <v>0</v>
      </c>
      <c r="Q75" s="20">
        <v>8</v>
      </c>
      <c r="R75" s="20">
        <v>0</v>
      </c>
      <c r="S75" s="20">
        <f t="shared" si="31"/>
        <v>6</v>
      </c>
      <c r="T75" s="20">
        <f t="shared" si="32"/>
        <v>3</v>
      </c>
      <c r="U75" s="20">
        <v>3</v>
      </c>
      <c r="V75" s="20">
        <v>0</v>
      </c>
      <c r="W75" s="20">
        <f t="shared" si="33"/>
        <v>3</v>
      </c>
      <c r="X75" s="20">
        <v>1</v>
      </c>
      <c r="Y75" s="20">
        <v>2</v>
      </c>
      <c r="Z75" s="21">
        <v>3946343337</v>
      </c>
      <c r="AA75" s="21">
        <v>363907588</v>
      </c>
      <c r="AB75" s="21">
        <v>360297567</v>
      </c>
      <c r="AC75" s="21">
        <v>4321992</v>
      </c>
      <c r="AD75" s="21">
        <v>333660720</v>
      </c>
      <c r="AE75" s="21">
        <v>3247775</v>
      </c>
      <c r="AF75" s="21">
        <v>618086</v>
      </c>
      <c r="AH75" s="68">
        <f t="shared" si="35"/>
        <v>45972</v>
      </c>
      <c r="AI75" s="69">
        <f t="shared" si="24"/>
        <v>3946343337</v>
      </c>
      <c r="AJ75" s="69">
        <f t="shared" si="25"/>
        <v>363907588</v>
      </c>
    </row>
    <row r="76" spans="1:36" ht="14.5" x14ac:dyDescent="0.35">
      <c r="A76" s="6">
        <f t="shared" si="27"/>
        <v>45973</v>
      </c>
      <c r="B76" s="70">
        <f t="shared" si="28"/>
        <v>45979</v>
      </c>
      <c r="C76" s="3">
        <v>354</v>
      </c>
      <c r="D76" s="20">
        <f t="shared" si="29"/>
        <v>-414</v>
      </c>
      <c r="E76" s="20">
        <v>5624</v>
      </c>
      <c r="F76" s="20">
        <v>5643</v>
      </c>
      <c r="G76" s="20">
        <f t="shared" si="26"/>
        <v>20</v>
      </c>
      <c r="H76" s="20">
        <f t="shared" si="30"/>
        <v>20</v>
      </c>
      <c r="I76" s="20">
        <v>9</v>
      </c>
      <c r="J76" s="20">
        <v>0</v>
      </c>
      <c r="K76" s="20">
        <v>11</v>
      </c>
      <c r="L76" s="20">
        <f t="shared" si="34"/>
        <v>11</v>
      </c>
      <c r="M76" s="20">
        <v>3</v>
      </c>
      <c r="N76" s="20">
        <v>2</v>
      </c>
      <c r="O76" s="20">
        <v>0</v>
      </c>
      <c r="P76" s="20">
        <v>1</v>
      </c>
      <c r="Q76" s="20">
        <v>5</v>
      </c>
      <c r="R76" s="20">
        <v>0</v>
      </c>
      <c r="S76" s="20">
        <f t="shared" si="31"/>
        <v>9</v>
      </c>
      <c r="T76" s="20">
        <f t="shared" si="32"/>
        <v>3</v>
      </c>
      <c r="U76" s="20">
        <v>3</v>
      </c>
      <c r="V76" s="20">
        <v>0</v>
      </c>
      <c r="W76" s="20">
        <f t="shared" si="33"/>
        <v>6</v>
      </c>
      <c r="X76" s="20">
        <v>6</v>
      </c>
      <c r="Y76" s="20">
        <v>0</v>
      </c>
      <c r="Z76" s="21">
        <v>1265196697</v>
      </c>
      <c r="AA76" s="21">
        <v>99981150</v>
      </c>
      <c r="AB76" s="21">
        <v>92566355</v>
      </c>
      <c r="AC76" s="21">
        <v>38489122</v>
      </c>
      <c r="AD76" s="21">
        <v>0</v>
      </c>
      <c r="AE76" s="21">
        <v>2740094</v>
      </c>
      <c r="AF76" s="21">
        <v>2306004</v>
      </c>
      <c r="AH76" s="68">
        <f t="shared" si="35"/>
        <v>45979</v>
      </c>
      <c r="AI76" s="69">
        <f t="shared" si="24"/>
        <v>1265196697</v>
      </c>
      <c r="AJ76" s="69">
        <f t="shared" si="25"/>
        <v>99981150</v>
      </c>
    </row>
    <row r="77" spans="1:36" ht="15" customHeight="1" x14ac:dyDescent="0.35">
      <c r="A77" s="6">
        <f t="shared" si="27"/>
        <v>45980</v>
      </c>
      <c r="B77" s="70">
        <f t="shared" si="28"/>
        <v>45986</v>
      </c>
      <c r="C77" s="3">
        <v>430</v>
      </c>
      <c r="D77" s="20">
        <f t="shared" si="29"/>
        <v>76</v>
      </c>
      <c r="E77" s="20">
        <v>5644</v>
      </c>
      <c r="F77" s="20">
        <v>5671</v>
      </c>
      <c r="G77" s="20">
        <f t="shared" si="26"/>
        <v>28</v>
      </c>
      <c r="H77" s="20">
        <f t="shared" si="30"/>
        <v>28</v>
      </c>
      <c r="I77" s="20">
        <v>9</v>
      </c>
      <c r="J77" s="20">
        <v>0</v>
      </c>
      <c r="K77" s="20">
        <v>19</v>
      </c>
      <c r="L77" s="20">
        <f t="shared" si="34"/>
        <v>18</v>
      </c>
      <c r="M77" s="20">
        <v>1</v>
      </c>
      <c r="N77" s="20">
        <v>3</v>
      </c>
      <c r="O77" s="20">
        <v>7</v>
      </c>
      <c r="P77" s="20">
        <v>0</v>
      </c>
      <c r="Q77" s="20">
        <v>6</v>
      </c>
      <c r="R77" s="20">
        <v>1</v>
      </c>
      <c r="S77" s="20">
        <f t="shared" si="31"/>
        <v>10</v>
      </c>
      <c r="T77" s="20">
        <f t="shared" si="32"/>
        <v>0</v>
      </c>
      <c r="U77" s="20">
        <v>0</v>
      </c>
      <c r="V77" s="20">
        <v>0</v>
      </c>
      <c r="W77" s="20">
        <f t="shared" si="33"/>
        <v>10</v>
      </c>
      <c r="X77" s="20">
        <v>4</v>
      </c>
      <c r="Y77" s="20">
        <v>6</v>
      </c>
      <c r="Z77" s="21">
        <v>3658030391</v>
      </c>
      <c r="AA77" s="21">
        <v>118505888</v>
      </c>
      <c r="AB77" s="21">
        <v>115158019</v>
      </c>
      <c r="AC77" s="21">
        <v>4599350</v>
      </c>
      <c r="AD77" s="21">
        <v>55814950</v>
      </c>
      <c r="AE77" s="21"/>
      <c r="AF77" s="21">
        <v>1019937</v>
      </c>
      <c r="AH77" s="68">
        <f t="shared" si="35"/>
        <v>45986</v>
      </c>
      <c r="AI77" s="69">
        <f t="shared" si="24"/>
        <v>3658030391</v>
      </c>
      <c r="AJ77" s="69">
        <f t="shared" si="25"/>
        <v>118505888</v>
      </c>
    </row>
    <row r="78" spans="1:36" ht="15" customHeight="1" x14ac:dyDescent="0.35">
      <c r="A78" s="6">
        <f t="shared" si="27"/>
        <v>45987</v>
      </c>
      <c r="B78" s="70">
        <f t="shared" si="28"/>
        <v>45993</v>
      </c>
      <c r="C78" s="3">
        <v>395</v>
      </c>
      <c r="D78" s="20">
        <f t="shared" si="29"/>
        <v>-35</v>
      </c>
      <c r="E78" s="20">
        <v>5672</v>
      </c>
      <c r="F78" s="20">
        <v>5701</v>
      </c>
      <c r="G78" s="20">
        <f t="shared" si="26"/>
        <v>30</v>
      </c>
      <c r="H78" s="20">
        <f t="shared" si="30"/>
        <v>30</v>
      </c>
      <c r="I78" s="20">
        <v>7</v>
      </c>
      <c r="J78" s="20">
        <v>1</v>
      </c>
      <c r="K78" s="20">
        <v>22</v>
      </c>
      <c r="L78" s="20">
        <f t="shared" si="34"/>
        <v>21</v>
      </c>
      <c r="M78" s="20">
        <v>0</v>
      </c>
      <c r="N78" s="20">
        <v>5</v>
      </c>
      <c r="O78" s="20">
        <v>10</v>
      </c>
      <c r="P78" s="20">
        <v>0</v>
      </c>
      <c r="Q78" s="20">
        <v>5</v>
      </c>
      <c r="R78" s="20">
        <v>1</v>
      </c>
      <c r="S78" s="20">
        <f t="shared" si="31"/>
        <v>9</v>
      </c>
      <c r="T78" s="20">
        <f t="shared" si="32"/>
        <v>4</v>
      </c>
      <c r="U78" s="20">
        <v>4</v>
      </c>
      <c r="V78" s="20">
        <v>0</v>
      </c>
      <c r="W78" s="20">
        <f t="shared" si="33"/>
        <v>5</v>
      </c>
      <c r="X78" s="20">
        <v>5</v>
      </c>
      <c r="Y78" s="20">
        <v>0</v>
      </c>
      <c r="Z78" s="21">
        <v>2654648059</v>
      </c>
      <c r="AA78" s="21">
        <v>1245229425</v>
      </c>
      <c r="AB78" s="21">
        <v>38097430</v>
      </c>
      <c r="AC78" s="21">
        <v>0</v>
      </c>
      <c r="AD78" s="21">
        <v>39153202</v>
      </c>
      <c r="AE78" s="21">
        <v>12841766</v>
      </c>
      <c r="AF78" s="21">
        <v>442561</v>
      </c>
      <c r="AH78" s="68">
        <f t="shared" si="35"/>
        <v>45993</v>
      </c>
      <c r="AI78" s="69">
        <f t="shared" si="24"/>
        <v>2654648059</v>
      </c>
      <c r="AJ78" s="69">
        <f t="shared" si="25"/>
        <v>1245229425</v>
      </c>
    </row>
    <row r="79" spans="1:36" ht="15" customHeight="1" x14ac:dyDescent="0.35">
      <c r="A79" s="6">
        <f t="shared" si="27"/>
        <v>45994</v>
      </c>
      <c r="B79" s="70">
        <f t="shared" si="28"/>
        <v>46000</v>
      </c>
      <c r="C79" s="3">
        <v>480</v>
      </c>
      <c r="D79" s="20">
        <f t="shared" si="29"/>
        <v>85</v>
      </c>
      <c r="E79" s="20">
        <v>5702</v>
      </c>
      <c r="F79" s="20">
        <v>5726</v>
      </c>
      <c r="G79" s="20">
        <f t="shared" si="26"/>
        <v>25</v>
      </c>
      <c r="H79" s="20">
        <f t="shared" si="30"/>
        <v>25</v>
      </c>
      <c r="I79" s="20">
        <v>13</v>
      </c>
      <c r="J79" s="20">
        <v>1</v>
      </c>
      <c r="K79" s="20">
        <v>11</v>
      </c>
      <c r="L79" s="20">
        <f t="shared" si="34"/>
        <v>18</v>
      </c>
      <c r="M79" s="20">
        <v>1</v>
      </c>
      <c r="N79" s="20">
        <v>2</v>
      </c>
      <c r="O79" s="20">
        <v>4</v>
      </c>
      <c r="P79" s="20">
        <v>0</v>
      </c>
      <c r="Q79" s="20">
        <v>10</v>
      </c>
      <c r="R79" s="20">
        <v>1</v>
      </c>
      <c r="S79" s="20">
        <f t="shared" si="31"/>
        <v>7</v>
      </c>
      <c r="T79" s="20">
        <f t="shared" si="32"/>
        <v>2</v>
      </c>
      <c r="U79" s="20">
        <v>1</v>
      </c>
      <c r="V79" s="20">
        <v>1</v>
      </c>
      <c r="W79" s="20">
        <f t="shared" si="33"/>
        <v>5</v>
      </c>
      <c r="X79" s="20">
        <v>1</v>
      </c>
      <c r="Y79" s="20">
        <v>4</v>
      </c>
      <c r="Z79" s="21"/>
      <c r="AA79" s="21"/>
      <c r="AB79" s="21"/>
      <c r="AC79" s="21"/>
      <c r="AD79" s="21"/>
      <c r="AE79" s="21"/>
      <c r="AF79" s="21"/>
    </row>
    <row r="80" spans="1:36" ht="15" customHeight="1" x14ac:dyDescent="0.35">
      <c r="A80" s="72">
        <f t="shared" si="27"/>
        <v>46001</v>
      </c>
      <c r="B80" s="73">
        <f t="shared" si="28"/>
        <v>46007</v>
      </c>
      <c r="C80" s="3">
        <v>534</v>
      </c>
      <c r="D80" s="20">
        <f t="shared" si="29"/>
        <v>54</v>
      </c>
      <c r="E80" s="20">
        <v>5727</v>
      </c>
      <c r="F80" s="20">
        <v>5754</v>
      </c>
      <c r="G80" s="20">
        <f t="shared" si="26"/>
        <v>28</v>
      </c>
      <c r="H80" s="20">
        <f t="shared" si="30"/>
        <v>28</v>
      </c>
      <c r="I80" s="20">
        <v>9</v>
      </c>
      <c r="J80" s="20">
        <v>2</v>
      </c>
      <c r="K80" s="20">
        <v>17</v>
      </c>
      <c r="L80" s="20">
        <f t="shared" si="34"/>
        <v>23</v>
      </c>
      <c r="M80" s="20">
        <v>1</v>
      </c>
      <c r="N80" s="20">
        <v>2</v>
      </c>
      <c r="O80" s="20">
        <v>6</v>
      </c>
      <c r="P80" s="20">
        <v>0</v>
      </c>
      <c r="Q80" s="20">
        <v>13</v>
      </c>
      <c r="R80" s="20">
        <v>1</v>
      </c>
      <c r="S80" s="20">
        <f t="shared" si="31"/>
        <v>5</v>
      </c>
      <c r="T80" s="20">
        <f t="shared" si="32"/>
        <v>1</v>
      </c>
      <c r="U80" s="20">
        <v>1</v>
      </c>
      <c r="V80" s="20">
        <v>0</v>
      </c>
      <c r="W80" s="20">
        <f t="shared" si="33"/>
        <v>4</v>
      </c>
      <c r="X80" s="20">
        <v>2</v>
      </c>
      <c r="Y80" s="20">
        <v>2</v>
      </c>
      <c r="Z80" s="21">
        <v>4053403573.6300001</v>
      </c>
      <c r="AA80" s="21">
        <v>48957834.909999996</v>
      </c>
      <c r="AB80" s="21">
        <v>46904606</v>
      </c>
      <c r="AC80" s="21">
        <v>4105024</v>
      </c>
      <c r="AD80" s="21">
        <v>12023610</v>
      </c>
      <c r="AE80" s="21">
        <v>523600</v>
      </c>
      <c r="AF80" s="21">
        <v>1828101</v>
      </c>
    </row>
    <row r="81" spans="1:34" ht="15" customHeight="1" x14ac:dyDescent="0.35">
      <c r="A81" s="7">
        <f t="shared" si="27"/>
        <v>46008</v>
      </c>
      <c r="B81" s="7">
        <f t="shared" si="28"/>
        <v>46014</v>
      </c>
      <c r="C81" s="3">
        <v>316</v>
      </c>
      <c r="D81" s="20">
        <f t="shared" si="29"/>
        <v>-218</v>
      </c>
      <c r="E81" s="20">
        <v>5755</v>
      </c>
      <c r="F81" s="20">
        <v>5782</v>
      </c>
      <c r="G81" s="20">
        <f t="shared" si="26"/>
        <v>28</v>
      </c>
      <c r="H81" s="20">
        <f t="shared" si="30"/>
        <v>28</v>
      </c>
      <c r="I81" s="20">
        <v>12</v>
      </c>
      <c r="J81" s="20">
        <v>1</v>
      </c>
      <c r="K81" s="20">
        <v>15</v>
      </c>
      <c r="L81" s="20">
        <f t="shared" si="34"/>
        <v>18</v>
      </c>
      <c r="M81" s="20">
        <v>0</v>
      </c>
      <c r="N81" s="20">
        <v>0</v>
      </c>
      <c r="O81" s="20">
        <v>2</v>
      </c>
      <c r="P81" s="20">
        <v>1</v>
      </c>
      <c r="Q81" s="20">
        <v>12</v>
      </c>
      <c r="R81" s="20">
        <v>3</v>
      </c>
      <c r="S81" s="20">
        <f t="shared" si="31"/>
        <v>10</v>
      </c>
      <c r="T81" s="20">
        <f t="shared" si="32"/>
        <v>2</v>
      </c>
      <c r="U81" s="20">
        <v>2</v>
      </c>
      <c r="V81" s="20">
        <v>0</v>
      </c>
      <c r="W81" s="20">
        <f t="shared" si="33"/>
        <v>8</v>
      </c>
      <c r="X81" s="20">
        <v>7</v>
      </c>
      <c r="Y81" s="20">
        <v>1</v>
      </c>
      <c r="Z81" s="21">
        <v>2328826554</v>
      </c>
      <c r="AA81" s="21">
        <v>139460830</v>
      </c>
      <c r="AB81" s="21">
        <v>129678044</v>
      </c>
      <c r="AC81" s="21">
        <v>0</v>
      </c>
      <c r="AD81" s="21">
        <v>11227897</v>
      </c>
      <c r="AE81" s="21">
        <v>634952</v>
      </c>
      <c r="AF81" s="21">
        <v>571018</v>
      </c>
    </row>
    <row r="82" spans="1:34" ht="15" customHeight="1" x14ac:dyDescent="0.35">
      <c r="A82" s="7">
        <f t="shared" si="27"/>
        <v>46015</v>
      </c>
      <c r="B82" s="7">
        <f t="shared" si="28"/>
        <v>46021</v>
      </c>
      <c r="C82" s="3">
        <v>0</v>
      </c>
      <c r="D82" s="20">
        <v>0</v>
      </c>
      <c r="E82" s="20">
        <v>0</v>
      </c>
      <c r="F82" s="20">
        <v>0</v>
      </c>
      <c r="G82" s="20">
        <v>0</v>
      </c>
      <c r="H82" s="20">
        <v>0</v>
      </c>
      <c r="I82" s="20">
        <v>0</v>
      </c>
      <c r="J82" s="20">
        <v>0</v>
      </c>
      <c r="K82" s="20">
        <v>0</v>
      </c>
      <c r="L82" s="20">
        <v>0</v>
      </c>
      <c r="M82" s="20">
        <v>0</v>
      </c>
      <c r="N82" s="20">
        <v>0</v>
      </c>
      <c r="O82" s="20">
        <v>0</v>
      </c>
      <c r="P82" s="20">
        <v>0</v>
      </c>
      <c r="Q82" s="20">
        <v>0</v>
      </c>
      <c r="R82" s="20">
        <v>0</v>
      </c>
      <c r="S82" s="20">
        <f t="shared" si="31"/>
        <v>0</v>
      </c>
      <c r="T82" s="20">
        <f t="shared" si="32"/>
        <v>0</v>
      </c>
      <c r="U82" s="20">
        <v>0</v>
      </c>
      <c r="V82" s="20">
        <v>0</v>
      </c>
      <c r="W82" s="20">
        <f t="shared" si="33"/>
        <v>0</v>
      </c>
      <c r="X82" s="20">
        <v>0</v>
      </c>
      <c r="Y82" s="20">
        <v>0</v>
      </c>
      <c r="Z82" s="21"/>
      <c r="AA82" s="21">
        <v>0</v>
      </c>
      <c r="AB82" s="21">
        <v>0</v>
      </c>
      <c r="AC82" s="21">
        <v>0</v>
      </c>
      <c r="AD82" s="21">
        <v>0</v>
      </c>
      <c r="AE82" s="21">
        <v>0</v>
      </c>
      <c r="AF82" s="21">
        <v>0</v>
      </c>
    </row>
    <row r="83" spans="1:34" ht="15" customHeight="1" x14ac:dyDescent="0.35">
      <c r="A83" s="19">
        <f t="shared" si="27"/>
        <v>46022</v>
      </c>
      <c r="B83" s="19">
        <f t="shared" si="28"/>
        <v>46028</v>
      </c>
      <c r="C83" s="3">
        <v>136</v>
      </c>
      <c r="D83" s="20">
        <v>0</v>
      </c>
      <c r="E83" s="20">
        <v>5783</v>
      </c>
      <c r="F83" s="20">
        <v>5784</v>
      </c>
      <c r="G83" s="20">
        <f t="shared" si="26"/>
        <v>2</v>
      </c>
      <c r="H83" s="20">
        <f t="shared" si="30"/>
        <v>2</v>
      </c>
      <c r="I83" s="20">
        <v>2</v>
      </c>
      <c r="J83" s="20">
        <v>2</v>
      </c>
      <c r="K83" s="20">
        <v>0</v>
      </c>
      <c r="L83" s="20">
        <f t="shared" si="34"/>
        <v>2</v>
      </c>
      <c r="M83" s="20">
        <v>1</v>
      </c>
      <c r="N83" s="20">
        <v>0</v>
      </c>
      <c r="O83" s="20">
        <v>1</v>
      </c>
      <c r="P83" s="20">
        <v>0</v>
      </c>
      <c r="Q83" s="20">
        <v>0</v>
      </c>
      <c r="R83" s="20">
        <v>0</v>
      </c>
      <c r="S83" s="20">
        <f t="shared" si="31"/>
        <v>0</v>
      </c>
      <c r="T83" s="20">
        <f t="shared" si="32"/>
        <v>0</v>
      </c>
      <c r="U83" s="20">
        <v>0</v>
      </c>
      <c r="V83" s="20">
        <v>0</v>
      </c>
      <c r="W83" s="20">
        <f t="shared" si="33"/>
        <v>0</v>
      </c>
      <c r="X83" s="20">
        <v>0</v>
      </c>
      <c r="Y83" s="20">
        <v>0</v>
      </c>
      <c r="Z83" s="21">
        <v>607264558</v>
      </c>
      <c r="AA83" s="21">
        <v>33067042</v>
      </c>
      <c r="AB83" s="21">
        <v>33067042</v>
      </c>
      <c r="AC83" s="21">
        <v>30568720</v>
      </c>
      <c r="AD83" s="21">
        <v>2498562</v>
      </c>
      <c r="AE83" s="21">
        <v>0</v>
      </c>
      <c r="AF83" s="21">
        <v>0</v>
      </c>
      <c r="AG83" s="80"/>
      <c r="AH83" s="80"/>
    </row>
    <row r="84" spans="1:34" ht="15" customHeight="1" x14ac:dyDescent="0.35">
      <c r="A84" s="19">
        <f t="shared" si="27"/>
        <v>46029</v>
      </c>
      <c r="B84" s="19">
        <f t="shared" si="28"/>
        <v>46035</v>
      </c>
      <c r="C84" s="3">
        <v>220</v>
      </c>
      <c r="D84" s="20">
        <f t="shared" ref="D84:D90" si="36">+C84-C83</f>
        <v>84</v>
      </c>
      <c r="E84" s="3">
        <v>5785</v>
      </c>
      <c r="F84" s="3">
        <v>5789</v>
      </c>
      <c r="G84" s="20">
        <f t="shared" si="26"/>
        <v>5</v>
      </c>
      <c r="H84" s="20">
        <f t="shared" si="30"/>
        <v>5</v>
      </c>
      <c r="I84" s="3">
        <v>4</v>
      </c>
      <c r="J84" s="3">
        <v>1</v>
      </c>
      <c r="K84" s="3">
        <v>0</v>
      </c>
      <c r="L84" s="20">
        <f t="shared" si="34"/>
        <v>4</v>
      </c>
      <c r="M84" s="3">
        <v>1</v>
      </c>
      <c r="N84" s="3">
        <v>0</v>
      </c>
      <c r="O84" s="3">
        <v>3</v>
      </c>
      <c r="P84" s="3">
        <v>0</v>
      </c>
      <c r="Q84" s="3">
        <v>0</v>
      </c>
      <c r="R84" s="3">
        <v>0</v>
      </c>
      <c r="S84" s="20">
        <f t="shared" si="31"/>
        <v>1</v>
      </c>
      <c r="T84" s="20">
        <f t="shared" si="32"/>
        <v>0</v>
      </c>
      <c r="U84" s="3">
        <v>0</v>
      </c>
      <c r="V84" s="3">
        <v>0</v>
      </c>
      <c r="W84" s="20">
        <f t="shared" si="33"/>
        <v>1</v>
      </c>
      <c r="X84" s="3">
        <v>1</v>
      </c>
      <c r="Y84" s="3">
        <v>0</v>
      </c>
      <c r="Z84" s="4">
        <v>1045204970</v>
      </c>
      <c r="AA84" s="4">
        <v>12454666</v>
      </c>
      <c r="AB84" s="4">
        <v>11943918</v>
      </c>
      <c r="AC84" s="4">
        <v>10300447</v>
      </c>
      <c r="AD84" s="4">
        <v>1985001</v>
      </c>
      <c r="AE84" s="4">
        <v>0</v>
      </c>
      <c r="AF84" s="4">
        <v>169218</v>
      </c>
    </row>
    <row r="85" spans="1:34" ht="15" customHeight="1" x14ac:dyDescent="0.35">
      <c r="A85" s="19">
        <f t="shared" si="27"/>
        <v>46036</v>
      </c>
      <c r="B85" s="19">
        <f t="shared" si="28"/>
        <v>46042</v>
      </c>
      <c r="C85" s="3">
        <v>390</v>
      </c>
      <c r="D85" s="20">
        <f t="shared" si="36"/>
        <v>170</v>
      </c>
      <c r="E85" s="3">
        <v>5790</v>
      </c>
      <c r="F85" s="3">
        <v>5803</v>
      </c>
      <c r="G85" s="20">
        <f t="shared" si="26"/>
        <v>14</v>
      </c>
      <c r="H85" s="20">
        <f t="shared" si="30"/>
        <v>14</v>
      </c>
      <c r="I85" s="3">
        <v>10</v>
      </c>
      <c r="J85" s="3">
        <v>0</v>
      </c>
      <c r="K85" s="3">
        <v>4</v>
      </c>
      <c r="L85" s="20">
        <f t="shared" si="34"/>
        <v>10</v>
      </c>
      <c r="M85" s="3">
        <v>0</v>
      </c>
      <c r="N85" s="3">
        <v>0</v>
      </c>
      <c r="O85" s="3">
        <v>2</v>
      </c>
      <c r="P85" s="3">
        <v>0</v>
      </c>
      <c r="Q85" s="3">
        <v>8</v>
      </c>
      <c r="R85" s="3">
        <v>0</v>
      </c>
      <c r="S85" s="20">
        <f t="shared" si="31"/>
        <v>4</v>
      </c>
      <c r="T85" s="20">
        <f t="shared" si="32"/>
        <v>3</v>
      </c>
      <c r="U85" s="3">
        <v>3</v>
      </c>
      <c r="V85" s="3">
        <v>0</v>
      </c>
      <c r="W85" s="20">
        <f t="shared" si="33"/>
        <v>1</v>
      </c>
      <c r="X85" s="3">
        <v>1</v>
      </c>
      <c r="Y85" s="3">
        <v>0</v>
      </c>
      <c r="Z85" s="4">
        <v>2440994474</v>
      </c>
      <c r="AA85" s="4">
        <v>185315347</v>
      </c>
      <c r="AB85" s="4">
        <v>180656991</v>
      </c>
      <c r="AC85" s="4">
        <v>0</v>
      </c>
      <c r="AD85" s="4">
        <v>4282047</v>
      </c>
      <c r="AE85" s="4">
        <v>4467139</v>
      </c>
      <c r="AF85" s="4">
        <v>191216</v>
      </c>
    </row>
    <row r="86" spans="1:34" ht="15" customHeight="1" x14ac:dyDescent="0.35">
      <c r="A86" s="19">
        <f t="shared" si="27"/>
        <v>46043</v>
      </c>
      <c r="B86" s="19">
        <f t="shared" si="28"/>
        <v>46049</v>
      </c>
      <c r="C86" s="3">
        <v>258</v>
      </c>
      <c r="D86" s="20">
        <f t="shared" si="36"/>
        <v>-132</v>
      </c>
      <c r="E86" s="3">
        <v>5804</v>
      </c>
      <c r="F86" s="3">
        <v>5826</v>
      </c>
      <c r="G86" s="20">
        <f t="shared" si="26"/>
        <v>23</v>
      </c>
      <c r="H86" s="20">
        <f t="shared" si="30"/>
        <v>23</v>
      </c>
      <c r="I86" s="3">
        <v>6</v>
      </c>
      <c r="J86" s="3">
        <v>1</v>
      </c>
      <c r="K86" s="3">
        <v>16</v>
      </c>
      <c r="L86" s="20">
        <f t="shared" si="34"/>
        <v>19</v>
      </c>
      <c r="M86" s="3">
        <v>3</v>
      </c>
      <c r="N86" s="3">
        <v>2</v>
      </c>
      <c r="O86" s="3">
        <v>6</v>
      </c>
      <c r="P86" s="3">
        <v>1</v>
      </c>
      <c r="Q86" s="3">
        <v>7</v>
      </c>
      <c r="R86" s="3">
        <v>0</v>
      </c>
      <c r="S86" s="20">
        <f t="shared" si="31"/>
        <v>4</v>
      </c>
      <c r="T86" s="20">
        <f t="shared" si="32"/>
        <v>1</v>
      </c>
      <c r="U86" s="3">
        <v>1</v>
      </c>
      <c r="V86" s="3">
        <v>0</v>
      </c>
      <c r="W86" s="20">
        <f t="shared" si="33"/>
        <v>3</v>
      </c>
      <c r="X86" s="3">
        <v>2</v>
      </c>
      <c r="Y86" s="3">
        <v>1</v>
      </c>
      <c r="Z86" s="4">
        <v>781400824</v>
      </c>
      <c r="AA86" s="4">
        <v>84897910</v>
      </c>
      <c r="AB86" s="4">
        <v>74522082</v>
      </c>
      <c r="AC86" s="4">
        <v>10459490</v>
      </c>
      <c r="AD86" s="4">
        <v>23963604</v>
      </c>
      <c r="AE86" s="4">
        <v>9316034</v>
      </c>
      <c r="AF86" s="4">
        <v>1030449</v>
      </c>
    </row>
    <row r="87" spans="1:34" ht="15" customHeight="1" x14ac:dyDescent="0.35">
      <c r="A87" s="19">
        <f t="shared" si="27"/>
        <v>46050</v>
      </c>
      <c r="B87" s="19">
        <f t="shared" si="28"/>
        <v>46056</v>
      </c>
      <c r="C87" s="3">
        <v>449</v>
      </c>
      <c r="D87" s="20">
        <f t="shared" si="36"/>
        <v>191</v>
      </c>
      <c r="E87" s="3">
        <v>5827</v>
      </c>
      <c r="F87" s="3">
        <v>5851</v>
      </c>
      <c r="G87" s="20">
        <f t="shared" si="26"/>
        <v>25</v>
      </c>
      <c r="H87" s="20">
        <f t="shared" si="30"/>
        <v>25</v>
      </c>
      <c r="I87" s="3">
        <v>12</v>
      </c>
      <c r="J87" s="3">
        <v>1</v>
      </c>
      <c r="K87" s="3">
        <v>12</v>
      </c>
      <c r="L87" s="20">
        <f t="shared" si="34"/>
        <v>21</v>
      </c>
      <c r="M87" s="3">
        <v>3</v>
      </c>
      <c r="N87" s="3">
        <v>4</v>
      </c>
      <c r="O87" s="3">
        <v>7</v>
      </c>
      <c r="P87" s="3">
        <v>0</v>
      </c>
      <c r="Q87" s="3">
        <v>6</v>
      </c>
      <c r="R87" s="3">
        <v>1</v>
      </c>
      <c r="S87" s="20">
        <f t="shared" si="31"/>
        <v>4</v>
      </c>
      <c r="T87" s="20">
        <f t="shared" si="32"/>
        <v>3</v>
      </c>
      <c r="U87" s="3">
        <v>3</v>
      </c>
      <c r="V87" s="3">
        <v>0</v>
      </c>
      <c r="W87" s="20">
        <f t="shared" si="33"/>
        <v>1</v>
      </c>
      <c r="X87" s="3">
        <v>1</v>
      </c>
      <c r="Y87" s="3">
        <v>0</v>
      </c>
      <c r="Z87" s="4">
        <v>2681015648</v>
      </c>
      <c r="AA87" s="4">
        <v>94927807</v>
      </c>
      <c r="AB87" s="4">
        <v>80944146</v>
      </c>
      <c r="AC87" s="4">
        <v>5179602</v>
      </c>
      <c r="AD87" s="4">
        <v>20910127</v>
      </c>
      <c r="AE87" s="4">
        <v>8267406</v>
      </c>
      <c r="AF87" s="4">
        <v>41888</v>
      </c>
    </row>
    <row r="88" spans="1:34" ht="15" customHeight="1" x14ac:dyDescent="0.35">
      <c r="A88" s="19">
        <f t="shared" si="27"/>
        <v>46057</v>
      </c>
      <c r="B88" s="19">
        <f t="shared" si="28"/>
        <v>46063</v>
      </c>
      <c r="C88" s="3">
        <v>524</v>
      </c>
      <c r="D88" s="20">
        <f t="shared" si="36"/>
        <v>75</v>
      </c>
      <c r="E88" s="3">
        <v>5852</v>
      </c>
      <c r="F88" s="3">
        <v>5869</v>
      </c>
      <c r="G88" s="20">
        <f t="shared" si="26"/>
        <v>18</v>
      </c>
      <c r="H88" s="20">
        <f t="shared" si="30"/>
        <v>18</v>
      </c>
      <c r="I88" s="3">
        <v>13</v>
      </c>
      <c r="J88" s="3">
        <v>1</v>
      </c>
      <c r="K88" s="3">
        <v>4</v>
      </c>
      <c r="L88" s="20">
        <f t="shared" si="34"/>
        <v>15</v>
      </c>
      <c r="M88" s="3">
        <v>1</v>
      </c>
      <c r="N88" s="3">
        <v>1</v>
      </c>
      <c r="O88" s="3">
        <v>5</v>
      </c>
      <c r="P88" s="3">
        <v>0</v>
      </c>
      <c r="Q88" s="3">
        <v>7</v>
      </c>
      <c r="R88" s="3">
        <v>1</v>
      </c>
      <c r="S88" s="20">
        <f t="shared" si="31"/>
        <v>3</v>
      </c>
      <c r="T88" s="20">
        <f t="shared" si="32"/>
        <v>1</v>
      </c>
      <c r="U88" s="3">
        <v>1</v>
      </c>
      <c r="V88" s="3">
        <v>0</v>
      </c>
      <c r="W88" s="20">
        <f t="shared" si="33"/>
        <v>2</v>
      </c>
      <c r="X88" s="3">
        <v>1</v>
      </c>
      <c r="Y88" s="3">
        <v>1</v>
      </c>
      <c r="Z88" s="4">
        <v>2837218806</v>
      </c>
      <c r="AA88" s="4">
        <v>158947071</v>
      </c>
      <c r="AB88" s="4">
        <v>144354352</v>
      </c>
      <c r="AC88" s="4">
        <v>119346554</v>
      </c>
      <c r="AD88" s="4">
        <v>19876000</v>
      </c>
      <c r="AE88" s="4">
        <v>12934336</v>
      </c>
      <c r="AF88" s="4">
        <v>990500</v>
      </c>
    </row>
    <row r="89" spans="1:34" ht="15" customHeight="1" x14ac:dyDescent="0.35">
      <c r="A89" s="19">
        <f t="shared" si="27"/>
        <v>46064</v>
      </c>
      <c r="B89" s="19">
        <f t="shared" si="28"/>
        <v>46070</v>
      </c>
      <c r="C89" s="3">
        <v>679</v>
      </c>
      <c r="D89" s="20">
        <f t="shared" si="36"/>
        <v>155</v>
      </c>
      <c r="E89" s="3">
        <v>5870</v>
      </c>
      <c r="F89" s="3">
        <v>5882</v>
      </c>
      <c r="G89" s="20">
        <f t="shared" si="26"/>
        <v>13</v>
      </c>
      <c r="H89" s="20">
        <f t="shared" si="30"/>
        <v>13</v>
      </c>
      <c r="I89" s="3">
        <v>4</v>
      </c>
      <c r="J89" s="3">
        <v>0</v>
      </c>
      <c r="K89" s="3">
        <v>9</v>
      </c>
      <c r="L89" s="20">
        <f t="shared" si="34"/>
        <v>7</v>
      </c>
      <c r="M89" s="3">
        <v>0</v>
      </c>
      <c r="N89" s="3">
        <v>0</v>
      </c>
      <c r="O89" s="3">
        <v>1</v>
      </c>
      <c r="P89" s="3">
        <v>0</v>
      </c>
      <c r="Q89" s="3">
        <v>6</v>
      </c>
      <c r="R89" s="3">
        <v>0</v>
      </c>
      <c r="S89" s="20">
        <f t="shared" si="31"/>
        <v>6</v>
      </c>
      <c r="T89" s="20">
        <f t="shared" si="32"/>
        <v>2</v>
      </c>
      <c r="U89" s="3">
        <v>2</v>
      </c>
      <c r="V89" s="3">
        <v>0</v>
      </c>
      <c r="W89" s="20">
        <f t="shared" si="33"/>
        <v>4</v>
      </c>
      <c r="X89" s="3">
        <v>4</v>
      </c>
      <c r="Y89" s="3">
        <v>0</v>
      </c>
      <c r="Z89" s="4"/>
      <c r="AA89" s="4"/>
      <c r="AB89" s="4"/>
      <c r="AC89" s="4"/>
      <c r="AD89" s="4"/>
      <c r="AE89" s="4"/>
      <c r="AF89" s="4"/>
    </row>
    <row r="90" spans="1:34" ht="15" customHeight="1" x14ac:dyDescent="0.35">
      <c r="A90" s="19">
        <f t="shared" si="27"/>
        <v>46071</v>
      </c>
      <c r="B90" s="19">
        <f t="shared" si="28"/>
        <v>46077</v>
      </c>
      <c r="C90" s="3">
        <v>422</v>
      </c>
      <c r="D90" s="20">
        <f t="shared" si="36"/>
        <v>-257</v>
      </c>
      <c r="E90" s="3">
        <v>5883</v>
      </c>
      <c r="F90" s="3">
        <v>5946</v>
      </c>
      <c r="G90" s="20">
        <f t="shared" si="26"/>
        <v>64</v>
      </c>
      <c r="H90" s="20">
        <f t="shared" si="30"/>
        <v>64</v>
      </c>
      <c r="I90" s="3">
        <v>15</v>
      </c>
      <c r="J90" s="3">
        <v>1</v>
      </c>
      <c r="K90" s="3">
        <v>48</v>
      </c>
      <c r="L90" s="20">
        <f t="shared" si="34"/>
        <v>54</v>
      </c>
      <c r="M90" s="3">
        <v>3</v>
      </c>
      <c r="N90" s="3">
        <v>0</v>
      </c>
      <c r="O90" s="3">
        <v>27</v>
      </c>
      <c r="P90" s="3">
        <v>0</v>
      </c>
      <c r="Q90" s="3">
        <v>21</v>
      </c>
      <c r="R90" s="3">
        <v>3</v>
      </c>
      <c r="S90" s="20">
        <f t="shared" si="31"/>
        <v>10</v>
      </c>
      <c r="T90" s="20">
        <f t="shared" si="32"/>
        <v>3</v>
      </c>
      <c r="U90" s="3">
        <v>3</v>
      </c>
      <c r="V90" s="3">
        <v>0</v>
      </c>
      <c r="W90" s="20">
        <f t="shared" si="33"/>
        <v>7</v>
      </c>
      <c r="X90" s="3">
        <v>3</v>
      </c>
      <c r="Y90" s="3">
        <v>4</v>
      </c>
      <c r="Z90" s="4">
        <v>3328696520</v>
      </c>
      <c r="AA90" s="4">
        <v>268471666</v>
      </c>
      <c r="AB90" s="4">
        <v>219260714</v>
      </c>
      <c r="AC90" s="4">
        <v>123649784</v>
      </c>
      <c r="AD90" s="4">
        <v>32016766</v>
      </c>
      <c r="AE90" s="4">
        <v>5997600</v>
      </c>
      <c r="AF90" s="4">
        <v>5552842</v>
      </c>
    </row>
    <row r="91" spans="1:34" ht="15" customHeight="1" x14ac:dyDescent="0.35">
      <c r="A91" s="36"/>
      <c r="B91" s="36"/>
      <c r="C91" s="3"/>
      <c r="D91" s="36"/>
      <c r="E91" s="36"/>
      <c r="F91" s="36"/>
      <c r="G91" s="36"/>
      <c r="H91" s="36"/>
      <c r="I91" s="36"/>
      <c r="J91" s="36"/>
      <c r="K91" s="36"/>
      <c r="L91" s="36"/>
      <c r="M91" s="36"/>
      <c r="N91" s="36"/>
      <c r="O91" s="36"/>
      <c r="P91" s="36"/>
      <c r="Q91" s="36"/>
      <c r="R91" s="36"/>
      <c r="S91" s="36"/>
      <c r="T91" s="36"/>
      <c r="U91" s="36"/>
      <c r="V91" s="36"/>
      <c r="W91" s="36"/>
      <c r="X91" s="36"/>
      <c r="Y91" s="36"/>
      <c r="Z91" s="74">
        <f>SUM(Z5:Z90)</f>
        <v>164925977140.63</v>
      </c>
      <c r="AA91" s="74">
        <f t="shared" ref="AA91:AF91" si="37">SUM(AA5:AA90)</f>
        <v>15351737700.65</v>
      </c>
      <c r="AB91" s="74">
        <f t="shared" si="37"/>
        <v>9156347281.1199989</v>
      </c>
      <c r="AC91" s="74">
        <f t="shared" si="37"/>
        <v>1808237449</v>
      </c>
      <c r="AD91" s="74">
        <f t="shared" si="37"/>
        <v>2494126632</v>
      </c>
      <c r="AE91" s="74">
        <f t="shared" si="37"/>
        <v>155890556.59999999</v>
      </c>
      <c r="AF91" s="74">
        <f t="shared" si="37"/>
        <v>249525620.07999998</v>
      </c>
    </row>
    <row r="92" spans="1:34" ht="15" customHeight="1" x14ac:dyDescent="0.35">
      <c r="A92" s="36"/>
      <c r="B92" s="36"/>
      <c r="C92" s="3"/>
      <c r="D92" s="36"/>
      <c r="E92" s="36"/>
      <c r="F92" s="36"/>
      <c r="G92" s="36"/>
      <c r="H92" s="36"/>
      <c r="I92" s="36"/>
      <c r="J92" s="36"/>
      <c r="K92" s="36"/>
      <c r="L92" s="36"/>
      <c r="M92" s="36"/>
      <c r="N92" s="36"/>
      <c r="O92" s="36"/>
      <c r="P92" s="36"/>
      <c r="Q92" s="36"/>
      <c r="R92" s="36"/>
      <c r="S92" s="36"/>
      <c r="T92" s="36"/>
      <c r="U92" s="36"/>
      <c r="V92" s="36"/>
      <c r="W92" s="36"/>
      <c r="X92" s="36"/>
      <c r="Y92" s="36"/>
      <c r="Z92" s="74"/>
      <c r="AA92" s="74"/>
      <c r="AB92" s="74"/>
      <c r="AC92" s="74"/>
      <c r="AD92" s="74"/>
      <c r="AE92" s="74"/>
      <c r="AF92" s="74"/>
    </row>
    <row r="93" spans="1:34" ht="15" customHeight="1" x14ac:dyDescent="0.35">
      <c r="A93" s="36"/>
      <c r="B93" s="36"/>
      <c r="C93" s="3"/>
      <c r="D93" s="36"/>
      <c r="E93" s="36"/>
      <c r="F93" s="36"/>
      <c r="G93" s="36"/>
      <c r="H93" s="36"/>
      <c r="I93" s="36"/>
      <c r="J93" s="36"/>
      <c r="K93" s="36"/>
      <c r="L93" s="36"/>
      <c r="M93" s="36"/>
      <c r="N93" s="36"/>
      <c r="O93" s="36"/>
      <c r="P93" s="36"/>
      <c r="Q93" s="36"/>
      <c r="R93" s="36"/>
      <c r="S93" s="36"/>
      <c r="T93" s="36"/>
      <c r="U93" s="36"/>
      <c r="V93" s="36"/>
      <c r="W93" s="36"/>
      <c r="X93" s="36"/>
      <c r="Y93" s="36"/>
      <c r="Z93" s="74"/>
      <c r="AA93" s="74"/>
      <c r="AB93" s="74"/>
      <c r="AC93" s="74"/>
      <c r="AD93" s="74"/>
      <c r="AE93" s="74"/>
      <c r="AF93" s="74"/>
    </row>
    <row r="94" spans="1:34" ht="15" customHeight="1" x14ac:dyDescent="0.35">
      <c r="A94" s="36"/>
      <c r="B94" s="36"/>
      <c r="C94" s="3"/>
      <c r="D94" s="36"/>
      <c r="E94" s="36"/>
      <c r="F94" s="36"/>
      <c r="G94" s="36"/>
      <c r="H94" s="36"/>
      <c r="I94" s="36"/>
      <c r="J94" s="36"/>
      <c r="K94" s="36"/>
      <c r="L94" s="36"/>
      <c r="M94" s="36"/>
      <c r="N94" s="36"/>
      <c r="O94" s="36"/>
      <c r="P94" s="36"/>
      <c r="Q94" s="36"/>
      <c r="R94" s="36"/>
      <c r="S94" s="36"/>
      <c r="T94" s="36"/>
      <c r="U94" s="36"/>
      <c r="V94" s="36"/>
      <c r="W94" s="36"/>
      <c r="X94" s="36"/>
      <c r="Y94" s="36"/>
      <c r="Z94" s="74"/>
      <c r="AA94" s="74"/>
      <c r="AB94" s="74"/>
      <c r="AC94" s="74"/>
      <c r="AD94" s="74"/>
      <c r="AE94" s="74"/>
      <c r="AF94" s="74"/>
    </row>
    <row r="97" spans="26:32" ht="15" customHeight="1" x14ac:dyDescent="0.35">
      <c r="Z97" s="2">
        <v>164925977140.63</v>
      </c>
      <c r="AA97" s="2">
        <v>-15351737700.65</v>
      </c>
      <c r="AB97" s="2">
        <v>-9156347281.1200008</v>
      </c>
      <c r="AC97" s="2">
        <v>-1808237449</v>
      </c>
      <c r="AD97" s="2">
        <v>-2494126632</v>
      </c>
      <c r="AE97" s="2">
        <v>-155890556.59999999</v>
      </c>
      <c r="AF97" s="2">
        <v>-249525620.08000001</v>
      </c>
    </row>
    <row r="98" spans="26:32" ht="15" customHeight="1" x14ac:dyDescent="0.35">
      <c r="Z98" s="2">
        <f>+SUM(Z97,AA98)</f>
        <v>135710111901.18001</v>
      </c>
      <c r="AA98" s="2">
        <f>+SUM(AA97:AF97)</f>
        <v>-29215865239.450001</v>
      </c>
    </row>
  </sheetData>
  <pageMargins left="0.7" right="0.7" top="0.75" bottom="0.75" header="0.3" footer="0.3"/>
  <pageSetup orientation="landscape"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137B-7573-4619-B3E8-5FDAEC079762}">
  <dimension ref="A1:AF87"/>
  <sheetViews>
    <sheetView topLeftCell="AA1" workbookViewId="0">
      <selection sqref="A1:AF87"/>
    </sheetView>
  </sheetViews>
  <sheetFormatPr baseColWidth="10" defaultRowHeight="14.5" x14ac:dyDescent="0.35"/>
  <sheetData>
    <row r="1" spans="1:32" x14ac:dyDescent="0.35">
      <c r="A1" t="s">
        <v>2</v>
      </c>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row>
    <row r="2" spans="1:32" x14ac:dyDescent="0.35">
      <c r="A2">
        <v>45475</v>
      </c>
      <c r="B2">
        <v>45482</v>
      </c>
      <c r="C2">
        <v>668</v>
      </c>
      <c r="H2">
        <v>27</v>
      </c>
      <c r="L2">
        <v>22</v>
      </c>
      <c r="M2">
        <v>6</v>
      </c>
      <c r="O2">
        <v>10</v>
      </c>
      <c r="P2">
        <v>0</v>
      </c>
      <c r="Q2">
        <v>11</v>
      </c>
      <c r="S2">
        <v>5</v>
      </c>
      <c r="T2">
        <v>6</v>
      </c>
      <c r="U2">
        <v>0</v>
      </c>
      <c r="V2">
        <v>6</v>
      </c>
      <c r="W2">
        <v>2</v>
      </c>
      <c r="X2">
        <v>2</v>
      </c>
      <c r="Y2">
        <v>0</v>
      </c>
      <c r="Z2">
        <v>2434426475</v>
      </c>
      <c r="AA2">
        <v>89550463</v>
      </c>
      <c r="AC2">
        <v>4558004</v>
      </c>
      <c r="AD2">
        <v>76231929</v>
      </c>
    </row>
    <row r="3" spans="1:32" x14ac:dyDescent="0.35">
      <c r="A3">
        <v>45483</v>
      </c>
      <c r="B3">
        <v>45489</v>
      </c>
      <c r="C3">
        <v>451</v>
      </c>
      <c r="D3">
        <v>-217</v>
      </c>
      <c r="H3">
        <v>14</v>
      </c>
      <c r="L3">
        <v>11</v>
      </c>
      <c r="M3">
        <v>3</v>
      </c>
      <c r="O3">
        <v>4</v>
      </c>
      <c r="P3">
        <v>0</v>
      </c>
      <c r="Q3">
        <v>6</v>
      </c>
      <c r="S3">
        <v>3</v>
      </c>
      <c r="T3">
        <v>6</v>
      </c>
      <c r="U3">
        <v>0</v>
      </c>
      <c r="V3">
        <v>6</v>
      </c>
      <c r="W3">
        <v>2</v>
      </c>
      <c r="X3">
        <v>2</v>
      </c>
      <c r="Y3">
        <v>0</v>
      </c>
      <c r="Z3">
        <v>1781607021</v>
      </c>
      <c r="AA3">
        <v>57482781</v>
      </c>
      <c r="AB3">
        <v>56481631</v>
      </c>
      <c r="AC3">
        <v>154700</v>
      </c>
      <c r="AD3">
        <v>57328081</v>
      </c>
      <c r="AE3">
        <v>841330</v>
      </c>
      <c r="AF3">
        <v>2891069</v>
      </c>
    </row>
    <row r="4" spans="1:32" x14ac:dyDescent="0.35">
      <c r="A4">
        <v>45490</v>
      </c>
      <c r="B4">
        <v>45496</v>
      </c>
      <c r="C4">
        <v>443</v>
      </c>
      <c r="D4">
        <v>-8</v>
      </c>
      <c r="H4">
        <v>25</v>
      </c>
      <c r="L4">
        <v>15</v>
      </c>
      <c r="M4">
        <v>3</v>
      </c>
      <c r="O4">
        <v>4</v>
      </c>
      <c r="P4">
        <v>0</v>
      </c>
      <c r="Q4">
        <v>17</v>
      </c>
      <c r="S4">
        <v>10</v>
      </c>
      <c r="T4">
        <v>8</v>
      </c>
      <c r="U4">
        <v>0</v>
      </c>
      <c r="V4">
        <v>8</v>
      </c>
      <c r="W4">
        <v>2</v>
      </c>
      <c r="X4">
        <v>2</v>
      </c>
      <c r="Y4">
        <v>0</v>
      </c>
      <c r="Z4">
        <v>1744411864</v>
      </c>
      <c r="AA4">
        <v>93475643</v>
      </c>
      <c r="AB4">
        <v>64360359</v>
      </c>
      <c r="AC4">
        <v>0</v>
      </c>
      <c r="AD4">
        <v>4093779</v>
      </c>
      <c r="AE4">
        <v>14188518</v>
      </c>
      <c r="AF4">
        <v>375445</v>
      </c>
    </row>
    <row r="5" spans="1:32" x14ac:dyDescent="0.35">
      <c r="A5">
        <v>45497</v>
      </c>
      <c r="B5">
        <v>45503</v>
      </c>
      <c r="C5">
        <v>128</v>
      </c>
      <c r="D5">
        <v>-315</v>
      </c>
      <c r="H5">
        <v>20</v>
      </c>
      <c r="L5">
        <v>11</v>
      </c>
      <c r="M5">
        <v>1</v>
      </c>
      <c r="O5">
        <v>0</v>
      </c>
      <c r="P5">
        <v>0</v>
      </c>
      <c r="Q5">
        <v>10</v>
      </c>
      <c r="S5">
        <v>9</v>
      </c>
      <c r="T5">
        <v>2</v>
      </c>
      <c r="U5">
        <v>1</v>
      </c>
      <c r="V5">
        <v>1</v>
      </c>
      <c r="W5">
        <v>6</v>
      </c>
      <c r="X5">
        <v>6</v>
      </c>
      <c r="Y5">
        <v>0</v>
      </c>
      <c r="Z5">
        <v>611297854</v>
      </c>
      <c r="AA5">
        <v>8581926</v>
      </c>
      <c r="AB5">
        <v>7509098</v>
      </c>
      <c r="AC5">
        <v>0</v>
      </c>
      <c r="AD5">
        <v>450000</v>
      </c>
      <c r="AE5">
        <v>347480</v>
      </c>
      <c r="AF5">
        <v>426206</v>
      </c>
    </row>
    <row r="6" spans="1:32" x14ac:dyDescent="0.35">
      <c r="A6">
        <v>45504</v>
      </c>
      <c r="B6">
        <v>45510</v>
      </c>
      <c r="C6">
        <v>577</v>
      </c>
      <c r="D6">
        <v>449</v>
      </c>
      <c r="H6">
        <v>20</v>
      </c>
      <c r="L6">
        <v>17</v>
      </c>
      <c r="M6">
        <v>2</v>
      </c>
      <c r="O6">
        <v>8</v>
      </c>
      <c r="P6">
        <v>2</v>
      </c>
      <c r="Q6">
        <v>5</v>
      </c>
      <c r="S6">
        <v>3</v>
      </c>
      <c r="T6">
        <v>2</v>
      </c>
      <c r="U6">
        <v>0</v>
      </c>
      <c r="V6">
        <v>2</v>
      </c>
      <c r="W6">
        <v>1</v>
      </c>
      <c r="X6">
        <v>0</v>
      </c>
      <c r="Y6">
        <v>1</v>
      </c>
      <c r="Z6">
        <v>2926705380</v>
      </c>
      <c r="AA6">
        <v>155579507</v>
      </c>
      <c r="AB6">
        <v>149572161</v>
      </c>
      <c r="AC6">
        <v>56721225</v>
      </c>
      <c r="AD6">
        <v>92850936</v>
      </c>
      <c r="AE6">
        <v>3508346</v>
      </c>
      <c r="AF6">
        <v>2499000</v>
      </c>
    </row>
    <row r="7" spans="1:32" x14ac:dyDescent="0.35">
      <c r="A7">
        <v>45511</v>
      </c>
      <c r="B7">
        <v>45517</v>
      </c>
      <c r="C7">
        <v>465</v>
      </c>
      <c r="D7">
        <v>-112</v>
      </c>
      <c r="E7">
        <v>4257</v>
      </c>
      <c r="F7">
        <v>4276</v>
      </c>
      <c r="G7">
        <v>20</v>
      </c>
      <c r="H7">
        <v>20</v>
      </c>
      <c r="L7">
        <v>14</v>
      </c>
      <c r="M7">
        <v>6</v>
      </c>
      <c r="O7">
        <v>3</v>
      </c>
      <c r="P7">
        <v>0</v>
      </c>
      <c r="Q7">
        <v>5</v>
      </c>
      <c r="S7">
        <v>6</v>
      </c>
      <c r="T7">
        <v>2</v>
      </c>
      <c r="U7">
        <v>0</v>
      </c>
      <c r="V7">
        <v>2</v>
      </c>
      <c r="W7">
        <v>4</v>
      </c>
      <c r="X7">
        <v>3</v>
      </c>
      <c r="Y7">
        <v>1</v>
      </c>
      <c r="Z7">
        <v>1294428975</v>
      </c>
      <c r="AA7">
        <v>37689117</v>
      </c>
      <c r="AB7">
        <v>35929601</v>
      </c>
      <c r="AC7">
        <v>25510750</v>
      </c>
      <c r="AD7">
        <v>9336145</v>
      </c>
      <c r="AE7">
        <v>848206</v>
      </c>
      <c r="AF7">
        <v>410319.14</v>
      </c>
    </row>
    <row r="8" spans="1:32" x14ac:dyDescent="0.35">
      <c r="A8">
        <v>45518</v>
      </c>
      <c r="B8">
        <v>45524</v>
      </c>
      <c r="C8">
        <v>409</v>
      </c>
      <c r="D8">
        <v>-56</v>
      </c>
      <c r="E8">
        <v>4277</v>
      </c>
      <c r="F8">
        <v>4292</v>
      </c>
      <c r="G8">
        <v>16</v>
      </c>
      <c r="H8">
        <v>16</v>
      </c>
      <c r="L8">
        <v>12</v>
      </c>
      <c r="M8">
        <v>3</v>
      </c>
      <c r="O8">
        <v>6</v>
      </c>
      <c r="P8">
        <v>0</v>
      </c>
      <c r="Q8">
        <v>3</v>
      </c>
      <c r="S8">
        <v>4</v>
      </c>
      <c r="T8">
        <v>1</v>
      </c>
      <c r="U8">
        <v>0</v>
      </c>
      <c r="V8">
        <v>1</v>
      </c>
      <c r="W8">
        <v>3</v>
      </c>
      <c r="X8">
        <v>2</v>
      </c>
      <c r="Y8">
        <v>1</v>
      </c>
      <c r="Z8">
        <v>1420404107</v>
      </c>
      <c r="AA8">
        <v>98979028.159999996</v>
      </c>
      <c r="AB8">
        <v>97622766.120000005</v>
      </c>
      <c r="AC8">
        <v>14366870</v>
      </c>
      <c r="AD8">
        <v>22165843</v>
      </c>
      <c r="AE8">
        <v>1140186.6000000001</v>
      </c>
      <c r="AF8">
        <v>216074.94</v>
      </c>
    </row>
    <row r="9" spans="1:32" x14ac:dyDescent="0.35">
      <c r="A9">
        <v>45525</v>
      </c>
      <c r="B9">
        <v>45531</v>
      </c>
      <c r="C9">
        <v>275</v>
      </c>
      <c r="D9">
        <v>-134</v>
      </c>
      <c r="E9">
        <v>4293</v>
      </c>
      <c r="F9">
        <v>4306</v>
      </c>
      <c r="G9">
        <v>14</v>
      </c>
      <c r="H9">
        <v>14</v>
      </c>
      <c r="L9">
        <v>12</v>
      </c>
      <c r="M9">
        <v>3</v>
      </c>
      <c r="O9">
        <v>7</v>
      </c>
      <c r="P9">
        <v>0</v>
      </c>
      <c r="Q9">
        <v>2</v>
      </c>
      <c r="S9">
        <v>2</v>
      </c>
      <c r="T9">
        <v>1</v>
      </c>
      <c r="U9">
        <v>0</v>
      </c>
      <c r="V9">
        <v>1</v>
      </c>
      <c r="W9">
        <v>1</v>
      </c>
      <c r="X9">
        <v>0</v>
      </c>
      <c r="Y9">
        <v>1</v>
      </c>
      <c r="Z9">
        <v>1533791399</v>
      </c>
      <c r="AA9">
        <v>30783667</v>
      </c>
      <c r="AB9">
        <v>26901650</v>
      </c>
      <c r="AC9">
        <v>4304640</v>
      </c>
      <c r="AD9">
        <v>21389160</v>
      </c>
      <c r="AE9">
        <v>157316</v>
      </c>
      <c r="AF9">
        <v>3724700</v>
      </c>
    </row>
    <row r="10" spans="1:32" x14ac:dyDescent="0.35">
      <c r="A10">
        <v>45532</v>
      </c>
      <c r="B10">
        <v>45538</v>
      </c>
      <c r="C10">
        <v>449</v>
      </c>
      <c r="D10">
        <v>174</v>
      </c>
      <c r="E10">
        <v>4307</v>
      </c>
      <c r="F10">
        <v>4334</v>
      </c>
      <c r="G10">
        <v>28</v>
      </c>
      <c r="H10">
        <v>28</v>
      </c>
      <c r="L10">
        <v>18</v>
      </c>
      <c r="M10">
        <v>4</v>
      </c>
      <c r="O10">
        <v>8</v>
      </c>
      <c r="P10">
        <v>0</v>
      </c>
      <c r="Q10">
        <v>6</v>
      </c>
      <c r="S10">
        <v>10</v>
      </c>
      <c r="T10">
        <v>0</v>
      </c>
      <c r="U10">
        <v>0</v>
      </c>
      <c r="V10">
        <v>0</v>
      </c>
      <c r="W10">
        <v>10</v>
      </c>
      <c r="X10">
        <v>10</v>
      </c>
      <c r="Y10">
        <v>0</v>
      </c>
      <c r="Z10">
        <v>2034851461</v>
      </c>
      <c r="AA10">
        <v>99162776</v>
      </c>
      <c r="AB10">
        <v>95435994</v>
      </c>
      <c r="AC10">
        <v>58255600</v>
      </c>
      <c r="AD10">
        <v>10156797</v>
      </c>
      <c r="AE10">
        <v>0</v>
      </c>
      <c r="AF10">
        <v>3588922</v>
      </c>
    </row>
    <row r="11" spans="1:32" x14ac:dyDescent="0.35">
      <c r="A11">
        <v>45539</v>
      </c>
      <c r="B11">
        <v>45545</v>
      </c>
      <c r="C11">
        <v>506</v>
      </c>
      <c r="D11">
        <v>57</v>
      </c>
      <c r="E11">
        <v>4335</v>
      </c>
      <c r="F11">
        <v>4359</v>
      </c>
      <c r="G11">
        <v>25</v>
      </c>
      <c r="H11">
        <v>25</v>
      </c>
      <c r="I11">
        <v>19</v>
      </c>
      <c r="J11">
        <v>2</v>
      </c>
      <c r="K11">
        <v>4</v>
      </c>
      <c r="L11">
        <v>19</v>
      </c>
      <c r="M11">
        <v>3</v>
      </c>
      <c r="O11">
        <v>6</v>
      </c>
      <c r="P11">
        <v>0</v>
      </c>
      <c r="Q11">
        <v>10</v>
      </c>
      <c r="S11">
        <v>6</v>
      </c>
      <c r="T11">
        <v>0</v>
      </c>
      <c r="U11">
        <v>0</v>
      </c>
      <c r="V11">
        <v>0</v>
      </c>
      <c r="W11">
        <v>6</v>
      </c>
      <c r="X11">
        <v>3</v>
      </c>
      <c r="Y11">
        <v>3</v>
      </c>
      <c r="Z11">
        <v>2245832145</v>
      </c>
      <c r="AA11">
        <v>292494682</v>
      </c>
      <c r="AB11">
        <v>281367986</v>
      </c>
      <c r="AC11">
        <v>2190294</v>
      </c>
      <c r="AD11">
        <v>173267899</v>
      </c>
      <c r="AE11">
        <v>0</v>
      </c>
      <c r="AF11">
        <v>21809245</v>
      </c>
    </row>
    <row r="12" spans="1:32" x14ac:dyDescent="0.35">
      <c r="A12">
        <v>45546</v>
      </c>
      <c r="B12">
        <v>45552</v>
      </c>
      <c r="C12">
        <v>430</v>
      </c>
      <c r="D12">
        <v>-76</v>
      </c>
      <c r="E12">
        <v>4360</v>
      </c>
      <c r="F12">
        <v>4388</v>
      </c>
      <c r="G12">
        <v>29</v>
      </c>
      <c r="H12">
        <v>29</v>
      </c>
      <c r="I12">
        <v>15</v>
      </c>
      <c r="J12">
        <v>0</v>
      </c>
      <c r="K12">
        <v>14</v>
      </c>
      <c r="L12">
        <v>23</v>
      </c>
      <c r="M12">
        <v>8</v>
      </c>
      <c r="O12">
        <v>6</v>
      </c>
      <c r="P12">
        <v>0</v>
      </c>
      <c r="Q12">
        <v>9</v>
      </c>
      <c r="S12">
        <v>6</v>
      </c>
      <c r="T12">
        <v>4</v>
      </c>
      <c r="U12">
        <v>1</v>
      </c>
      <c r="V12">
        <v>3</v>
      </c>
      <c r="W12">
        <v>2</v>
      </c>
      <c r="X12">
        <v>2</v>
      </c>
      <c r="Y12">
        <v>0</v>
      </c>
      <c r="Z12">
        <v>1971219536</v>
      </c>
      <c r="AA12">
        <v>98716616</v>
      </c>
      <c r="AB12">
        <v>85229985</v>
      </c>
      <c r="AC12">
        <v>16863269</v>
      </c>
      <c r="AD12">
        <v>14238990</v>
      </c>
      <c r="AE12">
        <v>1025661</v>
      </c>
      <c r="AF12">
        <v>1748574</v>
      </c>
    </row>
    <row r="13" spans="1:32" x14ac:dyDescent="0.35">
      <c r="A13">
        <v>45553</v>
      </c>
      <c r="B13">
        <v>45559</v>
      </c>
      <c r="C13">
        <v>451</v>
      </c>
      <c r="D13">
        <v>21</v>
      </c>
      <c r="E13">
        <v>4389</v>
      </c>
      <c r="F13">
        <v>4415</v>
      </c>
      <c r="G13">
        <v>27</v>
      </c>
      <c r="H13">
        <v>27</v>
      </c>
      <c r="I13">
        <v>7</v>
      </c>
      <c r="J13">
        <v>0</v>
      </c>
      <c r="K13">
        <v>20</v>
      </c>
      <c r="L13">
        <v>21</v>
      </c>
      <c r="M13">
        <v>9</v>
      </c>
      <c r="O13">
        <v>4</v>
      </c>
      <c r="P13">
        <v>1</v>
      </c>
      <c r="Q13">
        <v>13</v>
      </c>
      <c r="S13">
        <v>6</v>
      </c>
      <c r="T13">
        <v>1</v>
      </c>
      <c r="U13">
        <v>0</v>
      </c>
      <c r="V13">
        <v>1</v>
      </c>
      <c r="W13">
        <v>5</v>
      </c>
      <c r="X13">
        <v>4</v>
      </c>
      <c r="Y13">
        <v>1</v>
      </c>
      <c r="Z13">
        <v>2718967070</v>
      </c>
      <c r="AA13">
        <v>96913673</v>
      </c>
      <c r="AB13">
        <v>66060439</v>
      </c>
      <c r="AC13">
        <v>48730931</v>
      </c>
      <c r="AD13">
        <v>9981226</v>
      </c>
      <c r="AE13">
        <v>3459568</v>
      </c>
      <c r="AF13">
        <v>10655669</v>
      </c>
    </row>
    <row r="14" spans="1:32" x14ac:dyDescent="0.35">
      <c r="A14">
        <v>45560</v>
      </c>
      <c r="B14">
        <v>45566</v>
      </c>
      <c r="C14">
        <v>313</v>
      </c>
      <c r="D14">
        <v>-138</v>
      </c>
      <c r="E14">
        <v>4416</v>
      </c>
      <c r="F14">
        <v>4433</v>
      </c>
      <c r="G14">
        <v>18</v>
      </c>
      <c r="H14">
        <v>18</v>
      </c>
      <c r="I14">
        <v>4</v>
      </c>
      <c r="J14">
        <v>2</v>
      </c>
      <c r="K14">
        <v>12</v>
      </c>
      <c r="L14">
        <v>10</v>
      </c>
      <c r="M14">
        <v>3</v>
      </c>
      <c r="O14">
        <v>2</v>
      </c>
      <c r="P14">
        <v>2</v>
      </c>
      <c r="Q14">
        <v>3</v>
      </c>
      <c r="S14">
        <v>8</v>
      </c>
      <c r="T14">
        <v>5</v>
      </c>
      <c r="U14">
        <v>0</v>
      </c>
      <c r="V14">
        <v>5</v>
      </c>
      <c r="W14">
        <v>3</v>
      </c>
      <c r="X14">
        <v>1</v>
      </c>
      <c r="Y14">
        <v>2</v>
      </c>
      <c r="Z14">
        <v>1530373539</v>
      </c>
      <c r="AA14">
        <v>138625405</v>
      </c>
      <c r="AB14">
        <v>178772411</v>
      </c>
      <c r="AC14">
        <v>20451054</v>
      </c>
      <c r="AD14">
        <v>4704376</v>
      </c>
      <c r="AE14">
        <v>1603465</v>
      </c>
      <c r="AF14">
        <v>4795700</v>
      </c>
    </row>
    <row r="15" spans="1:32" x14ac:dyDescent="0.35">
      <c r="A15">
        <v>45567</v>
      </c>
      <c r="B15">
        <v>45573</v>
      </c>
      <c r="C15">
        <v>620</v>
      </c>
      <c r="D15">
        <v>307</v>
      </c>
      <c r="E15">
        <v>4434</v>
      </c>
      <c r="F15">
        <v>4470</v>
      </c>
      <c r="G15">
        <v>37</v>
      </c>
      <c r="H15">
        <v>37</v>
      </c>
      <c r="I15">
        <v>27</v>
      </c>
      <c r="J15">
        <v>5</v>
      </c>
      <c r="K15">
        <v>5</v>
      </c>
      <c r="L15">
        <v>28</v>
      </c>
      <c r="M15">
        <v>6</v>
      </c>
      <c r="O15">
        <v>14</v>
      </c>
      <c r="P15">
        <v>1</v>
      </c>
      <c r="Q15">
        <v>7</v>
      </c>
      <c r="S15">
        <v>9</v>
      </c>
      <c r="T15">
        <v>4</v>
      </c>
      <c r="U15">
        <v>0</v>
      </c>
      <c r="V15">
        <v>4</v>
      </c>
      <c r="W15">
        <v>5</v>
      </c>
      <c r="X15">
        <v>0</v>
      </c>
      <c r="Y15">
        <v>5</v>
      </c>
      <c r="Z15">
        <v>2446166505</v>
      </c>
      <c r="AA15">
        <v>635745376</v>
      </c>
      <c r="AB15">
        <v>634208366</v>
      </c>
      <c r="AC15">
        <v>43471767</v>
      </c>
      <c r="AD15">
        <v>574710370</v>
      </c>
      <c r="AE15">
        <v>737919</v>
      </c>
      <c r="AF15">
        <v>5201668</v>
      </c>
    </row>
    <row r="16" spans="1:32" x14ac:dyDescent="0.35">
      <c r="A16">
        <v>45574</v>
      </c>
      <c r="B16">
        <v>45580</v>
      </c>
      <c r="C16">
        <v>425</v>
      </c>
      <c r="D16">
        <v>-195</v>
      </c>
      <c r="E16">
        <v>4471</v>
      </c>
      <c r="F16">
        <v>4489</v>
      </c>
      <c r="G16">
        <v>19</v>
      </c>
      <c r="H16">
        <v>19</v>
      </c>
      <c r="I16">
        <v>12</v>
      </c>
      <c r="J16">
        <v>1</v>
      </c>
      <c r="K16">
        <v>6</v>
      </c>
      <c r="L16">
        <v>18</v>
      </c>
      <c r="M16">
        <v>8</v>
      </c>
      <c r="O16">
        <v>2</v>
      </c>
      <c r="P16">
        <v>4</v>
      </c>
      <c r="Q16">
        <v>4</v>
      </c>
      <c r="S16">
        <v>1</v>
      </c>
      <c r="T16">
        <v>0</v>
      </c>
      <c r="U16">
        <v>0</v>
      </c>
      <c r="V16">
        <v>0</v>
      </c>
      <c r="W16">
        <v>1</v>
      </c>
      <c r="X16">
        <v>1</v>
      </c>
      <c r="Y16">
        <v>0</v>
      </c>
      <c r="Z16">
        <v>2402665134</v>
      </c>
      <c r="AA16">
        <v>150330947</v>
      </c>
      <c r="AB16">
        <v>143006492</v>
      </c>
      <c r="AC16">
        <v>107507057</v>
      </c>
      <c r="AD16">
        <v>952157</v>
      </c>
      <c r="AE16">
        <v>0</v>
      </c>
      <c r="AF16">
        <v>4750</v>
      </c>
    </row>
    <row r="17" spans="1:32" x14ac:dyDescent="0.35">
      <c r="A17">
        <v>45581</v>
      </c>
      <c r="B17">
        <v>45587</v>
      </c>
      <c r="C17">
        <v>522</v>
      </c>
      <c r="D17">
        <v>97</v>
      </c>
      <c r="E17">
        <v>4490</v>
      </c>
      <c r="F17">
        <v>4512</v>
      </c>
      <c r="G17">
        <v>23</v>
      </c>
      <c r="H17">
        <v>23</v>
      </c>
      <c r="I17">
        <v>9</v>
      </c>
      <c r="J17">
        <v>4</v>
      </c>
      <c r="K17">
        <v>10</v>
      </c>
      <c r="L17">
        <v>20</v>
      </c>
      <c r="M17">
        <v>6</v>
      </c>
      <c r="O17">
        <v>5</v>
      </c>
      <c r="P17">
        <v>1</v>
      </c>
      <c r="Q17">
        <v>8</v>
      </c>
      <c r="S17">
        <v>3</v>
      </c>
      <c r="T17">
        <v>1</v>
      </c>
      <c r="U17">
        <v>0</v>
      </c>
      <c r="V17">
        <v>1</v>
      </c>
      <c r="W17">
        <v>2</v>
      </c>
      <c r="X17">
        <v>2</v>
      </c>
      <c r="Y17">
        <v>0</v>
      </c>
      <c r="Z17">
        <v>2052136937</v>
      </c>
      <c r="AA17">
        <v>70132765</v>
      </c>
      <c r="AB17">
        <v>42709266</v>
      </c>
      <c r="AC17">
        <v>35143734</v>
      </c>
      <c r="AD17">
        <v>13269200</v>
      </c>
      <c r="AE17">
        <v>344386</v>
      </c>
      <c r="AF17">
        <v>1594197</v>
      </c>
    </row>
    <row r="18" spans="1:32" x14ac:dyDescent="0.35">
      <c r="A18">
        <v>45588</v>
      </c>
      <c r="B18">
        <v>45594</v>
      </c>
      <c r="C18">
        <v>234</v>
      </c>
      <c r="D18">
        <v>-288</v>
      </c>
      <c r="E18">
        <v>4513</v>
      </c>
      <c r="F18">
        <v>4538</v>
      </c>
      <c r="G18">
        <v>26</v>
      </c>
      <c r="H18">
        <v>16</v>
      </c>
      <c r="I18">
        <v>10</v>
      </c>
      <c r="J18">
        <v>1</v>
      </c>
      <c r="K18">
        <v>15</v>
      </c>
      <c r="L18">
        <v>10</v>
      </c>
      <c r="M18">
        <v>9</v>
      </c>
      <c r="O18">
        <v>1</v>
      </c>
      <c r="P18">
        <v>0</v>
      </c>
      <c r="Q18" t="s">
        <v>37</v>
      </c>
      <c r="S18">
        <v>6</v>
      </c>
      <c r="T18">
        <v>2</v>
      </c>
      <c r="U18">
        <v>1</v>
      </c>
      <c r="V18">
        <v>1</v>
      </c>
      <c r="W18">
        <v>4</v>
      </c>
      <c r="X18">
        <v>3</v>
      </c>
      <c r="Y18">
        <v>1</v>
      </c>
      <c r="Z18">
        <v>1138362081</v>
      </c>
      <c r="AA18">
        <v>125815721</v>
      </c>
      <c r="AB18">
        <v>124096897</v>
      </c>
      <c r="AC18">
        <v>21859214</v>
      </c>
      <c r="AD18">
        <v>297500</v>
      </c>
      <c r="AE18">
        <v>1497594</v>
      </c>
      <c r="AF18">
        <v>2105854</v>
      </c>
    </row>
    <row r="19" spans="1:32" x14ac:dyDescent="0.35">
      <c r="A19">
        <v>45595</v>
      </c>
      <c r="B19">
        <v>45601</v>
      </c>
      <c r="C19">
        <v>332</v>
      </c>
      <c r="D19">
        <v>98</v>
      </c>
      <c r="E19">
        <v>4539</v>
      </c>
      <c r="F19">
        <v>4567</v>
      </c>
      <c r="G19">
        <v>29</v>
      </c>
      <c r="H19">
        <v>29</v>
      </c>
      <c r="I19">
        <v>6</v>
      </c>
      <c r="J19">
        <v>13</v>
      </c>
      <c r="K19">
        <v>10</v>
      </c>
      <c r="L19">
        <v>29</v>
      </c>
      <c r="M19">
        <v>19</v>
      </c>
      <c r="O19">
        <v>6</v>
      </c>
      <c r="P19">
        <v>0</v>
      </c>
      <c r="Q19">
        <v>4</v>
      </c>
      <c r="S19">
        <v>0</v>
      </c>
      <c r="T19">
        <v>0</v>
      </c>
      <c r="U19">
        <v>0</v>
      </c>
      <c r="V19">
        <v>0</v>
      </c>
      <c r="W19">
        <v>0</v>
      </c>
      <c r="X19">
        <v>0</v>
      </c>
      <c r="Y19">
        <v>0</v>
      </c>
      <c r="Z19">
        <v>1732692214</v>
      </c>
      <c r="AA19">
        <v>157771652</v>
      </c>
      <c r="AB19">
        <v>153868214</v>
      </c>
      <c r="AC19">
        <v>127090531</v>
      </c>
      <c r="AD19">
        <v>10654991</v>
      </c>
      <c r="AE19">
        <v>0</v>
      </c>
      <c r="AF19">
        <v>0</v>
      </c>
    </row>
    <row r="20" spans="1:32" x14ac:dyDescent="0.35">
      <c r="A20">
        <v>45602</v>
      </c>
      <c r="B20">
        <v>45608</v>
      </c>
      <c r="C20">
        <v>473</v>
      </c>
      <c r="D20">
        <v>141</v>
      </c>
      <c r="E20">
        <v>4568</v>
      </c>
      <c r="F20">
        <v>4581</v>
      </c>
      <c r="G20">
        <v>14</v>
      </c>
      <c r="H20">
        <v>14</v>
      </c>
      <c r="I20">
        <v>10</v>
      </c>
      <c r="J20">
        <v>0</v>
      </c>
      <c r="K20">
        <v>4</v>
      </c>
      <c r="L20">
        <v>7</v>
      </c>
      <c r="M20">
        <v>4</v>
      </c>
      <c r="O20">
        <v>2</v>
      </c>
      <c r="P20">
        <v>0</v>
      </c>
      <c r="Q20">
        <v>1</v>
      </c>
      <c r="S20">
        <v>7</v>
      </c>
      <c r="T20">
        <v>2</v>
      </c>
      <c r="U20">
        <v>0</v>
      </c>
      <c r="V20">
        <v>2</v>
      </c>
      <c r="W20">
        <v>5</v>
      </c>
      <c r="X20">
        <v>2</v>
      </c>
      <c r="Y20">
        <v>3</v>
      </c>
      <c r="Z20">
        <v>1931097325</v>
      </c>
      <c r="AA20">
        <v>41271804</v>
      </c>
      <c r="AB20">
        <v>38380103</v>
      </c>
      <c r="AC20">
        <v>8564346</v>
      </c>
      <c r="AD20">
        <v>26014477</v>
      </c>
      <c r="AE20">
        <v>4107880</v>
      </c>
      <c r="AF20">
        <v>3899630</v>
      </c>
    </row>
    <row r="21" spans="1:32" x14ac:dyDescent="0.35">
      <c r="A21">
        <v>45609</v>
      </c>
      <c r="B21">
        <v>45615</v>
      </c>
      <c r="C21">
        <v>594</v>
      </c>
      <c r="D21">
        <v>121</v>
      </c>
      <c r="E21">
        <v>4582</v>
      </c>
      <c r="F21">
        <v>4607</v>
      </c>
      <c r="G21">
        <v>26</v>
      </c>
      <c r="H21">
        <v>26</v>
      </c>
      <c r="I21">
        <v>8</v>
      </c>
      <c r="J21">
        <v>3</v>
      </c>
      <c r="K21">
        <v>15</v>
      </c>
      <c r="L21">
        <v>24</v>
      </c>
      <c r="M21">
        <v>11</v>
      </c>
      <c r="O21">
        <v>6</v>
      </c>
      <c r="P21">
        <v>0</v>
      </c>
      <c r="Q21">
        <v>7</v>
      </c>
      <c r="S21">
        <v>2</v>
      </c>
      <c r="T21">
        <v>1</v>
      </c>
      <c r="U21">
        <v>0</v>
      </c>
      <c r="V21">
        <v>1</v>
      </c>
      <c r="W21">
        <v>1</v>
      </c>
      <c r="X21">
        <v>1</v>
      </c>
      <c r="Y21">
        <v>0</v>
      </c>
      <c r="Z21">
        <v>2661334715</v>
      </c>
      <c r="AA21">
        <v>206335478</v>
      </c>
      <c r="AB21">
        <v>204462270</v>
      </c>
      <c r="AC21">
        <v>66213956</v>
      </c>
      <c r="AD21">
        <v>27556269</v>
      </c>
      <c r="AE21">
        <v>75089</v>
      </c>
      <c r="AF21">
        <v>919870</v>
      </c>
    </row>
    <row r="22" spans="1:32" x14ac:dyDescent="0.35">
      <c r="A22">
        <v>45616</v>
      </c>
      <c r="B22">
        <v>45622</v>
      </c>
      <c r="C22">
        <v>375</v>
      </c>
      <c r="D22">
        <v>-219</v>
      </c>
      <c r="E22">
        <v>4608</v>
      </c>
      <c r="F22">
        <v>4631</v>
      </c>
      <c r="G22">
        <v>24</v>
      </c>
      <c r="H22">
        <v>24</v>
      </c>
      <c r="I22">
        <v>5</v>
      </c>
      <c r="J22">
        <v>1</v>
      </c>
      <c r="K22">
        <v>18</v>
      </c>
      <c r="L22">
        <v>22</v>
      </c>
      <c r="M22">
        <v>6</v>
      </c>
      <c r="O22">
        <v>7</v>
      </c>
      <c r="P22">
        <v>0</v>
      </c>
      <c r="Q22">
        <v>9</v>
      </c>
      <c r="S22">
        <v>2</v>
      </c>
      <c r="T22">
        <v>0</v>
      </c>
      <c r="U22">
        <v>0</v>
      </c>
      <c r="V22">
        <v>0</v>
      </c>
      <c r="W22">
        <v>2</v>
      </c>
      <c r="X22">
        <v>2</v>
      </c>
      <c r="Y22">
        <v>0</v>
      </c>
      <c r="Z22">
        <v>1702309861</v>
      </c>
      <c r="AA22">
        <v>229415942</v>
      </c>
      <c r="AB22">
        <v>227805255</v>
      </c>
      <c r="AC22">
        <v>51181365</v>
      </c>
      <c r="AD22">
        <v>69864244</v>
      </c>
      <c r="AE22">
        <v>0</v>
      </c>
      <c r="AF22">
        <v>177040</v>
      </c>
    </row>
    <row r="23" spans="1:32" x14ac:dyDescent="0.35">
      <c r="A23">
        <v>45623</v>
      </c>
      <c r="B23">
        <v>45629</v>
      </c>
      <c r="C23">
        <v>476</v>
      </c>
      <c r="D23">
        <v>101</v>
      </c>
      <c r="E23">
        <v>4632</v>
      </c>
      <c r="F23">
        <v>4655</v>
      </c>
      <c r="G23">
        <v>24</v>
      </c>
      <c r="H23">
        <v>24</v>
      </c>
      <c r="I23">
        <v>9</v>
      </c>
      <c r="J23">
        <v>4</v>
      </c>
      <c r="K23">
        <v>11</v>
      </c>
      <c r="L23">
        <v>17</v>
      </c>
      <c r="M23">
        <v>6</v>
      </c>
      <c r="O23">
        <v>1</v>
      </c>
      <c r="P23">
        <v>0</v>
      </c>
      <c r="Q23">
        <v>10</v>
      </c>
      <c r="S23">
        <v>7</v>
      </c>
      <c r="T23">
        <v>2</v>
      </c>
      <c r="U23">
        <v>0</v>
      </c>
      <c r="V23">
        <v>2</v>
      </c>
      <c r="W23">
        <v>5</v>
      </c>
      <c r="X23">
        <v>2</v>
      </c>
      <c r="Y23">
        <v>3</v>
      </c>
      <c r="Z23">
        <v>2489335984</v>
      </c>
      <c r="AA23">
        <v>270334258</v>
      </c>
      <c r="AB23">
        <v>262050622</v>
      </c>
      <c r="AC23">
        <v>10368146</v>
      </c>
      <c r="AD23">
        <v>2531725</v>
      </c>
      <c r="AE23">
        <v>703685</v>
      </c>
      <c r="AF23">
        <v>1844753</v>
      </c>
    </row>
    <row r="24" spans="1:32" x14ac:dyDescent="0.35">
      <c r="A24">
        <v>45630</v>
      </c>
      <c r="B24">
        <v>45636</v>
      </c>
      <c r="C24">
        <v>631</v>
      </c>
      <c r="D24">
        <v>155</v>
      </c>
      <c r="E24">
        <v>4656</v>
      </c>
      <c r="F24">
        <v>4688</v>
      </c>
      <c r="G24">
        <v>33</v>
      </c>
      <c r="H24">
        <v>33</v>
      </c>
      <c r="I24">
        <v>23</v>
      </c>
      <c r="J24">
        <v>2</v>
      </c>
      <c r="K24">
        <v>8</v>
      </c>
      <c r="L24">
        <v>31</v>
      </c>
      <c r="M24">
        <v>10</v>
      </c>
      <c r="O24">
        <v>5</v>
      </c>
      <c r="P24">
        <v>0</v>
      </c>
      <c r="Q24">
        <v>16</v>
      </c>
      <c r="S24">
        <v>2</v>
      </c>
      <c r="T24">
        <v>0</v>
      </c>
      <c r="U24">
        <v>0</v>
      </c>
      <c r="V24">
        <v>0</v>
      </c>
      <c r="W24">
        <v>2</v>
      </c>
      <c r="X24">
        <v>2</v>
      </c>
      <c r="Y24">
        <v>0</v>
      </c>
      <c r="Z24">
        <v>4322111868</v>
      </c>
      <c r="AA24">
        <v>213130369</v>
      </c>
      <c r="AB24">
        <v>131494103</v>
      </c>
      <c r="AC24">
        <v>65076212</v>
      </c>
      <c r="AD24">
        <v>13505090</v>
      </c>
      <c r="AE24">
        <v>0</v>
      </c>
      <c r="AF24">
        <v>1257592</v>
      </c>
    </row>
    <row r="25" spans="1:32" x14ac:dyDescent="0.35">
      <c r="A25">
        <v>45637</v>
      </c>
      <c r="B25">
        <v>45643</v>
      </c>
      <c r="C25">
        <v>564</v>
      </c>
      <c r="D25">
        <v>-67</v>
      </c>
      <c r="E25">
        <v>4689</v>
      </c>
      <c r="F25">
        <v>4727</v>
      </c>
      <c r="G25">
        <v>39</v>
      </c>
      <c r="H25">
        <v>39</v>
      </c>
      <c r="I25">
        <v>25</v>
      </c>
      <c r="J25">
        <v>3</v>
      </c>
      <c r="K25">
        <v>11</v>
      </c>
      <c r="L25">
        <v>32</v>
      </c>
      <c r="M25">
        <v>12</v>
      </c>
      <c r="O25">
        <v>6</v>
      </c>
      <c r="P25">
        <v>0</v>
      </c>
      <c r="Q25">
        <v>14</v>
      </c>
      <c r="S25">
        <v>7</v>
      </c>
      <c r="T25">
        <v>1</v>
      </c>
      <c r="U25">
        <v>0</v>
      </c>
      <c r="V25">
        <v>1</v>
      </c>
      <c r="W25">
        <v>6</v>
      </c>
      <c r="X25">
        <v>5</v>
      </c>
      <c r="Y25">
        <v>1</v>
      </c>
      <c r="Z25">
        <v>3716303358</v>
      </c>
      <c r="AA25">
        <v>348376306</v>
      </c>
      <c r="AB25">
        <v>231747213</v>
      </c>
      <c r="AC25">
        <v>188416040</v>
      </c>
      <c r="AD25">
        <v>6491207</v>
      </c>
      <c r="AE25">
        <v>430304</v>
      </c>
      <c r="AF25">
        <v>12832425</v>
      </c>
    </row>
    <row r="26" spans="1:32" x14ac:dyDescent="0.35">
      <c r="A26">
        <v>45644</v>
      </c>
      <c r="B26">
        <v>45650</v>
      </c>
      <c r="C26">
        <v>292</v>
      </c>
      <c r="D26">
        <v>-272</v>
      </c>
      <c r="E26">
        <v>4728</v>
      </c>
      <c r="F26">
        <v>4764</v>
      </c>
      <c r="G26">
        <v>37</v>
      </c>
      <c r="H26">
        <v>37</v>
      </c>
      <c r="I26">
        <v>11</v>
      </c>
      <c r="J26">
        <v>0</v>
      </c>
      <c r="K26">
        <v>26</v>
      </c>
      <c r="L26">
        <v>31</v>
      </c>
      <c r="M26">
        <v>15</v>
      </c>
      <c r="O26">
        <v>1</v>
      </c>
      <c r="P26">
        <v>0</v>
      </c>
      <c r="Q26">
        <v>15</v>
      </c>
      <c r="S26">
        <v>6</v>
      </c>
      <c r="T26">
        <v>2</v>
      </c>
      <c r="U26">
        <v>0</v>
      </c>
      <c r="V26">
        <v>2</v>
      </c>
      <c r="W26">
        <v>4</v>
      </c>
      <c r="X26">
        <v>2</v>
      </c>
      <c r="Y26">
        <v>2</v>
      </c>
      <c r="Z26">
        <v>1825119729</v>
      </c>
      <c r="AA26">
        <v>100148418</v>
      </c>
      <c r="AB26">
        <v>93022447</v>
      </c>
      <c r="AC26">
        <v>42980743</v>
      </c>
      <c r="AD26">
        <v>892500</v>
      </c>
      <c r="AE26">
        <v>1673806</v>
      </c>
      <c r="AF26">
        <v>4824438</v>
      </c>
    </row>
    <row r="27" spans="1:32" x14ac:dyDescent="0.35">
      <c r="A27">
        <v>45651</v>
      </c>
      <c r="B27">
        <v>45657</v>
      </c>
      <c r="C27">
        <v>38</v>
      </c>
      <c r="D27">
        <v>-254</v>
      </c>
      <c r="E27">
        <v>4765</v>
      </c>
      <c r="F27">
        <v>4769</v>
      </c>
      <c r="G27">
        <v>5</v>
      </c>
      <c r="H27">
        <v>5</v>
      </c>
      <c r="I27">
        <v>2</v>
      </c>
      <c r="J27">
        <v>0</v>
      </c>
      <c r="K27">
        <v>3</v>
      </c>
      <c r="L27">
        <v>0</v>
      </c>
      <c r="M27">
        <v>0</v>
      </c>
      <c r="O27">
        <v>0</v>
      </c>
      <c r="P27">
        <v>0</v>
      </c>
      <c r="Q27">
        <v>0</v>
      </c>
      <c r="S27">
        <v>5</v>
      </c>
      <c r="T27">
        <v>2</v>
      </c>
      <c r="U27">
        <v>0</v>
      </c>
      <c r="V27">
        <v>2</v>
      </c>
      <c r="W27">
        <v>3</v>
      </c>
      <c r="X27">
        <v>1</v>
      </c>
      <c r="Y27">
        <v>2</v>
      </c>
      <c r="Z27">
        <v>1047712420</v>
      </c>
      <c r="AA27">
        <v>11579930</v>
      </c>
      <c r="AB27">
        <v>0</v>
      </c>
      <c r="AC27">
        <v>0</v>
      </c>
      <c r="AD27">
        <v>0</v>
      </c>
      <c r="AE27">
        <v>167023</v>
      </c>
      <c r="AF27">
        <v>10959872</v>
      </c>
    </row>
    <row r="28" spans="1:32" x14ac:dyDescent="0.35">
      <c r="A28">
        <v>45658</v>
      </c>
      <c r="B28">
        <v>45664</v>
      </c>
      <c r="C28">
        <v>0</v>
      </c>
      <c r="D28">
        <v>-38</v>
      </c>
      <c r="E28">
        <v>0</v>
      </c>
      <c r="F28">
        <v>0</v>
      </c>
      <c r="G28">
        <v>0</v>
      </c>
      <c r="H28">
        <v>0</v>
      </c>
      <c r="I28">
        <v>0</v>
      </c>
      <c r="J28">
        <v>0</v>
      </c>
      <c r="K28">
        <v>0</v>
      </c>
      <c r="L28">
        <v>0</v>
      </c>
      <c r="M28">
        <v>0</v>
      </c>
      <c r="O28">
        <v>0</v>
      </c>
      <c r="P28">
        <v>0</v>
      </c>
      <c r="Q28">
        <v>0</v>
      </c>
      <c r="S28">
        <v>0</v>
      </c>
      <c r="T28">
        <v>0</v>
      </c>
      <c r="U28">
        <v>0</v>
      </c>
      <c r="V28">
        <v>0</v>
      </c>
      <c r="W28">
        <v>0</v>
      </c>
      <c r="X28">
        <v>0</v>
      </c>
      <c r="Y28">
        <v>0</v>
      </c>
      <c r="Z28">
        <v>0</v>
      </c>
      <c r="AA28">
        <v>0</v>
      </c>
      <c r="AB28">
        <v>0</v>
      </c>
      <c r="AC28">
        <v>0</v>
      </c>
      <c r="AD28">
        <v>0</v>
      </c>
      <c r="AE28">
        <v>0</v>
      </c>
      <c r="AF28">
        <v>0</v>
      </c>
    </row>
    <row r="29" spans="1:32" x14ac:dyDescent="0.35">
      <c r="A29">
        <v>45665</v>
      </c>
      <c r="B29">
        <v>45671</v>
      </c>
      <c r="C29">
        <v>401</v>
      </c>
      <c r="D29">
        <v>401</v>
      </c>
      <c r="E29">
        <v>4770</v>
      </c>
      <c r="F29">
        <v>4779</v>
      </c>
      <c r="G29">
        <v>10</v>
      </c>
      <c r="H29">
        <v>10</v>
      </c>
      <c r="I29">
        <v>9</v>
      </c>
      <c r="J29">
        <v>1</v>
      </c>
      <c r="K29">
        <v>0</v>
      </c>
      <c r="L29">
        <v>8</v>
      </c>
      <c r="M29">
        <v>1</v>
      </c>
      <c r="O29">
        <v>3</v>
      </c>
      <c r="P29">
        <v>0</v>
      </c>
      <c r="Q29">
        <v>4</v>
      </c>
      <c r="S29">
        <v>2</v>
      </c>
      <c r="T29">
        <v>0</v>
      </c>
      <c r="U29">
        <v>0</v>
      </c>
      <c r="V29">
        <v>0</v>
      </c>
      <c r="W29">
        <v>2</v>
      </c>
      <c r="X29">
        <v>0</v>
      </c>
      <c r="Y29">
        <v>2</v>
      </c>
      <c r="Z29">
        <v>2142553979</v>
      </c>
      <c r="AA29">
        <v>113796635</v>
      </c>
      <c r="AB29">
        <v>112430367</v>
      </c>
      <c r="AC29">
        <v>59500</v>
      </c>
      <c r="AD29">
        <v>23850015</v>
      </c>
      <c r="AE29">
        <v>0</v>
      </c>
      <c r="AF29">
        <v>946716</v>
      </c>
    </row>
    <row r="30" spans="1:32" x14ac:dyDescent="0.35">
      <c r="A30">
        <v>45672</v>
      </c>
      <c r="B30">
        <v>45678</v>
      </c>
      <c r="C30">
        <v>451</v>
      </c>
      <c r="D30">
        <v>50</v>
      </c>
      <c r="E30">
        <v>4780</v>
      </c>
      <c r="F30">
        <v>4797</v>
      </c>
      <c r="G30">
        <v>18</v>
      </c>
      <c r="H30">
        <v>18</v>
      </c>
      <c r="I30">
        <v>10</v>
      </c>
      <c r="J30">
        <v>4</v>
      </c>
      <c r="K30">
        <v>4</v>
      </c>
      <c r="L30">
        <v>13</v>
      </c>
      <c r="M30">
        <v>4</v>
      </c>
      <c r="O30">
        <v>5</v>
      </c>
      <c r="P30">
        <v>0</v>
      </c>
      <c r="Q30">
        <v>4</v>
      </c>
      <c r="S30">
        <v>5</v>
      </c>
      <c r="T30">
        <v>3</v>
      </c>
      <c r="U30">
        <v>0</v>
      </c>
      <c r="V30">
        <v>3</v>
      </c>
      <c r="W30">
        <v>2</v>
      </c>
      <c r="X30">
        <v>2</v>
      </c>
      <c r="Y30">
        <v>0</v>
      </c>
      <c r="Z30">
        <v>3391577494</v>
      </c>
      <c r="AA30">
        <v>46678375</v>
      </c>
      <c r="AB30">
        <v>45434431</v>
      </c>
      <c r="AC30">
        <v>3060748</v>
      </c>
      <c r="AD30">
        <v>31999025</v>
      </c>
      <c r="AE30">
        <v>1357885</v>
      </c>
      <c r="AF30">
        <v>31647</v>
      </c>
    </row>
    <row r="31" spans="1:32" x14ac:dyDescent="0.35">
      <c r="A31">
        <v>45679</v>
      </c>
      <c r="B31">
        <v>45685</v>
      </c>
      <c r="C31">
        <v>268</v>
      </c>
      <c r="D31">
        <v>-183</v>
      </c>
      <c r="E31">
        <v>4798</v>
      </c>
      <c r="F31">
        <v>4819</v>
      </c>
      <c r="G31">
        <v>22</v>
      </c>
      <c r="H31">
        <v>22</v>
      </c>
      <c r="I31">
        <v>10</v>
      </c>
      <c r="J31">
        <v>1</v>
      </c>
      <c r="K31">
        <v>11</v>
      </c>
      <c r="L31">
        <v>19</v>
      </c>
      <c r="M31">
        <v>3</v>
      </c>
      <c r="O31">
        <v>7</v>
      </c>
      <c r="P31">
        <v>0</v>
      </c>
      <c r="Q31">
        <v>9</v>
      </c>
      <c r="S31">
        <v>3</v>
      </c>
      <c r="T31">
        <v>1</v>
      </c>
      <c r="U31">
        <v>0</v>
      </c>
      <c r="V31">
        <v>1</v>
      </c>
      <c r="W31">
        <v>2</v>
      </c>
      <c r="X31">
        <v>1</v>
      </c>
      <c r="Y31">
        <v>1</v>
      </c>
      <c r="Z31">
        <v>1325739105</v>
      </c>
      <c r="AA31">
        <v>475590695</v>
      </c>
      <c r="AB31">
        <v>466087444</v>
      </c>
      <c r="AC31">
        <v>7441110</v>
      </c>
      <c r="AD31">
        <v>22664284</v>
      </c>
      <c r="AE31">
        <v>9281936</v>
      </c>
      <c r="AF31">
        <v>159222</v>
      </c>
    </row>
    <row r="32" spans="1:32" x14ac:dyDescent="0.35">
      <c r="A32">
        <v>45686</v>
      </c>
      <c r="B32">
        <v>45692</v>
      </c>
      <c r="C32">
        <v>502</v>
      </c>
      <c r="D32">
        <v>234</v>
      </c>
      <c r="E32">
        <v>4820</v>
      </c>
      <c r="F32">
        <v>4834</v>
      </c>
      <c r="G32">
        <v>15</v>
      </c>
      <c r="H32">
        <v>15</v>
      </c>
      <c r="I32">
        <v>2</v>
      </c>
      <c r="J32">
        <v>4</v>
      </c>
      <c r="K32">
        <v>9</v>
      </c>
      <c r="L32">
        <v>8</v>
      </c>
      <c r="M32">
        <v>1</v>
      </c>
      <c r="O32">
        <v>4</v>
      </c>
      <c r="P32">
        <v>0</v>
      </c>
      <c r="Q32">
        <v>3</v>
      </c>
      <c r="S32">
        <v>7</v>
      </c>
      <c r="T32">
        <v>4</v>
      </c>
      <c r="U32">
        <v>1</v>
      </c>
      <c r="V32">
        <v>3</v>
      </c>
      <c r="W32">
        <v>3</v>
      </c>
      <c r="X32">
        <v>1</v>
      </c>
      <c r="Y32">
        <v>2</v>
      </c>
      <c r="Z32">
        <v>2971251525</v>
      </c>
      <c r="AA32">
        <v>54436775</v>
      </c>
      <c r="AB32">
        <v>14977774</v>
      </c>
      <c r="AC32">
        <v>29714260</v>
      </c>
      <c r="AD32">
        <v>15488310</v>
      </c>
      <c r="AE32">
        <v>2537794</v>
      </c>
      <c r="AF32">
        <v>1187501</v>
      </c>
    </row>
    <row r="33" spans="1:32" x14ac:dyDescent="0.35">
      <c r="A33">
        <v>45693</v>
      </c>
      <c r="B33">
        <v>45699</v>
      </c>
      <c r="C33">
        <v>566</v>
      </c>
      <c r="D33">
        <v>64</v>
      </c>
      <c r="E33">
        <v>4835</v>
      </c>
      <c r="F33">
        <v>4854</v>
      </c>
      <c r="G33">
        <v>20</v>
      </c>
      <c r="H33">
        <v>20</v>
      </c>
      <c r="I33">
        <v>9</v>
      </c>
      <c r="J33">
        <v>1</v>
      </c>
      <c r="K33">
        <v>10</v>
      </c>
      <c r="L33">
        <v>17</v>
      </c>
      <c r="M33">
        <v>4</v>
      </c>
      <c r="O33">
        <v>7</v>
      </c>
      <c r="P33">
        <v>0</v>
      </c>
      <c r="Q33">
        <v>6</v>
      </c>
      <c r="S33">
        <v>3</v>
      </c>
      <c r="T33">
        <v>1</v>
      </c>
      <c r="U33">
        <v>1</v>
      </c>
      <c r="V33">
        <v>0</v>
      </c>
      <c r="W33">
        <v>2</v>
      </c>
      <c r="X33">
        <v>2</v>
      </c>
      <c r="Y33">
        <v>0</v>
      </c>
      <c r="Z33">
        <v>2633921157</v>
      </c>
      <c r="AA33">
        <v>30349421</v>
      </c>
      <c r="AB33">
        <v>29857306</v>
      </c>
      <c r="AC33">
        <v>3610351</v>
      </c>
      <c r="AD33">
        <v>2529550</v>
      </c>
      <c r="AE33">
        <v>228480</v>
      </c>
      <c r="AF33">
        <v>87500</v>
      </c>
    </row>
    <row r="34" spans="1:32" x14ac:dyDescent="0.35">
      <c r="A34">
        <v>45700</v>
      </c>
      <c r="B34">
        <v>45706</v>
      </c>
      <c r="C34">
        <v>512</v>
      </c>
      <c r="D34">
        <v>-54</v>
      </c>
      <c r="E34">
        <v>4855</v>
      </c>
      <c r="F34">
        <v>4870</v>
      </c>
      <c r="G34">
        <v>16</v>
      </c>
      <c r="H34">
        <v>16</v>
      </c>
      <c r="I34">
        <v>2</v>
      </c>
      <c r="J34">
        <v>0</v>
      </c>
      <c r="K34">
        <v>14</v>
      </c>
      <c r="L34">
        <v>14</v>
      </c>
      <c r="M34">
        <v>6</v>
      </c>
      <c r="O34">
        <v>1</v>
      </c>
      <c r="P34">
        <v>0</v>
      </c>
      <c r="Q34">
        <v>7</v>
      </c>
      <c r="S34">
        <v>2</v>
      </c>
      <c r="T34">
        <v>0</v>
      </c>
      <c r="U34">
        <v>0</v>
      </c>
      <c r="V34">
        <v>0</v>
      </c>
      <c r="W34">
        <v>2</v>
      </c>
      <c r="X34">
        <v>0</v>
      </c>
      <c r="Y34">
        <v>2</v>
      </c>
      <c r="Z34">
        <v>1753553077</v>
      </c>
      <c r="AA34">
        <v>33472651</v>
      </c>
      <c r="AB34">
        <v>21393245</v>
      </c>
      <c r="AC34">
        <v>9623772</v>
      </c>
      <c r="AD34">
        <v>522410</v>
      </c>
      <c r="AE34">
        <v>0</v>
      </c>
      <c r="AF34">
        <v>1857406</v>
      </c>
    </row>
    <row r="35" spans="1:32" x14ac:dyDescent="0.35">
      <c r="A35">
        <v>45707</v>
      </c>
      <c r="B35">
        <v>45713</v>
      </c>
      <c r="C35">
        <v>408</v>
      </c>
      <c r="D35">
        <v>-104</v>
      </c>
      <c r="E35">
        <v>4871</v>
      </c>
      <c r="F35">
        <v>4886</v>
      </c>
      <c r="G35">
        <v>16</v>
      </c>
      <c r="H35">
        <v>16</v>
      </c>
      <c r="I35">
        <v>4</v>
      </c>
      <c r="J35">
        <v>3</v>
      </c>
      <c r="K35">
        <v>9</v>
      </c>
      <c r="L35">
        <v>13</v>
      </c>
      <c r="M35">
        <v>2</v>
      </c>
      <c r="O35">
        <v>4</v>
      </c>
      <c r="P35">
        <v>0</v>
      </c>
      <c r="Q35">
        <v>7</v>
      </c>
      <c r="S35">
        <v>3</v>
      </c>
      <c r="T35">
        <v>0</v>
      </c>
      <c r="U35">
        <v>0</v>
      </c>
      <c r="V35">
        <v>0</v>
      </c>
      <c r="W35">
        <v>3</v>
      </c>
      <c r="X35">
        <v>2</v>
      </c>
      <c r="Y35">
        <v>1</v>
      </c>
      <c r="Z35">
        <v>1709198079</v>
      </c>
      <c r="AA35">
        <v>13253856</v>
      </c>
      <c r="AB35">
        <v>12578491</v>
      </c>
      <c r="AC35">
        <v>3084926</v>
      </c>
      <c r="AD35">
        <v>623718</v>
      </c>
      <c r="AE35">
        <v>0</v>
      </c>
      <c r="AF35">
        <v>8834554</v>
      </c>
    </row>
    <row r="36" spans="1:32" x14ac:dyDescent="0.35">
      <c r="A36">
        <v>45714</v>
      </c>
      <c r="B36">
        <v>45720</v>
      </c>
      <c r="C36">
        <v>458</v>
      </c>
      <c r="D36">
        <v>50</v>
      </c>
      <c r="E36">
        <v>4887</v>
      </c>
      <c r="F36">
        <v>4915</v>
      </c>
      <c r="G36">
        <v>29</v>
      </c>
      <c r="H36">
        <v>29</v>
      </c>
      <c r="I36">
        <v>5</v>
      </c>
      <c r="J36">
        <v>2</v>
      </c>
      <c r="K36">
        <v>22</v>
      </c>
      <c r="L36">
        <v>23</v>
      </c>
      <c r="M36">
        <v>1</v>
      </c>
      <c r="O36">
        <v>12</v>
      </c>
      <c r="P36">
        <v>0</v>
      </c>
      <c r="Q36">
        <v>10</v>
      </c>
      <c r="S36">
        <v>6</v>
      </c>
      <c r="T36">
        <v>0</v>
      </c>
      <c r="U36">
        <v>0</v>
      </c>
      <c r="V36">
        <v>0</v>
      </c>
      <c r="W36">
        <v>6</v>
      </c>
      <c r="X36">
        <v>3</v>
      </c>
      <c r="Y36">
        <v>3</v>
      </c>
      <c r="Z36">
        <v>2837551119</v>
      </c>
      <c r="AA36">
        <v>312712093</v>
      </c>
      <c r="AB36">
        <v>309052491</v>
      </c>
      <c r="AC36">
        <v>301655</v>
      </c>
      <c r="AD36">
        <v>10813478</v>
      </c>
      <c r="AE36">
        <v>0</v>
      </c>
      <c r="AF36">
        <v>4435946</v>
      </c>
    </row>
    <row r="37" spans="1:32" x14ac:dyDescent="0.35">
      <c r="A37">
        <v>45721</v>
      </c>
      <c r="B37">
        <v>45727</v>
      </c>
      <c r="C37">
        <v>643</v>
      </c>
      <c r="D37">
        <v>185</v>
      </c>
      <c r="E37">
        <v>4916</v>
      </c>
      <c r="F37">
        <v>4933</v>
      </c>
      <c r="G37">
        <v>18</v>
      </c>
      <c r="H37">
        <v>18</v>
      </c>
      <c r="I37">
        <v>12</v>
      </c>
      <c r="J37">
        <v>2</v>
      </c>
      <c r="K37">
        <v>4</v>
      </c>
      <c r="L37">
        <v>17</v>
      </c>
      <c r="M37">
        <v>2</v>
      </c>
      <c r="O37">
        <v>3</v>
      </c>
      <c r="P37">
        <v>0</v>
      </c>
      <c r="Q37">
        <v>12</v>
      </c>
      <c r="S37">
        <v>1</v>
      </c>
      <c r="T37">
        <v>0</v>
      </c>
      <c r="U37">
        <v>0</v>
      </c>
      <c r="V37">
        <v>0</v>
      </c>
      <c r="W37">
        <v>1</v>
      </c>
      <c r="X37">
        <v>0</v>
      </c>
      <c r="Y37">
        <v>1</v>
      </c>
      <c r="Z37">
        <v>2426242381</v>
      </c>
      <c r="AA37">
        <v>81555123</v>
      </c>
      <c r="AB37">
        <v>68767293</v>
      </c>
      <c r="AC37">
        <v>6666083</v>
      </c>
      <c r="AD37">
        <v>49634019</v>
      </c>
      <c r="AE37">
        <v>0</v>
      </c>
      <c r="AF37">
        <v>316540</v>
      </c>
    </row>
    <row r="38" spans="1:32" x14ac:dyDescent="0.35">
      <c r="A38">
        <v>45728</v>
      </c>
      <c r="B38">
        <v>45734</v>
      </c>
      <c r="C38">
        <v>596</v>
      </c>
      <c r="D38">
        <v>-47</v>
      </c>
      <c r="E38">
        <v>4934</v>
      </c>
      <c r="F38">
        <v>4966</v>
      </c>
      <c r="G38">
        <v>33</v>
      </c>
      <c r="H38">
        <v>33</v>
      </c>
      <c r="I38">
        <v>12</v>
      </c>
      <c r="J38">
        <v>0</v>
      </c>
      <c r="K38">
        <v>21</v>
      </c>
      <c r="L38">
        <v>26</v>
      </c>
      <c r="M38">
        <v>3</v>
      </c>
      <c r="O38">
        <v>11</v>
      </c>
      <c r="P38">
        <v>0</v>
      </c>
      <c r="Q38">
        <v>12</v>
      </c>
      <c r="S38">
        <v>7</v>
      </c>
      <c r="T38">
        <v>0</v>
      </c>
      <c r="U38">
        <v>0</v>
      </c>
      <c r="V38">
        <v>0</v>
      </c>
      <c r="W38">
        <v>7</v>
      </c>
      <c r="X38">
        <v>4</v>
      </c>
      <c r="Y38">
        <v>3</v>
      </c>
      <c r="Z38">
        <v>1935955886</v>
      </c>
      <c r="AA38">
        <v>64646365</v>
      </c>
      <c r="AB38">
        <v>57590590</v>
      </c>
      <c r="AC38">
        <v>0</v>
      </c>
      <c r="AD38">
        <v>18804747</v>
      </c>
      <c r="AE38">
        <v>0</v>
      </c>
      <c r="AF38">
        <v>1821488</v>
      </c>
    </row>
    <row r="39" spans="1:32" x14ac:dyDescent="0.35">
      <c r="A39">
        <v>45735</v>
      </c>
      <c r="B39">
        <v>45741</v>
      </c>
      <c r="C39">
        <v>310</v>
      </c>
      <c r="D39">
        <v>-286</v>
      </c>
      <c r="E39">
        <v>4967</v>
      </c>
      <c r="F39">
        <v>4989</v>
      </c>
      <c r="G39">
        <v>23</v>
      </c>
      <c r="H39">
        <v>23</v>
      </c>
      <c r="I39">
        <v>7</v>
      </c>
      <c r="J39">
        <v>2</v>
      </c>
      <c r="K39">
        <v>14</v>
      </c>
      <c r="L39">
        <v>17</v>
      </c>
      <c r="M39">
        <v>2</v>
      </c>
      <c r="O39">
        <v>10</v>
      </c>
      <c r="P39">
        <v>0</v>
      </c>
      <c r="Q39">
        <v>5</v>
      </c>
      <c r="S39">
        <v>6</v>
      </c>
      <c r="T39">
        <v>0</v>
      </c>
      <c r="U39">
        <v>0</v>
      </c>
      <c r="V39">
        <v>0</v>
      </c>
      <c r="W39">
        <v>6</v>
      </c>
      <c r="X39">
        <v>5</v>
      </c>
      <c r="Y39">
        <v>1</v>
      </c>
      <c r="Z39">
        <v>1785152262</v>
      </c>
      <c r="AA39">
        <v>106904180</v>
      </c>
      <c r="AB39">
        <v>96628492</v>
      </c>
      <c r="AC39">
        <v>48869071</v>
      </c>
      <c r="AD39">
        <v>40770662</v>
      </c>
      <c r="AE39">
        <v>0</v>
      </c>
      <c r="AF39">
        <v>4497408</v>
      </c>
    </row>
    <row r="40" spans="1:32" x14ac:dyDescent="0.35">
      <c r="A40">
        <v>45742</v>
      </c>
      <c r="B40">
        <v>45748</v>
      </c>
      <c r="C40">
        <v>332</v>
      </c>
      <c r="D40">
        <v>22</v>
      </c>
      <c r="E40">
        <v>4990</v>
      </c>
      <c r="F40">
        <v>5016</v>
      </c>
      <c r="G40">
        <v>27</v>
      </c>
      <c r="H40">
        <v>27</v>
      </c>
      <c r="I40">
        <v>9</v>
      </c>
      <c r="J40">
        <v>3</v>
      </c>
      <c r="K40">
        <v>15</v>
      </c>
      <c r="L40">
        <v>16</v>
      </c>
      <c r="M40">
        <v>1</v>
      </c>
      <c r="O40">
        <v>8</v>
      </c>
      <c r="P40">
        <v>1</v>
      </c>
      <c r="Q40">
        <v>6</v>
      </c>
      <c r="S40">
        <v>11</v>
      </c>
      <c r="T40">
        <v>3</v>
      </c>
      <c r="U40">
        <v>3</v>
      </c>
      <c r="V40">
        <v>0</v>
      </c>
      <c r="W40">
        <v>8</v>
      </c>
      <c r="X40">
        <v>5</v>
      </c>
      <c r="Y40">
        <v>3</v>
      </c>
      <c r="Z40">
        <v>1295432593</v>
      </c>
      <c r="AA40">
        <v>172689123</v>
      </c>
      <c r="AB40">
        <v>168624842</v>
      </c>
      <c r="AC40">
        <v>829461</v>
      </c>
      <c r="AD40">
        <v>44497152</v>
      </c>
      <c r="AE40">
        <v>353580</v>
      </c>
      <c r="AF40">
        <v>5548659</v>
      </c>
    </row>
    <row r="41" spans="1:32" x14ac:dyDescent="0.35">
      <c r="A41">
        <v>45749</v>
      </c>
      <c r="B41">
        <v>45755</v>
      </c>
      <c r="C41">
        <v>564</v>
      </c>
      <c r="D41">
        <v>232</v>
      </c>
      <c r="E41">
        <v>5017</v>
      </c>
      <c r="F41">
        <v>5038</v>
      </c>
      <c r="G41">
        <v>22</v>
      </c>
      <c r="H41">
        <v>22</v>
      </c>
      <c r="I41">
        <v>17</v>
      </c>
      <c r="J41">
        <v>3</v>
      </c>
      <c r="K41">
        <v>2</v>
      </c>
      <c r="L41">
        <v>10</v>
      </c>
      <c r="M41">
        <v>4</v>
      </c>
      <c r="O41">
        <v>2</v>
      </c>
      <c r="P41">
        <v>0</v>
      </c>
      <c r="Q41">
        <v>4</v>
      </c>
      <c r="S41">
        <v>12</v>
      </c>
      <c r="T41">
        <v>2</v>
      </c>
      <c r="U41">
        <v>2</v>
      </c>
      <c r="V41">
        <v>0</v>
      </c>
      <c r="W41">
        <v>10</v>
      </c>
      <c r="X41">
        <v>7</v>
      </c>
      <c r="Y41">
        <v>3</v>
      </c>
      <c r="Z41">
        <v>2360022740</v>
      </c>
      <c r="AA41">
        <v>71253584</v>
      </c>
      <c r="AB41">
        <v>52266298</v>
      </c>
      <c r="AC41">
        <v>14763986</v>
      </c>
      <c r="AD41">
        <v>794934</v>
      </c>
      <c r="AE41">
        <v>187821</v>
      </c>
      <c r="AF41">
        <v>12558328</v>
      </c>
    </row>
    <row r="42" spans="1:32" x14ac:dyDescent="0.35">
      <c r="A42">
        <v>45756</v>
      </c>
      <c r="B42">
        <v>45762</v>
      </c>
      <c r="C42">
        <v>519</v>
      </c>
      <c r="D42">
        <v>-45</v>
      </c>
      <c r="E42">
        <v>5039</v>
      </c>
      <c r="F42">
        <v>5057</v>
      </c>
      <c r="G42">
        <v>19</v>
      </c>
      <c r="H42">
        <v>19</v>
      </c>
      <c r="I42">
        <v>12</v>
      </c>
      <c r="J42">
        <v>1</v>
      </c>
      <c r="K42">
        <v>6</v>
      </c>
      <c r="L42">
        <v>18</v>
      </c>
      <c r="M42">
        <v>2</v>
      </c>
      <c r="O42">
        <v>3</v>
      </c>
      <c r="P42">
        <v>0</v>
      </c>
      <c r="Q42">
        <v>13</v>
      </c>
      <c r="S42">
        <v>1</v>
      </c>
      <c r="T42">
        <v>1</v>
      </c>
      <c r="U42">
        <v>1</v>
      </c>
      <c r="V42">
        <v>0</v>
      </c>
      <c r="W42">
        <v>0</v>
      </c>
      <c r="X42">
        <v>0</v>
      </c>
      <c r="Y42">
        <v>0</v>
      </c>
      <c r="Z42">
        <v>2193769103</v>
      </c>
      <c r="AA42">
        <v>156954008</v>
      </c>
      <c r="AB42">
        <v>147770051</v>
      </c>
      <c r="AC42">
        <v>80633800</v>
      </c>
      <c r="AD42">
        <v>55853261</v>
      </c>
      <c r="AE42">
        <v>105910</v>
      </c>
      <c r="AF42">
        <v>0</v>
      </c>
    </row>
    <row r="43" spans="1:32" x14ac:dyDescent="0.35">
      <c r="A43">
        <v>45763</v>
      </c>
      <c r="B43">
        <v>45769</v>
      </c>
      <c r="C43">
        <v>191</v>
      </c>
      <c r="D43">
        <v>-328</v>
      </c>
      <c r="E43">
        <v>5058</v>
      </c>
      <c r="F43">
        <v>5067</v>
      </c>
      <c r="G43">
        <v>10</v>
      </c>
      <c r="H43">
        <v>10</v>
      </c>
      <c r="I43">
        <v>1</v>
      </c>
      <c r="J43">
        <v>0</v>
      </c>
      <c r="K43">
        <v>9</v>
      </c>
      <c r="L43">
        <v>7</v>
      </c>
      <c r="M43">
        <v>2</v>
      </c>
      <c r="O43">
        <v>2</v>
      </c>
      <c r="P43">
        <v>0</v>
      </c>
      <c r="Q43">
        <v>3</v>
      </c>
      <c r="S43">
        <v>3</v>
      </c>
      <c r="T43">
        <v>0</v>
      </c>
      <c r="U43">
        <v>0</v>
      </c>
      <c r="V43">
        <v>0</v>
      </c>
      <c r="W43">
        <v>3</v>
      </c>
      <c r="X43">
        <v>3</v>
      </c>
      <c r="Y43">
        <v>0</v>
      </c>
      <c r="Z43">
        <v>924585492</v>
      </c>
      <c r="AA43">
        <v>25321063</v>
      </c>
      <c r="AB43">
        <v>23831505</v>
      </c>
      <c r="AC43">
        <v>6098065</v>
      </c>
      <c r="AD43">
        <v>11629191</v>
      </c>
      <c r="AE43">
        <v>0</v>
      </c>
      <c r="AF43">
        <v>2602762</v>
      </c>
    </row>
    <row r="44" spans="1:32" x14ac:dyDescent="0.35">
      <c r="A44">
        <v>45770</v>
      </c>
      <c r="B44">
        <v>45776</v>
      </c>
      <c r="C44">
        <v>281</v>
      </c>
      <c r="D44">
        <v>90</v>
      </c>
      <c r="E44">
        <v>5068</v>
      </c>
      <c r="F44">
        <v>5107</v>
      </c>
      <c r="G44">
        <v>40</v>
      </c>
      <c r="H44">
        <v>40</v>
      </c>
      <c r="I44">
        <v>6</v>
      </c>
      <c r="J44">
        <v>2</v>
      </c>
      <c r="K44">
        <v>32</v>
      </c>
      <c r="L44">
        <v>28</v>
      </c>
      <c r="M44">
        <v>3</v>
      </c>
      <c r="O44">
        <v>12</v>
      </c>
      <c r="P44">
        <v>1</v>
      </c>
      <c r="Q44">
        <v>12</v>
      </c>
      <c r="S44">
        <v>12</v>
      </c>
      <c r="T44">
        <v>3</v>
      </c>
      <c r="U44">
        <v>3</v>
      </c>
      <c r="V44">
        <v>0</v>
      </c>
      <c r="W44">
        <v>9</v>
      </c>
      <c r="X44">
        <v>3</v>
      </c>
      <c r="Y44">
        <v>6</v>
      </c>
      <c r="Z44">
        <v>1278786751</v>
      </c>
      <c r="AA44">
        <v>174030562</v>
      </c>
      <c r="AB44">
        <v>162261087</v>
      </c>
      <c r="AC44">
        <v>17175518</v>
      </c>
      <c r="AD44">
        <v>38704799</v>
      </c>
      <c r="AE44">
        <v>644861</v>
      </c>
      <c r="AF44">
        <v>26750103</v>
      </c>
    </row>
    <row r="45" spans="1:32" x14ac:dyDescent="0.35">
      <c r="A45">
        <v>45777</v>
      </c>
      <c r="B45">
        <v>45783</v>
      </c>
      <c r="C45">
        <v>454</v>
      </c>
      <c r="D45">
        <v>173</v>
      </c>
      <c r="E45">
        <v>5108</v>
      </c>
      <c r="F45">
        <v>5120</v>
      </c>
      <c r="G45">
        <v>13</v>
      </c>
      <c r="H45">
        <v>13</v>
      </c>
      <c r="I45">
        <v>5</v>
      </c>
      <c r="J45">
        <v>1</v>
      </c>
      <c r="K45">
        <v>7</v>
      </c>
      <c r="L45">
        <v>9</v>
      </c>
      <c r="M45">
        <v>2</v>
      </c>
      <c r="O45">
        <v>1</v>
      </c>
      <c r="P45">
        <v>0</v>
      </c>
      <c r="Q45">
        <v>6</v>
      </c>
      <c r="S45">
        <v>4</v>
      </c>
      <c r="T45">
        <v>0</v>
      </c>
      <c r="U45">
        <v>0</v>
      </c>
      <c r="V45">
        <v>0</v>
      </c>
      <c r="W45">
        <v>4</v>
      </c>
      <c r="X45">
        <v>0</v>
      </c>
      <c r="Y45">
        <v>4</v>
      </c>
      <c r="Z45">
        <v>1977479161</v>
      </c>
      <c r="AA45">
        <v>79279324</v>
      </c>
      <c r="AB45">
        <v>69382557</v>
      </c>
      <c r="AC45">
        <v>47656056</v>
      </c>
      <c r="AD45">
        <v>9406995</v>
      </c>
      <c r="AE45">
        <v>0</v>
      </c>
      <c r="AF45">
        <v>9896768</v>
      </c>
    </row>
    <row r="46" spans="1:32" x14ac:dyDescent="0.35">
      <c r="A46">
        <v>45784</v>
      </c>
      <c r="B46">
        <v>45790</v>
      </c>
      <c r="C46">
        <v>540</v>
      </c>
      <c r="D46">
        <v>86</v>
      </c>
      <c r="E46">
        <v>5121</v>
      </c>
      <c r="F46">
        <v>5130</v>
      </c>
      <c r="G46">
        <v>10</v>
      </c>
      <c r="H46">
        <v>10</v>
      </c>
      <c r="I46">
        <v>3</v>
      </c>
      <c r="J46">
        <v>0</v>
      </c>
      <c r="K46">
        <v>7</v>
      </c>
      <c r="L46">
        <v>8</v>
      </c>
      <c r="M46">
        <v>0</v>
      </c>
      <c r="N46">
        <v>1</v>
      </c>
      <c r="O46">
        <v>3</v>
      </c>
      <c r="P46">
        <v>1</v>
      </c>
      <c r="Q46">
        <v>3</v>
      </c>
      <c r="S46">
        <v>2</v>
      </c>
      <c r="T46">
        <v>0</v>
      </c>
      <c r="U46">
        <v>0</v>
      </c>
      <c r="V46">
        <v>0</v>
      </c>
      <c r="W46">
        <v>2</v>
      </c>
      <c r="X46">
        <v>1</v>
      </c>
      <c r="Y46">
        <v>1</v>
      </c>
      <c r="Z46">
        <v>5864093707</v>
      </c>
      <c r="AA46">
        <v>3817112125</v>
      </c>
      <c r="AB46">
        <v>45244454</v>
      </c>
      <c r="AC46">
        <v>1398726</v>
      </c>
      <c r="AD46">
        <v>1496783</v>
      </c>
      <c r="AE46">
        <v>0</v>
      </c>
      <c r="AF46">
        <v>4219335</v>
      </c>
    </row>
    <row r="47" spans="1:32" x14ac:dyDescent="0.35">
      <c r="A47">
        <v>45791</v>
      </c>
      <c r="B47">
        <v>45797</v>
      </c>
      <c r="C47">
        <v>503</v>
      </c>
      <c r="D47">
        <v>-37</v>
      </c>
      <c r="E47">
        <v>5131</v>
      </c>
      <c r="F47">
        <v>5147</v>
      </c>
      <c r="G47">
        <v>17</v>
      </c>
      <c r="H47">
        <v>17</v>
      </c>
      <c r="I47">
        <v>12</v>
      </c>
      <c r="J47">
        <v>3</v>
      </c>
      <c r="K47">
        <v>2</v>
      </c>
      <c r="L47">
        <v>13</v>
      </c>
      <c r="M47">
        <v>1</v>
      </c>
      <c r="N47">
        <v>0</v>
      </c>
      <c r="O47">
        <v>1</v>
      </c>
      <c r="P47">
        <v>0</v>
      </c>
      <c r="Q47">
        <v>11</v>
      </c>
      <c r="S47">
        <v>4</v>
      </c>
      <c r="T47">
        <v>1</v>
      </c>
      <c r="U47">
        <v>1</v>
      </c>
      <c r="V47">
        <v>0</v>
      </c>
      <c r="W47">
        <v>3</v>
      </c>
      <c r="X47">
        <v>3</v>
      </c>
      <c r="Y47">
        <v>0</v>
      </c>
      <c r="Z47">
        <v>1849693334</v>
      </c>
      <c r="AA47">
        <v>123822041</v>
      </c>
      <c r="AB47">
        <v>123509032</v>
      </c>
      <c r="AC47">
        <v>466487</v>
      </c>
      <c r="AD47">
        <v>574927</v>
      </c>
      <c r="AE47">
        <v>416500</v>
      </c>
      <c r="AF47">
        <v>458821</v>
      </c>
    </row>
    <row r="48" spans="1:32" x14ac:dyDescent="0.35">
      <c r="A48">
        <v>45798</v>
      </c>
      <c r="B48">
        <v>45804</v>
      </c>
      <c r="C48">
        <v>394</v>
      </c>
      <c r="D48">
        <v>-109</v>
      </c>
      <c r="E48">
        <v>5148</v>
      </c>
      <c r="F48">
        <v>5159</v>
      </c>
      <c r="G48">
        <v>12</v>
      </c>
      <c r="H48">
        <v>12</v>
      </c>
      <c r="I48">
        <v>1</v>
      </c>
      <c r="J48">
        <v>0</v>
      </c>
      <c r="K48">
        <v>11</v>
      </c>
      <c r="L48">
        <v>8</v>
      </c>
      <c r="M48">
        <v>2</v>
      </c>
      <c r="N48">
        <v>0</v>
      </c>
      <c r="O48">
        <v>2</v>
      </c>
      <c r="P48">
        <v>0</v>
      </c>
      <c r="Q48">
        <v>4</v>
      </c>
      <c r="S48">
        <v>4</v>
      </c>
      <c r="T48">
        <v>2</v>
      </c>
      <c r="U48">
        <v>2</v>
      </c>
      <c r="V48">
        <v>0</v>
      </c>
      <c r="W48">
        <v>2</v>
      </c>
      <c r="X48">
        <v>2</v>
      </c>
      <c r="Y48">
        <v>0</v>
      </c>
      <c r="Z48">
        <v>930644348</v>
      </c>
      <c r="AA48">
        <v>8647158</v>
      </c>
      <c r="AB48">
        <v>7950113</v>
      </c>
      <c r="AC48">
        <v>648749</v>
      </c>
      <c r="AD48">
        <v>5828706</v>
      </c>
      <c r="AE48">
        <v>300776</v>
      </c>
      <c r="AF48">
        <v>346290</v>
      </c>
    </row>
    <row r="49" spans="1:32" x14ac:dyDescent="0.35">
      <c r="A49">
        <v>45805</v>
      </c>
      <c r="B49">
        <v>45811</v>
      </c>
      <c r="C49">
        <v>310</v>
      </c>
      <c r="D49">
        <v>-84</v>
      </c>
      <c r="E49">
        <v>5160</v>
      </c>
      <c r="F49">
        <v>5172</v>
      </c>
      <c r="G49">
        <v>13</v>
      </c>
      <c r="H49">
        <v>13</v>
      </c>
      <c r="I49">
        <v>2</v>
      </c>
      <c r="J49">
        <v>0</v>
      </c>
      <c r="K49">
        <v>11</v>
      </c>
      <c r="L49">
        <v>8</v>
      </c>
      <c r="M49">
        <v>0</v>
      </c>
      <c r="N49">
        <v>1</v>
      </c>
      <c r="O49">
        <v>4</v>
      </c>
      <c r="P49">
        <v>0</v>
      </c>
      <c r="Q49">
        <v>3</v>
      </c>
      <c r="S49">
        <v>5</v>
      </c>
      <c r="T49">
        <v>1</v>
      </c>
      <c r="U49">
        <v>1</v>
      </c>
      <c r="V49">
        <v>0</v>
      </c>
      <c r="W49">
        <v>4</v>
      </c>
      <c r="X49">
        <v>3</v>
      </c>
      <c r="Y49">
        <v>1</v>
      </c>
      <c r="Z49">
        <v>1035953378</v>
      </c>
      <c r="AA49">
        <v>248191295</v>
      </c>
      <c r="AB49">
        <v>23363539</v>
      </c>
      <c r="AC49">
        <v>0</v>
      </c>
      <c r="AD49">
        <v>13546387</v>
      </c>
      <c r="AE49">
        <v>1430374</v>
      </c>
      <c r="AF49">
        <v>486178</v>
      </c>
    </row>
    <row r="50" spans="1:32" x14ac:dyDescent="0.35">
      <c r="A50">
        <v>45812</v>
      </c>
      <c r="B50">
        <v>45818</v>
      </c>
      <c r="C50">
        <v>648</v>
      </c>
      <c r="D50">
        <v>338</v>
      </c>
      <c r="E50">
        <v>5173</v>
      </c>
      <c r="F50">
        <v>5190</v>
      </c>
      <c r="G50">
        <v>18</v>
      </c>
      <c r="H50">
        <v>18</v>
      </c>
      <c r="I50">
        <v>11</v>
      </c>
      <c r="J50">
        <v>1</v>
      </c>
      <c r="K50">
        <v>6</v>
      </c>
      <c r="L50">
        <v>17</v>
      </c>
      <c r="M50">
        <v>1</v>
      </c>
      <c r="N50">
        <v>0</v>
      </c>
      <c r="O50">
        <v>2</v>
      </c>
      <c r="P50">
        <v>0</v>
      </c>
      <c r="Q50">
        <v>14</v>
      </c>
      <c r="S50">
        <v>1</v>
      </c>
      <c r="T50">
        <v>0</v>
      </c>
      <c r="U50">
        <v>0</v>
      </c>
      <c r="V50">
        <v>0</v>
      </c>
      <c r="W50">
        <v>1</v>
      </c>
      <c r="X50">
        <v>1</v>
      </c>
      <c r="Y50">
        <v>0</v>
      </c>
      <c r="Z50">
        <v>2684327475</v>
      </c>
      <c r="AA50">
        <v>39866034</v>
      </c>
      <c r="AB50">
        <v>39651834</v>
      </c>
      <c r="AC50">
        <v>1229652</v>
      </c>
      <c r="AD50">
        <v>5042364</v>
      </c>
      <c r="AE50">
        <v>0</v>
      </c>
      <c r="AF50">
        <v>214200</v>
      </c>
    </row>
    <row r="51" spans="1:32" x14ac:dyDescent="0.35">
      <c r="A51">
        <v>45819</v>
      </c>
      <c r="B51">
        <v>45825</v>
      </c>
      <c r="C51">
        <v>571</v>
      </c>
      <c r="D51">
        <v>-77</v>
      </c>
      <c r="E51">
        <v>5191</v>
      </c>
      <c r="F51">
        <v>5207</v>
      </c>
      <c r="G51">
        <v>17</v>
      </c>
      <c r="H51">
        <v>17</v>
      </c>
      <c r="I51">
        <v>5</v>
      </c>
      <c r="J51">
        <v>1</v>
      </c>
      <c r="K51">
        <v>11</v>
      </c>
      <c r="L51">
        <v>11</v>
      </c>
      <c r="M51">
        <v>2</v>
      </c>
      <c r="N51">
        <v>0</v>
      </c>
      <c r="O51">
        <v>2</v>
      </c>
      <c r="P51">
        <v>2</v>
      </c>
      <c r="Q51">
        <v>5</v>
      </c>
      <c r="S51">
        <v>6</v>
      </c>
      <c r="T51">
        <v>1</v>
      </c>
      <c r="U51">
        <v>1</v>
      </c>
      <c r="V51">
        <v>0</v>
      </c>
      <c r="W51">
        <v>5</v>
      </c>
      <c r="X51">
        <v>5</v>
      </c>
      <c r="Y51">
        <v>0</v>
      </c>
      <c r="Z51">
        <v>2141665314</v>
      </c>
      <c r="AA51">
        <v>110771569</v>
      </c>
      <c r="AB51">
        <v>96929746</v>
      </c>
      <c r="AC51">
        <v>8385101</v>
      </c>
      <c r="AD51">
        <v>596694</v>
      </c>
      <c r="AE51">
        <v>13566000</v>
      </c>
      <c r="AF51">
        <v>275823</v>
      </c>
    </row>
    <row r="52" spans="1:32" x14ac:dyDescent="0.35">
      <c r="A52">
        <v>45826</v>
      </c>
      <c r="B52">
        <v>45832</v>
      </c>
      <c r="C52">
        <v>396</v>
      </c>
      <c r="D52">
        <v>-175</v>
      </c>
      <c r="E52">
        <v>5208</v>
      </c>
      <c r="F52">
        <v>5225</v>
      </c>
      <c r="G52">
        <v>18</v>
      </c>
      <c r="H52">
        <v>18</v>
      </c>
      <c r="I52">
        <v>8</v>
      </c>
      <c r="J52">
        <v>2</v>
      </c>
      <c r="K52">
        <v>8</v>
      </c>
      <c r="L52">
        <v>15</v>
      </c>
      <c r="M52">
        <v>1</v>
      </c>
      <c r="N52">
        <v>1</v>
      </c>
      <c r="O52">
        <v>3</v>
      </c>
      <c r="P52">
        <v>0</v>
      </c>
      <c r="Q52">
        <v>10</v>
      </c>
      <c r="S52">
        <v>3</v>
      </c>
      <c r="T52">
        <v>0</v>
      </c>
      <c r="U52">
        <v>0</v>
      </c>
      <c r="V52">
        <v>0</v>
      </c>
      <c r="W52">
        <v>3</v>
      </c>
      <c r="X52">
        <v>0</v>
      </c>
      <c r="Y52">
        <v>3</v>
      </c>
      <c r="Z52">
        <v>1325997188</v>
      </c>
      <c r="AA52">
        <v>49768347</v>
      </c>
      <c r="AB52">
        <v>48596255</v>
      </c>
      <c r="AC52">
        <v>5086</v>
      </c>
      <c r="AD52">
        <v>528006</v>
      </c>
      <c r="AE52">
        <v>0</v>
      </c>
      <c r="AF52">
        <v>887740</v>
      </c>
    </row>
    <row r="53" spans="1:32" x14ac:dyDescent="0.35">
      <c r="A53">
        <v>45833</v>
      </c>
      <c r="B53">
        <v>45839</v>
      </c>
      <c r="C53">
        <v>250</v>
      </c>
      <c r="D53">
        <v>-146</v>
      </c>
      <c r="E53">
        <v>5226</v>
      </c>
      <c r="F53">
        <v>5235</v>
      </c>
      <c r="G53">
        <v>10</v>
      </c>
      <c r="H53">
        <v>10</v>
      </c>
      <c r="I53">
        <v>4</v>
      </c>
      <c r="J53">
        <v>0</v>
      </c>
      <c r="K53">
        <v>6</v>
      </c>
      <c r="L53">
        <v>5</v>
      </c>
      <c r="M53">
        <v>0</v>
      </c>
      <c r="N53">
        <v>0</v>
      </c>
      <c r="O53">
        <v>3</v>
      </c>
      <c r="P53">
        <v>0</v>
      </c>
      <c r="Q53">
        <v>2</v>
      </c>
      <c r="S53">
        <v>5</v>
      </c>
      <c r="T53">
        <v>3</v>
      </c>
      <c r="U53">
        <v>2</v>
      </c>
      <c r="V53">
        <v>1</v>
      </c>
      <c r="W53">
        <v>2</v>
      </c>
      <c r="X53">
        <v>0</v>
      </c>
      <c r="Y53">
        <v>2</v>
      </c>
      <c r="Z53">
        <v>1365219905</v>
      </c>
      <c r="AA53">
        <v>35717188</v>
      </c>
      <c r="AB53">
        <v>17961409</v>
      </c>
      <c r="AC53">
        <v>0</v>
      </c>
      <c r="AD53">
        <v>17738612</v>
      </c>
      <c r="AE53">
        <v>17407107</v>
      </c>
      <c r="AF53">
        <v>244483</v>
      </c>
    </row>
    <row r="54" spans="1:32" x14ac:dyDescent="0.35">
      <c r="A54">
        <v>45840</v>
      </c>
      <c r="B54">
        <v>45846</v>
      </c>
      <c r="C54">
        <v>510</v>
      </c>
      <c r="D54">
        <v>260</v>
      </c>
      <c r="E54">
        <v>5236</v>
      </c>
      <c r="F54">
        <v>5260</v>
      </c>
      <c r="G54">
        <v>25</v>
      </c>
      <c r="H54">
        <v>25</v>
      </c>
      <c r="I54">
        <v>17</v>
      </c>
      <c r="J54">
        <v>1</v>
      </c>
      <c r="K54">
        <v>7</v>
      </c>
      <c r="L54">
        <v>22</v>
      </c>
      <c r="M54">
        <v>1</v>
      </c>
      <c r="N54">
        <v>2</v>
      </c>
      <c r="O54">
        <v>5</v>
      </c>
      <c r="P54">
        <v>0</v>
      </c>
      <c r="Q54">
        <v>14</v>
      </c>
      <c r="S54">
        <v>3</v>
      </c>
      <c r="T54">
        <v>2</v>
      </c>
      <c r="U54">
        <v>2</v>
      </c>
      <c r="V54">
        <v>0</v>
      </c>
      <c r="W54">
        <v>1</v>
      </c>
      <c r="X54">
        <v>1</v>
      </c>
      <c r="Y54">
        <v>0</v>
      </c>
      <c r="Z54">
        <v>1972569670</v>
      </c>
      <c r="AA54">
        <v>176951994</v>
      </c>
      <c r="AB54">
        <v>169134871</v>
      </c>
      <c r="AC54">
        <v>21782068</v>
      </c>
      <c r="AD54">
        <v>6312141</v>
      </c>
      <c r="AE54">
        <v>275818</v>
      </c>
      <c r="AF54">
        <v>827821</v>
      </c>
    </row>
    <row r="55" spans="1:32" x14ac:dyDescent="0.35">
      <c r="A55">
        <v>45847</v>
      </c>
      <c r="B55">
        <v>45853</v>
      </c>
      <c r="C55">
        <v>456</v>
      </c>
      <c r="D55">
        <v>-54</v>
      </c>
      <c r="E55">
        <v>5261</v>
      </c>
      <c r="F55">
        <v>5281</v>
      </c>
      <c r="G55">
        <v>21</v>
      </c>
      <c r="H55">
        <v>21</v>
      </c>
      <c r="I55">
        <v>9</v>
      </c>
      <c r="J55">
        <v>1</v>
      </c>
      <c r="K55">
        <v>11</v>
      </c>
      <c r="L55">
        <v>15</v>
      </c>
      <c r="M55">
        <v>0</v>
      </c>
      <c r="N55">
        <v>2</v>
      </c>
      <c r="O55">
        <v>1</v>
      </c>
      <c r="P55">
        <v>1</v>
      </c>
      <c r="Q55">
        <v>11</v>
      </c>
      <c r="S55">
        <v>6</v>
      </c>
      <c r="T55">
        <v>0</v>
      </c>
      <c r="U55">
        <v>0</v>
      </c>
      <c r="V55">
        <v>0</v>
      </c>
      <c r="W55">
        <v>6</v>
      </c>
      <c r="X55">
        <v>4</v>
      </c>
      <c r="Y55">
        <v>2</v>
      </c>
      <c r="Z55">
        <v>2231045240</v>
      </c>
      <c r="AA55">
        <v>399071420</v>
      </c>
      <c r="AB55">
        <v>394785073</v>
      </c>
      <c r="AC55">
        <v>0</v>
      </c>
      <c r="AD55">
        <v>3037178</v>
      </c>
      <c r="AE55">
        <v>0</v>
      </c>
      <c r="AF55">
        <v>6282962</v>
      </c>
    </row>
    <row r="56" spans="1:32" x14ac:dyDescent="0.35">
      <c r="A56">
        <v>45854</v>
      </c>
      <c r="B56">
        <v>45860</v>
      </c>
      <c r="C56">
        <v>476</v>
      </c>
      <c r="D56">
        <v>20</v>
      </c>
      <c r="E56">
        <v>5282</v>
      </c>
      <c r="F56">
        <v>5311</v>
      </c>
      <c r="G56">
        <v>30</v>
      </c>
      <c r="H56">
        <v>30</v>
      </c>
      <c r="I56">
        <v>16</v>
      </c>
      <c r="J56">
        <v>1</v>
      </c>
      <c r="K56">
        <v>13</v>
      </c>
      <c r="L56">
        <v>24</v>
      </c>
      <c r="M56">
        <v>0</v>
      </c>
      <c r="N56">
        <v>2</v>
      </c>
      <c r="O56">
        <v>2</v>
      </c>
      <c r="P56">
        <v>1</v>
      </c>
      <c r="Q56">
        <v>17</v>
      </c>
      <c r="R56">
        <v>2</v>
      </c>
      <c r="S56">
        <v>6</v>
      </c>
      <c r="T56">
        <v>1</v>
      </c>
      <c r="U56">
        <v>1</v>
      </c>
      <c r="V56">
        <v>0</v>
      </c>
      <c r="W56">
        <v>5</v>
      </c>
      <c r="X56">
        <v>3</v>
      </c>
      <c r="Y56">
        <v>2</v>
      </c>
      <c r="Z56">
        <v>398661391</v>
      </c>
      <c r="AA56">
        <v>227940319</v>
      </c>
      <c r="AB56">
        <v>226070211</v>
      </c>
      <c r="AC56">
        <v>0</v>
      </c>
      <c r="AD56">
        <v>103425544</v>
      </c>
      <c r="AE56">
        <v>470117</v>
      </c>
      <c r="AF56">
        <v>3052151</v>
      </c>
    </row>
    <row r="57" spans="1:32" x14ac:dyDescent="0.35">
      <c r="A57">
        <v>45861</v>
      </c>
      <c r="B57">
        <v>45867</v>
      </c>
      <c r="C57">
        <v>229</v>
      </c>
      <c r="D57">
        <v>-247</v>
      </c>
      <c r="E57">
        <v>5312</v>
      </c>
      <c r="F57">
        <v>5333</v>
      </c>
      <c r="G57">
        <v>22</v>
      </c>
      <c r="H57">
        <v>22</v>
      </c>
      <c r="I57">
        <v>10</v>
      </c>
      <c r="J57">
        <v>0</v>
      </c>
      <c r="K57">
        <v>12</v>
      </c>
      <c r="L57">
        <v>17</v>
      </c>
      <c r="M57">
        <v>0</v>
      </c>
      <c r="N57">
        <v>0</v>
      </c>
      <c r="O57">
        <v>3</v>
      </c>
      <c r="P57">
        <v>0</v>
      </c>
      <c r="Q57">
        <v>14</v>
      </c>
      <c r="R57">
        <v>0</v>
      </c>
      <c r="S57">
        <v>5</v>
      </c>
      <c r="T57">
        <v>1</v>
      </c>
      <c r="U57">
        <v>1</v>
      </c>
      <c r="V57">
        <v>0</v>
      </c>
      <c r="W57">
        <v>4</v>
      </c>
      <c r="X57">
        <v>2</v>
      </c>
      <c r="Y57">
        <v>2</v>
      </c>
      <c r="Z57">
        <v>1236409219</v>
      </c>
      <c r="AA57">
        <v>143244656</v>
      </c>
      <c r="AB57">
        <v>142628118</v>
      </c>
      <c r="AC57">
        <v>0</v>
      </c>
      <c r="AD57">
        <v>6189633</v>
      </c>
      <c r="AE57">
        <v>178500</v>
      </c>
      <c r="AF57">
        <v>685519</v>
      </c>
    </row>
    <row r="58" spans="1:32" x14ac:dyDescent="0.35">
      <c r="A58">
        <v>45868</v>
      </c>
      <c r="B58">
        <v>45874</v>
      </c>
      <c r="C58">
        <v>511</v>
      </c>
      <c r="D58">
        <v>282</v>
      </c>
      <c r="E58">
        <v>5334</v>
      </c>
      <c r="F58">
        <v>5363</v>
      </c>
      <c r="G58">
        <v>30</v>
      </c>
      <c r="H58">
        <v>30</v>
      </c>
      <c r="I58">
        <v>12</v>
      </c>
      <c r="J58">
        <v>0</v>
      </c>
      <c r="K58">
        <v>18</v>
      </c>
      <c r="L58">
        <v>26</v>
      </c>
      <c r="M58">
        <v>1</v>
      </c>
      <c r="N58">
        <v>0</v>
      </c>
      <c r="O58">
        <v>2</v>
      </c>
      <c r="P58">
        <v>0</v>
      </c>
      <c r="Q58">
        <v>23</v>
      </c>
      <c r="R58">
        <v>0</v>
      </c>
      <c r="S58">
        <v>4</v>
      </c>
      <c r="T58">
        <v>1</v>
      </c>
      <c r="U58">
        <v>1</v>
      </c>
      <c r="V58">
        <v>0</v>
      </c>
      <c r="W58">
        <v>3</v>
      </c>
      <c r="X58">
        <v>3</v>
      </c>
      <c r="Y58">
        <v>0</v>
      </c>
    </row>
    <row r="59" spans="1:32" x14ac:dyDescent="0.35">
      <c r="A59">
        <v>45875</v>
      </c>
      <c r="B59">
        <v>45881</v>
      </c>
      <c r="C59">
        <v>435</v>
      </c>
      <c r="D59">
        <v>-76</v>
      </c>
      <c r="E59">
        <v>5364</v>
      </c>
      <c r="F59">
        <v>5374</v>
      </c>
      <c r="G59">
        <v>11</v>
      </c>
      <c r="H59">
        <v>11</v>
      </c>
      <c r="I59">
        <v>7</v>
      </c>
      <c r="J59">
        <v>0</v>
      </c>
      <c r="K59">
        <v>4</v>
      </c>
      <c r="L59">
        <v>8</v>
      </c>
      <c r="M59">
        <v>1</v>
      </c>
      <c r="N59">
        <v>0</v>
      </c>
      <c r="O59">
        <v>3</v>
      </c>
      <c r="P59">
        <v>0</v>
      </c>
      <c r="Q59">
        <v>4</v>
      </c>
      <c r="R59">
        <v>0</v>
      </c>
      <c r="S59">
        <v>3</v>
      </c>
      <c r="T59">
        <v>1</v>
      </c>
      <c r="U59">
        <v>1</v>
      </c>
      <c r="V59">
        <v>0</v>
      </c>
      <c r="W59">
        <v>2</v>
      </c>
      <c r="X59">
        <v>2</v>
      </c>
      <c r="Y59">
        <v>0</v>
      </c>
      <c r="Z59">
        <v>1855809179</v>
      </c>
      <c r="AA59">
        <v>164161765</v>
      </c>
      <c r="AB59">
        <v>163888765</v>
      </c>
      <c r="AC59">
        <v>1284581</v>
      </c>
      <c r="AD59">
        <v>9372996</v>
      </c>
      <c r="AE59">
        <v>73185</v>
      </c>
      <c r="AF59">
        <v>200396</v>
      </c>
    </row>
    <row r="60" spans="1:32" x14ac:dyDescent="0.35">
      <c r="A60">
        <v>45882</v>
      </c>
      <c r="B60">
        <v>45888</v>
      </c>
      <c r="C60">
        <v>416</v>
      </c>
      <c r="D60">
        <v>-19</v>
      </c>
      <c r="E60">
        <v>5375</v>
      </c>
      <c r="F60">
        <v>5401</v>
      </c>
      <c r="G60">
        <v>27</v>
      </c>
      <c r="H60">
        <v>27</v>
      </c>
      <c r="I60">
        <v>14</v>
      </c>
      <c r="J60">
        <v>0</v>
      </c>
      <c r="K60">
        <v>13</v>
      </c>
      <c r="L60">
        <v>23</v>
      </c>
      <c r="M60">
        <v>2</v>
      </c>
      <c r="N60">
        <v>0</v>
      </c>
      <c r="O60">
        <v>7</v>
      </c>
      <c r="P60">
        <v>0</v>
      </c>
      <c r="Q60">
        <v>14</v>
      </c>
      <c r="R60">
        <v>0</v>
      </c>
      <c r="S60">
        <v>4</v>
      </c>
      <c r="T60">
        <v>2</v>
      </c>
      <c r="U60">
        <v>1</v>
      </c>
      <c r="V60">
        <v>1</v>
      </c>
      <c r="W60">
        <v>2</v>
      </c>
      <c r="X60">
        <v>2</v>
      </c>
      <c r="Y60">
        <v>0</v>
      </c>
      <c r="Z60">
        <v>1420092193</v>
      </c>
      <c r="AA60">
        <v>90774858</v>
      </c>
      <c r="AB60">
        <v>82412461</v>
      </c>
      <c r="AC60">
        <v>3622229</v>
      </c>
      <c r="AD60">
        <v>49885783</v>
      </c>
      <c r="AE60">
        <v>1142400</v>
      </c>
    </row>
    <row r="61" spans="1:32" x14ac:dyDescent="0.35">
      <c r="A61">
        <v>45889</v>
      </c>
      <c r="B61">
        <v>45895</v>
      </c>
      <c r="C61">
        <v>438</v>
      </c>
      <c r="D61">
        <v>22</v>
      </c>
      <c r="E61">
        <v>5402</v>
      </c>
      <c r="F61">
        <v>5426</v>
      </c>
      <c r="G61">
        <v>25</v>
      </c>
      <c r="H61">
        <v>25</v>
      </c>
      <c r="I61">
        <v>7</v>
      </c>
      <c r="J61">
        <v>0</v>
      </c>
      <c r="K61">
        <v>18</v>
      </c>
      <c r="L61">
        <v>21</v>
      </c>
      <c r="M61">
        <v>1</v>
      </c>
      <c r="N61">
        <v>0</v>
      </c>
      <c r="O61">
        <v>7</v>
      </c>
      <c r="P61">
        <v>0</v>
      </c>
      <c r="Q61">
        <v>12</v>
      </c>
      <c r="R61">
        <v>1</v>
      </c>
      <c r="S61">
        <v>4</v>
      </c>
      <c r="T61">
        <v>1</v>
      </c>
      <c r="U61">
        <v>1</v>
      </c>
      <c r="V61">
        <v>0</v>
      </c>
      <c r="W61">
        <v>3</v>
      </c>
      <c r="X61">
        <v>2</v>
      </c>
      <c r="Y61">
        <v>1</v>
      </c>
      <c r="Z61">
        <v>1829148407</v>
      </c>
      <c r="AA61">
        <v>71319047</v>
      </c>
      <c r="AB61">
        <v>67604724</v>
      </c>
      <c r="AC61">
        <v>460352</v>
      </c>
      <c r="AD61">
        <v>3897130</v>
      </c>
      <c r="AE61">
        <v>3494019</v>
      </c>
      <c r="AF61">
        <v>8671634</v>
      </c>
    </row>
    <row r="62" spans="1:32" x14ac:dyDescent="0.35">
      <c r="A62">
        <v>45896</v>
      </c>
      <c r="B62">
        <v>45902</v>
      </c>
      <c r="C62">
        <v>406</v>
      </c>
      <c r="D62">
        <v>-32</v>
      </c>
      <c r="E62">
        <v>5427</v>
      </c>
      <c r="F62">
        <v>5451</v>
      </c>
      <c r="G62">
        <v>25</v>
      </c>
      <c r="H62">
        <v>25</v>
      </c>
      <c r="I62">
        <v>8</v>
      </c>
      <c r="J62">
        <v>0</v>
      </c>
      <c r="K62">
        <v>17</v>
      </c>
      <c r="L62">
        <v>20</v>
      </c>
      <c r="M62">
        <v>0</v>
      </c>
      <c r="N62">
        <v>1</v>
      </c>
      <c r="O62">
        <v>4</v>
      </c>
      <c r="P62">
        <v>0</v>
      </c>
      <c r="Q62">
        <v>15</v>
      </c>
      <c r="R62">
        <v>0</v>
      </c>
      <c r="S62">
        <v>5</v>
      </c>
      <c r="T62">
        <v>2</v>
      </c>
      <c r="U62">
        <v>2</v>
      </c>
      <c r="V62">
        <v>0</v>
      </c>
      <c r="W62">
        <v>3</v>
      </c>
      <c r="X62">
        <v>2</v>
      </c>
      <c r="Y62">
        <v>1</v>
      </c>
      <c r="Z62">
        <v>1547434757</v>
      </c>
      <c r="AA62">
        <v>75218683</v>
      </c>
      <c r="AB62">
        <v>72521944</v>
      </c>
      <c r="AC62">
        <v>0</v>
      </c>
      <c r="AD62">
        <v>13187575</v>
      </c>
      <c r="AE62">
        <v>2400510</v>
      </c>
      <c r="AF62">
        <v>132628</v>
      </c>
    </row>
    <row r="63" spans="1:32" x14ac:dyDescent="0.35">
      <c r="A63">
        <v>45903</v>
      </c>
      <c r="B63">
        <v>45909</v>
      </c>
      <c r="C63">
        <v>559</v>
      </c>
      <c r="D63">
        <v>153</v>
      </c>
      <c r="E63">
        <v>5452</v>
      </c>
      <c r="F63">
        <v>5471</v>
      </c>
      <c r="G63">
        <v>20</v>
      </c>
      <c r="H63">
        <v>20</v>
      </c>
      <c r="I63">
        <v>14</v>
      </c>
      <c r="J63">
        <v>1</v>
      </c>
      <c r="K63">
        <v>5</v>
      </c>
      <c r="L63">
        <v>16</v>
      </c>
      <c r="M63">
        <v>1</v>
      </c>
      <c r="N63">
        <v>2</v>
      </c>
      <c r="O63">
        <v>5</v>
      </c>
      <c r="P63">
        <v>0</v>
      </c>
      <c r="Q63">
        <v>8</v>
      </c>
      <c r="R63">
        <v>0</v>
      </c>
      <c r="S63">
        <v>4</v>
      </c>
      <c r="T63">
        <v>1</v>
      </c>
      <c r="U63">
        <v>0</v>
      </c>
      <c r="V63">
        <v>1</v>
      </c>
      <c r="W63">
        <v>3</v>
      </c>
      <c r="X63">
        <v>1</v>
      </c>
      <c r="Y63">
        <v>2</v>
      </c>
      <c r="Z63">
        <v>2909351132</v>
      </c>
      <c r="AA63">
        <v>46514978</v>
      </c>
      <c r="AB63">
        <v>39105866</v>
      </c>
      <c r="AC63">
        <v>446250</v>
      </c>
      <c r="AD63">
        <v>10664719</v>
      </c>
      <c r="AE63">
        <v>177421</v>
      </c>
      <c r="AF63">
        <v>15314403</v>
      </c>
    </row>
    <row r="64" spans="1:32" x14ac:dyDescent="0.35">
      <c r="A64">
        <v>45910</v>
      </c>
      <c r="B64">
        <v>45916</v>
      </c>
      <c r="C64">
        <v>500</v>
      </c>
      <c r="D64">
        <v>-59</v>
      </c>
      <c r="E64">
        <v>5472</v>
      </c>
      <c r="F64">
        <v>5490</v>
      </c>
      <c r="G64">
        <v>19</v>
      </c>
      <c r="H64">
        <v>19</v>
      </c>
      <c r="I64">
        <v>9</v>
      </c>
      <c r="J64">
        <v>3</v>
      </c>
      <c r="K64">
        <v>7</v>
      </c>
      <c r="L64">
        <v>13</v>
      </c>
      <c r="M64">
        <v>1</v>
      </c>
      <c r="N64">
        <v>3</v>
      </c>
      <c r="O64">
        <v>3</v>
      </c>
      <c r="P64">
        <v>0</v>
      </c>
      <c r="Q64">
        <v>6</v>
      </c>
      <c r="R64">
        <v>0</v>
      </c>
      <c r="S64">
        <v>6</v>
      </c>
      <c r="T64">
        <v>2</v>
      </c>
      <c r="U64">
        <v>1</v>
      </c>
      <c r="V64">
        <v>1</v>
      </c>
      <c r="W64">
        <v>4</v>
      </c>
      <c r="X64">
        <v>3</v>
      </c>
      <c r="Y64">
        <v>1</v>
      </c>
      <c r="Z64">
        <v>1944472061</v>
      </c>
      <c r="AA64">
        <v>79762297</v>
      </c>
      <c r="AB64">
        <v>78351508</v>
      </c>
      <c r="AC64">
        <v>44102220</v>
      </c>
      <c r="AD64">
        <v>15994262</v>
      </c>
      <c r="AE64">
        <v>213043</v>
      </c>
      <c r="AF64">
        <v>861365</v>
      </c>
    </row>
    <row r="65" spans="1:32" x14ac:dyDescent="0.35">
      <c r="A65">
        <v>45917</v>
      </c>
      <c r="B65">
        <v>45923</v>
      </c>
      <c r="C65">
        <v>429</v>
      </c>
      <c r="D65">
        <v>-71</v>
      </c>
      <c r="E65">
        <v>5491</v>
      </c>
      <c r="F65">
        <v>5509</v>
      </c>
      <c r="G65">
        <v>19</v>
      </c>
      <c r="H65">
        <v>19</v>
      </c>
      <c r="I65">
        <v>5</v>
      </c>
      <c r="J65">
        <v>2</v>
      </c>
      <c r="K65">
        <v>12</v>
      </c>
      <c r="L65">
        <v>11</v>
      </c>
      <c r="M65">
        <v>2</v>
      </c>
      <c r="N65">
        <v>0</v>
      </c>
      <c r="O65">
        <v>2</v>
      </c>
      <c r="P65">
        <v>0</v>
      </c>
      <c r="Q65">
        <v>5</v>
      </c>
      <c r="R65">
        <v>2</v>
      </c>
      <c r="S65">
        <v>8</v>
      </c>
      <c r="T65">
        <v>0</v>
      </c>
      <c r="U65">
        <v>0</v>
      </c>
      <c r="V65">
        <v>0</v>
      </c>
      <c r="W65">
        <v>8</v>
      </c>
      <c r="X65">
        <v>3</v>
      </c>
      <c r="Y65">
        <v>5</v>
      </c>
      <c r="Z65">
        <v>162465546</v>
      </c>
      <c r="AA65">
        <v>83913493.579999998</v>
      </c>
      <c r="AB65">
        <v>57486907</v>
      </c>
      <c r="AC65">
        <v>23893727</v>
      </c>
      <c r="AD65">
        <v>3224334</v>
      </c>
      <c r="AE65">
        <v>0</v>
      </c>
      <c r="AF65">
        <v>6111393</v>
      </c>
    </row>
    <row r="66" spans="1:32" x14ac:dyDescent="0.35">
      <c r="A66">
        <v>45924</v>
      </c>
      <c r="B66">
        <v>45930</v>
      </c>
      <c r="C66">
        <v>198</v>
      </c>
      <c r="D66">
        <v>-231</v>
      </c>
      <c r="E66">
        <v>5510</v>
      </c>
      <c r="F66">
        <v>5525</v>
      </c>
      <c r="G66">
        <v>16</v>
      </c>
      <c r="H66">
        <v>16</v>
      </c>
      <c r="I66">
        <v>1</v>
      </c>
      <c r="J66">
        <v>1</v>
      </c>
      <c r="K66">
        <v>14</v>
      </c>
      <c r="L66">
        <v>12</v>
      </c>
      <c r="M66">
        <v>2</v>
      </c>
      <c r="N66">
        <v>0</v>
      </c>
      <c r="O66">
        <v>2</v>
      </c>
      <c r="P66">
        <v>0</v>
      </c>
      <c r="Q66">
        <v>8</v>
      </c>
      <c r="R66">
        <v>0</v>
      </c>
      <c r="S66">
        <v>4</v>
      </c>
      <c r="T66">
        <v>2</v>
      </c>
      <c r="U66">
        <v>2</v>
      </c>
      <c r="V66">
        <v>0</v>
      </c>
      <c r="W66">
        <v>2</v>
      </c>
      <c r="X66">
        <v>1</v>
      </c>
      <c r="Y66">
        <v>1</v>
      </c>
      <c r="Z66">
        <v>1409052277</v>
      </c>
      <c r="AA66">
        <v>231454126</v>
      </c>
      <c r="AB66">
        <v>234096164</v>
      </c>
      <c r="AC66">
        <v>9718221</v>
      </c>
      <c r="AD66">
        <v>749015</v>
      </c>
      <c r="AE66">
        <v>909160</v>
      </c>
      <c r="AF66">
        <v>699259</v>
      </c>
    </row>
    <row r="67" spans="1:32" x14ac:dyDescent="0.35">
      <c r="A67">
        <v>45931</v>
      </c>
      <c r="B67">
        <v>45937</v>
      </c>
      <c r="C67">
        <v>682</v>
      </c>
      <c r="D67">
        <v>484</v>
      </c>
      <c r="E67">
        <v>5526</v>
      </c>
      <c r="F67">
        <v>5535</v>
      </c>
      <c r="G67">
        <v>10</v>
      </c>
      <c r="H67">
        <v>10</v>
      </c>
      <c r="I67">
        <v>7</v>
      </c>
      <c r="J67">
        <v>1</v>
      </c>
      <c r="K67">
        <v>2</v>
      </c>
      <c r="L67">
        <v>5</v>
      </c>
      <c r="M67">
        <v>1</v>
      </c>
      <c r="N67">
        <v>0</v>
      </c>
      <c r="O67">
        <v>2</v>
      </c>
      <c r="P67">
        <v>0</v>
      </c>
      <c r="Q67">
        <v>2</v>
      </c>
      <c r="R67">
        <v>0</v>
      </c>
      <c r="S67">
        <v>5</v>
      </c>
      <c r="T67">
        <v>2</v>
      </c>
      <c r="U67">
        <v>2</v>
      </c>
      <c r="V67">
        <v>0</v>
      </c>
      <c r="W67">
        <v>3</v>
      </c>
      <c r="X67">
        <v>2</v>
      </c>
      <c r="Y67">
        <v>1</v>
      </c>
      <c r="Z67">
        <v>2738539964</v>
      </c>
      <c r="AA67">
        <v>9200304</v>
      </c>
      <c r="AB67">
        <v>8211500</v>
      </c>
      <c r="AC67">
        <v>3011890</v>
      </c>
      <c r="AD67">
        <v>3106043</v>
      </c>
      <c r="AE67">
        <v>716115</v>
      </c>
      <c r="AF67">
        <v>521487</v>
      </c>
    </row>
    <row r="68" spans="1:32" x14ac:dyDescent="0.35">
      <c r="A68">
        <v>45938</v>
      </c>
      <c r="B68">
        <v>45944</v>
      </c>
      <c r="C68">
        <v>411</v>
      </c>
      <c r="D68">
        <v>-271</v>
      </c>
      <c r="E68">
        <v>5536</v>
      </c>
      <c r="F68">
        <v>5553</v>
      </c>
      <c r="G68">
        <v>18</v>
      </c>
      <c r="H68">
        <v>18</v>
      </c>
      <c r="I68">
        <v>10</v>
      </c>
      <c r="J68">
        <v>1</v>
      </c>
      <c r="K68">
        <v>7</v>
      </c>
      <c r="L68">
        <v>14</v>
      </c>
      <c r="M68">
        <v>7</v>
      </c>
      <c r="N68">
        <v>0</v>
      </c>
      <c r="O68">
        <v>4</v>
      </c>
      <c r="P68">
        <v>0</v>
      </c>
      <c r="Q68">
        <v>3</v>
      </c>
      <c r="R68">
        <v>0</v>
      </c>
      <c r="S68">
        <v>4</v>
      </c>
      <c r="T68">
        <v>0</v>
      </c>
      <c r="U68">
        <v>0</v>
      </c>
      <c r="V68">
        <v>0</v>
      </c>
      <c r="W68">
        <v>4</v>
      </c>
      <c r="X68">
        <v>3</v>
      </c>
      <c r="Y68">
        <v>1</v>
      </c>
      <c r="Z68">
        <v>1515414622</v>
      </c>
      <c r="AA68">
        <v>96693237</v>
      </c>
      <c r="AB68">
        <v>96144958</v>
      </c>
      <c r="AC68">
        <v>37193215</v>
      </c>
      <c r="AD68">
        <v>16951569</v>
      </c>
      <c r="AE68">
        <v>0</v>
      </c>
      <c r="AF68">
        <v>3228674</v>
      </c>
    </row>
    <row r="69" spans="1:32" x14ac:dyDescent="0.35">
      <c r="A69">
        <v>45945</v>
      </c>
      <c r="B69">
        <v>45951</v>
      </c>
      <c r="C69">
        <v>422</v>
      </c>
      <c r="D69">
        <v>11</v>
      </c>
      <c r="E69">
        <v>5554</v>
      </c>
      <c r="F69">
        <v>5572</v>
      </c>
      <c r="G69">
        <v>19</v>
      </c>
      <c r="H69">
        <v>19</v>
      </c>
      <c r="I69">
        <v>10</v>
      </c>
      <c r="J69">
        <v>0</v>
      </c>
      <c r="K69">
        <v>9</v>
      </c>
      <c r="L69">
        <v>16</v>
      </c>
      <c r="M69">
        <v>2</v>
      </c>
      <c r="N69">
        <v>1</v>
      </c>
      <c r="O69">
        <v>5</v>
      </c>
      <c r="P69">
        <v>1</v>
      </c>
      <c r="Q69">
        <v>7</v>
      </c>
      <c r="R69">
        <v>0</v>
      </c>
      <c r="S69">
        <v>3</v>
      </c>
      <c r="T69">
        <v>2</v>
      </c>
      <c r="U69">
        <v>2</v>
      </c>
      <c r="V69">
        <v>0</v>
      </c>
      <c r="W69">
        <v>1</v>
      </c>
      <c r="X69">
        <v>0</v>
      </c>
      <c r="Y69">
        <v>1</v>
      </c>
      <c r="Z69">
        <v>1705879680</v>
      </c>
      <c r="AA69">
        <v>201734720</v>
      </c>
    </row>
    <row r="70" spans="1:32" x14ac:dyDescent="0.35">
      <c r="A70">
        <v>45952</v>
      </c>
      <c r="B70">
        <v>45958</v>
      </c>
      <c r="C70">
        <v>301</v>
      </c>
      <c r="D70">
        <v>-121</v>
      </c>
      <c r="E70">
        <v>5573</v>
      </c>
      <c r="F70">
        <v>5589</v>
      </c>
      <c r="G70">
        <v>17</v>
      </c>
      <c r="H70">
        <v>17</v>
      </c>
      <c r="I70">
        <v>6</v>
      </c>
      <c r="J70">
        <v>0</v>
      </c>
      <c r="K70">
        <v>11</v>
      </c>
      <c r="L70">
        <v>14</v>
      </c>
      <c r="M70">
        <v>0</v>
      </c>
      <c r="N70">
        <v>1</v>
      </c>
      <c r="O70">
        <v>3</v>
      </c>
      <c r="P70">
        <v>1</v>
      </c>
      <c r="Q70">
        <v>8</v>
      </c>
      <c r="R70">
        <v>1</v>
      </c>
      <c r="S70">
        <v>3</v>
      </c>
      <c r="T70">
        <v>1</v>
      </c>
      <c r="U70">
        <v>1</v>
      </c>
      <c r="V70">
        <v>0</v>
      </c>
      <c r="W70">
        <v>2</v>
      </c>
      <c r="X70">
        <v>2</v>
      </c>
      <c r="Y70">
        <v>0</v>
      </c>
      <c r="Z70">
        <v>1511697927</v>
      </c>
      <c r="AA70">
        <v>42156198</v>
      </c>
      <c r="AB70">
        <v>56167889</v>
      </c>
      <c r="AC70">
        <v>0</v>
      </c>
      <c r="AD70">
        <v>13201094</v>
      </c>
      <c r="AE70">
        <v>192780</v>
      </c>
      <c r="AF70">
        <v>397834</v>
      </c>
    </row>
    <row r="71" spans="1:32" x14ac:dyDescent="0.35">
      <c r="A71">
        <v>45959</v>
      </c>
      <c r="B71">
        <v>45965</v>
      </c>
      <c r="C71">
        <v>173</v>
      </c>
      <c r="D71">
        <v>-128</v>
      </c>
      <c r="E71">
        <v>5590</v>
      </c>
      <c r="F71">
        <v>5603</v>
      </c>
      <c r="G71">
        <v>14</v>
      </c>
      <c r="H71">
        <v>14</v>
      </c>
      <c r="I71">
        <v>9</v>
      </c>
      <c r="J71">
        <v>0</v>
      </c>
      <c r="K71">
        <v>5</v>
      </c>
      <c r="L71">
        <v>13</v>
      </c>
      <c r="M71">
        <v>0</v>
      </c>
      <c r="N71">
        <v>0</v>
      </c>
      <c r="O71">
        <v>3</v>
      </c>
      <c r="P71">
        <v>0</v>
      </c>
      <c r="Q71">
        <v>10</v>
      </c>
      <c r="R71">
        <v>0</v>
      </c>
      <c r="S71">
        <v>1</v>
      </c>
      <c r="T71">
        <v>0</v>
      </c>
      <c r="U71">
        <v>0</v>
      </c>
      <c r="V71">
        <v>0</v>
      </c>
      <c r="W71">
        <v>1</v>
      </c>
      <c r="X71">
        <v>1</v>
      </c>
      <c r="Y71">
        <v>0</v>
      </c>
      <c r="Z71">
        <v>1053657954</v>
      </c>
      <c r="AA71">
        <v>52257540</v>
      </c>
      <c r="AB71">
        <v>46049081</v>
      </c>
      <c r="AC71">
        <v>0</v>
      </c>
      <c r="AD71">
        <v>10641210</v>
      </c>
      <c r="AE71">
        <v>0</v>
      </c>
      <c r="AF71">
        <v>347843</v>
      </c>
    </row>
    <row r="72" spans="1:32" x14ac:dyDescent="0.35">
      <c r="A72">
        <v>45966</v>
      </c>
      <c r="B72">
        <v>45972</v>
      </c>
      <c r="C72">
        <v>768</v>
      </c>
      <c r="D72">
        <v>595</v>
      </c>
      <c r="E72">
        <v>5604</v>
      </c>
      <c r="F72">
        <v>5623</v>
      </c>
      <c r="G72">
        <v>20</v>
      </c>
      <c r="H72">
        <v>20</v>
      </c>
      <c r="I72">
        <v>15</v>
      </c>
      <c r="J72">
        <v>1</v>
      </c>
      <c r="K72">
        <v>4</v>
      </c>
      <c r="L72">
        <v>14</v>
      </c>
      <c r="M72">
        <v>2</v>
      </c>
      <c r="N72">
        <v>2</v>
      </c>
      <c r="O72">
        <v>2</v>
      </c>
      <c r="P72">
        <v>0</v>
      </c>
      <c r="Q72">
        <v>8</v>
      </c>
      <c r="R72">
        <v>0</v>
      </c>
      <c r="S72">
        <v>6</v>
      </c>
      <c r="T72">
        <v>3</v>
      </c>
      <c r="U72">
        <v>3</v>
      </c>
      <c r="V72">
        <v>0</v>
      </c>
      <c r="W72">
        <v>3</v>
      </c>
      <c r="X72">
        <v>1</v>
      </c>
      <c r="Y72">
        <v>2</v>
      </c>
      <c r="Z72">
        <v>3946343337</v>
      </c>
      <c r="AA72">
        <v>363907588</v>
      </c>
      <c r="AB72">
        <v>360297567</v>
      </c>
      <c r="AC72">
        <v>4321992</v>
      </c>
      <c r="AD72">
        <v>333660720</v>
      </c>
      <c r="AE72">
        <v>3247775</v>
      </c>
      <c r="AF72">
        <v>618086</v>
      </c>
    </row>
    <row r="73" spans="1:32" x14ac:dyDescent="0.35">
      <c r="A73">
        <v>45973</v>
      </c>
      <c r="B73">
        <v>45979</v>
      </c>
      <c r="C73">
        <v>354</v>
      </c>
      <c r="D73">
        <v>-414</v>
      </c>
      <c r="E73">
        <v>5624</v>
      </c>
      <c r="F73">
        <v>5643</v>
      </c>
      <c r="G73">
        <v>20</v>
      </c>
      <c r="H73">
        <v>20</v>
      </c>
      <c r="I73">
        <v>9</v>
      </c>
      <c r="J73">
        <v>0</v>
      </c>
      <c r="K73">
        <v>11</v>
      </c>
      <c r="L73">
        <v>11</v>
      </c>
      <c r="M73">
        <v>3</v>
      </c>
      <c r="N73">
        <v>2</v>
      </c>
      <c r="O73">
        <v>0</v>
      </c>
      <c r="P73">
        <v>1</v>
      </c>
      <c r="Q73">
        <v>5</v>
      </c>
      <c r="R73">
        <v>0</v>
      </c>
      <c r="S73">
        <v>9</v>
      </c>
      <c r="T73">
        <v>3</v>
      </c>
      <c r="U73">
        <v>3</v>
      </c>
      <c r="V73">
        <v>0</v>
      </c>
      <c r="W73">
        <v>6</v>
      </c>
      <c r="X73">
        <v>6</v>
      </c>
      <c r="Y73">
        <v>0</v>
      </c>
      <c r="Z73">
        <v>1265196697</v>
      </c>
      <c r="AA73">
        <v>99981150</v>
      </c>
      <c r="AB73">
        <v>92566355</v>
      </c>
      <c r="AC73">
        <v>38489122</v>
      </c>
      <c r="AD73">
        <v>0</v>
      </c>
      <c r="AE73">
        <v>2740094</v>
      </c>
      <c r="AF73">
        <v>2306004</v>
      </c>
    </row>
    <row r="74" spans="1:32" x14ac:dyDescent="0.35">
      <c r="A74">
        <v>45980</v>
      </c>
      <c r="B74">
        <v>45986</v>
      </c>
      <c r="C74">
        <v>430</v>
      </c>
      <c r="D74">
        <v>76</v>
      </c>
      <c r="E74">
        <v>5644</v>
      </c>
      <c r="F74">
        <v>5671</v>
      </c>
      <c r="G74">
        <v>28</v>
      </c>
      <c r="H74">
        <v>28</v>
      </c>
      <c r="I74">
        <v>9</v>
      </c>
      <c r="J74">
        <v>0</v>
      </c>
      <c r="K74">
        <v>19</v>
      </c>
      <c r="L74">
        <v>18</v>
      </c>
      <c r="M74">
        <v>1</v>
      </c>
      <c r="N74">
        <v>3</v>
      </c>
      <c r="O74">
        <v>7</v>
      </c>
      <c r="P74">
        <v>0</v>
      </c>
      <c r="Q74">
        <v>6</v>
      </c>
      <c r="R74">
        <v>1</v>
      </c>
      <c r="S74">
        <v>10</v>
      </c>
      <c r="T74">
        <v>0</v>
      </c>
      <c r="U74">
        <v>0</v>
      </c>
      <c r="V74">
        <v>0</v>
      </c>
      <c r="W74">
        <v>10</v>
      </c>
      <c r="X74">
        <v>4</v>
      </c>
      <c r="Y74">
        <v>6</v>
      </c>
      <c r="Z74">
        <v>3658030391</v>
      </c>
      <c r="AA74">
        <v>118505888</v>
      </c>
      <c r="AB74">
        <v>115158019</v>
      </c>
      <c r="AC74">
        <v>4599350</v>
      </c>
      <c r="AD74">
        <v>55814950</v>
      </c>
      <c r="AF74">
        <v>1019937</v>
      </c>
    </row>
    <row r="75" spans="1:32" x14ac:dyDescent="0.35">
      <c r="A75">
        <v>45987</v>
      </c>
      <c r="B75">
        <v>45993</v>
      </c>
      <c r="C75">
        <v>395</v>
      </c>
      <c r="D75">
        <v>-35</v>
      </c>
      <c r="E75">
        <v>5672</v>
      </c>
      <c r="F75">
        <v>5701</v>
      </c>
      <c r="G75">
        <v>30</v>
      </c>
      <c r="H75">
        <v>30</v>
      </c>
      <c r="I75">
        <v>7</v>
      </c>
      <c r="J75">
        <v>1</v>
      </c>
      <c r="K75">
        <v>22</v>
      </c>
      <c r="L75">
        <v>21</v>
      </c>
      <c r="M75">
        <v>0</v>
      </c>
      <c r="N75">
        <v>5</v>
      </c>
      <c r="O75">
        <v>10</v>
      </c>
      <c r="P75">
        <v>0</v>
      </c>
      <c r="Q75">
        <v>5</v>
      </c>
      <c r="R75">
        <v>1</v>
      </c>
      <c r="S75">
        <v>9</v>
      </c>
      <c r="T75">
        <v>4</v>
      </c>
      <c r="U75">
        <v>4</v>
      </c>
      <c r="V75">
        <v>0</v>
      </c>
      <c r="W75">
        <v>5</v>
      </c>
      <c r="X75">
        <v>5</v>
      </c>
      <c r="Y75">
        <v>0</v>
      </c>
      <c r="Z75">
        <v>2654648059</v>
      </c>
      <c r="AA75">
        <v>1245229425</v>
      </c>
      <c r="AB75">
        <v>38097430</v>
      </c>
      <c r="AC75">
        <v>0</v>
      </c>
      <c r="AD75">
        <v>39153202</v>
      </c>
      <c r="AE75">
        <v>12841766</v>
      </c>
      <c r="AF75">
        <v>442561</v>
      </c>
    </row>
    <row r="76" spans="1:32" x14ac:dyDescent="0.35">
      <c r="A76">
        <v>45994</v>
      </c>
      <c r="B76">
        <v>46000</v>
      </c>
      <c r="C76">
        <v>480</v>
      </c>
      <c r="D76">
        <v>85</v>
      </c>
      <c r="E76">
        <v>5702</v>
      </c>
      <c r="F76">
        <v>5726</v>
      </c>
      <c r="G76">
        <v>25</v>
      </c>
      <c r="H76">
        <v>25</v>
      </c>
      <c r="I76">
        <v>13</v>
      </c>
      <c r="J76">
        <v>1</v>
      </c>
      <c r="K76">
        <v>11</v>
      </c>
      <c r="L76">
        <v>18</v>
      </c>
      <c r="M76">
        <v>1</v>
      </c>
      <c r="N76">
        <v>2</v>
      </c>
      <c r="O76">
        <v>4</v>
      </c>
      <c r="P76">
        <v>0</v>
      </c>
      <c r="Q76">
        <v>10</v>
      </c>
      <c r="R76">
        <v>1</v>
      </c>
      <c r="S76">
        <v>7</v>
      </c>
      <c r="T76">
        <v>2</v>
      </c>
      <c r="U76">
        <v>1</v>
      </c>
      <c r="V76">
        <v>1</v>
      </c>
      <c r="W76">
        <v>5</v>
      </c>
      <c r="X76">
        <v>1</v>
      </c>
      <c r="Y76">
        <v>4</v>
      </c>
    </row>
    <row r="77" spans="1:32" x14ac:dyDescent="0.35">
      <c r="A77">
        <v>46001</v>
      </c>
      <c r="B77">
        <v>46007</v>
      </c>
      <c r="C77">
        <v>534</v>
      </c>
      <c r="D77">
        <v>54</v>
      </c>
      <c r="E77">
        <v>5727</v>
      </c>
      <c r="F77">
        <v>5754</v>
      </c>
      <c r="G77">
        <v>28</v>
      </c>
      <c r="H77">
        <v>28</v>
      </c>
      <c r="I77">
        <v>9</v>
      </c>
      <c r="J77">
        <v>2</v>
      </c>
      <c r="K77">
        <v>17</v>
      </c>
      <c r="L77">
        <v>23</v>
      </c>
      <c r="M77">
        <v>1</v>
      </c>
      <c r="N77">
        <v>2</v>
      </c>
      <c r="O77">
        <v>6</v>
      </c>
      <c r="P77">
        <v>0</v>
      </c>
      <c r="Q77">
        <v>13</v>
      </c>
      <c r="R77">
        <v>1</v>
      </c>
      <c r="S77">
        <v>5</v>
      </c>
      <c r="T77">
        <v>1</v>
      </c>
      <c r="U77">
        <v>1</v>
      </c>
      <c r="V77">
        <v>0</v>
      </c>
      <c r="W77">
        <v>4</v>
      </c>
      <c r="X77">
        <v>2</v>
      </c>
      <c r="Y77">
        <v>2</v>
      </c>
      <c r="Z77">
        <v>4053403573.6300001</v>
      </c>
      <c r="AA77">
        <v>48957834.909999996</v>
      </c>
      <c r="AB77">
        <v>46904606</v>
      </c>
      <c r="AC77">
        <v>4105024</v>
      </c>
      <c r="AD77">
        <v>12023610</v>
      </c>
      <c r="AE77">
        <v>523600</v>
      </c>
      <c r="AF77">
        <v>1828101</v>
      </c>
    </row>
    <row r="78" spans="1:32" x14ac:dyDescent="0.35">
      <c r="A78">
        <v>46008</v>
      </c>
      <c r="B78">
        <v>46014</v>
      </c>
      <c r="C78">
        <v>316</v>
      </c>
      <c r="D78">
        <v>-218</v>
      </c>
      <c r="E78">
        <v>5755</v>
      </c>
      <c r="F78">
        <v>5782</v>
      </c>
      <c r="G78">
        <v>28</v>
      </c>
      <c r="H78">
        <v>28</v>
      </c>
      <c r="I78">
        <v>12</v>
      </c>
      <c r="J78">
        <v>1</v>
      </c>
      <c r="K78">
        <v>15</v>
      </c>
      <c r="L78">
        <v>18</v>
      </c>
      <c r="M78">
        <v>0</v>
      </c>
      <c r="N78">
        <v>0</v>
      </c>
      <c r="O78">
        <v>2</v>
      </c>
      <c r="P78">
        <v>1</v>
      </c>
      <c r="Q78">
        <v>12</v>
      </c>
      <c r="R78">
        <v>3</v>
      </c>
      <c r="S78">
        <v>10</v>
      </c>
      <c r="T78">
        <v>2</v>
      </c>
      <c r="U78">
        <v>2</v>
      </c>
      <c r="V78">
        <v>0</v>
      </c>
      <c r="W78">
        <v>8</v>
      </c>
      <c r="X78">
        <v>7</v>
      </c>
      <c r="Y78">
        <v>1</v>
      </c>
      <c r="Z78">
        <v>2328826554</v>
      </c>
      <c r="AA78">
        <v>139460830</v>
      </c>
      <c r="AB78">
        <v>129678044</v>
      </c>
      <c r="AC78">
        <v>0</v>
      </c>
      <c r="AD78">
        <v>11227897</v>
      </c>
      <c r="AE78">
        <v>634952</v>
      </c>
      <c r="AF78">
        <v>571018</v>
      </c>
    </row>
    <row r="79" spans="1:32" x14ac:dyDescent="0.35">
      <c r="A79">
        <v>46015</v>
      </c>
      <c r="B79">
        <v>46021</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AA79">
        <v>0</v>
      </c>
      <c r="AB79">
        <v>0</v>
      </c>
      <c r="AC79">
        <v>0</v>
      </c>
      <c r="AD79">
        <v>0</v>
      </c>
      <c r="AE79">
        <v>0</v>
      </c>
      <c r="AF79">
        <v>0</v>
      </c>
    </row>
    <row r="80" spans="1:32" x14ac:dyDescent="0.35">
      <c r="A80">
        <v>46022</v>
      </c>
      <c r="B80">
        <v>46028</v>
      </c>
      <c r="C80">
        <v>136</v>
      </c>
      <c r="D80">
        <v>0</v>
      </c>
      <c r="E80">
        <v>5783</v>
      </c>
      <c r="F80">
        <v>5784</v>
      </c>
      <c r="G80">
        <v>2</v>
      </c>
      <c r="H80">
        <v>2</v>
      </c>
      <c r="I80">
        <v>2</v>
      </c>
      <c r="J80">
        <v>2</v>
      </c>
      <c r="K80">
        <v>0</v>
      </c>
      <c r="L80">
        <v>2</v>
      </c>
      <c r="M80">
        <v>1</v>
      </c>
      <c r="N80">
        <v>0</v>
      </c>
      <c r="O80">
        <v>1</v>
      </c>
      <c r="P80">
        <v>0</v>
      </c>
      <c r="Q80">
        <v>0</v>
      </c>
      <c r="R80">
        <v>0</v>
      </c>
      <c r="S80">
        <v>0</v>
      </c>
      <c r="T80">
        <v>0</v>
      </c>
      <c r="U80">
        <v>0</v>
      </c>
      <c r="V80">
        <v>0</v>
      </c>
      <c r="W80">
        <v>0</v>
      </c>
      <c r="X80">
        <v>0</v>
      </c>
      <c r="Y80">
        <v>0</v>
      </c>
      <c r="Z80">
        <v>607264558</v>
      </c>
      <c r="AA80">
        <v>33067042</v>
      </c>
      <c r="AB80">
        <v>33067042</v>
      </c>
      <c r="AC80">
        <v>30568720</v>
      </c>
      <c r="AD80">
        <v>2498562</v>
      </c>
      <c r="AE80">
        <v>0</v>
      </c>
      <c r="AF80">
        <v>0</v>
      </c>
    </row>
    <row r="81" spans="1:32" x14ac:dyDescent="0.35">
      <c r="A81">
        <v>46029</v>
      </c>
      <c r="B81">
        <v>46035</v>
      </c>
      <c r="C81">
        <v>220</v>
      </c>
      <c r="D81">
        <v>84</v>
      </c>
      <c r="E81">
        <v>5785</v>
      </c>
      <c r="F81">
        <v>5789</v>
      </c>
      <c r="G81">
        <v>5</v>
      </c>
      <c r="H81">
        <v>5</v>
      </c>
      <c r="I81">
        <v>4</v>
      </c>
      <c r="J81">
        <v>1</v>
      </c>
      <c r="K81">
        <v>0</v>
      </c>
      <c r="L81">
        <v>4</v>
      </c>
      <c r="M81">
        <v>1</v>
      </c>
      <c r="N81">
        <v>0</v>
      </c>
      <c r="O81">
        <v>3</v>
      </c>
      <c r="P81">
        <v>0</v>
      </c>
      <c r="Q81">
        <v>0</v>
      </c>
      <c r="R81">
        <v>0</v>
      </c>
      <c r="S81">
        <v>1</v>
      </c>
      <c r="T81">
        <v>0</v>
      </c>
      <c r="U81">
        <v>0</v>
      </c>
      <c r="V81">
        <v>0</v>
      </c>
      <c r="W81">
        <v>1</v>
      </c>
      <c r="X81">
        <v>1</v>
      </c>
      <c r="Y81">
        <v>0</v>
      </c>
      <c r="Z81">
        <v>1045204970</v>
      </c>
      <c r="AA81">
        <v>12454666</v>
      </c>
      <c r="AB81">
        <v>11943918</v>
      </c>
      <c r="AC81">
        <v>10300447</v>
      </c>
      <c r="AD81">
        <v>1985001</v>
      </c>
      <c r="AE81">
        <v>0</v>
      </c>
      <c r="AF81">
        <v>169218</v>
      </c>
    </row>
    <row r="82" spans="1:32" x14ac:dyDescent="0.35">
      <c r="A82">
        <v>46036</v>
      </c>
      <c r="B82">
        <v>46042</v>
      </c>
      <c r="C82">
        <v>390</v>
      </c>
      <c r="D82">
        <v>170</v>
      </c>
      <c r="E82">
        <v>5790</v>
      </c>
      <c r="F82">
        <v>5803</v>
      </c>
      <c r="G82">
        <v>14</v>
      </c>
      <c r="H82">
        <v>14</v>
      </c>
      <c r="I82">
        <v>10</v>
      </c>
      <c r="J82">
        <v>0</v>
      </c>
      <c r="K82">
        <v>4</v>
      </c>
      <c r="L82">
        <v>10</v>
      </c>
      <c r="M82">
        <v>0</v>
      </c>
      <c r="N82">
        <v>0</v>
      </c>
      <c r="O82">
        <v>2</v>
      </c>
      <c r="P82">
        <v>0</v>
      </c>
      <c r="Q82">
        <v>8</v>
      </c>
      <c r="R82">
        <v>0</v>
      </c>
      <c r="S82">
        <v>4</v>
      </c>
      <c r="T82">
        <v>3</v>
      </c>
      <c r="U82">
        <v>3</v>
      </c>
      <c r="V82">
        <v>0</v>
      </c>
      <c r="W82">
        <v>1</v>
      </c>
      <c r="X82">
        <v>1</v>
      </c>
      <c r="Y82">
        <v>0</v>
      </c>
      <c r="Z82">
        <v>2440994474</v>
      </c>
      <c r="AA82">
        <v>185315347</v>
      </c>
      <c r="AB82">
        <v>180656991</v>
      </c>
      <c r="AC82">
        <v>0</v>
      </c>
      <c r="AD82">
        <v>4282047</v>
      </c>
      <c r="AE82">
        <v>4467139</v>
      </c>
      <c r="AF82">
        <v>191216</v>
      </c>
    </row>
    <row r="83" spans="1:32" x14ac:dyDescent="0.35">
      <c r="A83">
        <v>46043</v>
      </c>
      <c r="B83">
        <v>46049</v>
      </c>
      <c r="C83">
        <v>258</v>
      </c>
      <c r="D83">
        <v>-132</v>
      </c>
      <c r="E83">
        <v>5804</v>
      </c>
      <c r="F83">
        <v>5826</v>
      </c>
      <c r="G83">
        <v>23</v>
      </c>
      <c r="H83">
        <v>23</v>
      </c>
      <c r="I83">
        <v>6</v>
      </c>
      <c r="J83">
        <v>1</v>
      </c>
      <c r="K83">
        <v>16</v>
      </c>
      <c r="L83">
        <v>19</v>
      </c>
      <c r="M83">
        <v>3</v>
      </c>
      <c r="N83">
        <v>2</v>
      </c>
      <c r="O83">
        <v>6</v>
      </c>
      <c r="P83">
        <v>1</v>
      </c>
      <c r="Q83">
        <v>7</v>
      </c>
      <c r="R83">
        <v>0</v>
      </c>
      <c r="S83">
        <v>4</v>
      </c>
      <c r="T83">
        <v>1</v>
      </c>
      <c r="U83">
        <v>1</v>
      </c>
      <c r="V83">
        <v>0</v>
      </c>
      <c r="W83">
        <v>3</v>
      </c>
      <c r="X83">
        <v>2</v>
      </c>
      <c r="Y83">
        <v>1</v>
      </c>
      <c r="Z83">
        <v>781400824</v>
      </c>
      <c r="AA83">
        <v>84897910</v>
      </c>
      <c r="AB83">
        <v>74522082</v>
      </c>
      <c r="AC83">
        <v>10459490</v>
      </c>
      <c r="AD83">
        <v>23963604</v>
      </c>
      <c r="AE83">
        <v>9316034</v>
      </c>
      <c r="AF83">
        <v>1030449</v>
      </c>
    </row>
    <row r="84" spans="1:32" x14ac:dyDescent="0.35">
      <c r="A84">
        <v>46050</v>
      </c>
      <c r="B84">
        <v>46056</v>
      </c>
      <c r="C84">
        <v>449</v>
      </c>
      <c r="D84">
        <v>191</v>
      </c>
      <c r="E84">
        <v>5827</v>
      </c>
      <c r="F84">
        <v>5851</v>
      </c>
      <c r="G84">
        <v>25</v>
      </c>
      <c r="H84">
        <v>25</v>
      </c>
      <c r="I84">
        <v>12</v>
      </c>
      <c r="J84">
        <v>1</v>
      </c>
      <c r="K84">
        <v>12</v>
      </c>
      <c r="L84">
        <v>21</v>
      </c>
      <c r="M84">
        <v>3</v>
      </c>
      <c r="N84">
        <v>4</v>
      </c>
      <c r="O84">
        <v>7</v>
      </c>
      <c r="P84">
        <v>0</v>
      </c>
      <c r="Q84">
        <v>6</v>
      </c>
      <c r="R84">
        <v>1</v>
      </c>
      <c r="S84">
        <v>4</v>
      </c>
      <c r="T84">
        <v>3</v>
      </c>
      <c r="U84">
        <v>3</v>
      </c>
      <c r="V84">
        <v>0</v>
      </c>
      <c r="W84">
        <v>1</v>
      </c>
      <c r="X84">
        <v>1</v>
      </c>
      <c r="Y84">
        <v>0</v>
      </c>
      <c r="Z84">
        <v>2681015648</v>
      </c>
      <c r="AA84">
        <v>94927807</v>
      </c>
      <c r="AB84">
        <v>80944146</v>
      </c>
      <c r="AC84">
        <v>5179602</v>
      </c>
      <c r="AD84">
        <v>20910127</v>
      </c>
      <c r="AE84">
        <v>8267406</v>
      </c>
      <c r="AF84">
        <v>41888</v>
      </c>
    </row>
    <row r="85" spans="1:32" x14ac:dyDescent="0.35">
      <c r="A85">
        <v>46057</v>
      </c>
      <c r="B85">
        <v>46063</v>
      </c>
      <c r="C85">
        <v>524</v>
      </c>
      <c r="D85">
        <v>75</v>
      </c>
      <c r="E85">
        <v>5852</v>
      </c>
      <c r="F85">
        <v>5869</v>
      </c>
      <c r="G85">
        <v>18</v>
      </c>
      <c r="H85">
        <v>18</v>
      </c>
      <c r="I85">
        <v>13</v>
      </c>
      <c r="J85">
        <v>1</v>
      </c>
      <c r="K85">
        <v>4</v>
      </c>
      <c r="L85">
        <v>15</v>
      </c>
      <c r="M85">
        <v>1</v>
      </c>
      <c r="N85">
        <v>1</v>
      </c>
      <c r="O85">
        <v>5</v>
      </c>
      <c r="P85">
        <v>0</v>
      </c>
      <c r="Q85">
        <v>7</v>
      </c>
      <c r="R85">
        <v>1</v>
      </c>
      <c r="S85">
        <v>3</v>
      </c>
      <c r="T85">
        <v>1</v>
      </c>
      <c r="U85">
        <v>1</v>
      </c>
      <c r="V85">
        <v>0</v>
      </c>
      <c r="W85">
        <v>2</v>
      </c>
      <c r="X85">
        <v>1</v>
      </c>
      <c r="Y85">
        <v>1</v>
      </c>
      <c r="Z85">
        <v>2837218806</v>
      </c>
      <c r="AA85">
        <v>158947071</v>
      </c>
      <c r="AB85">
        <v>144354352</v>
      </c>
      <c r="AC85">
        <v>119346554</v>
      </c>
      <c r="AD85">
        <v>19876000</v>
      </c>
      <c r="AE85">
        <v>12934336</v>
      </c>
      <c r="AF85">
        <v>990500</v>
      </c>
    </row>
    <row r="86" spans="1:32" x14ac:dyDescent="0.35">
      <c r="A86">
        <v>46064</v>
      </c>
      <c r="B86">
        <v>46070</v>
      </c>
      <c r="C86">
        <v>679</v>
      </c>
      <c r="D86">
        <v>155</v>
      </c>
      <c r="E86">
        <v>5870</v>
      </c>
      <c r="F86">
        <v>5882</v>
      </c>
      <c r="G86">
        <v>13</v>
      </c>
      <c r="H86">
        <v>13</v>
      </c>
      <c r="I86">
        <v>4</v>
      </c>
      <c r="J86">
        <v>0</v>
      </c>
      <c r="K86">
        <v>9</v>
      </c>
      <c r="L86">
        <v>7</v>
      </c>
      <c r="M86">
        <v>0</v>
      </c>
      <c r="N86">
        <v>0</v>
      </c>
      <c r="O86">
        <v>1</v>
      </c>
      <c r="P86">
        <v>0</v>
      </c>
      <c r="Q86">
        <v>6</v>
      </c>
      <c r="R86">
        <v>0</v>
      </c>
      <c r="S86">
        <v>6</v>
      </c>
      <c r="T86">
        <v>2</v>
      </c>
      <c r="U86">
        <v>2</v>
      </c>
      <c r="V86">
        <v>0</v>
      </c>
      <c r="W86">
        <v>4</v>
      </c>
      <c r="X86">
        <v>4</v>
      </c>
      <c r="Y86">
        <v>0</v>
      </c>
    </row>
    <row r="87" spans="1:32" x14ac:dyDescent="0.35">
      <c r="A87">
        <v>46071</v>
      </c>
      <c r="B87">
        <v>46077</v>
      </c>
      <c r="C87">
        <v>422</v>
      </c>
      <c r="D87">
        <v>-257</v>
      </c>
      <c r="E87">
        <v>5883</v>
      </c>
      <c r="F87">
        <v>5946</v>
      </c>
      <c r="G87">
        <v>64</v>
      </c>
      <c r="H87">
        <v>64</v>
      </c>
      <c r="I87">
        <v>15</v>
      </c>
      <c r="J87">
        <v>1</v>
      </c>
      <c r="K87">
        <v>48</v>
      </c>
      <c r="L87">
        <v>54</v>
      </c>
      <c r="M87">
        <v>3</v>
      </c>
      <c r="N87">
        <v>0</v>
      </c>
      <c r="O87">
        <v>27</v>
      </c>
      <c r="P87">
        <v>0</v>
      </c>
      <c r="Q87">
        <v>21</v>
      </c>
      <c r="R87">
        <v>3</v>
      </c>
      <c r="S87">
        <v>10</v>
      </c>
      <c r="T87">
        <v>3</v>
      </c>
      <c r="U87">
        <v>3</v>
      </c>
      <c r="V87">
        <v>0</v>
      </c>
      <c r="W87">
        <v>7</v>
      </c>
      <c r="X87">
        <v>3</v>
      </c>
      <c r="Y87">
        <v>4</v>
      </c>
      <c r="Z87">
        <v>3328696520</v>
      </c>
      <c r="AA87">
        <v>268471666</v>
      </c>
      <c r="AB87">
        <v>219260714</v>
      </c>
      <c r="AC87">
        <v>123649784</v>
      </c>
      <c r="AD87">
        <v>32016766</v>
      </c>
      <c r="AE87">
        <v>5997600</v>
      </c>
      <c r="AF87">
        <v>5552842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1B833-2F35-40E1-8B27-FB16AFF0F819}">
  <dimension ref="B2:I29"/>
  <sheetViews>
    <sheetView workbookViewId="0">
      <selection activeCell="I15" sqref="I15"/>
    </sheetView>
  </sheetViews>
  <sheetFormatPr baseColWidth="10" defaultColWidth="11.453125" defaultRowHeight="14.5" x14ac:dyDescent="0.35"/>
  <cols>
    <col min="8" max="8" width="14.7265625" customWidth="1"/>
    <col min="9" max="9" width="65.81640625" bestFit="1" customWidth="1"/>
  </cols>
  <sheetData>
    <row r="2" spans="2:9" x14ac:dyDescent="0.35">
      <c r="B2" t="s">
        <v>39</v>
      </c>
    </row>
    <row r="4" spans="2:9" x14ac:dyDescent="0.35">
      <c r="B4" t="s">
        <v>34</v>
      </c>
    </row>
    <row r="5" spans="2:9" ht="61.5" customHeight="1" x14ac:dyDescent="0.35">
      <c r="B5" s="31" t="s">
        <v>40</v>
      </c>
      <c r="C5" s="31" t="s">
        <v>41</v>
      </c>
      <c r="D5" s="31" t="s">
        <v>42</v>
      </c>
      <c r="E5" s="32" t="s">
        <v>43</v>
      </c>
      <c r="F5" s="32" t="s">
        <v>44</v>
      </c>
      <c r="G5" s="32" t="s">
        <v>45</v>
      </c>
      <c r="H5" s="32" t="s">
        <v>46</v>
      </c>
      <c r="I5" s="67" t="s">
        <v>47</v>
      </c>
    </row>
    <row r="6" spans="2:9" x14ac:dyDescent="0.35">
      <c r="B6" s="34">
        <v>45798</v>
      </c>
      <c r="C6" s="34">
        <v>45804</v>
      </c>
      <c r="D6" s="35">
        <v>13</v>
      </c>
      <c r="E6" s="35">
        <v>7</v>
      </c>
      <c r="F6" s="35">
        <f>D6-E6</f>
        <v>6</v>
      </c>
      <c r="G6" s="35">
        <v>0</v>
      </c>
      <c r="H6" s="63"/>
      <c r="I6" s="61" t="s">
        <v>48</v>
      </c>
    </row>
    <row r="7" spans="2:9" x14ac:dyDescent="0.35">
      <c r="B7" s="34">
        <f t="shared" ref="B7:B27" si="0">C6+1</f>
        <v>45805</v>
      </c>
      <c r="C7" s="34">
        <f t="shared" ref="C7:C27" si="1">B7+6</f>
        <v>45811</v>
      </c>
      <c r="D7" s="35">
        <v>15</v>
      </c>
      <c r="E7" s="35">
        <v>15</v>
      </c>
      <c r="F7" s="35">
        <v>0</v>
      </c>
      <c r="G7" s="35">
        <v>0</v>
      </c>
      <c r="H7" s="63"/>
      <c r="I7" s="36"/>
    </row>
    <row r="8" spans="2:9" x14ac:dyDescent="0.35">
      <c r="B8" s="34">
        <f t="shared" si="0"/>
        <v>45812</v>
      </c>
      <c r="C8" s="34">
        <f t="shared" si="1"/>
        <v>45818</v>
      </c>
      <c r="D8" s="35">
        <v>22</v>
      </c>
      <c r="E8" s="35">
        <v>22</v>
      </c>
      <c r="F8" s="35">
        <v>0</v>
      </c>
      <c r="G8" s="35">
        <v>0</v>
      </c>
      <c r="H8" s="63"/>
      <c r="I8" s="36"/>
    </row>
    <row r="9" spans="2:9" x14ac:dyDescent="0.35">
      <c r="B9" s="34">
        <f t="shared" si="0"/>
        <v>45819</v>
      </c>
      <c r="C9" s="34">
        <f t="shared" si="1"/>
        <v>45825</v>
      </c>
      <c r="D9" s="35">
        <v>4</v>
      </c>
      <c r="E9" s="35">
        <v>4</v>
      </c>
      <c r="F9" s="35">
        <v>0</v>
      </c>
      <c r="G9" s="35">
        <v>0</v>
      </c>
      <c r="H9" s="63"/>
      <c r="I9" s="36"/>
    </row>
    <row r="10" spans="2:9" x14ac:dyDescent="0.35">
      <c r="B10" s="34">
        <f t="shared" si="0"/>
        <v>45826</v>
      </c>
      <c r="C10" s="34">
        <f t="shared" si="1"/>
        <v>45832</v>
      </c>
      <c r="D10" s="35">
        <v>23</v>
      </c>
      <c r="E10" s="35">
        <v>23</v>
      </c>
      <c r="F10" s="35">
        <v>0</v>
      </c>
      <c r="G10" s="35">
        <v>0</v>
      </c>
      <c r="H10" s="63"/>
      <c r="I10" s="36"/>
    </row>
    <row r="11" spans="2:9" x14ac:dyDescent="0.35">
      <c r="B11" s="34">
        <f t="shared" si="0"/>
        <v>45833</v>
      </c>
      <c r="C11" s="34">
        <f t="shared" si="1"/>
        <v>45839</v>
      </c>
      <c r="D11" s="35">
        <v>10</v>
      </c>
      <c r="E11" s="35">
        <v>10</v>
      </c>
      <c r="F11" s="35">
        <v>0</v>
      </c>
      <c r="G11" s="35">
        <v>0</v>
      </c>
      <c r="H11" s="63"/>
      <c r="I11" s="36"/>
    </row>
    <row r="12" spans="2:9" x14ac:dyDescent="0.35">
      <c r="B12" s="34">
        <f t="shared" si="0"/>
        <v>45840</v>
      </c>
      <c r="C12" s="34">
        <f t="shared" si="1"/>
        <v>45846</v>
      </c>
      <c r="D12" s="35">
        <v>33</v>
      </c>
      <c r="E12" s="35">
        <v>28</v>
      </c>
      <c r="F12" s="35">
        <v>5</v>
      </c>
      <c r="G12" s="35">
        <v>5</v>
      </c>
      <c r="H12" s="63"/>
      <c r="I12" s="36"/>
    </row>
    <row r="13" spans="2:9" x14ac:dyDescent="0.35">
      <c r="B13" s="34">
        <f t="shared" si="0"/>
        <v>45847</v>
      </c>
      <c r="C13" s="34">
        <f t="shared" si="1"/>
        <v>45853</v>
      </c>
      <c r="D13" s="38">
        <v>15</v>
      </c>
      <c r="E13" s="38">
        <v>15</v>
      </c>
      <c r="F13" s="38">
        <v>0</v>
      </c>
      <c r="G13" s="38">
        <v>0</v>
      </c>
      <c r="H13" s="64">
        <v>4</v>
      </c>
      <c r="I13" s="36"/>
    </row>
    <row r="14" spans="2:9" x14ac:dyDescent="0.35">
      <c r="B14" s="34">
        <f t="shared" si="0"/>
        <v>45854</v>
      </c>
      <c r="C14" s="37">
        <f t="shared" si="1"/>
        <v>45860</v>
      </c>
      <c r="D14" s="40">
        <v>9</v>
      </c>
      <c r="E14" s="40">
        <v>9</v>
      </c>
      <c r="F14" s="40">
        <v>0</v>
      </c>
      <c r="G14" s="40">
        <v>0</v>
      </c>
      <c r="H14" s="65">
        <v>0</v>
      </c>
      <c r="I14" s="36"/>
    </row>
    <row r="15" spans="2:9" x14ac:dyDescent="0.35">
      <c r="B15" s="34">
        <f t="shared" si="0"/>
        <v>45861</v>
      </c>
      <c r="C15" s="37">
        <f t="shared" si="1"/>
        <v>45867</v>
      </c>
      <c r="D15" s="44">
        <v>4</v>
      </c>
      <c r="E15" s="44">
        <v>4</v>
      </c>
      <c r="F15" s="44">
        <v>0</v>
      </c>
      <c r="G15" s="44">
        <v>0</v>
      </c>
      <c r="H15" s="66">
        <v>0</v>
      </c>
      <c r="I15" s="36"/>
    </row>
    <row r="16" spans="2:9" x14ac:dyDescent="0.35">
      <c r="B16" s="34">
        <f t="shared" si="0"/>
        <v>45868</v>
      </c>
      <c r="C16" s="37">
        <f t="shared" si="1"/>
        <v>45874</v>
      </c>
      <c r="D16" s="40">
        <v>12</v>
      </c>
      <c r="E16" s="40">
        <v>9</v>
      </c>
      <c r="F16" s="40">
        <v>3</v>
      </c>
      <c r="G16" s="44">
        <v>3</v>
      </c>
      <c r="H16" s="65">
        <v>0</v>
      </c>
      <c r="I16" s="36"/>
    </row>
    <row r="17" spans="2:9" x14ac:dyDescent="0.35">
      <c r="B17" s="42">
        <f t="shared" si="0"/>
        <v>45875</v>
      </c>
      <c r="C17" s="55">
        <f t="shared" si="1"/>
        <v>45881</v>
      </c>
      <c r="D17" s="44">
        <v>27</v>
      </c>
      <c r="E17" s="44">
        <v>27</v>
      </c>
      <c r="F17" s="44">
        <v>0</v>
      </c>
      <c r="G17" s="44">
        <v>0</v>
      </c>
      <c r="H17" s="66">
        <v>0</v>
      </c>
      <c r="I17" s="36"/>
    </row>
    <row r="18" spans="2:9" x14ac:dyDescent="0.35">
      <c r="B18" s="42">
        <f t="shared" si="0"/>
        <v>45882</v>
      </c>
      <c r="C18" s="55">
        <f t="shared" si="1"/>
        <v>45888</v>
      </c>
      <c r="D18" s="40">
        <v>11</v>
      </c>
      <c r="E18" s="40">
        <v>11</v>
      </c>
      <c r="F18" s="40">
        <v>0</v>
      </c>
      <c r="G18" s="40">
        <v>0</v>
      </c>
      <c r="H18" s="65">
        <v>1</v>
      </c>
      <c r="I18" s="40"/>
    </row>
    <row r="19" spans="2:9" x14ac:dyDescent="0.35">
      <c r="B19" s="42">
        <f t="shared" si="0"/>
        <v>45889</v>
      </c>
      <c r="C19" s="55">
        <f t="shared" si="1"/>
        <v>45895</v>
      </c>
      <c r="D19" s="40">
        <v>13</v>
      </c>
      <c r="E19" s="40">
        <v>13</v>
      </c>
      <c r="F19" s="40">
        <v>0</v>
      </c>
      <c r="G19" s="40">
        <v>0</v>
      </c>
      <c r="H19" s="65">
        <v>0</v>
      </c>
      <c r="I19" s="40"/>
    </row>
    <row r="20" spans="2:9" x14ac:dyDescent="0.35">
      <c r="B20" s="42">
        <f t="shared" si="0"/>
        <v>45896</v>
      </c>
      <c r="C20" s="55">
        <f t="shared" si="1"/>
        <v>45902</v>
      </c>
      <c r="D20" s="40">
        <v>12</v>
      </c>
      <c r="E20" s="40">
        <v>11</v>
      </c>
      <c r="F20" s="40">
        <v>1</v>
      </c>
      <c r="G20" s="40">
        <v>1</v>
      </c>
      <c r="H20" s="65">
        <v>0</v>
      </c>
      <c r="I20" s="40"/>
    </row>
    <row r="21" spans="2:9" x14ac:dyDescent="0.35">
      <c r="B21" s="42">
        <f t="shared" si="0"/>
        <v>45903</v>
      </c>
      <c r="C21" s="55">
        <f t="shared" si="1"/>
        <v>45909</v>
      </c>
      <c r="D21" s="40">
        <v>19</v>
      </c>
      <c r="E21" s="40">
        <v>19</v>
      </c>
      <c r="F21" s="40">
        <v>0</v>
      </c>
      <c r="G21" s="40">
        <v>0</v>
      </c>
      <c r="H21" s="65">
        <v>0</v>
      </c>
      <c r="I21" s="40"/>
    </row>
    <row r="22" spans="2:9" x14ac:dyDescent="0.35">
      <c r="B22" s="42">
        <f t="shared" si="0"/>
        <v>45910</v>
      </c>
      <c r="C22" s="55">
        <f t="shared" si="1"/>
        <v>45916</v>
      </c>
      <c r="D22" s="40">
        <v>18</v>
      </c>
      <c r="E22" s="40">
        <v>14</v>
      </c>
      <c r="F22" s="40">
        <v>4</v>
      </c>
      <c r="G22" s="40">
        <v>4</v>
      </c>
      <c r="H22" s="65">
        <v>0</v>
      </c>
      <c r="I22" s="62" t="s">
        <v>49</v>
      </c>
    </row>
    <row r="23" spans="2:9" x14ac:dyDescent="0.35">
      <c r="B23" s="42">
        <f t="shared" si="0"/>
        <v>45917</v>
      </c>
      <c r="C23" s="55">
        <f t="shared" si="1"/>
        <v>45923</v>
      </c>
      <c r="D23" s="40">
        <v>16</v>
      </c>
      <c r="E23" s="40">
        <v>16</v>
      </c>
      <c r="F23" s="40">
        <v>0</v>
      </c>
      <c r="G23" s="40">
        <v>0</v>
      </c>
      <c r="H23" s="65">
        <v>0</v>
      </c>
      <c r="I23" s="40"/>
    </row>
    <row r="24" spans="2:9" x14ac:dyDescent="0.35">
      <c r="B24" s="42">
        <f t="shared" si="0"/>
        <v>45924</v>
      </c>
      <c r="C24" s="55">
        <f t="shared" si="1"/>
        <v>45930</v>
      </c>
      <c r="D24" s="44">
        <v>16</v>
      </c>
      <c r="E24" s="44">
        <v>16</v>
      </c>
      <c r="F24" s="44">
        <v>0</v>
      </c>
      <c r="G24" s="44">
        <v>0</v>
      </c>
      <c r="H24" s="66">
        <v>0</v>
      </c>
      <c r="I24" s="44"/>
    </row>
    <row r="25" spans="2:9" x14ac:dyDescent="0.35">
      <c r="B25" s="41">
        <f t="shared" si="0"/>
        <v>45931</v>
      </c>
      <c r="C25" s="41">
        <f t="shared" si="1"/>
        <v>45937</v>
      </c>
      <c r="D25" s="40">
        <v>12</v>
      </c>
      <c r="E25" s="40">
        <v>10</v>
      </c>
      <c r="F25" s="40">
        <v>2</v>
      </c>
      <c r="G25" s="40">
        <v>0</v>
      </c>
      <c r="H25" s="40">
        <v>0</v>
      </c>
      <c r="I25" s="40" t="s">
        <v>50</v>
      </c>
    </row>
    <row r="26" spans="2:9" x14ac:dyDescent="0.35">
      <c r="B26" s="41">
        <f t="shared" si="0"/>
        <v>45938</v>
      </c>
      <c r="C26" s="41">
        <f t="shared" si="1"/>
        <v>45944</v>
      </c>
      <c r="D26" s="40">
        <v>12</v>
      </c>
      <c r="E26" s="40">
        <v>12</v>
      </c>
      <c r="F26" s="40">
        <v>0</v>
      </c>
      <c r="G26" s="40">
        <v>0</v>
      </c>
      <c r="H26" s="40">
        <v>0</v>
      </c>
      <c r="I26" s="36"/>
    </row>
    <row r="27" spans="2:9" x14ac:dyDescent="0.35">
      <c r="B27" s="41">
        <f t="shared" si="0"/>
        <v>45945</v>
      </c>
      <c r="C27" s="41">
        <f t="shared" si="1"/>
        <v>45951</v>
      </c>
      <c r="D27" s="40">
        <v>19</v>
      </c>
      <c r="E27" s="40">
        <v>16</v>
      </c>
      <c r="F27" s="40">
        <v>3</v>
      </c>
      <c r="G27" s="40">
        <v>3</v>
      </c>
      <c r="H27" s="40">
        <v>0</v>
      </c>
      <c r="I27" s="36" t="s">
        <v>51</v>
      </c>
    </row>
    <row r="28" spans="2:9" x14ac:dyDescent="0.35">
      <c r="B28" s="36"/>
      <c r="C28" s="36"/>
      <c r="D28" s="36"/>
      <c r="E28" s="36"/>
      <c r="F28" s="36"/>
      <c r="G28" s="36"/>
      <c r="H28" s="36"/>
      <c r="I28" s="36"/>
    </row>
    <row r="29" spans="2:9" x14ac:dyDescent="0.35">
      <c r="B29" s="36"/>
      <c r="C29" s="36"/>
      <c r="D29" s="36"/>
      <c r="E29" s="36"/>
      <c r="F29" s="36"/>
      <c r="G29" s="36"/>
      <c r="H29" s="36"/>
      <c r="I29" s="3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8801-6536-4C53-A16D-0F2BB9712A7E}">
  <dimension ref="B2:Q26"/>
  <sheetViews>
    <sheetView workbookViewId="0">
      <selection activeCell="D25" sqref="D25"/>
    </sheetView>
  </sheetViews>
  <sheetFormatPr baseColWidth="10" defaultColWidth="11.453125" defaultRowHeight="14.5" x14ac:dyDescent="0.35"/>
  <cols>
    <col min="15" max="15" width="65.54296875" bestFit="1" customWidth="1"/>
  </cols>
  <sheetData>
    <row r="2" spans="2:15" x14ac:dyDescent="0.35">
      <c r="B2" t="s">
        <v>52</v>
      </c>
    </row>
    <row r="5" spans="2:15" x14ac:dyDescent="0.35">
      <c r="B5" t="s">
        <v>34</v>
      </c>
    </row>
    <row r="6" spans="2:15" ht="58" x14ac:dyDescent="0.35">
      <c r="B6" s="31" t="s">
        <v>53</v>
      </c>
      <c r="C6" s="31" t="s">
        <v>54</v>
      </c>
      <c r="D6" s="32" t="s">
        <v>55</v>
      </c>
      <c r="E6" s="32" t="s">
        <v>56</v>
      </c>
      <c r="F6" s="32" t="s">
        <v>57</v>
      </c>
      <c r="G6" s="32" t="s">
        <v>58</v>
      </c>
      <c r="H6" s="32" t="s">
        <v>43</v>
      </c>
      <c r="I6" s="32" t="s">
        <v>44</v>
      </c>
      <c r="J6" s="32" t="s">
        <v>45</v>
      </c>
      <c r="K6" s="32" t="s">
        <v>59</v>
      </c>
      <c r="L6" s="32" t="s">
        <v>60</v>
      </c>
      <c r="M6" s="32" t="s">
        <v>61</v>
      </c>
      <c r="N6" s="32" t="s">
        <v>62</v>
      </c>
      <c r="O6" s="31" t="s">
        <v>47</v>
      </c>
    </row>
    <row r="7" spans="2:15" x14ac:dyDescent="0.35">
      <c r="B7" s="34">
        <v>45798</v>
      </c>
      <c r="C7" s="34">
        <v>45804</v>
      </c>
      <c r="D7" s="35">
        <v>93</v>
      </c>
      <c r="E7" s="35">
        <v>22</v>
      </c>
      <c r="F7" s="35"/>
      <c r="G7" s="35">
        <f>+D7+E7-F7</f>
        <v>115</v>
      </c>
      <c r="H7" s="35">
        <v>89</v>
      </c>
      <c r="I7" s="35">
        <f>+G7-H7</f>
        <v>26</v>
      </c>
      <c r="J7" s="35">
        <v>0</v>
      </c>
      <c r="K7" s="35">
        <f>+I7-J7</f>
        <v>26</v>
      </c>
      <c r="L7" s="35">
        <v>0</v>
      </c>
      <c r="M7" s="35">
        <v>0</v>
      </c>
      <c r="N7" s="35">
        <v>0</v>
      </c>
      <c r="O7" s="33" t="s">
        <v>63</v>
      </c>
    </row>
    <row r="8" spans="2:15" x14ac:dyDescent="0.35">
      <c r="B8" s="34">
        <f t="shared" ref="B8:B26" si="0">C7+1</f>
        <v>45805</v>
      </c>
      <c r="C8" s="34">
        <f t="shared" ref="C8:C26" si="1">B8+6</f>
        <v>45811</v>
      </c>
      <c r="D8" s="35">
        <v>48</v>
      </c>
      <c r="E8" s="35">
        <v>17</v>
      </c>
      <c r="F8" s="35"/>
      <c r="G8" s="35">
        <f t="shared" ref="G8:G24" si="2">+D8+E8-F8</f>
        <v>65</v>
      </c>
      <c r="H8" s="35">
        <v>65</v>
      </c>
      <c r="I8" s="35">
        <v>0</v>
      </c>
      <c r="J8" s="35">
        <v>0</v>
      </c>
      <c r="K8" s="35">
        <v>0</v>
      </c>
      <c r="L8" s="35">
        <v>0</v>
      </c>
      <c r="M8" s="35">
        <v>0</v>
      </c>
      <c r="N8" s="35">
        <v>0</v>
      </c>
      <c r="O8" s="33"/>
    </row>
    <row r="9" spans="2:15" x14ac:dyDescent="0.35">
      <c r="B9" s="34">
        <f t="shared" si="0"/>
        <v>45812</v>
      </c>
      <c r="C9" s="34">
        <f t="shared" si="1"/>
        <v>45818</v>
      </c>
      <c r="D9" s="35">
        <v>106</v>
      </c>
      <c r="E9" s="35">
        <v>27</v>
      </c>
      <c r="F9" s="35"/>
      <c r="G9" s="35">
        <f t="shared" si="2"/>
        <v>133</v>
      </c>
      <c r="H9" s="35">
        <v>133</v>
      </c>
      <c r="I9" s="35">
        <v>0</v>
      </c>
      <c r="J9" s="35">
        <v>0</v>
      </c>
      <c r="K9" s="35">
        <v>0</v>
      </c>
      <c r="L9" s="35">
        <v>0</v>
      </c>
      <c r="M9" s="35">
        <v>0</v>
      </c>
      <c r="N9" s="35">
        <v>0</v>
      </c>
      <c r="O9" s="33"/>
    </row>
    <row r="10" spans="2:15" x14ac:dyDescent="0.35">
      <c r="B10" s="34">
        <f t="shared" si="0"/>
        <v>45819</v>
      </c>
      <c r="C10" s="34">
        <f t="shared" si="1"/>
        <v>45825</v>
      </c>
      <c r="D10" s="35">
        <v>62</v>
      </c>
      <c r="E10" s="35">
        <v>21</v>
      </c>
      <c r="F10" s="35"/>
      <c r="G10" s="35">
        <f t="shared" si="2"/>
        <v>83</v>
      </c>
      <c r="H10" s="35">
        <v>83</v>
      </c>
      <c r="I10" s="35">
        <v>0</v>
      </c>
      <c r="J10" s="35">
        <v>0</v>
      </c>
      <c r="K10" s="35">
        <v>0</v>
      </c>
      <c r="L10" s="35">
        <v>0</v>
      </c>
      <c r="M10" s="35">
        <v>0</v>
      </c>
      <c r="N10" s="35">
        <v>0</v>
      </c>
      <c r="O10" s="33"/>
    </row>
    <row r="11" spans="2:15" x14ac:dyDescent="0.35">
      <c r="B11" s="34">
        <f t="shared" si="0"/>
        <v>45826</v>
      </c>
      <c r="C11" s="34">
        <f t="shared" si="1"/>
        <v>45832</v>
      </c>
      <c r="D11" s="35">
        <v>84</v>
      </c>
      <c r="E11" s="35">
        <v>14</v>
      </c>
      <c r="F11" s="35"/>
      <c r="G11" s="35">
        <f t="shared" si="2"/>
        <v>98</v>
      </c>
      <c r="H11" s="35">
        <v>98</v>
      </c>
      <c r="I11" s="35">
        <v>0</v>
      </c>
      <c r="J11" s="35">
        <v>0</v>
      </c>
      <c r="K11" s="35">
        <v>0</v>
      </c>
      <c r="L11" s="35">
        <v>0</v>
      </c>
      <c r="M11" s="35">
        <v>0</v>
      </c>
      <c r="N11" s="35">
        <v>0</v>
      </c>
      <c r="O11" s="33"/>
    </row>
    <row r="12" spans="2:15" x14ac:dyDescent="0.35">
      <c r="B12" s="34">
        <f t="shared" si="0"/>
        <v>45833</v>
      </c>
      <c r="C12" s="34">
        <f t="shared" si="1"/>
        <v>45839</v>
      </c>
      <c r="D12" s="35">
        <v>56</v>
      </c>
      <c r="E12" s="35">
        <v>19</v>
      </c>
      <c r="F12" s="33"/>
      <c r="G12" s="35">
        <f t="shared" si="2"/>
        <v>75</v>
      </c>
      <c r="H12" s="35">
        <v>75</v>
      </c>
      <c r="I12" s="35">
        <v>0</v>
      </c>
      <c r="J12" s="35">
        <v>0</v>
      </c>
      <c r="K12" s="35">
        <v>0</v>
      </c>
      <c r="L12" s="35">
        <v>0</v>
      </c>
      <c r="M12" s="35">
        <v>0</v>
      </c>
      <c r="N12" s="35">
        <v>0</v>
      </c>
      <c r="O12" s="33"/>
    </row>
    <row r="13" spans="2:15" x14ac:dyDescent="0.35">
      <c r="B13" s="34">
        <f t="shared" si="0"/>
        <v>45840</v>
      </c>
      <c r="C13" s="34">
        <f t="shared" si="1"/>
        <v>45846</v>
      </c>
      <c r="D13" s="35">
        <v>16</v>
      </c>
      <c r="E13" s="35">
        <v>2</v>
      </c>
      <c r="F13" s="33"/>
      <c r="G13" s="35">
        <f t="shared" si="2"/>
        <v>18</v>
      </c>
      <c r="H13" s="35">
        <v>18</v>
      </c>
      <c r="I13" s="35">
        <v>0</v>
      </c>
      <c r="J13" s="35">
        <v>0</v>
      </c>
      <c r="K13" s="35">
        <v>0</v>
      </c>
      <c r="L13" s="35">
        <v>0</v>
      </c>
      <c r="M13" s="35">
        <v>0</v>
      </c>
      <c r="N13" s="35">
        <v>0</v>
      </c>
      <c r="O13" s="33"/>
    </row>
    <row r="14" spans="2:15" x14ac:dyDescent="0.35">
      <c r="B14" s="34">
        <f t="shared" si="0"/>
        <v>45847</v>
      </c>
      <c r="C14" s="34">
        <f t="shared" si="1"/>
        <v>45853</v>
      </c>
      <c r="D14" s="39"/>
      <c r="E14" s="39"/>
      <c r="F14" s="39"/>
      <c r="G14" s="35">
        <f t="shared" si="2"/>
        <v>0</v>
      </c>
      <c r="H14" s="39"/>
      <c r="I14" s="39"/>
      <c r="J14" s="38"/>
      <c r="K14" s="38"/>
      <c r="L14" s="38"/>
      <c r="M14" s="38"/>
      <c r="N14" s="39"/>
      <c r="O14" s="39"/>
    </row>
    <row r="15" spans="2:15" x14ac:dyDescent="0.35">
      <c r="B15" s="34">
        <f t="shared" si="0"/>
        <v>45854</v>
      </c>
      <c r="C15" s="37">
        <f t="shared" si="1"/>
        <v>45860</v>
      </c>
      <c r="D15" s="36"/>
      <c r="E15" s="36"/>
      <c r="F15" s="36"/>
      <c r="G15" s="35">
        <f t="shared" si="2"/>
        <v>0</v>
      </c>
      <c r="H15" s="36"/>
      <c r="I15" s="36"/>
      <c r="J15" s="36"/>
      <c r="K15" s="36"/>
      <c r="L15" s="36"/>
      <c r="M15" s="36"/>
      <c r="N15" s="36"/>
      <c r="O15" s="36"/>
    </row>
    <row r="16" spans="2:15" x14ac:dyDescent="0.35">
      <c r="B16" s="34">
        <f t="shared" si="0"/>
        <v>45861</v>
      </c>
      <c r="C16" s="37">
        <f t="shared" si="1"/>
        <v>45867</v>
      </c>
      <c r="D16" s="44">
        <v>61</v>
      </c>
      <c r="E16" s="44">
        <v>1</v>
      </c>
      <c r="F16" s="45"/>
      <c r="G16" s="38">
        <f t="shared" si="2"/>
        <v>62</v>
      </c>
      <c r="H16" s="44">
        <v>62</v>
      </c>
      <c r="I16" s="44">
        <v>0</v>
      </c>
      <c r="J16" s="44">
        <v>0</v>
      </c>
      <c r="K16" s="44">
        <v>0</v>
      </c>
      <c r="L16" s="44">
        <v>0</v>
      </c>
      <c r="M16" s="44">
        <v>0</v>
      </c>
      <c r="N16" s="44">
        <v>0</v>
      </c>
      <c r="O16" s="45"/>
    </row>
    <row r="17" spans="2:17" x14ac:dyDescent="0.35">
      <c r="B17" s="34">
        <f t="shared" si="0"/>
        <v>45868</v>
      </c>
      <c r="C17" s="37">
        <f t="shared" si="1"/>
        <v>45874</v>
      </c>
      <c r="D17" s="40">
        <v>52</v>
      </c>
      <c r="E17" s="40">
        <v>5</v>
      </c>
      <c r="F17" s="36"/>
      <c r="G17" s="38">
        <f t="shared" si="2"/>
        <v>57</v>
      </c>
      <c r="H17" s="40">
        <v>57</v>
      </c>
      <c r="I17" s="44">
        <v>0</v>
      </c>
      <c r="J17" s="44">
        <v>0</v>
      </c>
      <c r="K17" s="44">
        <v>0</v>
      </c>
      <c r="L17" s="44">
        <v>0</v>
      </c>
      <c r="M17" s="44">
        <v>0</v>
      </c>
      <c r="N17" s="44">
        <v>0</v>
      </c>
      <c r="O17" s="45"/>
    </row>
    <row r="18" spans="2:17" x14ac:dyDescent="0.35">
      <c r="B18" s="34">
        <f t="shared" si="0"/>
        <v>45875</v>
      </c>
      <c r="C18" s="37">
        <f t="shared" si="1"/>
        <v>45881</v>
      </c>
      <c r="D18" s="44">
        <v>59</v>
      </c>
      <c r="E18" s="44">
        <v>3</v>
      </c>
      <c r="F18" s="56"/>
      <c r="G18" s="44">
        <f t="shared" si="2"/>
        <v>62</v>
      </c>
      <c r="H18" s="57">
        <v>62</v>
      </c>
      <c r="I18" s="44">
        <v>0</v>
      </c>
      <c r="J18" s="44">
        <v>0</v>
      </c>
      <c r="K18" s="44">
        <v>0</v>
      </c>
      <c r="L18" s="44">
        <v>0</v>
      </c>
      <c r="M18" s="44">
        <v>0</v>
      </c>
      <c r="N18" s="44">
        <v>0</v>
      </c>
      <c r="O18" s="45"/>
    </row>
    <row r="19" spans="2:17" x14ac:dyDescent="0.35">
      <c r="B19" s="34">
        <f t="shared" si="0"/>
        <v>45882</v>
      </c>
      <c r="C19" s="37">
        <f t="shared" si="1"/>
        <v>45888</v>
      </c>
      <c r="D19" s="40">
        <v>51</v>
      </c>
      <c r="E19" s="40">
        <v>13</v>
      </c>
      <c r="F19" s="40"/>
      <c r="G19" s="44">
        <f t="shared" si="2"/>
        <v>64</v>
      </c>
      <c r="H19" s="57">
        <v>62</v>
      </c>
      <c r="I19" s="40">
        <v>0</v>
      </c>
      <c r="J19" s="40">
        <v>0</v>
      </c>
      <c r="K19" s="40">
        <v>0</v>
      </c>
      <c r="L19" s="40">
        <v>0</v>
      </c>
      <c r="M19" s="40">
        <v>0</v>
      </c>
      <c r="N19" s="40">
        <v>0</v>
      </c>
      <c r="O19" s="36"/>
    </row>
    <row r="20" spans="2:17" x14ac:dyDescent="0.35">
      <c r="B20" s="34">
        <f t="shared" si="0"/>
        <v>45889</v>
      </c>
      <c r="C20" s="37">
        <f t="shared" si="1"/>
        <v>45895</v>
      </c>
      <c r="D20" s="44">
        <f>24+20</f>
        <v>44</v>
      </c>
      <c r="E20" s="44">
        <f>13+12</f>
        <v>25</v>
      </c>
      <c r="F20" s="44"/>
      <c r="G20" s="44">
        <f t="shared" si="2"/>
        <v>69</v>
      </c>
      <c r="H20" s="57">
        <v>69</v>
      </c>
      <c r="I20" s="40">
        <v>0</v>
      </c>
      <c r="J20" s="40">
        <v>0</v>
      </c>
      <c r="K20" s="40">
        <v>0</v>
      </c>
      <c r="L20" s="40">
        <v>0</v>
      </c>
      <c r="M20" s="40">
        <v>0</v>
      </c>
      <c r="N20" s="40">
        <v>0</v>
      </c>
      <c r="O20" s="45"/>
    </row>
    <row r="21" spans="2:17" x14ac:dyDescent="0.35">
      <c r="B21" s="34">
        <f t="shared" si="0"/>
        <v>45896</v>
      </c>
      <c r="C21" s="37">
        <f t="shared" si="1"/>
        <v>45902</v>
      </c>
      <c r="D21" s="40">
        <f>4+64</f>
        <v>68</v>
      </c>
      <c r="E21" s="40">
        <f>7+13</f>
        <v>20</v>
      </c>
      <c r="F21" s="36"/>
      <c r="G21" s="44">
        <f t="shared" si="2"/>
        <v>88</v>
      </c>
      <c r="H21" s="40">
        <v>88</v>
      </c>
      <c r="I21" s="40">
        <v>0</v>
      </c>
      <c r="J21" s="40">
        <v>0</v>
      </c>
      <c r="K21" s="40">
        <v>0</v>
      </c>
      <c r="L21" s="40">
        <v>0</v>
      </c>
      <c r="M21" s="40">
        <v>0</v>
      </c>
      <c r="N21" s="40">
        <v>0</v>
      </c>
      <c r="O21" s="36"/>
      <c r="Q21">
        <v>12</v>
      </c>
    </row>
    <row r="22" spans="2:17" x14ac:dyDescent="0.35">
      <c r="B22" s="34">
        <f t="shared" si="0"/>
        <v>45903</v>
      </c>
      <c r="C22" s="37">
        <f t="shared" si="1"/>
        <v>45909</v>
      </c>
      <c r="D22" s="40">
        <f>74+4</f>
        <v>78</v>
      </c>
      <c r="E22" s="40">
        <v>2</v>
      </c>
      <c r="F22" s="36"/>
      <c r="G22" s="44">
        <f t="shared" si="2"/>
        <v>80</v>
      </c>
      <c r="H22" s="40">
        <v>80</v>
      </c>
      <c r="I22" s="40">
        <v>0</v>
      </c>
      <c r="J22" s="40">
        <v>0</v>
      </c>
      <c r="K22" s="40">
        <v>0</v>
      </c>
      <c r="L22" s="40">
        <v>0</v>
      </c>
      <c r="M22" s="40">
        <v>0</v>
      </c>
      <c r="N22" s="40">
        <v>0</v>
      </c>
      <c r="O22" s="36"/>
      <c r="Q22">
        <v>13</v>
      </c>
    </row>
    <row r="23" spans="2:17" x14ac:dyDescent="0.35">
      <c r="B23" s="34">
        <f t="shared" si="0"/>
        <v>45910</v>
      </c>
      <c r="C23" s="37">
        <f t="shared" si="1"/>
        <v>45916</v>
      </c>
      <c r="D23" s="44">
        <f>60+10</f>
        <v>70</v>
      </c>
      <c r="E23" s="44">
        <v>2</v>
      </c>
      <c r="F23" s="45"/>
      <c r="G23" s="44">
        <f t="shared" si="2"/>
        <v>72</v>
      </c>
      <c r="H23" s="44">
        <v>72</v>
      </c>
      <c r="I23" s="40">
        <v>0</v>
      </c>
      <c r="J23" s="40">
        <v>0</v>
      </c>
      <c r="K23" s="40">
        <v>0</v>
      </c>
      <c r="L23" s="40">
        <v>0</v>
      </c>
      <c r="M23" s="40">
        <v>0</v>
      </c>
      <c r="N23" s="40">
        <v>0</v>
      </c>
      <c r="O23" s="45"/>
    </row>
    <row r="24" spans="2:17" x14ac:dyDescent="0.35">
      <c r="B24" s="34">
        <f t="shared" si="0"/>
        <v>45917</v>
      </c>
      <c r="C24" s="37">
        <f t="shared" si="1"/>
        <v>45923</v>
      </c>
      <c r="D24" s="40">
        <f>1+76</f>
        <v>77</v>
      </c>
      <c r="E24" s="40">
        <v>15</v>
      </c>
      <c r="F24" s="40"/>
      <c r="G24" s="44">
        <f t="shared" si="2"/>
        <v>92</v>
      </c>
      <c r="H24" s="40">
        <v>92</v>
      </c>
      <c r="I24" s="40">
        <v>0</v>
      </c>
      <c r="J24" s="40">
        <v>0</v>
      </c>
      <c r="K24" s="40">
        <v>0</v>
      </c>
      <c r="L24" s="40">
        <v>0</v>
      </c>
      <c r="M24" s="40">
        <v>1</v>
      </c>
      <c r="N24" s="40">
        <v>0</v>
      </c>
      <c r="O24" s="36"/>
    </row>
    <row r="25" spans="2:17" x14ac:dyDescent="0.35">
      <c r="B25" s="34">
        <f t="shared" si="0"/>
        <v>45924</v>
      </c>
      <c r="C25" s="37">
        <f t="shared" si="1"/>
        <v>45930</v>
      </c>
      <c r="D25" s="40"/>
      <c r="E25" s="40"/>
      <c r="F25" s="40"/>
      <c r="G25" s="40"/>
      <c r="H25" s="40"/>
      <c r="I25" s="40"/>
      <c r="J25" s="40"/>
      <c r="K25" s="40"/>
      <c r="L25" s="40"/>
      <c r="M25" s="40"/>
      <c r="N25" s="40"/>
      <c r="O25" s="36"/>
    </row>
    <row r="26" spans="2:17" x14ac:dyDescent="0.35">
      <c r="B26" s="34">
        <f t="shared" si="0"/>
        <v>45931</v>
      </c>
      <c r="C26" s="37">
        <f t="shared" si="1"/>
        <v>45937</v>
      </c>
      <c r="D26" s="40"/>
      <c r="E26" s="40"/>
      <c r="F26" s="40"/>
      <c r="G26" s="40"/>
      <c r="H26" s="40"/>
      <c r="I26" s="40"/>
      <c r="J26" s="40"/>
      <c r="K26" s="40"/>
      <c r="L26" s="40"/>
      <c r="M26" s="40"/>
      <c r="N26" s="40"/>
      <c r="O26" s="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C59D2-E9C0-4A8C-9C20-51B32C9646D9}">
  <dimension ref="J2:Q29"/>
  <sheetViews>
    <sheetView topLeftCell="I1" workbookViewId="0">
      <selection activeCell="P28" sqref="P28"/>
    </sheetView>
  </sheetViews>
  <sheetFormatPr baseColWidth="10" defaultColWidth="9.1796875" defaultRowHeight="14.5" x14ac:dyDescent="0.35"/>
  <cols>
    <col min="1" max="1" width="14" customWidth="1"/>
    <col min="2" max="2" width="12.7265625" customWidth="1"/>
    <col min="3" max="3" width="18" customWidth="1"/>
    <col min="4" max="5" width="12.26953125" customWidth="1"/>
    <col min="6" max="6" width="14.54296875" customWidth="1"/>
    <col min="7" max="7" width="13.7265625" customWidth="1"/>
    <col min="8" max="9" width="14" customWidth="1"/>
    <col min="10" max="10" width="18.453125" customWidth="1"/>
    <col min="11" max="11" width="16.453125" customWidth="1"/>
    <col min="12" max="12" width="17.81640625" customWidth="1"/>
    <col min="13" max="13" width="16.54296875" customWidth="1"/>
    <col min="14" max="14" width="20.54296875" customWidth="1"/>
    <col min="15" max="15" width="19" customWidth="1"/>
    <col min="16" max="16" width="20.1796875" customWidth="1"/>
    <col min="17" max="17" width="47.54296875" customWidth="1"/>
    <col min="18" max="19" width="17.54296875" customWidth="1"/>
    <col min="20" max="20" width="21" customWidth="1"/>
    <col min="21" max="21" width="20.26953125" customWidth="1"/>
    <col min="22" max="22" width="25.81640625" customWidth="1"/>
    <col min="23" max="23" width="25.1796875" customWidth="1"/>
    <col min="24" max="24" width="25.453125" customWidth="1"/>
  </cols>
  <sheetData>
    <row r="2" spans="10:17" x14ac:dyDescent="0.35">
      <c r="J2" t="s">
        <v>64</v>
      </c>
    </row>
    <row r="5" spans="10:17" x14ac:dyDescent="0.35">
      <c r="J5" t="s">
        <v>34</v>
      </c>
    </row>
    <row r="6" spans="10:17" ht="29" x14ac:dyDescent="0.35">
      <c r="J6" s="31" t="s">
        <v>40</v>
      </c>
      <c r="K6" s="31" t="s">
        <v>41</v>
      </c>
      <c r="L6" s="32" t="s">
        <v>65</v>
      </c>
      <c r="M6" s="32" t="s">
        <v>66</v>
      </c>
      <c r="N6" s="32" t="s">
        <v>67</v>
      </c>
      <c r="O6" s="32" t="s">
        <v>68</v>
      </c>
      <c r="P6" s="32" t="s">
        <v>62</v>
      </c>
      <c r="Q6" s="31" t="s">
        <v>47</v>
      </c>
    </row>
    <row r="7" spans="10:17" x14ac:dyDescent="0.35">
      <c r="J7" s="34">
        <v>45798</v>
      </c>
      <c r="K7" s="34">
        <v>45804</v>
      </c>
      <c r="L7" s="33"/>
      <c r="M7" s="33"/>
      <c r="N7" s="33"/>
      <c r="O7" s="33"/>
      <c r="P7" s="33"/>
      <c r="Q7" s="33"/>
    </row>
    <row r="8" spans="10:17" x14ac:dyDescent="0.35">
      <c r="J8" s="34">
        <f t="shared" ref="J8:J28" si="0">K7+1</f>
        <v>45805</v>
      </c>
      <c r="K8" s="34">
        <f t="shared" ref="K8:K28" si="1">J8+6</f>
        <v>45811</v>
      </c>
      <c r="L8" s="33"/>
      <c r="M8" s="33"/>
      <c r="N8" s="33"/>
      <c r="O8" s="33"/>
      <c r="P8" s="33"/>
      <c r="Q8" s="33"/>
    </row>
    <row r="9" spans="10:17" x14ac:dyDescent="0.35">
      <c r="J9" s="34">
        <f t="shared" si="0"/>
        <v>45812</v>
      </c>
      <c r="K9" s="34">
        <f t="shared" si="1"/>
        <v>45818</v>
      </c>
      <c r="L9" s="35">
        <f>31+40+66+69</f>
        <v>206</v>
      </c>
      <c r="M9" s="35">
        <f>44+10+30+20</f>
        <v>104</v>
      </c>
      <c r="N9" s="35">
        <v>0</v>
      </c>
      <c r="O9" s="35">
        <v>1</v>
      </c>
      <c r="P9" s="33"/>
      <c r="Q9" s="33"/>
    </row>
    <row r="10" spans="10:17" x14ac:dyDescent="0.35">
      <c r="J10" s="34">
        <f t="shared" si="0"/>
        <v>45819</v>
      </c>
      <c r="K10" s="34">
        <f t="shared" si="1"/>
        <v>45825</v>
      </c>
      <c r="L10" s="35">
        <v>279</v>
      </c>
      <c r="M10" s="35">
        <v>91</v>
      </c>
      <c r="N10" s="35">
        <v>1</v>
      </c>
      <c r="O10" s="35">
        <v>0</v>
      </c>
      <c r="P10" s="33"/>
      <c r="Q10" s="33"/>
    </row>
    <row r="11" spans="10:17" x14ac:dyDescent="0.35">
      <c r="J11" s="34">
        <f t="shared" si="0"/>
        <v>45826</v>
      </c>
      <c r="K11" s="34">
        <f t="shared" si="1"/>
        <v>45832</v>
      </c>
      <c r="L11" s="35">
        <v>190</v>
      </c>
      <c r="M11" s="35">
        <v>106</v>
      </c>
      <c r="N11" s="35">
        <v>0</v>
      </c>
      <c r="O11" s="35">
        <v>1</v>
      </c>
      <c r="P11" s="33"/>
      <c r="Q11" s="33"/>
    </row>
    <row r="12" spans="10:17" x14ac:dyDescent="0.35">
      <c r="J12" s="34">
        <f t="shared" si="0"/>
        <v>45833</v>
      </c>
      <c r="K12" s="34">
        <f t="shared" si="1"/>
        <v>45839</v>
      </c>
      <c r="L12" s="35">
        <v>244</v>
      </c>
      <c r="M12" s="35">
        <v>59</v>
      </c>
      <c r="N12" s="35">
        <v>1</v>
      </c>
      <c r="O12" s="35">
        <v>0</v>
      </c>
      <c r="P12" s="33"/>
      <c r="Q12" s="33"/>
    </row>
    <row r="13" spans="10:17" x14ac:dyDescent="0.35">
      <c r="J13" s="42">
        <f t="shared" si="0"/>
        <v>45840</v>
      </c>
      <c r="K13" s="42">
        <f t="shared" si="1"/>
        <v>45846</v>
      </c>
      <c r="L13" s="38">
        <v>200</v>
      </c>
      <c r="M13" s="38">
        <v>31</v>
      </c>
      <c r="N13" s="38">
        <v>0</v>
      </c>
      <c r="O13" s="38">
        <v>0</v>
      </c>
      <c r="P13" s="39"/>
      <c r="Q13" s="39"/>
    </row>
    <row r="14" spans="10:17" x14ac:dyDescent="0.35">
      <c r="J14" s="43">
        <f t="shared" si="0"/>
        <v>45847</v>
      </c>
      <c r="K14" s="43">
        <f t="shared" si="1"/>
        <v>45853</v>
      </c>
      <c r="L14" s="44">
        <v>240</v>
      </c>
      <c r="M14" s="45"/>
      <c r="N14" s="44">
        <v>0</v>
      </c>
      <c r="O14" s="44">
        <v>0</v>
      </c>
      <c r="P14" s="45"/>
      <c r="Q14" s="45"/>
    </row>
    <row r="15" spans="10:17" x14ac:dyDescent="0.35">
      <c r="J15" s="41">
        <f t="shared" si="0"/>
        <v>45854</v>
      </c>
      <c r="K15" s="41">
        <f t="shared" si="1"/>
        <v>45860</v>
      </c>
      <c r="L15" s="40">
        <v>246</v>
      </c>
      <c r="M15" s="40">
        <v>118</v>
      </c>
      <c r="N15" s="40">
        <v>1</v>
      </c>
      <c r="O15" s="40">
        <v>0</v>
      </c>
      <c r="P15" s="36"/>
      <c r="Q15" s="36"/>
    </row>
    <row r="16" spans="10:17" x14ac:dyDescent="0.35">
      <c r="J16" s="41">
        <f t="shared" si="0"/>
        <v>45861</v>
      </c>
      <c r="K16" s="41">
        <f t="shared" si="1"/>
        <v>45867</v>
      </c>
      <c r="L16" s="44">
        <v>216</v>
      </c>
      <c r="M16" s="44">
        <v>104</v>
      </c>
      <c r="N16" s="44">
        <v>1</v>
      </c>
      <c r="O16" s="44">
        <v>2</v>
      </c>
      <c r="P16" s="45"/>
      <c r="Q16" s="45"/>
    </row>
    <row r="17" spans="10:17" x14ac:dyDescent="0.35">
      <c r="J17" s="41">
        <f t="shared" si="0"/>
        <v>45868</v>
      </c>
      <c r="K17" s="54">
        <f t="shared" si="1"/>
        <v>45874</v>
      </c>
      <c r="L17" s="40">
        <v>266</v>
      </c>
      <c r="M17" s="40">
        <v>88</v>
      </c>
      <c r="N17" s="40">
        <v>0</v>
      </c>
      <c r="O17" s="40">
        <v>1</v>
      </c>
      <c r="P17" s="36"/>
      <c r="Q17" s="36"/>
    </row>
    <row r="18" spans="10:17" x14ac:dyDescent="0.35">
      <c r="J18" s="41">
        <f t="shared" si="0"/>
        <v>45875</v>
      </c>
      <c r="K18" s="54">
        <f t="shared" si="1"/>
        <v>45881</v>
      </c>
      <c r="L18" s="44">
        <v>208</v>
      </c>
      <c r="M18" s="44">
        <v>89</v>
      </c>
      <c r="N18" s="44">
        <v>0</v>
      </c>
      <c r="O18" s="44">
        <v>0</v>
      </c>
      <c r="P18" s="45"/>
      <c r="Q18" s="45"/>
    </row>
    <row r="19" spans="10:17" x14ac:dyDescent="0.35">
      <c r="J19" s="41">
        <f t="shared" si="0"/>
        <v>45882</v>
      </c>
      <c r="K19" s="54">
        <f t="shared" si="1"/>
        <v>45888</v>
      </c>
      <c r="L19" s="40">
        <v>263</v>
      </c>
      <c r="M19" s="40">
        <v>125</v>
      </c>
      <c r="N19" s="40">
        <v>1</v>
      </c>
      <c r="O19" s="40">
        <v>0</v>
      </c>
      <c r="P19" s="36"/>
      <c r="Q19" s="36"/>
    </row>
    <row r="20" spans="10:17" x14ac:dyDescent="0.35">
      <c r="J20" s="41">
        <f t="shared" si="0"/>
        <v>45889</v>
      </c>
      <c r="K20" s="54">
        <f t="shared" si="1"/>
        <v>45895</v>
      </c>
      <c r="L20" s="40">
        <v>175</v>
      </c>
      <c r="M20" s="40">
        <v>57</v>
      </c>
      <c r="N20" s="40">
        <v>0</v>
      </c>
      <c r="O20" s="40">
        <v>0</v>
      </c>
      <c r="P20" s="36"/>
      <c r="Q20" s="36"/>
    </row>
    <row r="21" spans="10:17" x14ac:dyDescent="0.35">
      <c r="J21" s="43">
        <f t="shared" si="0"/>
        <v>45896</v>
      </c>
      <c r="K21" s="60">
        <f t="shared" si="1"/>
        <v>45902</v>
      </c>
      <c r="L21" s="44">
        <v>220</v>
      </c>
      <c r="M21" s="44">
        <v>161</v>
      </c>
      <c r="N21" s="44">
        <v>0</v>
      </c>
      <c r="O21" s="44">
        <v>0</v>
      </c>
      <c r="P21" s="45"/>
      <c r="Q21" s="45"/>
    </row>
    <row r="22" spans="10:17" x14ac:dyDescent="0.35">
      <c r="J22" s="41">
        <f t="shared" si="0"/>
        <v>45903</v>
      </c>
      <c r="K22" s="41">
        <f t="shared" si="1"/>
        <v>45909</v>
      </c>
      <c r="L22" s="40">
        <v>254</v>
      </c>
      <c r="M22" s="40">
        <v>96</v>
      </c>
      <c r="N22" s="40">
        <v>0</v>
      </c>
      <c r="O22" s="40">
        <v>0</v>
      </c>
      <c r="P22" s="36"/>
      <c r="Q22" s="36"/>
    </row>
    <row r="23" spans="10:17" x14ac:dyDescent="0.35">
      <c r="J23" s="41">
        <f t="shared" si="0"/>
        <v>45910</v>
      </c>
      <c r="K23" s="41">
        <f t="shared" si="1"/>
        <v>45916</v>
      </c>
      <c r="L23" s="40">
        <v>287</v>
      </c>
      <c r="M23" s="40">
        <v>81</v>
      </c>
      <c r="N23" s="40">
        <v>0</v>
      </c>
      <c r="O23" s="40">
        <v>0</v>
      </c>
      <c r="P23" s="36"/>
      <c r="Q23" s="36"/>
    </row>
    <row r="24" spans="10:17" x14ac:dyDescent="0.35">
      <c r="J24" s="41">
        <f t="shared" si="0"/>
        <v>45917</v>
      </c>
      <c r="K24" s="41">
        <f t="shared" si="1"/>
        <v>45923</v>
      </c>
      <c r="L24" s="40">
        <v>299</v>
      </c>
      <c r="M24" s="40">
        <v>118</v>
      </c>
      <c r="N24" s="40">
        <v>0</v>
      </c>
      <c r="O24" s="40">
        <v>0</v>
      </c>
      <c r="P24" s="36"/>
      <c r="Q24" s="36"/>
    </row>
    <row r="25" spans="10:17" x14ac:dyDescent="0.35">
      <c r="J25" s="41">
        <f t="shared" si="0"/>
        <v>45924</v>
      </c>
      <c r="K25" s="41">
        <f t="shared" si="1"/>
        <v>45930</v>
      </c>
      <c r="L25" s="40">
        <v>239</v>
      </c>
      <c r="M25" s="40">
        <f>7+64</f>
        <v>71</v>
      </c>
      <c r="N25" s="40">
        <v>0</v>
      </c>
      <c r="O25" s="40">
        <v>0</v>
      </c>
      <c r="P25" s="36"/>
      <c r="Q25" s="36"/>
    </row>
    <row r="26" spans="10:17" x14ac:dyDescent="0.35">
      <c r="J26" s="41">
        <f t="shared" si="0"/>
        <v>45931</v>
      </c>
      <c r="K26" s="41">
        <f t="shared" si="1"/>
        <v>45937</v>
      </c>
      <c r="L26" s="40">
        <v>268</v>
      </c>
      <c r="M26" s="40">
        <f>27+62</f>
        <v>89</v>
      </c>
      <c r="N26" s="40">
        <v>0</v>
      </c>
      <c r="O26" s="40">
        <v>0</v>
      </c>
      <c r="P26" s="36"/>
      <c r="Q26" s="36"/>
    </row>
    <row r="27" spans="10:17" x14ac:dyDescent="0.35">
      <c r="J27" s="41">
        <f t="shared" si="0"/>
        <v>45938</v>
      </c>
      <c r="K27" s="41">
        <f t="shared" si="1"/>
        <v>45944</v>
      </c>
      <c r="L27" s="40">
        <v>288</v>
      </c>
      <c r="M27" s="40">
        <v>41</v>
      </c>
      <c r="N27" s="40">
        <v>0</v>
      </c>
      <c r="O27" s="40">
        <v>0</v>
      </c>
      <c r="P27" s="36"/>
      <c r="Q27" s="36"/>
    </row>
    <row r="28" spans="10:17" x14ac:dyDescent="0.35">
      <c r="J28" s="41">
        <f t="shared" si="0"/>
        <v>45945</v>
      </c>
      <c r="K28" s="41">
        <f t="shared" si="1"/>
        <v>45951</v>
      </c>
      <c r="L28" s="40">
        <v>226</v>
      </c>
      <c r="M28" s="40"/>
      <c r="N28" s="40">
        <v>0</v>
      </c>
      <c r="O28" s="40">
        <v>0</v>
      </c>
      <c r="P28" s="36"/>
      <c r="Q28" s="36"/>
    </row>
    <row r="29" spans="10:17" x14ac:dyDescent="0.35">
      <c r="J29" s="36"/>
      <c r="K29" s="36"/>
      <c r="L29" s="40"/>
      <c r="M29" s="40"/>
      <c r="N29" s="40"/>
      <c r="O29" s="40"/>
      <c r="P29" s="36"/>
      <c r="Q29" s="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8BA90-CA21-4241-956A-5D5FBE495C99}">
  <dimension ref="A1:F47"/>
  <sheetViews>
    <sheetView workbookViewId="0">
      <selection activeCell="F26" sqref="F26"/>
    </sheetView>
  </sheetViews>
  <sheetFormatPr baseColWidth="10" defaultColWidth="11.453125" defaultRowHeight="14.5" x14ac:dyDescent="0.35"/>
  <cols>
    <col min="1" max="1" width="30.1796875" customWidth="1"/>
    <col min="2" max="2" width="26" bestFit="1" customWidth="1"/>
    <col min="3" max="3" width="35.1796875" bestFit="1" customWidth="1"/>
    <col min="4" max="4" width="21.453125" customWidth="1"/>
    <col min="5" max="5" width="39.81640625" bestFit="1" customWidth="1"/>
  </cols>
  <sheetData>
    <row r="1" spans="1:6" ht="15.5" x14ac:dyDescent="0.35">
      <c r="A1" s="53" t="s">
        <v>69</v>
      </c>
    </row>
    <row r="2" spans="1:6" x14ac:dyDescent="0.35">
      <c r="A2" s="36"/>
    </row>
    <row r="3" spans="1:6" ht="15.5" x14ac:dyDescent="0.35">
      <c r="A3" s="51" t="s">
        <v>70</v>
      </c>
      <c r="B3" s="52" t="s">
        <v>71</v>
      </c>
      <c r="C3" s="52" t="s">
        <v>72</v>
      </c>
      <c r="D3" s="52" t="s">
        <v>73</v>
      </c>
      <c r="E3" s="52" t="s">
        <v>74</v>
      </c>
      <c r="F3" s="52" t="s">
        <v>75</v>
      </c>
    </row>
    <row r="4" spans="1:6" x14ac:dyDescent="0.35">
      <c r="A4" s="47"/>
      <c r="B4" s="36"/>
      <c r="C4" s="36"/>
      <c r="D4" s="36"/>
      <c r="E4" s="36"/>
      <c r="F4" s="36"/>
    </row>
    <row r="5" spans="1:6" ht="15.5" x14ac:dyDescent="0.35">
      <c r="A5" s="48" t="s">
        <v>76</v>
      </c>
      <c r="B5" s="49">
        <v>1</v>
      </c>
      <c r="C5" s="49">
        <v>0</v>
      </c>
      <c r="D5" s="49">
        <v>0</v>
      </c>
      <c r="E5" s="49">
        <v>0</v>
      </c>
      <c r="F5" s="49">
        <f>SUM(B5:E5)</f>
        <v>1</v>
      </c>
    </row>
    <row r="6" spans="1:6" ht="15.5" x14ac:dyDescent="0.35">
      <c r="A6" s="48" t="s">
        <v>77</v>
      </c>
      <c r="B6" s="49">
        <v>0</v>
      </c>
      <c r="C6" s="49">
        <v>0</v>
      </c>
      <c r="D6" s="49">
        <v>0</v>
      </c>
      <c r="E6" s="49">
        <v>0</v>
      </c>
      <c r="F6" s="49">
        <f>SUM(B6:E6)</f>
        <v>0</v>
      </c>
    </row>
    <row r="7" spans="1:6" ht="15.5" x14ac:dyDescent="0.35">
      <c r="A7" s="48" t="s">
        <v>78</v>
      </c>
      <c r="B7" s="49">
        <v>0</v>
      </c>
      <c r="C7" s="49">
        <v>0</v>
      </c>
      <c r="D7" s="49">
        <v>0</v>
      </c>
      <c r="E7" s="49">
        <v>1</v>
      </c>
      <c r="F7" s="49">
        <f>SUM(B7:E7)</f>
        <v>1</v>
      </c>
    </row>
    <row r="8" spans="1:6" ht="15.5" x14ac:dyDescent="0.35">
      <c r="A8" s="48" t="s">
        <v>79</v>
      </c>
      <c r="B8" s="49">
        <v>0</v>
      </c>
      <c r="C8" s="49">
        <v>0</v>
      </c>
      <c r="D8" s="49">
        <v>0</v>
      </c>
      <c r="E8" s="49">
        <v>3</v>
      </c>
      <c r="F8" s="49">
        <f>SUM(B8:E8)</f>
        <v>3</v>
      </c>
    </row>
    <row r="9" spans="1:6" ht="15.5" x14ac:dyDescent="0.35">
      <c r="A9" s="47"/>
      <c r="B9" s="40"/>
      <c r="C9" s="40"/>
      <c r="D9" s="40"/>
      <c r="E9" s="50" t="s">
        <v>80</v>
      </c>
      <c r="F9" s="50">
        <f>SUM(F5:F8)</f>
        <v>5</v>
      </c>
    </row>
    <row r="10" spans="1:6" x14ac:dyDescent="0.35">
      <c r="A10" s="47"/>
      <c r="B10" s="40"/>
      <c r="C10" s="40"/>
      <c r="D10" s="40"/>
      <c r="E10" s="40"/>
      <c r="F10" s="40"/>
    </row>
    <row r="11" spans="1:6" ht="15.5" x14ac:dyDescent="0.35">
      <c r="A11" s="47" t="s">
        <v>81</v>
      </c>
      <c r="B11" s="40">
        <v>1</v>
      </c>
      <c r="C11" s="40">
        <v>0</v>
      </c>
      <c r="D11" s="40">
        <v>0</v>
      </c>
      <c r="E11" s="40">
        <v>1</v>
      </c>
      <c r="F11" s="49">
        <f>SUM(B11:E11)</f>
        <v>2</v>
      </c>
    </row>
    <row r="12" spans="1:6" ht="15.5" x14ac:dyDescent="0.35">
      <c r="A12" s="47" t="s">
        <v>82</v>
      </c>
      <c r="B12" s="40">
        <v>1</v>
      </c>
      <c r="C12" s="40">
        <v>0</v>
      </c>
      <c r="D12" s="40">
        <v>0</v>
      </c>
      <c r="E12" s="40">
        <v>0</v>
      </c>
      <c r="F12" s="49">
        <f>SUM(B12:E12)</f>
        <v>1</v>
      </c>
    </row>
    <row r="13" spans="1:6" ht="15.5" x14ac:dyDescent="0.35">
      <c r="A13" s="47" t="s">
        <v>83</v>
      </c>
      <c r="B13" s="40">
        <v>2</v>
      </c>
      <c r="C13" s="40">
        <v>1</v>
      </c>
      <c r="D13" s="40">
        <v>0</v>
      </c>
      <c r="E13" s="40">
        <v>1</v>
      </c>
      <c r="F13" s="49">
        <f>SUM(B13:E13)</f>
        <v>4</v>
      </c>
    </row>
    <row r="14" spans="1:6" ht="15.5" x14ac:dyDescent="0.35">
      <c r="A14" s="47" t="s">
        <v>84</v>
      </c>
      <c r="B14" s="40">
        <v>1</v>
      </c>
      <c r="C14" s="40">
        <v>0</v>
      </c>
      <c r="D14" s="40">
        <v>0</v>
      </c>
      <c r="E14" s="40">
        <v>0</v>
      </c>
      <c r="F14" s="49">
        <f>SUM(B14:E14)</f>
        <v>1</v>
      </c>
    </row>
    <row r="15" spans="1:6" x14ac:dyDescent="0.35">
      <c r="A15" s="47" t="s">
        <v>85</v>
      </c>
      <c r="B15" s="40"/>
      <c r="C15" s="40"/>
      <c r="D15" s="40"/>
      <c r="E15" s="40"/>
      <c r="F15" s="40"/>
    </row>
    <row r="16" spans="1:6" x14ac:dyDescent="0.35">
      <c r="A16" s="47"/>
      <c r="B16" s="40"/>
      <c r="C16" s="40"/>
      <c r="D16" s="40"/>
      <c r="E16" s="58" t="s">
        <v>86</v>
      </c>
      <c r="F16" s="58">
        <f>SUM(F11:F15)</f>
        <v>8</v>
      </c>
    </row>
    <row r="17" spans="1:6" x14ac:dyDescent="0.35">
      <c r="A17" s="47"/>
      <c r="B17" s="40"/>
      <c r="C17" s="40"/>
      <c r="D17" s="40"/>
      <c r="E17" s="40"/>
      <c r="F17" s="40"/>
    </row>
    <row r="18" spans="1:6" ht="15.5" x14ac:dyDescent="0.35">
      <c r="A18" s="54" t="s">
        <v>87</v>
      </c>
      <c r="B18" s="40">
        <v>1</v>
      </c>
      <c r="C18" s="40">
        <v>0</v>
      </c>
      <c r="D18" s="40">
        <v>0</v>
      </c>
      <c r="E18" s="40">
        <v>0</v>
      </c>
      <c r="F18" s="49">
        <f>SUM(B18:E18)</f>
        <v>1</v>
      </c>
    </row>
    <row r="19" spans="1:6" ht="15.5" x14ac:dyDescent="0.35">
      <c r="A19" s="59" t="s">
        <v>88</v>
      </c>
      <c r="B19" s="40">
        <v>1</v>
      </c>
      <c r="C19" s="40">
        <v>0</v>
      </c>
      <c r="D19" s="40">
        <v>0</v>
      </c>
      <c r="E19" s="40">
        <v>0</v>
      </c>
      <c r="F19" s="49">
        <f>SUM(B19:E19)</f>
        <v>1</v>
      </c>
    </row>
    <row r="20" spans="1:6" ht="15.5" x14ac:dyDescent="0.35">
      <c r="A20" s="47" t="s">
        <v>89</v>
      </c>
      <c r="B20" s="40">
        <v>1</v>
      </c>
      <c r="C20" s="40">
        <v>0</v>
      </c>
      <c r="D20" s="40">
        <v>1</v>
      </c>
      <c r="E20" s="40">
        <v>0</v>
      </c>
      <c r="F20" s="49">
        <f>SUM(B20:E20)</f>
        <v>2</v>
      </c>
    </row>
    <row r="21" spans="1:6" ht="15.5" x14ac:dyDescent="0.35">
      <c r="A21" s="47" t="s">
        <v>90</v>
      </c>
      <c r="B21" s="40">
        <v>1</v>
      </c>
      <c r="C21" s="40">
        <v>0</v>
      </c>
      <c r="D21" s="40">
        <v>0</v>
      </c>
      <c r="E21" s="40">
        <v>0</v>
      </c>
      <c r="F21" s="49">
        <f>SUM(B21:E21)</f>
        <v>1</v>
      </c>
    </row>
    <row r="23" spans="1:6" x14ac:dyDescent="0.35">
      <c r="A23" s="47"/>
      <c r="B23" s="40"/>
      <c r="C23" s="40"/>
      <c r="D23" s="40"/>
      <c r="E23" s="58" t="s">
        <v>91</v>
      </c>
      <c r="F23" s="58">
        <f ca="1">SUM(F18:F25)</f>
        <v>6</v>
      </c>
    </row>
    <row r="24" spans="1:6" x14ac:dyDescent="0.35">
      <c r="A24" s="47"/>
      <c r="B24" s="40"/>
      <c r="C24" s="40"/>
      <c r="D24" s="40"/>
      <c r="E24" s="40"/>
      <c r="F24" s="40"/>
    </row>
    <row r="25" spans="1:6" ht="15.5" x14ac:dyDescent="0.35">
      <c r="A25" s="47" t="s">
        <v>92</v>
      </c>
      <c r="B25" s="40">
        <v>1</v>
      </c>
      <c r="C25" s="40">
        <v>0</v>
      </c>
      <c r="D25" s="40">
        <v>0</v>
      </c>
      <c r="E25" s="40">
        <v>0</v>
      </c>
      <c r="F25" s="49">
        <f>SUM(B25:E25)</f>
        <v>1</v>
      </c>
    </row>
    <row r="26" spans="1:6" ht="15.5" x14ac:dyDescent="0.35">
      <c r="A26" s="47" t="s">
        <v>93</v>
      </c>
      <c r="B26" s="40">
        <v>5</v>
      </c>
      <c r="C26" s="40">
        <v>0</v>
      </c>
      <c r="D26" s="40">
        <v>2</v>
      </c>
      <c r="E26" s="40">
        <v>0</v>
      </c>
      <c r="F26" s="49">
        <f>SUM(B26:E26)</f>
        <v>7</v>
      </c>
    </row>
    <row r="27" spans="1:6" x14ac:dyDescent="0.35">
      <c r="A27" s="47" t="s">
        <v>94</v>
      </c>
      <c r="B27" s="40"/>
      <c r="C27" s="40"/>
      <c r="D27" s="40"/>
      <c r="E27" s="40"/>
      <c r="F27" s="40"/>
    </row>
    <row r="28" spans="1:6" x14ac:dyDescent="0.35">
      <c r="A28" s="47" t="s">
        <v>95</v>
      </c>
      <c r="B28" s="40"/>
      <c r="C28" s="40"/>
      <c r="D28" s="40"/>
      <c r="E28" s="40"/>
      <c r="F28" s="40"/>
    </row>
    <row r="29" spans="1:6" x14ac:dyDescent="0.35">
      <c r="A29" s="47"/>
      <c r="B29" s="40"/>
      <c r="C29" s="40"/>
      <c r="D29" s="40"/>
      <c r="E29" s="40"/>
      <c r="F29" s="40"/>
    </row>
    <row r="30" spans="1:6" x14ac:dyDescent="0.35">
      <c r="A30" s="47"/>
      <c r="B30" s="40"/>
      <c r="C30" s="40"/>
      <c r="D30" s="40"/>
      <c r="E30" s="40"/>
      <c r="F30" s="40"/>
    </row>
    <row r="31" spans="1:6" x14ac:dyDescent="0.35">
      <c r="A31" s="47"/>
      <c r="B31" s="40"/>
      <c r="C31" s="40"/>
      <c r="D31" s="40"/>
      <c r="E31" s="40"/>
      <c r="F31" s="40"/>
    </row>
    <row r="32" spans="1:6" x14ac:dyDescent="0.35">
      <c r="A32" s="47"/>
      <c r="B32" s="40"/>
      <c r="C32" s="40"/>
      <c r="D32" s="40"/>
      <c r="E32" s="40"/>
      <c r="F32" s="40"/>
    </row>
    <row r="33" spans="1:6" x14ac:dyDescent="0.35">
      <c r="A33" s="47"/>
      <c r="B33" s="40"/>
      <c r="C33" s="40"/>
      <c r="D33" s="40"/>
      <c r="E33" s="40"/>
      <c r="F33" s="40"/>
    </row>
    <row r="34" spans="1:6" x14ac:dyDescent="0.35">
      <c r="A34" s="47"/>
      <c r="B34" s="40"/>
      <c r="C34" s="40"/>
      <c r="D34" s="40"/>
      <c r="E34" s="40"/>
      <c r="F34" s="40"/>
    </row>
    <row r="35" spans="1:6" x14ac:dyDescent="0.35">
      <c r="A35" s="47"/>
      <c r="B35" s="40"/>
      <c r="C35" s="40"/>
      <c r="D35" s="40"/>
      <c r="E35" s="40"/>
      <c r="F35" s="40"/>
    </row>
    <row r="36" spans="1:6" x14ac:dyDescent="0.35">
      <c r="A36" s="47"/>
      <c r="B36" s="40"/>
      <c r="C36" s="40"/>
      <c r="D36" s="40"/>
      <c r="E36" s="40"/>
      <c r="F36" s="40"/>
    </row>
    <row r="37" spans="1:6" x14ac:dyDescent="0.35">
      <c r="A37" s="47"/>
      <c r="B37" s="40"/>
      <c r="C37" s="40"/>
      <c r="D37" s="40"/>
      <c r="E37" s="40"/>
      <c r="F37" s="40"/>
    </row>
    <row r="38" spans="1:6" x14ac:dyDescent="0.35">
      <c r="A38" s="47"/>
      <c r="B38" s="40"/>
      <c r="C38" s="40"/>
      <c r="D38" s="40"/>
      <c r="E38" s="40"/>
      <c r="F38" s="40"/>
    </row>
    <row r="39" spans="1:6" x14ac:dyDescent="0.35">
      <c r="A39" s="47"/>
      <c r="B39" s="40"/>
      <c r="C39" s="40"/>
      <c r="D39" s="40"/>
      <c r="E39" s="40"/>
      <c r="F39" s="40"/>
    </row>
    <row r="40" spans="1:6" x14ac:dyDescent="0.35">
      <c r="A40" s="47"/>
      <c r="B40" s="40"/>
      <c r="C40" s="40"/>
      <c r="D40" s="40"/>
      <c r="E40" s="40"/>
      <c r="F40" s="40"/>
    </row>
    <row r="41" spans="1:6" x14ac:dyDescent="0.35">
      <c r="A41" s="47"/>
      <c r="B41" s="40"/>
      <c r="C41" s="40"/>
      <c r="D41" s="40"/>
      <c r="E41" s="40"/>
      <c r="F41" s="40"/>
    </row>
    <row r="42" spans="1:6" x14ac:dyDescent="0.35">
      <c r="A42" s="47"/>
      <c r="B42" s="40"/>
      <c r="C42" s="40"/>
      <c r="D42" s="40"/>
      <c r="E42" s="40"/>
      <c r="F42" s="40"/>
    </row>
    <row r="43" spans="1:6" x14ac:dyDescent="0.35">
      <c r="A43" s="47"/>
      <c r="B43" s="40"/>
      <c r="C43" s="40"/>
      <c r="D43" s="40"/>
      <c r="E43" s="40"/>
      <c r="F43" s="40"/>
    </row>
    <row r="44" spans="1:6" x14ac:dyDescent="0.35">
      <c r="A44" s="47"/>
      <c r="B44" s="40"/>
      <c r="C44" s="40"/>
      <c r="D44" s="40"/>
      <c r="E44" s="40"/>
      <c r="F44" s="40"/>
    </row>
    <row r="45" spans="1:6" x14ac:dyDescent="0.35">
      <c r="B45" s="46"/>
      <c r="C45" s="46"/>
      <c r="D45" s="46"/>
      <c r="E45" s="46"/>
      <c r="F45" s="46"/>
    </row>
    <row r="46" spans="1:6" x14ac:dyDescent="0.35">
      <c r="B46" s="46"/>
      <c r="C46" s="46"/>
      <c r="D46" s="46"/>
      <c r="E46" s="46"/>
      <c r="F46" s="46"/>
    </row>
    <row r="47" spans="1:6" x14ac:dyDescent="0.35">
      <c r="B47" s="46"/>
      <c r="C47" s="46"/>
      <c r="D47" s="46"/>
      <c r="E47" s="46"/>
      <c r="F47" s="4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C6D4-5B32-4E61-9C04-AE215395C73F}">
  <dimension ref="C3:D7"/>
  <sheetViews>
    <sheetView workbookViewId="0">
      <selection activeCell="C3" sqref="C3:D7"/>
    </sheetView>
  </sheetViews>
  <sheetFormatPr baseColWidth="10" defaultColWidth="9.1796875" defaultRowHeight="14.5" x14ac:dyDescent="0.35"/>
  <cols>
    <col min="3" max="3" width="25.7265625" bestFit="1" customWidth="1"/>
    <col min="4" max="4" width="9.26953125" bestFit="1" customWidth="1"/>
  </cols>
  <sheetData>
    <row r="3" spans="3:4" x14ac:dyDescent="0.35">
      <c r="C3" t="s">
        <v>96</v>
      </c>
      <c r="D3" t="s">
        <v>97</v>
      </c>
    </row>
    <row r="4" spans="3:4" x14ac:dyDescent="0.35">
      <c r="C4" t="s">
        <v>98</v>
      </c>
      <c r="D4" t="s">
        <v>99</v>
      </c>
    </row>
    <row r="5" spans="3:4" x14ac:dyDescent="0.35">
      <c r="C5" t="s">
        <v>100</v>
      </c>
      <c r="D5" t="s">
        <v>101</v>
      </c>
    </row>
    <row r="6" spans="3:4" x14ac:dyDescent="0.35">
      <c r="C6" t="s">
        <v>102</v>
      </c>
    </row>
    <row r="7" spans="3:4" x14ac:dyDescent="0.35">
      <c r="C7" t="s">
        <v>103</v>
      </c>
    </row>
  </sheetData>
  <dataValidations count="1">
    <dataValidation type="list" allowBlank="1" showInputMessage="1" showErrorMessage="1" sqref="D4:D5" xr:uid="{77D4FAA1-D117-47CE-8BA5-1166CEC0A480}">
      <formula1>$D$4:$D$5</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0D5D-8F50-4478-A7E4-780525B58B67}">
  <dimension ref="A1:Z87"/>
  <sheetViews>
    <sheetView workbookViewId="0">
      <selection activeCell="F1" sqref="F1"/>
    </sheetView>
  </sheetViews>
  <sheetFormatPr baseColWidth="10" defaultRowHeight="14.5" x14ac:dyDescent="0.35"/>
  <cols>
    <col min="1" max="1" width="5" bestFit="1" customWidth="1"/>
    <col min="2" max="2" width="8" bestFit="1" customWidth="1"/>
    <col min="3" max="3" width="13.54296875" bestFit="1" customWidth="1"/>
    <col min="4" max="4" width="12.453125" bestFit="1" customWidth="1"/>
    <col min="6" max="6" width="25.453125" bestFit="1" customWidth="1"/>
    <col min="7" max="7" width="9.453125" bestFit="1" customWidth="1"/>
    <col min="8" max="8" width="8.81640625" bestFit="1" customWidth="1"/>
    <col min="9" max="9" width="20.54296875" bestFit="1" customWidth="1"/>
    <col min="10" max="10" width="24.54296875" bestFit="1" customWidth="1"/>
    <col min="11" max="11" width="23.26953125" bestFit="1" customWidth="1"/>
    <col min="12" max="12" width="24.453125" bestFit="1" customWidth="1"/>
    <col min="13" max="13" width="27.81640625" bestFit="1" customWidth="1"/>
    <col min="14" max="14" width="23.81640625" bestFit="1" customWidth="1"/>
    <col min="15" max="15" width="23.26953125" bestFit="1" customWidth="1"/>
    <col min="16" max="16" width="26.81640625" bestFit="1" customWidth="1"/>
    <col min="17" max="17" width="21.54296875" bestFit="1" customWidth="1"/>
    <col min="18" max="18" width="19.54296875" bestFit="1" customWidth="1"/>
    <col min="19" max="19" width="21" bestFit="1" customWidth="1"/>
    <col min="20" max="20" width="20.54296875" bestFit="1" customWidth="1"/>
    <col min="21" max="21" width="25.1796875" bestFit="1" customWidth="1"/>
    <col min="22" max="22" width="26.54296875" bestFit="1" customWidth="1"/>
    <col min="23" max="23" width="25.81640625" bestFit="1" customWidth="1"/>
    <col min="24" max="24" width="17.7265625" bestFit="1" customWidth="1"/>
    <col min="25" max="25" width="14.1796875" bestFit="1" customWidth="1"/>
    <col min="26" max="26" width="21.26953125" bestFit="1" customWidth="1"/>
  </cols>
  <sheetData>
    <row r="1" spans="1:26" x14ac:dyDescent="0.35">
      <c r="A1" s="76" t="s">
        <v>104</v>
      </c>
      <c r="B1" s="76" t="s">
        <v>34</v>
      </c>
      <c r="C1" s="76" t="s">
        <v>105</v>
      </c>
      <c r="D1" s="76" t="s">
        <v>106</v>
      </c>
      <c r="E1" s="76" t="s">
        <v>107</v>
      </c>
      <c r="F1" s="76" t="s">
        <v>108</v>
      </c>
      <c r="G1" s="76" t="s">
        <v>109</v>
      </c>
      <c r="H1" s="76" t="s">
        <v>110</v>
      </c>
      <c r="I1" s="76" t="s">
        <v>111</v>
      </c>
      <c r="J1" s="76" t="s">
        <v>112</v>
      </c>
      <c r="K1" s="76" t="s">
        <v>113</v>
      </c>
      <c r="L1" s="76" t="s">
        <v>114</v>
      </c>
      <c r="M1" s="76" t="s">
        <v>115</v>
      </c>
      <c r="N1" s="76" t="s">
        <v>116</v>
      </c>
      <c r="O1" s="76" t="s">
        <v>117</v>
      </c>
      <c r="P1" s="76" t="s">
        <v>118</v>
      </c>
      <c r="Q1" s="76" t="s">
        <v>119</v>
      </c>
      <c r="R1" s="76" t="s">
        <v>120</v>
      </c>
      <c r="S1" s="76" t="s">
        <v>121</v>
      </c>
      <c r="T1" s="76" t="s">
        <v>122</v>
      </c>
      <c r="U1" s="76" t="s">
        <v>123</v>
      </c>
      <c r="V1" s="76" t="s">
        <v>124</v>
      </c>
      <c r="W1" s="76" t="s">
        <v>125</v>
      </c>
      <c r="X1" s="76" t="s">
        <v>126</v>
      </c>
      <c r="Y1" s="76" t="s">
        <v>127</v>
      </c>
      <c r="Z1" s="76" t="s">
        <v>128</v>
      </c>
    </row>
    <row r="2" spans="1:26" x14ac:dyDescent="0.35">
      <c r="A2">
        <v>2024</v>
      </c>
      <c r="B2">
        <v>28</v>
      </c>
      <c r="C2" t="s">
        <v>129</v>
      </c>
      <c r="D2" s="75">
        <v>45475</v>
      </c>
      <c r="E2" s="75">
        <v>45482</v>
      </c>
      <c r="F2">
        <v>668</v>
      </c>
      <c r="I2">
        <v>27</v>
      </c>
      <c r="J2">
        <v>22</v>
      </c>
      <c r="K2">
        <v>6</v>
      </c>
      <c r="L2">
        <v>0</v>
      </c>
      <c r="M2">
        <v>10</v>
      </c>
      <c r="N2">
        <v>0</v>
      </c>
      <c r="O2">
        <v>11</v>
      </c>
      <c r="P2">
        <v>5</v>
      </c>
      <c r="Q2">
        <v>2434426475</v>
      </c>
      <c r="R2">
        <v>89550463</v>
      </c>
      <c r="S2">
        <v>0</v>
      </c>
      <c r="T2">
        <v>4558004</v>
      </c>
      <c r="U2">
        <v>76231929</v>
      </c>
      <c r="V2">
        <v>0</v>
      </c>
      <c r="W2">
        <v>0</v>
      </c>
      <c r="X2">
        <v>2344876012</v>
      </c>
      <c r="Y2" s="77">
        <v>3.6785034963933344E-2</v>
      </c>
    </row>
    <row r="3" spans="1:26" x14ac:dyDescent="0.35">
      <c r="A3">
        <v>2024</v>
      </c>
      <c r="B3">
        <v>29</v>
      </c>
      <c r="C3" t="s">
        <v>130</v>
      </c>
      <c r="D3" s="75">
        <v>45483</v>
      </c>
      <c r="E3" s="75">
        <v>45489</v>
      </c>
      <c r="F3">
        <v>451</v>
      </c>
      <c r="I3">
        <v>14</v>
      </c>
      <c r="J3">
        <v>11</v>
      </c>
      <c r="K3">
        <v>3</v>
      </c>
      <c r="L3">
        <v>0</v>
      </c>
      <c r="M3">
        <v>4</v>
      </c>
      <c r="N3">
        <v>0</v>
      </c>
      <c r="O3">
        <v>6</v>
      </c>
      <c r="P3">
        <v>3</v>
      </c>
      <c r="Q3">
        <v>1781607021</v>
      </c>
      <c r="R3">
        <v>57482781</v>
      </c>
      <c r="S3">
        <v>56481631</v>
      </c>
      <c r="T3">
        <v>154700</v>
      </c>
      <c r="U3">
        <v>57328081</v>
      </c>
      <c r="V3">
        <v>841330</v>
      </c>
      <c r="W3">
        <v>2891069</v>
      </c>
      <c r="X3">
        <v>1724124240</v>
      </c>
      <c r="Y3" s="77">
        <v>3.2264568068291193E-2</v>
      </c>
    </row>
    <row r="4" spans="1:26" x14ac:dyDescent="0.35">
      <c r="A4">
        <v>2024</v>
      </c>
      <c r="B4">
        <v>30</v>
      </c>
      <c r="C4" t="s">
        <v>131</v>
      </c>
      <c r="D4" s="75">
        <v>45490</v>
      </c>
      <c r="E4" s="75">
        <v>45496</v>
      </c>
      <c r="F4">
        <v>443</v>
      </c>
      <c r="I4">
        <v>25</v>
      </c>
      <c r="J4">
        <v>15</v>
      </c>
      <c r="K4">
        <v>3</v>
      </c>
      <c r="L4">
        <v>0</v>
      </c>
      <c r="M4">
        <v>4</v>
      </c>
      <c r="N4">
        <v>0</v>
      </c>
      <c r="O4">
        <v>17</v>
      </c>
      <c r="P4">
        <v>10</v>
      </c>
      <c r="Q4">
        <v>1744411864</v>
      </c>
      <c r="R4">
        <v>93475643</v>
      </c>
      <c r="S4">
        <v>64360359</v>
      </c>
      <c r="T4">
        <v>0</v>
      </c>
      <c r="U4">
        <v>4093779</v>
      </c>
      <c r="V4">
        <v>14188518</v>
      </c>
      <c r="W4">
        <v>375445</v>
      </c>
      <c r="X4">
        <v>1650936221</v>
      </c>
      <c r="Y4" s="77">
        <v>5.3585764307780469E-2</v>
      </c>
    </row>
    <row r="5" spans="1:26" x14ac:dyDescent="0.35">
      <c r="A5">
        <v>2024</v>
      </c>
      <c r="B5">
        <v>31</v>
      </c>
      <c r="C5" t="s">
        <v>132</v>
      </c>
      <c r="D5" s="75">
        <v>45497</v>
      </c>
      <c r="E5" s="75">
        <v>45503</v>
      </c>
      <c r="F5">
        <v>128</v>
      </c>
      <c r="I5">
        <v>20</v>
      </c>
      <c r="J5">
        <v>11</v>
      </c>
      <c r="K5">
        <v>1</v>
      </c>
      <c r="L5">
        <v>0</v>
      </c>
      <c r="M5">
        <v>0</v>
      </c>
      <c r="N5">
        <v>0</v>
      </c>
      <c r="O5">
        <v>10</v>
      </c>
      <c r="P5">
        <v>9</v>
      </c>
      <c r="Q5">
        <v>611297854</v>
      </c>
      <c r="R5">
        <v>8581926</v>
      </c>
      <c r="S5">
        <v>7509098</v>
      </c>
      <c r="T5">
        <v>0</v>
      </c>
      <c r="U5">
        <v>450000</v>
      </c>
      <c r="V5">
        <v>347480</v>
      </c>
      <c r="W5">
        <v>426206</v>
      </c>
      <c r="X5">
        <v>602715928</v>
      </c>
      <c r="Y5" s="77">
        <v>1.4038861651230335E-2</v>
      </c>
    </row>
    <row r="6" spans="1:26" x14ac:dyDescent="0.35">
      <c r="A6">
        <v>2024</v>
      </c>
      <c r="B6">
        <v>32</v>
      </c>
      <c r="C6" t="s">
        <v>133</v>
      </c>
      <c r="D6" s="75">
        <v>45504</v>
      </c>
      <c r="E6" s="75">
        <v>45510</v>
      </c>
      <c r="F6">
        <v>577</v>
      </c>
      <c r="I6">
        <v>20</v>
      </c>
      <c r="J6">
        <v>17</v>
      </c>
      <c r="K6">
        <v>2</v>
      </c>
      <c r="L6">
        <v>0</v>
      </c>
      <c r="M6">
        <v>8</v>
      </c>
      <c r="N6">
        <v>2</v>
      </c>
      <c r="O6">
        <v>5</v>
      </c>
      <c r="P6">
        <v>3</v>
      </c>
      <c r="Q6">
        <v>2926705380</v>
      </c>
      <c r="R6">
        <v>155579507</v>
      </c>
      <c r="S6">
        <v>149572161</v>
      </c>
      <c r="T6">
        <v>56721225</v>
      </c>
      <c r="U6">
        <v>92850936</v>
      </c>
      <c r="V6">
        <v>3508346</v>
      </c>
      <c r="W6">
        <v>2499000</v>
      </c>
      <c r="X6">
        <v>2771125873</v>
      </c>
      <c r="Y6" s="77">
        <v>5.3158581681358036E-2</v>
      </c>
    </row>
    <row r="7" spans="1:26" x14ac:dyDescent="0.35">
      <c r="A7">
        <v>2024</v>
      </c>
      <c r="B7">
        <v>33</v>
      </c>
      <c r="C7" t="s">
        <v>134</v>
      </c>
      <c r="D7" s="75">
        <v>45511</v>
      </c>
      <c r="E7" s="75">
        <v>45517</v>
      </c>
      <c r="F7">
        <v>465</v>
      </c>
      <c r="G7">
        <v>4257</v>
      </c>
      <c r="H7">
        <v>4276</v>
      </c>
      <c r="I7">
        <v>20</v>
      </c>
      <c r="J7">
        <v>14</v>
      </c>
      <c r="K7">
        <v>6</v>
      </c>
      <c r="L7">
        <v>0</v>
      </c>
      <c r="M7">
        <v>3</v>
      </c>
      <c r="N7">
        <v>0</v>
      </c>
      <c r="O7">
        <v>5</v>
      </c>
      <c r="P7">
        <v>6</v>
      </c>
      <c r="Q7">
        <v>1294428975</v>
      </c>
      <c r="R7">
        <v>37689117</v>
      </c>
      <c r="S7">
        <v>35929601</v>
      </c>
      <c r="T7">
        <v>25510750</v>
      </c>
      <c r="U7">
        <v>9336145</v>
      </c>
      <c r="V7">
        <v>848206</v>
      </c>
      <c r="W7">
        <v>410319.14</v>
      </c>
      <c r="X7">
        <v>1256739858</v>
      </c>
      <c r="Y7" s="77">
        <v>2.9116404011274546E-2</v>
      </c>
    </row>
    <row r="8" spans="1:26" x14ac:dyDescent="0.35">
      <c r="A8">
        <v>2024</v>
      </c>
      <c r="B8">
        <v>34</v>
      </c>
      <c r="C8" t="s">
        <v>135</v>
      </c>
      <c r="D8" s="75">
        <v>45518</v>
      </c>
      <c r="E8" s="75">
        <v>45524</v>
      </c>
      <c r="F8">
        <v>409</v>
      </c>
      <c r="G8">
        <v>4277</v>
      </c>
      <c r="H8">
        <v>4292</v>
      </c>
      <c r="I8">
        <v>16</v>
      </c>
      <c r="J8">
        <v>12</v>
      </c>
      <c r="K8">
        <v>3</v>
      </c>
      <c r="L8">
        <v>0</v>
      </c>
      <c r="M8">
        <v>6</v>
      </c>
      <c r="N8">
        <v>0</v>
      </c>
      <c r="O8">
        <v>3</v>
      </c>
      <c r="P8">
        <v>4</v>
      </c>
      <c r="Q8">
        <v>1420404107</v>
      </c>
      <c r="R8">
        <v>98979028.159999996</v>
      </c>
      <c r="S8">
        <v>97622766.120000005</v>
      </c>
      <c r="T8">
        <v>14366870</v>
      </c>
      <c r="U8">
        <v>22165843</v>
      </c>
      <c r="V8">
        <v>1140186.6000000001</v>
      </c>
      <c r="W8">
        <v>216074.94</v>
      </c>
      <c r="X8">
        <v>1321425078.8399999</v>
      </c>
      <c r="Y8" s="77">
        <v>6.9683710200649257E-2</v>
      </c>
    </row>
    <row r="9" spans="1:26" x14ac:dyDescent="0.35">
      <c r="A9">
        <v>2024</v>
      </c>
      <c r="B9">
        <v>35</v>
      </c>
      <c r="C9" t="s">
        <v>136</v>
      </c>
      <c r="D9" s="75">
        <v>45525</v>
      </c>
      <c r="E9" s="75">
        <v>45531</v>
      </c>
      <c r="F9">
        <v>275</v>
      </c>
      <c r="G9">
        <v>4293</v>
      </c>
      <c r="H9">
        <v>4306</v>
      </c>
      <c r="I9">
        <v>14</v>
      </c>
      <c r="J9">
        <v>12</v>
      </c>
      <c r="K9">
        <v>3</v>
      </c>
      <c r="L9">
        <v>0</v>
      </c>
      <c r="M9">
        <v>7</v>
      </c>
      <c r="N9">
        <v>0</v>
      </c>
      <c r="O9">
        <v>2</v>
      </c>
      <c r="P9">
        <v>2</v>
      </c>
      <c r="Q9">
        <v>1533791399</v>
      </c>
      <c r="R9">
        <v>30783667</v>
      </c>
      <c r="S9">
        <v>26901650</v>
      </c>
      <c r="T9">
        <v>4304640</v>
      </c>
      <c r="U9">
        <v>21389160</v>
      </c>
      <c r="V9">
        <v>157316</v>
      </c>
      <c r="W9">
        <v>3724700</v>
      </c>
      <c r="X9">
        <v>1503007732</v>
      </c>
      <c r="Y9" s="77">
        <v>2.007030879171073E-2</v>
      </c>
    </row>
    <row r="10" spans="1:26" x14ac:dyDescent="0.35">
      <c r="A10">
        <v>2024</v>
      </c>
      <c r="B10">
        <v>36</v>
      </c>
      <c r="C10" t="s">
        <v>137</v>
      </c>
      <c r="D10" s="75">
        <v>45532</v>
      </c>
      <c r="E10" s="75">
        <v>45538</v>
      </c>
      <c r="F10">
        <v>449</v>
      </c>
      <c r="G10">
        <v>4307</v>
      </c>
      <c r="H10">
        <v>4334</v>
      </c>
      <c r="I10">
        <v>28</v>
      </c>
      <c r="J10">
        <v>18</v>
      </c>
      <c r="K10">
        <v>4</v>
      </c>
      <c r="L10">
        <v>0</v>
      </c>
      <c r="M10">
        <v>8</v>
      </c>
      <c r="N10">
        <v>0</v>
      </c>
      <c r="O10">
        <v>6</v>
      </c>
      <c r="P10">
        <v>10</v>
      </c>
      <c r="Q10">
        <v>2034851461</v>
      </c>
      <c r="R10">
        <v>99162776</v>
      </c>
      <c r="S10">
        <v>95435994</v>
      </c>
      <c r="T10">
        <v>58255600</v>
      </c>
      <c r="U10">
        <v>10156797</v>
      </c>
      <c r="V10">
        <v>0</v>
      </c>
      <c r="W10">
        <v>3588922</v>
      </c>
      <c r="X10">
        <v>1935688685</v>
      </c>
      <c r="Y10" s="77">
        <v>4.8732193922040777E-2</v>
      </c>
    </row>
    <row r="11" spans="1:26" x14ac:dyDescent="0.35">
      <c r="A11">
        <v>2024</v>
      </c>
      <c r="B11">
        <v>37</v>
      </c>
      <c r="C11" t="s">
        <v>138</v>
      </c>
      <c r="D11" s="75">
        <v>45539</v>
      </c>
      <c r="E11" s="75">
        <v>45545</v>
      </c>
      <c r="F11">
        <v>506</v>
      </c>
      <c r="G11">
        <v>4335</v>
      </c>
      <c r="H11">
        <v>4359</v>
      </c>
      <c r="I11">
        <v>25</v>
      </c>
      <c r="J11">
        <v>19</v>
      </c>
      <c r="K11">
        <v>3</v>
      </c>
      <c r="L11">
        <v>0</v>
      </c>
      <c r="M11">
        <v>6</v>
      </c>
      <c r="N11">
        <v>0</v>
      </c>
      <c r="O11">
        <v>10</v>
      </c>
      <c r="P11">
        <v>6</v>
      </c>
      <c r="Q11">
        <v>2245832145</v>
      </c>
      <c r="R11">
        <v>292494682</v>
      </c>
      <c r="S11">
        <v>281367986</v>
      </c>
      <c r="T11">
        <v>2190294</v>
      </c>
      <c r="U11">
        <v>173267899</v>
      </c>
      <c r="V11">
        <v>0</v>
      </c>
      <c r="W11">
        <v>21809245</v>
      </c>
      <c r="X11">
        <v>1953337463</v>
      </c>
      <c r="Y11" s="77">
        <v>0.13023888835645819</v>
      </c>
    </row>
    <row r="12" spans="1:26" x14ac:dyDescent="0.35">
      <c r="A12">
        <v>2024</v>
      </c>
      <c r="B12">
        <v>38</v>
      </c>
      <c r="C12" t="s">
        <v>139</v>
      </c>
      <c r="D12" s="75">
        <v>45546</v>
      </c>
      <c r="E12" s="75">
        <v>45552</v>
      </c>
      <c r="F12">
        <v>430</v>
      </c>
      <c r="G12">
        <v>4360</v>
      </c>
      <c r="H12">
        <v>4388</v>
      </c>
      <c r="I12">
        <v>29</v>
      </c>
      <c r="J12">
        <v>23</v>
      </c>
      <c r="K12">
        <v>8</v>
      </c>
      <c r="L12">
        <v>0</v>
      </c>
      <c r="M12">
        <v>6</v>
      </c>
      <c r="N12">
        <v>0</v>
      </c>
      <c r="O12">
        <v>9</v>
      </c>
      <c r="P12">
        <v>6</v>
      </c>
      <c r="Q12">
        <v>1971219536</v>
      </c>
      <c r="R12">
        <v>98716616</v>
      </c>
      <c r="S12">
        <v>85229985</v>
      </c>
      <c r="T12">
        <v>16863269</v>
      </c>
      <c r="U12">
        <v>14238990</v>
      </c>
      <c r="V12">
        <v>1025661</v>
      </c>
      <c r="W12">
        <v>1748574</v>
      </c>
      <c r="X12">
        <v>1872502920</v>
      </c>
      <c r="Y12" s="77">
        <v>5.0078955792167028E-2</v>
      </c>
    </row>
    <row r="13" spans="1:26" x14ac:dyDescent="0.35">
      <c r="A13">
        <v>2024</v>
      </c>
      <c r="B13">
        <v>39</v>
      </c>
      <c r="C13" t="s">
        <v>140</v>
      </c>
      <c r="D13" s="75">
        <v>45553</v>
      </c>
      <c r="E13" s="75">
        <v>45559</v>
      </c>
      <c r="F13">
        <v>451</v>
      </c>
      <c r="G13">
        <v>4389</v>
      </c>
      <c r="H13">
        <v>4415</v>
      </c>
      <c r="I13">
        <v>27</v>
      </c>
      <c r="J13">
        <v>21</v>
      </c>
      <c r="K13">
        <v>9</v>
      </c>
      <c r="L13">
        <v>0</v>
      </c>
      <c r="M13">
        <v>4</v>
      </c>
      <c r="N13">
        <v>1</v>
      </c>
      <c r="O13">
        <v>13</v>
      </c>
      <c r="P13">
        <v>6</v>
      </c>
      <c r="Q13">
        <v>2718967070</v>
      </c>
      <c r="R13">
        <v>96913673</v>
      </c>
      <c r="S13">
        <v>66060439</v>
      </c>
      <c r="T13">
        <v>48730931</v>
      </c>
      <c r="U13">
        <v>9981226</v>
      </c>
      <c r="V13">
        <v>3459568</v>
      </c>
      <c r="W13">
        <v>10655669</v>
      </c>
      <c r="X13">
        <v>2622053397</v>
      </c>
      <c r="Y13" s="77">
        <v>3.5643562612179776E-2</v>
      </c>
    </row>
    <row r="14" spans="1:26" x14ac:dyDescent="0.35">
      <c r="A14">
        <v>2024</v>
      </c>
      <c r="B14">
        <v>40</v>
      </c>
      <c r="C14" t="s">
        <v>141</v>
      </c>
      <c r="D14" s="75">
        <v>45560</v>
      </c>
      <c r="E14" s="75">
        <v>45566</v>
      </c>
      <c r="F14">
        <v>313</v>
      </c>
      <c r="G14">
        <v>4416</v>
      </c>
      <c r="H14">
        <v>4433</v>
      </c>
      <c r="I14">
        <v>18</v>
      </c>
      <c r="J14">
        <v>10</v>
      </c>
      <c r="K14">
        <v>3</v>
      </c>
      <c r="L14">
        <v>0</v>
      </c>
      <c r="M14">
        <v>2</v>
      </c>
      <c r="N14">
        <v>2</v>
      </c>
      <c r="O14">
        <v>3</v>
      </c>
      <c r="P14">
        <v>8</v>
      </c>
      <c r="Q14">
        <v>1530373539</v>
      </c>
      <c r="R14">
        <v>138625405</v>
      </c>
      <c r="S14">
        <v>178772411</v>
      </c>
      <c r="T14">
        <v>20451054</v>
      </c>
      <c r="U14">
        <v>4704376</v>
      </c>
      <c r="V14">
        <v>1603465</v>
      </c>
      <c r="W14">
        <v>4795700</v>
      </c>
      <c r="X14">
        <v>1391748134</v>
      </c>
      <c r="Y14" s="77">
        <v>9.0582724718687127E-2</v>
      </c>
    </row>
    <row r="15" spans="1:26" x14ac:dyDescent="0.35">
      <c r="A15">
        <v>2024</v>
      </c>
      <c r="B15">
        <v>41</v>
      </c>
      <c r="C15" t="s">
        <v>142</v>
      </c>
      <c r="D15" s="75">
        <v>45567</v>
      </c>
      <c r="E15" s="75">
        <v>45573</v>
      </c>
      <c r="F15">
        <v>620</v>
      </c>
      <c r="G15">
        <v>4434</v>
      </c>
      <c r="H15">
        <v>4470</v>
      </c>
      <c r="I15">
        <v>37</v>
      </c>
      <c r="J15">
        <v>28</v>
      </c>
      <c r="K15">
        <v>6</v>
      </c>
      <c r="L15">
        <v>0</v>
      </c>
      <c r="M15">
        <v>14</v>
      </c>
      <c r="N15">
        <v>1</v>
      </c>
      <c r="O15">
        <v>7</v>
      </c>
      <c r="P15">
        <v>9</v>
      </c>
      <c r="Q15">
        <v>2446166505</v>
      </c>
      <c r="R15">
        <v>635745376</v>
      </c>
      <c r="S15">
        <v>634208366</v>
      </c>
      <c r="T15">
        <v>43471767</v>
      </c>
      <c r="U15">
        <v>574710370</v>
      </c>
      <c r="V15">
        <v>737919</v>
      </c>
      <c r="W15">
        <v>5201668</v>
      </c>
      <c r="X15">
        <v>1810421129</v>
      </c>
      <c r="Y15" s="77">
        <v>0.25989456347330697</v>
      </c>
    </row>
    <row r="16" spans="1:26" x14ac:dyDescent="0.35">
      <c r="A16">
        <v>2024</v>
      </c>
      <c r="B16">
        <v>42</v>
      </c>
      <c r="C16" t="s">
        <v>143</v>
      </c>
      <c r="D16" s="75">
        <v>45574</v>
      </c>
      <c r="E16" s="75">
        <v>45580</v>
      </c>
      <c r="F16">
        <v>425</v>
      </c>
      <c r="G16">
        <v>4471</v>
      </c>
      <c r="H16">
        <v>4489</v>
      </c>
      <c r="I16">
        <v>19</v>
      </c>
      <c r="J16">
        <v>18</v>
      </c>
      <c r="K16">
        <v>8</v>
      </c>
      <c r="L16">
        <v>0</v>
      </c>
      <c r="M16">
        <v>2</v>
      </c>
      <c r="N16">
        <v>4</v>
      </c>
      <c r="O16">
        <v>4</v>
      </c>
      <c r="P16">
        <v>1</v>
      </c>
      <c r="Q16">
        <v>2402665134</v>
      </c>
      <c r="R16">
        <v>150330947</v>
      </c>
      <c r="S16">
        <v>143006492</v>
      </c>
      <c r="T16">
        <v>107507057</v>
      </c>
      <c r="U16">
        <v>952157</v>
      </c>
      <c r="V16">
        <v>0</v>
      </c>
      <c r="W16">
        <v>4750</v>
      </c>
      <c r="X16">
        <v>2252334187</v>
      </c>
      <c r="Y16" s="77">
        <v>6.256841408012874E-2</v>
      </c>
    </row>
    <row r="17" spans="1:25" x14ac:dyDescent="0.35">
      <c r="A17">
        <v>2024</v>
      </c>
      <c r="B17">
        <v>43</v>
      </c>
      <c r="C17" t="s">
        <v>144</v>
      </c>
      <c r="D17" s="75">
        <v>45581</v>
      </c>
      <c r="E17" s="75">
        <v>45587</v>
      </c>
      <c r="F17">
        <v>522</v>
      </c>
      <c r="G17">
        <v>4490</v>
      </c>
      <c r="H17">
        <v>4512</v>
      </c>
      <c r="I17">
        <v>23</v>
      </c>
      <c r="J17">
        <v>20</v>
      </c>
      <c r="K17">
        <v>6</v>
      </c>
      <c r="L17">
        <v>0</v>
      </c>
      <c r="M17">
        <v>5</v>
      </c>
      <c r="N17">
        <v>1</v>
      </c>
      <c r="O17">
        <v>8</v>
      </c>
      <c r="P17">
        <v>3</v>
      </c>
      <c r="Q17">
        <v>2052136937</v>
      </c>
      <c r="R17">
        <v>70132765</v>
      </c>
      <c r="S17">
        <v>42709266</v>
      </c>
      <c r="T17">
        <v>35143734</v>
      </c>
      <c r="U17">
        <v>13269200</v>
      </c>
      <c r="V17">
        <v>344386</v>
      </c>
      <c r="W17">
        <v>1594197</v>
      </c>
      <c r="X17">
        <v>1982004172</v>
      </c>
      <c r="Y17" s="77">
        <v>3.4175480074212998E-2</v>
      </c>
    </row>
    <row r="18" spans="1:25" x14ac:dyDescent="0.35">
      <c r="A18">
        <v>2024</v>
      </c>
      <c r="B18">
        <v>44</v>
      </c>
      <c r="C18" t="s">
        <v>145</v>
      </c>
      <c r="D18" s="75">
        <v>45588</v>
      </c>
      <c r="E18" s="75">
        <v>45594</v>
      </c>
      <c r="F18">
        <v>234</v>
      </c>
      <c r="G18">
        <v>4513</v>
      </c>
      <c r="H18">
        <v>4538</v>
      </c>
      <c r="I18">
        <v>16</v>
      </c>
      <c r="J18">
        <v>10</v>
      </c>
      <c r="K18">
        <v>9</v>
      </c>
      <c r="L18">
        <v>0</v>
      </c>
      <c r="M18">
        <v>1</v>
      </c>
      <c r="N18">
        <v>0</v>
      </c>
      <c r="O18">
        <v>0</v>
      </c>
      <c r="P18">
        <v>6</v>
      </c>
      <c r="Q18">
        <v>1138362081</v>
      </c>
      <c r="R18">
        <v>125815721</v>
      </c>
      <c r="S18">
        <v>124096897</v>
      </c>
      <c r="T18">
        <v>21859214</v>
      </c>
      <c r="U18">
        <v>297500</v>
      </c>
      <c r="V18">
        <v>1497594</v>
      </c>
      <c r="W18">
        <v>2105854</v>
      </c>
      <c r="X18">
        <v>1012546360</v>
      </c>
      <c r="Y18" s="77">
        <v>0.11052346445822979</v>
      </c>
    </row>
    <row r="19" spans="1:25" x14ac:dyDescent="0.35">
      <c r="A19">
        <v>2024</v>
      </c>
      <c r="B19">
        <v>45</v>
      </c>
      <c r="C19" t="s">
        <v>146</v>
      </c>
      <c r="D19" s="75">
        <v>45595</v>
      </c>
      <c r="E19" s="75">
        <v>45601</v>
      </c>
      <c r="F19">
        <v>332</v>
      </c>
      <c r="G19">
        <v>4539</v>
      </c>
      <c r="H19">
        <v>4567</v>
      </c>
      <c r="I19">
        <v>29</v>
      </c>
      <c r="J19">
        <v>29</v>
      </c>
      <c r="K19">
        <v>19</v>
      </c>
      <c r="L19">
        <v>0</v>
      </c>
      <c r="M19">
        <v>6</v>
      </c>
      <c r="N19">
        <v>0</v>
      </c>
      <c r="O19">
        <v>4</v>
      </c>
      <c r="P19">
        <v>0</v>
      </c>
      <c r="Q19">
        <v>1732692214</v>
      </c>
      <c r="R19">
        <v>157771652</v>
      </c>
      <c r="S19">
        <v>153868214</v>
      </c>
      <c r="T19">
        <v>127090531</v>
      </c>
      <c r="U19">
        <v>10654991</v>
      </c>
      <c r="V19">
        <v>0</v>
      </c>
      <c r="W19">
        <v>0</v>
      </c>
      <c r="X19">
        <v>1574920562</v>
      </c>
      <c r="Y19" s="77">
        <v>9.1055786322128643E-2</v>
      </c>
    </row>
    <row r="20" spans="1:25" x14ac:dyDescent="0.35">
      <c r="A20">
        <v>2024</v>
      </c>
      <c r="B20">
        <v>46</v>
      </c>
      <c r="C20" t="s">
        <v>147</v>
      </c>
      <c r="D20" s="75">
        <v>45602</v>
      </c>
      <c r="E20" s="75">
        <v>45608</v>
      </c>
      <c r="F20">
        <v>473</v>
      </c>
      <c r="G20">
        <v>4568</v>
      </c>
      <c r="H20">
        <v>4581</v>
      </c>
      <c r="I20">
        <v>14</v>
      </c>
      <c r="J20">
        <v>7</v>
      </c>
      <c r="K20">
        <v>4</v>
      </c>
      <c r="L20">
        <v>0</v>
      </c>
      <c r="M20">
        <v>2</v>
      </c>
      <c r="N20">
        <v>0</v>
      </c>
      <c r="O20">
        <v>1</v>
      </c>
      <c r="P20">
        <v>7</v>
      </c>
      <c r="Q20">
        <v>1931097325</v>
      </c>
      <c r="R20">
        <v>41271804</v>
      </c>
      <c r="S20">
        <v>38380103</v>
      </c>
      <c r="T20">
        <v>8564346</v>
      </c>
      <c r="U20">
        <v>26014477</v>
      </c>
      <c r="V20">
        <v>4107880</v>
      </c>
      <c r="W20">
        <v>3899630</v>
      </c>
      <c r="X20">
        <v>1889825521</v>
      </c>
      <c r="Y20" s="77">
        <v>2.1372202977910499E-2</v>
      </c>
    </row>
    <row r="21" spans="1:25" x14ac:dyDescent="0.35">
      <c r="A21">
        <v>2024</v>
      </c>
      <c r="B21">
        <v>47</v>
      </c>
      <c r="C21" t="s">
        <v>148</v>
      </c>
      <c r="D21" s="75">
        <v>45609</v>
      </c>
      <c r="E21" s="75">
        <v>45615</v>
      </c>
      <c r="F21">
        <v>594</v>
      </c>
      <c r="G21">
        <v>4582</v>
      </c>
      <c r="H21">
        <v>4607</v>
      </c>
      <c r="I21">
        <v>26</v>
      </c>
      <c r="J21">
        <v>24</v>
      </c>
      <c r="K21">
        <v>11</v>
      </c>
      <c r="L21">
        <v>0</v>
      </c>
      <c r="M21">
        <v>6</v>
      </c>
      <c r="N21">
        <v>0</v>
      </c>
      <c r="O21">
        <v>7</v>
      </c>
      <c r="P21">
        <v>2</v>
      </c>
      <c r="Q21">
        <v>2661334715</v>
      </c>
      <c r="R21">
        <v>206335478</v>
      </c>
      <c r="S21">
        <v>204462270</v>
      </c>
      <c r="T21">
        <v>66213956</v>
      </c>
      <c r="U21">
        <v>27556269</v>
      </c>
      <c r="V21">
        <v>75089</v>
      </c>
      <c r="W21">
        <v>919870</v>
      </c>
      <c r="X21">
        <v>2454999237</v>
      </c>
      <c r="Y21" s="77">
        <v>7.7530825730802527E-2</v>
      </c>
    </row>
    <row r="22" spans="1:25" x14ac:dyDescent="0.35">
      <c r="A22">
        <v>2024</v>
      </c>
      <c r="B22">
        <v>48</v>
      </c>
      <c r="C22" t="s">
        <v>149</v>
      </c>
      <c r="D22" s="75">
        <v>45616</v>
      </c>
      <c r="E22" s="75">
        <v>45622</v>
      </c>
      <c r="F22">
        <v>375</v>
      </c>
      <c r="G22">
        <v>4608</v>
      </c>
      <c r="H22">
        <v>4631</v>
      </c>
      <c r="I22">
        <v>24</v>
      </c>
      <c r="J22">
        <v>22</v>
      </c>
      <c r="K22">
        <v>6</v>
      </c>
      <c r="L22">
        <v>0</v>
      </c>
      <c r="M22">
        <v>7</v>
      </c>
      <c r="N22">
        <v>0</v>
      </c>
      <c r="O22">
        <v>9</v>
      </c>
      <c r="P22">
        <v>2</v>
      </c>
      <c r="Q22">
        <v>1702309861</v>
      </c>
      <c r="R22">
        <v>229415942</v>
      </c>
      <c r="S22">
        <v>227805255</v>
      </c>
      <c r="T22">
        <v>51181365</v>
      </c>
      <c r="U22">
        <v>69864244</v>
      </c>
      <c r="V22">
        <v>0</v>
      </c>
      <c r="W22">
        <v>177040</v>
      </c>
      <c r="X22">
        <v>1472893919</v>
      </c>
      <c r="Y22" s="77">
        <v>0.13476743996843946</v>
      </c>
    </row>
    <row r="23" spans="1:25" x14ac:dyDescent="0.35">
      <c r="A23">
        <v>2024</v>
      </c>
      <c r="B23">
        <v>49</v>
      </c>
      <c r="C23" t="s">
        <v>150</v>
      </c>
      <c r="D23" s="75">
        <v>45623</v>
      </c>
      <c r="E23" s="75">
        <v>45629</v>
      </c>
      <c r="F23">
        <v>476</v>
      </c>
      <c r="G23">
        <v>4632</v>
      </c>
      <c r="H23">
        <v>4655</v>
      </c>
      <c r="I23">
        <v>24</v>
      </c>
      <c r="J23">
        <v>17</v>
      </c>
      <c r="K23">
        <v>6</v>
      </c>
      <c r="L23">
        <v>0</v>
      </c>
      <c r="M23">
        <v>1</v>
      </c>
      <c r="N23">
        <v>0</v>
      </c>
      <c r="O23">
        <v>10</v>
      </c>
      <c r="P23">
        <v>7</v>
      </c>
      <c r="Q23">
        <v>2489335984</v>
      </c>
      <c r="R23">
        <v>270334258</v>
      </c>
      <c r="S23">
        <v>262050622</v>
      </c>
      <c r="T23">
        <v>10368146</v>
      </c>
      <c r="U23">
        <v>2531725</v>
      </c>
      <c r="V23">
        <v>703685</v>
      </c>
      <c r="W23">
        <v>1844753</v>
      </c>
      <c r="X23">
        <v>2219001726</v>
      </c>
      <c r="Y23" s="77">
        <v>0.1085969349808748</v>
      </c>
    </row>
    <row r="24" spans="1:25" x14ac:dyDescent="0.35">
      <c r="A24">
        <v>2024</v>
      </c>
      <c r="B24">
        <v>50</v>
      </c>
      <c r="C24" t="s">
        <v>151</v>
      </c>
      <c r="D24" s="75">
        <v>45630</v>
      </c>
      <c r="E24" s="75">
        <v>45636</v>
      </c>
      <c r="F24">
        <v>631</v>
      </c>
      <c r="G24">
        <v>4656</v>
      </c>
      <c r="H24">
        <v>4688</v>
      </c>
      <c r="I24">
        <v>33</v>
      </c>
      <c r="J24">
        <v>31</v>
      </c>
      <c r="K24">
        <v>10</v>
      </c>
      <c r="L24">
        <v>0</v>
      </c>
      <c r="M24">
        <v>5</v>
      </c>
      <c r="N24">
        <v>0</v>
      </c>
      <c r="O24">
        <v>16</v>
      </c>
      <c r="P24">
        <v>2</v>
      </c>
      <c r="Q24">
        <v>4322111868</v>
      </c>
      <c r="R24">
        <v>213130369</v>
      </c>
      <c r="S24">
        <v>131494103</v>
      </c>
      <c r="T24">
        <v>65076212</v>
      </c>
      <c r="U24">
        <v>13505090</v>
      </c>
      <c r="V24">
        <v>0</v>
      </c>
      <c r="W24">
        <v>1257592</v>
      </c>
      <c r="X24">
        <v>4108981499</v>
      </c>
      <c r="Y24" s="77">
        <v>4.9311627164945006E-2</v>
      </c>
    </row>
    <row r="25" spans="1:25" x14ac:dyDescent="0.35">
      <c r="A25">
        <v>2024</v>
      </c>
      <c r="B25">
        <v>51</v>
      </c>
      <c r="C25" t="s">
        <v>152</v>
      </c>
      <c r="D25" s="75">
        <v>45637</v>
      </c>
      <c r="E25" s="75">
        <v>45643</v>
      </c>
      <c r="F25">
        <v>564</v>
      </c>
      <c r="G25">
        <v>4689</v>
      </c>
      <c r="H25">
        <v>4727</v>
      </c>
      <c r="I25">
        <v>39</v>
      </c>
      <c r="J25">
        <v>32</v>
      </c>
      <c r="K25">
        <v>12</v>
      </c>
      <c r="L25">
        <v>0</v>
      </c>
      <c r="M25">
        <v>6</v>
      </c>
      <c r="N25">
        <v>0</v>
      </c>
      <c r="O25">
        <v>14</v>
      </c>
      <c r="P25">
        <v>7</v>
      </c>
      <c r="Q25">
        <v>3716303358</v>
      </c>
      <c r="R25">
        <v>348376306</v>
      </c>
      <c r="S25">
        <v>231747213</v>
      </c>
      <c r="T25">
        <v>188416040</v>
      </c>
      <c r="U25">
        <v>6491207</v>
      </c>
      <c r="V25">
        <v>430304</v>
      </c>
      <c r="W25">
        <v>12832425</v>
      </c>
      <c r="X25">
        <v>3367927052</v>
      </c>
      <c r="Y25" s="77">
        <v>9.3742698708935701E-2</v>
      </c>
    </row>
    <row r="26" spans="1:25" x14ac:dyDescent="0.35">
      <c r="A26">
        <v>2024</v>
      </c>
      <c r="B26">
        <v>52</v>
      </c>
      <c r="C26" t="s">
        <v>153</v>
      </c>
      <c r="D26" s="75">
        <v>45644</v>
      </c>
      <c r="E26" s="75">
        <v>45650</v>
      </c>
      <c r="F26">
        <v>292</v>
      </c>
      <c r="G26">
        <v>4728</v>
      </c>
      <c r="H26">
        <v>4764</v>
      </c>
      <c r="I26">
        <v>37</v>
      </c>
      <c r="J26">
        <v>31</v>
      </c>
      <c r="K26">
        <v>15</v>
      </c>
      <c r="L26">
        <v>0</v>
      </c>
      <c r="M26">
        <v>1</v>
      </c>
      <c r="N26">
        <v>0</v>
      </c>
      <c r="O26">
        <v>15</v>
      </c>
      <c r="P26">
        <v>6</v>
      </c>
      <c r="Q26">
        <v>1825119729</v>
      </c>
      <c r="R26">
        <v>100148418</v>
      </c>
      <c r="S26">
        <v>93022447</v>
      </c>
      <c r="T26">
        <v>42980743</v>
      </c>
      <c r="U26">
        <v>892500</v>
      </c>
      <c r="V26">
        <v>1673806</v>
      </c>
      <c r="W26">
        <v>4824438</v>
      </c>
      <c r="X26">
        <v>1724971311</v>
      </c>
      <c r="Y26" s="77">
        <v>5.4872245589538529E-2</v>
      </c>
    </row>
    <row r="27" spans="1:25" x14ac:dyDescent="0.35">
      <c r="A27">
        <v>2025</v>
      </c>
      <c r="B27">
        <v>1</v>
      </c>
      <c r="C27" t="s">
        <v>154</v>
      </c>
      <c r="D27" s="75">
        <v>45651</v>
      </c>
      <c r="E27" s="75">
        <v>45657</v>
      </c>
      <c r="F27">
        <v>38</v>
      </c>
      <c r="G27">
        <v>4765</v>
      </c>
      <c r="H27">
        <v>4769</v>
      </c>
      <c r="I27">
        <v>5</v>
      </c>
      <c r="J27">
        <v>0</v>
      </c>
      <c r="K27">
        <v>0</v>
      </c>
      <c r="L27">
        <v>0</v>
      </c>
      <c r="M27">
        <v>0</v>
      </c>
      <c r="N27">
        <v>0</v>
      </c>
      <c r="O27">
        <v>0</v>
      </c>
      <c r="P27">
        <v>5</v>
      </c>
      <c r="Q27">
        <v>1047712420</v>
      </c>
      <c r="R27">
        <v>11579930</v>
      </c>
      <c r="S27">
        <v>0</v>
      </c>
      <c r="T27">
        <v>0</v>
      </c>
      <c r="U27">
        <v>0</v>
      </c>
      <c r="V27">
        <v>167023</v>
      </c>
      <c r="W27">
        <v>10959872</v>
      </c>
      <c r="X27">
        <v>1036132490</v>
      </c>
      <c r="Y27" s="77">
        <v>1.1052584448698241E-2</v>
      </c>
    </row>
    <row r="28" spans="1:25" x14ac:dyDescent="0.35">
      <c r="A28">
        <v>2025</v>
      </c>
      <c r="B28">
        <v>2</v>
      </c>
      <c r="C28" t="s">
        <v>155</v>
      </c>
      <c r="D28" s="75">
        <v>45658</v>
      </c>
      <c r="E28" s="75">
        <v>45664</v>
      </c>
      <c r="F28">
        <v>0</v>
      </c>
      <c r="G28">
        <v>0</v>
      </c>
      <c r="H28">
        <v>0</v>
      </c>
      <c r="I28">
        <v>0</v>
      </c>
      <c r="J28">
        <v>0</v>
      </c>
      <c r="K28">
        <v>0</v>
      </c>
      <c r="L28">
        <v>0</v>
      </c>
      <c r="M28">
        <v>0</v>
      </c>
      <c r="N28">
        <v>0</v>
      </c>
      <c r="O28">
        <v>0</v>
      </c>
      <c r="P28">
        <v>0</v>
      </c>
      <c r="Q28">
        <v>0</v>
      </c>
      <c r="R28">
        <v>0</v>
      </c>
      <c r="S28">
        <v>0</v>
      </c>
      <c r="T28">
        <v>0</v>
      </c>
      <c r="U28">
        <v>0</v>
      </c>
      <c r="V28">
        <v>0</v>
      </c>
      <c r="W28">
        <v>0</v>
      </c>
      <c r="X28">
        <v>0</v>
      </c>
      <c r="Y28" s="77">
        <v>0</v>
      </c>
    </row>
    <row r="29" spans="1:25" x14ac:dyDescent="0.35">
      <c r="A29">
        <v>2025</v>
      </c>
      <c r="B29">
        <v>3</v>
      </c>
      <c r="C29" t="s">
        <v>156</v>
      </c>
      <c r="D29" s="75">
        <v>45665</v>
      </c>
      <c r="E29" s="75">
        <v>45671</v>
      </c>
      <c r="F29">
        <v>401</v>
      </c>
      <c r="G29">
        <v>4770</v>
      </c>
      <c r="H29">
        <v>4779</v>
      </c>
      <c r="I29">
        <v>10</v>
      </c>
      <c r="J29">
        <v>8</v>
      </c>
      <c r="K29">
        <v>1</v>
      </c>
      <c r="L29">
        <v>0</v>
      </c>
      <c r="M29">
        <v>3</v>
      </c>
      <c r="N29">
        <v>0</v>
      </c>
      <c r="O29">
        <v>4</v>
      </c>
      <c r="P29">
        <v>2</v>
      </c>
      <c r="Q29">
        <v>2142553979</v>
      </c>
      <c r="R29">
        <v>113796635</v>
      </c>
      <c r="S29">
        <v>112430367</v>
      </c>
      <c r="T29">
        <v>59500</v>
      </c>
      <c r="U29">
        <v>23850015</v>
      </c>
      <c r="V29">
        <v>0</v>
      </c>
      <c r="W29">
        <v>946716</v>
      </c>
      <c r="X29">
        <v>2028757344</v>
      </c>
      <c r="Y29" s="77">
        <v>5.3112610517804838E-2</v>
      </c>
    </row>
    <row r="30" spans="1:25" x14ac:dyDescent="0.35">
      <c r="A30">
        <v>2025</v>
      </c>
      <c r="B30">
        <v>4</v>
      </c>
      <c r="C30" t="s">
        <v>157</v>
      </c>
      <c r="D30" s="75">
        <v>45672</v>
      </c>
      <c r="E30" s="75">
        <v>45678</v>
      </c>
      <c r="F30">
        <v>451</v>
      </c>
      <c r="G30">
        <v>4780</v>
      </c>
      <c r="H30">
        <v>4797</v>
      </c>
      <c r="I30">
        <v>18</v>
      </c>
      <c r="J30">
        <v>13</v>
      </c>
      <c r="K30">
        <v>4</v>
      </c>
      <c r="L30">
        <v>0</v>
      </c>
      <c r="M30">
        <v>5</v>
      </c>
      <c r="N30">
        <v>0</v>
      </c>
      <c r="O30">
        <v>4</v>
      </c>
      <c r="P30">
        <v>5</v>
      </c>
      <c r="Q30">
        <v>3391577494</v>
      </c>
      <c r="R30">
        <v>46678375</v>
      </c>
      <c r="S30">
        <v>45434431</v>
      </c>
      <c r="T30">
        <v>3060748</v>
      </c>
      <c r="U30">
        <v>31999025</v>
      </c>
      <c r="V30">
        <v>1357885</v>
      </c>
      <c r="W30">
        <v>31647</v>
      </c>
      <c r="X30">
        <v>3344899119</v>
      </c>
      <c r="Y30" s="77">
        <v>1.3763027700997004E-2</v>
      </c>
    </row>
    <row r="31" spans="1:25" x14ac:dyDescent="0.35">
      <c r="A31">
        <v>2025</v>
      </c>
      <c r="B31">
        <v>5</v>
      </c>
      <c r="C31" t="s">
        <v>158</v>
      </c>
      <c r="D31" s="75">
        <v>45679</v>
      </c>
      <c r="E31" s="75">
        <v>45685</v>
      </c>
      <c r="F31">
        <v>268</v>
      </c>
      <c r="G31">
        <v>4798</v>
      </c>
      <c r="H31">
        <v>4819</v>
      </c>
      <c r="I31">
        <v>22</v>
      </c>
      <c r="J31">
        <v>19</v>
      </c>
      <c r="K31">
        <v>3</v>
      </c>
      <c r="L31">
        <v>0</v>
      </c>
      <c r="M31">
        <v>7</v>
      </c>
      <c r="N31">
        <v>0</v>
      </c>
      <c r="O31">
        <v>9</v>
      </c>
      <c r="P31">
        <v>3</v>
      </c>
      <c r="Q31">
        <v>1325739105</v>
      </c>
      <c r="R31">
        <v>475590695</v>
      </c>
      <c r="S31">
        <v>466087444</v>
      </c>
      <c r="T31">
        <v>7441110</v>
      </c>
      <c r="U31">
        <v>22664284</v>
      </c>
      <c r="V31">
        <v>9281936</v>
      </c>
      <c r="W31">
        <v>159222</v>
      </c>
      <c r="X31">
        <v>850148410</v>
      </c>
      <c r="Y31" s="77">
        <v>0.35873626508135625</v>
      </c>
    </row>
    <row r="32" spans="1:25" x14ac:dyDescent="0.35">
      <c r="A32">
        <v>2025</v>
      </c>
      <c r="B32">
        <v>6</v>
      </c>
      <c r="C32" t="s">
        <v>159</v>
      </c>
      <c r="D32" s="75">
        <v>45686</v>
      </c>
      <c r="E32" s="75">
        <v>45692</v>
      </c>
      <c r="F32">
        <v>502</v>
      </c>
      <c r="G32">
        <v>4820</v>
      </c>
      <c r="H32">
        <v>4834</v>
      </c>
      <c r="I32">
        <v>15</v>
      </c>
      <c r="J32">
        <v>8</v>
      </c>
      <c r="K32">
        <v>1</v>
      </c>
      <c r="L32">
        <v>0</v>
      </c>
      <c r="M32">
        <v>4</v>
      </c>
      <c r="N32">
        <v>0</v>
      </c>
      <c r="O32">
        <v>3</v>
      </c>
      <c r="P32">
        <v>7</v>
      </c>
      <c r="Q32">
        <v>2971251525</v>
      </c>
      <c r="R32">
        <v>54436775</v>
      </c>
      <c r="S32">
        <v>14977774</v>
      </c>
      <c r="T32">
        <v>29714260</v>
      </c>
      <c r="U32">
        <v>15488310</v>
      </c>
      <c r="V32">
        <v>2537794</v>
      </c>
      <c r="W32">
        <v>1187501</v>
      </c>
      <c r="X32">
        <v>2916814750</v>
      </c>
      <c r="Y32" s="77">
        <v>1.8321160138066735E-2</v>
      </c>
    </row>
    <row r="33" spans="1:25" x14ac:dyDescent="0.35">
      <c r="A33">
        <v>2025</v>
      </c>
      <c r="B33">
        <v>7</v>
      </c>
      <c r="C33" t="s">
        <v>160</v>
      </c>
      <c r="D33" s="75">
        <v>45693</v>
      </c>
      <c r="E33" s="75">
        <v>45699</v>
      </c>
      <c r="F33">
        <v>566</v>
      </c>
      <c r="G33">
        <v>4835</v>
      </c>
      <c r="H33">
        <v>4854</v>
      </c>
      <c r="I33">
        <v>20</v>
      </c>
      <c r="J33">
        <v>17</v>
      </c>
      <c r="K33">
        <v>4</v>
      </c>
      <c r="L33">
        <v>0</v>
      </c>
      <c r="M33">
        <v>7</v>
      </c>
      <c r="N33">
        <v>0</v>
      </c>
      <c r="O33">
        <v>6</v>
      </c>
      <c r="P33">
        <v>3</v>
      </c>
      <c r="Q33">
        <v>2633921157</v>
      </c>
      <c r="R33">
        <v>30349421</v>
      </c>
      <c r="S33">
        <v>29857306</v>
      </c>
      <c r="T33">
        <v>3610351</v>
      </c>
      <c r="U33">
        <v>2529550</v>
      </c>
      <c r="V33">
        <v>228480</v>
      </c>
      <c r="W33">
        <v>87500</v>
      </c>
      <c r="X33">
        <v>2603571736</v>
      </c>
      <c r="Y33" s="77">
        <v>1.1522524476232832E-2</v>
      </c>
    </row>
    <row r="34" spans="1:25" x14ac:dyDescent="0.35">
      <c r="A34">
        <v>2025</v>
      </c>
      <c r="B34">
        <v>8</v>
      </c>
      <c r="C34" t="s">
        <v>161</v>
      </c>
      <c r="D34" s="75">
        <v>45700</v>
      </c>
      <c r="E34" s="75">
        <v>45706</v>
      </c>
      <c r="F34">
        <v>512</v>
      </c>
      <c r="G34">
        <v>4855</v>
      </c>
      <c r="H34">
        <v>4870</v>
      </c>
      <c r="I34">
        <v>16</v>
      </c>
      <c r="J34">
        <v>14</v>
      </c>
      <c r="K34">
        <v>6</v>
      </c>
      <c r="L34">
        <v>0</v>
      </c>
      <c r="M34">
        <v>1</v>
      </c>
      <c r="N34">
        <v>0</v>
      </c>
      <c r="O34">
        <v>7</v>
      </c>
      <c r="P34">
        <v>2</v>
      </c>
      <c r="Q34">
        <v>1753553077</v>
      </c>
      <c r="R34">
        <v>33472651</v>
      </c>
      <c r="S34">
        <v>21393245</v>
      </c>
      <c r="T34">
        <v>9623772</v>
      </c>
      <c r="U34">
        <v>522410</v>
      </c>
      <c r="V34">
        <v>0</v>
      </c>
      <c r="W34">
        <v>1857406</v>
      </c>
      <c r="X34">
        <v>1720080426</v>
      </c>
      <c r="Y34" s="77">
        <v>1.9088473248420525E-2</v>
      </c>
    </row>
    <row r="35" spans="1:25" x14ac:dyDescent="0.35">
      <c r="A35">
        <v>2025</v>
      </c>
      <c r="B35">
        <v>9</v>
      </c>
      <c r="C35" t="s">
        <v>162</v>
      </c>
      <c r="D35" s="75">
        <v>45707</v>
      </c>
      <c r="E35" s="75">
        <v>45713</v>
      </c>
      <c r="F35">
        <v>408</v>
      </c>
      <c r="G35">
        <v>4871</v>
      </c>
      <c r="H35">
        <v>4886</v>
      </c>
      <c r="I35">
        <v>16</v>
      </c>
      <c r="J35">
        <v>13</v>
      </c>
      <c r="K35">
        <v>2</v>
      </c>
      <c r="L35">
        <v>0</v>
      </c>
      <c r="M35">
        <v>4</v>
      </c>
      <c r="N35">
        <v>0</v>
      </c>
      <c r="O35">
        <v>7</v>
      </c>
      <c r="P35">
        <v>3</v>
      </c>
      <c r="Q35">
        <v>1709198079</v>
      </c>
      <c r="R35">
        <v>13253856</v>
      </c>
      <c r="S35">
        <v>12578491</v>
      </c>
      <c r="T35">
        <v>3084926</v>
      </c>
      <c r="U35">
        <v>623718</v>
      </c>
      <c r="V35">
        <v>0</v>
      </c>
      <c r="W35">
        <v>8834554</v>
      </c>
      <c r="X35">
        <v>1695944223</v>
      </c>
      <c r="Y35" s="77">
        <v>7.7544294969921976E-3</v>
      </c>
    </row>
    <row r="36" spans="1:25" x14ac:dyDescent="0.35">
      <c r="A36">
        <v>2025</v>
      </c>
      <c r="B36">
        <v>10</v>
      </c>
      <c r="C36" t="s">
        <v>163</v>
      </c>
      <c r="D36" s="75">
        <v>45714</v>
      </c>
      <c r="E36" s="75">
        <v>45720</v>
      </c>
      <c r="F36">
        <v>458</v>
      </c>
      <c r="G36">
        <v>4887</v>
      </c>
      <c r="H36">
        <v>4915</v>
      </c>
      <c r="I36">
        <v>29</v>
      </c>
      <c r="J36">
        <v>23</v>
      </c>
      <c r="K36">
        <v>1</v>
      </c>
      <c r="L36">
        <v>0</v>
      </c>
      <c r="M36">
        <v>12</v>
      </c>
      <c r="N36">
        <v>0</v>
      </c>
      <c r="O36">
        <v>10</v>
      </c>
      <c r="P36">
        <v>6</v>
      </c>
      <c r="Q36">
        <v>2837551119</v>
      </c>
      <c r="R36">
        <v>312712093</v>
      </c>
      <c r="S36">
        <v>309052491</v>
      </c>
      <c r="T36">
        <v>301655</v>
      </c>
      <c r="U36">
        <v>10813478</v>
      </c>
      <c r="V36">
        <v>0</v>
      </c>
      <c r="W36">
        <v>4435946</v>
      </c>
      <c r="X36">
        <v>2524839026</v>
      </c>
      <c r="Y36" s="77">
        <v>0.11020491962456871</v>
      </c>
    </row>
    <row r="37" spans="1:25" x14ac:dyDescent="0.35">
      <c r="A37">
        <v>2025</v>
      </c>
      <c r="B37">
        <v>11</v>
      </c>
      <c r="C37" t="s">
        <v>164</v>
      </c>
      <c r="D37" s="75">
        <v>45721</v>
      </c>
      <c r="E37" s="75">
        <v>45727</v>
      </c>
      <c r="F37">
        <v>643</v>
      </c>
      <c r="G37">
        <v>4916</v>
      </c>
      <c r="H37">
        <v>4933</v>
      </c>
      <c r="I37">
        <v>18</v>
      </c>
      <c r="J37">
        <v>17</v>
      </c>
      <c r="K37">
        <v>2</v>
      </c>
      <c r="L37">
        <v>0</v>
      </c>
      <c r="M37">
        <v>3</v>
      </c>
      <c r="N37">
        <v>0</v>
      </c>
      <c r="O37">
        <v>12</v>
      </c>
      <c r="P37">
        <v>1</v>
      </c>
      <c r="Q37">
        <v>2426242381</v>
      </c>
      <c r="R37">
        <v>81555123</v>
      </c>
      <c r="S37">
        <v>68767293</v>
      </c>
      <c r="T37">
        <v>6666083</v>
      </c>
      <c r="U37">
        <v>49634019</v>
      </c>
      <c r="V37">
        <v>0</v>
      </c>
      <c r="W37">
        <v>316540</v>
      </c>
      <c r="X37">
        <v>2344687258</v>
      </c>
      <c r="Y37" s="77">
        <v>3.3613757487158495E-2</v>
      </c>
    </row>
    <row r="38" spans="1:25" x14ac:dyDescent="0.35">
      <c r="A38">
        <v>2025</v>
      </c>
      <c r="B38">
        <v>12</v>
      </c>
      <c r="C38" t="s">
        <v>165</v>
      </c>
      <c r="D38" s="75">
        <v>45728</v>
      </c>
      <c r="E38" s="75">
        <v>45734</v>
      </c>
      <c r="F38">
        <v>596</v>
      </c>
      <c r="G38">
        <v>4934</v>
      </c>
      <c r="H38">
        <v>4966</v>
      </c>
      <c r="I38">
        <v>33</v>
      </c>
      <c r="J38">
        <v>26</v>
      </c>
      <c r="K38">
        <v>3</v>
      </c>
      <c r="L38">
        <v>0</v>
      </c>
      <c r="M38">
        <v>11</v>
      </c>
      <c r="N38">
        <v>0</v>
      </c>
      <c r="O38">
        <v>12</v>
      </c>
      <c r="P38">
        <v>7</v>
      </c>
      <c r="Q38">
        <v>1935955886</v>
      </c>
      <c r="R38">
        <v>64646365</v>
      </c>
      <c r="S38">
        <v>57590590</v>
      </c>
      <c r="T38">
        <v>0</v>
      </c>
      <c r="U38">
        <v>18804747</v>
      </c>
      <c r="V38">
        <v>0</v>
      </c>
      <c r="W38">
        <v>1821488</v>
      </c>
      <c r="X38">
        <v>1871309521</v>
      </c>
      <c r="Y38" s="77">
        <v>3.3392478344932704E-2</v>
      </c>
    </row>
    <row r="39" spans="1:25" x14ac:dyDescent="0.35">
      <c r="A39">
        <v>2025</v>
      </c>
      <c r="B39">
        <v>13</v>
      </c>
      <c r="C39" t="s">
        <v>166</v>
      </c>
      <c r="D39" s="75">
        <v>45735</v>
      </c>
      <c r="E39" s="75">
        <v>45741</v>
      </c>
      <c r="F39">
        <v>310</v>
      </c>
      <c r="G39">
        <v>4967</v>
      </c>
      <c r="H39">
        <v>4989</v>
      </c>
      <c r="I39">
        <v>23</v>
      </c>
      <c r="J39">
        <v>17</v>
      </c>
      <c r="K39">
        <v>2</v>
      </c>
      <c r="L39">
        <v>0</v>
      </c>
      <c r="M39">
        <v>10</v>
      </c>
      <c r="N39">
        <v>0</v>
      </c>
      <c r="O39">
        <v>5</v>
      </c>
      <c r="P39">
        <v>6</v>
      </c>
      <c r="Q39">
        <v>1785152262</v>
      </c>
      <c r="R39">
        <v>106904180</v>
      </c>
      <c r="S39">
        <v>96628492</v>
      </c>
      <c r="T39">
        <v>48869071</v>
      </c>
      <c r="U39">
        <v>40770662</v>
      </c>
      <c r="V39">
        <v>0</v>
      </c>
      <c r="W39">
        <v>4497408</v>
      </c>
      <c r="X39">
        <v>1678248082</v>
      </c>
      <c r="Y39" s="77">
        <v>5.9885188661850962E-2</v>
      </c>
    </row>
    <row r="40" spans="1:25" x14ac:dyDescent="0.35">
      <c r="A40">
        <v>2025</v>
      </c>
      <c r="B40">
        <v>14</v>
      </c>
      <c r="C40" t="s">
        <v>167</v>
      </c>
      <c r="D40" s="75">
        <v>45742</v>
      </c>
      <c r="E40" s="75">
        <v>45748</v>
      </c>
      <c r="F40">
        <v>332</v>
      </c>
      <c r="G40">
        <v>4990</v>
      </c>
      <c r="H40">
        <v>5016</v>
      </c>
      <c r="I40">
        <v>27</v>
      </c>
      <c r="J40">
        <v>16</v>
      </c>
      <c r="K40">
        <v>1</v>
      </c>
      <c r="L40">
        <v>0</v>
      </c>
      <c r="M40">
        <v>8</v>
      </c>
      <c r="N40">
        <v>1</v>
      </c>
      <c r="O40">
        <v>6</v>
      </c>
      <c r="P40">
        <v>11</v>
      </c>
      <c r="Q40">
        <v>1295432593</v>
      </c>
      <c r="R40">
        <v>172689123</v>
      </c>
      <c r="S40">
        <v>168624842</v>
      </c>
      <c r="T40">
        <v>829461</v>
      </c>
      <c r="U40">
        <v>44497152</v>
      </c>
      <c r="V40">
        <v>353580</v>
      </c>
      <c r="W40">
        <v>5548659</v>
      </c>
      <c r="X40">
        <v>1122743470</v>
      </c>
      <c r="Y40" s="77">
        <v>0.13330614339421673</v>
      </c>
    </row>
    <row r="41" spans="1:25" x14ac:dyDescent="0.35">
      <c r="A41">
        <v>2025</v>
      </c>
      <c r="B41">
        <v>15</v>
      </c>
      <c r="C41" t="s">
        <v>168</v>
      </c>
      <c r="D41" s="75">
        <v>45749</v>
      </c>
      <c r="E41" s="75">
        <v>45755</v>
      </c>
      <c r="F41">
        <v>564</v>
      </c>
      <c r="G41">
        <v>5017</v>
      </c>
      <c r="H41">
        <v>5038</v>
      </c>
      <c r="I41">
        <v>22</v>
      </c>
      <c r="J41">
        <v>10</v>
      </c>
      <c r="K41">
        <v>4</v>
      </c>
      <c r="L41">
        <v>0</v>
      </c>
      <c r="M41">
        <v>2</v>
      </c>
      <c r="N41">
        <v>0</v>
      </c>
      <c r="O41">
        <v>4</v>
      </c>
      <c r="P41">
        <v>12</v>
      </c>
      <c r="Q41">
        <v>2360022740</v>
      </c>
      <c r="R41">
        <v>71253584</v>
      </c>
      <c r="S41">
        <v>52266298</v>
      </c>
      <c r="T41">
        <v>14763986</v>
      </c>
      <c r="U41">
        <v>794934</v>
      </c>
      <c r="V41">
        <v>187821</v>
      </c>
      <c r="W41">
        <v>12558328</v>
      </c>
      <c r="X41">
        <v>2288769156</v>
      </c>
      <c r="Y41" s="77">
        <v>3.0191905693247683E-2</v>
      </c>
    </row>
    <row r="42" spans="1:25" x14ac:dyDescent="0.35">
      <c r="A42">
        <v>2025</v>
      </c>
      <c r="B42">
        <v>16</v>
      </c>
      <c r="C42" t="s">
        <v>169</v>
      </c>
      <c r="D42" s="75">
        <v>45756</v>
      </c>
      <c r="E42" s="75">
        <v>45762</v>
      </c>
      <c r="F42">
        <v>519</v>
      </c>
      <c r="G42">
        <v>5039</v>
      </c>
      <c r="H42">
        <v>5057</v>
      </c>
      <c r="I42">
        <v>19</v>
      </c>
      <c r="J42">
        <v>18</v>
      </c>
      <c r="K42">
        <v>2</v>
      </c>
      <c r="L42">
        <v>0</v>
      </c>
      <c r="M42">
        <v>3</v>
      </c>
      <c r="N42">
        <v>0</v>
      </c>
      <c r="O42">
        <v>13</v>
      </c>
      <c r="P42">
        <v>1</v>
      </c>
      <c r="Q42">
        <v>2193769103</v>
      </c>
      <c r="R42">
        <v>156954008</v>
      </c>
      <c r="S42">
        <v>147770051</v>
      </c>
      <c r="T42">
        <v>80633800</v>
      </c>
      <c r="U42">
        <v>55853261</v>
      </c>
      <c r="V42">
        <v>105910</v>
      </c>
      <c r="W42">
        <v>0</v>
      </c>
      <c r="X42">
        <v>2036815095</v>
      </c>
      <c r="Y42" s="77">
        <v>7.1545363541388157E-2</v>
      </c>
    </row>
    <row r="43" spans="1:25" x14ac:dyDescent="0.35">
      <c r="A43">
        <v>2025</v>
      </c>
      <c r="B43">
        <v>17</v>
      </c>
      <c r="C43" t="s">
        <v>170</v>
      </c>
      <c r="D43" s="75">
        <v>45763</v>
      </c>
      <c r="E43" s="75">
        <v>45769</v>
      </c>
      <c r="F43">
        <v>191</v>
      </c>
      <c r="G43">
        <v>5058</v>
      </c>
      <c r="H43">
        <v>5067</v>
      </c>
      <c r="I43">
        <v>10</v>
      </c>
      <c r="J43">
        <v>7</v>
      </c>
      <c r="K43">
        <v>2</v>
      </c>
      <c r="L43">
        <v>0</v>
      </c>
      <c r="M43">
        <v>2</v>
      </c>
      <c r="N43">
        <v>0</v>
      </c>
      <c r="O43">
        <v>3</v>
      </c>
      <c r="P43">
        <v>3</v>
      </c>
      <c r="Q43">
        <v>924585492</v>
      </c>
      <c r="R43">
        <v>25321063</v>
      </c>
      <c r="S43">
        <v>23831505</v>
      </c>
      <c r="T43">
        <v>6098065</v>
      </c>
      <c r="U43">
        <v>11629191</v>
      </c>
      <c r="V43">
        <v>0</v>
      </c>
      <c r="W43">
        <v>2602762</v>
      </c>
      <c r="X43">
        <v>899264429</v>
      </c>
      <c r="Y43" s="77">
        <v>2.7386394464428823E-2</v>
      </c>
    </row>
    <row r="44" spans="1:25" x14ac:dyDescent="0.35">
      <c r="A44">
        <v>2025</v>
      </c>
      <c r="B44">
        <v>18</v>
      </c>
      <c r="C44" t="s">
        <v>171</v>
      </c>
      <c r="D44" s="75">
        <v>45770</v>
      </c>
      <c r="E44" s="75">
        <v>45776</v>
      </c>
      <c r="F44">
        <v>281</v>
      </c>
      <c r="G44">
        <v>5068</v>
      </c>
      <c r="H44">
        <v>5107</v>
      </c>
      <c r="I44">
        <v>40</v>
      </c>
      <c r="J44">
        <v>28</v>
      </c>
      <c r="K44">
        <v>3</v>
      </c>
      <c r="L44">
        <v>0</v>
      </c>
      <c r="M44">
        <v>12</v>
      </c>
      <c r="N44">
        <v>1</v>
      </c>
      <c r="O44">
        <v>12</v>
      </c>
      <c r="P44">
        <v>12</v>
      </c>
      <c r="Q44">
        <v>1278786751</v>
      </c>
      <c r="R44">
        <v>174030562</v>
      </c>
      <c r="S44">
        <v>162261087</v>
      </c>
      <c r="T44">
        <v>17175518</v>
      </c>
      <c r="U44">
        <v>38704799</v>
      </c>
      <c r="V44">
        <v>644861</v>
      </c>
      <c r="W44">
        <v>26750103</v>
      </c>
      <c r="X44">
        <v>1104756189</v>
      </c>
      <c r="Y44" s="77">
        <v>0.13609036992595491</v>
      </c>
    </row>
    <row r="45" spans="1:25" x14ac:dyDescent="0.35">
      <c r="A45">
        <v>2025</v>
      </c>
      <c r="B45">
        <v>19</v>
      </c>
      <c r="C45" t="s">
        <v>172</v>
      </c>
      <c r="D45" s="75">
        <v>45777</v>
      </c>
      <c r="E45" s="75">
        <v>45783</v>
      </c>
      <c r="F45">
        <v>454</v>
      </c>
      <c r="G45">
        <v>5108</v>
      </c>
      <c r="H45">
        <v>5120</v>
      </c>
      <c r="I45">
        <v>13</v>
      </c>
      <c r="J45">
        <v>9</v>
      </c>
      <c r="K45">
        <v>2</v>
      </c>
      <c r="L45">
        <v>0</v>
      </c>
      <c r="M45">
        <v>1</v>
      </c>
      <c r="N45">
        <v>0</v>
      </c>
      <c r="O45">
        <v>6</v>
      </c>
      <c r="P45">
        <v>4</v>
      </c>
      <c r="Q45">
        <v>1977479161</v>
      </c>
      <c r="R45">
        <v>79279324</v>
      </c>
      <c r="S45">
        <v>69382557</v>
      </c>
      <c r="T45">
        <v>47656056</v>
      </c>
      <c r="U45">
        <v>9406995</v>
      </c>
      <c r="V45">
        <v>0</v>
      </c>
      <c r="W45">
        <v>9896768</v>
      </c>
      <c r="X45">
        <v>1898199837</v>
      </c>
      <c r="Y45" s="77">
        <v>4.0091104656652311E-2</v>
      </c>
    </row>
    <row r="46" spans="1:25" x14ac:dyDescent="0.35">
      <c r="A46">
        <v>2025</v>
      </c>
      <c r="B46">
        <v>20</v>
      </c>
      <c r="C46" t="s">
        <v>173</v>
      </c>
      <c r="D46" s="75">
        <v>45784</v>
      </c>
      <c r="E46" s="75">
        <v>45790</v>
      </c>
      <c r="F46">
        <v>540</v>
      </c>
      <c r="G46">
        <v>5121</v>
      </c>
      <c r="H46">
        <v>5130</v>
      </c>
      <c r="I46">
        <v>10</v>
      </c>
      <c r="J46">
        <v>8</v>
      </c>
      <c r="K46">
        <v>0</v>
      </c>
      <c r="L46">
        <v>1</v>
      </c>
      <c r="M46">
        <v>3</v>
      </c>
      <c r="N46">
        <v>1</v>
      </c>
      <c r="O46">
        <v>3</v>
      </c>
      <c r="P46">
        <v>2</v>
      </c>
      <c r="Q46">
        <v>5864093707</v>
      </c>
      <c r="R46">
        <v>3817112125</v>
      </c>
      <c r="S46">
        <v>45244454</v>
      </c>
      <c r="T46">
        <v>1398726</v>
      </c>
      <c r="U46">
        <v>1496783</v>
      </c>
      <c r="V46">
        <v>0</v>
      </c>
      <c r="W46">
        <v>4219335</v>
      </c>
      <c r="X46">
        <v>2046981582</v>
      </c>
      <c r="Y46" s="77">
        <v>0.65092959214541424</v>
      </c>
    </row>
    <row r="47" spans="1:25" x14ac:dyDescent="0.35">
      <c r="A47">
        <v>2025</v>
      </c>
      <c r="B47">
        <v>21</v>
      </c>
      <c r="C47" t="s">
        <v>174</v>
      </c>
      <c r="D47" s="75">
        <v>45791</v>
      </c>
      <c r="E47" s="75">
        <v>45797</v>
      </c>
      <c r="F47">
        <v>503</v>
      </c>
      <c r="G47">
        <v>5131</v>
      </c>
      <c r="H47">
        <v>5147</v>
      </c>
      <c r="I47">
        <v>17</v>
      </c>
      <c r="J47">
        <v>13</v>
      </c>
      <c r="K47">
        <v>1</v>
      </c>
      <c r="L47">
        <v>0</v>
      </c>
      <c r="M47">
        <v>1</v>
      </c>
      <c r="N47">
        <v>0</v>
      </c>
      <c r="O47">
        <v>11</v>
      </c>
      <c r="P47">
        <v>4</v>
      </c>
      <c r="Q47">
        <v>1849693334</v>
      </c>
      <c r="R47">
        <v>123822041</v>
      </c>
      <c r="S47">
        <v>123509032</v>
      </c>
      <c r="T47">
        <v>466487</v>
      </c>
      <c r="U47">
        <v>574927</v>
      </c>
      <c r="V47">
        <v>416500</v>
      </c>
      <c r="W47">
        <v>458821</v>
      </c>
      <c r="X47">
        <v>1725871293</v>
      </c>
      <c r="Y47" s="77">
        <v>6.6941929629076552E-2</v>
      </c>
    </row>
    <row r="48" spans="1:25" x14ac:dyDescent="0.35">
      <c r="A48">
        <v>2025</v>
      </c>
      <c r="B48">
        <v>22</v>
      </c>
      <c r="C48" t="s">
        <v>175</v>
      </c>
      <c r="D48" s="75">
        <v>45798</v>
      </c>
      <c r="E48" s="75">
        <v>45804</v>
      </c>
      <c r="F48">
        <v>394</v>
      </c>
      <c r="G48">
        <v>5148</v>
      </c>
      <c r="H48">
        <v>5159</v>
      </c>
      <c r="I48">
        <v>12</v>
      </c>
      <c r="J48">
        <v>8</v>
      </c>
      <c r="K48">
        <v>2</v>
      </c>
      <c r="L48">
        <v>0</v>
      </c>
      <c r="M48">
        <v>2</v>
      </c>
      <c r="N48">
        <v>0</v>
      </c>
      <c r="O48">
        <v>4</v>
      </c>
      <c r="P48">
        <v>4</v>
      </c>
      <c r="Q48">
        <v>930644348</v>
      </c>
      <c r="R48">
        <v>8647158</v>
      </c>
      <c r="S48">
        <v>7950113</v>
      </c>
      <c r="T48">
        <v>648749</v>
      </c>
      <c r="U48">
        <v>5828706</v>
      </c>
      <c r="V48">
        <v>300776</v>
      </c>
      <c r="W48">
        <v>346290</v>
      </c>
      <c r="X48">
        <v>921997190</v>
      </c>
      <c r="Y48" s="77">
        <v>9.2915817074300869E-3</v>
      </c>
    </row>
    <row r="49" spans="1:25" x14ac:dyDescent="0.35">
      <c r="A49">
        <v>2025</v>
      </c>
      <c r="B49">
        <v>23</v>
      </c>
      <c r="C49" t="s">
        <v>176</v>
      </c>
      <c r="D49" s="75">
        <v>45805</v>
      </c>
      <c r="E49" s="75">
        <v>45811</v>
      </c>
      <c r="F49">
        <v>310</v>
      </c>
      <c r="G49">
        <v>5160</v>
      </c>
      <c r="H49">
        <v>5172</v>
      </c>
      <c r="I49">
        <v>13</v>
      </c>
      <c r="J49">
        <v>8</v>
      </c>
      <c r="K49">
        <v>0</v>
      </c>
      <c r="L49">
        <v>1</v>
      </c>
      <c r="M49">
        <v>4</v>
      </c>
      <c r="N49">
        <v>0</v>
      </c>
      <c r="O49">
        <v>3</v>
      </c>
      <c r="P49">
        <v>5</v>
      </c>
      <c r="Q49">
        <v>1035953378</v>
      </c>
      <c r="R49">
        <v>248191295</v>
      </c>
      <c r="S49">
        <v>23363539</v>
      </c>
      <c r="T49">
        <v>0</v>
      </c>
      <c r="U49">
        <v>13546387</v>
      </c>
      <c r="V49">
        <v>1430374</v>
      </c>
      <c r="W49">
        <v>486178</v>
      </c>
      <c r="X49">
        <v>787762083</v>
      </c>
      <c r="Y49" s="77">
        <v>0.23957766852322576</v>
      </c>
    </row>
    <row r="50" spans="1:25" x14ac:dyDescent="0.35">
      <c r="A50">
        <v>2025</v>
      </c>
      <c r="B50">
        <v>24</v>
      </c>
      <c r="C50" t="s">
        <v>177</v>
      </c>
      <c r="D50" s="75">
        <v>45812</v>
      </c>
      <c r="E50" s="75">
        <v>45818</v>
      </c>
      <c r="F50">
        <v>648</v>
      </c>
      <c r="G50">
        <v>5173</v>
      </c>
      <c r="H50">
        <v>5190</v>
      </c>
      <c r="I50">
        <v>18</v>
      </c>
      <c r="J50">
        <v>17</v>
      </c>
      <c r="K50">
        <v>1</v>
      </c>
      <c r="L50">
        <v>0</v>
      </c>
      <c r="M50">
        <v>2</v>
      </c>
      <c r="N50">
        <v>0</v>
      </c>
      <c r="O50">
        <v>14</v>
      </c>
      <c r="P50">
        <v>1</v>
      </c>
      <c r="Q50">
        <v>2684327475</v>
      </c>
      <c r="R50">
        <v>39866034</v>
      </c>
      <c r="S50">
        <v>39651834</v>
      </c>
      <c r="T50">
        <v>1229652</v>
      </c>
      <c r="U50">
        <v>5042364</v>
      </c>
      <c r="V50">
        <v>0</v>
      </c>
      <c r="W50">
        <v>214200</v>
      </c>
      <c r="X50">
        <v>2644461441</v>
      </c>
      <c r="Y50" s="77">
        <v>1.4851404819749125E-2</v>
      </c>
    </row>
    <row r="51" spans="1:25" x14ac:dyDescent="0.35">
      <c r="A51">
        <v>2025</v>
      </c>
      <c r="B51">
        <v>25</v>
      </c>
      <c r="C51" t="s">
        <v>178</v>
      </c>
      <c r="D51" s="75">
        <v>45819</v>
      </c>
      <c r="E51" s="75">
        <v>45825</v>
      </c>
      <c r="F51">
        <v>571</v>
      </c>
      <c r="G51">
        <v>5191</v>
      </c>
      <c r="H51">
        <v>5207</v>
      </c>
      <c r="I51">
        <v>17</v>
      </c>
      <c r="J51">
        <v>11</v>
      </c>
      <c r="K51">
        <v>2</v>
      </c>
      <c r="L51">
        <v>0</v>
      </c>
      <c r="M51">
        <v>2</v>
      </c>
      <c r="N51">
        <v>2</v>
      </c>
      <c r="O51">
        <v>5</v>
      </c>
      <c r="P51">
        <v>6</v>
      </c>
      <c r="Q51">
        <v>2141665314</v>
      </c>
      <c r="R51">
        <v>110771569</v>
      </c>
      <c r="S51">
        <v>96929746</v>
      </c>
      <c r="T51">
        <v>8385101</v>
      </c>
      <c r="U51">
        <v>596694</v>
      </c>
      <c r="V51">
        <v>13566000</v>
      </c>
      <c r="W51">
        <v>275823</v>
      </c>
      <c r="X51">
        <v>2030893745</v>
      </c>
      <c r="Y51" s="77">
        <v>5.1722166052692579E-2</v>
      </c>
    </row>
    <row r="52" spans="1:25" x14ac:dyDescent="0.35">
      <c r="A52">
        <v>2025</v>
      </c>
      <c r="B52">
        <v>26</v>
      </c>
      <c r="C52" t="s">
        <v>179</v>
      </c>
      <c r="D52" s="75">
        <v>45826</v>
      </c>
      <c r="E52" s="75">
        <v>45832</v>
      </c>
      <c r="F52">
        <v>396</v>
      </c>
      <c r="G52">
        <v>5208</v>
      </c>
      <c r="H52">
        <v>5225</v>
      </c>
      <c r="I52">
        <v>18</v>
      </c>
      <c r="J52">
        <v>15</v>
      </c>
      <c r="K52">
        <v>1</v>
      </c>
      <c r="L52">
        <v>1</v>
      </c>
      <c r="M52">
        <v>3</v>
      </c>
      <c r="N52">
        <v>0</v>
      </c>
      <c r="O52">
        <v>10</v>
      </c>
      <c r="P52">
        <v>3</v>
      </c>
      <c r="Q52">
        <v>1325997188</v>
      </c>
      <c r="R52">
        <v>49768347</v>
      </c>
      <c r="S52">
        <v>48596255</v>
      </c>
      <c r="T52">
        <v>5086</v>
      </c>
      <c r="U52">
        <v>528006</v>
      </c>
      <c r="V52">
        <v>0</v>
      </c>
      <c r="W52">
        <v>887740</v>
      </c>
      <c r="X52">
        <v>1276228841</v>
      </c>
      <c r="Y52" s="77">
        <v>3.7532769639629128E-2</v>
      </c>
    </row>
    <row r="53" spans="1:25" x14ac:dyDescent="0.35">
      <c r="A53">
        <v>2025</v>
      </c>
      <c r="B53">
        <v>27</v>
      </c>
      <c r="C53" t="s">
        <v>180</v>
      </c>
      <c r="D53" s="75">
        <v>45833</v>
      </c>
      <c r="E53" s="75">
        <v>45839</v>
      </c>
      <c r="F53">
        <v>250</v>
      </c>
      <c r="G53">
        <v>5226</v>
      </c>
      <c r="H53">
        <v>5235</v>
      </c>
      <c r="I53">
        <v>10</v>
      </c>
      <c r="J53">
        <v>5</v>
      </c>
      <c r="K53">
        <v>0</v>
      </c>
      <c r="L53">
        <v>0</v>
      </c>
      <c r="M53">
        <v>3</v>
      </c>
      <c r="N53">
        <v>0</v>
      </c>
      <c r="O53">
        <v>2</v>
      </c>
      <c r="P53">
        <v>5</v>
      </c>
      <c r="Q53">
        <v>1365219905</v>
      </c>
      <c r="R53">
        <v>35717188</v>
      </c>
      <c r="S53">
        <v>17961409</v>
      </c>
      <c r="T53">
        <v>0</v>
      </c>
      <c r="U53">
        <v>17738612</v>
      </c>
      <c r="V53">
        <v>17407107</v>
      </c>
      <c r="W53">
        <v>244483</v>
      </c>
      <c r="X53">
        <v>1329502717</v>
      </c>
      <c r="Y53" s="77">
        <v>2.6162223293982812E-2</v>
      </c>
    </row>
    <row r="54" spans="1:25" x14ac:dyDescent="0.35">
      <c r="A54">
        <v>2025</v>
      </c>
      <c r="B54">
        <v>28</v>
      </c>
      <c r="C54" t="s">
        <v>181</v>
      </c>
      <c r="D54" s="75">
        <v>45840</v>
      </c>
      <c r="E54" s="75">
        <v>45846</v>
      </c>
      <c r="F54">
        <v>510</v>
      </c>
      <c r="G54">
        <v>5236</v>
      </c>
      <c r="H54">
        <v>5260</v>
      </c>
      <c r="I54">
        <v>25</v>
      </c>
      <c r="J54">
        <v>22</v>
      </c>
      <c r="K54">
        <v>1</v>
      </c>
      <c r="L54">
        <v>2</v>
      </c>
      <c r="M54">
        <v>5</v>
      </c>
      <c r="N54">
        <v>0</v>
      </c>
      <c r="O54">
        <v>14</v>
      </c>
      <c r="P54">
        <v>3</v>
      </c>
      <c r="Q54">
        <v>1972569670</v>
      </c>
      <c r="R54">
        <v>176951994</v>
      </c>
      <c r="S54">
        <v>169134871</v>
      </c>
      <c r="T54">
        <v>21782068</v>
      </c>
      <c r="U54">
        <v>6312141</v>
      </c>
      <c r="V54">
        <v>275818</v>
      </c>
      <c r="W54">
        <v>827821</v>
      </c>
      <c r="X54">
        <v>1795617676</v>
      </c>
      <c r="Y54" s="77">
        <v>8.9706334174751864E-2</v>
      </c>
    </row>
    <row r="55" spans="1:25" x14ac:dyDescent="0.35">
      <c r="A55">
        <v>2025</v>
      </c>
      <c r="B55">
        <v>29</v>
      </c>
      <c r="C55" t="s">
        <v>182</v>
      </c>
      <c r="D55" s="75">
        <v>45847</v>
      </c>
      <c r="E55" s="75">
        <v>45853</v>
      </c>
      <c r="F55">
        <v>456</v>
      </c>
      <c r="G55">
        <v>5261</v>
      </c>
      <c r="H55">
        <v>5281</v>
      </c>
      <c r="I55">
        <v>21</v>
      </c>
      <c r="J55">
        <v>15</v>
      </c>
      <c r="K55">
        <v>0</v>
      </c>
      <c r="L55">
        <v>2</v>
      </c>
      <c r="M55">
        <v>1</v>
      </c>
      <c r="N55">
        <v>1</v>
      </c>
      <c r="O55">
        <v>11</v>
      </c>
      <c r="P55">
        <v>6</v>
      </c>
      <c r="Q55">
        <v>2231045240</v>
      </c>
      <c r="R55">
        <v>399071420</v>
      </c>
      <c r="S55">
        <v>394785073</v>
      </c>
      <c r="T55">
        <v>0</v>
      </c>
      <c r="U55">
        <v>3037178</v>
      </c>
      <c r="V55">
        <v>0</v>
      </c>
      <c r="W55">
        <v>6282962</v>
      </c>
      <c r="X55">
        <v>1831973820</v>
      </c>
      <c r="Y55" s="77">
        <v>0.17887195330920319</v>
      </c>
    </row>
    <row r="56" spans="1:25" x14ac:dyDescent="0.35">
      <c r="A56">
        <v>2025</v>
      </c>
      <c r="B56">
        <v>30</v>
      </c>
      <c r="C56" t="s">
        <v>183</v>
      </c>
      <c r="D56" s="75">
        <v>45854</v>
      </c>
      <c r="E56" s="75">
        <v>45860</v>
      </c>
      <c r="F56">
        <v>476</v>
      </c>
      <c r="G56">
        <v>5282</v>
      </c>
      <c r="H56">
        <v>5311</v>
      </c>
      <c r="I56">
        <v>30</v>
      </c>
      <c r="J56">
        <v>24</v>
      </c>
      <c r="K56">
        <v>0</v>
      </c>
      <c r="L56">
        <v>2</v>
      </c>
      <c r="M56">
        <v>2</v>
      </c>
      <c r="N56">
        <v>1</v>
      </c>
      <c r="O56">
        <v>17</v>
      </c>
      <c r="P56">
        <v>6</v>
      </c>
      <c r="Q56">
        <v>398661391</v>
      </c>
      <c r="R56">
        <v>227940319</v>
      </c>
      <c r="S56">
        <v>226070211</v>
      </c>
      <c r="T56">
        <v>0</v>
      </c>
      <c r="U56">
        <v>103425544</v>
      </c>
      <c r="V56">
        <v>470117</v>
      </c>
      <c r="W56">
        <v>3052151</v>
      </c>
      <c r="X56">
        <v>170721072</v>
      </c>
      <c r="Y56" s="77">
        <v>0.57176421932466492</v>
      </c>
    </row>
    <row r="57" spans="1:25" x14ac:dyDescent="0.35">
      <c r="A57">
        <v>2025</v>
      </c>
      <c r="B57">
        <v>31</v>
      </c>
      <c r="C57" t="s">
        <v>184</v>
      </c>
      <c r="D57" s="75">
        <v>45861</v>
      </c>
      <c r="E57" s="75">
        <v>45867</v>
      </c>
      <c r="F57">
        <v>229</v>
      </c>
      <c r="G57">
        <v>5312</v>
      </c>
      <c r="H57">
        <v>5333</v>
      </c>
      <c r="I57">
        <v>22</v>
      </c>
      <c r="J57">
        <v>17</v>
      </c>
      <c r="K57">
        <v>0</v>
      </c>
      <c r="L57">
        <v>0</v>
      </c>
      <c r="M57">
        <v>3</v>
      </c>
      <c r="N57">
        <v>0</v>
      </c>
      <c r="O57">
        <v>14</v>
      </c>
      <c r="P57">
        <v>5</v>
      </c>
      <c r="Q57">
        <v>1236409219</v>
      </c>
      <c r="R57">
        <v>143244656</v>
      </c>
      <c r="S57">
        <v>142628118</v>
      </c>
      <c r="T57">
        <v>0</v>
      </c>
      <c r="U57">
        <v>6189633</v>
      </c>
      <c r="V57">
        <v>178500</v>
      </c>
      <c r="W57">
        <v>685519</v>
      </c>
      <c r="X57">
        <v>1093164563</v>
      </c>
      <c r="Y57" s="77">
        <v>0.11585537684348178</v>
      </c>
    </row>
    <row r="58" spans="1:25" x14ac:dyDescent="0.35">
      <c r="A58">
        <v>2025</v>
      </c>
      <c r="B58">
        <v>32</v>
      </c>
      <c r="C58" t="s">
        <v>185</v>
      </c>
      <c r="D58" s="75">
        <v>45868</v>
      </c>
      <c r="E58" s="75">
        <v>45874</v>
      </c>
      <c r="F58">
        <v>511</v>
      </c>
      <c r="G58">
        <v>5334</v>
      </c>
      <c r="H58">
        <v>5363</v>
      </c>
      <c r="I58">
        <v>30</v>
      </c>
      <c r="J58">
        <v>26</v>
      </c>
      <c r="K58">
        <v>1</v>
      </c>
      <c r="L58">
        <v>0</v>
      </c>
      <c r="M58">
        <v>2</v>
      </c>
      <c r="N58">
        <v>0</v>
      </c>
      <c r="O58">
        <v>23</v>
      </c>
      <c r="P58">
        <v>4</v>
      </c>
      <c r="Q58">
        <v>0</v>
      </c>
      <c r="R58">
        <v>0</v>
      </c>
      <c r="S58">
        <v>0</v>
      </c>
      <c r="T58">
        <v>0</v>
      </c>
      <c r="U58">
        <v>0</v>
      </c>
      <c r="V58">
        <v>0</v>
      </c>
      <c r="W58">
        <v>0</v>
      </c>
      <c r="X58">
        <v>0</v>
      </c>
      <c r="Y58" s="77">
        <v>0</v>
      </c>
    </row>
    <row r="59" spans="1:25" x14ac:dyDescent="0.35">
      <c r="A59">
        <v>2025</v>
      </c>
      <c r="B59">
        <v>33</v>
      </c>
      <c r="C59" t="s">
        <v>186</v>
      </c>
      <c r="D59" s="75">
        <v>45875</v>
      </c>
      <c r="E59" s="75">
        <v>45881</v>
      </c>
      <c r="F59">
        <v>435</v>
      </c>
      <c r="G59">
        <v>5364</v>
      </c>
      <c r="H59">
        <v>5374</v>
      </c>
      <c r="I59">
        <v>11</v>
      </c>
      <c r="J59">
        <v>8</v>
      </c>
      <c r="K59">
        <v>1</v>
      </c>
      <c r="L59">
        <v>0</v>
      </c>
      <c r="M59">
        <v>3</v>
      </c>
      <c r="N59">
        <v>0</v>
      </c>
      <c r="O59">
        <v>4</v>
      </c>
      <c r="P59">
        <v>3</v>
      </c>
      <c r="Q59">
        <v>1855809179</v>
      </c>
      <c r="R59">
        <v>164161765</v>
      </c>
      <c r="S59">
        <v>163888765</v>
      </c>
      <c r="T59">
        <v>1284581</v>
      </c>
      <c r="U59">
        <v>9372996</v>
      </c>
      <c r="V59">
        <v>73185</v>
      </c>
      <c r="W59">
        <v>200396</v>
      </c>
      <c r="X59">
        <v>1691647414</v>
      </c>
      <c r="Y59" s="77">
        <v>8.8458321500736584E-2</v>
      </c>
    </row>
    <row r="60" spans="1:25" x14ac:dyDescent="0.35">
      <c r="A60">
        <v>2025</v>
      </c>
      <c r="B60">
        <v>34</v>
      </c>
      <c r="C60" t="s">
        <v>187</v>
      </c>
      <c r="D60" s="75">
        <v>45882</v>
      </c>
      <c r="E60" s="75">
        <v>45888</v>
      </c>
      <c r="F60">
        <v>416</v>
      </c>
      <c r="G60">
        <v>5375</v>
      </c>
      <c r="H60">
        <v>5401</v>
      </c>
      <c r="I60">
        <v>27</v>
      </c>
      <c r="J60">
        <v>23</v>
      </c>
      <c r="K60">
        <v>2</v>
      </c>
      <c r="L60">
        <v>0</v>
      </c>
      <c r="M60">
        <v>7</v>
      </c>
      <c r="N60">
        <v>0</v>
      </c>
      <c r="O60">
        <v>14</v>
      </c>
      <c r="P60">
        <v>4</v>
      </c>
      <c r="Q60">
        <v>1420092193</v>
      </c>
      <c r="R60">
        <v>90774858</v>
      </c>
      <c r="S60">
        <v>82412461</v>
      </c>
      <c r="T60">
        <v>3622229</v>
      </c>
      <c r="U60">
        <v>49885783</v>
      </c>
      <c r="V60">
        <v>1142400</v>
      </c>
      <c r="W60">
        <v>0</v>
      </c>
      <c r="X60">
        <v>1329317335</v>
      </c>
      <c r="Y60" s="77">
        <v>6.3921806237265899E-2</v>
      </c>
    </row>
    <row r="61" spans="1:25" x14ac:dyDescent="0.35">
      <c r="A61">
        <v>2025</v>
      </c>
      <c r="B61">
        <v>35</v>
      </c>
      <c r="C61" t="s">
        <v>188</v>
      </c>
      <c r="D61" s="75">
        <v>45889</v>
      </c>
      <c r="E61" s="75">
        <v>45895</v>
      </c>
      <c r="F61">
        <v>438</v>
      </c>
      <c r="G61">
        <v>5402</v>
      </c>
      <c r="H61">
        <v>5426</v>
      </c>
      <c r="I61">
        <v>25</v>
      </c>
      <c r="J61">
        <v>21</v>
      </c>
      <c r="K61">
        <v>1</v>
      </c>
      <c r="L61">
        <v>0</v>
      </c>
      <c r="M61">
        <v>7</v>
      </c>
      <c r="N61">
        <v>0</v>
      </c>
      <c r="O61">
        <v>12</v>
      </c>
      <c r="P61">
        <v>4</v>
      </c>
      <c r="Q61">
        <v>1829148407</v>
      </c>
      <c r="R61">
        <v>71319047</v>
      </c>
      <c r="S61">
        <v>67604724</v>
      </c>
      <c r="T61">
        <v>460352</v>
      </c>
      <c r="U61">
        <v>3897130</v>
      </c>
      <c r="V61">
        <v>3494019</v>
      </c>
      <c r="W61">
        <v>8671634</v>
      </c>
      <c r="X61">
        <v>1757829360</v>
      </c>
      <c r="Y61" s="77">
        <v>3.89903010204464E-2</v>
      </c>
    </row>
    <row r="62" spans="1:25" x14ac:dyDescent="0.35">
      <c r="A62">
        <v>2025</v>
      </c>
      <c r="B62">
        <v>36</v>
      </c>
      <c r="C62" t="s">
        <v>189</v>
      </c>
      <c r="D62" s="75">
        <v>45896</v>
      </c>
      <c r="E62" s="75">
        <v>45902</v>
      </c>
      <c r="F62">
        <v>406</v>
      </c>
      <c r="G62">
        <v>5427</v>
      </c>
      <c r="H62">
        <v>5451</v>
      </c>
      <c r="I62">
        <v>25</v>
      </c>
      <c r="J62">
        <v>20</v>
      </c>
      <c r="K62">
        <v>0</v>
      </c>
      <c r="L62">
        <v>1</v>
      </c>
      <c r="M62">
        <v>4</v>
      </c>
      <c r="N62">
        <v>0</v>
      </c>
      <c r="O62">
        <v>15</v>
      </c>
      <c r="P62">
        <v>5</v>
      </c>
      <c r="Q62">
        <v>1547434757</v>
      </c>
      <c r="R62">
        <v>75218683</v>
      </c>
      <c r="S62">
        <v>72521944</v>
      </c>
      <c r="T62">
        <v>0</v>
      </c>
      <c r="U62">
        <v>13187575</v>
      </c>
      <c r="V62">
        <v>2400510</v>
      </c>
      <c r="W62">
        <v>132628</v>
      </c>
      <c r="X62">
        <v>1472216074</v>
      </c>
      <c r="Y62" s="77">
        <v>4.8608629643181786E-2</v>
      </c>
    </row>
    <row r="63" spans="1:25" x14ac:dyDescent="0.35">
      <c r="A63">
        <v>2025</v>
      </c>
      <c r="B63">
        <v>37</v>
      </c>
      <c r="C63" t="s">
        <v>190</v>
      </c>
      <c r="D63" s="75">
        <v>45903</v>
      </c>
      <c r="E63" s="75">
        <v>45909</v>
      </c>
      <c r="F63">
        <v>559</v>
      </c>
      <c r="G63">
        <v>5452</v>
      </c>
      <c r="H63">
        <v>5471</v>
      </c>
      <c r="I63">
        <v>20</v>
      </c>
      <c r="J63">
        <v>16</v>
      </c>
      <c r="K63">
        <v>1</v>
      </c>
      <c r="L63">
        <v>2</v>
      </c>
      <c r="M63">
        <v>5</v>
      </c>
      <c r="N63">
        <v>0</v>
      </c>
      <c r="O63">
        <v>8</v>
      </c>
      <c r="P63">
        <v>4</v>
      </c>
      <c r="Q63">
        <v>2909351132</v>
      </c>
      <c r="R63">
        <v>46514978</v>
      </c>
      <c r="S63">
        <v>39105866</v>
      </c>
      <c r="T63">
        <v>446250</v>
      </c>
      <c r="U63">
        <v>10664719</v>
      </c>
      <c r="V63">
        <v>177421</v>
      </c>
      <c r="W63">
        <v>15314403</v>
      </c>
      <c r="X63">
        <v>2862836154</v>
      </c>
      <c r="Y63" s="77">
        <v>1.5988093526553396E-2</v>
      </c>
    </row>
    <row r="64" spans="1:25" x14ac:dyDescent="0.35">
      <c r="A64">
        <v>2025</v>
      </c>
      <c r="B64">
        <v>38</v>
      </c>
      <c r="C64" t="s">
        <v>191</v>
      </c>
      <c r="D64" s="75">
        <v>45910</v>
      </c>
      <c r="E64" s="75">
        <v>45916</v>
      </c>
      <c r="F64">
        <v>500</v>
      </c>
      <c r="G64">
        <v>5472</v>
      </c>
      <c r="H64">
        <v>5490</v>
      </c>
      <c r="I64">
        <v>19</v>
      </c>
      <c r="J64">
        <v>13</v>
      </c>
      <c r="K64">
        <v>1</v>
      </c>
      <c r="L64">
        <v>3</v>
      </c>
      <c r="M64">
        <v>3</v>
      </c>
      <c r="N64">
        <v>0</v>
      </c>
      <c r="O64">
        <v>6</v>
      </c>
      <c r="P64">
        <v>6</v>
      </c>
      <c r="Q64">
        <v>1944472061</v>
      </c>
      <c r="R64">
        <v>79762297</v>
      </c>
      <c r="S64">
        <v>78351508</v>
      </c>
      <c r="T64">
        <v>44102220</v>
      </c>
      <c r="U64">
        <v>15994262</v>
      </c>
      <c r="V64">
        <v>213043</v>
      </c>
      <c r="W64">
        <v>861365</v>
      </c>
      <c r="X64">
        <v>1864709764</v>
      </c>
      <c r="Y64" s="77">
        <v>4.1020027286470744E-2</v>
      </c>
    </row>
    <row r="65" spans="1:25" x14ac:dyDescent="0.35">
      <c r="A65">
        <v>2025</v>
      </c>
      <c r="B65">
        <v>39</v>
      </c>
      <c r="C65" t="s">
        <v>192</v>
      </c>
      <c r="D65" s="75">
        <v>45917</v>
      </c>
      <c r="E65" s="75">
        <v>45923</v>
      </c>
      <c r="F65">
        <v>429</v>
      </c>
      <c r="G65">
        <v>5491</v>
      </c>
      <c r="H65">
        <v>5509</v>
      </c>
      <c r="I65">
        <v>19</v>
      </c>
      <c r="J65">
        <v>11</v>
      </c>
      <c r="K65">
        <v>2</v>
      </c>
      <c r="L65">
        <v>0</v>
      </c>
      <c r="M65">
        <v>2</v>
      </c>
      <c r="N65">
        <v>0</v>
      </c>
      <c r="O65">
        <v>5</v>
      </c>
      <c r="P65">
        <v>8</v>
      </c>
      <c r="Q65">
        <v>162465546</v>
      </c>
      <c r="R65">
        <v>83913493.579999998</v>
      </c>
      <c r="S65">
        <v>57486907</v>
      </c>
      <c r="T65">
        <v>23893727</v>
      </c>
      <c r="U65">
        <v>3224334</v>
      </c>
      <c r="V65">
        <v>0</v>
      </c>
      <c r="W65">
        <v>6111393</v>
      </c>
      <c r="X65">
        <v>78552052.420000002</v>
      </c>
      <c r="Y65" s="77">
        <v>0.51650024048791243</v>
      </c>
    </row>
    <row r="66" spans="1:25" x14ac:dyDescent="0.35">
      <c r="A66">
        <v>2025</v>
      </c>
      <c r="B66">
        <v>40</v>
      </c>
      <c r="C66" t="s">
        <v>193</v>
      </c>
      <c r="D66" s="75">
        <v>45924</v>
      </c>
      <c r="E66" s="75">
        <v>45930</v>
      </c>
      <c r="F66">
        <v>198</v>
      </c>
      <c r="G66">
        <v>5510</v>
      </c>
      <c r="H66">
        <v>5525</v>
      </c>
      <c r="I66">
        <v>16</v>
      </c>
      <c r="J66">
        <v>12</v>
      </c>
      <c r="K66">
        <v>2</v>
      </c>
      <c r="L66">
        <v>0</v>
      </c>
      <c r="M66">
        <v>2</v>
      </c>
      <c r="N66">
        <v>0</v>
      </c>
      <c r="O66">
        <v>8</v>
      </c>
      <c r="P66">
        <v>4</v>
      </c>
      <c r="Q66">
        <v>1409052277</v>
      </c>
      <c r="R66">
        <v>231454126</v>
      </c>
      <c r="S66">
        <v>234096164</v>
      </c>
      <c r="T66">
        <v>9718221</v>
      </c>
      <c r="U66">
        <v>749015</v>
      </c>
      <c r="V66">
        <v>909160</v>
      </c>
      <c r="W66">
        <v>699259</v>
      </c>
      <c r="X66">
        <v>1177598151</v>
      </c>
      <c r="Y66" s="77">
        <v>0.16426227030610022</v>
      </c>
    </row>
    <row r="67" spans="1:25" x14ac:dyDescent="0.35">
      <c r="A67">
        <v>2025</v>
      </c>
      <c r="B67">
        <v>41</v>
      </c>
      <c r="C67" t="s">
        <v>194</v>
      </c>
      <c r="D67" s="75">
        <v>45931</v>
      </c>
      <c r="E67" s="75">
        <v>45937</v>
      </c>
      <c r="F67">
        <v>682</v>
      </c>
      <c r="G67">
        <v>5526</v>
      </c>
      <c r="H67">
        <v>5535</v>
      </c>
      <c r="I67">
        <v>10</v>
      </c>
      <c r="J67">
        <v>5</v>
      </c>
      <c r="K67">
        <v>1</v>
      </c>
      <c r="L67">
        <v>0</v>
      </c>
      <c r="M67">
        <v>2</v>
      </c>
      <c r="N67">
        <v>0</v>
      </c>
      <c r="O67">
        <v>2</v>
      </c>
      <c r="P67">
        <v>5</v>
      </c>
      <c r="Q67">
        <v>2738539964</v>
      </c>
      <c r="R67">
        <v>9200304</v>
      </c>
      <c r="S67">
        <v>8211500</v>
      </c>
      <c r="T67">
        <v>3011890</v>
      </c>
      <c r="U67">
        <v>3106043</v>
      </c>
      <c r="V67">
        <v>716115</v>
      </c>
      <c r="W67">
        <v>521487</v>
      </c>
      <c r="X67">
        <v>2729339660</v>
      </c>
      <c r="Y67" s="77">
        <v>3.3595653599890283E-3</v>
      </c>
    </row>
    <row r="68" spans="1:25" x14ac:dyDescent="0.35">
      <c r="A68">
        <v>2025</v>
      </c>
      <c r="B68">
        <v>42</v>
      </c>
      <c r="C68" t="s">
        <v>195</v>
      </c>
      <c r="D68" s="75">
        <v>45938</v>
      </c>
      <c r="E68" s="75">
        <v>45944</v>
      </c>
      <c r="F68">
        <v>411</v>
      </c>
      <c r="G68">
        <v>5536</v>
      </c>
      <c r="H68">
        <v>5553</v>
      </c>
      <c r="I68">
        <v>18</v>
      </c>
      <c r="J68">
        <v>14</v>
      </c>
      <c r="K68">
        <v>7</v>
      </c>
      <c r="L68">
        <v>0</v>
      </c>
      <c r="M68">
        <v>4</v>
      </c>
      <c r="N68">
        <v>0</v>
      </c>
      <c r="O68">
        <v>3</v>
      </c>
      <c r="P68">
        <v>4</v>
      </c>
      <c r="Q68">
        <v>1515414622</v>
      </c>
      <c r="R68">
        <v>96693237</v>
      </c>
      <c r="S68">
        <v>96144958</v>
      </c>
      <c r="T68">
        <v>37193215</v>
      </c>
      <c r="U68">
        <v>16951569</v>
      </c>
      <c r="V68">
        <v>0</v>
      </c>
      <c r="W68">
        <v>3228674</v>
      </c>
      <c r="X68">
        <v>1418721385</v>
      </c>
      <c r="Y68" s="77">
        <v>6.3806456395667538E-2</v>
      </c>
    </row>
    <row r="69" spans="1:25" x14ac:dyDescent="0.35">
      <c r="A69">
        <v>2025</v>
      </c>
      <c r="B69">
        <v>43</v>
      </c>
      <c r="C69" t="s">
        <v>196</v>
      </c>
      <c r="D69" s="75">
        <v>45945</v>
      </c>
      <c r="E69" s="75">
        <v>45951</v>
      </c>
      <c r="F69">
        <v>422</v>
      </c>
      <c r="G69">
        <v>5554</v>
      </c>
      <c r="H69">
        <v>5572</v>
      </c>
      <c r="I69">
        <v>19</v>
      </c>
      <c r="J69">
        <v>16</v>
      </c>
      <c r="K69">
        <v>2</v>
      </c>
      <c r="L69">
        <v>1</v>
      </c>
      <c r="M69">
        <v>5</v>
      </c>
      <c r="N69">
        <v>1</v>
      </c>
      <c r="O69">
        <v>7</v>
      </c>
      <c r="P69">
        <v>3</v>
      </c>
      <c r="Q69">
        <v>1705879680</v>
      </c>
      <c r="R69">
        <v>201734720</v>
      </c>
      <c r="S69">
        <v>0</v>
      </c>
      <c r="T69">
        <v>0</v>
      </c>
      <c r="U69">
        <v>0</v>
      </c>
      <c r="V69">
        <v>0</v>
      </c>
      <c r="W69">
        <v>0</v>
      </c>
      <c r="X69">
        <v>1504144960</v>
      </c>
      <c r="Y69" s="77">
        <v>0.11825846943671901</v>
      </c>
    </row>
    <row r="70" spans="1:25" x14ac:dyDescent="0.35">
      <c r="A70">
        <v>2025</v>
      </c>
      <c r="B70">
        <v>44</v>
      </c>
      <c r="C70" t="s">
        <v>197</v>
      </c>
      <c r="D70" s="75">
        <v>45952</v>
      </c>
      <c r="E70" s="75">
        <v>45958</v>
      </c>
      <c r="F70">
        <v>301</v>
      </c>
      <c r="G70">
        <v>5573</v>
      </c>
      <c r="H70">
        <v>5589</v>
      </c>
      <c r="I70">
        <v>17</v>
      </c>
      <c r="J70">
        <v>14</v>
      </c>
      <c r="K70">
        <v>0</v>
      </c>
      <c r="L70">
        <v>1</v>
      </c>
      <c r="M70">
        <v>3</v>
      </c>
      <c r="N70">
        <v>1</v>
      </c>
      <c r="O70">
        <v>8</v>
      </c>
      <c r="P70">
        <v>3</v>
      </c>
      <c r="Q70">
        <v>1511697927</v>
      </c>
      <c r="R70">
        <v>42156198</v>
      </c>
      <c r="S70">
        <v>56167889</v>
      </c>
      <c r="T70">
        <v>0</v>
      </c>
      <c r="U70">
        <v>13201094</v>
      </c>
      <c r="V70">
        <v>192780</v>
      </c>
      <c r="W70">
        <v>397834</v>
      </c>
      <c r="X70">
        <v>1469541729</v>
      </c>
      <c r="Y70" s="77">
        <v>2.7886654633217607E-2</v>
      </c>
    </row>
    <row r="71" spans="1:25" x14ac:dyDescent="0.35">
      <c r="A71">
        <v>2025</v>
      </c>
      <c r="B71">
        <v>45</v>
      </c>
      <c r="C71" t="s">
        <v>198</v>
      </c>
      <c r="D71" s="75">
        <v>45959</v>
      </c>
      <c r="E71" s="75">
        <v>45965</v>
      </c>
      <c r="F71">
        <v>173</v>
      </c>
      <c r="G71">
        <v>5590</v>
      </c>
      <c r="H71">
        <v>5603</v>
      </c>
      <c r="I71">
        <v>14</v>
      </c>
      <c r="J71">
        <v>13</v>
      </c>
      <c r="K71">
        <v>0</v>
      </c>
      <c r="L71">
        <v>0</v>
      </c>
      <c r="M71">
        <v>3</v>
      </c>
      <c r="N71">
        <v>0</v>
      </c>
      <c r="O71">
        <v>10</v>
      </c>
      <c r="P71">
        <v>1</v>
      </c>
      <c r="Q71">
        <v>1053657954</v>
      </c>
      <c r="R71">
        <v>52257540</v>
      </c>
      <c r="S71">
        <v>46049081</v>
      </c>
      <c r="T71">
        <v>0</v>
      </c>
      <c r="U71">
        <v>10641210</v>
      </c>
      <c r="V71">
        <v>0</v>
      </c>
      <c r="W71">
        <v>347843</v>
      </c>
      <c r="X71">
        <v>1001400414</v>
      </c>
      <c r="Y71" s="77">
        <v>4.9596303811511873E-2</v>
      </c>
    </row>
    <row r="72" spans="1:25" x14ac:dyDescent="0.35">
      <c r="A72">
        <v>2025</v>
      </c>
      <c r="B72">
        <v>46</v>
      </c>
      <c r="C72" t="s">
        <v>199</v>
      </c>
      <c r="D72" s="75">
        <v>45966</v>
      </c>
      <c r="E72" s="75">
        <v>45972</v>
      </c>
      <c r="F72">
        <v>768</v>
      </c>
      <c r="G72">
        <v>5604</v>
      </c>
      <c r="H72">
        <v>5623</v>
      </c>
      <c r="I72">
        <v>20</v>
      </c>
      <c r="J72">
        <v>14</v>
      </c>
      <c r="K72">
        <v>2</v>
      </c>
      <c r="L72">
        <v>2</v>
      </c>
      <c r="M72">
        <v>2</v>
      </c>
      <c r="N72">
        <v>0</v>
      </c>
      <c r="O72">
        <v>8</v>
      </c>
      <c r="P72">
        <v>6</v>
      </c>
      <c r="Q72">
        <v>3946343337</v>
      </c>
      <c r="R72">
        <v>363907588</v>
      </c>
      <c r="S72">
        <v>360297567</v>
      </c>
      <c r="T72">
        <v>4321992</v>
      </c>
      <c r="U72">
        <v>333660720</v>
      </c>
      <c r="V72">
        <v>3247775</v>
      </c>
      <c r="W72">
        <v>618086</v>
      </c>
      <c r="X72">
        <v>3582435749</v>
      </c>
      <c r="Y72" s="77">
        <v>9.2213869124890088E-2</v>
      </c>
    </row>
    <row r="73" spans="1:25" x14ac:dyDescent="0.35">
      <c r="A73">
        <v>2025</v>
      </c>
      <c r="B73">
        <v>47</v>
      </c>
      <c r="C73" t="s">
        <v>200</v>
      </c>
      <c r="D73" s="75">
        <v>45973</v>
      </c>
      <c r="E73" s="75">
        <v>45979</v>
      </c>
      <c r="F73">
        <v>354</v>
      </c>
      <c r="G73">
        <v>5624</v>
      </c>
      <c r="H73">
        <v>5643</v>
      </c>
      <c r="I73">
        <v>20</v>
      </c>
      <c r="J73">
        <v>11</v>
      </c>
      <c r="K73">
        <v>3</v>
      </c>
      <c r="L73">
        <v>2</v>
      </c>
      <c r="M73">
        <v>0</v>
      </c>
      <c r="N73">
        <v>1</v>
      </c>
      <c r="O73">
        <v>5</v>
      </c>
      <c r="P73">
        <v>9</v>
      </c>
      <c r="Q73">
        <v>1265196697</v>
      </c>
      <c r="R73">
        <v>99981150</v>
      </c>
      <c r="S73">
        <v>92566355</v>
      </c>
      <c r="T73">
        <v>38489122</v>
      </c>
      <c r="U73">
        <v>0</v>
      </c>
      <c r="V73">
        <v>2740094</v>
      </c>
      <c r="W73">
        <v>2306004</v>
      </c>
      <c r="X73">
        <v>1165215547</v>
      </c>
      <c r="Y73" s="77">
        <v>7.9024194607109383E-2</v>
      </c>
    </row>
    <row r="74" spans="1:25" x14ac:dyDescent="0.35">
      <c r="A74">
        <v>2025</v>
      </c>
      <c r="B74">
        <v>48</v>
      </c>
      <c r="C74" t="s">
        <v>201</v>
      </c>
      <c r="D74" s="75">
        <v>45980</v>
      </c>
      <c r="E74" s="75">
        <v>45986</v>
      </c>
      <c r="F74">
        <v>430</v>
      </c>
      <c r="G74">
        <v>5644</v>
      </c>
      <c r="H74">
        <v>5671</v>
      </c>
      <c r="I74">
        <v>28</v>
      </c>
      <c r="J74">
        <v>18</v>
      </c>
      <c r="K74">
        <v>1</v>
      </c>
      <c r="L74">
        <v>3</v>
      </c>
      <c r="M74">
        <v>7</v>
      </c>
      <c r="N74">
        <v>0</v>
      </c>
      <c r="O74">
        <v>6</v>
      </c>
      <c r="P74">
        <v>10</v>
      </c>
      <c r="Q74">
        <v>3658030391</v>
      </c>
      <c r="R74">
        <v>118505888</v>
      </c>
      <c r="S74">
        <v>115158019</v>
      </c>
      <c r="T74">
        <v>4599350</v>
      </c>
      <c r="U74">
        <v>55814950</v>
      </c>
      <c r="V74">
        <v>0</v>
      </c>
      <c r="W74">
        <v>1019937</v>
      </c>
      <c r="X74">
        <v>3539524503</v>
      </c>
      <c r="Y74" s="77">
        <v>3.2396091703219533E-2</v>
      </c>
    </row>
    <row r="75" spans="1:25" x14ac:dyDescent="0.35">
      <c r="A75">
        <v>2025</v>
      </c>
      <c r="B75">
        <v>49</v>
      </c>
      <c r="C75" t="s">
        <v>202</v>
      </c>
      <c r="D75" s="75">
        <v>45987</v>
      </c>
      <c r="E75" s="75">
        <v>45993</v>
      </c>
      <c r="F75">
        <v>395</v>
      </c>
      <c r="G75">
        <v>5672</v>
      </c>
      <c r="H75">
        <v>5701</v>
      </c>
      <c r="I75">
        <v>30</v>
      </c>
      <c r="J75">
        <v>21</v>
      </c>
      <c r="K75">
        <v>0</v>
      </c>
      <c r="L75">
        <v>5</v>
      </c>
      <c r="M75">
        <v>10</v>
      </c>
      <c r="N75">
        <v>0</v>
      </c>
      <c r="O75">
        <v>5</v>
      </c>
      <c r="P75">
        <v>9</v>
      </c>
      <c r="Q75">
        <v>2654648059</v>
      </c>
      <c r="R75">
        <v>1245229425</v>
      </c>
      <c r="S75">
        <v>38097430</v>
      </c>
      <c r="T75">
        <v>0</v>
      </c>
      <c r="U75">
        <v>39153202</v>
      </c>
      <c r="V75">
        <v>12841766</v>
      </c>
      <c r="W75">
        <v>442561</v>
      </c>
      <c r="X75">
        <v>1409418634</v>
      </c>
      <c r="Y75" s="77">
        <v>0.46907514567828446</v>
      </c>
    </row>
    <row r="76" spans="1:25" x14ac:dyDescent="0.35">
      <c r="A76">
        <v>2025</v>
      </c>
      <c r="B76">
        <v>50</v>
      </c>
      <c r="C76" t="s">
        <v>203</v>
      </c>
      <c r="D76" s="75">
        <v>45994</v>
      </c>
      <c r="E76" s="75">
        <v>46000</v>
      </c>
      <c r="F76">
        <v>480</v>
      </c>
      <c r="G76">
        <v>5702</v>
      </c>
      <c r="H76">
        <v>5726</v>
      </c>
      <c r="I76">
        <v>25</v>
      </c>
      <c r="J76">
        <v>18</v>
      </c>
      <c r="K76">
        <v>1</v>
      </c>
      <c r="L76">
        <v>2</v>
      </c>
      <c r="M76">
        <v>4</v>
      </c>
      <c r="N76">
        <v>0</v>
      </c>
      <c r="O76">
        <v>10</v>
      </c>
      <c r="P76">
        <v>7</v>
      </c>
      <c r="Q76">
        <v>0</v>
      </c>
      <c r="R76">
        <v>0</v>
      </c>
      <c r="S76">
        <v>0</v>
      </c>
      <c r="T76">
        <v>0</v>
      </c>
      <c r="U76">
        <v>0</v>
      </c>
      <c r="V76">
        <v>0</v>
      </c>
      <c r="W76">
        <v>0</v>
      </c>
      <c r="X76">
        <v>0</v>
      </c>
      <c r="Y76" s="77">
        <v>0</v>
      </c>
    </row>
    <row r="77" spans="1:25" x14ac:dyDescent="0.35">
      <c r="A77">
        <v>2025</v>
      </c>
      <c r="B77">
        <v>51</v>
      </c>
      <c r="C77" t="s">
        <v>204</v>
      </c>
      <c r="D77" s="75">
        <v>46001</v>
      </c>
      <c r="E77" s="75">
        <v>46007</v>
      </c>
      <c r="F77">
        <v>534</v>
      </c>
      <c r="G77">
        <v>5727</v>
      </c>
      <c r="H77">
        <v>5754</v>
      </c>
      <c r="I77">
        <v>28</v>
      </c>
      <c r="J77">
        <v>23</v>
      </c>
      <c r="K77">
        <v>1</v>
      </c>
      <c r="L77">
        <v>2</v>
      </c>
      <c r="M77">
        <v>6</v>
      </c>
      <c r="N77">
        <v>0</v>
      </c>
      <c r="O77">
        <v>13</v>
      </c>
      <c r="P77">
        <v>5</v>
      </c>
      <c r="Q77">
        <v>4053403573.6300001</v>
      </c>
      <c r="R77">
        <v>48957834.909999996</v>
      </c>
      <c r="S77">
        <v>46904606</v>
      </c>
      <c r="T77">
        <v>4105024</v>
      </c>
      <c r="U77">
        <v>12023610</v>
      </c>
      <c r="V77">
        <v>523600</v>
      </c>
      <c r="W77">
        <v>1828101</v>
      </c>
      <c r="X77">
        <v>4004445738.7200003</v>
      </c>
      <c r="Y77" s="77">
        <v>1.2078203914483677E-2</v>
      </c>
    </row>
    <row r="78" spans="1:25" x14ac:dyDescent="0.35">
      <c r="A78">
        <v>2025</v>
      </c>
      <c r="B78">
        <v>52</v>
      </c>
      <c r="C78" t="s">
        <v>205</v>
      </c>
      <c r="D78" s="75">
        <v>46008</v>
      </c>
      <c r="E78" s="75">
        <v>46014</v>
      </c>
      <c r="F78">
        <v>316</v>
      </c>
      <c r="G78">
        <v>5755</v>
      </c>
      <c r="H78">
        <v>5782</v>
      </c>
      <c r="I78">
        <v>28</v>
      </c>
      <c r="J78">
        <v>18</v>
      </c>
      <c r="K78">
        <v>0</v>
      </c>
      <c r="L78">
        <v>0</v>
      </c>
      <c r="M78">
        <v>2</v>
      </c>
      <c r="N78">
        <v>1</v>
      </c>
      <c r="O78">
        <v>12</v>
      </c>
      <c r="P78">
        <v>10</v>
      </c>
      <c r="Q78">
        <v>2328826554</v>
      </c>
      <c r="R78">
        <v>139460830</v>
      </c>
      <c r="S78">
        <v>129678044</v>
      </c>
      <c r="T78">
        <v>0</v>
      </c>
      <c r="U78">
        <v>11227897</v>
      </c>
      <c r="V78">
        <v>634952</v>
      </c>
      <c r="W78">
        <v>571018</v>
      </c>
      <c r="X78">
        <v>2189365724</v>
      </c>
      <c r="Y78" s="77">
        <v>5.988459284804256E-2</v>
      </c>
    </row>
    <row r="79" spans="1:25" x14ac:dyDescent="0.35">
      <c r="A79">
        <v>2026</v>
      </c>
      <c r="B79">
        <v>1</v>
      </c>
      <c r="C79" t="s">
        <v>206</v>
      </c>
      <c r="D79" s="75">
        <v>46015</v>
      </c>
      <c r="E79" s="75">
        <v>46021</v>
      </c>
      <c r="F79">
        <v>0</v>
      </c>
      <c r="G79">
        <v>0</v>
      </c>
      <c r="H79">
        <v>0</v>
      </c>
      <c r="I79">
        <v>0</v>
      </c>
      <c r="J79">
        <v>0</v>
      </c>
      <c r="K79">
        <v>0</v>
      </c>
      <c r="L79">
        <v>0</v>
      </c>
      <c r="M79">
        <v>0</v>
      </c>
      <c r="N79">
        <v>0</v>
      </c>
      <c r="O79">
        <v>0</v>
      </c>
      <c r="P79">
        <v>0</v>
      </c>
      <c r="Q79">
        <v>0</v>
      </c>
      <c r="R79">
        <v>0</v>
      </c>
      <c r="S79">
        <v>0</v>
      </c>
      <c r="T79">
        <v>0</v>
      </c>
      <c r="U79">
        <v>0</v>
      </c>
      <c r="V79">
        <v>0</v>
      </c>
      <c r="W79">
        <v>0</v>
      </c>
      <c r="X79">
        <v>0</v>
      </c>
      <c r="Y79" s="77">
        <v>0</v>
      </c>
    </row>
    <row r="80" spans="1:25" x14ac:dyDescent="0.35">
      <c r="A80">
        <v>2026</v>
      </c>
      <c r="B80">
        <v>2</v>
      </c>
      <c r="C80" t="s">
        <v>207</v>
      </c>
      <c r="D80" s="75">
        <v>46022</v>
      </c>
      <c r="E80" s="75">
        <v>46028</v>
      </c>
      <c r="F80">
        <v>136</v>
      </c>
      <c r="G80">
        <v>5783</v>
      </c>
      <c r="H80">
        <v>5784</v>
      </c>
      <c r="I80">
        <v>2</v>
      </c>
      <c r="J80">
        <v>2</v>
      </c>
      <c r="K80">
        <v>1</v>
      </c>
      <c r="L80">
        <v>0</v>
      </c>
      <c r="M80">
        <v>1</v>
      </c>
      <c r="N80">
        <v>0</v>
      </c>
      <c r="O80">
        <v>0</v>
      </c>
      <c r="P80">
        <v>0</v>
      </c>
      <c r="Q80">
        <v>607264558</v>
      </c>
      <c r="R80">
        <v>33067042</v>
      </c>
      <c r="S80">
        <v>33067042</v>
      </c>
      <c r="T80">
        <v>30568720</v>
      </c>
      <c r="U80">
        <v>2498562</v>
      </c>
      <c r="V80">
        <v>0</v>
      </c>
      <c r="W80">
        <v>0</v>
      </c>
      <c r="X80" s="79">
        <v>574197516</v>
      </c>
      <c r="Y80" s="77">
        <v>5.4452448384119265E-2</v>
      </c>
    </row>
    <row r="81" spans="1:25" x14ac:dyDescent="0.35">
      <c r="A81">
        <v>2026</v>
      </c>
      <c r="B81">
        <v>3</v>
      </c>
      <c r="C81" t="s">
        <v>208</v>
      </c>
      <c r="D81" s="75">
        <v>46029</v>
      </c>
      <c r="E81" s="75">
        <v>46035</v>
      </c>
      <c r="F81">
        <v>220</v>
      </c>
      <c r="G81">
        <v>5785</v>
      </c>
      <c r="H81">
        <v>5789</v>
      </c>
      <c r="I81">
        <v>5</v>
      </c>
      <c r="J81">
        <v>4</v>
      </c>
      <c r="K81">
        <v>1</v>
      </c>
      <c r="L81">
        <v>0</v>
      </c>
      <c r="M81">
        <v>3</v>
      </c>
      <c r="N81">
        <v>0</v>
      </c>
      <c r="O81">
        <v>0</v>
      </c>
      <c r="P81">
        <v>1</v>
      </c>
      <c r="Q81">
        <v>1045204970</v>
      </c>
      <c r="R81">
        <v>12454666</v>
      </c>
      <c r="S81">
        <v>11943918</v>
      </c>
      <c r="T81">
        <v>10300447</v>
      </c>
      <c r="U81">
        <v>1985001</v>
      </c>
      <c r="V81">
        <v>0</v>
      </c>
      <c r="W81">
        <v>169218</v>
      </c>
      <c r="X81" s="79">
        <v>1032750304</v>
      </c>
      <c r="Y81" s="77">
        <v>1.1916003422754486E-2</v>
      </c>
    </row>
    <row r="82" spans="1:25" x14ac:dyDescent="0.35">
      <c r="A82">
        <v>2026</v>
      </c>
      <c r="B82">
        <v>4</v>
      </c>
      <c r="C82" t="s">
        <v>209</v>
      </c>
      <c r="D82" s="75">
        <v>46036</v>
      </c>
      <c r="E82" s="75">
        <v>46042</v>
      </c>
      <c r="F82">
        <v>390</v>
      </c>
      <c r="G82">
        <v>5790</v>
      </c>
      <c r="H82">
        <v>5803</v>
      </c>
      <c r="I82">
        <v>14</v>
      </c>
      <c r="J82">
        <v>10</v>
      </c>
      <c r="K82">
        <v>0</v>
      </c>
      <c r="L82">
        <v>0</v>
      </c>
      <c r="M82">
        <v>2</v>
      </c>
      <c r="N82">
        <v>0</v>
      </c>
      <c r="O82">
        <v>8</v>
      </c>
      <c r="P82">
        <v>4</v>
      </c>
      <c r="Q82">
        <v>2440994474</v>
      </c>
      <c r="R82">
        <v>185315347</v>
      </c>
      <c r="S82">
        <v>180656991</v>
      </c>
      <c r="T82">
        <v>0</v>
      </c>
      <c r="U82">
        <v>4282047</v>
      </c>
      <c r="V82">
        <v>4467139</v>
      </c>
      <c r="W82">
        <v>191216</v>
      </c>
      <c r="X82" s="79">
        <v>2255679127</v>
      </c>
      <c r="Y82" s="77">
        <v>7.591797071802793E-2</v>
      </c>
    </row>
    <row r="83" spans="1:25" x14ac:dyDescent="0.35">
      <c r="A83">
        <v>2026</v>
      </c>
      <c r="B83">
        <v>5</v>
      </c>
      <c r="C83" t="s">
        <v>210</v>
      </c>
      <c r="D83" s="75">
        <v>46043</v>
      </c>
      <c r="E83" s="75">
        <v>46049</v>
      </c>
      <c r="F83">
        <v>258</v>
      </c>
      <c r="G83">
        <v>5804</v>
      </c>
      <c r="H83">
        <v>5826</v>
      </c>
      <c r="I83">
        <v>23</v>
      </c>
      <c r="J83">
        <v>19</v>
      </c>
      <c r="K83">
        <v>3</v>
      </c>
      <c r="L83">
        <v>2</v>
      </c>
      <c r="M83">
        <v>6</v>
      </c>
      <c r="N83">
        <v>1</v>
      </c>
      <c r="O83">
        <v>7</v>
      </c>
      <c r="P83">
        <v>4</v>
      </c>
      <c r="Q83">
        <v>781400824</v>
      </c>
      <c r="R83">
        <v>84897910</v>
      </c>
      <c r="S83">
        <v>74522082</v>
      </c>
      <c r="T83">
        <v>10459490</v>
      </c>
      <c r="U83">
        <v>23963604</v>
      </c>
      <c r="V83">
        <v>9316034</v>
      </c>
      <c r="W83">
        <v>1030449</v>
      </c>
      <c r="X83" s="79">
        <v>696502914</v>
      </c>
      <c r="Y83" s="77">
        <v>0.10864834972326572</v>
      </c>
    </row>
    <row r="84" spans="1:25" x14ac:dyDescent="0.35">
      <c r="A84">
        <v>2026</v>
      </c>
      <c r="B84">
        <v>6</v>
      </c>
      <c r="C84" t="s">
        <v>211</v>
      </c>
      <c r="D84" s="75">
        <v>46050</v>
      </c>
      <c r="E84" s="75">
        <v>46056</v>
      </c>
      <c r="F84">
        <v>449</v>
      </c>
      <c r="G84">
        <v>5827</v>
      </c>
      <c r="H84">
        <v>5851</v>
      </c>
      <c r="I84">
        <v>25</v>
      </c>
      <c r="J84">
        <v>21</v>
      </c>
      <c r="K84">
        <v>3</v>
      </c>
      <c r="L84">
        <v>4</v>
      </c>
      <c r="M84">
        <v>7</v>
      </c>
      <c r="N84">
        <v>0</v>
      </c>
      <c r="O84">
        <v>6</v>
      </c>
      <c r="P84">
        <v>4</v>
      </c>
      <c r="Q84">
        <v>2681015648</v>
      </c>
      <c r="R84">
        <v>94927807</v>
      </c>
      <c r="S84">
        <v>80944146</v>
      </c>
      <c r="T84">
        <v>5179602</v>
      </c>
      <c r="U84">
        <v>20910127</v>
      </c>
      <c r="V84">
        <v>8267406</v>
      </c>
      <c r="W84">
        <v>41888</v>
      </c>
      <c r="X84" s="79">
        <v>2586087841</v>
      </c>
      <c r="Y84" s="77">
        <v>3.5407405052191622E-2</v>
      </c>
    </row>
    <row r="85" spans="1:25" x14ac:dyDescent="0.35">
      <c r="A85">
        <v>2026</v>
      </c>
      <c r="B85">
        <v>7</v>
      </c>
      <c r="C85" t="s">
        <v>212</v>
      </c>
      <c r="D85" s="75">
        <v>46057</v>
      </c>
      <c r="E85" s="75">
        <v>46063</v>
      </c>
      <c r="F85">
        <v>524</v>
      </c>
      <c r="G85">
        <v>5852</v>
      </c>
      <c r="H85">
        <v>5869</v>
      </c>
      <c r="I85">
        <v>18</v>
      </c>
      <c r="J85">
        <v>15</v>
      </c>
      <c r="K85">
        <v>1</v>
      </c>
      <c r="L85">
        <v>1</v>
      </c>
      <c r="M85">
        <v>5</v>
      </c>
      <c r="N85">
        <v>0</v>
      </c>
      <c r="O85">
        <v>7</v>
      </c>
      <c r="P85">
        <v>3</v>
      </c>
      <c r="Q85">
        <v>2837218806</v>
      </c>
      <c r="R85">
        <v>158947071</v>
      </c>
      <c r="S85">
        <v>144354352</v>
      </c>
      <c r="T85">
        <v>119346554</v>
      </c>
      <c r="U85">
        <v>19876000</v>
      </c>
      <c r="V85">
        <v>12934336</v>
      </c>
      <c r="W85">
        <v>990500</v>
      </c>
      <c r="X85" s="79">
        <v>2678271735</v>
      </c>
      <c r="Y85" s="77">
        <v>5.602214064839383E-2</v>
      </c>
    </row>
    <row r="86" spans="1:25" x14ac:dyDescent="0.35">
      <c r="A86">
        <v>2026</v>
      </c>
      <c r="B86">
        <v>8</v>
      </c>
      <c r="C86" t="s">
        <v>213</v>
      </c>
      <c r="D86" s="75">
        <v>46064</v>
      </c>
      <c r="E86" s="75">
        <v>46070</v>
      </c>
      <c r="F86">
        <v>679</v>
      </c>
      <c r="G86">
        <v>5870</v>
      </c>
      <c r="H86">
        <v>5882</v>
      </c>
      <c r="I86">
        <v>13</v>
      </c>
      <c r="J86">
        <v>7</v>
      </c>
      <c r="K86">
        <v>0</v>
      </c>
      <c r="L86">
        <v>0</v>
      </c>
      <c r="M86">
        <v>1</v>
      </c>
      <c r="N86">
        <v>0</v>
      </c>
      <c r="O86">
        <v>6</v>
      </c>
      <c r="P86">
        <v>6</v>
      </c>
      <c r="Q86">
        <v>0</v>
      </c>
      <c r="R86">
        <v>0</v>
      </c>
      <c r="S86">
        <v>0</v>
      </c>
      <c r="T86">
        <v>0</v>
      </c>
      <c r="U86">
        <v>0</v>
      </c>
      <c r="V86">
        <v>0</v>
      </c>
      <c r="W86">
        <v>0</v>
      </c>
      <c r="X86">
        <v>0</v>
      </c>
      <c r="Y86" s="77">
        <v>0</v>
      </c>
    </row>
    <row r="87" spans="1:25" x14ac:dyDescent="0.35">
      <c r="A87">
        <v>2026</v>
      </c>
      <c r="B87">
        <v>9</v>
      </c>
      <c r="C87" t="s">
        <v>214</v>
      </c>
      <c r="D87" s="75">
        <v>46071</v>
      </c>
      <c r="E87" s="75">
        <v>46077</v>
      </c>
      <c r="F87">
        <v>422</v>
      </c>
      <c r="G87">
        <v>5883</v>
      </c>
      <c r="H87">
        <v>5946</v>
      </c>
      <c r="I87">
        <v>64</v>
      </c>
      <c r="J87">
        <v>54</v>
      </c>
      <c r="K87">
        <v>3</v>
      </c>
      <c r="L87">
        <v>0</v>
      </c>
      <c r="M87">
        <v>27</v>
      </c>
      <c r="N87">
        <v>0</v>
      </c>
      <c r="O87">
        <v>21</v>
      </c>
      <c r="P87">
        <v>10</v>
      </c>
      <c r="Q87">
        <v>3328696520</v>
      </c>
      <c r="R87">
        <v>268471666</v>
      </c>
      <c r="S87">
        <v>219260714</v>
      </c>
      <c r="T87">
        <v>123649784</v>
      </c>
      <c r="U87">
        <v>32016766</v>
      </c>
      <c r="V87">
        <v>5997600</v>
      </c>
      <c r="W87">
        <v>5552842</v>
      </c>
      <c r="X87">
        <v>3060224854</v>
      </c>
      <c r="Y87" s="77">
        <v>8.0653692635218058E-2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37B01-7352-4421-B2AB-08E1F306A9F1}">
  <dimension ref="A1:F1693"/>
  <sheetViews>
    <sheetView workbookViewId="0">
      <selection activeCell="D2" sqref="D2"/>
    </sheetView>
  </sheetViews>
  <sheetFormatPr baseColWidth="10" defaultRowHeight="14.5" x14ac:dyDescent="0.35"/>
  <cols>
    <col min="1" max="2" width="5" bestFit="1" customWidth="1"/>
    <col min="3" max="3" width="8" bestFit="1" customWidth="1"/>
    <col min="4" max="4" width="13.54296875" bestFit="1" customWidth="1"/>
    <col min="5" max="5" width="12.453125" bestFit="1" customWidth="1"/>
  </cols>
  <sheetData>
    <row r="1" spans="1:6" x14ac:dyDescent="0.35">
      <c r="A1" s="78" t="s">
        <v>215</v>
      </c>
      <c r="B1" s="78" t="s">
        <v>104</v>
      </c>
      <c r="C1" s="78" t="s">
        <v>34</v>
      </c>
      <c r="D1" s="78" t="s">
        <v>105</v>
      </c>
      <c r="E1" s="78" t="s">
        <v>106</v>
      </c>
      <c r="F1" s="78" t="s">
        <v>107</v>
      </c>
    </row>
    <row r="2" spans="1:6" x14ac:dyDescent="0.35">
      <c r="A2">
        <v>4257</v>
      </c>
      <c r="B2">
        <v>2024</v>
      </c>
      <c r="C2">
        <v>33</v>
      </c>
      <c r="D2" t="s">
        <v>134</v>
      </c>
      <c r="E2" s="75">
        <v>45511</v>
      </c>
      <c r="F2" s="75">
        <v>45517</v>
      </c>
    </row>
    <row r="3" spans="1:6" x14ac:dyDescent="0.35">
      <c r="A3">
        <v>4258</v>
      </c>
      <c r="B3">
        <v>2024</v>
      </c>
      <c r="C3">
        <v>33</v>
      </c>
      <c r="D3" t="s">
        <v>134</v>
      </c>
      <c r="E3" s="75">
        <v>45511</v>
      </c>
      <c r="F3" s="75">
        <v>45517</v>
      </c>
    </row>
    <row r="4" spans="1:6" x14ac:dyDescent="0.35">
      <c r="A4">
        <v>4259</v>
      </c>
      <c r="B4">
        <v>2024</v>
      </c>
      <c r="C4">
        <v>33</v>
      </c>
      <c r="D4" t="s">
        <v>134</v>
      </c>
      <c r="E4" s="75">
        <v>45511</v>
      </c>
      <c r="F4" s="75">
        <v>45517</v>
      </c>
    </row>
    <row r="5" spans="1:6" x14ac:dyDescent="0.35">
      <c r="A5">
        <v>4260</v>
      </c>
      <c r="B5">
        <v>2024</v>
      </c>
      <c r="C5">
        <v>33</v>
      </c>
      <c r="D5" t="s">
        <v>134</v>
      </c>
      <c r="E5" s="75">
        <v>45511</v>
      </c>
      <c r="F5" s="75">
        <v>45517</v>
      </c>
    </row>
    <row r="6" spans="1:6" x14ac:dyDescent="0.35">
      <c r="A6">
        <v>4261</v>
      </c>
      <c r="B6">
        <v>2024</v>
      </c>
      <c r="C6">
        <v>33</v>
      </c>
      <c r="D6" t="s">
        <v>134</v>
      </c>
      <c r="E6" s="75">
        <v>45511</v>
      </c>
      <c r="F6" s="75">
        <v>45517</v>
      </c>
    </row>
    <row r="7" spans="1:6" x14ac:dyDescent="0.35">
      <c r="A7">
        <v>4262</v>
      </c>
      <c r="B7">
        <v>2024</v>
      </c>
      <c r="C7">
        <v>33</v>
      </c>
      <c r="D7" t="s">
        <v>134</v>
      </c>
      <c r="E7" s="75">
        <v>45511</v>
      </c>
      <c r="F7" s="75">
        <v>45517</v>
      </c>
    </row>
    <row r="8" spans="1:6" x14ac:dyDescent="0.35">
      <c r="A8">
        <v>4263</v>
      </c>
      <c r="B8">
        <v>2024</v>
      </c>
      <c r="C8">
        <v>33</v>
      </c>
      <c r="D8" t="s">
        <v>134</v>
      </c>
      <c r="E8" s="75">
        <v>45511</v>
      </c>
      <c r="F8" s="75">
        <v>45517</v>
      </c>
    </row>
    <row r="9" spans="1:6" x14ac:dyDescent="0.35">
      <c r="A9">
        <v>4264</v>
      </c>
      <c r="B9">
        <v>2024</v>
      </c>
      <c r="C9">
        <v>33</v>
      </c>
      <c r="D9" t="s">
        <v>134</v>
      </c>
      <c r="E9" s="75">
        <v>45511</v>
      </c>
      <c r="F9" s="75">
        <v>45517</v>
      </c>
    </row>
    <row r="10" spans="1:6" x14ac:dyDescent="0.35">
      <c r="A10">
        <v>4265</v>
      </c>
      <c r="B10">
        <v>2024</v>
      </c>
      <c r="C10">
        <v>33</v>
      </c>
      <c r="D10" t="s">
        <v>134</v>
      </c>
      <c r="E10" s="75">
        <v>45511</v>
      </c>
      <c r="F10" s="75">
        <v>45517</v>
      </c>
    </row>
    <row r="11" spans="1:6" x14ac:dyDescent="0.35">
      <c r="A11">
        <v>4266</v>
      </c>
      <c r="B11">
        <v>2024</v>
      </c>
      <c r="C11">
        <v>33</v>
      </c>
      <c r="D11" t="s">
        <v>134</v>
      </c>
      <c r="E11" s="75">
        <v>45511</v>
      </c>
      <c r="F11" s="75">
        <v>45517</v>
      </c>
    </row>
    <row r="12" spans="1:6" x14ac:dyDescent="0.35">
      <c r="A12">
        <v>4267</v>
      </c>
      <c r="B12">
        <v>2024</v>
      </c>
      <c r="C12">
        <v>33</v>
      </c>
      <c r="D12" t="s">
        <v>134</v>
      </c>
      <c r="E12" s="75">
        <v>45511</v>
      </c>
      <c r="F12" s="75">
        <v>45517</v>
      </c>
    </row>
    <row r="13" spans="1:6" x14ac:dyDescent="0.35">
      <c r="A13">
        <v>4268</v>
      </c>
      <c r="B13">
        <v>2024</v>
      </c>
      <c r="C13">
        <v>33</v>
      </c>
      <c r="D13" t="s">
        <v>134</v>
      </c>
      <c r="E13" s="75">
        <v>45511</v>
      </c>
      <c r="F13" s="75">
        <v>45517</v>
      </c>
    </row>
    <row r="14" spans="1:6" x14ac:dyDescent="0.35">
      <c r="A14">
        <v>4269</v>
      </c>
      <c r="B14">
        <v>2024</v>
      </c>
      <c r="C14">
        <v>33</v>
      </c>
      <c r="D14" t="s">
        <v>134</v>
      </c>
      <c r="E14" s="75">
        <v>45511</v>
      </c>
      <c r="F14" s="75">
        <v>45517</v>
      </c>
    </row>
    <row r="15" spans="1:6" x14ac:dyDescent="0.35">
      <c r="A15">
        <v>4270</v>
      </c>
      <c r="B15">
        <v>2024</v>
      </c>
      <c r="C15">
        <v>33</v>
      </c>
      <c r="D15" t="s">
        <v>134</v>
      </c>
      <c r="E15" s="75">
        <v>45511</v>
      </c>
      <c r="F15" s="75">
        <v>45517</v>
      </c>
    </row>
    <row r="16" spans="1:6" x14ac:dyDescent="0.35">
      <c r="A16">
        <v>4271</v>
      </c>
      <c r="B16">
        <v>2024</v>
      </c>
      <c r="C16">
        <v>33</v>
      </c>
      <c r="D16" t="s">
        <v>134</v>
      </c>
      <c r="E16" s="75">
        <v>45511</v>
      </c>
      <c r="F16" s="75">
        <v>45517</v>
      </c>
    </row>
    <row r="17" spans="1:6" x14ac:dyDescent="0.35">
      <c r="A17">
        <v>4272</v>
      </c>
      <c r="B17">
        <v>2024</v>
      </c>
      <c r="C17">
        <v>33</v>
      </c>
      <c r="D17" t="s">
        <v>134</v>
      </c>
      <c r="E17" s="75">
        <v>45511</v>
      </c>
      <c r="F17" s="75">
        <v>45517</v>
      </c>
    </row>
    <row r="18" spans="1:6" x14ac:dyDescent="0.35">
      <c r="A18">
        <v>4273</v>
      </c>
      <c r="B18">
        <v>2024</v>
      </c>
      <c r="C18">
        <v>33</v>
      </c>
      <c r="D18" t="s">
        <v>134</v>
      </c>
      <c r="E18" s="75">
        <v>45511</v>
      </c>
      <c r="F18" s="75">
        <v>45517</v>
      </c>
    </row>
    <row r="19" spans="1:6" x14ac:dyDescent="0.35">
      <c r="A19">
        <v>4274</v>
      </c>
      <c r="B19">
        <v>2024</v>
      </c>
      <c r="C19">
        <v>33</v>
      </c>
      <c r="D19" t="s">
        <v>134</v>
      </c>
      <c r="E19" s="75">
        <v>45511</v>
      </c>
      <c r="F19" s="75">
        <v>45517</v>
      </c>
    </row>
    <row r="20" spans="1:6" x14ac:dyDescent="0.35">
      <c r="A20">
        <v>4275</v>
      </c>
      <c r="B20">
        <v>2024</v>
      </c>
      <c r="C20">
        <v>33</v>
      </c>
      <c r="D20" t="s">
        <v>134</v>
      </c>
      <c r="E20" s="75">
        <v>45511</v>
      </c>
      <c r="F20" s="75">
        <v>45517</v>
      </c>
    </row>
    <row r="21" spans="1:6" x14ac:dyDescent="0.35">
      <c r="A21">
        <v>4276</v>
      </c>
      <c r="B21">
        <v>2024</v>
      </c>
      <c r="C21">
        <v>33</v>
      </c>
      <c r="D21" t="s">
        <v>134</v>
      </c>
      <c r="E21" s="75">
        <v>45511</v>
      </c>
      <c r="F21" s="75">
        <v>45517</v>
      </c>
    </row>
    <row r="22" spans="1:6" x14ac:dyDescent="0.35">
      <c r="A22">
        <v>4277</v>
      </c>
      <c r="B22">
        <v>2024</v>
      </c>
      <c r="C22">
        <v>34</v>
      </c>
      <c r="D22" t="s">
        <v>135</v>
      </c>
      <c r="E22" s="75">
        <v>45518</v>
      </c>
      <c r="F22" s="75">
        <v>45524</v>
      </c>
    </row>
    <row r="23" spans="1:6" x14ac:dyDescent="0.35">
      <c r="A23">
        <v>4278</v>
      </c>
      <c r="B23">
        <v>2024</v>
      </c>
      <c r="C23">
        <v>34</v>
      </c>
      <c r="D23" t="s">
        <v>135</v>
      </c>
      <c r="E23" s="75">
        <v>45518</v>
      </c>
      <c r="F23" s="75">
        <v>45524</v>
      </c>
    </row>
    <row r="24" spans="1:6" x14ac:dyDescent="0.35">
      <c r="A24">
        <v>4279</v>
      </c>
      <c r="B24">
        <v>2024</v>
      </c>
      <c r="C24">
        <v>34</v>
      </c>
      <c r="D24" t="s">
        <v>135</v>
      </c>
      <c r="E24" s="75">
        <v>45518</v>
      </c>
      <c r="F24" s="75">
        <v>45524</v>
      </c>
    </row>
    <row r="25" spans="1:6" x14ac:dyDescent="0.35">
      <c r="A25">
        <v>4280</v>
      </c>
      <c r="B25">
        <v>2024</v>
      </c>
      <c r="C25">
        <v>34</v>
      </c>
      <c r="D25" t="s">
        <v>135</v>
      </c>
      <c r="E25" s="75">
        <v>45518</v>
      </c>
      <c r="F25" s="75">
        <v>45524</v>
      </c>
    </row>
    <row r="26" spans="1:6" x14ac:dyDescent="0.35">
      <c r="A26">
        <v>4281</v>
      </c>
      <c r="B26">
        <v>2024</v>
      </c>
      <c r="C26">
        <v>34</v>
      </c>
      <c r="D26" t="s">
        <v>135</v>
      </c>
      <c r="E26" s="75">
        <v>45518</v>
      </c>
      <c r="F26" s="75">
        <v>45524</v>
      </c>
    </row>
    <row r="27" spans="1:6" x14ac:dyDescent="0.35">
      <c r="A27">
        <v>4282</v>
      </c>
      <c r="B27">
        <v>2024</v>
      </c>
      <c r="C27">
        <v>34</v>
      </c>
      <c r="D27" t="s">
        <v>135</v>
      </c>
      <c r="E27" s="75">
        <v>45518</v>
      </c>
      <c r="F27" s="75">
        <v>45524</v>
      </c>
    </row>
    <row r="28" spans="1:6" x14ac:dyDescent="0.35">
      <c r="A28">
        <v>4283</v>
      </c>
      <c r="B28">
        <v>2024</v>
      </c>
      <c r="C28">
        <v>34</v>
      </c>
      <c r="D28" t="s">
        <v>135</v>
      </c>
      <c r="E28" s="75">
        <v>45518</v>
      </c>
      <c r="F28" s="75">
        <v>45524</v>
      </c>
    </row>
    <row r="29" spans="1:6" x14ac:dyDescent="0.35">
      <c r="A29">
        <v>4284</v>
      </c>
      <c r="B29">
        <v>2024</v>
      </c>
      <c r="C29">
        <v>34</v>
      </c>
      <c r="D29" t="s">
        <v>135</v>
      </c>
      <c r="E29" s="75">
        <v>45518</v>
      </c>
      <c r="F29" s="75">
        <v>45524</v>
      </c>
    </row>
    <row r="30" spans="1:6" x14ac:dyDescent="0.35">
      <c r="A30">
        <v>4285</v>
      </c>
      <c r="B30">
        <v>2024</v>
      </c>
      <c r="C30">
        <v>34</v>
      </c>
      <c r="D30" t="s">
        <v>135</v>
      </c>
      <c r="E30" s="75">
        <v>45518</v>
      </c>
      <c r="F30" s="75">
        <v>45524</v>
      </c>
    </row>
    <row r="31" spans="1:6" x14ac:dyDescent="0.35">
      <c r="A31">
        <v>4286</v>
      </c>
      <c r="B31">
        <v>2024</v>
      </c>
      <c r="C31">
        <v>34</v>
      </c>
      <c r="D31" t="s">
        <v>135</v>
      </c>
      <c r="E31" s="75">
        <v>45518</v>
      </c>
      <c r="F31" s="75">
        <v>45524</v>
      </c>
    </row>
    <row r="32" spans="1:6" x14ac:dyDescent="0.35">
      <c r="A32">
        <v>4287</v>
      </c>
      <c r="B32">
        <v>2024</v>
      </c>
      <c r="C32">
        <v>34</v>
      </c>
      <c r="D32" t="s">
        <v>135</v>
      </c>
      <c r="E32" s="75">
        <v>45518</v>
      </c>
      <c r="F32" s="75">
        <v>45524</v>
      </c>
    </row>
    <row r="33" spans="1:6" x14ac:dyDescent="0.35">
      <c r="A33">
        <v>4288</v>
      </c>
      <c r="B33">
        <v>2024</v>
      </c>
      <c r="C33">
        <v>34</v>
      </c>
      <c r="D33" t="s">
        <v>135</v>
      </c>
      <c r="E33" s="75">
        <v>45518</v>
      </c>
      <c r="F33" s="75">
        <v>45524</v>
      </c>
    </row>
    <row r="34" spans="1:6" x14ac:dyDescent="0.35">
      <c r="A34">
        <v>4289</v>
      </c>
      <c r="B34">
        <v>2024</v>
      </c>
      <c r="C34">
        <v>34</v>
      </c>
      <c r="D34" t="s">
        <v>135</v>
      </c>
      <c r="E34" s="75">
        <v>45518</v>
      </c>
      <c r="F34" s="75">
        <v>45524</v>
      </c>
    </row>
    <row r="35" spans="1:6" x14ac:dyDescent="0.35">
      <c r="A35">
        <v>4290</v>
      </c>
      <c r="B35">
        <v>2024</v>
      </c>
      <c r="C35">
        <v>34</v>
      </c>
      <c r="D35" t="s">
        <v>135</v>
      </c>
      <c r="E35" s="75">
        <v>45518</v>
      </c>
      <c r="F35" s="75">
        <v>45524</v>
      </c>
    </row>
    <row r="36" spans="1:6" x14ac:dyDescent="0.35">
      <c r="A36">
        <v>4291</v>
      </c>
      <c r="B36">
        <v>2024</v>
      </c>
      <c r="C36">
        <v>34</v>
      </c>
      <c r="D36" t="s">
        <v>135</v>
      </c>
      <c r="E36" s="75">
        <v>45518</v>
      </c>
      <c r="F36" s="75">
        <v>45524</v>
      </c>
    </row>
    <row r="37" spans="1:6" x14ac:dyDescent="0.35">
      <c r="A37">
        <v>4292</v>
      </c>
      <c r="B37">
        <v>2024</v>
      </c>
      <c r="C37">
        <v>34</v>
      </c>
      <c r="D37" t="s">
        <v>135</v>
      </c>
      <c r="E37" s="75">
        <v>45518</v>
      </c>
      <c r="F37" s="75">
        <v>45524</v>
      </c>
    </row>
    <row r="38" spans="1:6" x14ac:dyDescent="0.35">
      <c r="A38">
        <v>4293</v>
      </c>
      <c r="B38">
        <v>2024</v>
      </c>
      <c r="C38">
        <v>35</v>
      </c>
      <c r="D38" t="s">
        <v>136</v>
      </c>
      <c r="E38" s="75">
        <v>45525</v>
      </c>
      <c r="F38" s="75">
        <v>45531</v>
      </c>
    </row>
    <row r="39" spans="1:6" x14ac:dyDescent="0.35">
      <c r="A39">
        <v>4294</v>
      </c>
      <c r="B39">
        <v>2024</v>
      </c>
      <c r="C39">
        <v>35</v>
      </c>
      <c r="D39" t="s">
        <v>136</v>
      </c>
      <c r="E39" s="75">
        <v>45525</v>
      </c>
      <c r="F39" s="75">
        <v>45531</v>
      </c>
    </row>
    <row r="40" spans="1:6" x14ac:dyDescent="0.35">
      <c r="A40">
        <v>4295</v>
      </c>
      <c r="B40">
        <v>2024</v>
      </c>
      <c r="C40">
        <v>35</v>
      </c>
      <c r="D40" t="s">
        <v>136</v>
      </c>
      <c r="E40" s="75">
        <v>45525</v>
      </c>
      <c r="F40" s="75">
        <v>45531</v>
      </c>
    </row>
    <row r="41" spans="1:6" x14ac:dyDescent="0.35">
      <c r="A41">
        <v>4296</v>
      </c>
      <c r="B41">
        <v>2024</v>
      </c>
      <c r="C41">
        <v>35</v>
      </c>
      <c r="D41" t="s">
        <v>136</v>
      </c>
      <c r="E41" s="75">
        <v>45525</v>
      </c>
      <c r="F41" s="75">
        <v>45531</v>
      </c>
    </row>
    <row r="42" spans="1:6" x14ac:dyDescent="0.35">
      <c r="A42">
        <v>4297</v>
      </c>
      <c r="B42">
        <v>2024</v>
      </c>
      <c r="C42">
        <v>35</v>
      </c>
      <c r="D42" t="s">
        <v>136</v>
      </c>
      <c r="E42" s="75">
        <v>45525</v>
      </c>
      <c r="F42" s="75">
        <v>45531</v>
      </c>
    </row>
    <row r="43" spans="1:6" x14ac:dyDescent="0.35">
      <c r="A43">
        <v>4298</v>
      </c>
      <c r="B43">
        <v>2024</v>
      </c>
      <c r="C43">
        <v>35</v>
      </c>
      <c r="D43" t="s">
        <v>136</v>
      </c>
      <c r="E43" s="75">
        <v>45525</v>
      </c>
      <c r="F43" s="75">
        <v>45531</v>
      </c>
    </row>
    <row r="44" spans="1:6" x14ac:dyDescent="0.35">
      <c r="A44">
        <v>4299</v>
      </c>
      <c r="B44">
        <v>2024</v>
      </c>
      <c r="C44">
        <v>35</v>
      </c>
      <c r="D44" t="s">
        <v>136</v>
      </c>
      <c r="E44" s="75">
        <v>45525</v>
      </c>
      <c r="F44" s="75">
        <v>45531</v>
      </c>
    </row>
    <row r="45" spans="1:6" x14ac:dyDescent="0.35">
      <c r="A45">
        <v>4300</v>
      </c>
      <c r="B45">
        <v>2024</v>
      </c>
      <c r="C45">
        <v>35</v>
      </c>
      <c r="D45" t="s">
        <v>136</v>
      </c>
      <c r="E45" s="75">
        <v>45525</v>
      </c>
      <c r="F45" s="75">
        <v>45531</v>
      </c>
    </row>
    <row r="46" spans="1:6" x14ac:dyDescent="0.35">
      <c r="A46">
        <v>4301</v>
      </c>
      <c r="B46">
        <v>2024</v>
      </c>
      <c r="C46">
        <v>35</v>
      </c>
      <c r="D46" t="s">
        <v>136</v>
      </c>
      <c r="E46" s="75">
        <v>45525</v>
      </c>
      <c r="F46" s="75">
        <v>45531</v>
      </c>
    </row>
    <row r="47" spans="1:6" x14ac:dyDescent="0.35">
      <c r="A47">
        <v>4302</v>
      </c>
      <c r="B47">
        <v>2024</v>
      </c>
      <c r="C47">
        <v>35</v>
      </c>
      <c r="D47" t="s">
        <v>136</v>
      </c>
      <c r="E47" s="75">
        <v>45525</v>
      </c>
      <c r="F47" s="75">
        <v>45531</v>
      </c>
    </row>
    <row r="48" spans="1:6" x14ac:dyDescent="0.35">
      <c r="A48">
        <v>4303</v>
      </c>
      <c r="B48">
        <v>2024</v>
      </c>
      <c r="C48">
        <v>35</v>
      </c>
      <c r="D48" t="s">
        <v>136</v>
      </c>
      <c r="E48" s="75">
        <v>45525</v>
      </c>
      <c r="F48" s="75">
        <v>45531</v>
      </c>
    </row>
    <row r="49" spans="1:6" x14ac:dyDescent="0.35">
      <c r="A49">
        <v>4304</v>
      </c>
      <c r="B49">
        <v>2024</v>
      </c>
      <c r="C49">
        <v>35</v>
      </c>
      <c r="D49" t="s">
        <v>136</v>
      </c>
      <c r="E49" s="75">
        <v>45525</v>
      </c>
      <c r="F49" s="75">
        <v>45531</v>
      </c>
    </row>
    <row r="50" spans="1:6" x14ac:dyDescent="0.35">
      <c r="A50">
        <v>4305</v>
      </c>
      <c r="B50">
        <v>2024</v>
      </c>
      <c r="C50">
        <v>35</v>
      </c>
      <c r="D50" t="s">
        <v>136</v>
      </c>
      <c r="E50" s="75">
        <v>45525</v>
      </c>
      <c r="F50" s="75">
        <v>45531</v>
      </c>
    </row>
    <row r="51" spans="1:6" x14ac:dyDescent="0.35">
      <c r="A51">
        <v>4306</v>
      </c>
      <c r="B51">
        <v>2024</v>
      </c>
      <c r="C51">
        <v>35</v>
      </c>
      <c r="D51" t="s">
        <v>136</v>
      </c>
      <c r="E51" s="75">
        <v>45525</v>
      </c>
      <c r="F51" s="75">
        <v>45531</v>
      </c>
    </row>
    <row r="52" spans="1:6" x14ac:dyDescent="0.35">
      <c r="A52">
        <v>4307</v>
      </c>
      <c r="B52">
        <v>2024</v>
      </c>
      <c r="C52">
        <v>36</v>
      </c>
      <c r="D52" t="s">
        <v>137</v>
      </c>
      <c r="E52" s="75">
        <v>45532</v>
      </c>
      <c r="F52" s="75">
        <v>45538</v>
      </c>
    </row>
    <row r="53" spans="1:6" x14ac:dyDescent="0.35">
      <c r="A53">
        <v>4308</v>
      </c>
      <c r="B53">
        <v>2024</v>
      </c>
      <c r="C53">
        <v>36</v>
      </c>
      <c r="D53" t="s">
        <v>137</v>
      </c>
      <c r="E53" s="75">
        <v>45532</v>
      </c>
      <c r="F53" s="75">
        <v>45538</v>
      </c>
    </row>
    <row r="54" spans="1:6" x14ac:dyDescent="0.35">
      <c r="A54">
        <v>4309</v>
      </c>
      <c r="B54">
        <v>2024</v>
      </c>
      <c r="C54">
        <v>36</v>
      </c>
      <c r="D54" t="s">
        <v>137</v>
      </c>
      <c r="E54" s="75">
        <v>45532</v>
      </c>
      <c r="F54" s="75">
        <v>45538</v>
      </c>
    </row>
    <row r="55" spans="1:6" x14ac:dyDescent="0.35">
      <c r="A55">
        <v>4310</v>
      </c>
      <c r="B55">
        <v>2024</v>
      </c>
      <c r="C55">
        <v>36</v>
      </c>
      <c r="D55" t="s">
        <v>137</v>
      </c>
      <c r="E55" s="75">
        <v>45532</v>
      </c>
      <c r="F55" s="75">
        <v>45538</v>
      </c>
    </row>
    <row r="56" spans="1:6" x14ac:dyDescent="0.35">
      <c r="A56">
        <v>4311</v>
      </c>
      <c r="B56">
        <v>2024</v>
      </c>
      <c r="C56">
        <v>36</v>
      </c>
      <c r="D56" t="s">
        <v>137</v>
      </c>
      <c r="E56" s="75">
        <v>45532</v>
      </c>
      <c r="F56" s="75">
        <v>45538</v>
      </c>
    </row>
    <row r="57" spans="1:6" x14ac:dyDescent="0.35">
      <c r="A57">
        <v>4312</v>
      </c>
      <c r="B57">
        <v>2024</v>
      </c>
      <c r="C57">
        <v>36</v>
      </c>
      <c r="D57" t="s">
        <v>137</v>
      </c>
      <c r="E57" s="75">
        <v>45532</v>
      </c>
      <c r="F57" s="75">
        <v>45538</v>
      </c>
    </row>
    <row r="58" spans="1:6" x14ac:dyDescent="0.35">
      <c r="A58">
        <v>4313</v>
      </c>
      <c r="B58">
        <v>2024</v>
      </c>
      <c r="C58">
        <v>36</v>
      </c>
      <c r="D58" t="s">
        <v>137</v>
      </c>
      <c r="E58" s="75">
        <v>45532</v>
      </c>
      <c r="F58" s="75">
        <v>45538</v>
      </c>
    </row>
    <row r="59" spans="1:6" x14ac:dyDescent="0.35">
      <c r="A59">
        <v>4314</v>
      </c>
      <c r="B59">
        <v>2024</v>
      </c>
      <c r="C59">
        <v>36</v>
      </c>
      <c r="D59" t="s">
        <v>137</v>
      </c>
      <c r="E59" s="75">
        <v>45532</v>
      </c>
      <c r="F59" s="75">
        <v>45538</v>
      </c>
    </row>
    <row r="60" spans="1:6" x14ac:dyDescent="0.35">
      <c r="A60">
        <v>4315</v>
      </c>
      <c r="B60">
        <v>2024</v>
      </c>
      <c r="C60">
        <v>36</v>
      </c>
      <c r="D60" t="s">
        <v>137</v>
      </c>
      <c r="E60" s="75">
        <v>45532</v>
      </c>
      <c r="F60" s="75">
        <v>45538</v>
      </c>
    </row>
    <row r="61" spans="1:6" x14ac:dyDescent="0.35">
      <c r="A61">
        <v>4316</v>
      </c>
      <c r="B61">
        <v>2024</v>
      </c>
      <c r="C61">
        <v>36</v>
      </c>
      <c r="D61" t="s">
        <v>137</v>
      </c>
      <c r="E61" s="75">
        <v>45532</v>
      </c>
      <c r="F61" s="75">
        <v>45538</v>
      </c>
    </row>
    <row r="62" spans="1:6" x14ac:dyDescent="0.35">
      <c r="A62">
        <v>4317</v>
      </c>
      <c r="B62">
        <v>2024</v>
      </c>
      <c r="C62">
        <v>36</v>
      </c>
      <c r="D62" t="s">
        <v>137</v>
      </c>
      <c r="E62" s="75">
        <v>45532</v>
      </c>
      <c r="F62" s="75">
        <v>45538</v>
      </c>
    </row>
    <row r="63" spans="1:6" x14ac:dyDescent="0.35">
      <c r="A63">
        <v>4318</v>
      </c>
      <c r="B63">
        <v>2024</v>
      </c>
      <c r="C63">
        <v>36</v>
      </c>
      <c r="D63" t="s">
        <v>137</v>
      </c>
      <c r="E63" s="75">
        <v>45532</v>
      </c>
      <c r="F63" s="75">
        <v>45538</v>
      </c>
    </row>
    <row r="64" spans="1:6" x14ac:dyDescent="0.35">
      <c r="A64">
        <v>4319</v>
      </c>
      <c r="B64">
        <v>2024</v>
      </c>
      <c r="C64">
        <v>36</v>
      </c>
      <c r="D64" t="s">
        <v>137</v>
      </c>
      <c r="E64" s="75">
        <v>45532</v>
      </c>
      <c r="F64" s="75">
        <v>45538</v>
      </c>
    </row>
    <row r="65" spans="1:6" x14ac:dyDescent="0.35">
      <c r="A65">
        <v>4320</v>
      </c>
      <c r="B65">
        <v>2024</v>
      </c>
      <c r="C65">
        <v>36</v>
      </c>
      <c r="D65" t="s">
        <v>137</v>
      </c>
      <c r="E65" s="75">
        <v>45532</v>
      </c>
      <c r="F65" s="75">
        <v>45538</v>
      </c>
    </row>
    <row r="66" spans="1:6" x14ac:dyDescent="0.35">
      <c r="A66">
        <v>4321</v>
      </c>
      <c r="B66">
        <v>2024</v>
      </c>
      <c r="C66">
        <v>36</v>
      </c>
      <c r="D66" t="s">
        <v>137</v>
      </c>
      <c r="E66" s="75">
        <v>45532</v>
      </c>
      <c r="F66" s="75">
        <v>45538</v>
      </c>
    </row>
    <row r="67" spans="1:6" x14ac:dyDescent="0.35">
      <c r="A67">
        <v>4322</v>
      </c>
      <c r="B67">
        <v>2024</v>
      </c>
      <c r="C67">
        <v>36</v>
      </c>
      <c r="D67" t="s">
        <v>137</v>
      </c>
      <c r="E67" s="75">
        <v>45532</v>
      </c>
      <c r="F67" s="75">
        <v>45538</v>
      </c>
    </row>
    <row r="68" spans="1:6" x14ac:dyDescent="0.35">
      <c r="A68">
        <v>4323</v>
      </c>
      <c r="B68">
        <v>2024</v>
      </c>
      <c r="C68">
        <v>36</v>
      </c>
      <c r="D68" t="s">
        <v>137</v>
      </c>
      <c r="E68" s="75">
        <v>45532</v>
      </c>
      <c r="F68" s="75">
        <v>45538</v>
      </c>
    </row>
    <row r="69" spans="1:6" x14ac:dyDescent="0.35">
      <c r="A69">
        <v>4324</v>
      </c>
      <c r="B69">
        <v>2024</v>
      </c>
      <c r="C69">
        <v>36</v>
      </c>
      <c r="D69" t="s">
        <v>137</v>
      </c>
      <c r="E69" s="75">
        <v>45532</v>
      </c>
      <c r="F69" s="75">
        <v>45538</v>
      </c>
    </row>
    <row r="70" spans="1:6" x14ac:dyDescent="0.35">
      <c r="A70">
        <v>4325</v>
      </c>
      <c r="B70">
        <v>2024</v>
      </c>
      <c r="C70">
        <v>36</v>
      </c>
      <c r="D70" t="s">
        <v>137</v>
      </c>
      <c r="E70" s="75">
        <v>45532</v>
      </c>
      <c r="F70" s="75">
        <v>45538</v>
      </c>
    </row>
    <row r="71" spans="1:6" x14ac:dyDescent="0.35">
      <c r="A71">
        <v>4326</v>
      </c>
      <c r="B71">
        <v>2024</v>
      </c>
      <c r="C71">
        <v>36</v>
      </c>
      <c r="D71" t="s">
        <v>137</v>
      </c>
      <c r="E71" s="75">
        <v>45532</v>
      </c>
      <c r="F71" s="75">
        <v>45538</v>
      </c>
    </row>
    <row r="72" spans="1:6" x14ac:dyDescent="0.35">
      <c r="A72">
        <v>4327</v>
      </c>
      <c r="B72">
        <v>2024</v>
      </c>
      <c r="C72">
        <v>36</v>
      </c>
      <c r="D72" t="s">
        <v>137</v>
      </c>
      <c r="E72" s="75">
        <v>45532</v>
      </c>
      <c r="F72" s="75">
        <v>45538</v>
      </c>
    </row>
    <row r="73" spans="1:6" x14ac:dyDescent="0.35">
      <c r="A73">
        <v>4328</v>
      </c>
      <c r="B73">
        <v>2024</v>
      </c>
      <c r="C73">
        <v>36</v>
      </c>
      <c r="D73" t="s">
        <v>137</v>
      </c>
      <c r="E73" s="75">
        <v>45532</v>
      </c>
      <c r="F73" s="75">
        <v>45538</v>
      </c>
    </row>
    <row r="74" spans="1:6" x14ac:dyDescent="0.35">
      <c r="A74">
        <v>4329</v>
      </c>
      <c r="B74">
        <v>2024</v>
      </c>
      <c r="C74">
        <v>36</v>
      </c>
      <c r="D74" t="s">
        <v>137</v>
      </c>
      <c r="E74" s="75">
        <v>45532</v>
      </c>
      <c r="F74" s="75">
        <v>45538</v>
      </c>
    </row>
    <row r="75" spans="1:6" x14ac:dyDescent="0.35">
      <c r="A75">
        <v>4330</v>
      </c>
      <c r="B75">
        <v>2024</v>
      </c>
      <c r="C75">
        <v>36</v>
      </c>
      <c r="D75" t="s">
        <v>137</v>
      </c>
      <c r="E75" s="75">
        <v>45532</v>
      </c>
      <c r="F75" s="75">
        <v>45538</v>
      </c>
    </row>
    <row r="76" spans="1:6" x14ac:dyDescent="0.35">
      <c r="A76">
        <v>4331</v>
      </c>
      <c r="B76">
        <v>2024</v>
      </c>
      <c r="C76">
        <v>36</v>
      </c>
      <c r="D76" t="s">
        <v>137</v>
      </c>
      <c r="E76" s="75">
        <v>45532</v>
      </c>
      <c r="F76" s="75">
        <v>45538</v>
      </c>
    </row>
    <row r="77" spans="1:6" x14ac:dyDescent="0.35">
      <c r="A77">
        <v>4332</v>
      </c>
      <c r="B77">
        <v>2024</v>
      </c>
      <c r="C77">
        <v>36</v>
      </c>
      <c r="D77" t="s">
        <v>137</v>
      </c>
      <c r="E77" s="75">
        <v>45532</v>
      </c>
      <c r="F77" s="75">
        <v>45538</v>
      </c>
    </row>
    <row r="78" spans="1:6" x14ac:dyDescent="0.35">
      <c r="A78">
        <v>4333</v>
      </c>
      <c r="B78">
        <v>2024</v>
      </c>
      <c r="C78">
        <v>36</v>
      </c>
      <c r="D78" t="s">
        <v>137</v>
      </c>
      <c r="E78" s="75">
        <v>45532</v>
      </c>
      <c r="F78" s="75">
        <v>45538</v>
      </c>
    </row>
    <row r="79" spans="1:6" x14ac:dyDescent="0.35">
      <c r="A79">
        <v>4334</v>
      </c>
      <c r="B79">
        <v>2024</v>
      </c>
      <c r="C79">
        <v>36</v>
      </c>
      <c r="D79" t="s">
        <v>137</v>
      </c>
      <c r="E79" s="75">
        <v>45532</v>
      </c>
      <c r="F79" s="75">
        <v>45538</v>
      </c>
    </row>
    <row r="80" spans="1:6" x14ac:dyDescent="0.35">
      <c r="A80">
        <v>4335</v>
      </c>
      <c r="B80">
        <v>2024</v>
      </c>
      <c r="C80">
        <v>37</v>
      </c>
      <c r="D80" t="s">
        <v>138</v>
      </c>
      <c r="E80" s="75">
        <v>45539</v>
      </c>
      <c r="F80" s="75">
        <v>45545</v>
      </c>
    </row>
    <row r="81" spans="1:6" x14ac:dyDescent="0.35">
      <c r="A81">
        <v>4336</v>
      </c>
      <c r="B81">
        <v>2024</v>
      </c>
      <c r="C81">
        <v>37</v>
      </c>
      <c r="D81" t="s">
        <v>138</v>
      </c>
      <c r="E81" s="75">
        <v>45539</v>
      </c>
      <c r="F81" s="75">
        <v>45545</v>
      </c>
    </row>
    <row r="82" spans="1:6" x14ac:dyDescent="0.35">
      <c r="A82">
        <v>4337</v>
      </c>
      <c r="B82">
        <v>2024</v>
      </c>
      <c r="C82">
        <v>37</v>
      </c>
      <c r="D82" t="s">
        <v>138</v>
      </c>
      <c r="E82" s="75">
        <v>45539</v>
      </c>
      <c r="F82" s="75">
        <v>45545</v>
      </c>
    </row>
    <row r="83" spans="1:6" x14ac:dyDescent="0.35">
      <c r="A83">
        <v>4338</v>
      </c>
      <c r="B83">
        <v>2024</v>
      </c>
      <c r="C83">
        <v>37</v>
      </c>
      <c r="D83" t="s">
        <v>138</v>
      </c>
      <c r="E83" s="75">
        <v>45539</v>
      </c>
      <c r="F83" s="75">
        <v>45545</v>
      </c>
    </row>
    <row r="84" spans="1:6" x14ac:dyDescent="0.35">
      <c r="A84">
        <v>4339</v>
      </c>
      <c r="B84">
        <v>2024</v>
      </c>
      <c r="C84">
        <v>37</v>
      </c>
      <c r="D84" t="s">
        <v>138</v>
      </c>
      <c r="E84" s="75">
        <v>45539</v>
      </c>
      <c r="F84" s="75">
        <v>45545</v>
      </c>
    </row>
    <row r="85" spans="1:6" x14ac:dyDescent="0.35">
      <c r="A85">
        <v>4340</v>
      </c>
      <c r="B85">
        <v>2024</v>
      </c>
      <c r="C85">
        <v>37</v>
      </c>
      <c r="D85" t="s">
        <v>138</v>
      </c>
      <c r="E85" s="75">
        <v>45539</v>
      </c>
      <c r="F85" s="75">
        <v>45545</v>
      </c>
    </row>
    <row r="86" spans="1:6" x14ac:dyDescent="0.35">
      <c r="A86">
        <v>4341</v>
      </c>
      <c r="B86">
        <v>2024</v>
      </c>
      <c r="C86">
        <v>37</v>
      </c>
      <c r="D86" t="s">
        <v>138</v>
      </c>
      <c r="E86" s="75">
        <v>45539</v>
      </c>
      <c r="F86" s="75">
        <v>45545</v>
      </c>
    </row>
    <row r="87" spans="1:6" x14ac:dyDescent="0.35">
      <c r="A87">
        <v>4342</v>
      </c>
      <c r="B87">
        <v>2024</v>
      </c>
      <c r="C87">
        <v>37</v>
      </c>
      <c r="D87" t="s">
        <v>138</v>
      </c>
      <c r="E87" s="75">
        <v>45539</v>
      </c>
      <c r="F87" s="75">
        <v>45545</v>
      </c>
    </row>
    <row r="88" spans="1:6" x14ac:dyDescent="0.35">
      <c r="A88">
        <v>4343</v>
      </c>
      <c r="B88">
        <v>2024</v>
      </c>
      <c r="C88">
        <v>37</v>
      </c>
      <c r="D88" t="s">
        <v>138</v>
      </c>
      <c r="E88" s="75">
        <v>45539</v>
      </c>
      <c r="F88" s="75">
        <v>45545</v>
      </c>
    </row>
    <row r="89" spans="1:6" x14ac:dyDescent="0.35">
      <c r="A89">
        <v>4344</v>
      </c>
      <c r="B89">
        <v>2024</v>
      </c>
      <c r="C89">
        <v>37</v>
      </c>
      <c r="D89" t="s">
        <v>138</v>
      </c>
      <c r="E89" s="75">
        <v>45539</v>
      </c>
      <c r="F89" s="75">
        <v>45545</v>
      </c>
    </row>
    <row r="90" spans="1:6" x14ac:dyDescent="0.35">
      <c r="A90">
        <v>4345</v>
      </c>
      <c r="B90">
        <v>2024</v>
      </c>
      <c r="C90">
        <v>37</v>
      </c>
      <c r="D90" t="s">
        <v>138</v>
      </c>
      <c r="E90" s="75">
        <v>45539</v>
      </c>
      <c r="F90" s="75">
        <v>45545</v>
      </c>
    </row>
    <row r="91" spans="1:6" x14ac:dyDescent="0.35">
      <c r="A91">
        <v>4346</v>
      </c>
      <c r="B91">
        <v>2024</v>
      </c>
      <c r="C91">
        <v>37</v>
      </c>
      <c r="D91" t="s">
        <v>138</v>
      </c>
      <c r="E91" s="75">
        <v>45539</v>
      </c>
      <c r="F91" s="75">
        <v>45545</v>
      </c>
    </row>
    <row r="92" spans="1:6" x14ac:dyDescent="0.35">
      <c r="A92">
        <v>4347</v>
      </c>
      <c r="B92">
        <v>2024</v>
      </c>
      <c r="C92">
        <v>37</v>
      </c>
      <c r="D92" t="s">
        <v>138</v>
      </c>
      <c r="E92" s="75">
        <v>45539</v>
      </c>
      <c r="F92" s="75">
        <v>45545</v>
      </c>
    </row>
    <row r="93" spans="1:6" x14ac:dyDescent="0.35">
      <c r="A93">
        <v>4348</v>
      </c>
      <c r="B93">
        <v>2024</v>
      </c>
      <c r="C93">
        <v>37</v>
      </c>
      <c r="D93" t="s">
        <v>138</v>
      </c>
      <c r="E93" s="75">
        <v>45539</v>
      </c>
      <c r="F93" s="75">
        <v>45545</v>
      </c>
    </row>
    <row r="94" spans="1:6" x14ac:dyDescent="0.35">
      <c r="A94">
        <v>4349</v>
      </c>
      <c r="B94">
        <v>2024</v>
      </c>
      <c r="C94">
        <v>37</v>
      </c>
      <c r="D94" t="s">
        <v>138</v>
      </c>
      <c r="E94" s="75">
        <v>45539</v>
      </c>
      <c r="F94" s="75">
        <v>45545</v>
      </c>
    </row>
    <row r="95" spans="1:6" x14ac:dyDescent="0.35">
      <c r="A95">
        <v>4350</v>
      </c>
      <c r="B95">
        <v>2024</v>
      </c>
      <c r="C95">
        <v>37</v>
      </c>
      <c r="D95" t="s">
        <v>138</v>
      </c>
      <c r="E95" s="75">
        <v>45539</v>
      </c>
      <c r="F95" s="75">
        <v>45545</v>
      </c>
    </row>
    <row r="96" spans="1:6" x14ac:dyDescent="0.35">
      <c r="A96">
        <v>4351</v>
      </c>
      <c r="B96">
        <v>2024</v>
      </c>
      <c r="C96">
        <v>37</v>
      </c>
      <c r="D96" t="s">
        <v>138</v>
      </c>
      <c r="E96" s="75">
        <v>45539</v>
      </c>
      <c r="F96" s="75">
        <v>45545</v>
      </c>
    </row>
    <row r="97" spans="1:6" x14ac:dyDescent="0.35">
      <c r="A97">
        <v>4352</v>
      </c>
      <c r="B97">
        <v>2024</v>
      </c>
      <c r="C97">
        <v>37</v>
      </c>
      <c r="D97" t="s">
        <v>138</v>
      </c>
      <c r="E97" s="75">
        <v>45539</v>
      </c>
      <c r="F97" s="75">
        <v>45545</v>
      </c>
    </row>
    <row r="98" spans="1:6" x14ac:dyDescent="0.35">
      <c r="A98">
        <v>4353</v>
      </c>
      <c r="B98">
        <v>2024</v>
      </c>
      <c r="C98">
        <v>37</v>
      </c>
      <c r="D98" t="s">
        <v>138</v>
      </c>
      <c r="E98" s="75">
        <v>45539</v>
      </c>
      <c r="F98" s="75">
        <v>45545</v>
      </c>
    </row>
    <row r="99" spans="1:6" x14ac:dyDescent="0.35">
      <c r="A99">
        <v>4354</v>
      </c>
      <c r="B99">
        <v>2024</v>
      </c>
      <c r="C99">
        <v>37</v>
      </c>
      <c r="D99" t="s">
        <v>138</v>
      </c>
      <c r="E99" s="75">
        <v>45539</v>
      </c>
      <c r="F99" s="75">
        <v>45545</v>
      </c>
    </row>
    <row r="100" spans="1:6" x14ac:dyDescent="0.35">
      <c r="A100">
        <v>4355</v>
      </c>
      <c r="B100">
        <v>2024</v>
      </c>
      <c r="C100">
        <v>37</v>
      </c>
      <c r="D100" t="s">
        <v>138</v>
      </c>
      <c r="E100" s="75">
        <v>45539</v>
      </c>
      <c r="F100" s="75">
        <v>45545</v>
      </c>
    </row>
    <row r="101" spans="1:6" x14ac:dyDescent="0.35">
      <c r="A101">
        <v>4356</v>
      </c>
      <c r="B101">
        <v>2024</v>
      </c>
      <c r="C101">
        <v>37</v>
      </c>
      <c r="D101" t="s">
        <v>138</v>
      </c>
      <c r="E101" s="75">
        <v>45539</v>
      </c>
      <c r="F101" s="75">
        <v>45545</v>
      </c>
    </row>
    <row r="102" spans="1:6" x14ac:dyDescent="0.35">
      <c r="A102">
        <v>4357</v>
      </c>
      <c r="B102">
        <v>2024</v>
      </c>
      <c r="C102">
        <v>37</v>
      </c>
      <c r="D102" t="s">
        <v>138</v>
      </c>
      <c r="E102" s="75">
        <v>45539</v>
      </c>
      <c r="F102" s="75">
        <v>45545</v>
      </c>
    </row>
    <row r="103" spans="1:6" x14ac:dyDescent="0.35">
      <c r="A103">
        <v>4358</v>
      </c>
      <c r="B103">
        <v>2024</v>
      </c>
      <c r="C103">
        <v>37</v>
      </c>
      <c r="D103" t="s">
        <v>138</v>
      </c>
      <c r="E103" s="75">
        <v>45539</v>
      </c>
      <c r="F103" s="75">
        <v>45545</v>
      </c>
    </row>
    <row r="104" spans="1:6" x14ac:dyDescent="0.35">
      <c r="A104">
        <v>4359</v>
      </c>
      <c r="B104">
        <v>2024</v>
      </c>
      <c r="C104">
        <v>37</v>
      </c>
      <c r="D104" t="s">
        <v>138</v>
      </c>
      <c r="E104" s="75">
        <v>45539</v>
      </c>
      <c r="F104" s="75">
        <v>45545</v>
      </c>
    </row>
    <row r="105" spans="1:6" x14ac:dyDescent="0.35">
      <c r="A105">
        <v>4360</v>
      </c>
      <c r="B105">
        <v>2024</v>
      </c>
      <c r="C105">
        <v>38</v>
      </c>
      <c r="D105" t="s">
        <v>139</v>
      </c>
      <c r="E105" s="75">
        <v>45546</v>
      </c>
      <c r="F105" s="75">
        <v>45552</v>
      </c>
    </row>
    <row r="106" spans="1:6" x14ac:dyDescent="0.35">
      <c r="A106">
        <v>4361</v>
      </c>
      <c r="B106">
        <v>2024</v>
      </c>
      <c r="C106">
        <v>38</v>
      </c>
      <c r="D106" t="s">
        <v>139</v>
      </c>
      <c r="E106" s="75">
        <v>45546</v>
      </c>
      <c r="F106" s="75">
        <v>45552</v>
      </c>
    </row>
    <row r="107" spans="1:6" x14ac:dyDescent="0.35">
      <c r="A107">
        <v>4362</v>
      </c>
      <c r="B107">
        <v>2024</v>
      </c>
      <c r="C107">
        <v>38</v>
      </c>
      <c r="D107" t="s">
        <v>139</v>
      </c>
      <c r="E107" s="75">
        <v>45546</v>
      </c>
      <c r="F107" s="75">
        <v>45552</v>
      </c>
    </row>
    <row r="108" spans="1:6" x14ac:dyDescent="0.35">
      <c r="A108">
        <v>4363</v>
      </c>
      <c r="B108">
        <v>2024</v>
      </c>
      <c r="C108">
        <v>38</v>
      </c>
      <c r="D108" t="s">
        <v>139</v>
      </c>
      <c r="E108" s="75">
        <v>45546</v>
      </c>
      <c r="F108" s="75">
        <v>45552</v>
      </c>
    </row>
    <row r="109" spans="1:6" x14ac:dyDescent="0.35">
      <c r="A109">
        <v>4364</v>
      </c>
      <c r="B109">
        <v>2024</v>
      </c>
      <c r="C109">
        <v>38</v>
      </c>
      <c r="D109" t="s">
        <v>139</v>
      </c>
      <c r="E109" s="75">
        <v>45546</v>
      </c>
      <c r="F109" s="75">
        <v>45552</v>
      </c>
    </row>
    <row r="110" spans="1:6" x14ac:dyDescent="0.35">
      <c r="A110">
        <v>4365</v>
      </c>
      <c r="B110">
        <v>2024</v>
      </c>
      <c r="C110">
        <v>38</v>
      </c>
      <c r="D110" t="s">
        <v>139</v>
      </c>
      <c r="E110" s="75">
        <v>45546</v>
      </c>
      <c r="F110" s="75">
        <v>45552</v>
      </c>
    </row>
    <row r="111" spans="1:6" x14ac:dyDescent="0.35">
      <c r="A111">
        <v>4366</v>
      </c>
      <c r="B111">
        <v>2024</v>
      </c>
      <c r="C111">
        <v>38</v>
      </c>
      <c r="D111" t="s">
        <v>139</v>
      </c>
      <c r="E111" s="75">
        <v>45546</v>
      </c>
      <c r="F111" s="75">
        <v>45552</v>
      </c>
    </row>
    <row r="112" spans="1:6" x14ac:dyDescent="0.35">
      <c r="A112">
        <v>4367</v>
      </c>
      <c r="B112">
        <v>2024</v>
      </c>
      <c r="C112">
        <v>38</v>
      </c>
      <c r="D112" t="s">
        <v>139</v>
      </c>
      <c r="E112" s="75">
        <v>45546</v>
      </c>
      <c r="F112" s="75">
        <v>45552</v>
      </c>
    </row>
    <row r="113" spans="1:6" x14ac:dyDescent="0.35">
      <c r="A113">
        <v>4368</v>
      </c>
      <c r="B113">
        <v>2024</v>
      </c>
      <c r="C113">
        <v>38</v>
      </c>
      <c r="D113" t="s">
        <v>139</v>
      </c>
      <c r="E113" s="75">
        <v>45546</v>
      </c>
      <c r="F113" s="75">
        <v>45552</v>
      </c>
    </row>
    <row r="114" spans="1:6" x14ac:dyDescent="0.35">
      <c r="A114">
        <v>4369</v>
      </c>
      <c r="B114">
        <v>2024</v>
      </c>
      <c r="C114">
        <v>38</v>
      </c>
      <c r="D114" t="s">
        <v>139</v>
      </c>
      <c r="E114" s="75">
        <v>45546</v>
      </c>
      <c r="F114" s="75">
        <v>45552</v>
      </c>
    </row>
    <row r="115" spans="1:6" x14ac:dyDescent="0.35">
      <c r="A115">
        <v>4370</v>
      </c>
      <c r="B115">
        <v>2024</v>
      </c>
      <c r="C115">
        <v>38</v>
      </c>
      <c r="D115" t="s">
        <v>139</v>
      </c>
      <c r="E115" s="75">
        <v>45546</v>
      </c>
      <c r="F115" s="75">
        <v>45552</v>
      </c>
    </row>
    <row r="116" spans="1:6" x14ac:dyDescent="0.35">
      <c r="A116">
        <v>4371</v>
      </c>
      <c r="B116">
        <v>2024</v>
      </c>
      <c r="C116">
        <v>38</v>
      </c>
      <c r="D116" t="s">
        <v>139</v>
      </c>
      <c r="E116" s="75">
        <v>45546</v>
      </c>
      <c r="F116" s="75">
        <v>45552</v>
      </c>
    </row>
    <row r="117" spans="1:6" x14ac:dyDescent="0.35">
      <c r="A117">
        <v>4372</v>
      </c>
      <c r="B117">
        <v>2024</v>
      </c>
      <c r="C117">
        <v>38</v>
      </c>
      <c r="D117" t="s">
        <v>139</v>
      </c>
      <c r="E117" s="75">
        <v>45546</v>
      </c>
      <c r="F117" s="75">
        <v>45552</v>
      </c>
    </row>
    <row r="118" spans="1:6" x14ac:dyDescent="0.35">
      <c r="A118">
        <v>4373</v>
      </c>
      <c r="B118">
        <v>2024</v>
      </c>
      <c r="C118">
        <v>38</v>
      </c>
      <c r="D118" t="s">
        <v>139</v>
      </c>
      <c r="E118" s="75">
        <v>45546</v>
      </c>
      <c r="F118" s="75">
        <v>45552</v>
      </c>
    </row>
    <row r="119" spans="1:6" x14ac:dyDescent="0.35">
      <c r="A119">
        <v>4374</v>
      </c>
      <c r="B119">
        <v>2024</v>
      </c>
      <c r="C119">
        <v>38</v>
      </c>
      <c r="D119" t="s">
        <v>139</v>
      </c>
      <c r="E119" s="75">
        <v>45546</v>
      </c>
      <c r="F119" s="75">
        <v>45552</v>
      </c>
    </row>
    <row r="120" spans="1:6" x14ac:dyDescent="0.35">
      <c r="A120">
        <v>4375</v>
      </c>
      <c r="B120">
        <v>2024</v>
      </c>
      <c r="C120">
        <v>38</v>
      </c>
      <c r="D120" t="s">
        <v>139</v>
      </c>
      <c r="E120" s="75">
        <v>45546</v>
      </c>
      <c r="F120" s="75">
        <v>45552</v>
      </c>
    </row>
    <row r="121" spans="1:6" x14ac:dyDescent="0.35">
      <c r="A121">
        <v>4376</v>
      </c>
      <c r="B121">
        <v>2024</v>
      </c>
      <c r="C121">
        <v>38</v>
      </c>
      <c r="D121" t="s">
        <v>139</v>
      </c>
      <c r="E121" s="75">
        <v>45546</v>
      </c>
      <c r="F121" s="75">
        <v>45552</v>
      </c>
    </row>
    <row r="122" spans="1:6" x14ac:dyDescent="0.35">
      <c r="A122">
        <v>4377</v>
      </c>
      <c r="B122">
        <v>2024</v>
      </c>
      <c r="C122">
        <v>38</v>
      </c>
      <c r="D122" t="s">
        <v>139</v>
      </c>
      <c r="E122" s="75">
        <v>45546</v>
      </c>
      <c r="F122" s="75">
        <v>45552</v>
      </c>
    </row>
    <row r="123" spans="1:6" x14ac:dyDescent="0.35">
      <c r="A123">
        <v>4378</v>
      </c>
      <c r="B123">
        <v>2024</v>
      </c>
      <c r="C123">
        <v>38</v>
      </c>
      <c r="D123" t="s">
        <v>139</v>
      </c>
      <c r="E123" s="75">
        <v>45546</v>
      </c>
      <c r="F123" s="75">
        <v>45552</v>
      </c>
    </row>
    <row r="124" spans="1:6" x14ac:dyDescent="0.35">
      <c r="A124">
        <v>4379</v>
      </c>
      <c r="B124">
        <v>2024</v>
      </c>
      <c r="C124">
        <v>38</v>
      </c>
      <c r="D124" t="s">
        <v>139</v>
      </c>
      <c r="E124" s="75">
        <v>45546</v>
      </c>
      <c r="F124" s="75">
        <v>45552</v>
      </c>
    </row>
    <row r="125" spans="1:6" x14ac:dyDescent="0.35">
      <c r="A125">
        <v>4380</v>
      </c>
      <c r="B125">
        <v>2024</v>
      </c>
      <c r="C125">
        <v>38</v>
      </c>
      <c r="D125" t="s">
        <v>139</v>
      </c>
      <c r="E125" s="75">
        <v>45546</v>
      </c>
      <c r="F125" s="75">
        <v>45552</v>
      </c>
    </row>
    <row r="126" spans="1:6" x14ac:dyDescent="0.35">
      <c r="A126">
        <v>4381</v>
      </c>
      <c r="B126">
        <v>2024</v>
      </c>
      <c r="C126">
        <v>38</v>
      </c>
      <c r="D126" t="s">
        <v>139</v>
      </c>
      <c r="E126" s="75">
        <v>45546</v>
      </c>
      <c r="F126" s="75">
        <v>45552</v>
      </c>
    </row>
    <row r="127" spans="1:6" x14ac:dyDescent="0.35">
      <c r="A127">
        <v>4382</v>
      </c>
      <c r="B127">
        <v>2024</v>
      </c>
      <c r="C127">
        <v>38</v>
      </c>
      <c r="D127" t="s">
        <v>139</v>
      </c>
      <c r="E127" s="75">
        <v>45546</v>
      </c>
      <c r="F127" s="75">
        <v>45552</v>
      </c>
    </row>
    <row r="128" spans="1:6" x14ac:dyDescent="0.35">
      <c r="A128">
        <v>4383</v>
      </c>
      <c r="B128">
        <v>2024</v>
      </c>
      <c r="C128">
        <v>38</v>
      </c>
      <c r="D128" t="s">
        <v>139</v>
      </c>
      <c r="E128" s="75">
        <v>45546</v>
      </c>
      <c r="F128" s="75">
        <v>45552</v>
      </c>
    </row>
    <row r="129" spans="1:6" x14ac:dyDescent="0.35">
      <c r="A129">
        <v>4384</v>
      </c>
      <c r="B129">
        <v>2024</v>
      </c>
      <c r="C129">
        <v>38</v>
      </c>
      <c r="D129" t="s">
        <v>139</v>
      </c>
      <c r="E129" s="75">
        <v>45546</v>
      </c>
      <c r="F129" s="75">
        <v>45552</v>
      </c>
    </row>
    <row r="130" spans="1:6" x14ac:dyDescent="0.35">
      <c r="A130">
        <v>4385</v>
      </c>
      <c r="B130">
        <v>2024</v>
      </c>
      <c r="C130">
        <v>38</v>
      </c>
      <c r="D130" t="s">
        <v>139</v>
      </c>
      <c r="E130" s="75">
        <v>45546</v>
      </c>
      <c r="F130" s="75">
        <v>45552</v>
      </c>
    </row>
    <row r="131" spans="1:6" x14ac:dyDescent="0.35">
      <c r="A131">
        <v>4386</v>
      </c>
      <c r="B131">
        <v>2024</v>
      </c>
      <c r="C131">
        <v>38</v>
      </c>
      <c r="D131" t="s">
        <v>139</v>
      </c>
      <c r="E131" s="75">
        <v>45546</v>
      </c>
      <c r="F131" s="75">
        <v>45552</v>
      </c>
    </row>
    <row r="132" spans="1:6" x14ac:dyDescent="0.35">
      <c r="A132">
        <v>4387</v>
      </c>
      <c r="B132">
        <v>2024</v>
      </c>
      <c r="C132">
        <v>38</v>
      </c>
      <c r="D132" t="s">
        <v>139</v>
      </c>
      <c r="E132" s="75">
        <v>45546</v>
      </c>
      <c r="F132" s="75">
        <v>45552</v>
      </c>
    </row>
    <row r="133" spans="1:6" x14ac:dyDescent="0.35">
      <c r="A133">
        <v>4388</v>
      </c>
      <c r="B133">
        <v>2024</v>
      </c>
      <c r="C133">
        <v>38</v>
      </c>
      <c r="D133" t="s">
        <v>139</v>
      </c>
      <c r="E133" s="75">
        <v>45546</v>
      </c>
      <c r="F133" s="75">
        <v>45552</v>
      </c>
    </row>
    <row r="134" spans="1:6" x14ac:dyDescent="0.35">
      <c r="A134">
        <v>4389</v>
      </c>
      <c r="B134">
        <v>2024</v>
      </c>
      <c r="C134">
        <v>39</v>
      </c>
      <c r="D134" t="s">
        <v>140</v>
      </c>
      <c r="E134" s="75">
        <v>45553</v>
      </c>
      <c r="F134" s="75">
        <v>45559</v>
      </c>
    </row>
    <row r="135" spans="1:6" x14ac:dyDescent="0.35">
      <c r="A135">
        <v>4390</v>
      </c>
      <c r="B135">
        <v>2024</v>
      </c>
      <c r="C135">
        <v>39</v>
      </c>
      <c r="D135" t="s">
        <v>140</v>
      </c>
      <c r="E135" s="75">
        <v>45553</v>
      </c>
      <c r="F135" s="75">
        <v>45559</v>
      </c>
    </row>
    <row r="136" spans="1:6" x14ac:dyDescent="0.35">
      <c r="A136">
        <v>4391</v>
      </c>
      <c r="B136">
        <v>2024</v>
      </c>
      <c r="C136">
        <v>39</v>
      </c>
      <c r="D136" t="s">
        <v>140</v>
      </c>
      <c r="E136" s="75">
        <v>45553</v>
      </c>
      <c r="F136" s="75">
        <v>45559</v>
      </c>
    </row>
    <row r="137" spans="1:6" x14ac:dyDescent="0.35">
      <c r="A137">
        <v>4392</v>
      </c>
      <c r="B137">
        <v>2024</v>
      </c>
      <c r="C137">
        <v>39</v>
      </c>
      <c r="D137" t="s">
        <v>140</v>
      </c>
      <c r="E137" s="75">
        <v>45553</v>
      </c>
      <c r="F137" s="75">
        <v>45559</v>
      </c>
    </row>
    <row r="138" spans="1:6" x14ac:dyDescent="0.35">
      <c r="A138">
        <v>4393</v>
      </c>
      <c r="B138">
        <v>2024</v>
      </c>
      <c r="C138">
        <v>39</v>
      </c>
      <c r="D138" t="s">
        <v>140</v>
      </c>
      <c r="E138" s="75">
        <v>45553</v>
      </c>
      <c r="F138" s="75">
        <v>45559</v>
      </c>
    </row>
    <row r="139" spans="1:6" x14ac:dyDescent="0.35">
      <c r="A139">
        <v>4394</v>
      </c>
      <c r="B139">
        <v>2024</v>
      </c>
      <c r="C139">
        <v>39</v>
      </c>
      <c r="D139" t="s">
        <v>140</v>
      </c>
      <c r="E139" s="75">
        <v>45553</v>
      </c>
      <c r="F139" s="75">
        <v>45559</v>
      </c>
    </row>
    <row r="140" spans="1:6" x14ac:dyDescent="0.35">
      <c r="A140">
        <v>4395</v>
      </c>
      <c r="B140">
        <v>2024</v>
      </c>
      <c r="C140">
        <v>39</v>
      </c>
      <c r="D140" t="s">
        <v>140</v>
      </c>
      <c r="E140" s="75">
        <v>45553</v>
      </c>
      <c r="F140" s="75">
        <v>45559</v>
      </c>
    </row>
    <row r="141" spans="1:6" x14ac:dyDescent="0.35">
      <c r="A141">
        <v>4396</v>
      </c>
      <c r="B141">
        <v>2024</v>
      </c>
      <c r="C141">
        <v>39</v>
      </c>
      <c r="D141" t="s">
        <v>140</v>
      </c>
      <c r="E141" s="75">
        <v>45553</v>
      </c>
      <c r="F141" s="75">
        <v>45559</v>
      </c>
    </row>
    <row r="142" spans="1:6" x14ac:dyDescent="0.35">
      <c r="A142">
        <v>4397</v>
      </c>
      <c r="B142">
        <v>2024</v>
      </c>
      <c r="C142">
        <v>39</v>
      </c>
      <c r="D142" t="s">
        <v>140</v>
      </c>
      <c r="E142" s="75">
        <v>45553</v>
      </c>
      <c r="F142" s="75">
        <v>45559</v>
      </c>
    </row>
    <row r="143" spans="1:6" x14ac:dyDescent="0.35">
      <c r="A143">
        <v>4398</v>
      </c>
      <c r="B143">
        <v>2024</v>
      </c>
      <c r="C143">
        <v>39</v>
      </c>
      <c r="D143" t="s">
        <v>140</v>
      </c>
      <c r="E143" s="75">
        <v>45553</v>
      </c>
      <c r="F143" s="75">
        <v>45559</v>
      </c>
    </row>
    <row r="144" spans="1:6" x14ac:dyDescent="0.35">
      <c r="A144">
        <v>4399</v>
      </c>
      <c r="B144">
        <v>2024</v>
      </c>
      <c r="C144">
        <v>39</v>
      </c>
      <c r="D144" t="s">
        <v>140</v>
      </c>
      <c r="E144" s="75">
        <v>45553</v>
      </c>
      <c r="F144" s="75">
        <v>45559</v>
      </c>
    </row>
    <row r="145" spans="1:6" x14ac:dyDescent="0.35">
      <c r="A145">
        <v>4400</v>
      </c>
      <c r="B145">
        <v>2024</v>
      </c>
      <c r="C145">
        <v>39</v>
      </c>
      <c r="D145" t="s">
        <v>140</v>
      </c>
      <c r="E145" s="75">
        <v>45553</v>
      </c>
      <c r="F145" s="75">
        <v>45559</v>
      </c>
    </row>
    <row r="146" spans="1:6" x14ac:dyDescent="0.35">
      <c r="A146">
        <v>4401</v>
      </c>
      <c r="B146">
        <v>2024</v>
      </c>
      <c r="C146">
        <v>39</v>
      </c>
      <c r="D146" t="s">
        <v>140</v>
      </c>
      <c r="E146" s="75">
        <v>45553</v>
      </c>
      <c r="F146" s="75">
        <v>45559</v>
      </c>
    </row>
    <row r="147" spans="1:6" x14ac:dyDescent="0.35">
      <c r="A147">
        <v>4402</v>
      </c>
      <c r="B147">
        <v>2024</v>
      </c>
      <c r="C147">
        <v>39</v>
      </c>
      <c r="D147" t="s">
        <v>140</v>
      </c>
      <c r="E147" s="75">
        <v>45553</v>
      </c>
      <c r="F147" s="75">
        <v>45559</v>
      </c>
    </row>
    <row r="148" spans="1:6" x14ac:dyDescent="0.35">
      <c r="A148">
        <v>4403</v>
      </c>
      <c r="B148">
        <v>2024</v>
      </c>
      <c r="C148">
        <v>39</v>
      </c>
      <c r="D148" t="s">
        <v>140</v>
      </c>
      <c r="E148" s="75">
        <v>45553</v>
      </c>
      <c r="F148" s="75">
        <v>45559</v>
      </c>
    </row>
    <row r="149" spans="1:6" x14ac:dyDescent="0.35">
      <c r="A149">
        <v>4404</v>
      </c>
      <c r="B149">
        <v>2024</v>
      </c>
      <c r="C149">
        <v>39</v>
      </c>
      <c r="D149" t="s">
        <v>140</v>
      </c>
      <c r="E149" s="75">
        <v>45553</v>
      </c>
      <c r="F149" s="75">
        <v>45559</v>
      </c>
    </row>
    <row r="150" spans="1:6" x14ac:dyDescent="0.35">
      <c r="A150">
        <v>4405</v>
      </c>
      <c r="B150">
        <v>2024</v>
      </c>
      <c r="C150">
        <v>39</v>
      </c>
      <c r="D150" t="s">
        <v>140</v>
      </c>
      <c r="E150" s="75">
        <v>45553</v>
      </c>
      <c r="F150" s="75">
        <v>45559</v>
      </c>
    </row>
    <row r="151" spans="1:6" x14ac:dyDescent="0.35">
      <c r="A151">
        <v>4406</v>
      </c>
      <c r="B151">
        <v>2024</v>
      </c>
      <c r="C151">
        <v>39</v>
      </c>
      <c r="D151" t="s">
        <v>140</v>
      </c>
      <c r="E151" s="75">
        <v>45553</v>
      </c>
      <c r="F151" s="75">
        <v>45559</v>
      </c>
    </row>
    <row r="152" spans="1:6" x14ac:dyDescent="0.35">
      <c r="A152">
        <v>4407</v>
      </c>
      <c r="B152">
        <v>2024</v>
      </c>
      <c r="C152">
        <v>39</v>
      </c>
      <c r="D152" t="s">
        <v>140</v>
      </c>
      <c r="E152" s="75">
        <v>45553</v>
      </c>
      <c r="F152" s="75">
        <v>45559</v>
      </c>
    </row>
    <row r="153" spans="1:6" x14ac:dyDescent="0.35">
      <c r="A153">
        <v>4408</v>
      </c>
      <c r="B153">
        <v>2024</v>
      </c>
      <c r="C153">
        <v>39</v>
      </c>
      <c r="D153" t="s">
        <v>140</v>
      </c>
      <c r="E153" s="75">
        <v>45553</v>
      </c>
      <c r="F153" s="75">
        <v>45559</v>
      </c>
    </row>
    <row r="154" spans="1:6" x14ac:dyDescent="0.35">
      <c r="A154">
        <v>4409</v>
      </c>
      <c r="B154">
        <v>2024</v>
      </c>
      <c r="C154">
        <v>39</v>
      </c>
      <c r="D154" t="s">
        <v>140</v>
      </c>
      <c r="E154" s="75">
        <v>45553</v>
      </c>
      <c r="F154" s="75">
        <v>45559</v>
      </c>
    </row>
    <row r="155" spans="1:6" x14ac:dyDescent="0.35">
      <c r="A155">
        <v>4410</v>
      </c>
      <c r="B155">
        <v>2024</v>
      </c>
      <c r="C155">
        <v>39</v>
      </c>
      <c r="D155" t="s">
        <v>140</v>
      </c>
      <c r="E155" s="75">
        <v>45553</v>
      </c>
      <c r="F155" s="75">
        <v>45559</v>
      </c>
    </row>
    <row r="156" spans="1:6" x14ac:dyDescent="0.35">
      <c r="A156">
        <v>4411</v>
      </c>
      <c r="B156">
        <v>2024</v>
      </c>
      <c r="C156">
        <v>39</v>
      </c>
      <c r="D156" t="s">
        <v>140</v>
      </c>
      <c r="E156" s="75">
        <v>45553</v>
      </c>
      <c r="F156" s="75">
        <v>45559</v>
      </c>
    </row>
    <row r="157" spans="1:6" x14ac:dyDescent="0.35">
      <c r="A157">
        <v>4412</v>
      </c>
      <c r="B157">
        <v>2024</v>
      </c>
      <c r="C157">
        <v>39</v>
      </c>
      <c r="D157" t="s">
        <v>140</v>
      </c>
      <c r="E157" s="75">
        <v>45553</v>
      </c>
      <c r="F157" s="75">
        <v>45559</v>
      </c>
    </row>
    <row r="158" spans="1:6" x14ac:dyDescent="0.35">
      <c r="A158">
        <v>4413</v>
      </c>
      <c r="B158">
        <v>2024</v>
      </c>
      <c r="C158">
        <v>39</v>
      </c>
      <c r="D158" t="s">
        <v>140</v>
      </c>
      <c r="E158" s="75">
        <v>45553</v>
      </c>
      <c r="F158" s="75">
        <v>45559</v>
      </c>
    </row>
    <row r="159" spans="1:6" x14ac:dyDescent="0.35">
      <c r="A159">
        <v>4414</v>
      </c>
      <c r="B159">
        <v>2024</v>
      </c>
      <c r="C159">
        <v>39</v>
      </c>
      <c r="D159" t="s">
        <v>140</v>
      </c>
      <c r="E159" s="75">
        <v>45553</v>
      </c>
      <c r="F159" s="75">
        <v>45559</v>
      </c>
    </row>
    <row r="160" spans="1:6" x14ac:dyDescent="0.35">
      <c r="A160">
        <v>4415</v>
      </c>
      <c r="B160">
        <v>2024</v>
      </c>
      <c r="C160">
        <v>39</v>
      </c>
      <c r="D160" t="s">
        <v>140</v>
      </c>
      <c r="E160" s="75">
        <v>45553</v>
      </c>
      <c r="F160" s="75">
        <v>45559</v>
      </c>
    </row>
    <row r="161" spans="1:6" x14ac:dyDescent="0.35">
      <c r="A161">
        <v>4416</v>
      </c>
      <c r="B161">
        <v>2024</v>
      </c>
      <c r="C161">
        <v>40</v>
      </c>
      <c r="D161" t="s">
        <v>141</v>
      </c>
      <c r="E161" s="75">
        <v>45560</v>
      </c>
      <c r="F161" s="75">
        <v>45566</v>
      </c>
    </row>
    <row r="162" spans="1:6" x14ac:dyDescent="0.35">
      <c r="A162">
        <v>4417</v>
      </c>
      <c r="B162">
        <v>2024</v>
      </c>
      <c r="C162">
        <v>40</v>
      </c>
      <c r="D162" t="s">
        <v>141</v>
      </c>
      <c r="E162" s="75">
        <v>45560</v>
      </c>
      <c r="F162" s="75">
        <v>45566</v>
      </c>
    </row>
    <row r="163" spans="1:6" x14ac:dyDescent="0.35">
      <c r="A163">
        <v>4418</v>
      </c>
      <c r="B163">
        <v>2024</v>
      </c>
      <c r="C163">
        <v>40</v>
      </c>
      <c r="D163" t="s">
        <v>141</v>
      </c>
      <c r="E163" s="75">
        <v>45560</v>
      </c>
      <c r="F163" s="75">
        <v>45566</v>
      </c>
    </row>
    <row r="164" spans="1:6" x14ac:dyDescent="0.35">
      <c r="A164">
        <v>4419</v>
      </c>
      <c r="B164">
        <v>2024</v>
      </c>
      <c r="C164">
        <v>40</v>
      </c>
      <c r="D164" t="s">
        <v>141</v>
      </c>
      <c r="E164" s="75">
        <v>45560</v>
      </c>
      <c r="F164" s="75">
        <v>45566</v>
      </c>
    </row>
    <row r="165" spans="1:6" x14ac:dyDescent="0.35">
      <c r="A165">
        <v>4420</v>
      </c>
      <c r="B165">
        <v>2024</v>
      </c>
      <c r="C165">
        <v>40</v>
      </c>
      <c r="D165" t="s">
        <v>141</v>
      </c>
      <c r="E165" s="75">
        <v>45560</v>
      </c>
      <c r="F165" s="75">
        <v>45566</v>
      </c>
    </row>
    <row r="166" spans="1:6" x14ac:dyDescent="0.35">
      <c r="A166">
        <v>4421</v>
      </c>
      <c r="B166">
        <v>2024</v>
      </c>
      <c r="C166">
        <v>40</v>
      </c>
      <c r="D166" t="s">
        <v>141</v>
      </c>
      <c r="E166" s="75">
        <v>45560</v>
      </c>
      <c r="F166" s="75">
        <v>45566</v>
      </c>
    </row>
    <row r="167" spans="1:6" x14ac:dyDescent="0.35">
      <c r="A167">
        <v>4422</v>
      </c>
      <c r="B167">
        <v>2024</v>
      </c>
      <c r="C167">
        <v>40</v>
      </c>
      <c r="D167" t="s">
        <v>141</v>
      </c>
      <c r="E167" s="75">
        <v>45560</v>
      </c>
      <c r="F167" s="75">
        <v>45566</v>
      </c>
    </row>
    <row r="168" spans="1:6" x14ac:dyDescent="0.35">
      <c r="A168">
        <v>4423</v>
      </c>
      <c r="B168">
        <v>2024</v>
      </c>
      <c r="C168">
        <v>40</v>
      </c>
      <c r="D168" t="s">
        <v>141</v>
      </c>
      <c r="E168" s="75">
        <v>45560</v>
      </c>
      <c r="F168" s="75">
        <v>45566</v>
      </c>
    </row>
    <row r="169" spans="1:6" x14ac:dyDescent="0.35">
      <c r="A169">
        <v>4424</v>
      </c>
      <c r="B169">
        <v>2024</v>
      </c>
      <c r="C169">
        <v>40</v>
      </c>
      <c r="D169" t="s">
        <v>141</v>
      </c>
      <c r="E169" s="75">
        <v>45560</v>
      </c>
      <c r="F169" s="75">
        <v>45566</v>
      </c>
    </row>
    <row r="170" spans="1:6" x14ac:dyDescent="0.35">
      <c r="A170">
        <v>4425</v>
      </c>
      <c r="B170">
        <v>2024</v>
      </c>
      <c r="C170">
        <v>40</v>
      </c>
      <c r="D170" t="s">
        <v>141</v>
      </c>
      <c r="E170" s="75">
        <v>45560</v>
      </c>
      <c r="F170" s="75">
        <v>45566</v>
      </c>
    </row>
    <row r="171" spans="1:6" x14ac:dyDescent="0.35">
      <c r="A171">
        <v>4426</v>
      </c>
      <c r="B171">
        <v>2024</v>
      </c>
      <c r="C171">
        <v>40</v>
      </c>
      <c r="D171" t="s">
        <v>141</v>
      </c>
      <c r="E171" s="75">
        <v>45560</v>
      </c>
      <c r="F171" s="75">
        <v>45566</v>
      </c>
    </row>
    <row r="172" spans="1:6" x14ac:dyDescent="0.35">
      <c r="A172">
        <v>4427</v>
      </c>
      <c r="B172">
        <v>2024</v>
      </c>
      <c r="C172">
        <v>40</v>
      </c>
      <c r="D172" t="s">
        <v>141</v>
      </c>
      <c r="E172" s="75">
        <v>45560</v>
      </c>
      <c r="F172" s="75">
        <v>45566</v>
      </c>
    </row>
    <row r="173" spans="1:6" x14ac:dyDescent="0.35">
      <c r="A173">
        <v>4428</v>
      </c>
      <c r="B173">
        <v>2024</v>
      </c>
      <c r="C173">
        <v>40</v>
      </c>
      <c r="D173" t="s">
        <v>141</v>
      </c>
      <c r="E173" s="75">
        <v>45560</v>
      </c>
      <c r="F173" s="75">
        <v>45566</v>
      </c>
    </row>
    <row r="174" spans="1:6" x14ac:dyDescent="0.35">
      <c r="A174">
        <v>4429</v>
      </c>
      <c r="B174">
        <v>2024</v>
      </c>
      <c r="C174">
        <v>40</v>
      </c>
      <c r="D174" t="s">
        <v>141</v>
      </c>
      <c r="E174" s="75">
        <v>45560</v>
      </c>
      <c r="F174" s="75">
        <v>45566</v>
      </c>
    </row>
    <row r="175" spans="1:6" x14ac:dyDescent="0.35">
      <c r="A175">
        <v>4430</v>
      </c>
      <c r="B175">
        <v>2024</v>
      </c>
      <c r="C175">
        <v>40</v>
      </c>
      <c r="D175" t="s">
        <v>141</v>
      </c>
      <c r="E175" s="75">
        <v>45560</v>
      </c>
      <c r="F175" s="75">
        <v>45566</v>
      </c>
    </row>
    <row r="176" spans="1:6" x14ac:dyDescent="0.35">
      <c r="A176">
        <v>4431</v>
      </c>
      <c r="B176">
        <v>2024</v>
      </c>
      <c r="C176">
        <v>40</v>
      </c>
      <c r="D176" t="s">
        <v>141</v>
      </c>
      <c r="E176" s="75">
        <v>45560</v>
      </c>
      <c r="F176" s="75">
        <v>45566</v>
      </c>
    </row>
    <row r="177" spans="1:6" x14ac:dyDescent="0.35">
      <c r="A177">
        <v>4432</v>
      </c>
      <c r="B177">
        <v>2024</v>
      </c>
      <c r="C177">
        <v>40</v>
      </c>
      <c r="D177" t="s">
        <v>141</v>
      </c>
      <c r="E177" s="75">
        <v>45560</v>
      </c>
      <c r="F177" s="75">
        <v>45566</v>
      </c>
    </row>
    <row r="178" spans="1:6" x14ac:dyDescent="0.35">
      <c r="A178">
        <v>4433</v>
      </c>
      <c r="B178">
        <v>2024</v>
      </c>
      <c r="C178">
        <v>40</v>
      </c>
      <c r="D178" t="s">
        <v>141</v>
      </c>
      <c r="E178" s="75">
        <v>45560</v>
      </c>
      <c r="F178" s="75">
        <v>45566</v>
      </c>
    </row>
    <row r="179" spans="1:6" x14ac:dyDescent="0.35">
      <c r="A179">
        <v>4434</v>
      </c>
      <c r="B179">
        <v>2024</v>
      </c>
      <c r="C179">
        <v>41</v>
      </c>
      <c r="D179" t="s">
        <v>142</v>
      </c>
      <c r="E179" s="75">
        <v>45567</v>
      </c>
      <c r="F179" s="75">
        <v>45573</v>
      </c>
    </row>
    <row r="180" spans="1:6" x14ac:dyDescent="0.35">
      <c r="A180">
        <v>4435</v>
      </c>
      <c r="B180">
        <v>2024</v>
      </c>
      <c r="C180">
        <v>41</v>
      </c>
      <c r="D180" t="s">
        <v>142</v>
      </c>
      <c r="E180" s="75">
        <v>45567</v>
      </c>
      <c r="F180" s="75">
        <v>45573</v>
      </c>
    </row>
    <row r="181" spans="1:6" x14ac:dyDescent="0.35">
      <c r="A181">
        <v>4436</v>
      </c>
      <c r="B181">
        <v>2024</v>
      </c>
      <c r="C181">
        <v>41</v>
      </c>
      <c r="D181" t="s">
        <v>142</v>
      </c>
      <c r="E181" s="75">
        <v>45567</v>
      </c>
      <c r="F181" s="75">
        <v>45573</v>
      </c>
    </row>
    <row r="182" spans="1:6" x14ac:dyDescent="0.35">
      <c r="A182">
        <v>4437</v>
      </c>
      <c r="B182">
        <v>2024</v>
      </c>
      <c r="C182">
        <v>41</v>
      </c>
      <c r="D182" t="s">
        <v>142</v>
      </c>
      <c r="E182" s="75">
        <v>45567</v>
      </c>
      <c r="F182" s="75">
        <v>45573</v>
      </c>
    </row>
    <row r="183" spans="1:6" x14ac:dyDescent="0.35">
      <c r="A183">
        <v>4438</v>
      </c>
      <c r="B183">
        <v>2024</v>
      </c>
      <c r="C183">
        <v>41</v>
      </c>
      <c r="D183" t="s">
        <v>142</v>
      </c>
      <c r="E183" s="75">
        <v>45567</v>
      </c>
      <c r="F183" s="75">
        <v>45573</v>
      </c>
    </row>
    <row r="184" spans="1:6" x14ac:dyDescent="0.35">
      <c r="A184">
        <v>4439</v>
      </c>
      <c r="B184">
        <v>2024</v>
      </c>
      <c r="C184">
        <v>41</v>
      </c>
      <c r="D184" t="s">
        <v>142</v>
      </c>
      <c r="E184" s="75">
        <v>45567</v>
      </c>
      <c r="F184" s="75">
        <v>45573</v>
      </c>
    </row>
    <row r="185" spans="1:6" x14ac:dyDescent="0.35">
      <c r="A185">
        <v>4440</v>
      </c>
      <c r="B185">
        <v>2024</v>
      </c>
      <c r="C185">
        <v>41</v>
      </c>
      <c r="D185" t="s">
        <v>142</v>
      </c>
      <c r="E185" s="75">
        <v>45567</v>
      </c>
      <c r="F185" s="75">
        <v>45573</v>
      </c>
    </row>
    <row r="186" spans="1:6" x14ac:dyDescent="0.35">
      <c r="A186">
        <v>4441</v>
      </c>
      <c r="B186">
        <v>2024</v>
      </c>
      <c r="C186">
        <v>41</v>
      </c>
      <c r="D186" t="s">
        <v>142</v>
      </c>
      <c r="E186" s="75">
        <v>45567</v>
      </c>
      <c r="F186" s="75">
        <v>45573</v>
      </c>
    </row>
    <row r="187" spans="1:6" x14ac:dyDescent="0.35">
      <c r="A187">
        <v>4442</v>
      </c>
      <c r="B187">
        <v>2024</v>
      </c>
      <c r="C187">
        <v>41</v>
      </c>
      <c r="D187" t="s">
        <v>142</v>
      </c>
      <c r="E187" s="75">
        <v>45567</v>
      </c>
      <c r="F187" s="75">
        <v>45573</v>
      </c>
    </row>
    <row r="188" spans="1:6" x14ac:dyDescent="0.35">
      <c r="A188">
        <v>4443</v>
      </c>
      <c r="B188">
        <v>2024</v>
      </c>
      <c r="C188">
        <v>41</v>
      </c>
      <c r="D188" t="s">
        <v>142</v>
      </c>
      <c r="E188" s="75">
        <v>45567</v>
      </c>
      <c r="F188" s="75">
        <v>45573</v>
      </c>
    </row>
    <row r="189" spans="1:6" x14ac:dyDescent="0.35">
      <c r="A189">
        <v>4444</v>
      </c>
      <c r="B189">
        <v>2024</v>
      </c>
      <c r="C189">
        <v>41</v>
      </c>
      <c r="D189" t="s">
        <v>142</v>
      </c>
      <c r="E189" s="75">
        <v>45567</v>
      </c>
      <c r="F189" s="75">
        <v>45573</v>
      </c>
    </row>
    <row r="190" spans="1:6" x14ac:dyDescent="0.35">
      <c r="A190">
        <v>4445</v>
      </c>
      <c r="B190">
        <v>2024</v>
      </c>
      <c r="C190">
        <v>41</v>
      </c>
      <c r="D190" t="s">
        <v>142</v>
      </c>
      <c r="E190" s="75">
        <v>45567</v>
      </c>
      <c r="F190" s="75">
        <v>45573</v>
      </c>
    </row>
    <row r="191" spans="1:6" x14ac:dyDescent="0.35">
      <c r="A191">
        <v>4446</v>
      </c>
      <c r="B191">
        <v>2024</v>
      </c>
      <c r="C191">
        <v>41</v>
      </c>
      <c r="D191" t="s">
        <v>142</v>
      </c>
      <c r="E191" s="75">
        <v>45567</v>
      </c>
      <c r="F191" s="75">
        <v>45573</v>
      </c>
    </row>
    <row r="192" spans="1:6" x14ac:dyDescent="0.35">
      <c r="A192">
        <v>4447</v>
      </c>
      <c r="B192">
        <v>2024</v>
      </c>
      <c r="C192">
        <v>41</v>
      </c>
      <c r="D192" t="s">
        <v>142</v>
      </c>
      <c r="E192" s="75">
        <v>45567</v>
      </c>
      <c r="F192" s="75">
        <v>45573</v>
      </c>
    </row>
    <row r="193" spans="1:6" x14ac:dyDescent="0.35">
      <c r="A193">
        <v>4448</v>
      </c>
      <c r="B193">
        <v>2024</v>
      </c>
      <c r="C193">
        <v>41</v>
      </c>
      <c r="D193" t="s">
        <v>142</v>
      </c>
      <c r="E193" s="75">
        <v>45567</v>
      </c>
      <c r="F193" s="75">
        <v>45573</v>
      </c>
    </row>
    <row r="194" spans="1:6" x14ac:dyDescent="0.35">
      <c r="A194">
        <v>4449</v>
      </c>
      <c r="B194">
        <v>2024</v>
      </c>
      <c r="C194">
        <v>41</v>
      </c>
      <c r="D194" t="s">
        <v>142</v>
      </c>
      <c r="E194" s="75">
        <v>45567</v>
      </c>
      <c r="F194" s="75">
        <v>45573</v>
      </c>
    </row>
    <row r="195" spans="1:6" x14ac:dyDescent="0.35">
      <c r="A195">
        <v>4450</v>
      </c>
      <c r="B195">
        <v>2024</v>
      </c>
      <c r="C195">
        <v>41</v>
      </c>
      <c r="D195" t="s">
        <v>142</v>
      </c>
      <c r="E195" s="75">
        <v>45567</v>
      </c>
      <c r="F195" s="75">
        <v>45573</v>
      </c>
    </row>
    <row r="196" spans="1:6" x14ac:dyDescent="0.35">
      <c r="A196">
        <v>4451</v>
      </c>
      <c r="B196">
        <v>2024</v>
      </c>
      <c r="C196">
        <v>41</v>
      </c>
      <c r="D196" t="s">
        <v>142</v>
      </c>
      <c r="E196" s="75">
        <v>45567</v>
      </c>
      <c r="F196" s="75">
        <v>45573</v>
      </c>
    </row>
    <row r="197" spans="1:6" x14ac:dyDescent="0.35">
      <c r="A197">
        <v>4452</v>
      </c>
      <c r="B197">
        <v>2024</v>
      </c>
      <c r="C197">
        <v>41</v>
      </c>
      <c r="D197" t="s">
        <v>142</v>
      </c>
      <c r="E197" s="75">
        <v>45567</v>
      </c>
      <c r="F197" s="75">
        <v>45573</v>
      </c>
    </row>
    <row r="198" spans="1:6" x14ac:dyDescent="0.35">
      <c r="A198">
        <v>4453</v>
      </c>
      <c r="B198">
        <v>2024</v>
      </c>
      <c r="C198">
        <v>41</v>
      </c>
      <c r="D198" t="s">
        <v>142</v>
      </c>
      <c r="E198" s="75">
        <v>45567</v>
      </c>
      <c r="F198" s="75">
        <v>45573</v>
      </c>
    </row>
    <row r="199" spans="1:6" x14ac:dyDescent="0.35">
      <c r="A199">
        <v>4454</v>
      </c>
      <c r="B199">
        <v>2024</v>
      </c>
      <c r="C199">
        <v>41</v>
      </c>
      <c r="D199" t="s">
        <v>142</v>
      </c>
      <c r="E199" s="75">
        <v>45567</v>
      </c>
      <c r="F199" s="75">
        <v>45573</v>
      </c>
    </row>
    <row r="200" spans="1:6" x14ac:dyDescent="0.35">
      <c r="A200">
        <v>4455</v>
      </c>
      <c r="B200">
        <v>2024</v>
      </c>
      <c r="C200">
        <v>41</v>
      </c>
      <c r="D200" t="s">
        <v>142</v>
      </c>
      <c r="E200" s="75">
        <v>45567</v>
      </c>
      <c r="F200" s="75">
        <v>45573</v>
      </c>
    </row>
    <row r="201" spans="1:6" x14ac:dyDescent="0.35">
      <c r="A201">
        <v>4456</v>
      </c>
      <c r="B201">
        <v>2024</v>
      </c>
      <c r="C201">
        <v>41</v>
      </c>
      <c r="D201" t="s">
        <v>142</v>
      </c>
      <c r="E201" s="75">
        <v>45567</v>
      </c>
      <c r="F201" s="75">
        <v>45573</v>
      </c>
    </row>
    <row r="202" spans="1:6" x14ac:dyDescent="0.35">
      <c r="A202">
        <v>4457</v>
      </c>
      <c r="B202">
        <v>2024</v>
      </c>
      <c r="C202">
        <v>41</v>
      </c>
      <c r="D202" t="s">
        <v>142</v>
      </c>
      <c r="E202" s="75">
        <v>45567</v>
      </c>
      <c r="F202" s="75">
        <v>45573</v>
      </c>
    </row>
    <row r="203" spans="1:6" x14ac:dyDescent="0.35">
      <c r="A203">
        <v>4458</v>
      </c>
      <c r="B203">
        <v>2024</v>
      </c>
      <c r="C203">
        <v>41</v>
      </c>
      <c r="D203" t="s">
        <v>142</v>
      </c>
      <c r="E203" s="75">
        <v>45567</v>
      </c>
      <c r="F203" s="75">
        <v>45573</v>
      </c>
    </row>
    <row r="204" spans="1:6" x14ac:dyDescent="0.35">
      <c r="A204">
        <v>4459</v>
      </c>
      <c r="B204">
        <v>2024</v>
      </c>
      <c r="C204">
        <v>41</v>
      </c>
      <c r="D204" t="s">
        <v>142</v>
      </c>
      <c r="E204" s="75">
        <v>45567</v>
      </c>
      <c r="F204" s="75">
        <v>45573</v>
      </c>
    </row>
    <row r="205" spans="1:6" x14ac:dyDescent="0.35">
      <c r="A205">
        <v>4460</v>
      </c>
      <c r="B205">
        <v>2024</v>
      </c>
      <c r="C205">
        <v>41</v>
      </c>
      <c r="D205" t="s">
        <v>142</v>
      </c>
      <c r="E205" s="75">
        <v>45567</v>
      </c>
      <c r="F205" s="75">
        <v>45573</v>
      </c>
    </row>
    <row r="206" spans="1:6" x14ac:dyDescent="0.35">
      <c r="A206">
        <v>4461</v>
      </c>
      <c r="B206">
        <v>2024</v>
      </c>
      <c r="C206">
        <v>41</v>
      </c>
      <c r="D206" t="s">
        <v>142</v>
      </c>
      <c r="E206" s="75">
        <v>45567</v>
      </c>
      <c r="F206" s="75">
        <v>45573</v>
      </c>
    </row>
    <row r="207" spans="1:6" x14ac:dyDescent="0.35">
      <c r="A207">
        <v>4462</v>
      </c>
      <c r="B207">
        <v>2024</v>
      </c>
      <c r="C207">
        <v>41</v>
      </c>
      <c r="D207" t="s">
        <v>142</v>
      </c>
      <c r="E207" s="75">
        <v>45567</v>
      </c>
      <c r="F207" s="75">
        <v>45573</v>
      </c>
    </row>
    <row r="208" spans="1:6" x14ac:dyDescent="0.35">
      <c r="A208">
        <v>4463</v>
      </c>
      <c r="B208">
        <v>2024</v>
      </c>
      <c r="C208">
        <v>41</v>
      </c>
      <c r="D208" t="s">
        <v>142</v>
      </c>
      <c r="E208" s="75">
        <v>45567</v>
      </c>
      <c r="F208" s="75">
        <v>45573</v>
      </c>
    </row>
    <row r="209" spans="1:6" x14ac:dyDescent="0.35">
      <c r="A209">
        <v>4464</v>
      </c>
      <c r="B209">
        <v>2024</v>
      </c>
      <c r="C209">
        <v>41</v>
      </c>
      <c r="D209" t="s">
        <v>142</v>
      </c>
      <c r="E209" s="75">
        <v>45567</v>
      </c>
      <c r="F209" s="75">
        <v>45573</v>
      </c>
    </row>
    <row r="210" spans="1:6" x14ac:dyDescent="0.35">
      <c r="A210">
        <v>4465</v>
      </c>
      <c r="B210">
        <v>2024</v>
      </c>
      <c r="C210">
        <v>41</v>
      </c>
      <c r="D210" t="s">
        <v>142</v>
      </c>
      <c r="E210" s="75">
        <v>45567</v>
      </c>
      <c r="F210" s="75">
        <v>45573</v>
      </c>
    </row>
    <row r="211" spans="1:6" x14ac:dyDescent="0.35">
      <c r="A211">
        <v>4466</v>
      </c>
      <c r="B211">
        <v>2024</v>
      </c>
      <c r="C211">
        <v>41</v>
      </c>
      <c r="D211" t="s">
        <v>142</v>
      </c>
      <c r="E211" s="75">
        <v>45567</v>
      </c>
      <c r="F211" s="75">
        <v>45573</v>
      </c>
    </row>
    <row r="212" spans="1:6" x14ac:dyDescent="0.35">
      <c r="A212">
        <v>4467</v>
      </c>
      <c r="B212">
        <v>2024</v>
      </c>
      <c r="C212">
        <v>41</v>
      </c>
      <c r="D212" t="s">
        <v>142</v>
      </c>
      <c r="E212" s="75">
        <v>45567</v>
      </c>
      <c r="F212" s="75">
        <v>45573</v>
      </c>
    </row>
    <row r="213" spans="1:6" x14ac:dyDescent="0.35">
      <c r="A213">
        <v>4468</v>
      </c>
      <c r="B213">
        <v>2024</v>
      </c>
      <c r="C213">
        <v>41</v>
      </c>
      <c r="D213" t="s">
        <v>142</v>
      </c>
      <c r="E213" s="75">
        <v>45567</v>
      </c>
      <c r="F213" s="75">
        <v>45573</v>
      </c>
    </row>
    <row r="214" spans="1:6" x14ac:dyDescent="0.35">
      <c r="A214">
        <v>4469</v>
      </c>
      <c r="B214">
        <v>2024</v>
      </c>
      <c r="C214">
        <v>41</v>
      </c>
      <c r="D214" t="s">
        <v>142</v>
      </c>
      <c r="E214" s="75">
        <v>45567</v>
      </c>
      <c r="F214" s="75">
        <v>45573</v>
      </c>
    </row>
    <row r="215" spans="1:6" x14ac:dyDescent="0.35">
      <c r="A215">
        <v>4470</v>
      </c>
      <c r="B215">
        <v>2024</v>
      </c>
      <c r="C215">
        <v>41</v>
      </c>
      <c r="D215" t="s">
        <v>142</v>
      </c>
      <c r="E215" s="75">
        <v>45567</v>
      </c>
      <c r="F215" s="75">
        <v>45573</v>
      </c>
    </row>
    <row r="216" spans="1:6" x14ac:dyDescent="0.35">
      <c r="A216">
        <v>4471</v>
      </c>
      <c r="B216">
        <v>2024</v>
      </c>
      <c r="C216">
        <v>42</v>
      </c>
      <c r="D216" t="s">
        <v>143</v>
      </c>
      <c r="E216" s="75">
        <v>45574</v>
      </c>
      <c r="F216" s="75">
        <v>45580</v>
      </c>
    </row>
    <row r="217" spans="1:6" x14ac:dyDescent="0.35">
      <c r="A217">
        <v>4472</v>
      </c>
      <c r="B217">
        <v>2024</v>
      </c>
      <c r="C217">
        <v>42</v>
      </c>
      <c r="D217" t="s">
        <v>143</v>
      </c>
      <c r="E217" s="75">
        <v>45574</v>
      </c>
      <c r="F217" s="75">
        <v>45580</v>
      </c>
    </row>
    <row r="218" spans="1:6" x14ac:dyDescent="0.35">
      <c r="A218">
        <v>4473</v>
      </c>
      <c r="B218">
        <v>2024</v>
      </c>
      <c r="C218">
        <v>42</v>
      </c>
      <c r="D218" t="s">
        <v>143</v>
      </c>
      <c r="E218" s="75">
        <v>45574</v>
      </c>
      <c r="F218" s="75">
        <v>45580</v>
      </c>
    </row>
    <row r="219" spans="1:6" x14ac:dyDescent="0.35">
      <c r="A219">
        <v>4474</v>
      </c>
      <c r="B219">
        <v>2024</v>
      </c>
      <c r="C219">
        <v>42</v>
      </c>
      <c r="D219" t="s">
        <v>143</v>
      </c>
      <c r="E219" s="75">
        <v>45574</v>
      </c>
      <c r="F219" s="75">
        <v>45580</v>
      </c>
    </row>
    <row r="220" spans="1:6" x14ac:dyDescent="0.35">
      <c r="A220">
        <v>4475</v>
      </c>
      <c r="B220">
        <v>2024</v>
      </c>
      <c r="C220">
        <v>42</v>
      </c>
      <c r="D220" t="s">
        <v>143</v>
      </c>
      <c r="E220" s="75">
        <v>45574</v>
      </c>
      <c r="F220" s="75">
        <v>45580</v>
      </c>
    </row>
    <row r="221" spans="1:6" x14ac:dyDescent="0.35">
      <c r="A221">
        <v>4476</v>
      </c>
      <c r="B221">
        <v>2024</v>
      </c>
      <c r="C221">
        <v>42</v>
      </c>
      <c r="D221" t="s">
        <v>143</v>
      </c>
      <c r="E221" s="75">
        <v>45574</v>
      </c>
      <c r="F221" s="75">
        <v>45580</v>
      </c>
    </row>
    <row r="222" spans="1:6" x14ac:dyDescent="0.35">
      <c r="A222">
        <v>4477</v>
      </c>
      <c r="B222">
        <v>2024</v>
      </c>
      <c r="C222">
        <v>42</v>
      </c>
      <c r="D222" t="s">
        <v>143</v>
      </c>
      <c r="E222" s="75">
        <v>45574</v>
      </c>
      <c r="F222" s="75">
        <v>45580</v>
      </c>
    </row>
    <row r="223" spans="1:6" x14ac:dyDescent="0.35">
      <c r="A223">
        <v>4478</v>
      </c>
      <c r="B223">
        <v>2024</v>
      </c>
      <c r="C223">
        <v>42</v>
      </c>
      <c r="D223" t="s">
        <v>143</v>
      </c>
      <c r="E223" s="75">
        <v>45574</v>
      </c>
      <c r="F223" s="75">
        <v>45580</v>
      </c>
    </row>
    <row r="224" spans="1:6" x14ac:dyDescent="0.35">
      <c r="A224">
        <v>4479</v>
      </c>
      <c r="B224">
        <v>2024</v>
      </c>
      <c r="C224">
        <v>42</v>
      </c>
      <c r="D224" t="s">
        <v>143</v>
      </c>
      <c r="E224" s="75">
        <v>45574</v>
      </c>
      <c r="F224" s="75">
        <v>45580</v>
      </c>
    </row>
    <row r="225" spans="1:6" x14ac:dyDescent="0.35">
      <c r="A225">
        <v>4480</v>
      </c>
      <c r="B225">
        <v>2024</v>
      </c>
      <c r="C225">
        <v>42</v>
      </c>
      <c r="D225" t="s">
        <v>143</v>
      </c>
      <c r="E225" s="75">
        <v>45574</v>
      </c>
      <c r="F225" s="75">
        <v>45580</v>
      </c>
    </row>
    <row r="226" spans="1:6" x14ac:dyDescent="0.35">
      <c r="A226">
        <v>4481</v>
      </c>
      <c r="B226">
        <v>2024</v>
      </c>
      <c r="C226">
        <v>42</v>
      </c>
      <c r="D226" t="s">
        <v>143</v>
      </c>
      <c r="E226" s="75">
        <v>45574</v>
      </c>
      <c r="F226" s="75">
        <v>45580</v>
      </c>
    </row>
    <row r="227" spans="1:6" x14ac:dyDescent="0.35">
      <c r="A227">
        <v>4482</v>
      </c>
      <c r="B227">
        <v>2024</v>
      </c>
      <c r="C227">
        <v>42</v>
      </c>
      <c r="D227" t="s">
        <v>143</v>
      </c>
      <c r="E227" s="75">
        <v>45574</v>
      </c>
      <c r="F227" s="75">
        <v>45580</v>
      </c>
    </row>
    <row r="228" spans="1:6" x14ac:dyDescent="0.35">
      <c r="A228">
        <v>4483</v>
      </c>
      <c r="B228">
        <v>2024</v>
      </c>
      <c r="C228">
        <v>42</v>
      </c>
      <c r="D228" t="s">
        <v>143</v>
      </c>
      <c r="E228" s="75">
        <v>45574</v>
      </c>
      <c r="F228" s="75">
        <v>45580</v>
      </c>
    </row>
    <row r="229" spans="1:6" x14ac:dyDescent="0.35">
      <c r="A229">
        <v>4484</v>
      </c>
      <c r="B229">
        <v>2024</v>
      </c>
      <c r="C229">
        <v>42</v>
      </c>
      <c r="D229" t="s">
        <v>143</v>
      </c>
      <c r="E229" s="75">
        <v>45574</v>
      </c>
      <c r="F229" s="75">
        <v>45580</v>
      </c>
    </row>
    <row r="230" spans="1:6" x14ac:dyDescent="0.35">
      <c r="A230">
        <v>4485</v>
      </c>
      <c r="B230">
        <v>2024</v>
      </c>
      <c r="C230">
        <v>42</v>
      </c>
      <c r="D230" t="s">
        <v>143</v>
      </c>
      <c r="E230" s="75">
        <v>45574</v>
      </c>
      <c r="F230" s="75">
        <v>45580</v>
      </c>
    </row>
    <row r="231" spans="1:6" x14ac:dyDescent="0.35">
      <c r="A231">
        <v>4486</v>
      </c>
      <c r="B231">
        <v>2024</v>
      </c>
      <c r="C231">
        <v>42</v>
      </c>
      <c r="D231" t="s">
        <v>143</v>
      </c>
      <c r="E231" s="75">
        <v>45574</v>
      </c>
      <c r="F231" s="75">
        <v>45580</v>
      </c>
    </row>
    <row r="232" spans="1:6" x14ac:dyDescent="0.35">
      <c r="A232">
        <v>4487</v>
      </c>
      <c r="B232">
        <v>2024</v>
      </c>
      <c r="C232">
        <v>42</v>
      </c>
      <c r="D232" t="s">
        <v>143</v>
      </c>
      <c r="E232" s="75">
        <v>45574</v>
      </c>
      <c r="F232" s="75">
        <v>45580</v>
      </c>
    </row>
    <row r="233" spans="1:6" x14ac:dyDescent="0.35">
      <c r="A233">
        <v>4488</v>
      </c>
      <c r="B233">
        <v>2024</v>
      </c>
      <c r="C233">
        <v>42</v>
      </c>
      <c r="D233" t="s">
        <v>143</v>
      </c>
      <c r="E233" s="75">
        <v>45574</v>
      </c>
      <c r="F233" s="75">
        <v>45580</v>
      </c>
    </row>
    <row r="234" spans="1:6" x14ac:dyDescent="0.35">
      <c r="A234">
        <v>4489</v>
      </c>
      <c r="B234">
        <v>2024</v>
      </c>
      <c r="C234">
        <v>42</v>
      </c>
      <c r="D234" t="s">
        <v>143</v>
      </c>
      <c r="E234" s="75">
        <v>45574</v>
      </c>
      <c r="F234" s="75">
        <v>45580</v>
      </c>
    </row>
    <row r="235" spans="1:6" x14ac:dyDescent="0.35">
      <c r="A235">
        <v>4490</v>
      </c>
      <c r="B235">
        <v>2024</v>
      </c>
      <c r="C235">
        <v>43</v>
      </c>
      <c r="D235" t="s">
        <v>144</v>
      </c>
      <c r="E235" s="75">
        <v>45581</v>
      </c>
      <c r="F235" s="75">
        <v>45587</v>
      </c>
    </row>
    <row r="236" spans="1:6" x14ac:dyDescent="0.35">
      <c r="A236">
        <v>4491</v>
      </c>
      <c r="B236">
        <v>2024</v>
      </c>
      <c r="C236">
        <v>43</v>
      </c>
      <c r="D236" t="s">
        <v>144</v>
      </c>
      <c r="E236" s="75">
        <v>45581</v>
      </c>
      <c r="F236" s="75">
        <v>45587</v>
      </c>
    </row>
    <row r="237" spans="1:6" x14ac:dyDescent="0.35">
      <c r="A237">
        <v>4492</v>
      </c>
      <c r="B237">
        <v>2024</v>
      </c>
      <c r="C237">
        <v>43</v>
      </c>
      <c r="D237" t="s">
        <v>144</v>
      </c>
      <c r="E237" s="75">
        <v>45581</v>
      </c>
      <c r="F237" s="75">
        <v>45587</v>
      </c>
    </row>
    <row r="238" spans="1:6" x14ac:dyDescent="0.35">
      <c r="A238">
        <v>4493</v>
      </c>
      <c r="B238">
        <v>2024</v>
      </c>
      <c r="C238">
        <v>43</v>
      </c>
      <c r="D238" t="s">
        <v>144</v>
      </c>
      <c r="E238" s="75">
        <v>45581</v>
      </c>
      <c r="F238" s="75">
        <v>45587</v>
      </c>
    </row>
    <row r="239" spans="1:6" x14ac:dyDescent="0.35">
      <c r="A239">
        <v>4494</v>
      </c>
      <c r="B239">
        <v>2024</v>
      </c>
      <c r="C239">
        <v>43</v>
      </c>
      <c r="D239" t="s">
        <v>144</v>
      </c>
      <c r="E239" s="75">
        <v>45581</v>
      </c>
      <c r="F239" s="75">
        <v>45587</v>
      </c>
    </row>
    <row r="240" spans="1:6" x14ac:dyDescent="0.35">
      <c r="A240">
        <v>4495</v>
      </c>
      <c r="B240">
        <v>2024</v>
      </c>
      <c r="C240">
        <v>43</v>
      </c>
      <c r="D240" t="s">
        <v>144</v>
      </c>
      <c r="E240" s="75">
        <v>45581</v>
      </c>
      <c r="F240" s="75">
        <v>45587</v>
      </c>
    </row>
    <row r="241" spans="1:6" x14ac:dyDescent="0.35">
      <c r="A241">
        <v>4496</v>
      </c>
      <c r="B241">
        <v>2024</v>
      </c>
      <c r="C241">
        <v>43</v>
      </c>
      <c r="D241" t="s">
        <v>144</v>
      </c>
      <c r="E241" s="75">
        <v>45581</v>
      </c>
      <c r="F241" s="75">
        <v>45587</v>
      </c>
    </row>
    <row r="242" spans="1:6" x14ac:dyDescent="0.35">
      <c r="A242">
        <v>4497</v>
      </c>
      <c r="B242">
        <v>2024</v>
      </c>
      <c r="C242">
        <v>43</v>
      </c>
      <c r="D242" t="s">
        <v>144</v>
      </c>
      <c r="E242" s="75">
        <v>45581</v>
      </c>
      <c r="F242" s="75">
        <v>45587</v>
      </c>
    </row>
    <row r="243" spans="1:6" x14ac:dyDescent="0.35">
      <c r="A243">
        <v>4498</v>
      </c>
      <c r="B243">
        <v>2024</v>
      </c>
      <c r="C243">
        <v>43</v>
      </c>
      <c r="D243" t="s">
        <v>144</v>
      </c>
      <c r="E243" s="75">
        <v>45581</v>
      </c>
      <c r="F243" s="75">
        <v>45587</v>
      </c>
    </row>
    <row r="244" spans="1:6" x14ac:dyDescent="0.35">
      <c r="A244">
        <v>4499</v>
      </c>
      <c r="B244">
        <v>2024</v>
      </c>
      <c r="C244">
        <v>43</v>
      </c>
      <c r="D244" t="s">
        <v>144</v>
      </c>
      <c r="E244" s="75">
        <v>45581</v>
      </c>
      <c r="F244" s="75">
        <v>45587</v>
      </c>
    </row>
    <row r="245" spans="1:6" x14ac:dyDescent="0.35">
      <c r="A245">
        <v>4500</v>
      </c>
      <c r="B245">
        <v>2024</v>
      </c>
      <c r="C245">
        <v>43</v>
      </c>
      <c r="D245" t="s">
        <v>144</v>
      </c>
      <c r="E245" s="75">
        <v>45581</v>
      </c>
      <c r="F245" s="75">
        <v>45587</v>
      </c>
    </row>
    <row r="246" spans="1:6" x14ac:dyDescent="0.35">
      <c r="A246">
        <v>4501</v>
      </c>
      <c r="B246">
        <v>2024</v>
      </c>
      <c r="C246">
        <v>43</v>
      </c>
      <c r="D246" t="s">
        <v>144</v>
      </c>
      <c r="E246" s="75">
        <v>45581</v>
      </c>
      <c r="F246" s="75">
        <v>45587</v>
      </c>
    </row>
    <row r="247" spans="1:6" x14ac:dyDescent="0.35">
      <c r="A247">
        <v>4502</v>
      </c>
      <c r="B247">
        <v>2024</v>
      </c>
      <c r="C247">
        <v>43</v>
      </c>
      <c r="D247" t="s">
        <v>144</v>
      </c>
      <c r="E247" s="75">
        <v>45581</v>
      </c>
      <c r="F247" s="75">
        <v>45587</v>
      </c>
    </row>
    <row r="248" spans="1:6" x14ac:dyDescent="0.35">
      <c r="A248">
        <v>4503</v>
      </c>
      <c r="B248">
        <v>2024</v>
      </c>
      <c r="C248">
        <v>43</v>
      </c>
      <c r="D248" t="s">
        <v>144</v>
      </c>
      <c r="E248" s="75">
        <v>45581</v>
      </c>
      <c r="F248" s="75">
        <v>45587</v>
      </c>
    </row>
    <row r="249" spans="1:6" x14ac:dyDescent="0.35">
      <c r="A249">
        <v>4504</v>
      </c>
      <c r="B249">
        <v>2024</v>
      </c>
      <c r="C249">
        <v>43</v>
      </c>
      <c r="D249" t="s">
        <v>144</v>
      </c>
      <c r="E249" s="75">
        <v>45581</v>
      </c>
      <c r="F249" s="75">
        <v>45587</v>
      </c>
    </row>
    <row r="250" spans="1:6" x14ac:dyDescent="0.35">
      <c r="A250">
        <v>4505</v>
      </c>
      <c r="B250">
        <v>2024</v>
      </c>
      <c r="C250">
        <v>43</v>
      </c>
      <c r="D250" t="s">
        <v>144</v>
      </c>
      <c r="E250" s="75">
        <v>45581</v>
      </c>
      <c r="F250" s="75">
        <v>45587</v>
      </c>
    </row>
    <row r="251" spans="1:6" x14ac:dyDescent="0.35">
      <c r="A251">
        <v>4506</v>
      </c>
      <c r="B251">
        <v>2024</v>
      </c>
      <c r="C251">
        <v>43</v>
      </c>
      <c r="D251" t="s">
        <v>144</v>
      </c>
      <c r="E251" s="75">
        <v>45581</v>
      </c>
      <c r="F251" s="75">
        <v>45587</v>
      </c>
    </row>
    <row r="252" spans="1:6" x14ac:dyDescent="0.35">
      <c r="A252">
        <v>4507</v>
      </c>
      <c r="B252">
        <v>2024</v>
      </c>
      <c r="C252">
        <v>43</v>
      </c>
      <c r="D252" t="s">
        <v>144</v>
      </c>
      <c r="E252" s="75">
        <v>45581</v>
      </c>
      <c r="F252" s="75">
        <v>45587</v>
      </c>
    </row>
    <row r="253" spans="1:6" x14ac:dyDescent="0.35">
      <c r="A253">
        <v>4508</v>
      </c>
      <c r="B253">
        <v>2024</v>
      </c>
      <c r="C253">
        <v>43</v>
      </c>
      <c r="D253" t="s">
        <v>144</v>
      </c>
      <c r="E253" s="75">
        <v>45581</v>
      </c>
      <c r="F253" s="75">
        <v>45587</v>
      </c>
    </row>
    <row r="254" spans="1:6" x14ac:dyDescent="0.35">
      <c r="A254">
        <v>4509</v>
      </c>
      <c r="B254">
        <v>2024</v>
      </c>
      <c r="C254">
        <v>43</v>
      </c>
      <c r="D254" t="s">
        <v>144</v>
      </c>
      <c r="E254" s="75">
        <v>45581</v>
      </c>
      <c r="F254" s="75">
        <v>45587</v>
      </c>
    </row>
    <row r="255" spans="1:6" x14ac:dyDescent="0.35">
      <c r="A255">
        <v>4510</v>
      </c>
      <c r="B255">
        <v>2024</v>
      </c>
      <c r="C255">
        <v>43</v>
      </c>
      <c r="D255" t="s">
        <v>144</v>
      </c>
      <c r="E255" s="75">
        <v>45581</v>
      </c>
      <c r="F255" s="75">
        <v>45587</v>
      </c>
    </row>
    <row r="256" spans="1:6" x14ac:dyDescent="0.35">
      <c r="A256">
        <v>4511</v>
      </c>
      <c r="B256">
        <v>2024</v>
      </c>
      <c r="C256">
        <v>43</v>
      </c>
      <c r="D256" t="s">
        <v>144</v>
      </c>
      <c r="E256" s="75">
        <v>45581</v>
      </c>
      <c r="F256" s="75">
        <v>45587</v>
      </c>
    </row>
    <row r="257" spans="1:6" x14ac:dyDescent="0.35">
      <c r="A257">
        <v>4512</v>
      </c>
      <c r="B257">
        <v>2024</v>
      </c>
      <c r="C257">
        <v>43</v>
      </c>
      <c r="D257" t="s">
        <v>144</v>
      </c>
      <c r="E257" s="75">
        <v>45581</v>
      </c>
      <c r="F257" s="75">
        <v>45587</v>
      </c>
    </row>
    <row r="258" spans="1:6" x14ac:dyDescent="0.35">
      <c r="A258">
        <v>4513</v>
      </c>
      <c r="B258">
        <v>2024</v>
      </c>
      <c r="C258">
        <v>44</v>
      </c>
      <c r="D258" t="s">
        <v>145</v>
      </c>
      <c r="E258" s="75">
        <v>45588</v>
      </c>
      <c r="F258" s="75">
        <v>45594</v>
      </c>
    </row>
    <row r="259" spans="1:6" x14ac:dyDescent="0.35">
      <c r="A259">
        <v>4514</v>
      </c>
      <c r="B259">
        <v>2024</v>
      </c>
      <c r="C259">
        <v>44</v>
      </c>
      <c r="D259" t="s">
        <v>145</v>
      </c>
      <c r="E259" s="75">
        <v>45588</v>
      </c>
      <c r="F259" s="75">
        <v>45594</v>
      </c>
    </row>
    <row r="260" spans="1:6" x14ac:dyDescent="0.35">
      <c r="A260">
        <v>4515</v>
      </c>
      <c r="B260">
        <v>2024</v>
      </c>
      <c r="C260">
        <v>44</v>
      </c>
      <c r="D260" t="s">
        <v>145</v>
      </c>
      <c r="E260" s="75">
        <v>45588</v>
      </c>
      <c r="F260" s="75">
        <v>45594</v>
      </c>
    </row>
    <row r="261" spans="1:6" x14ac:dyDescent="0.35">
      <c r="A261">
        <v>4516</v>
      </c>
      <c r="B261">
        <v>2024</v>
      </c>
      <c r="C261">
        <v>44</v>
      </c>
      <c r="D261" t="s">
        <v>145</v>
      </c>
      <c r="E261" s="75">
        <v>45588</v>
      </c>
      <c r="F261" s="75">
        <v>45594</v>
      </c>
    </row>
    <row r="262" spans="1:6" x14ac:dyDescent="0.35">
      <c r="A262">
        <v>4517</v>
      </c>
      <c r="B262">
        <v>2024</v>
      </c>
      <c r="C262">
        <v>44</v>
      </c>
      <c r="D262" t="s">
        <v>145</v>
      </c>
      <c r="E262" s="75">
        <v>45588</v>
      </c>
      <c r="F262" s="75">
        <v>45594</v>
      </c>
    </row>
    <row r="263" spans="1:6" x14ac:dyDescent="0.35">
      <c r="A263">
        <v>4518</v>
      </c>
      <c r="B263">
        <v>2024</v>
      </c>
      <c r="C263">
        <v>44</v>
      </c>
      <c r="D263" t="s">
        <v>145</v>
      </c>
      <c r="E263" s="75">
        <v>45588</v>
      </c>
      <c r="F263" s="75">
        <v>45594</v>
      </c>
    </row>
    <row r="264" spans="1:6" x14ac:dyDescent="0.35">
      <c r="A264">
        <v>4519</v>
      </c>
      <c r="B264">
        <v>2024</v>
      </c>
      <c r="C264">
        <v>44</v>
      </c>
      <c r="D264" t="s">
        <v>145</v>
      </c>
      <c r="E264" s="75">
        <v>45588</v>
      </c>
      <c r="F264" s="75">
        <v>45594</v>
      </c>
    </row>
    <row r="265" spans="1:6" x14ac:dyDescent="0.35">
      <c r="A265">
        <v>4520</v>
      </c>
      <c r="B265">
        <v>2024</v>
      </c>
      <c r="C265">
        <v>44</v>
      </c>
      <c r="D265" t="s">
        <v>145</v>
      </c>
      <c r="E265" s="75">
        <v>45588</v>
      </c>
      <c r="F265" s="75">
        <v>45594</v>
      </c>
    </row>
    <row r="266" spans="1:6" x14ac:dyDescent="0.35">
      <c r="A266">
        <v>4521</v>
      </c>
      <c r="B266">
        <v>2024</v>
      </c>
      <c r="C266">
        <v>44</v>
      </c>
      <c r="D266" t="s">
        <v>145</v>
      </c>
      <c r="E266" s="75">
        <v>45588</v>
      </c>
      <c r="F266" s="75">
        <v>45594</v>
      </c>
    </row>
    <row r="267" spans="1:6" x14ac:dyDescent="0.35">
      <c r="A267">
        <v>4522</v>
      </c>
      <c r="B267">
        <v>2024</v>
      </c>
      <c r="C267">
        <v>44</v>
      </c>
      <c r="D267" t="s">
        <v>145</v>
      </c>
      <c r="E267" s="75">
        <v>45588</v>
      </c>
      <c r="F267" s="75">
        <v>45594</v>
      </c>
    </row>
    <row r="268" spans="1:6" x14ac:dyDescent="0.35">
      <c r="A268">
        <v>4523</v>
      </c>
      <c r="B268">
        <v>2024</v>
      </c>
      <c r="C268">
        <v>44</v>
      </c>
      <c r="D268" t="s">
        <v>145</v>
      </c>
      <c r="E268" s="75">
        <v>45588</v>
      </c>
      <c r="F268" s="75">
        <v>45594</v>
      </c>
    </row>
    <row r="269" spans="1:6" x14ac:dyDescent="0.35">
      <c r="A269">
        <v>4524</v>
      </c>
      <c r="B269">
        <v>2024</v>
      </c>
      <c r="C269">
        <v>44</v>
      </c>
      <c r="D269" t="s">
        <v>145</v>
      </c>
      <c r="E269" s="75">
        <v>45588</v>
      </c>
      <c r="F269" s="75">
        <v>45594</v>
      </c>
    </row>
    <row r="270" spans="1:6" x14ac:dyDescent="0.35">
      <c r="A270">
        <v>4525</v>
      </c>
      <c r="B270">
        <v>2024</v>
      </c>
      <c r="C270">
        <v>44</v>
      </c>
      <c r="D270" t="s">
        <v>145</v>
      </c>
      <c r="E270" s="75">
        <v>45588</v>
      </c>
      <c r="F270" s="75">
        <v>45594</v>
      </c>
    </row>
    <row r="271" spans="1:6" x14ac:dyDescent="0.35">
      <c r="A271">
        <v>4526</v>
      </c>
      <c r="B271">
        <v>2024</v>
      </c>
      <c r="C271">
        <v>44</v>
      </c>
      <c r="D271" t="s">
        <v>145</v>
      </c>
      <c r="E271" s="75">
        <v>45588</v>
      </c>
      <c r="F271" s="75">
        <v>45594</v>
      </c>
    </row>
    <row r="272" spans="1:6" x14ac:dyDescent="0.35">
      <c r="A272">
        <v>4527</v>
      </c>
      <c r="B272">
        <v>2024</v>
      </c>
      <c r="C272">
        <v>44</v>
      </c>
      <c r="D272" t="s">
        <v>145</v>
      </c>
      <c r="E272" s="75">
        <v>45588</v>
      </c>
      <c r="F272" s="75">
        <v>45594</v>
      </c>
    </row>
    <row r="273" spans="1:6" x14ac:dyDescent="0.35">
      <c r="A273">
        <v>4528</v>
      </c>
      <c r="B273">
        <v>2024</v>
      </c>
      <c r="C273">
        <v>44</v>
      </c>
      <c r="D273" t="s">
        <v>145</v>
      </c>
      <c r="E273" s="75">
        <v>45588</v>
      </c>
      <c r="F273" s="75">
        <v>45594</v>
      </c>
    </row>
    <row r="274" spans="1:6" x14ac:dyDescent="0.35">
      <c r="A274">
        <v>4529</v>
      </c>
      <c r="B274">
        <v>2024</v>
      </c>
      <c r="C274">
        <v>44</v>
      </c>
      <c r="D274" t="s">
        <v>145</v>
      </c>
      <c r="E274" s="75">
        <v>45588</v>
      </c>
      <c r="F274" s="75">
        <v>45594</v>
      </c>
    </row>
    <row r="275" spans="1:6" x14ac:dyDescent="0.35">
      <c r="A275">
        <v>4530</v>
      </c>
      <c r="B275">
        <v>2024</v>
      </c>
      <c r="C275">
        <v>44</v>
      </c>
      <c r="D275" t="s">
        <v>145</v>
      </c>
      <c r="E275" s="75">
        <v>45588</v>
      </c>
      <c r="F275" s="75">
        <v>45594</v>
      </c>
    </row>
    <row r="276" spans="1:6" x14ac:dyDescent="0.35">
      <c r="A276">
        <v>4531</v>
      </c>
      <c r="B276">
        <v>2024</v>
      </c>
      <c r="C276">
        <v>44</v>
      </c>
      <c r="D276" t="s">
        <v>145</v>
      </c>
      <c r="E276" s="75">
        <v>45588</v>
      </c>
      <c r="F276" s="75">
        <v>45594</v>
      </c>
    </row>
    <row r="277" spans="1:6" x14ac:dyDescent="0.35">
      <c r="A277">
        <v>4532</v>
      </c>
      <c r="B277">
        <v>2024</v>
      </c>
      <c r="C277">
        <v>44</v>
      </c>
      <c r="D277" t="s">
        <v>145</v>
      </c>
      <c r="E277" s="75">
        <v>45588</v>
      </c>
      <c r="F277" s="75">
        <v>45594</v>
      </c>
    </row>
    <row r="278" spans="1:6" x14ac:dyDescent="0.35">
      <c r="A278">
        <v>4533</v>
      </c>
      <c r="B278">
        <v>2024</v>
      </c>
      <c r="C278">
        <v>44</v>
      </c>
      <c r="D278" t="s">
        <v>145</v>
      </c>
      <c r="E278" s="75">
        <v>45588</v>
      </c>
      <c r="F278" s="75">
        <v>45594</v>
      </c>
    </row>
    <row r="279" spans="1:6" x14ac:dyDescent="0.35">
      <c r="A279">
        <v>4534</v>
      </c>
      <c r="B279">
        <v>2024</v>
      </c>
      <c r="C279">
        <v>44</v>
      </c>
      <c r="D279" t="s">
        <v>145</v>
      </c>
      <c r="E279" s="75">
        <v>45588</v>
      </c>
      <c r="F279" s="75">
        <v>45594</v>
      </c>
    </row>
    <row r="280" spans="1:6" x14ac:dyDescent="0.35">
      <c r="A280">
        <v>4535</v>
      </c>
      <c r="B280">
        <v>2024</v>
      </c>
      <c r="C280">
        <v>44</v>
      </c>
      <c r="D280" t="s">
        <v>145</v>
      </c>
      <c r="E280" s="75">
        <v>45588</v>
      </c>
      <c r="F280" s="75">
        <v>45594</v>
      </c>
    </row>
    <row r="281" spans="1:6" x14ac:dyDescent="0.35">
      <c r="A281">
        <v>4536</v>
      </c>
      <c r="B281">
        <v>2024</v>
      </c>
      <c r="C281">
        <v>44</v>
      </c>
      <c r="D281" t="s">
        <v>145</v>
      </c>
      <c r="E281" s="75">
        <v>45588</v>
      </c>
      <c r="F281" s="75">
        <v>45594</v>
      </c>
    </row>
    <row r="282" spans="1:6" x14ac:dyDescent="0.35">
      <c r="A282">
        <v>4537</v>
      </c>
      <c r="B282">
        <v>2024</v>
      </c>
      <c r="C282">
        <v>44</v>
      </c>
      <c r="D282" t="s">
        <v>145</v>
      </c>
      <c r="E282" s="75">
        <v>45588</v>
      </c>
      <c r="F282" s="75">
        <v>45594</v>
      </c>
    </row>
    <row r="283" spans="1:6" x14ac:dyDescent="0.35">
      <c r="A283">
        <v>4538</v>
      </c>
      <c r="B283">
        <v>2024</v>
      </c>
      <c r="C283">
        <v>44</v>
      </c>
      <c r="D283" t="s">
        <v>145</v>
      </c>
      <c r="E283" s="75">
        <v>45588</v>
      </c>
      <c r="F283" s="75">
        <v>45594</v>
      </c>
    </row>
    <row r="284" spans="1:6" x14ac:dyDescent="0.35">
      <c r="A284">
        <v>4539</v>
      </c>
      <c r="B284">
        <v>2024</v>
      </c>
      <c r="C284">
        <v>45</v>
      </c>
      <c r="D284" t="s">
        <v>146</v>
      </c>
      <c r="E284" s="75">
        <v>45595</v>
      </c>
      <c r="F284" s="75">
        <v>45601</v>
      </c>
    </row>
    <row r="285" spans="1:6" x14ac:dyDescent="0.35">
      <c r="A285">
        <v>4540</v>
      </c>
      <c r="B285">
        <v>2024</v>
      </c>
      <c r="C285">
        <v>45</v>
      </c>
      <c r="D285" t="s">
        <v>146</v>
      </c>
      <c r="E285" s="75">
        <v>45595</v>
      </c>
      <c r="F285" s="75">
        <v>45601</v>
      </c>
    </row>
    <row r="286" spans="1:6" x14ac:dyDescent="0.35">
      <c r="A286">
        <v>4541</v>
      </c>
      <c r="B286">
        <v>2024</v>
      </c>
      <c r="C286">
        <v>45</v>
      </c>
      <c r="D286" t="s">
        <v>146</v>
      </c>
      <c r="E286" s="75">
        <v>45595</v>
      </c>
      <c r="F286" s="75">
        <v>45601</v>
      </c>
    </row>
    <row r="287" spans="1:6" x14ac:dyDescent="0.35">
      <c r="A287">
        <v>4542</v>
      </c>
      <c r="B287">
        <v>2024</v>
      </c>
      <c r="C287">
        <v>45</v>
      </c>
      <c r="D287" t="s">
        <v>146</v>
      </c>
      <c r="E287" s="75">
        <v>45595</v>
      </c>
      <c r="F287" s="75">
        <v>45601</v>
      </c>
    </row>
    <row r="288" spans="1:6" x14ac:dyDescent="0.35">
      <c r="A288">
        <v>4543</v>
      </c>
      <c r="B288">
        <v>2024</v>
      </c>
      <c r="C288">
        <v>45</v>
      </c>
      <c r="D288" t="s">
        <v>146</v>
      </c>
      <c r="E288" s="75">
        <v>45595</v>
      </c>
      <c r="F288" s="75">
        <v>45601</v>
      </c>
    </row>
    <row r="289" spans="1:6" x14ac:dyDescent="0.35">
      <c r="A289">
        <v>4544</v>
      </c>
      <c r="B289">
        <v>2024</v>
      </c>
      <c r="C289">
        <v>45</v>
      </c>
      <c r="D289" t="s">
        <v>146</v>
      </c>
      <c r="E289" s="75">
        <v>45595</v>
      </c>
      <c r="F289" s="75">
        <v>45601</v>
      </c>
    </row>
    <row r="290" spans="1:6" x14ac:dyDescent="0.35">
      <c r="A290">
        <v>4545</v>
      </c>
      <c r="B290">
        <v>2024</v>
      </c>
      <c r="C290">
        <v>45</v>
      </c>
      <c r="D290" t="s">
        <v>146</v>
      </c>
      <c r="E290" s="75">
        <v>45595</v>
      </c>
      <c r="F290" s="75">
        <v>45601</v>
      </c>
    </row>
    <row r="291" spans="1:6" x14ac:dyDescent="0.35">
      <c r="A291">
        <v>4546</v>
      </c>
      <c r="B291">
        <v>2024</v>
      </c>
      <c r="C291">
        <v>45</v>
      </c>
      <c r="D291" t="s">
        <v>146</v>
      </c>
      <c r="E291" s="75">
        <v>45595</v>
      </c>
      <c r="F291" s="75">
        <v>45601</v>
      </c>
    </row>
    <row r="292" spans="1:6" x14ac:dyDescent="0.35">
      <c r="A292">
        <v>4547</v>
      </c>
      <c r="B292">
        <v>2024</v>
      </c>
      <c r="C292">
        <v>45</v>
      </c>
      <c r="D292" t="s">
        <v>146</v>
      </c>
      <c r="E292" s="75">
        <v>45595</v>
      </c>
      <c r="F292" s="75">
        <v>45601</v>
      </c>
    </row>
    <row r="293" spans="1:6" x14ac:dyDescent="0.35">
      <c r="A293">
        <v>4548</v>
      </c>
      <c r="B293">
        <v>2024</v>
      </c>
      <c r="C293">
        <v>45</v>
      </c>
      <c r="D293" t="s">
        <v>146</v>
      </c>
      <c r="E293" s="75">
        <v>45595</v>
      </c>
      <c r="F293" s="75">
        <v>45601</v>
      </c>
    </row>
    <row r="294" spans="1:6" x14ac:dyDescent="0.35">
      <c r="A294">
        <v>4549</v>
      </c>
      <c r="B294">
        <v>2024</v>
      </c>
      <c r="C294">
        <v>45</v>
      </c>
      <c r="D294" t="s">
        <v>146</v>
      </c>
      <c r="E294" s="75">
        <v>45595</v>
      </c>
      <c r="F294" s="75">
        <v>45601</v>
      </c>
    </row>
    <row r="295" spans="1:6" x14ac:dyDescent="0.35">
      <c r="A295">
        <v>4550</v>
      </c>
      <c r="B295">
        <v>2024</v>
      </c>
      <c r="C295">
        <v>45</v>
      </c>
      <c r="D295" t="s">
        <v>146</v>
      </c>
      <c r="E295" s="75">
        <v>45595</v>
      </c>
      <c r="F295" s="75">
        <v>45601</v>
      </c>
    </row>
    <row r="296" spans="1:6" x14ac:dyDescent="0.35">
      <c r="A296">
        <v>4551</v>
      </c>
      <c r="B296">
        <v>2024</v>
      </c>
      <c r="C296">
        <v>45</v>
      </c>
      <c r="D296" t="s">
        <v>146</v>
      </c>
      <c r="E296" s="75">
        <v>45595</v>
      </c>
      <c r="F296" s="75">
        <v>45601</v>
      </c>
    </row>
    <row r="297" spans="1:6" x14ac:dyDescent="0.35">
      <c r="A297">
        <v>4552</v>
      </c>
      <c r="B297">
        <v>2024</v>
      </c>
      <c r="C297">
        <v>45</v>
      </c>
      <c r="D297" t="s">
        <v>146</v>
      </c>
      <c r="E297" s="75">
        <v>45595</v>
      </c>
      <c r="F297" s="75">
        <v>45601</v>
      </c>
    </row>
    <row r="298" spans="1:6" x14ac:dyDescent="0.35">
      <c r="A298">
        <v>4553</v>
      </c>
      <c r="B298">
        <v>2024</v>
      </c>
      <c r="C298">
        <v>45</v>
      </c>
      <c r="D298" t="s">
        <v>146</v>
      </c>
      <c r="E298" s="75">
        <v>45595</v>
      </c>
      <c r="F298" s="75">
        <v>45601</v>
      </c>
    </row>
    <row r="299" spans="1:6" x14ac:dyDescent="0.35">
      <c r="A299">
        <v>4554</v>
      </c>
      <c r="B299">
        <v>2024</v>
      </c>
      <c r="C299">
        <v>45</v>
      </c>
      <c r="D299" t="s">
        <v>146</v>
      </c>
      <c r="E299" s="75">
        <v>45595</v>
      </c>
      <c r="F299" s="75">
        <v>45601</v>
      </c>
    </row>
    <row r="300" spans="1:6" x14ac:dyDescent="0.35">
      <c r="A300">
        <v>4555</v>
      </c>
      <c r="B300">
        <v>2024</v>
      </c>
      <c r="C300">
        <v>45</v>
      </c>
      <c r="D300" t="s">
        <v>146</v>
      </c>
      <c r="E300" s="75">
        <v>45595</v>
      </c>
      <c r="F300" s="75">
        <v>45601</v>
      </c>
    </row>
    <row r="301" spans="1:6" x14ac:dyDescent="0.35">
      <c r="A301">
        <v>4556</v>
      </c>
      <c r="B301">
        <v>2024</v>
      </c>
      <c r="C301">
        <v>45</v>
      </c>
      <c r="D301" t="s">
        <v>146</v>
      </c>
      <c r="E301" s="75">
        <v>45595</v>
      </c>
      <c r="F301" s="75">
        <v>45601</v>
      </c>
    </row>
    <row r="302" spans="1:6" x14ac:dyDescent="0.35">
      <c r="A302">
        <v>4557</v>
      </c>
      <c r="B302">
        <v>2024</v>
      </c>
      <c r="C302">
        <v>45</v>
      </c>
      <c r="D302" t="s">
        <v>146</v>
      </c>
      <c r="E302" s="75">
        <v>45595</v>
      </c>
      <c r="F302" s="75">
        <v>45601</v>
      </c>
    </row>
    <row r="303" spans="1:6" x14ac:dyDescent="0.35">
      <c r="A303">
        <v>4558</v>
      </c>
      <c r="B303">
        <v>2024</v>
      </c>
      <c r="C303">
        <v>45</v>
      </c>
      <c r="D303" t="s">
        <v>146</v>
      </c>
      <c r="E303" s="75">
        <v>45595</v>
      </c>
      <c r="F303" s="75">
        <v>45601</v>
      </c>
    </row>
    <row r="304" spans="1:6" x14ac:dyDescent="0.35">
      <c r="A304">
        <v>4559</v>
      </c>
      <c r="B304">
        <v>2024</v>
      </c>
      <c r="C304">
        <v>45</v>
      </c>
      <c r="D304" t="s">
        <v>146</v>
      </c>
      <c r="E304" s="75">
        <v>45595</v>
      </c>
      <c r="F304" s="75">
        <v>45601</v>
      </c>
    </row>
    <row r="305" spans="1:6" x14ac:dyDescent="0.35">
      <c r="A305">
        <v>4560</v>
      </c>
      <c r="B305">
        <v>2024</v>
      </c>
      <c r="C305">
        <v>45</v>
      </c>
      <c r="D305" t="s">
        <v>146</v>
      </c>
      <c r="E305" s="75">
        <v>45595</v>
      </c>
      <c r="F305" s="75">
        <v>45601</v>
      </c>
    </row>
    <row r="306" spans="1:6" x14ac:dyDescent="0.35">
      <c r="A306">
        <v>4561</v>
      </c>
      <c r="B306">
        <v>2024</v>
      </c>
      <c r="C306">
        <v>45</v>
      </c>
      <c r="D306" t="s">
        <v>146</v>
      </c>
      <c r="E306" s="75">
        <v>45595</v>
      </c>
      <c r="F306" s="75">
        <v>45601</v>
      </c>
    </row>
    <row r="307" spans="1:6" x14ac:dyDescent="0.35">
      <c r="A307">
        <v>4562</v>
      </c>
      <c r="B307">
        <v>2024</v>
      </c>
      <c r="C307">
        <v>45</v>
      </c>
      <c r="D307" t="s">
        <v>146</v>
      </c>
      <c r="E307" s="75">
        <v>45595</v>
      </c>
      <c r="F307" s="75">
        <v>45601</v>
      </c>
    </row>
    <row r="308" spans="1:6" x14ac:dyDescent="0.35">
      <c r="A308">
        <v>4563</v>
      </c>
      <c r="B308">
        <v>2024</v>
      </c>
      <c r="C308">
        <v>45</v>
      </c>
      <c r="D308" t="s">
        <v>146</v>
      </c>
      <c r="E308" s="75">
        <v>45595</v>
      </c>
      <c r="F308" s="75">
        <v>45601</v>
      </c>
    </row>
    <row r="309" spans="1:6" x14ac:dyDescent="0.35">
      <c r="A309">
        <v>4564</v>
      </c>
      <c r="B309">
        <v>2024</v>
      </c>
      <c r="C309">
        <v>45</v>
      </c>
      <c r="D309" t="s">
        <v>146</v>
      </c>
      <c r="E309" s="75">
        <v>45595</v>
      </c>
      <c r="F309" s="75">
        <v>45601</v>
      </c>
    </row>
    <row r="310" spans="1:6" x14ac:dyDescent="0.35">
      <c r="A310">
        <v>4565</v>
      </c>
      <c r="B310">
        <v>2024</v>
      </c>
      <c r="C310">
        <v>45</v>
      </c>
      <c r="D310" t="s">
        <v>146</v>
      </c>
      <c r="E310" s="75">
        <v>45595</v>
      </c>
      <c r="F310" s="75">
        <v>45601</v>
      </c>
    </row>
    <row r="311" spans="1:6" x14ac:dyDescent="0.35">
      <c r="A311">
        <v>4566</v>
      </c>
      <c r="B311">
        <v>2024</v>
      </c>
      <c r="C311">
        <v>45</v>
      </c>
      <c r="D311" t="s">
        <v>146</v>
      </c>
      <c r="E311" s="75">
        <v>45595</v>
      </c>
      <c r="F311" s="75">
        <v>45601</v>
      </c>
    </row>
    <row r="312" spans="1:6" x14ac:dyDescent="0.35">
      <c r="A312">
        <v>4567</v>
      </c>
      <c r="B312">
        <v>2024</v>
      </c>
      <c r="C312">
        <v>45</v>
      </c>
      <c r="D312" t="s">
        <v>146</v>
      </c>
      <c r="E312" s="75">
        <v>45595</v>
      </c>
      <c r="F312" s="75">
        <v>45601</v>
      </c>
    </row>
    <row r="313" spans="1:6" x14ac:dyDescent="0.35">
      <c r="A313">
        <v>4568</v>
      </c>
      <c r="B313">
        <v>2024</v>
      </c>
      <c r="C313">
        <v>46</v>
      </c>
      <c r="D313" t="s">
        <v>147</v>
      </c>
      <c r="E313" s="75">
        <v>45602</v>
      </c>
      <c r="F313" s="75">
        <v>45608</v>
      </c>
    </row>
    <row r="314" spans="1:6" x14ac:dyDescent="0.35">
      <c r="A314">
        <v>4569</v>
      </c>
      <c r="B314">
        <v>2024</v>
      </c>
      <c r="C314">
        <v>46</v>
      </c>
      <c r="D314" t="s">
        <v>147</v>
      </c>
      <c r="E314" s="75">
        <v>45602</v>
      </c>
      <c r="F314" s="75">
        <v>45608</v>
      </c>
    </row>
    <row r="315" spans="1:6" x14ac:dyDescent="0.35">
      <c r="A315">
        <v>4570</v>
      </c>
      <c r="B315">
        <v>2024</v>
      </c>
      <c r="C315">
        <v>46</v>
      </c>
      <c r="D315" t="s">
        <v>147</v>
      </c>
      <c r="E315" s="75">
        <v>45602</v>
      </c>
      <c r="F315" s="75">
        <v>45608</v>
      </c>
    </row>
    <row r="316" spans="1:6" x14ac:dyDescent="0.35">
      <c r="A316">
        <v>4571</v>
      </c>
      <c r="B316">
        <v>2024</v>
      </c>
      <c r="C316">
        <v>46</v>
      </c>
      <c r="D316" t="s">
        <v>147</v>
      </c>
      <c r="E316" s="75">
        <v>45602</v>
      </c>
      <c r="F316" s="75">
        <v>45608</v>
      </c>
    </row>
    <row r="317" spans="1:6" x14ac:dyDescent="0.35">
      <c r="A317">
        <v>4572</v>
      </c>
      <c r="B317">
        <v>2024</v>
      </c>
      <c r="C317">
        <v>46</v>
      </c>
      <c r="D317" t="s">
        <v>147</v>
      </c>
      <c r="E317" s="75">
        <v>45602</v>
      </c>
      <c r="F317" s="75">
        <v>45608</v>
      </c>
    </row>
    <row r="318" spans="1:6" x14ac:dyDescent="0.35">
      <c r="A318">
        <v>4573</v>
      </c>
      <c r="B318">
        <v>2024</v>
      </c>
      <c r="C318">
        <v>46</v>
      </c>
      <c r="D318" t="s">
        <v>147</v>
      </c>
      <c r="E318" s="75">
        <v>45602</v>
      </c>
      <c r="F318" s="75">
        <v>45608</v>
      </c>
    </row>
    <row r="319" spans="1:6" x14ac:dyDescent="0.35">
      <c r="A319">
        <v>4574</v>
      </c>
      <c r="B319">
        <v>2024</v>
      </c>
      <c r="C319">
        <v>46</v>
      </c>
      <c r="D319" t="s">
        <v>147</v>
      </c>
      <c r="E319" s="75">
        <v>45602</v>
      </c>
      <c r="F319" s="75">
        <v>45608</v>
      </c>
    </row>
    <row r="320" spans="1:6" x14ac:dyDescent="0.35">
      <c r="A320">
        <v>4575</v>
      </c>
      <c r="B320">
        <v>2024</v>
      </c>
      <c r="C320">
        <v>46</v>
      </c>
      <c r="D320" t="s">
        <v>147</v>
      </c>
      <c r="E320" s="75">
        <v>45602</v>
      </c>
      <c r="F320" s="75">
        <v>45608</v>
      </c>
    </row>
    <row r="321" spans="1:6" x14ac:dyDescent="0.35">
      <c r="A321">
        <v>4576</v>
      </c>
      <c r="B321">
        <v>2024</v>
      </c>
      <c r="C321">
        <v>46</v>
      </c>
      <c r="D321" t="s">
        <v>147</v>
      </c>
      <c r="E321" s="75">
        <v>45602</v>
      </c>
      <c r="F321" s="75">
        <v>45608</v>
      </c>
    </row>
    <row r="322" spans="1:6" x14ac:dyDescent="0.35">
      <c r="A322">
        <v>4577</v>
      </c>
      <c r="B322">
        <v>2024</v>
      </c>
      <c r="C322">
        <v>46</v>
      </c>
      <c r="D322" t="s">
        <v>147</v>
      </c>
      <c r="E322" s="75">
        <v>45602</v>
      </c>
      <c r="F322" s="75">
        <v>45608</v>
      </c>
    </row>
    <row r="323" spans="1:6" x14ac:dyDescent="0.35">
      <c r="A323">
        <v>4578</v>
      </c>
      <c r="B323">
        <v>2024</v>
      </c>
      <c r="C323">
        <v>46</v>
      </c>
      <c r="D323" t="s">
        <v>147</v>
      </c>
      <c r="E323" s="75">
        <v>45602</v>
      </c>
      <c r="F323" s="75">
        <v>45608</v>
      </c>
    </row>
    <row r="324" spans="1:6" x14ac:dyDescent="0.35">
      <c r="A324">
        <v>4579</v>
      </c>
      <c r="B324">
        <v>2024</v>
      </c>
      <c r="C324">
        <v>46</v>
      </c>
      <c r="D324" t="s">
        <v>147</v>
      </c>
      <c r="E324" s="75">
        <v>45602</v>
      </c>
      <c r="F324" s="75">
        <v>45608</v>
      </c>
    </row>
    <row r="325" spans="1:6" x14ac:dyDescent="0.35">
      <c r="A325">
        <v>4580</v>
      </c>
      <c r="B325">
        <v>2024</v>
      </c>
      <c r="C325">
        <v>46</v>
      </c>
      <c r="D325" t="s">
        <v>147</v>
      </c>
      <c r="E325" s="75">
        <v>45602</v>
      </c>
      <c r="F325" s="75">
        <v>45608</v>
      </c>
    </row>
    <row r="326" spans="1:6" x14ac:dyDescent="0.35">
      <c r="A326">
        <v>4581</v>
      </c>
      <c r="B326">
        <v>2024</v>
      </c>
      <c r="C326">
        <v>46</v>
      </c>
      <c r="D326" t="s">
        <v>147</v>
      </c>
      <c r="E326" s="75">
        <v>45602</v>
      </c>
      <c r="F326" s="75">
        <v>45608</v>
      </c>
    </row>
    <row r="327" spans="1:6" x14ac:dyDescent="0.35">
      <c r="A327">
        <v>4582</v>
      </c>
      <c r="B327">
        <v>2024</v>
      </c>
      <c r="C327">
        <v>47</v>
      </c>
      <c r="D327" t="s">
        <v>148</v>
      </c>
      <c r="E327" s="75">
        <v>45609</v>
      </c>
      <c r="F327" s="75">
        <v>45615</v>
      </c>
    </row>
    <row r="328" spans="1:6" x14ac:dyDescent="0.35">
      <c r="A328">
        <v>4583</v>
      </c>
      <c r="B328">
        <v>2024</v>
      </c>
      <c r="C328">
        <v>47</v>
      </c>
      <c r="D328" t="s">
        <v>148</v>
      </c>
      <c r="E328" s="75">
        <v>45609</v>
      </c>
      <c r="F328" s="75">
        <v>45615</v>
      </c>
    </row>
    <row r="329" spans="1:6" x14ac:dyDescent="0.35">
      <c r="A329">
        <v>4584</v>
      </c>
      <c r="B329">
        <v>2024</v>
      </c>
      <c r="C329">
        <v>47</v>
      </c>
      <c r="D329" t="s">
        <v>148</v>
      </c>
      <c r="E329" s="75">
        <v>45609</v>
      </c>
      <c r="F329" s="75">
        <v>45615</v>
      </c>
    </row>
    <row r="330" spans="1:6" x14ac:dyDescent="0.35">
      <c r="A330">
        <v>4585</v>
      </c>
      <c r="B330">
        <v>2024</v>
      </c>
      <c r="C330">
        <v>47</v>
      </c>
      <c r="D330" t="s">
        <v>148</v>
      </c>
      <c r="E330" s="75">
        <v>45609</v>
      </c>
      <c r="F330" s="75">
        <v>45615</v>
      </c>
    </row>
    <row r="331" spans="1:6" x14ac:dyDescent="0.35">
      <c r="A331">
        <v>4586</v>
      </c>
      <c r="B331">
        <v>2024</v>
      </c>
      <c r="C331">
        <v>47</v>
      </c>
      <c r="D331" t="s">
        <v>148</v>
      </c>
      <c r="E331" s="75">
        <v>45609</v>
      </c>
      <c r="F331" s="75">
        <v>45615</v>
      </c>
    </row>
    <row r="332" spans="1:6" x14ac:dyDescent="0.35">
      <c r="A332">
        <v>4587</v>
      </c>
      <c r="B332">
        <v>2024</v>
      </c>
      <c r="C332">
        <v>47</v>
      </c>
      <c r="D332" t="s">
        <v>148</v>
      </c>
      <c r="E332" s="75">
        <v>45609</v>
      </c>
      <c r="F332" s="75">
        <v>45615</v>
      </c>
    </row>
    <row r="333" spans="1:6" x14ac:dyDescent="0.35">
      <c r="A333">
        <v>4588</v>
      </c>
      <c r="B333">
        <v>2024</v>
      </c>
      <c r="C333">
        <v>47</v>
      </c>
      <c r="D333" t="s">
        <v>148</v>
      </c>
      <c r="E333" s="75">
        <v>45609</v>
      </c>
      <c r="F333" s="75">
        <v>45615</v>
      </c>
    </row>
    <row r="334" spans="1:6" x14ac:dyDescent="0.35">
      <c r="A334">
        <v>4589</v>
      </c>
      <c r="B334">
        <v>2024</v>
      </c>
      <c r="C334">
        <v>47</v>
      </c>
      <c r="D334" t="s">
        <v>148</v>
      </c>
      <c r="E334" s="75">
        <v>45609</v>
      </c>
      <c r="F334" s="75">
        <v>45615</v>
      </c>
    </row>
    <row r="335" spans="1:6" x14ac:dyDescent="0.35">
      <c r="A335">
        <v>4590</v>
      </c>
      <c r="B335">
        <v>2024</v>
      </c>
      <c r="C335">
        <v>47</v>
      </c>
      <c r="D335" t="s">
        <v>148</v>
      </c>
      <c r="E335" s="75">
        <v>45609</v>
      </c>
      <c r="F335" s="75">
        <v>45615</v>
      </c>
    </row>
    <row r="336" spans="1:6" x14ac:dyDescent="0.35">
      <c r="A336">
        <v>4591</v>
      </c>
      <c r="B336">
        <v>2024</v>
      </c>
      <c r="C336">
        <v>47</v>
      </c>
      <c r="D336" t="s">
        <v>148</v>
      </c>
      <c r="E336" s="75">
        <v>45609</v>
      </c>
      <c r="F336" s="75">
        <v>45615</v>
      </c>
    </row>
    <row r="337" spans="1:6" x14ac:dyDescent="0.35">
      <c r="A337">
        <v>4592</v>
      </c>
      <c r="B337">
        <v>2024</v>
      </c>
      <c r="C337">
        <v>47</v>
      </c>
      <c r="D337" t="s">
        <v>148</v>
      </c>
      <c r="E337" s="75">
        <v>45609</v>
      </c>
      <c r="F337" s="75">
        <v>45615</v>
      </c>
    </row>
    <row r="338" spans="1:6" x14ac:dyDescent="0.35">
      <c r="A338">
        <v>4593</v>
      </c>
      <c r="B338">
        <v>2024</v>
      </c>
      <c r="C338">
        <v>47</v>
      </c>
      <c r="D338" t="s">
        <v>148</v>
      </c>
      <c r="E338" s="75">
        <v>45609</v>
      </c>
      <c r="F338" s="75">
        <v>45615</v>
      </c>
    </row>
    <row r="339" spans="1:6" x14ac:dyDescent="0.35">
      <c r="A339">
        <v>4594</v>
      </c>
      <c r="B339">
        <v>2024</v>
      </c>
      <c r="C339">
        <v>47</v>
      </c>
      <c r="D339" t="s">
        <v>148</v>
      </c>
      <c r="E339" s="75">
        <v>45609</v>
      </c>
      <c r="F339" s="75">
        <v>45615</v>
      </c>
    </row>
    <row r="340" spans="1:6" x14ac:dyDescent="0.35">
      <c r="A340">
        <v>4595</v>
      </c>
      <c r="B340">
        <v>2024</v>
      </c>
      <c r="C340">
        <v>47</v>
      </c>
      <c r="D340" t="s">
        <v>148</v>
      </c>
      <c r="E340" s="75">
        <v>45609</v>
      </c>
      <c r="F340" s="75">
        <v>45615</v>
      </c>
    </row>
    <row r="341" spans="1:6" x14ac:dyDescent="0.35">
      <c r="A341">
        <v>4596</v>
      </c>
      <c r="B341">
        <v>2024</v>
      </c>
      <c r="C341">
        <v>47</v>
      </c>
      <c r="D341" t="s">
        <v>148</v>
      </c>
      <c r="E341" s="75">
        <v>45609</v>
      </c>
      <c r="F341" s="75">
        <v>45615</v>
      </c>
    </row>
    <row r="342" spans="1:6" x14ac:dyDescent="0.35">
      <c r="A342">
        <v>4597</v>
      </c>
      <c r="B342">
        <v>2024</v>
      </c>
      <c r="C342">
        <v>47</v>
      </c>
      <c r="D342" t="s">
        <v>148</v>
      </c>
      <c r="E342" s="75">
        <v>45609</v>
      </c>
      <c r="F342" s="75">
        <v>45615</v>
      </c>
    </row>
    <row r="343" spans="1:6" x14ac:dyDescent="0.35">
      <c r="A343">
        <v>4598</v>
      </c>
      <c r="B343">
        <v>2024</v>
      </c>
      <c r="C343">
        <v>47</v>
      </c>
      <c r="D343" t="s">
        <v>148</v>
      </c>
      <c r="E343" s="75">
        <v>45609</v>
      </c>
      <c r="F343" s="75">
        <v>45615</v>
      </c>
    </row>
    <row r="344" spans="1:6" x14ac:dyDescent="0.35">
      <c r="A344">
        <v>4599</v>
      </c>
      <c r="B344">
        <v>2024</v>
      </c>
      <c r="C344">
        <v>47</v>
      </c>
      <c r="D344" t="s">
        <v>148</v>
      </c>
      <c r="E344" s="75">
        <v>45609</v>
      </c>
      <c r="F344" s="75">
        <v>45615</v>
      </c>
    </row>
    <row r="345" spans="1:6" x14ac:dyDescent="0.35">
      <c r="A345">
        <v>4600</v>
      </c>
      <c r="B345">
        <v>2024</v>
      </c>
      <c r="C345">
        <v>47</v>
      </c>
      <c r="D345" t="s">
        <v>148</v>
      </c>
      <c r="E345" s="75">
        <v>45609</v>
      </c>
      <c r="F345" s="75">
        <v>45615</v>
      </c>
    </row>
    <row r="346" spans="1:6" x14ac:dyDescent="0.35">
      <c r="A346">
        <v>4601</v>
      </c>
      <c r="B346">
        <v>2024</v>
      </c>
      <c r="C346">
        <v>47</v>
      </c>
      <c r="D346" t="s">
        <v>148</v>
      </c>
      <c r="E346" s="75">
        <v>45609</v>
      </c>
      <c r="F346" s="75">
        <v>45615</v>
      </c>
    </row>
    <row r="347" spans="1:6" x14ac:dyDescent="0.35">
      <c r="A347">
        <v>4602</v>
      </c>
      <c r="B347">
        <v>2024</v>
      </c>
      <c r="C347">
        <v>47</v>
      </c>
      <c r="D347" t="s">
        <v>148</v>
      </c>
      <c r="E347" s="75">
        <v>45609</v>
      </c>
      <c r="F347" s="75">
        <v>45615</v>
      </c>
    </row>
    <row r="348" spans="1:6" x14ac:dyDescent="0.35">
      <c r="A348">
        <v>4603</v>
      </c>
      <c r="B348">
        <v>2024</v>
      </c>
      <c r="C348">
        <v>47</v>
      </c>
      <c r="D348" t="s">
        <v>148</v>
      </c>
      <c r="E348" s="75">
        <v>45609</v>
      </c>
      <c r="F348" s="75">
        <v>45615</v>
      </c>
    </row>
    <row r="349" spans="1:6" x14ac:dyDescent="0.35">
      <c r="A349">
        <v>4604</v>
      </c>
      <c r="B349">
        <v>2024</v>
      </c>
      <c r="C349">
        <v>47</v>
      </c>
      <c r="D349" t="s">
        <v>148</v>
      </c>
      <c r="E349" s="75">
        <v>45609</v>
      </c>
      <c r="F349" s="75">
        <v>45615</v>
      </c>
    </row>
    <row r="350" spans="1:6" x14ac:dyDescent="0.35">
      <c r="A350">
        <v>4605</v>
      </c>
      <c r="B350">
        <v>2024</v>
      </c>
      <c r="C350">
        <v>47</v>
      </c>
      <c r="D350" t="s">
        <v>148</v>
      </c>
      <c r="E350" s="75">
        <v>45609</v>
      </c>
      <c r="F350" s="75">
        <v>45615</v>
      </c>
    </row>
    <row r="351" spans="1:6" x14ac:dyDescent="0.35">
      <c r="A351">
        <v>4606</v>
      </c>
      <c r="B351">
        <v>2024</v>
      </c>
      <c r="C351">
        <v>47</v>
      </c>
      <c r="D351" t="s">
        <v>148</v>
      </c>
      <c r="E351" s="75">
        <v>45609</v>
      </c>
      <c r="F351" s="75">
        <v>45615</v>
      </c>
    </row>
    <row r="352" spans="1:6" x14ac:dyDescent="0.35">
      <c r="A352">
        <v>4607</v>
      </c>
      <c r="B352">
        <v>2024</v>
      </c>
      <c r="C352">
        <v>47</v>
      </c>
      <c r="D352" t="s">
        <v>148</v>
      </c>
      <c r="E352" s="75">
        <v>45609</v>
      </c>
      <c r="F352" s="75">
        <v>45615</v>
      </c>
    </row>
    <row r="353" spans="1:6" x14ac:dyDescent="0.35">
      <c r="A353">
        <v>4608</v>
      </c>
      <c r="B353">
        <v>2024</v>
      </c>
      <c r="C353">
        <v>48</v>
      </c>
      <c r="D353" t="s">
        <v>149</v>
      </c>
      <c r="E353" s="75">
        <v>45616</v>
      </c>
      <c r="F353" s="75">
        <v>45622</v>
      </c>
    </row>
    <row r="354" spans="1:6" x14ac:dyDescent="0.35">
      <c r="A354">
        <v>4609</v>
      </c>
      <c r="B354">
        <v>2024</v>
      </c>
      <c r="C354">
        <v>48</v>
      </c>
      <c r="D354" t="s">
        <v>149</v>
      </c>
      <c r="E354" s="75">
        <v>45616</v>
      </c>
      <c r="F354" s="75">
        <v>45622</v>
      </c>
    </row>
    <row r="355" spans="1:6" x14ac:dyDescent="0.35">
      <c r="A355">
        <v>4610</v>
      </c>
      <c r="B355">
        <v>2024</v>
      </c>
      <c r="C355">
        <v>48</v>
      </c>
      <c r="D355" t="s">
        <v>149</v>
      </c>
      <c r="E355" s="75">
        <v>45616</v>
      </c>
      <c r="F355" s="75">
        <v>45622</v>
      </c>
    </row>
    <row r="356" spans="1:6" x14ac:dyDescent="0.35">
      <c r="A356">
        <v>4611</v>
      </c>
      <c r="B356">
        <v>2024</v>
      </c>
      <c r="C356">
        <v>48</v>
      </c>
      <c r="D356" t="s">
        <v>149</v>
      </c>
      <c r="E356" s="75">
        <v>45616</v>
      </c>
      <c r="F356" s="75">
        <v>45622</v>
      </c>
    </row>
    <row r="357" spans="1:6" x14ac:dyDescent="0.35">
      <c r="A357">
        <v>4612</v>
      </c>
      <c r="B357">
        <v>2024</v>
      </c>
      <c r="C357">
        <v>48</v>
      </c>
      <c r="D357" t="s">
        <v>149</v>
      </c>
      <c r="E357" s="75">
        <v>45616</v>
      </c>
      <c r="F357" s="75">
        <v>45622</v>
      </c>
    </row>
    <row r="358" spans="1:6" x14ac:dyDescent="0.35">
      <c r="A358">
        <v>4613</v>
      </c>
      <c r="B358">
        <v>2024</v>
      </c>
      <c r="C358">
        <v>48</v>
      </c>
      <c r="D358" t="s">
        <v>149</v>
      </c>
      <c r="E358" s="75">
        <v>45616</v>
      </c>
      <c r="F358" s="75">
        <v>45622</v>
      </c>
    </row>
    <row r="359" spans="1:6" x14ac:dyDescent="0.35">
      <c r="A359">
        <v>4614</v>
      </c>
      <c r="B359">
        <v>2024</v>
      </c>
      <c r="C359">
        <v>48</v>
      </c>
      <c r="D359" t="s">
        <v>149</v>
      </c>
      <c r="E359" s="75">
        <v>45616</v>
      </c>
      <c r="F359" s="75">
        <v>45622</v>
      </c>
    </row>
    <row r="360" spans="1:6" x14ac:dyDescent="0.35">
      <c r="A360">
        <v>4615</v>
      </c>
      <c r="B360">
        <v>2024</v>
      </c>
      <c r="C360">
        <v>48</v>
      </c>
      <c r="D360" t="s">
        <v>149</v>
      </c>
      <c r="E360" s="75">
        <v>45616</v>
      </c>
      <c r="F360" s="75">
        <v>45622</v>
      </c>
    </row>
    <row r="361" spans="1:6" x14ac:dyDescent="0.35">
      <c r="A361">
        <v>4616</v>
      </c>
      <c r="B361">
        <v>2024</v>
      </c>
      <c r="C361">
        <v>48</v>
      </c>
      <c r="D361" t="s">
        <v>149</v>
      </c>
      <c r="E361" s="75">
        <v>45616</v>
      </c>
      <c r="F361" s="75">
        <v>45622</v>
      </c>
    </row>
    <row r="362" spans="1:6" x14ac:dyDescent="0.35">
      <c r="A362">
        <v>4617</v>
      </c>
      <c r="B362">
        <v>2024</v>
      </c>
      <c r="C362">
        <v>48</v>
      </c>
      <c r="D362" t="s">
        <v>149</v>
      </c>
      <c r="E362" s="75">
        <v>45616</v>
      </c>
      <c r="F362" s="75">
        <v>45622</v>
      </c>
    </row>
    <row r="363" spans="1:6" x14ac:dyDescent="0.35">
      <c r="A363">
        <v>4618</v>
      </c>
      <c r="B363">
        <v>2024</v>
      </c>
      <c r="C363">
        <v>48</v>
      </c>
      <c r="D363" t="s">
        <v>149</v>
      </c>
      <c r="E363" s="75">
        <v>45616</v>
      </c>
      <c r="F363" s="75">
        <v>45622</v>
      </c>
    </row>
    <row r="364" spans="1:6" x14ac:dyDescent="0.35">
      <c r="A364">
        <v>4619</v>
      </c>
      <c r="B364">
        <v>2024</v>
      </c>
      <c r="C364">
        <v>48</v>
      </c>
      <c r="D364" t="s">
        <v>149</v>
      </c>
      <c r="E364" s="75">
        <v>45616</v>
      </c>
      <c r="F364" s="75">
        <v>45622</v>
      </c>
    </row>
    <row r="365" spans="1:6" x14ac:dyDescent="0.35">
      <c r="A365">
        <v>4620</v>
      </c>
      <c r="B365">
        <v>2024</v>
      </c>
      <c r="C365">
        <v>48</v>
      </c>
      <c r="D365" t="s">
        <v>149</v>
      </c>
      <c r="E365" s="75">
        <v>45616</v>
      </c>
      <c r="F365" s="75">
        <v>45622</v>
      </c>
    </row>
    <row r="366" spans="1:6" x14ac:dyDescent="0.35">
      <c r="A366">
        <v>4621</v>
      </c>
      <c r="B366">
        <v>2024</v>
      </c>
      <c r="C366">
        <v>48</v>
      </c>
      <c r="D366" t="s">
        <v>149</v>
      </c>
      <c r="E366" s="75">
        <v>45616</v>
      </c>
      <c r="F366" s="75">
        <v>45622</v>
      </c>
    </row>
    <row r="367" spans="1:6" x14ac:dyDescent="0.35">
      <c r="A367">
        <v>4622</v>
      </c>
      <c r="B367">
        <v>2024</v>
      </c>
      <c r="C367">
        <v>48</v>
      </c>
      <c r="D367" t="s">
        <v>149</v>
      </c>
      <c r="E367" s="75">
        <v>45616</v>
      </c>
      <c r="F367" s="75">
        <v>45622</v>
      </c>
    </row>
    <row r="368" spans="1:6" x14ac:dyDescent="0.35">
      <c r="A368">
        <v>4623</v>
      </c>
      <c r="B368">
        <v>2024</v>
      </c>
      <c r="C368">
        <v>48</v>
      </c>
      <c r="D368" t="s">
        <v>149</v>
      </c>
      <c r="E368" s="75">
        <v>45616</v>
      </c>
      <c r="F368" s="75">
        <v>45622</v>
      </c>
    </row>
    <row r="369" spans="1:6" x14ac:dyDescent="0.35">
      <c r="A369">
        <v>4624</v>
      </c>
      <c r="B369">
        <v>2024</v>
      </c>
      <c r="C369">
        <v>48</v>
      </c>
      <c r="D369" t="s">
        <v>149</v>
      </c>
      <c r="E369" s="75">
        <v>45616</v>
      </c>
      <c r="F369" s="75">
        <v>45622</v>
      </c>
    </row>
    <row r="370" spans="1:6" x14ac:dyDescent="0.35">
      <c r="A370">
        <v>4625</v>
      </c>
      <c r="B370">
        <v>2024</v>
      </c>
      <c r="C370">
        <v>48</v>
      </c>
      <c r="D370" t="s">
        <v>149</v>
      </c>
      <c r="E370" s="75">
        <v>45616</v>
      </c>
      <c r="F370" s="75">
        <v>45622</v>
      </c>
    </row>
    <row r="371" spans="1:6" x14ac:dyDescent="0.35">
      <c r="A371">
        <v>4626</v>
      </c>
      <c r="B371">
        <v>2024</v>
      </c>
      <c r="C371">
        <v>48</v>
      </c>
      <c r="D371" t="s">
        <v>149</v>
      </c>
      <c r="E371" s="75">
        <v>45616</v>
      </c>
      <c r="F371" s="75">
        <v>45622</v>
      </c>
    </row>
    <row r="372" spans="1:6" x14ac:dyDescent="0.35">
      <c r="A372">
        <v>4627</v>
      </c>
      <c r="B372">
        <v>2024</v>
      </c>
      <c r="C372">
        <v>48</v>
      </c>
      <c r="D372" t="s">
        <v>149</v>
      </c>
      <c r="E372" s="75">
        <v>45616</v>
      </c>
      <c r="F372" s="75">
        <v>45622</v>
      </c>
    </row>
    <row r="373" spans="1:6" x14ac:dyDescent="0.35">
      <c r="A373">
        <v>4628</v>
      </c>
      <c r="B373">
        <v>2024</v>
      </c>
      <c r="C373">
        <v>48</v>
      </c>
      <c r="D373" t="s">
        <v>149</v>
      </c>
      <c r="E373" s="75">
        <v>45616</v>
      </c>
      <c r="F373" s="75">
        <v>45622</v>
      </c>
    </row>
    <row r="374" spans="1:6" x14ac:dyDescent="0.35">
      <c r="A374">
        <v>4629</v>
      </c>
      <c r="B374">
        <v>2024</v>
      </c>
      <c r="C374">
        <v>48</v>
      </c>
      <c r="D374" t="s">
        <v>149</v>
      </c>
      <c r="E374" s="75">
        <v>45616</v>
      </c>
      <c r="F374" s="75">
        <v>45622</v>
      </c>
    </row>
    <row r="375" spans="1:6" x14ac:dyDescent="0.35">
      <c r="A375">
        <v>4630</v>
      </c>
      <c r="B375">
        <v>2024</v>
      </c>
      <c r="C375">
        <v>48</v>
      </c>
      <c r="D375" t="s">
        <v>149</v>
      </c>
      <c r="E375" s="75">
        <v>45616</v>
      </c>
      <c r="F375" s="75">
        <v>45622</v>
      </c>
    </row>
    <row r="376" spans="1:6" x14ac:dyDescent="0.35">
      <c r="A376">
        <v>4631</v>
      </c>
      <c r="B376">
        <v>2024</v>
      </c>
      <c r="C376">
        <v>48</v>
      </c>
      <c r="D376" t="s">
        <v>149</v>
      </c>
      <c r="E376" s="75">
        <v>45616</v>
      </c>
      <c r="F376" s="75">
        <v>45622</v>
      </c>
    </row>
    <row r="377" spans="1:6" x14ac:dyDescent="0.35">
      <c r="A377">
        <v>4632</v>
      </c>
      <c r="B377">
        <v>2024</v>
      </c>
      <c r="C377">
        <v>49</v>
      </c>
      <c r="D377" t="s">
        <v>150</v>
      </c>
      <c r="E377" s="75">
        <v>45623</v>
      </c>
      <c r="F377" s="75">
        <v>45629</v>
      </c>
    </row>
    <row r="378" spans="1:6" x14ac:dyDescent="0.35">
      <c r="A378">
        <v>4633</v>
      </c>
      <c r="B378">
        <v>2024</v>
      </c>
      <c r="C378">
        <v>49</v>
      </c>
      <c r="D378" t="s">
        <v>150</v>
      </c>
      <c r="E378" s="75">
        <v>45623</v>
      </c>
      <c r="F378" s="75">
        <v>45629</v>
      </c>
    </row>
    <row r="379" spans="1:6" x14ac:dyDescent="0.35">
      <c r="A379">
        <v>4634</v>
      </c>
      <c r="B379">
        <v>2024</v>
      </c>
      <c r="C379">
        <v>49</v>
      </c>
      <c r="D379" t="s">
        <v>150</v>
      </c>
      <c r="E379" s="75">
        <v>45623</v>
      </c>
      <c r="F379" s="75">
        <v>45629</v>
      </c>
    </row>
    <row r="380" spans="1:6" x14ac:dyDescent="0.35">
      <c r="A380">
        <v>4635</v>
      </c>
      <c r="B380">
        <v>2024</v>
      </c>
      <c r="C380">
        <v>49</v>
      </c>
      <c r="D380" t="s">
        <v>150</v>
      </c>
      <c r="E380" s="75">
        <v>45623</v>
      </c>
      <c r="F380" s="75">
        <v>45629</v>
      </c>
    </row>
    <row r="381" spans="1:6" x14ac:dyDescent="0.35">
      <c r="A381">
        <v>4636</v>
      </c>
      <c r="B381">
        <v>2024</v>
      </c>
      <c r="C381">
        <v>49</v>
      </c>
      <c r="D381" t="s">
        <v>150</v>
      </c>
      <c r="E381" s="75">
        <v>45623</v>
      </c>
      <c r="F381" s="75">
        <v>45629</v>
      </c>
    </row>
    <row r="382" spans="1:6" x14ac:dyDescent="0.35">
      <c r="A382">
        <v>4637</v>
      </c>
      <c r="B382">
        <v>2024</v>
      </c>
      <c r="C382">
        <v>49</v>
      </c>
      <c r="D382" t="s">
        <v>150</v>
      </c>
      <c r="E382" s="75">
        <v>45623</v>
      </c>
      <c r="F382" s="75">
        <v>45629</v>
      </c>
    </row>
    <row r="383" spans="1:6" x14ac:dyDescent="0.35">
      <c r="A383">
        <v>4638</v>
      </c>
      <c r="B383">
        <v>2024</v>
      </c>
      <c r="C383">
        <v>49</v>
      </c>
      <c r="D383" t="s">
        <v>150</v>
      </c>
      <c r="E383" s="75">
        <v>45623</v>
      </c>
      <c r="F383" s="75">
        <v>45629</v>
      </c>
    </row>
    <row r="384" spans="1:6" x14ac:dyDescent="0.35">
      <c r="A384">
        <v>4639</v>
      </c>
      <c r="B384">
        <v>2024</v>
      </c>
      <c r="C384">
        <v>49</v>
      </c>
      <c r="D384" t="s">
        <v>150</v>
      </c>
      <c r="E384" s="75">
        <v>45623</v>
      </c>
      <c r="F384" s="75">
        <v>45629</v>
      </c>
    </row>
    <row r="385" spans="1:6" x14ac:dyDescent="0.35">
      <c r="A385">
        <v>4640</v>
      </c>
      <c r="B385">
        <v>2024</v>
      </c>
      <c r="C385">
        <v>49</v>
      </c>
      <c r="D385" t="s">
        <v>150</v>
      </c>
      <c r="E385" s="75">
        <v>45623</v>
      </c>
      <c r="F385" s="75">
        <v>45629</v>
      </c>
    </row>
    <row r="386" spans="1:6" x14ac:dyDescent="0.35">
      <c r="A386">
        <v>4641</v>
      </c>
      <c r="B386">
        <v>2024</v>
      </c>
      <c r="C386">
        <v>49</v>
      </c>
      <c r="D386" t="s">
        <v>150</v>
      </c>
      <c r="E386" s="75">
        <v>45623</v>
      </c>
      <c r="F386" s="75">
        <v>45629</v>
      </c>
    </row>
    <row r="387" spans="1:6" x14ac:dyDescent="0.35">
      <c r="A387">
        <v>4642</v>
      </c>
      <c r="B387">
        <v>2024</v>
      </c>
      <c r="C387">
        <v>49</v>
      </c>
      <c r="D387" t="s">
        <v>150</v>
      </c>
      <c r="E387" s="75">
        <v>45623</v>
      </c>
      <c r="F387" s="75">
        <v>45629</v>
      </c>
    </row>
    <row r="388" spans="1:6" x14ac:dyDescent="0.35">
      <c r="A388">
        <v>4643</v>
      </c>
      <c r="B388">
        <v>2024</v>
      </c>
      <c r="C388">
        <v>49</v>
      </c>
      <c r="D388" t="s">
        <v>150</v>
      </c>
      <c r="E388" s="75">
        <v>45623</v>
      </c>
      <c r="F388" s="75">
        <v>45629</v>
      </c>
    </row>
    <row r="389" spans="1:6" x14ac:dyDescent="0.35">
      <c r="A389">
        <v>4644</v>
      </c>
      <c r="B389">
        <v>2024</v>
      </c>
      <c r="C389">
        <v>49</v>
      </c>
      <c r="D389" t="s">
        <v>150</v>
      </c>
      <c r="E389" s="75">
        <v>45623</v>
      </c>
      <c r="F389" s="75">
        <v>45629</v>
      </c>
    </row>
    <row r="390" spans="1:6" x14ac:dyDescent="0.35">
      <c r="A390">
        <v>4645</v>
      </c>
      <c r="B390">
        <v>2024</v>
      </c>
      <c r="C390">
        <v>49</v>
      </c>
      <c r="D390" t="s">
        <v>150</v>
      </c>
      <c r="E390" s="75">
        <v>45623</v>
      </c>
      <c r="F390" s="75">
        <v>45629</v>
      </c>
    </row>
    <row r="391" spans="1:6" x14ac:dyDescent="0.35">
      <c r="A391">
        <v>4646</v>
      </c>
      <c r="B391">
        <v>2024</v>
      </c>
      <c r="C391">
        <v>49</v>
      </c>
      <c r="D391" t="s">
        <v>150</v>
      </c>
      <c r="E391" s="75">
        <v>45623</v>
      </c>
      <c r="F391" s="75">
        <v>45629</v>
      </c>
    </row>
    <row r="392" spans="1:6" x14ac:dyDescent="0.35">
      <c r="A392">
        <v>4647</v>
      </c>
      <c r="B392">
        <v>2024</v>
      </c>
      <c r="C392">
        <v>49</v>
      </c>
      <c r="D392" t="s">
        <v>150</v>
      </c>
      <c r="E392" s="75">
        <v>45623</v>
      </c>
      <c r="F392" s="75">
        <v>45629</v>
      </c>
    </row>
    <row r="393" spans="1:6" x14ac:dyDescent="0.35">
      <c r="A393">
        <v>4648</v>
      </c>
      <c r="B393">
        <v>2024</v>
      </c>
      <c r="C393">
        <v>49</v>
      </c>
      <c r="D393" t="s">
        <v>150</v>
      </c>
      <c r="E393" s="75">
        <v>45623</v>
      </c>
      <c r="F393" s="75">
        <v>45629</v>
      </c>
    </row>
    <row r="394" spans="1:6" x14ac:dyDescent="0.35">
      <c r="A394">
        <v>4649</v>
      </c>
      <c r="B394">
        <v>2024</v>
      </c>
      <c r="C394">
        <v>49</v>
      </c>
      <c r="D394" t="s">
        <v>150</v>
      </c>
      <c r="E394" s="75">
        <v>45623</v>
      </c>
      <c r="F394" s="75">
        <v>45629</v>
      </c>
    </row>
    <row r="395" spans="1:6" x14ac:dyDescent="0.35">
      <c r="A395">
        <v>4650</v>
      </c>
      <c r="B395">
        <v>2024</v>
      </c>
      <c r="C395">
        <v>49</v>
      </c>
      <c r="D395" t="s">
        <v>150</v>
      </c>
      <c r="E395" s="75">
        <v>45623</v>
      </c>
      <c r="F395" s="75">
        <v>45629</v>
      </c>
    </row>
    <row r="396" spans="1:6" x14ac:dyDescent="0.35">
      <c r="A396">
        <v>4651</v>
      </c>
      <c r="B396">
        <v>2024</v>
      </c>
      <c r="C396">
        <v>49</v>
      </c>
      <c r="D396" t="s">
        <v>150</v>
      </c>
      <c r="E396" s="75">
        <v>45623</v>
      </c>
      <c r="F396" s="75">
        <v>45629</v>
      </c>
    </row>
    <row r="397" spans="1:6" x14ac:dyDescent="0.35">
      <c r="A397">
        <v>4652</v>
      </c>
      <c r="B397">
        <v>2024</v>
      </c>
      <c r="C397">
        <v>49</v>
      </c>
      <c r="D397" t="s">
        <v>150</v>
      </c>
      <c r="E397" s="75">
        <v>45623</v>
      </c>
      <c r="F397" s="75">
        <v>45629</v>
      </c>
    </row>
    <row r="398" spans="1:6" x14ac:dyDescent="0.35">
      <c r="A398">
        <v>4653</v>
      </c>
      <c r="B398">
        <v>2024</v>
      </c>
      <c r="C398">
        <v>49</v>
      </c>
      <c r="D398" t="s">
        <v>150</v>
      </c>
      <c r="E398" s="75">
        <v>45623</v>
      </c>
      <c r="F398" s="75">
        <v>45629</v>
      </c>
    </row>
    <row r="399" spans="1:6" x14ac:dyDescent="0.35">
      <c r="A399">
        <v>4654</v>
      </c>
      <c r="B399">
        <v>2024</v>
      </c>
      <c r="C399">
        <v>49</v>
      </c>
      <c r="D399" t="s">
        <v>150</v>
      </c>
      <c r="E399" s="75">
        <v>45623</v>
      </c>
      <c r="F399" s="75">
        <v>45629</v>
      </c>
    </row>
    <row r="400" spans="1:6" x14ac:dyDescent="0.35">
      <c r="A400">
        <v>4655</v>
      </c>
      <c r="B400">
        <v>2024</v>
      </c>
      <c r="C400">
        <v>49</v>
      </c>
      <c r="D400" t="s">
        <v>150</v>
      </c>
      <c r="E400" s="75">
        <v>45623</v>
      </c>
      <c r="F400" s="75">
        <v>45629</v>
      </c>
    </row>
    <row r="401" spans="1:6" x14ac:dyDescent="0.35">
      <c r="A401">
        <v>4656</v>
      </c>
      <c r="B401">
        <v>2024</v>
      </c>
      <c r="C401">
        <v>50</v>
      </c>
      <c r="D401" t="s">
        <v>151</v>
      </c>
      <c r="E401" s="75">
        <v>45630</v>
      </c>
      <c r="F401" s="75">
        <v>45636</v>
      </c>
    </row>
    <row r="402" spans="1:6" x14ac:dyDescent="0.35">
      <c r="A402">
        <v>4657</v>
      </c>
      <c r="B402">
        <v>2024</v>
      </c>
      <c r="C402">
        <v>50</v>
      </c>
      <c r="D402" t="s">
        <v>151</v>
      </c>
      <c r="E402" s="75">
        <v>45630</v>
      </c>
      <c r="F402" s="75">
        <v>45636</v>
      </c>
    </row>
    <row r="403" spans="1:6" x14ac:dyDescent="0.35">
      <c r="A403">
        <v>4658</v>
      </c>
      <c r="B403">
        <v>2024</v>
      </c>
      <c r="C403">
        <v>50</v>
      </c>
      <c r="D403" t="s">
        <v>151</v>
      </c>
      <c r="E403" s="75">
        <v>45630</v>
      </c>
      <c r="F403" s="75">
        <v>45636</v>
      </c>
    </row>
    <row r="404" spans="1:6" x14ac:dyDescent="0.35">
      <c r="A404">
        <v>4659</v>
      </c>
      <c r="B404">
        <v>2024</v>
      </c>
      <c r="C404">
        <v>50</v>
      </c>
      <c r="D404" t="s">
        <v>151</v>
      </c>
      <c r="E404" s="75">
        <v>45630</v>
      </c>
      <c r="F404" s="75">
        <v>45636</v>
      </c>
    </row>
    <row r="405" spans="1:6" x14ac:dyDescent="0.35">
      <c r="A405">
        <v>4660</v>
      </c>
      <c r="B405">
        <v>2024</v>
      </c>
      <c r="C405">
        <v>50</v>
      </c>
      <c r="D405" t="s">
        <v>151</v>
      </c>
      <c r="E405" s="75">
        <v>45630</v>
      </c>
      <c r="F405" s="75">
        <v>45636</v>
      </c>
    </row>
    <row r="406" spans="1:6" x14ac:dyDescent="0.35">
      <c r="A406">
        <v>4661</v>
      </c>
      <c r="B406">
        <v>2024</v>
      </c>
      <c r="C406">
        <v>50</v>
      </c>
      <c r="D406" t="s">
        <v>151</v>
      </c>
      <c r="E406" s="75">
        <v>45630</v>
      </c>
      <c r="F406" s="75">
        <v>45636</v>
      </c>
    </row>
    <row r="407" spans="1:6" x14ac:dyDescent="0.35">
      <c r="A407">
        <v>4662</v>
      </c>
      <c r="B407">
        <v>2024</v>
      </c>
      <c r="C407">
        <v>50</v>
      </c>
      <c r="D407" t="s">
        <v>151</v>
      </c>
      <c r="E407" s="75">
        <v>45630</v>
      </c>
      <c r="F407" s="75">
        <v>45636</v>
      </c>
    </row>
    <row r="408" spans="1:6" x14ac:dyDescent="0.35">
      <c r="A408">
        <v>4663</v>
      </c>
      <c r="B408">
        <v>2024</v>
      </c>
      <c r="C408">
        <v>50</v>
      </c>
      <c r="D408" t="s">
        <v>151</v>
      </c>
      <c r="E408" s="75">
        <v>45630</v>
      </c>
      <c r="F408" s="75">
        <v>45636</v>
      </c>
    </row>
    <row r="409" spans="1:6" x14ac:dyDescent="0.35">
      <c r="A409">
        <v>4664</v>
      </c>
      <c r="B409">
        <v>2024</v>
      </c>
      <c r="C409">
        <v>50</v>
      </c>
      <c r="D409" t="s">
        <v>151</v>
      </c>
      <c r="E409" s="75">
        <v>45630</v>
      </c>
      <c r="F409" s="75">
        <v>45636</v>
      </c>
    </row>
    <row r="410" spans="1:6" x14ac:dyDescent="0.35">
      <c r="A410">
        <v>4665</v>
      </c>
      <c r="B410">
        <v>2024</v>
      </c>
      <c r="C410">
        <v>50</v>
      </c>
      <c r="D410" t="s">
        <v>151</v>
      </c>
      <c r="E410" s="75">
        <v>45630</v>
      </c>
      <c r="F410" s="75">
        <v>45636</v>
      </c>
    </row>
    <row r="411" spans="1:6" x14ac:dyDescent="0.35">
      <c r="A411">
        <v>4666</v>
      </c>
      <c r="B411">
        <v>2024</v>
      </c>
      <c r="C411">
        <v>50</v>
      </c>
      <c r="D411" t="s">
        <v>151</v>
      </c>
      <c r="E411" s="75">
        <v>45630</v>
      </c>
      <c r="F411" s="75">
        <v>45636</v>
      </c>
    </row>
    <row r="412" spans="1:6" x14ac:dyDescent="0.35">
      <c r="A412">
        <v>4667</v>
      </c>
      <c r="B412">
        <v>2024</v>
      </c>
      <c r="C412">
        <v>50</v>
      </c>
      <c r="D412" t="s">
        <v>151</v>
      </c>
      <c r="E412" s="75">
        <v>45630</v>
      </c>
      <c r="F412" s="75">
        <v>45636</v>
      </c>
    </row>
    <row r="413" spans="1:6" x14ac:dyDescent="0.35">
      <c r="A413">
        <v>4668</v>
      </c>
      <c r="B413">
        <v>2024</v>
      </c>
      <c r="C413">
        <v>50</v>
      </c>
      <c r="D413" t="s">
        <v>151</v>
      </c>
      <c r="E413" s="75">
        <v>45630</v>
      </c>
      <c r="F413" s="75">
        <v>45636</v>
      </c>
    </row>
    <row r="414" spans="1:6" x14ac:dyDescent="0.35">
      <c r="A414">
        <v>4669</v>
      </c>
      <c r="B414">
        <v>2024</v>
      </c>
      <c r="C414">
        <v>50</v>
      </c>
      <c r="D414" t="s">
        <v>151</v>
      </c>
      <c r="E414" s="75">
        <v>45630</v>
      </c>
      <c r="F414" s="75">
        <v>45636</v>
      </c>
    </row>
    <row r="415" spans="1:6" x14ac:dyDescent="0.35">
      <c r="A415">
        <v>4670</v>
      </c>
      <c r="B415">
        <v>2024</v>
      </c>
      <c r="C415">
        <v>50</v>
      </c>
      <c r="D415" t="s">
        <v>151</v>
      </c>
      <c r="E415" s="75">
        <v>45630</v>
      </c>
      <c r="F415" s="75">
        <v>45636</v>
      </c>
    </row>
    <row r="416" spans="1:6" x14ac:dyDescent="0.35">
      <c r="A416">
        <v>4671</v>
      </c>
      <c r="B416">
        <v>2024</v>
      </c>
      <c r="C416">
        <v>50</v>
      </c>
      <c r="D416" t="s">
        <v>151</v>
      </c>
      <c r="E416" s="75">
        <v>45630</v>
      </c>
      <c r="F416" s="75">
        <v>45636</v>
      </c>
    </row>
    <row r="417" spans="1:6" x14ac:dyDescent="0.35">
      <c r="A417">
        <v>4672</v>
      </c>
      <c r="B417">
        <v>2024</v>
      </c>
      <c r="C417">
        <v>50</v>
      </c>
      <c r="D417" t="s">
        <v>151</v>
      </c>
      <c r="E417" s="75">
        <v>45630</v>
      </c>
      <c r="F417" s="75">
        <v>45636</v>
      </c>
    </row>
    <row r="418" spans="1:6" x14ac:dyDescent="0.35">
      <c r="A418">
        <v>4673</v>
      </c>
      <c r="B418">
        <v>2024</v>
      </c>
      <c r="C418">
        <v>50</v>
      </c>
      <c r="D418" t="s">
        <v>151</v>
      </c>
      <c r="E418" s="75">
        <v>45630</v>
      </c>
      <c r="F418" s="75">
        <v>45636</v>
      </c>
    </row>
    <row r="419" spans="1:6" x14ac:dyDescent="0.35">
      <c r="A419">
        <v>4674</v>
      </c>
      <c r="B419">
        <v>2024</v>
      </c>
      <c r="C419">
        <v>50</v>
      </c>
      <c r="D419" t="s">
        <v>151</v>
      </c>
      <c r="E419" s="75">
        <v>45630</v>
      </c>
      <c r="F419" s="75">
        <v>45636</v>
      </c>
    </row>
    <row r="420" spans="1:6" x14ac:dyDescent="0.35">
      <c r="A420">
        <v>4675</v>
      </c>
      <c r="B420">
        <v>2024</v>
      </c>
      <c r="C420">
        <v>50</v>
      </c>
      <c r="D420" t="s">
        <v>151</v>
      </c>
      <c r="E420" s="75">
        <v>45630</v>
      </c>
      <c r="F420" s="75">
        <v>45636</v>
      </c>
    </row>
    <row r="421" spans="1:6" x14ac:dyDescent="0.35">
      <c r="A421">
        <v>4676</v>
      </c>
      <c r="B421">
        <v>2024</v>
      </c>
      <c r="C421">
        <v>50</v>
      </c>
      <c r="D421" t="s">
        <v>151</v>
      </c>
      <c r="E421" s="75">
        <v>45630</v>
      </c>
      <c r="F421" s="75">
        <v>45636</v>
      </c>
    </row>
    <row r="422" spans="1:6" x14ac:dyDescent="0.35">
      <c r="A422">
        <v>4677</v>
      </c>
      <c r="B422">
        <v>2024</v>
      </c>
      <c r="C422">
        <v>50</v>
      </c>
      <c r="D422" t="s">
        <v>151</v>
      </c>
      <c r="E422" s="75">
        <v>45630</v>
      </c>
      <c r="F422" s="75">
        <v>45636</v>
      </c>
    </row>
    <row r="423" spans="1:6" x14ac:dyDescent="0.35">
      <c r="A423">
        <v>4678</v>
      </c>
      <c r="B423">
        <v>2024</v>
      </c>
      <c r="C423">
        <v>50</v>
      </c>
      <c r="D423" t="s">
        <v>151</v>
      </c>
      <c r="E423" s="75">
        <v>45630</v>
      </c>
      <c r="F423" s="75">
        <v>45636</v>
      </c>
    </row>
    <row r="424" spans="1:6" x14ac:dyDescent="0.35">
      <c r="A424">
        <v>4679</v>
      </c>
      <c r="B424">
        <v>2024</v>
      </c>
      <c r="C424">
        <v>50</v>
      </c>
      <c r="D424" t="s">
        <v>151</v>
      </c>
      <c r="E424" s="75">
        <v>45630</v>
      </c>
      <c r="F424" s="75">
        <v>45636</v>
      </c>
    </row>
    <row r="425" spans="1:6" x14ac:dyDescent="0.35">
      <c r="A425">
        <v>4680</v>
      </c>
      <c r="B425">
        <v>2024</v>
      </c>
      <c r="C425">
        <v>50</v>
      </c>
      <c r="D425" t="s">
        <v>151</v>
      </c>
      <c r="E425" s="75">
        <v>45630</v>
      </c>
      <c r="F425" s="75">
        <v>45636</v>
      </c>
    </row>
    <row r="426" spans="1:6" x14ac:dyDescent="0.35">
      <c r="A426">
        <v>4681</v>
      </c>
      <c r="B426">
        <v>2024</v>
      </c>
      <c r="C426">
        <v>50</v>
      </c>
      <c r="D426" t="s">
        <v>151</v>
      </c>
      <c r="E426" s="75">
        <v>45630</v>
      </c>
      <c r="F426" s="75">
        <v>45636</v>
      </c>
    </row>
    <row r="427" spans="1:6" x14ac:dyDescent="0.35">
      <c r="A427">
        <v>4682</v>
      </c>
      <c r="B427">
        <v>2024</v>
      </c>
      <c r="C427">
        <v>50</v>
      </c>
      <c r="D427" t="s">
        <v>151</v>
      </c>
      <c r="E427" s="75">
        <v>45630</v>
      </c>
      <c r="F427" s="75">
        <v>45636</v>
      </c>
    </row>
    <row r="428" spans="1:6" x14ac:dyDescent="0.35">
      <c r="A428">
        <v>4683</v>
      </c>
      <c r="B428">
        <v>2024</v>
      </c>
      <c r="C428">
        <v>50</v>
      </c>
      <c r="D428" t="s">
        <v>151</v>
      </c>
      <c r="E428" s="75">
        <v>45630</v>
      </c>
      <c r="F428" s="75">
        <v>45636</v>
      </c>
    </row>
    <row r="429" spans="1:6" x14ac:dyDescent="0.35">
      <c r="A429">
        <v>4684</v>
      </c>
      <c r="B429">
        <v>2024</v>
      </c>
      <c r="C429">
        <v>50</v>
      </c>
      <c r="D429" t="s">
        <v>151</v>
      </c>
      <c r="E429" s="75">
        <v>45630</v>
      </c>
      <c r="F429" s="75">
        <v>45636</v>
      </c>
    </row>
    <row r="430" spans="1:6" x14ac:dyDescent="0.35">
      <c r="A430">
        <v>4685</v>
      </c>
      <c r="B430">
        <v>2024</v>
      </c>
      <c r="C430">
        <v>50</v>
      </c>
      <c r="D430" t="s">
        <v>151</v>
      </c>
      <c r="E430" s="75">
        <v>45630</v>
      </c>
      <c r="F430" s="75">
        <v>45636</v>
      </c>
    </row>
    <row r="431" spans="1:6" x14ac:dyDescent="0.35">
      <c r="A431">
        <v>4686</v>
      </c>
      <c r="B431">
        <v>2024</v>
      </c>
      <c r="C431">
        <v>50</v>
      </c>
      <c r="D431" t="s">
        <v>151</v>
      </c>
      <c r="E431" s="75">
        <v>45630</v>
      </c>
      <c r="F431" s="75">
        <v>45636</v>
      </c>
    </row>
    <row r="432" spans="1:6" x14ac:dyDescent="0.35">
      <c r="A432">
        <v>4687</v>
      </c>
      <c r="B432">
        <v>2024</v>
      </c>
      <c r="C432">
        <v>50</v>
      </c>
      <c r="D432" t="s">
        <v>151</v>
      </c>
      <c r="E432" s="75">
        <v>45630</v>
      </c>
      <c r="F432" s="75">
        <v>45636</v>
      </c>
    </row>
    <row r="433" spans="1:6" x14ac:dyDescent="0.35">
      <c r="A433">
        <v>4688</v>
      </c>
      <c r="B433">
        <v>2024</v>
      </c>
      <c r="C433">
        <v>50</v>
      </c>
      <c r="D433" t="s">
        <v>151</v>
      </c>
      <c r="E433" s="75">
        <v>45630</v>
      </c>
      <c r="F433" s="75">
        <v>45636</v>
      </c>
    </row>
    <row r="434" spans="1:6" x14ac:dyDescent="0.35">
      <c r="A434">
        <v>4689</v>
      </c>
      <c r="B434">
        <v>2024</v>
      </c>
      <c r="C434">
        <v>51</v>
      </c>
      <c r="D434" t="s">
        <v>152</v>
      </c>
      <c r="E434" s="75">
        <v>45637</v>
      </c>
      <c r="F434" s="75">
        <v>45643</v>
      </c>
    </row>
    <row r="435" spans="1:6" x14ac:dyDescent="0.35">
      <c r="A435">
        <v>4690</v>
      </c>
      <c r="B435">
        <v>2024</v>
      </c>
      <c r="C435">
        <v>51</v>
      </c>
      <c r="D435" t="s">
        <v>152</v>
      </c>
      <c r="E435" s="75">
        <v>45637</v>
      </c>
      <c r="F435" s="75">
        <v>45643</v>
      </c>
    </row>
    <row r="436" spans="1:6" x14ac:dyDescent="0.35">
      <c r="A436">
        <v>4691</v>
      </c>
      <c r="B436">
        <v>2024</v>
      </c>
      <c r="C436">
        <v>51</v>
      </c>
      <c r="D436" t="s">
        <v>152</v>
      </c>
      <c r="E436" s="75">
        <v>45637</v>
      </c>
      <c r="F436" s="75">
        <v>45643</v>
      </c>
    </row>
    <row r="437" spans="1:6" x14ac:dyDescent="0.35">
      <c r="A437">
        <v>4692</v>
      </c>
      <c r="B437">
        <v>2024</v>
      </c>
      <c r="C437">
        <v>51</v>
      </c>
      <c r="D437" t="s">
        <v>152</v>
      </c>
      <c r="E437" s="75">
        <v>45637</v>
      </c>
      <c r="F437" s="75">
        <v>45643</v>
      </c>
    </row>
    <row r="438" spans="1:6" x14ac:dyDescent="0.35">
      <c r="A438">
        <v>4693</v>
      </c>
      <c r="B438">
        <v>2024</v>
      </c>
      <c r="C438">
        <v>51</v>
      </c>
      <c r="D438" t="s">
        <v>152</v>
      </c>
      <c r="E438" s="75">
        <v>45637</v>
      </c>
      <c r="F438" s="75">
        <v>45643</v>
      </c>
    </row>
    <row r="439" spans="1:6" x14ac:dyDescent="0.35">
      <c r="A439">
        <v>4694</v>
      </c>
      <c r="B439">
        <v>2024</v>
      </c>
      <c r="C439">
        <v>51</v>
      </c>
      <c r="D439" t="s">
        <v>152</v>
      </c>
      <c r="E439" s="75">
        <v>45637</v>
      </c>
      <c r="F439" s="75">
        <v>45643</v>
      </c>
    </row>
    <row r="440" spans="1:6" x14ac:dyDescent="0.35">
      <c r="A440">
        <v>4695</v>
      </c>
      <c r="B440">
        <v>2024</v>
      </c>
      <c r="C440">
        <v>51</v>
      </c>
      <c r="D440" t="s">
        <v>152</v>
      </c>
      <c r="E440" s="75">
        <v>45637</v>
      </c>
      <c r="F440" s="75">
        <v>45643</v>
      </c>
    </row>
    <row r="441" spans="1:6" x14ac:dyDescent="0.35">
      <c r="A441">
        <v>4696</v>
      </c>
      <c r="B441">
        <v>2024</v>
      </c>
      <c r="C441">
        <v>51</v>
      </c>
      <c r="D441" t="s">
        <v>152</v>
      </c>
      <c r="E441" s="75">
        <v>45637</v>
      </c>
      <c r="F441" s="75">
        <v>45643</v>
      </c>
    </row>
    <row r="442" spans="1:6" x14ac:dyDescent="0.35">
      <c r="A442">
        <v>4697</v>
      </c>
      <c r="B442">
        <v>2024</v>
      </c>
      <c r="C442">
        <v>51</v>
      </c>
      <c r="D442" t="s">
        <v>152</v>
      </c>
      <c r="E442" s="75">
        <v>45637</v>
      </c>
      <c r="F442" s="75">
        <v>45643</v>
      </c>
    </row>
    <row r="443" spans="1:6" x14ac:dyDescent="0.35">
      <c r="A443">
        <v>4698</v>
      </c>
      <c r="B443">
        <v>2024</v>
      </c>
      <c r="C443">
        <v>51</v>
      </c>
      <c r="D443" t="s">
        <v>152</v>
      </c>
      <c r="E443" s="75">
        <v>45637</v>
      </c>
      <c r="F443" s="75">
        <v>45643</v>
      </c>
    </row>
    <row r="444" spans="1:6" x14ac:dyDescent="0.35">
      <c r="A444">
        <v>4699</v>
      </c>
      <c r="B444">
        <v>2024</v>
      </c>
      <c r="C444">
        <v>51</v>
      </c>
      <c r="D444" t="s">
        <v>152</v>
      </c>
      <c r="E444" s="75">
        <v>45637</v>
      </c>
      <c r="F444" s="75">
        <v>45643</v>
      </c>
    </row>
    <row r="445" spans="1:6" x14ac:dyDescent="0.35">
      <c r="A445">
        <v>4700</v>
      </c>
      <c r="B445">
        <v>2024</v>
      </c>
      <c r="C445">
        <v>51</v>
      </c>
      <c r="D445" t="s">
        <v>152</v>
      </c>
      <c r="E445" s="75">
        <v>45637</v>
      </c>
      <c r="F445" s="75">
        <v>45643</v>
      </c>
    </row>
    <row r="446" spans="1:6" x14ac:dyDescent="0.35">
      <c r="A446">
        <v>4701</v>
      </c>
      <c r="B446">
        <v>2024</v>
      </c>
      <c r="C446">
        <v>51</v>
      </c>
      <c r="D446" t="s">
        <v>152</v>
      </c>
      <c r="E446" s="75">
        <v>45637</v>
      </c>
      <c r="F446" s="75">
        <v>45643</v>
      </c>
    </row>
    <row r="447" spans="1:6" x14ac:dyDescent="0.35">
      <c r="A447">
        <v>4702</v>
      </c>
      <c r="B447">
        <v>2024</v>
      </c>
      <c r="C447">
        <v>51</v>
      </c>
      <c r="D447" t="s">
        <v>152</v>
      </c>
      <c r="E447" s="75">
        <v>45637</v>
      </c>
      <c r="F447" s="75">
        <v>45643</v>
      </c>
    </row>
    <row r="448" spans="1:6" x14ac:dyDescent="0.35">
      <c r="A448">
        <v>4703</v>
      </c>
      <c r="B448">
        <v>2024</v>
      </c>
      <c r="C448">
        <v>51</v>
      </c>
      <c r="D448" t="s">
        <v>152</v>
      </c>
      <c r="E448" s="75">
        <v>45637</v>
      </c>
      <c r="F448" s="75">
        <v>45643</v>
      </c>
    </row>
    <row r="449" spans="1:6" x14ac:dyDescent="0.35">
      <c r="A449">
        <v>4704</v>
      </c>
      <c r="B449">
        <v>2024</v>
      </c>
      <c r="C449">
        <v>51</v>
      </c>
      <c r="D449" t="s">
        <v>152</v>
      </c>
      <c r="E449" s="75">
        <v>45637</v>
      </c>
      <c r="F449" s="75">
        <v>45643</v>
      </c>
    </row>
    <row r="450" spans="1:6" x14ac:dyDescent="0.35">
      <c r="A450">
        <v>4705</v>
      </c>
      <c r="B450">
        <v>2024</v>
      </c>
      <c r="C450">
        <v>51</v>
      </c>
      <c r="D450" t="s">
        <v>152</v>
      </c>
      <c r="E450" s="75">
        <v>45637</v>
      </c>
      <c r="F450" s="75">
        <v>45643</v>
      </c>
    </row>
    <row r="451" spans="1:6" x14ac:dyDescent="0.35">
      <c r="A451">
        <v>4706</v>
      </c>
      <c r="B451">
        <v>2024</v>
      </c>
      <c r="C451">
        <v>51</v>
      </c>
      <c r="D451" t="s">
        <v>152</v>
      </c>
      <c r="E451" s="75">
        <v>45637</v>
      </c>
      <c r="F451" s="75">
        <v>45643</v>
      </c>
    </row>
    <row r="452" spans="1:6" x14ac:dyDescent="0.35">
      <c r="A452">
        <v>4707</v>
      </c>
      <c r="B452">
        <v>2024</v>
      </c>
      <c r="C452">
        <v>51</v>
      </c>
      <c r="D452" t="s">
        <v>152</v>
      </c>
      <c r="E452" s="75">
        <v>45637</v>
      </c>
      <c r="F452" s="75">
        <v>45643</v>
      </c>
    </row>
    <row r="453" spans="1:6" x14ac:dyDescent="0.35">
      <c r="A453">
        <v>4708</v>
      </c>
      <c r="B453">
        <v>2024</v>
      </c>
      <c r="C453">
        <v>51</v>
      </c>
      <c r="D453" t="s">
        <v>152</v>
      </c>
      <c r="E453" s="75">
        <v>45637</v>
      </c>
      <c r="F453" s="75">
        <v>45643</v>
      </c>
    </row>
    <row r="454" spans="1:6" x14ac:dyDescent="0.35">
      <c r="A454">
        <v>4709</v>
      </c>
      <c r="B454">
        <v>2024</v>
      </c>
      <c r="C454">
        <v>51</v>
      </c>
      <c r="D454" t="s">
        <v>152</v>
      </c>
      <c r="E454" s="75">
        <v>45637</v>
      </c>
      <c r="F454" s="75">
        <v>45643</v>
      </c>
    </row>
    <row r="455" spans="1:6" x14ac:dyDescent="0.35">
      <c r="A455">
        <v>4710</v>
      </c>
      <c r="B455">
        <v>2024</v>
      </c>
      <c r="C455">
        <v>51</v>
      </c>
      <c r="D455" t="s">
        <v>152</v>
      </c>
      <c r="E455" s="75">
        <v>45637</v>
      </c>
      <c r="F455" s="75">
        <v>45643</v>
      </c>
    </row>
    <row r="456" spans="1:6" x14ac:dyDescent="0.35">
      <c r="A456">
        <v>4711</v>
      </c>
      <c r="B456">
        <v>2024</v>
      </c>
      <c r="C456">
        <v>51</v>
      </c>
      <c r="D456" t="s">
        <v>152</v>
      </c>
      <c r="E456" s="75">
        <v>45637</v>
      </c>
      <c r="F456" s="75">
        <v>45643</v>
      </c>
    </row>
    <row r="457" spans="1:6" x14ac:dyDescent="0.35">
      <c r="A457">
        <v>4712</v>
      </c>
      <c r="B457">
        <v>2024</v>
      </c>
      <c r="C457">
        <v>51</v>
      </c>
      <c r="D457" t="s">
        <v>152</v>
      </c>
      <c r="E457" s="75">
        <v>45637</v>
      </c>
      <c r="F457" s="75">
        <v>45643</v>
      </c>
    </row>
    <row r="458" spans="1:6" x14ac:dyDescent="0.35">
      <c r="A458">
        <v>4713</v>
      </c>
      <c r="B458">
        <v>2024</v>
      </c>
      <c r="C458">
        <v>51</v>
      </c>
      <c r="D458" t="s">
        <v>152</v>
      </c>
      <c r="E458" s="75">
        <v>45637</v>
      </c>
      <c r="F458" s="75">
        <v>45643</v>
      </c>
    </row>
    <row r="459" spans="1:6" x14ac:dyDescent="0.35">
      <c r="A459">
        <v>4714</v>
      </c>
      <c r="B459">
        <v>2024</v>
      </c>
      <c r="C459">
        <v>51</v>
      </c>
      <c r="D459" t="s">
        <v>152</v>
      </c>
      <c r="E459" s="75">
        <v>45637</v>
      </c>
      <c r="F459" s="75">
        <v>45643</v>
      </c>
    </row>
    <row r="460" spans="1:6" x14ac:dyDescent="0.35">
      <c r="A460">
        <v>4715</v>
      </c>
      <c r="B460">
        <v>2024</v>
      </c>
      <c r="C460">
        <v>51</v>
      </c>
      <c r="D460" t="s">
        <v>152</v>
      </c>
      <c r="E460" s="75">
        <v>45637</v>
      </c>
      <c r="F460" s="75">
        <v>45643</v>
      </c>
    </row>
    <row r="461" spans="1:6" x14ac:dyDescent="0.35">
      <c r="A461">
        <v>4716</v>
      </c>
      <c r="B461">
        <v>2024</v>
      </c>
      <c r="C461">
        <v>51</v>
      </c>
      <c r="D461" t="s">
        <v>152</v>
      </c>
      <c r="E461" s="75">
        <v>45637</v>
      </c>
      <c r="F461" s="75">
        <v>45643</v>
      </c>
    </row>
    <row r="462" spans="1:6" x14ac:dyDescent="0.35">
      <c r="A462">
        <v>4717</v>
      </c>
      <c r="B462">
        <v>2024</v>
      </c>
      <c r="C462">
        <v>51</v>
      </c>
      <c r="D462" t="s">
        <v>152</v>
      </c>
      <c r="E462" s="75">
        <v>45637</v>
      </c>
      <c r="F462" s="75">
        <v>45643</v>
      </c>
    </row>
    <row r="463" spans="1:6" x14ac:dyDescent="0.35">
      <c r="A463">
        <v>4718</v>
      </c>
      <c r="B463">
        <v>2024</v>
      </c>
      <c r="C463">
        <v>51</v>
      </c>
      <c r="D463" t="s">
        <v>152</v>
      </c>
      <c r="E463" s="75">
        <v>45637</v>
      </c>
      <c r="F463" s="75">
        <v>45643</v>
      </c>
    </row>
    <row r="464" spans="1:6" x14ac:dyDescent="0.35">
      <c r="A464">
        <v>4719</v>
      </c>
      <c r="B464">
        <v>2024</v>
      </c>
      <c r="C464">
        <v>51</v>
      </c>
      <c r="D464" t="s">
        <v>152</v>
      </c>
      <c r="E464" s="75">
        <v>45637</v>
      </c>
      <c r="F464" s="75">
        <v>45643</v>
      </c>
    </row>
    <row r="465" spans="1:6" x14ac:dyDescent="0.35">
      <c r="A465">
        <v>4720</v>
      </c>
      <c r="B465">
        <v>2024</v>
      </c>
      <c r="C465">
        <v>51</v>
      </c>
      <c r="D465" t="s">
        <v>152</v>
      </c>
      <c r="E465" s="75">
        <v>45637</v>
      </c>
      <c r="F465" s="75">
        <v>45643</v>
      </c>
    </row>
    <row r="466" spans="1:6" x14ac:dyDescent="0.35">
      <c r="A466">
        <v>4721</v>
      </c>
      <c r="B466">
        <v>2024</v>
      </c>
      <c r="C466">
        <v>51</v>
      </c>
      <c r="D466" t="s">
        <v>152</v>
      </c>
      <c r="E466" s="75">
        <v>45637</v>
      </c>
      <c r="F466" s="75">
        <v>45643</v>
      </c>
    </row>
    <row r="467" spans="1:6" x14ac:dyDescent="0.35">
      <c r="A467">
        <v>4722</v>
      </c>
      <c r="B467">
        <v>2024</v>
      </c>
      <c r="C467">
        <v>51</v>
      </c>
      <c r="D467" t="s">
        <v>152</v>
      </c>
      <c r="E467" s="75">
        <v>45637</v>
      </c>
      <c r="F467" s="75">
        <v>45643</v>
      </c>
    </row>
    <row r="468" spans="1:6" x14ac:dyDescent="0.35">
      <c r="A468">
        <v>4723</v>
      </c>
      <c r="B468">
        <v>2024</v>
      </c>
      <c r="C468">
        <v>51</v>
      </c>
      <c r="D468" t="s">
        <v>152</v>
      </c>
      <c r="E468" s="75">
        <v>45637</v>
      </c>
      <c r="F468" s="75">
        <v>45643</v>
      </c>
    </row>
    <row r="469" spans="1:6" x14ac:dyDescent="0.35">
      <c r="A469">
        <v>4724</v>
      </c>
      <c r="B469">
        <v>2024</v>
      </c>
      <c r="C469">
        <v>51</v>
      </c>
      <c r="D469" t="s">
        <v>152</v>
      </c>
      <c r="E469" s="75">
        <v>45637</v>
      </c>
      <c r="F469" s="75">
        <v>45643</v>
      </c>
    </row>
    <row r="470" spans="1:6" x14ac:dyDescent="0.35">
      <c r="A470">
        <v>4725</v>
      </c>
      <c r="B470">
        <v>2024</v>
      </c>
      <c r="C470">
        <v>51</v>
      </c>
      <c r="D470" t="s">
        <v>152</v>
      </c>
      <c r="E470" s="75">
        <v>45637</v>
      </c>
      <c r="F470" s="75">
        <v>45643</v>
      </c>
    </row>
    <row r="471" spans="1:6" x14ac:dyDescent="0.35">
      <c r="A471">
        <v>4726</v>
      </c>
      <c r="B471">
        <v>2024</v>
      </c>
      <c r="C471">
        <v>51</v>
      </c>
      <c r="D471" t="s">
        <v>152</v>
      </c>
      <c r="E471" s="75">
        <v>45637</v>
      </c>
      <c r="F471" s="75">
        <v>45643</v>
      </c>
    </row>
    <row r="472" spans="1:6" x14ac:dyDescent="0.35">
      <c r="A472">
        <v>4727</v>
      </c>
      <c r="B472">
        <v>2024</v>
      </c>
      <c r="C472">
        <v>51</v>
      </c>
      <c r="D472" t="s">
        <v>152</v>
      </c>
      <c r="E472" s="75">
        <v>45637</v>
      </c>
      <c r="F472" s="75">
        <v>45643</v>
      </c>
    </row>
    <row r="473" spans="1:6" x14ac:dyDescent="0.35">
      <c r="A473">
        <v>4728</v>
      </c>
      <c r="B473">
        <v>2024</v>
      </c>
      <c r="C473">
        <v>52</v>
      </c>
      <c r="D473" t="s">
        <v>153</v>
      </c>
      <c r="E473" s="75">
        <v>45644</v>
      </c>
      <c r="F473" s="75">
        <v>45650</v>
      </c>
    </row>
    <row r="474" spans="1:6" x14ac:dyDescent="0.35">
      <c r="A474">
        <v>4729</v>
      </c>
      <c r="B474">
        <v>2024</v>
      </c>
      <c r="C474">
        <v>52</v>
      </c>
      <c r="D474" t="s">
        <v>153</v>
      </c>
      <c r="E474" s="75">
        <v>45644</v>
      </c>
      <c r="F474" s="75">
        <v>45650</v>
      </c>
    </row>
    <row r="475" spans="1:6" x14ac:dyDescent="0.35">
      <c r="A475">
        <v>4730</v>
      </c>
      <c r="B475">
        <v>2024</v>
      </c>
      <c r="C475">
        <v>52</v>
      </c>
      <c r="D475" t="s">
        <v>153</v>
      </c>
      <c r="E475" s="75">
        <v>45644</v>
      </c>
      <c r="F475" s="75">
        <v>45650</v>
      </c>
    </row>
    <row r="476" spans="1:6" x14ac:dyDescent="0.35">
      <c r="A476">
        <v>4731</v>
      </c>
      <c r="B476">
        <v>2024</v>
      </c>
      <c r="C476">
        <v>52</v>
      </c>
      <c r="D476" t="s">
        <v>153</v>
      </c>
      <c r="E476" s="75">
        <v>45644</v>
      </c>
      <c r="F476" s="75">
        <v>45650</v>
      </c>
    </row>
    <row r="477" spans="1:6" x14ac:dyDescent="0.35">
      <c r="A477">
        <v>4732</v>
      </c>
      <c r="B477">
        <v>2024</v>
      </c>
      <c r="C477">
        <v>52</v>
      </c>
      <c r="D477" t="s">
        <v>153</v>
      </c>
      <c r="E477" s="75">
        <v>45644</v>
      </c>
      <c r="F477" s="75">
        <v>45650</v>
      </c>
    </row>
    <row r="478" spans="1:6" x14ac:dyDescent="0.35">
      <c r="A478">
        <v>4733</v>
      </c>
      <c r="B478">
        <v>2024</v>
      </c>
      <c r="C478">
        <v>52</v>
      </c>
      <c r="D478" t="s">
        <v>153</v>
      </c>
      <c r="E478" s="75">
        <v>45644</v>
      </c>
      <c r="F478" s="75">
        <v>45650</v>
      </c>
    </row>
    <row r="479" spans="1:6" x14ac:dyDescent="0.35">
      <c r="A479">
        <v>4734</v>
      </c>
      <c r="B479">
        <v>2024</v>
      </c>
      <c r="C479">
        <v>52</v>
      </c>
      <c r="D479" t="s">
        <v>153</v>
      </c>
      <c r="E479" s="75">
        <v>45644</v>
      </c>
      <c r="F479" s="75">
        <v>45650</v>
      </c>
    </row>
    <row r="480" spans="1:6" x14ac:dyDescent="0.35">
      <c r="A480">
        <v>4735</v>
      </c>
      <c r="B480">
        <v>2024</v>
      </c>
      <c r="C480">
        <v>52</v>
      </c>
      <c r="D480" t="s">
        <v>153</v>
      </c>
      <c r="E480" s="75">
        <v>45644</v>
      </c>
      <c r="F480" s="75">
        <v>45650</v>
      </c>
    </row>
    <row r="481" spans="1:6" x14ac:dyDescent="0.35">
      <c r="A481">
        <v>4736</v>
      </c>
      <c r="B481">
        <v>2024</v>
      </c>
      <c r="C481">
        <v>52</v>
      </c>
      <c r="D481" t="s">
        <v>153</v>
      </c>
      <c r="E481" s="75">
        <v>45644</v>
      </c>
      <c r="F481" s="75">
        <v>45650</v>
      </c>
    </row>
    <row r="482" spans="1:6" x14ac:dyDescent="0.35">
      <c r="A482">
        <v>4737</v>
      </c>
      <c r="B482">
        <v>2024</v>
      </c>
      <c r="C482">
        <v>52</v>
      </c>
      <c r="D482" t="s">
        <v>153</v>
      </c>
      <c r="E482" s="75">
        <v>45644</v>
      </c>
      <c r="F482" s="75">
        <v>45650</v>
      </c>
    </row>
    <row r="483" spans="1:6" x14ac:dyDescent="0.35">
      <c r="A483">
        <v>4738</v>
      </c>
      <c r="B483">
        <v>2024</v>
      </c>
      <c r="C483">
        <v>52</v>
      </c>
      <c r="D483" t="s">
        <v>153</v>
      </c>
      <c r="E483" s="75">
        <v>45644</v>
      </c>
      <c r="F483" s="75">
        <v>45650</v>
      </c>
    </row>
    <row r="484" spans="1:6" x14ac:dyDescent="0.35">
      <c r="A484">
        <v>4739</v>
      </c>
      <c r="B484">
        <v>2024</v>
      </c>
      <c r="C484">
        <v>52</v>
      </c>
      <c r="D484" t="s">
        <v>153</v>
      </c>
      <c r="E484" s="75">
        <v>45644</v>
      </c>
      <c r="F484" s="75">
        <v>45650</v>
      </c>
    </row>
    <row r="485" spans="1:6" x14ac:dyDescent="0.35">
      <c r="A485">
        <v>4740</v>
      </c>
      <c r="B485">
        <v>2024</v>
      </c>
      <c r="C485">
        <v>52</v>
      </c>
      <c r="D485" t="s">
        <v>153</v>
      </c>
      <c r="E485" s="75">
        <v>45644</v>
      </c>
      <c r="F485" s="75">
        <v>45650</v>
      </c>
    </row>
    <row r="486" spans="1:6" x14ac:dyDescent="0.35">
      <c r="A486">
        <v>4741</v>
      </c>
      <c r="B486">
        <v>2024</v>
      </c>
      <c r="C486">
        <v>52</v>
      </c>
      <c r="D486" t="s">
        <v>153</v>
      </c>
      <c r="E486" s="75">
        <v>45644</v>
      </c>
      <c r="F486" s="75">
        <v>45650</v>
      </c>
    </row>
    <row r="487" spans="1:6" x14ac:dyDescent="0.35">
      <c r="A487">
        <v>4742</v>
      </c>
      <c r="B487">
        <v>2024</v>
      </c>
      <c r="C487">
        <v>52</v>
      </c>
      <c r="D487" t="s">
        <v>153</v>
      </c>
      <c r="E487" s="75">
        <v>45644</v>
      </c>
      <c r="F487" s="75">
        <v>45650</v>
      </c>
    </row>
    <row r="488" spans="1:6" x14ac:dyDescent="0.35">
      <c r="A488">
        <v>4743</v>
      </c>
      <c r="B488">
        <v>2024</v>
      </c>
      <c r="C488">
        <v>52</v>
      </c>
      <c r="D488" t="s">
        <v>153</v>
      </c>
      <c r="E488" s="75">
        <v>45644</v>
      </c>
      <c r="F488" s="75">
        <v>45650</v>
      </c>
    </row>
    <row r="489" spans="1:6" x14ac:dyDescent="0.35">
      <c r="A489">
        <v>4744</v>
      </c>
      <c r="B489">
        <v>2024</v>
      </c>
      <c r="C489">
        <v>52</v>
      </c>
      <c r="D489" t="s">
        <v>153</v>
      </c>
      <c r="E489" s="75">
        <v>45644</v>
      </c>
      <c r="F489" s="75">
        <v>45650</v>
      </c>
    </row>
    <row r="490" spans="1:6" x14ac:dyDescent="0.35">
      <c r="A490">
        <v>4745</v>
      </c>
      <c r="B490">
        <v>2024</v>
      </c>
      <c r="C490">
        <v>52</v>
      </c>
      <c r="D490" t="s">
        <v>153</v>
      </c>
      <c r="E490" s="75">
        <v>45644</v>
      </c>
      <c r="F490" s="75">
        <v>45650</v>
      </c>
    </row>
    <row r="491" spans="1:6" x14ac:dyDescent="0.35">
      <c r="A491">
        <v>4746</v>
      </c>
      <c r="B491">
        <v>2024</v>
      </c>
      <c r="C491">
        <v>52</v>
      </c>
      <c r="D491" t="s">
        <v>153</v>
      </c>
      <c r="E491" s="75">
        <v>45644</v>
      </c>
      <c r="F491" s="75">
        <v>45650</v>
      </c>
    </row>
    <row r="492" spans="1:6" x14ac:dyDescent="0.35">
      <c r="A492">
        <v>4747</v>
      </c>
      <c r="B492">
        <v>2024</v>
      </c>
      <c r="C492">
        <v>52</v>
      </c>
      <c r="D492" t="s">
        <v>153</v>
      </c>
      <c r="E492" s="75">
        <v>45644</v>
      </c>
      <c r="F492" s="75">
        <v>45650</v>
      </c>
    </row>
    <row r="493" spans="1:6" x14ac:dyDescent="0.35">
      <c r="A493">
        <v>4748</v>
      </c>
      <c r="B493">
        <v>2024</v>
      </c>
      <c r="C493">
        <v>52</v>
      </c>
      <c r="D493" t="s">
        <v>153</v>
      </c>
      <c r="E493" s="75">
        <v>45644</v>
      </c>
      <c r="F493" s="75">
        <v>45650</v>
      </c>
    </row>
    <row r="494" spans="1:6" x14ac:dyDescent="0.35">
      <c r="A494">
        <v>4749</v>
      </c>
      <c r="B494">
        <v>2024</v>
      </c>
      <c r="C494">
        <v>52</v>
      </c>
      <c r="D494" t="s">
        <v>153</v>
      </c>
      <c r="E494" s="75">
        <v>45644</v>
      </c>
      <c r="F494" s="75">
        <v>45650</v>
      </c>
    </row>
    <row r="495" spans="1:6" x14ac:dyDescent="0.35">
      <c r="A495">
        <v>4750</v>
      </c>
      <c r="B495">
        <v>2024</v>
      </c>
      <c r="C495">
        <v>52</v>
      </c>
      <c r="D495" t="s">
        <v>153</v>
      </c>
      <c r="E495" s="75">
        <v>45644</v>
      </c>
      <c r="F495" s="75">
        <v>45650</v>
      </c>
    </row>
    <row r="496" spans="1:6" x14ac:dyDescent="0.35">
      <c r="A496">
        <v>4751</v>
      </c>
      <c r="B496">
        <v>2024</v>
      </c>
      <c r="C496">
        <v>52</v>
      </c>
      <c r="D496" t="s">
        <v>153</v>
      </c>
      <c r="E496" s="75">
        <v>45644</v>
      </c>
      <c r="F496" s="75">
        <v>45650</v>
      </c>
    </row>
    <row r="497" spans="1:6" x14ac:dyDescent="0.35">
      <c r="A497">
        <v>4752</v>
      </c>
      <c r="B497">
        <v>2024</v>
      </c>
      <c r="C497">
        <v>52</v>
      </c>
      <c r="D497" t="s">
        <v>153</v>
      </c>
      <c r="E497" s="75">
        <v>45644</v>
      </c>
      <c r="F497" s="75">
        <v>45650</v>
      </c>
    </row>
    <row r="498" spans="1:6" x14ac:dyDescent="0.35">
      <c r="A498">
        <v>4753</v>
      </c>
      <c r="B498">
        <v>2024</v>
      </c>
      <c r="C498">
        <v>52</v>
      </c>
      <c r="D498" t="s">
        <v>153</v>
      </c>
      <c r="E498" s="75">
        <v>45644</v>
      </c>
      <c r="F498" s="75">
        <v>45650</v>
      </c>
    </row>
    <row r="499" spans="1:6" x14ac:dyDescent="0.35">
      <c r="A499">
        <v>4754</v>
      </c>
      <c r="B499">
        <v>2024</v>
      </c>
      <c r="C499">
        <v>52</v>
      </c>
      <c r="D499" t="s">
        <v>153</v>
      </c>
      <c r="E499" s="75">
        <v>45644</v>
      </c>
      <c r="F499" s="75">
        <v>45650</v>
      </c>
    </row>
    <row r="500" spans="1:6" x14ac:dyDescent="0.35">
      <c r="A500">
        <v>4755</v>
      </c>
      <c r="B500">
        <v>2024</v>
      </c>
      <c r="C500">
        <v>52</v>
      </c>
      <c r="D500" t="s">
        <v>153</v>
      </c>
      <c r="E500" s="75">
        <v>45644</v>
      </c>
      <c r="F500" s="75">
        <v>45650</v>
      </c>
    </row>
    <row r="501" spans="1:6" x14ac:dyDescent="0.35">
      <c r="A501">
        <v>4756</v>
      </c>
      <c r="B501">
        <v>2024</v>
      </c>
      <c r="C501">
        <v>52</v>
      </c>
      <c r="D501" t="s">
        <v>153</v>
      </c>
      <c r="E501" s="75">
        <v>45644</v>
      </c>
      <c r="F501" s="75">
        <v>45650</v>
      </c>
    </row>
    <row r="502" spans="1:6" x14ac:dyDescent="0.35">
      <c r="A502">
        <v>4757</v>
      </c>
      <c r="B502">
        <v>2024</v>
      </c>
      <c r="C502">
        <v>52</v>
      </c>
      <c r="D502" t="s">
        <v>153</v>
      </c>
      <c r="E502" s="75">
        <v>45644</v>
      </c>
      <c r="F502" s="75">
        <v>45650</v>
      </c>
    </row>
    <row r="503" spans="1:6" x14ac:dyDescent="0.35">
      <c r="A503">
        <v>4758</v>
      </c>
      <c r="B503">
        <v>2024</v>
      </c>
      <c r="C503">
        <v>52</v>
      </c>
      <c r="D503" t="s">
        <v>153</v>
      </c>
      <c r="E503" s="75">
        <v>45644</v>
      </c>
      <c r="F503" s="75">
        <v>45650</v>
      </c>
    </row>
    <row r="504" spans="1:6" x14ac:dyDescent="0.35">
      <c r="A504">
        <v>4759</v>
      </c>
      <c r="B504">
        <v>2024</v>
      </c>
      <c r="C504">
        <v>52</v>
      </c>
      <c r="D504" t="s">
        <v>153</v>
      </c>
      <c r="E504" s="75">
        <v>45644</v>
      </c>
      <c r="F504" s="75">
        <v>45650</v>
      </c>
    </row>
    <row r="505" spans="1:6" x14ac:dyDescent="0.35">
      <c r="A505">
        <v>4760</v>
      </c>
      <c r="B505">
        <v>2024</v>
      </c>
      <c r="C505">
        <v>52</v>
      </c>
      <c r="D505" t="s">
        <v>153</v>
      </c>
      <c r="E505" s="75">
        <v>45644</v>
      </c>
      <c r="F505" s="75">
        <v>45650</v>
      </c>
    </row>
    <row r="506" spans="1:6" x14ac:dyDescent="0.35">
      <c r="A506">
        <v>4761</v>
      </c>
      <c r="B506">
        <v>2024</v>
      </c>
      <c r="C506">
        <v>52</v>
      </c>
      <c r="D506" t="s">
        <v>153</v>
      </c>
      <c r="E506" s="75">
        <v>45644</v>
      </c>
      <c r="F506" s="75">
        <v>45650</v>
      </c>
    </row>
    <row r="507" spans="1:6" x14ac:dyDescent="0.35">
      <c r="A507">
        <v>4762</v>
      </c>
      <c r="B507">
        <v>2024</v>
      </c>
      <c r="C507">
        <v>52</v>
      </c>
      <c r="D507" t="s">
        <v>153</v>
      </c>
      <c r="E507" s="75">
        <v>45644</v>
      </c>
      <c r="F507" s="75">
        <v>45650</v>
      </c>
    </row>
    <row r="508" spans="1:6" x14ac:dyDescent="0.35">
      <c r="A508">
        <v>4763</v>
      </c>
      <c r="B508">
        <v>2024</v>
      </c>
      <c r="C508">
        <v>52</v>
      </c>
      <c r="D508" t="s">
        <v>153</v>
      </c>
      <c r="E508" s="75">
        <v>45644</v>
      </c>
      <c r="F508" s="75">
        <v>45650</v>
      </c>
    </row>
    <row r="509" spans="1:6" x14ac:dyDescent="0.35">
      <c r="A509">
        <v>4764</v>
      </c>
      <c r="B509">
        <v>2024</v>
      </c>
      <c r="C509">
        <v>52</v>
      </c>
      <c r="D509" t="s">
        <v>153</v>
      </c>
      <c r="E509" s="75">
        <v>45644</v>
      </c>
      <c r="F509" s="75">
        <v>45650</v>
      </c>
    </row>
    <row r="510" spans="1:6" x14ac:dyDescent="0.35">
      <c r="A510">
        <v>4765</v>
      </c>
      <c r="B510">
        <v>2025</v>
      </c>
      <c r="C510">
        <v>1</v>
      </c>
      <c r="D510" t="s">
        <v>154</v>
      </c>
      <c r="E510" s="75">
        <v>45651</v>
      </c>
      <c r="F510" s="75">
        <v>45657</v>
      </c>
    </row>
    <row r="511" spans="1:6" x14ac:dyDescent="0.35">
      <c r="A511">
        <v>4766</v>
      </c>
      <c r="B511">
        <v>2025</v>
      </c>
      <c r="C511">
        <v>1</v>
      </c>
      <c r="D511" t="s">
        <v>154</v>
      </c>
      <c r="E511" s="75">
        <v>45651</v>
      </c>
      <c r="F511" s="75">
        <v>45657</v>
      </c>
    </row>
    <row r="512" spans="1:6" x14ac:dyDescent="0.35">
      <c r="A512">
        <v>4767</v>
      </c>
      <c r="B512">
        <v>2025</v>
      </c>
      <c r="C512">
        <v>1</v>
      </c>
      <c r="D512" t="s">
        <v>154</v>
      </c>
      <c r="E512" s="75">
        <v>45651</v>
      </c>
      <c r="F512" s="75">
        <v>45657</v>
      </c>
    </row>
    <row r="513" spans="1:6" x14ac:dyDescent="0.35">
      <c r="A513">
        <v>4768</v>
      </c>
      <c r="B513">
        <v>2025</v>
      </c>
      <c r="C513">
        <v>1</v>
      </c>
      <c r="D513" t="s">
        <v>154</v>
      </c>
      <c r="E513" s="75">
        <v>45651</v>
      </c>
      <c r="F513" s="75">
        <v>45657</v>
      </c>
    </row>
    <row r="514" spans="1:6" x14ac:dyDescent="0.35">
      <c r="A514">
        <v>4769</v>
      </c>
      <c r="B514">
        <v>2025</v>
      </c>
      <c r="C514">
        <v>1</v>
      </c>
      <c r="D514" t="s">
        <v>154</v>
      </c>
      <c r="E514" s="75">
        <v>45651</v>
      </c>
      <c r="F514" s="75">
        <v>45657</v>
      </c>
    </row>
    <row r="515" spans="1:6" x14ac:dyDescent="0.35">
      <c r="A515">
        <v>0</v>
      </c>
      <c r="B515">
        <v>2025</v>
      </c>
      <c r="C515">
        <v>2</v>
      </c>
      <c r="D515" t="s">
        <v>155</v>
      </c>
      <c r="E515" s="75">
        <v>45658</v>
      </c>
      <c r="F515" s="75">
        <v>45664</v>
      </c>
    </row>
    <row r="516" spans="1:6" x14ac:dyDescent="0.35">
      <c r="A516">
        <v>4770</v>
      </c>
      <c r="B516">
        <v>2025</v>
      </c>
      <c r="C516">
        <v>3</v>
      </c>
      <c r="D516" t="s">
        <v>156</v>
      </c>
      <c r="E516" s="75">
        <v>45665</v>
      </c>
      <c r="F516" s="75">
        <v>45671</v>
      </c>
    </row>
    <row r="517" spans="1:6" x14ac:dyDescent="0.35">
      <c r="A517">
        <v>4771</v>
      </c>
      <c r="B517">
        <v>2025</v>
      </c>
      <c r="C517">
        <v>3</v>
      </c>
      <c r="D517" t="s">
        <v>156</v>
      </c>
      <c r="E517" s="75">
        <v>45665</v>
      </c>
      <c r="F517" s="75">
        <v>45671</v>
      </c>
    </row>
    <row r="518" spans="1:6" x14ac:dyDescent="0.35">
      <c r="A518">
        <v>4772</v>
      </c>
      <c r="B518">
        <v>2025</v>
      </c>
      <c r="C518">
        <v>3</v>
      </c>
      <c r="D518" t="s">
        <v>156</v>
      </c>
      <c r="E518" s="75">
        <v>45665</v>
      </c>
      <c r="F518" s="75">
        <v>45671</v>
      </c>
    </row>
    <row r="519" spans="1:6" x14ac:dyDescent="0.35">
      <c r="A519">
        <v>4773</v>
      </c>
      <c r="B519">
        <v>2025</v>
      </c>
      <c r="C519">
        <v>3</v>
      </c>
      <c r="D519" t="s">
        <v>156</v>
      </c>
      <c r="E519" s="75">
        <v>45665</v>
      </c>
      <c r="F519" s="75">
        <v>45671</v>
      </c>
    </row>
    <row r="520" spans="1:6" x14ac:dyDescent="0.35">
      <c r="A520">
        <v>4774</v>
      </c>
      <c r="B520">
        <v>2025</v>
      </c>
      <c r="C520">
        <v>3</v>
      </c>
      <c r="D520" t="s">
        <v>156</v>
      </c>
      <c r="E520" s="75">
        <v>45665</v>
      </c>
      <c r="F520" s="75">
        <v>45671</v>
      </c>
    </row>
    <row r="521" spans="1:6" x14ac:dyDescent="0.35">
      <c r="A521">
        <v>4775</v>
      </c>
      <c r="B521">
        <v>2025</v>
      </c>
      <c r="C521">
        <v>3</v>
      </c>
      <c r="D521" t="s">
        <v>156</v>
      </c>
      <c r="E521" s="75">
        <v>45665</v>
      </c>
      <c r="F521" s="75">
        <v>45671</v>
      </c>
    </row>
    <row r="522" spans="1:6" x14ac:dyDescent="0.35">
      <c r="A522">
        <v>4776</v>
      </c>
      <c r="B522">
        <v>2025</v>
      </c>
      <c r="C522">
        <v>3</v>
      </c>
      <c r="D522" t="s">
        <v>156</v>
      </c>
      <c r="E522" s="75">
        <v>45665</v>
      </c>
      <c r="F522" s="75">
        <v>45671</v>
      </c>
    </row>
    <row r="523" spans="1:6" x14ac:dyDescent="0.35">
      <c r="A523">
        <v>4777</v>
      </c>
      <c r="B523">
        <v>2025</v>
      </c>
      <c r="C523">
        <v>3</v>
      </c>
      <c r="D523" t="s">
        <v>156</v>
      </c>
      <c r="E523" s="75">
        <v>45665</v>
      </c>
      <c r="F523" s="75">
        <v>45671</v>
      </c>
    </row>
    <row r="524" spans="1:6" x14ac:dyDescent="0.35">
      <c r="A524">
        <v>4778</v>
      </c>
      <c r="B524">
        <v>2025</v>
      </c>
      <c r="C524">
        <v>3</v>
      </c>
      <c r="D524" t="s">
        <v>156</v>
      </c>
      <c r="E524" s="75">
        <v>45665</v>
      </c>
      <c r="F524" s="75">
        <v>45671</v>
      </c>
    </row>
    <row r="525" spans="1:6" x14ac:dyDescent="0.35">
      <c r="A525">
        <v>4779</v>
      </c>
      <c r="B525">
        <v>2025</v>
      </c>
      <c r="C525">
        <v>3</v>
      </c>
      <c r="D525" t="s">
        <v>156</v>
      </c>
      <c r="E525" s="75">
        <v>45665</v>
      </c>
      <c r="F525" s="75">
        <v>45671</v>
      </c>
    </row>
    <row r="526" spans="1:6" x14ac:dyDescent="0.35">
      <c r="A526">
        <v>4780</v>
      </c>
      <c r="B526">
        <v>2025</v>
      </c>
      <c r="C526">
        <v>4</v>
      </c>
      <c r="D526" t="s">
        <v>157</v>
      </c>
      <c r="E526" s="75">
        <v>45672</v>
      </c>
      <c r="F526" s="75">
        <v>45678</v>
      </c>
    </row>
    <row r="527" spans="1:6" x14ac:dyDescent="0.35">
      <c r="A527">
        <v>4781</v>
      </c>
      <c r="B527">
        <v>2025</v>
      </c>
      <c r="C527">
        <v>4</v>
      </c>
      <c r="D527" t="s">
        <v>157</v>
      </c>
      <c r="E527" s="75">
        <v>45672</v>
      </c>
      <c r="F527" s="75">
        <v>45678</v>
      </c>
    </row>
    <row r="528" spans="1:6" x14ac:dyDescent="0.35">
      <c r="A528">
        <v>4782</v>
      </c>
      <c r="B528">
        <v>2025</v>
      </c>
      <c r="C528">
        <v>4</v>
      </c>
      <c r="D528" t="s">
        <v>157</v>
      </c>
      <c r="E528" s="75">
        <v>45672</v>
      </c>
      <c r="F528" s="75">
        <v>45678</v>
      </c>
    </row>
    <row r="529" spans="1:6" x14ac:dyDescent="0.35">
      <c r="A529">
        <v>4783</v>
      </c>
      <c r="B529">
        <v>2025</v>
      </c>
      <c r="C529">
        <v>4</v>
      </c>
      <c r="D529" t="s">
        <v>157</v>
      </c>
      <c r="E529" s="75">
        <v>45672</v>
      </c>
      <c r="F529" s="75">
        <v>45678</v>
      </c>
    </row>
    <row r="530" spans="1:6" x14ac:dyDescent="0.35">
      <c r="A530">
        <v>4784</v>
      </c>
      <c r="B530">
        <v>2025</v>
      </c>
      <c r="C530">
        <v>4</v>
      </c>
      <c r="D530" t="s">
        <v>157</v>
      </c>
      <c r="E530" s="75">
        <v>45672</v>
      </c>
      <c r="F530" s="75">
        <v>45678</v>
      </c>
    </row>
    <row r="531" spans="1:6" x14ac:dyDescent="0.35">
      <c r="A531">
        <v>4785</v>
      </c>
      <c r="B531">
        <v>2025</v>
      </c>
      <c r="C531">
        <v>4</v>
      </c>
      <c r="D531" t="s">
        <v>157</v>
      </c>
      <c r="E531" s="75">
        <v>45672</v>
      </c>
      <c r="F531" s="75">
        <v>45678</v>
      </c>
    </row>
    <row r="532" spans="1:6" x14ac:dyDescent="0.35">
      <c r="A532">
        <v>4786</v>
      </c>
      <c r="B532">
        <v>2025</v>
      </c>
      <c r="C532">
        <v>4</v>
      </c>
      <c r="D532" t="s">
        <v>157</v>
      </c>
      <c r="E532" s="75">
        <v>45672</v>
      </c>
      <c r="F532" s="75">
        <v>45678</v>
      </c>
    </row>
    <row r="533" spans="1:6" x14ac:dyDescent="0.35">
      <c r="A533">
        <v>4787</v>
      </c>
      <c r="B533">
        <v>2025</v>
      </c>
      <c r="C533">
        <v>4</v>
      </c>
      <c r="D533" t="s">
        <v>157</v>
      </c>
      <c r="E533" s="75">
        <v>45672</v>
      </c>
      <c r="F533" s="75">
        <v>45678</v>
      </c>
    </row>
    <row r="534" spans="1:6" x14ac:dyDescent="0.35">
      <c r="A534">
        <v>4788</v>
      </c>
      <c r="B534">
        <v>2025</v>
      </c>
      <c r="C534">
        <v>4</v>
      </c>
      <c r="D534" t="s">
        <v>157</v>
      </c>
      <c r="E534" s="75">
        <v>45672</v>
      </c>
      <c r="F534" s="75">
        <v>45678</v>
      </c>
    </row>
    <row r="535" spans="1:6" x14ac:dyDescent="0.35">
      <c r="A535">
        <v>4789</v>
      </c>
      <c r="B535">
        <v>2025</v>
      </c>
      <c r="C535">
        <v>4</v>
      </c>
      <c r="D535" t="s">
        <v>157</v>
      </c>
      <c r="E535" s="75">
        <v>45672</v>
      </c>
      <c r="F535" s="75">
        <v>45678</v>
      </c>
    </row>
    <row r="536" spans="1:6" x14ac:dyDescent="0.35">
      <c r="A536">
        <v>4790</v>
      </c>
      <c r="B536">
        <v>2025</v>
      </c>
      <c r="C536">
        <v>4</v>
      </c>
      <c r="D536" t="s">
        <v>157</v>
      </c>
      <c r="E536" s="75">
        <v>45672</v>
      </c>
      <c r="F536" s="75">
        <v>45678</v>
      </c>
    </row>
    <row r="537" spans="1:6" x14ac:dyDescent="0.35">
      <c r="A537">
        <v>4791</v>
      </c>
      <c r="B537">
        <v>2025</v>
      </c>
      <c r="C537">
        <v>4</v>
      </c>
      <c r="D537" t="s">
        <v>157</v>
      </c>
      <c r="E537" s="75">
        <v>45672</v>
      </c>
      <c r="F537" s="75">
        <v>45678</v>
      </c>
    </row>
    <row r="538" spans="1:6" x14ac:dyDescent="0.35">
      <c r="A538">
        <v>4792</v>
      </c>
      <c r="B538">
        <v>2025</v>
      </c>
      <c r="C538">
        <v>4</v>
      </c>
      <c r="D538" t="s">
        <v>157</v>
      </c>
      <c r="E538" s="75">
        <v>45672</v>
      </c>
      <c r="F538" s="75">
        <v>45678</v>
      </c>
    </row>
    <row r="539" spans="1:6" x14ac:dyDescent="0.35">
      <c r="A539">
        <v>4793</v>
      </c>
      <c r="B539">
        <v>2025</v>
      </c>
      <c r="C539">
        <v>4</v>
      </c>
      <c r="D539" t="s">
        <v>157</v>
      </c>
      <c r="E539" s="75">
        <v>45672</v>
      </c>
      <c r="F539" s="75">
        <v>45678</v>
      </c>
    </row>
    <row r="540" spans="1:6" x14ac:dyDescent="0.35">
      <c r="A540">
        <v>4794</v>
      </c>
      <c r="B540">
        <v>2025</v>
      </c>
      <c r="C540">
        <v>4</v>
      </c>
      <c r="D540" t="s">
        <v>157</v>
      </c>
      <c r="E540" s="75">
        <v>45672</v>
      </c>
      <c r="F540" s="75">
        <v>45678</v>
      </c>
    </row>
    <row r="541" spans="1:6" x14ac:dyDescent="0.35">
      <c r="A541">
        <v>4795</v>
      </c>
      <c r="B541">
        <v>2025</v>
      </c>
      <c r="C541">
        <v>4</v>
      </c>
      <c r="D541" t="s">
        <v>157</v>
      </c>
      <c r="E541" s="75">
        <v>45672</v>
      </c>
      <c r="F541" s="75">
        <v>45678</v>
      </c>
    </row>
    <row r="542" spans="1:6" x14ac:dyDescent="0.35">
      <c r="A542">
        <v>4796</v>
      </c>
      <c r="B542">
        <v>2025</v>
      </c>
      <c r="C542">
        <v>4</v>
      </c>
      <c r="D542" t="s">
        <v>157</v>
      </c>
      <c r="E542" s="75">
        <v>45672</v>
      </c>
      <c r="F542" s="75">
        <v>45678</v>
      </c>
    </row>
    <row r="543" spans="1:6" x14ac:dyDescent="0.35">
      <c r="A543">
        <v>4797</v>
      </c>
      <c r="B543">
        <v>2025</v>
      </c>
      <c r="C543">
        <v>4</v>
      </c>
      <c r="D543" t="s">
        <v>157</v>
      </c>
      <c r="E543" s="75">
        <v>45672</v>
      </c>
      <c r="F543" s="75">
        <v>45678</v>
      </c>
    </row>
    <row r="544" spans="1:6" x14ac:dyDescent="0.35">
      <c r="A544">
        <v>4798</v>
      </c>
      <c r="B544">
        <v>2025</v>
      </c>
      <c r="C544">
        <v>5</v>
      </c>
      <c r="D544" t="s">
        <v>158</v>
      </c>
      <c r="E544" s="75">
        <v>45679</v>
      </c>
      <c r="F544" s="75">
        <v>45685</v>
      </c>
    </row>
    <row r="545" spans="1:6" x14ac:dyDescent="0.35">
      <c r="A545">
        <v>4799</v>
      </c>
      <c r="B545">
        <v>2025</v>
      </c>
      <c r="C545">
        <v>5</v>
      </c>
      <c r="D545" t="s">
        <v>158</v>
      </c>
      <c r="E545" s="75">
        <v>45679</v>
      </c>
      <c r="F545" s="75">
        <v>45685</v>
      </c>
    </row>
    <row r="546" spans="1:6" x14ac:dyDescent="0.35">
      <c r="A546">
        <v>4800</v>
      </c>
      <c r="B546">
        <v>2025</v>
      </c>
      <c r="C546">
        <v>5</v>
      </c>
      <c r="D546" t="s">
        <v>158</v>
      </c>
      <c r="E546" s="75">
        <v>45679</v>
      </c>
      <c r="F546" s="75">
        <v>45685</v>
      </c>
    </row>
    <row r="547" spans="1:6" x14ac:dyDescent="0.35">
      <c r="A547">
        <v>4801</v>
      </c>
      <c r="B547">
        <v>2025</v>
      </c>
      <c r="C547">
        <v>5</v>
      </c>
      <c r="D547" t="s">
        <v>158</v>
      </c>
      <c r="E547" s="75">
        <v>45679</v>
      </c>
      <c r="F547" s="75">
        <v>45685</v>
      </c>
    </row>
    <row r="548" spans="1:6" x14ac:dyDescent="0.35">
      <c r="A548">
        <v>4802</v>
      </c>
      <c r="B548">
        <v>2025</v>
      </c>
      <c r="C548">
        <v>5</v>
      </c>
      <c r="D548" t="s">
        <v>158</v>
      </c>
      <c r="E548" s="75">
        <v>45679</v>
      </c>
      <c r="F548" s="75">
        <v>45685</v>
      </c>
    </row>
    <row r="549" spans="1:6" x14ac:dyDescent="0.35">
      <c r="A549">
        <v>4803</v>
      </c>
      <c r="B549">
        <v>2025</v>
      </c>
      <c r="C549">
        <v>5</v>
      </c>
      <c r="D549" t="s">
        <v>158</v>
      </c>
      <c r="E549" s="75">
        <v>45679</v>
      </c>
      <c r="F549" s="75">
        <v>45685</v>
      </c>
    </row>
    <row r="550" spans="1:6" x14ac:dyDescent="0.35">
      <c r="A550">
        <v>4804</v>
      </c>
      <c r="B550">
        <v>2025</v>
      </c>
      <c r="C550">
        <v>5</v>
      </c>
      <c r="D550" t="s">
        <v>158</v>
      </c>
      <c r="E550" s="75">
        <v>45679</v>
      </c>
      <c r="F550" s="75">
        <v>45685</v>
      </c>
    </row>
    <row r="551" spans="1:6" x14ac:dyDescent="0.35">
      <c r="A551">
        <v>4805</v>
      </c>
      <c r="B551">
        <v>2025</v>
      </c>
      <c r="C551">
        <v>5</v>
      </c>
      <c r="D551" t="s">
        <v>158</v>
      </c>
      <c r="E551" s="75">
        <v>45679</v>
      </c>
      <c r="F551" s="75">
        <v>45685</v>
      </c>
    </row>
    <row r="552" spans="1:6" x14ac:dyDescent="0.35">
      <c r="A552">
        <v>4806</v>
      </c>
      <c r="B552">
        <v>2025</v>
      </c>
      <c r="C552">
        <v>5</v>
      </c>
      <c r="D552" t="s">
        <v>158</v>
      </c>
      <c r="E552" s="75">
        <v>45679</v>
      </c>
      <c r="F552" s="75">
        <v>45685</v>
      </c>
    </row>
    <row r="553" spans="1:6" x14ac:dyDescent="0.35">
      <c r="A553">
        <v>4807</v>
      </c>
      <c r="B553">
        <v>2025</v>
      </c>
      <c r="C553">
        <v>5</v>
      </c>
      <c r="D553" t="s">
        <v>158</v>
      </c>
      <c r="E553" s="75">
        <v>45679</v>
      </c>
      <c r="F553" s="75">
        <v>45685</v>
      </c>
    </row>
    <row r="554" spans="1:6" x14ac:dyDescent="0.35">
      <c r="A554">
        <v>4808</v>
      </c>
      <c r="B554">
        <v>2025</v>
      </c>
      <c r="C554">
        <v>5</v>
      </c>
      <c r="D554" t="s">
        <v>158</v>
      </c>
      <c r="E554" s="75">
        <v>45679</v>
      </c>
      <c r="F554" s="75">
        <v>45685</v>
      </c>
    </row>
    <row r="555" spans="1:6" x14ac:dyDescent="0.35">
      <c r="A555">
        <v>4809</v>
      </c>
      <c r="B555">
        <v>2025</v>
      </c>
      <c r="C555">
        <v>5</v>
      </c>
      <c r="D555" t="s">
        <v>158</v>
      </c>
      <c r="E555" s="75">
        <v>45679</v>
      </c>
      <c r="F555" s="75">
        <v>45685</v>
      </c>
    </row>
    <row r="556" spans="1:6" x14ac:dyDescent="0.35">
      <c r="A556">
        <v>4810</v>
      </c>
      <c r="B556">
        <v>2025</v>
      </c>
      <c r="C556">
        <v>5</v>
      </c>
      <c r="D556" t="s">
        <v>158</v>
      </c>
      <c r="E556" s="75">
        <v>45679</v>
      </c>
      <c r="F556" s="75">
        <v>45685</v>
      </c>
    </row>
    <row r="557" spans="1:6" x14ac:dyDescent="0.35">
      <c r="A557">
        <v>4811</v>
      </c>
      <c r="B557">
        <v>2025</v>
      </c>
      <c r="C557">
        <v>5</v>
      </c>
      <c r="D557" t="s">
        <v>158</v>
      </c>
      <c r="E557" s="75">
        <v>45679</v>
      </c>
      <c r="F557" s="75">
        <v>45685</v>
      </c>
    </row>
    <row r="558" spans="1:6" x14ac:dyDescent="0.35">
      <c r="A558">
        <v>4812</v>
      </c>
      <c r="B558">
        <v>2025</v>
      </c>
      <c r="C558">
        <v>5</v>
      </c>
      <c r="D558" t="s">
        <v>158</v>
      </c>
      <c r="E558" s="75">
        <v>45679</v>
      </c>
      <c r="F558" s="75">
        <v>45685</v>
      </c>
    </row>
    <row r="559" spans="1:6" x14ac:dyDescent="0.35">
      <c r="A559">
        <v>4813</v>
      </c>
      <c r="B559">
        <v>2025</v>
      </c>
      <c r="C559">
        <v>5</v>
      </c>
      <c r="D559" t="s">
        <v>158</v>
      </c>
      <c r="E559" s="75">
        <v>45679</v>
      </c>
      <c r="F559" s="75">
        <v>45685</v>
      </c>
    </row>
    <row r="560" spans="1:6" x14ac:dyDescent="0.35">
      <c r="A560">
        <v>4814</v>
      </c>
      <c r="B560">
        <v>2025</v>
      </c>
      <c r="C560">
        <v>5</v>
      </c>
      <c r="D560" t="s">
        <v>158</v>
      </c>
      <c r="E560" s="75">
        <v>45679</v>
      </c>
      <c r="F560" s="75">
        <v>45685</v>
      </c>
    </row>
    <row r="561" spans="1:6" x14ac:dyDescent="0.35">
      <c r="A561">
        <v>4815</v>
      </c>
      <c r="B561">
        <v>2025</v>
      </c>
      <c r="C561">
        <v>5</v>
      </c>
      <c r="D561" t="s">
        <v>158</v>
      </c>
      <c r="E561" s="75">
        <v>45679</v>
      </c>
      <c r="F561" s="75">
        <v>45685</v>
      </c>
    </row>
    <row r="562" spans="1:6" x14ac:dyDescent="0.35">
      <c r="A562">
        <v>4816</v>
      </c>
      <c r="B562">
        <v>2025</v>
      </c>
      <c r="C562">
        <v>5</v>
      </c>
      <c r="D562" t="s">
        <v>158</v>
      </c>
      <c r="E562" s="75">
        <v>45679</v>
      </c>
      <c r="F562" s="75">
        <v>45685</v>
      </c>
    </row>
    <row r="563" spans="1:6" x14ac:dyDescent="0.35">
      <c r="A563">
        <v>4817</v>
      </c>
      <c r="B563">
        <v>2025</v>
      </c>
      <c r="C563">
        <v>5</v>
      </c>
      <c r="D563" t="s">
        <v>158</v>
      </c>
      <c r="E563" s="75">
        <v>45679</v>
      </c>
      <c r="F563" s="75">
        <v>45685</v>
      </c>
    </row>
    <row r="564" spans="1:6" x14ac:dyDescent="0.35">
      <c r="A564">
        <v>4818</v>
      </c>
      <c r="B564">
        <v>2025</v>
      </c>
      <c r="C564">
        <v>5</v>
      </c>
      <c r="D564" t="s">
        <v>158</v>
      </c>
      <c r="E564" s="75">
        <v>45679</v>
      </c>
      <c r="F564" s="75">
        <v>45685</v>
      </c>
    </row>
    <row r="565" spans="1:6" x14ac:dyDescent="0.35">
      <c r="A565">
        <v>4819</v>
      </c>
      <c r="B565">
        <v>2025</v>
      </c>
      <c r="C565">
        <v>5</v>
      </c>
      <c r="D565" t="s">
        <v>158</v>
      </c>
      <c r="E565" s="75">
        <v>45679</v>
      </c>
      <c r="F565" s="75">
        <v>45685</v>
      </c>
    </row>
    <row r="566" spans="1:6" x14ac:dyDescent="0.35">
      <c r="A566">
        <v>4820</v>
      </c>
      <c r="B566">
        <v>2025</v>
      </c>
      <c r="C566">
        <v>6</v>
      </c>
      <c r="D566" t="s">
        <v>159</v>
      </c>
      <c r="E566" s="75">
        <v>45686</v>
      </c>
      <c r="F566" s="75">
        <v>45692</v>
      </c>
    </row>
    <row r="567" spans="1:6" x14ac:dyDescent="0.35">
      <c r="A567">
        <v>4821</v>
      </c>
      <c r="B567">
        <v>2025</v>
      </c>
      <c r="C567">
        <v>6</v>
      </c>
      <c r="D567" t="s">
        <v>159</v>
      </c>
      <c r="E567" s="75">
        <v>45686</v>
      </c>
      <c r="F567" s="75">
        <v>45692</v>
      </c>
    </row>
    <row r="568" spans="1:6" x14ac:dyDescent="0.35">
      <c r="A568">
        <v>4822</v>
      </c>
      <c r="B568">
        <v>2025</v>
      </c>
      <c r="C568">
        <v>6</v>
      </c>
      <c r="D568" t="s">
        <v>159</v>
      </c>
      <c r="E568" s="75">
        <v>45686</v>
      </c>
      <c r="F568" s="75">
        <v>45692</v>
      </c>
    </row>
    <row r="569" spans="1:6" x14ac:dyDescent="0.35">
      <c r="A569">
        <v>4823</v>
      </c>
      <c r="B569">
        <v>2025</v>
      </c>
      <c r="C569">
        <v>6</v>
      </c>
      <c r="D569" t="s">
        <v>159</v>
      </c>
      <c r="E569" s="75">
        <v>45686</v>
      </c>
      <c r="F569" s="75">
        <v>45692</v>
      </c>
    </row>
    <row r="570" spans="1:6" x14ac:dyDescent="0.35">
      <c r="A570">
        <v>4824</v>
      </c>
      <c r="B570">
        <v>2025</v>
      </c>
      <c r="C570">
        <v>6</v>
      </c>
      <c r="D570" t="s">
        <v>159</v>
      </c>
      <c r="E570" s="75">
        <v>45686</v>
      </c>
      <c r="F570" s="75">
        <v>45692</v>
      </c>
    </row>
    <row r="571" spans="1:6" x14ac:dyDescent="0.35">
      <c r="A571">
        <v>4825</v>
      </c>
      <c r="B571">
        <v>2025</v>
      </c>
      <c r="C571">
        <v>6</v>
      </c>
      <c r="D571" t="s">
        <v>159</v>
      </c>
      <c r="E571" s="75">
        <v>45686</v>
      </c>
      <c r="F571" s="75">
        <v>45692</v>
      </c>
    </row>
    <row r="572" spans="1:6" x14ac:dyDescent="0.35">
      <c r="A572">
        <v>4826</v>
      </c>
      <c r="B572">
        <v>2025</v>
      </c>
      <c r="C572">
        <v>6</v>
      </c>
      <c r="D572" t="s">
        <v>159</v>
      </c>
      <c r="E572" s="75">
        <v>45686</v>
      </c>
      <c r="F572" s="75">
        <v>45692</v>
      </c>
    </row>
    <row r="573" spans="1:6" x14ac:dyDescent="0.35">
      <c r="A573">
        <v>4827</v>
      </c>
      <c r="B573">
        <v>2025</v>
      </c>
      <c r="C573">
        <v>6</v>
      </c>
      <c r="D573" t="s">
        <v>159</v>
      </c>
      <c r="E573" s="75">
        <v>45686</v>
      </c>
      <c r="F573" s="75">
        <v>45692</v>
      </c>
    </row>
    <row r="574" spans="1:6" x14ac:dyDescent="0.35">
      <c r="A574">
        <v>4828</v>
      </c>
      <c r="B574">
        <v>2025</v>
      </c>
      <c r="C574">
        <v>6</v>
      </c>
      <c r="D574" t="s">
        <v>159</v>
      </c>
      <c r="E574" s="75">
        <v>45686</v>
      </c>
      <c r="F574" s="75">
        <v>45692</v>
      </c>
    </row>
    <row r="575" spans="1:6" x14ac:dyDescent="0.35">
      <c r="A575">
        <v>4829</v>
      </c>
      <c r="B575">
        <v>2025</v>
      </c>
      <c r="C575">
        <v>6</v>
      </c>
      <c r="D575" t="s">
        <v>159</v>
      </c>
      <c r="E575" s="75">
        <v>45686</v>
      </c>
      <c r="F575" s="75">
        <v>45692</v>
      </c>
    </row>
    <row r="576" spans="1:6" x14ac:dyDescent="0.35">
      <c r="A576">
        <v>4830</v>
      </c>
      <c r="B576">
        <v>2025</v>
      </c>
      <c r="C576">
        <v>6</v>
      </c>
      <c r="D576" t="s">
        <v>159</v>
      </c>
      <c r="E576" s="75">
        <v>45686</v>
      </c>
      <c r="F576" s="75">
        <v>45692</v>
      </c>
    </row>
    <row r="577" spans="1:6" x14ac:dyDescent="0.35">
      <c r="A577">
        <v>4831</v>
      </c>
      <c r="B577">
        <v>2025</v>
      </c>
      <c r="C577">
        <v>6</v>
      </c>
      <c r="D577" t="s">
        <v>159</v>
      </c>
      <c r="E577" s="75">
        <v>45686</v>
      </c>
      <c r="F577" s="75">
        <v>45692</v>
      </c>
    </row>
    <row r="578" spans="1:6" x14ac:dyDescent="0.35">
      <c r="A578">
        <v>4832</v>
      </c>
      <c r="B578">
        <v>2025</v>
      </c>
      <c r="C578">
        <v>6</v>
      </c>
      <c r="D578" t="s">
        <v>159</v>
      </c>
      <c r="E578" s="75">
        <v>45686</v>
      </c>
      <c r="F578" s="75">
        <v>45692</v>
      </c>
    </row>
    <row r="579" spans="1:6" x14ac:dyDescent="0.35">
      <c r="A579">
        <v>4833</v>
      </c>
      <c r="B579">
        <v>2025</v>
      </c>
      <c r="C579">
        <v>6</v>
      </c>
      <c r="D579" t="s">
        <v>159</v>
      </c>
      <c r="E579" s="75">
        <v>45686</v>
      </c>
      <c r="F579" s="75">
        <v>45692</v>
      </c>
    </row>
    <row r="580" spans="1:6" x14ac:dyDescent="0.35">
      <c r="A580">
        <v>4834</v>
      </c>
      <c r="B580">
        <v>2025</v>
      </c>
      <c r="C580">
        <v>6</v>
      </c>
      <c r="D580" t="s">
        <v>159</v>
      </c>
      <c r="E580" s="75">
        <v>45686</v>
      </c>
      <c r="F580" s="75">
        <v>45692</v>
      </c>
    </row>
    <row r="581" spans="1:6" x14ac:dyDescent="0.35">
      <c r="A581">
        <v>4835</v>
      </c>
      <c r="B581">
        <v>2025</v>
      </c>
      <c r="C581">
        <v>7</v>
      </c>
      <c r="D581" t="s">
        <v>160</v>
      </c>
      <c r="E581" s="75">
        <v>45693</v>
      </c>
      <c r="F581" s="75">
        <v>45699</v>
      </c>
    </row>
    <row r="582" spans="1:6" x14ac:dyDescent="0.35">
      <c r="A582">
        <v>4836</v>
      </c>
      <c r="B582">
        <v>2025</v>
      </c>
      <c r="C582">
        <v>7</v>
      </c>
      <c r="D582" t="s">
        <v>160</v>
      </c>
      <c r="E582" s="75">
        <v>45693</v>
      </c>
      <c r="F582" s="75">
        <v>45699</v>
      </c>
    </row>
    <row r="583" spans="1:6" x14ac:dyDescent="0.35">
      <c r="A583">
        <v>4837</v>
      </c>
      <c r="B583">
        <v>2025</v>
      </c>
      <c r="C583">
        <v>7</v>
      </c>
      <c r="D583" t="s">
        <v>160</v>
      </c>
      <c r="E583" s="75">
        <v>45693</v>
      </c>
      <c r="F583" s="75">
        <v>45699</v>
      </c>
    </row>
    <row r="584" spans="1:6" x14ac:dyDescent="0.35">
      <c r="A584">
        <v>4838</v>
      </c>
      <c r="B584">
        <v>2025</v>
      </c>
      <c r="C584">
        <v>7</v>
      </c>
      <c r="D584" t="s">
        <v>160</v>
      </c>
      <c r="E584" s="75">
        <v>45693</v>
      </c>
      <c r="F584" s="75">
        <v>45699</v>
      </c>
    </row>
    <row r="585" spans="1:6" x14ac:dyDescent="0.35">
      <c r="A585">
        <v>4839</v>
      </c>
      <c r="B585">
        <v>2025</v>
      </c>
      <c r="C585">
        <v>7</v>
      </c>
      <c r="D585" t="s">
        <v>160</v>
      </c>
      <c r="E585" s="75">
        <v>45693</v>
      </c>
      <c r="F585" s="75">
        <v>45699</v>
      </c>
    </row>
    <row r="586" spans="1:6" x14ac:dyDescent="0.35">
      <c r="A586">
        <v>4840</v>
      </c>
      <c r="B586">
        <v>2025</v>
      </c>
      <c r="C586">
        <v>7</v>
      </c>
      <c r="D586" t="s">
        <v>160</v>
      </c>
      <c r="E586" s="75">
        <v>45693</v>
      </c>
      <c r="F586" s="75">
        <v>45699</v>
      </c>
    </row>
    <row r="587" spans="1:6" x14ac:dyDescent="0.35">
      <c r="A587">
        <v>4841</v>
      </c>
      <c r="B587">
        <v>2025</v>
      </c>
      <c r="C587">
        <v>7</v>
      </c>
      <c r="D587" t="s">
        <v>160</v>
      </c>
      <c r="E587" s="75">
        <v>45693</v>
      </c>
      <c r="F587" s="75">
        <v>45699</v>
      </c>
    </row>
    <row r="588" spans="1:6" x14ac:dyDescent="0.35">
      <c r="A588">
        <v>4842</v>
      </c>
      <c r="B588">
        <v>2025</v>
      </c>
      <c r="C588">
        <v>7</v>
      </c>
      <c r="D588" t="s">
        <v>160</v>
      </c>
      <c r="E588" s="75">
        <v>45693</v>
      </c>
      <c r="F588" s="75">
        <v>45699</v>
      </c>
    </row>
    <row r="589" spans="1:6" x14ac:dyDescent="0.35">
      <c r="A589">
        <v>4843</v>
      </c>
      <c r="B589">
        <v>2025</v>
      </c>
      <c r="C589">
        <v>7</v>
      </c>
      <c r="D589" t="s">
        <v>160</v>
      </c>
      <c r="E589" s="75">
        <v>45693</v>
      </c>
      <c r="F589" s="75">
        <v>45699</v>
      </c>
    </row>
    <row r="590" spans="1:6" x14ac:dyDescent="0.35">
      <c r="A590">
        <v>4844</v>
      </c>
      <c r="B590">
        <v>2025</v>
      </c>
      <c r="C590">
        <v>7</v>
      </c>
      <c r="D590" t="s">
        <v>160</v>
      </c>
      <c r="E590" s="75">
        <v>45693</v>
      </c>
      <c r="F590" s="75">
        <v>45699</v>
      </c>
    </row>
    <row r="591" spans="1:6" x14ac:dyDescent="0.35">
      <c r="A591">
        <v>4845</v>
      </c>
      <c r="B591">
        <v>2025</v>
      </c>
      <c r="C591">
        <v>7</v>
      </c>
      <c r="D591" t="s">
        <v>160</v>
      </c>
      <c r="E591" s="75">
        <v>45693</v>
      </c>
      <c r="F591" s="75">
        <v>45699</v>
      </c>
    </row>
    <row r="592" spans="1:6" x14ac:dyDescent="0.35">
      <c r="A592">
        <v>4846</v>
      </c>
      <c r="B592">
        <v>2025</v>
      </c>
      <c r="C592">
        <v>7</v>
      </c>
      <c r="D592" t="s">
        <v>160</v>
      </c>
      <c r="E592" s="75">
        <v>45693</v>
      </c>
      <c r="F592" s="75">
        <v>45699</v>
      </c>
    </row>
    <row r="593" spans="1:6" x14ac:dyDescent="0.35">
      <c r="A593">
        <v>4847</v>
      </c>
      <c r="B593">
        <v>2025</v>
      </c>
      <c r="C593">
        <v>7</v>
      </c>
      <c r="D593" t="s">
        <v>160</v>
      </c>
      <c r="E593" s="75">
        <v>45693</v>
      </c>
      <c r="F593" s="75">
        <v>45699</v>
      </c>
    </row>
    <row r="594" spans="1:6" x14ac:dyDescent="0.35">
      <c r="A594">
        <v>4848</v>
      </c>
      <c r="B594">
        <v>2025</v>
      </c>
      <c r="C594">
        <v>7</v>
      </c>
      <c r="D594" t="s">
        <v>160</v>
      </c>
      <c r="E594" s="75">
        <v>45693</v>
      </c>
      <c r="F594" s="75">
        <v>45699</v>
      </c>
    </row>
    <row r="595" spans="1:6" x14ac:dyDescent="0.35">
      <c r="A595">
        <v>4849</v>
      </c>
      <c r="B595">
        <v>2025</v>
      </c>
      <c r="C595">
        <v>7</v>
      </c>
      <c r="D595" t="s">
        <v>160</v>
      </c>
      <c r="E595" s="75">
        <v>45693</v>
      </c>
      <c r="F595" s="75">
        <v>45699</v>
      </c>
    </row>
    <row r="596" spans="1:6" x14ac:dyDescent="0.35">
      <c r="A596">
        <v>4850</v>
      </c>
      <c r="B596">
        <v>2025</v>
      </c>
      <c r="C596">
        <v>7</v>
      </c>
      <c r="D596" t="s">
        <v>160</v>
      </c>
      <c r="E596" s="75">
        <v>45693</v>
      </c>
      <c r="F596" s="75">
        <v>45699</v>
      </c>
    </row>
    <row r="597" spans="1:6" x14ac:dyDescent="0.35">
      <c r="A597">
        <v>4851</v>
      </c>
      <c r="B597">
        <v>2025</v>
      </c>
      <c r="C597">
        <v>7</v>
      </c>
      <c r="D597" t="s">
        <v>160</v>
      </c>
      <c r="E597" s="75">
        <v>45693</v>
      </c>
      <c r="F597" s="75">
        <v>45699</v>
      </c>
    </row>
    <row r="598" spans="1:6" x14ac:dyDescent="0.35">
      <c r="A598">
        <v>4852</v>
      </c>
      <c r="B598">
        <v>2025</v>
      </c>
      <c r="C598">
        <v>7</v>
      </c>
      <c r="D598" t="s">
        <v>160</v>
      </c>
      <c r="E598" s="75">
        <v>45693</v>
      </c>
      <c r="F598" s="75">
        <v>45699</v>
      </c>
    </row>
    <row r="599" spans="1:6" x14ac:dyDescent="0.35">
      <c r="A599">
        <v>4853</v>
      </c>
      <c r="B599">
        <v>2025</v>
      </c>
      <c r="C599">
        <v>7</v>
      </c>
      <c r="D599" t="s">
        <v>160</v>
      </c>
      <c r="E599" s="75">
        <v>45693</v>
      </c>
      <c r="F599" s="75">
        <v>45699</v>
      </c>
    </row>
    <row r="600" spans="1:6" x14ac:dyDescent="0.35">
      <c r="A600">
        <v>4854</v>
      </c>
      <c r="B600">
        <v>2025</v>
      </c>
      <c r="C600">
        <v>7</v>
      </c>
      <c r="D600" t="s">
        <v>160</v>
      </c>
      <c r="E600" s="75">
        <v>45693</v>
      </c>
      <c r="F600" s="75">
        <v>45699</v>
      </c>
    </row>
    <row r="601" spans="1:6" x14ac:dyDescent="0.35">
      <c r="A601">
        <v>4855</v>
      </c>
      <c r="B601">
        <v>2025</v>
      </c>
      <c r="C601">
        <v>8</v>
      </c>
      <c r="D601" t="s">
        <v>161</v>
      </c>
      <c r="E601" s="75">
        <v>45700</v>
      </c>
      <c r="F601" s="75">
        <v>45706</v>
      </c>
    </row>
    <row r="602" spans="1:6" x14ac:dyDescent="0.35">
      <c r="A602">
        <v>4856</v>
      </c>
      <c r="B602">
        <v>2025</v>
      </c>
      <c r="C602">
        <v>8</v>
      </c>
      <c r="D602" t="s">
        <v>161</v>
      </c>
      <c r="E602" s="75">
        <v>45700</v>
      </c>
      <c r="F602" s="75">
        <v>45706</v>
      </c>
    </row>
    <row r="603" spans="1:6" x14ac:dyDescent="0.35">
      <c r="A603">
        <v>4857</v>
      </c>
      <c r="B603">
        <v>2025</v>
      </c>
      <c r="C603">
        <v>8</v>
      </c>
      <c r="D603" t="s">
        <v>161</v>
      </c>
      <c r="E603" s="75">
        <v>45700</v>
      </c>
      <c r="F603" s="75">
        <v>45706</v>
      </c>
    </row>
    <row r="604" spans="1:6" x14ac:dyDescent="0.35">
      <c r="A604">
        <v>4858</v>
      </c>
      <c r="B604">
        <v>2025</v>
      </c>
      <c r="C604">
        <v>8</v>
      </c>
      <c r="D604" t="s">
        <v>161</v>
      </c>
      <c r="E604" s="75">
        <v>45700</v>
      </c>
      <c r="F604" s="75">
        <v>45706</v>
      </c>
    </row>
    <row r="605" spans="1:6" x14ac:dyDescent="0.35">
      <c r="A605">
        <v>4859</v>
      </c>
      <c r="B605">
        <v>2025</v>
      </c>
      <c r="C605">
        <v>8</v>
      </c>
      <c r="D605" t="s">
        <v>161</v>
      </c>
      <c r="E605" s="75">
        <v>45700</v>
      </c>
      <c r="F605" s="75">
        <v>45706</v>
      </c>
    </row>
    <row r="606" spans="1:6" x14ac:dyDescent="0.35">
      <c r="A606">
        <v>4860</v>
      </c>
      <c r="B606">
        <v>2025</v>
      </c>
      <c r="C606">
        <v>8</v>
      </c>
      <c r="D606" t="s">
        <v>161</v>
      </c>
      <c r="E606" s="75">
        <v>45700</v>
      </c>
      <c r="F606" s="75">
        <v>45706</v>
      </c>
    </row>
    <row r="607" spans="1:6" x14ac:dyDescent="0.35">
      <c r="A607">
        <v>4861</v>
      </c>
      <c r="B607">
        <v>2025</v>
      </c>
      <c r="C607">
        <v>8</v>
      </c>
      <c r="D607" t="s">
        <v>161</v>
      </c>
      <c r="E607" s="75">
        <v>45700</v>
      </c>
      <c r="F607" s="75">
        <v>45706</v>
      </c>
    </row>
    <row r="608" spans="1:6" x14ac:dyDescent="0.35">
      <c r="A608">
        <v>4862</v>
      </c>
      <c r="B608">
        <v>2025</v>
      </c>
      <c r="C608">
        <v>8</v>
      </c>
      <c r="D608" t="s">
        <v>161</v>
      </c>
      <c r="E608" s="75">
        <v>45700</v>
      </c>
      <c r="F608" s="75">
        <v>45706</v>
      </c>
    </row>
    <row r="609" spans="1:6" x14ac:dyDescent="0.35">
      <c r="A609">
        <v>4863</v>
      </c>
      <c r="B609">
        <v>2025</v>
      </c>
      <c r="C609">
        <v>8</v>
      </c>
      <c r="D609" t="s">
        <v>161</v>
      </c>
      <c r="E609" s="75">
        <v>45700</v>
      </c>
      <c r="F609" s="75">
        <v>45706</v>
      </c>
    </row>
    <row r="610" spans="1:6" x14ac:dyDescent="0.35">
      <c r="A610">
        <v>4864</v>
      </c>
      <c r="B610">
        <v>2025</v>
      </c>
      <c r="C610">
        <v>8</v>
      </c>
      <c r="D610" t="s">
        <v>161</v>
      </c>
      <c r="E610" s="75">
        <v>45700</v>
      </c>
      <c r="F610" s="75">
        <v>45706</v>
      </c>
    </row>
    <row r="611" spans="1:6" x14ac:dyDescent="0.35">
      <c r="A611">
        <v>4865</v>
      </c>
      <c r="B611">
        <v>2025</v>
      </c>
      <c r="C611">
        <v>8</v>
      </c>
      <c r="D611" t="s">
        <v>161</v>
      </c>
      <c r="E611" s="75">
        <v>45700</v>
      </c>
      <c r="F611" s="75">
        <v>45706</v>
      </c>
    </row>
    <row r="612" spans="1:6" x14ac:dyDescent="0.35">
      <c r="A612">
        <v>4866</v>
      </c>
      <c r="B612">
        <v>2025</v>
      </c>
      <c r="C612">
        <v>8</v>
      </c>
      <c r="D612" t="s">
        <v>161</v>
      </c>
      <c r="E612" s="75">
        <v>45700</v>
      </c>
      <c r="F612" s="75">
        <v>45706</v>
      </c>
    </row>
    <row r="613" spans="1:6" x14ac:dyDescent="0.35">
      <c r="A613">
        <v>4867</v>
      </c>
      <c r="B613">
        <v>2025</v>
      </c>
      <c r="C613">
        <v>8</v>
      </c>
      <c r="D613" t="s">
        <v>161</v>
      </c>
      <c r="E613" s="75">
        <v>45700</v>
      </c>
      <c r="F613" s="75">
        <v>45706</v>
      </c>
    </row>
    <row r="614" spans="1:6" x14ac:dyDescent="0.35">
      <c r="A614">
        <v>4868</v>
      </c>
      <c r="B614">
        <v>2025</v>
      </c>
      <c r="C614">
        <v>8</v>
      </c>
      <c r="D614" t="s">
        <v>161</v>
      </c>
      <c r="E614" s="75">
        <v>45700</v>
      </c>
      <c r="F614" s="75">
        <v>45706</v>
      </c>
    </row>
    <row r="615" spans="1:6" x14ac:dyDescent="0.35">
      <c r="A615">
        <v>4869</v>
      </c>
      <c r="B615">
        <v>2025</v>
      </c>
      <c r="C615">
        <v>8</v>
      </c>
      <c r="D615" t="s">
        <v>161</v>
      </c>
      <c r="E615" s="75">
        <v>45700</v>
      </c>
      <c r="F615" s="75">
        <v>45706</v>
      </c>
    </row>
    <row r="616" spans="1:6" x14ac:dyDescent="0.35">
      <c r="A616">
        <v>4870</v>
      </c>
      <c r="B616">
        <v>2025</v>
      </c>
      <c r="C616">
        <v>8</v>
      </c>
      <c r="D616" t="s">
        <v>161</v>
      </c>
      <c r="E616" s="75">
        <v>45700</v>
      </c>
      <c r="F616" s="75">
        <v>45706</v>
      </c>
    </row>
    <row r="617" spans="1:6" x14ac:dyDescent="0.35">
      <c r="A617">
        <v>4871</v>
      </c>
      <c r="B617">
        <v>2025</v>
      </c>
      <c r="C617">
        <v>9</v>
      </c>
      <c r="D617" t="s">
        <v>162</v>
      </c>
      <c r="E617" s="75">
        <v>45707</v>
      </c>
      <c r="F617" s="75">
        <v>45713</v>
      </c>
    </row>
    <row r="618" spans="1:6" x14ac:dyDescent="0.35">
      <c r="A618">
        <v>4872</v>
      </c>
      <c r="B618">
        <v>2025</v>
      </c>
      <c r="C618">
        <v>9</v>
      </c>
      <c r="D618" t="s">
        <v>162</v>
      </c>
      <c r="E618" s="75">
        <v>45707</v>
      </c>
      <c r="F618" s="75">
        <v>45713</v>
      </c>
    </row>
    <row r="619" spans="1:6" x14ac:dyDescent="0.35">
      <c r="A619">
        <v>4873</v>
      </c>
      <c r="B619">
        <v>2025</v>
      </c>
      <c r="C619">
        <v>9</v>
      </c>
      <c r="D619" t="s">
        <v>162</v>
      </c>
      <c r="E619" s="75">
        <v>45707</v>
      </c>
      <c r="F619" s="75">
        <v>45713</v>
      </c>
    </row>
    <row r="620" spans="1:6" x14ac:dyDescent="0.35">
      <c r="A620">
        <v>4874</v>
      </c>
      <c r="B620">
        <v>2025</v>
      </c>
      <c r="C620">
        <v>9</v>
      </c>
      <c r="D620" t="s">
        <v>162</v>
      </c>
      <c r="E620" s="75">
        <v>45707</v>
      </c>
      <c r="F620" s="75">
        <v>45713</v>
      </c>
    </row>
    <row r="621" spans="1:6" x14ac:dyDescent="0.35">
      <c r="A621">
        <v>4875</v>
      </c>
      <c r="B621">
        <v>2025</v>
      </c>
      <c r="C621">
        <v>9</v>
      </c>
      <c r="D621" t="s">
        <v>162</v>
      </c>
      <c r="E621" s="75">
        <v>45707</v>
      </c>
      <c r="F621" s="75">
        <v>45713</v>
      </c>
    </row>
    <row r="622" spans="1:6" x14ac:dyDescent="0.35">
      <c r="A622">
        <v>4876</v>
      </c>
      <c r="B622">
        <v>2025</v>
      </c>
      <c r="C622">
        <v>9</v>
      </c>
      <c r="D622" t="s">
        <v>162</v>
      </c>
      <c r="E622" s="75">
        <v>45707</v>
      </c>
      <c r="F622" s="75">
        <v>45713</v>
      </c>
    </row>
    <row r="623" spans="1:6" x14ac:dyDescent="0.35">
      <c r="A623">
        <v>4877</v>
      </c>
      <c r="B623">
        <v>2025</v>
      </c>
      <c r="C623">
        <v>9</v>
      </c>
      <c r="D623" t="s">
        <v>162</v>
      </c>
      <c r="E623" s="75">
        <v>45707</v>
      </c>
      <c r="F623" s="75">
        <v>45713</v>
      </c>
    </row>
    <row r="624" spans="1:6" x14ac:dyDescent="0.35">
      <c r="A624">
        <v>4878</v>
      </c>
      <c r="B624">
        <v>2025</v>
      </c>
      <c r="C624">
        <v>9</v>
      </c>
      <c r="D624" t="s">
        <v>162</v>
      </c>
      <c r="E624" s="75">
        <v>45707</v>
      </c>
      <c r="F624" s="75">
        <v>45713</v>
      </c>
    </row>
    <row r="625" spans="1:6" x14ac:dyDescent="0.35">
      <c r="A625">
        <v>4879</v>
      </c>
      <c r="B625">
        <v>2025</v>
      </c>
      <c r="C625">
        <v>9</v>
      </c>
      <c r="D625" t="s">
        <v>162</v>
      </c>
      <c r="E625" s="75">
        <v>45707</v>
      </c>
      <c r="F625" s="75">
        <v>45713</v>
      </c>
    </row>
    <row r="626" spans="1:6" x14ac:dyDescent="0.35">
      <c r="A626">
        <v>4880</v>
      </c>
      <c r="B626">
        <v>2025</v>
      </c>
      <c r="C626">
        <v>9</v>
      </c>
      <c r="D626" t="s">
        <v>162</v>
      </c>
      <c r="E626" s="75">
        <v>45707</v>
      </c>
      <c r="F626" s="75">
        <v>45713</v>
      </c>
    </row>
    <row r="627" spans="1:6" x14ac:dyDescent="0.35">
      <c r="A627">
        <v>4881</v>
      </c>
      <c r="B627">
        <v>2025</v>
      </c>
      <c r="C627">
        <v>9</v>
      </c>
      <c r="D627" t="s">
        <v>162</v>
      </c>
      <c r="E627" s="75">
        <v>45707</v>
      </c>
      <c r="F627" s="75">
        <v>45713</v>
      </c>
    </row>
    <row r="628" spans="1:6" x14ac:dyDescent="0.35">
      <c r="A628">
        <v>4882</v>
      </c>
      <c r="B628">
        <v>2025</v>
      </c>
      <c r="C628">
        <v>9</v>
      </c>
      <c r="D628" t="s">
        <v>162</v>
      </c>
      <c r="E628" s="75">
        <v>45707</v>
      </c>
      <c r="F628" s="75">
        <v>45713</v>
      </c>
    </row>
    <row r="629" spans="1:6" x14ac:dyDescent="0.35">
      <c r="A629">
        <v>4883</v>
      </c>
      <c r="B629">
        <v>2025</v>
      </c>
      <c r="C629">
        <v>9</v>
      </c>
      <c r="D629" t="s">
        <v>162</v>
      </c>
      <c r="E629" s="75">
        <v>45707</v>
      </c>
      <c r="F629" s="75">
        <v>45713</v>
      </c>
    </row>
    <row r="630" spans="1:6" x14ac:dyDescent="0.35">
      <c r="A630">
        <v>4884</v>
      </c>
      <c r="B630">
        <v>2025</v>
      </c>
      <c r="C630">
        <v>9</v>
      </c>
      <c r="D630" t="s">
        <v>162</v>
      </c>
      <c r="E630" s="75">
        <v>45707</v>
      </c>
      <c r="F630" s="75">
        <v>45713</v>
      </c>
    </row>
    <row r="631" spans="1:6" x14ac:dyDescent="0.35">
      <c r="A631">
        <v>4885</v>
      </c>
      <c r="B631">
        <v>2025</v>
      </c>
      <c r="C631">
        <v>9</v>
      </c>
      <c r="D631" t="s">
        <v>162</v>
      </c>
      <c r="E631" s="75">
        <v>45707</v>
      </c>
      <c r="F631" s="75">
        <v>45713</v>
      </c>
    </row>
    <row r="632" spans="1:6" x14ac:dyDescent="0.35">
      <c r="A632">
        <v>4886</v>
      </c>
      <c r="B632">
        <v>2025</v>
      </c>
      <c r="C632">
        <v>9</v>
      </c>
      <c r="D632" t="s">
        <v>162</v>
      </c>
      <c r="E632" s="75">
        <v>45707</v>
      </c>
      <c r="F632" s="75">
        <v>45713</v>
      </c>
    </row>
    <row r="633" spans="1:6" x14ac:dyDescent="0.35">
      <c r="A633">
        <v>4887</v>
      </c>
      <c r="B633">
        <v>2025</v>
      </c>
      <c r="C633">
        <v>10</v>
      </c>
      <c r="D633" t="s">
        <v>163</v>
      </c>
      <c r="E633" s="75">
        <v>45714</v>
      </c>
      <c r="F633" s="75">
        <v>45720</v>
      </c>
    </row>
    <row r="634" spans="1:6" x14ac:dyDescent="0.35">
      <c r="A634">
        <v>4888</v>
      </c>
      <c r="B634">
        <v>2025</v>
      </c>
      <c r="C634">
        <v>10</v>
      </c>
      <c r="D634" t="s">
        <v>163</v>
      </c>
      <c r="E634" s="75">
        <v>45714</v>
      </c>
      <c r="F634" s="75">
        <v>45720</v>
      </c>
    </row>
    <row r="635" spans="1:6" x14ac:dyDescent="0.35">
      <c r="A635">
        <v>4889</v>
      </c>
      <c r="B635">
        <v>2025</v>
      </c>
      <c r="C635">
        <v>10</v>
      </c>
      <c r="D635" t="s">
        <v>163</v>
      </c>
      <c r="E635" s="75">
        <v>45714</v>
      </c>
      <c r="F635" s="75">
        <v>45720</v>
      </c>
    </row>
    <row r="636" spans="1:6" x14ac:dyDescent="0.35">
      <c r="A636">
        <v>4890</v>
      </c>
      <c r="B636">
        <v>2025</v>
      </c>
      <c r="C636">
        <v>10</v>
      </c>
      <c r="D636" t="s">
        <v>163</v>
      </c>
      <c r="E636" s="75">
        <v>45714</v>
      </c>
      <c r="F636" s="75">
        <v>45720</v>
      </c>
    </row>
    <row r="637" spans="1:6" x14ac:dyDescent="0.35">
      <c r="A637">
        <v>4891</v>
      </c>
      <c r="B637">
        <v>2025</v>
      </c>
      <c r="C637">
        <v>10</v>
      </c>
      <c r="D637" t="s">
        <v>163</v>
      </c>
      <c r="E637" s="75">
        <v>45714</v>
      </c>
      <c r="F637" s="75">
        <v>45720</v>
      </c>
    </row>
    <row r="638" spans="1:6" x14ac:dyDescent="0.35">
      <c r="A638">
        <v>4892</v>
      </c>
      <c r="B638">
        <v>2025</v>
      </c>
      <c r="C638">
        <v>10</v>
      </c>
      <c r="D638" t="s">
        <v>163</v>
      </c>
      <c r="E638" s="75">
        <v>45714</v>
      </c>
      <c r="F638" s="75">
        <v>45720</v>
      </c>
    </row>
    <row r="639" spans="1:6" x14ac:dyDescent="0.35">
      <c r="A639">
        <v>4893</v>
      </c>
      <c r="B639">
        <v>2025</v>
      </c>
      <c r="C639">
        <v>10</v>
      </c>
      <c r="D639" t="s">
        <v>163</v>
      </c>
      <c r="E639" s="75">
        <v>45714</v>
      </c>
      <c r="F639" s="75">
        <v>45720</v>
      </c>
    </row>
    <row r="640" spans="1:6" x14ac:dyDescent="0.35">
      <c r="A640">
        <v>4894</v>
      </c>
      <c r="B640">
        <v>2025</v>
      </c>
      <c r="C640">
        <v>10</v>
      </c>
      <c r="D640" t="s">
        <v>163</v>
      </c>
      <c r="E640" s="75">
        <v>45714</v>
      </c>
      <c r="F640" s="75">
        <v>45720</v>
      </c>
    </row>
    <row r="641" spans="1:6" x14ac:dyDescent="0.35">
      <c r="A641">
        <v>4895</v>
      </c>
      <c r="B641">
        <v>2025</v>
      </c>
      <c r="C641">
        <v>10</v>
      </c>
      <c r="D641" t="s">
        <v>163</v>
      </c>
      <c r="E641" s="75">
        <v>45714</v>
      </c>
      <c r="F641" s="75">
        <v>45720</v>
      </c>
    </row>
    <row r="642" spans="1:6" x14ac:dyDescent="0.35">
      <c r="A642">
        <v>4896</v>
      </c>
      <c r="B642">
        <v>2025</v>
      </c>
      <c r="C642">
        <v>10</v>
      </c>
      <c r="D642" t="s">
        <v>163</v>
      </c>
      <c r="E642" s="75">
        <v>45714</v>
      </c>
      <c r="F642" s="75">
        <v>45720</v>
      </c>
    </row>
    <row r="643" spans="1:6" x14ac:dyDescent="0.35">
      <c r="A643">
        <v>4897</v>
      </c>
      <c r="B643">
        <v>2025</v>
      </c>
      <c r="C643">
        <v>10</v>
      </c>
      <c r="D643" t="s">
        <v>163</v>
      </c>
      <c r="E643" s="75">
        <v>45714</v>
      </c>
      <c r="F643" s="75">
        <v>45720</v>
      </c>
    </row>
    <row r="644" spans="1:6" x14ac:dyDescent="0.35">
      <c r="A644">
        <v>4898</v>
      </c>
      <c r="B644">
        <v>2025</v>
      </c>
      <c r="C644">
        <v>10</v>
      </c>
      <c r="D644" t="s">
        <v>163</v>
      </c>
      <c r="E644" s="75">
        <v>45714</v>
      </c>
      <c r="F644" s="75">
        <v>45720</v>
      </c>
    </row>
    <row r="645" spans="1:6" x14ac:dyDescent="0.35">
      <c r="A645">
        <v>4899</v>
      </c>
      <c r="B645">
        <v>2025</v>
      </c>
      <c r="C645">
        <v>10</v>
      </c>
      <c r="D645" t="s">
        <v>163</v>
      </c>
      <c r="E645" s="75">
        <v>45714</v>
      </c>
      <c r="F645" s="75">
        <v>45720</v>
      </c>
    </row>
    <row r="646" spans="1:6" x14ac:dyDescent="0.35">
      <c r="A646">
        <v>4900</v>
      </c>
      <c r="B646">
        <v>2025</v>
      </c>
      <c r="C646">
        <v>10</v>
      </c>
      <c r="D646" t="s">
        <v>163</v>
      </c>
      <c r="E646" s="75">
        <v>45714</v>
      </c>
      <c r="F646" s="75">
        <v>45720</v>
      </c>
    </row>
    <row r="647" spans="1:6" x14ac:dyDescent="0.35">
      <c r="A647">
        <v>4901</v>
      </c>
      <c r="B647">
        <v>2025</v>
      </c>
      <c r="C647">
        <v>10</v>
      </c>
      <c r="D647" t="s">
        <v>163</v>
      </c>
      <c r="E647" s="75">
        <v>45714</v>
      </c>
      <c r="F647" s="75">
        <v>45720</v>
      </c>
    </row>
    <row r="648" spans="1:6" x14ac:dyDescent="0.35">
      <c r="A648">
        <v>4902</v>
      </c>
      <c r="B648">
        <v>2025</v>
      </c>
      <c r="C648">
        <v>10</v>
      </c>
      <c r="D648" t="s">
        <v>163</v>
      </c>
      <c r="E648" s="75">
        <v>45714</v>
      </c>
      <c r="F648" s="75">
        <v>45720</v>
      </c>
    </row>
    <row r="649" spans="1:6" x14ac:dyDescent="0.35">
      <c r="A649">
        <v>4903</v>
      </c>
      <c r="B649">
        <v>2025</v>
      </c>
      <c r="C649">
        <v>10</v>
      </c>
      <c r="D649" t="s">
        <v>163</v>
      </c>
      <c r="E649" s="75">
        <v>45714</v>
      </c>
      <c r="F649" s="75">
        <v>45720</v>
      </c>
    </row>
    <row r="650" spans="1:6" x14ac:dyDescent="0.35">
      <c r="A650">
        <v>4904</v>
      </c>
      <c r="B650">
        <v>2025</v>
      </c>
      <c r="C650">
        <v>10</v>
      </c>
      <c r="D650" t="s">
        <v>163</v>
      </c>
      <c r="E650" s="75">
        <v>45714</v>
      </c>
      <c r="F650" s="75">
        <v>45720</v>
      </c>
    </row>
    <row r="651" spans="1:6" x14ac:dyDescent="0.35">
      <c r="A651">
        <v>4905</v>
      </c>
      <c r="B651">
        <v>2025</v>
      </c>
      <c r="C651">
        <v>10</v>
      </c>
      <c r="D651" t="s">
        <v>163</v>
      </c>
      <c r="E651" s="75">
        <v>45714</v>
      </c>
      <c r="F651" s="75">
        <v>45720</v>
      </c>
    </row>
    <row r="652" spans="1:6" x14ac:dyDescent="0.35">
      <c r="A652">
        <v>4906</v>
      </c>
      <c r="B652">
        <v>2025</v>
      </c>
      <c r="C652">
        <v>10</v>
      </c>
      <c r="D652" t="s">
        <v>163</v>
      </c>
      <c r="E652" s="75">
        <v>45714</v>
      </c>
      <c r="F652" s="75">
        <v>45720</v>
      </c>
    </row>
    <row r="653" spans="1:6" x14ac:dyDescent="0.35">
      <c r="A653">
        <v>4907</v>
      </c>
      <c r="B653">
        <v>2025</v>
      </c>
      <c r="C653">
        <v>10</v>
      </c>
      <c r="D653" t="s">
        <v>163</v>
      </c>
      <c r="E653" s="75">
        <v>45714</v>
      </c>
      <c r="F653" s="75">
        <v>45720</v>
      </c>
    </row>
    <row r="654" spans="1:6" x14ac:dyDescent="0.35">
      <c r="A654">
        <v>4908</v>
      </c>
      <c r="B654">
        <v>2025</v>
      </c>
      <c r="C654">
        <v>10</v>
      </c>
      <c r="D654" t="s">
        <v>163</v>
      </c>
      <c r="E654" s="75">
        <v>45714</v>
      </c>
      <c r="F654" s="75">
        <v>45720</v>
      </c>
    </row>
    <row r="655" spans="1:6" x14ac:dyDescent="0.35">
      <c r="A655">
        <v>4909</v>
      </c>
      <c r="B655">
        <v>2025</v>
      </c>
      <c r="C655">
        <v>10</v>
      </c>
      <c r="D655" t="s">
        <v>163</v>
      </c>
      <c r="E655" s="75">
        <v>45714</v>
      </c>
      <c r="F655" s="75">
        <v>45720</v>
      </c>
    </row>
    <row r="656" spans="1:6" x14ac:dyDescent="0.35">
      <c r="A656">
        <v>4910</v>
      </c>
      <c r="B656">
        <v>2025</v>
      </c>
      <c r="C656">
        <v>10</v>
      </c>
      <c r="D656" t="s">
        <v>163</v>
      </c>
      <c r="E656" s="75">
        <v>45714</v>
      </c>
      <c r="F656" s="75">
        <v>45720</v>
      </c>
    </row>
    <row r="657" spans="1:6" x14ac:dyDescent="0.35">
      <c r="A657">
        <v>4911</v>
      </c>
      <c r="B657">
        <v>2025</v>
      </c>
      <c r="C657">
        <v>10</v>
      </c>
      <c r="D657" t="s">
        <v>163</v>
      </c>
      <c r="E657" s="75">
        <v>45714</v>
      </c>
      <c r="F657" s="75">
        <v>45720</v>
      </c>
    </row>
    <row r="658" spans="1:6" x14ac:dyDescent="0.35">
      <c r="A658">
        <v>4912</v>
      </c>
      <c r="B658">
        <v>2025</v>
      </c>
      <c r="C658">
        <v>10</v>
      </c>
      <c r="D658" t="s">
        <v>163</v>
      </c>
      <c r="E658" s="75">
        <v>45714</v>
      </c>
      <c r="F658" s="75">
        <v>45720</v>
      </c>
    </row>
    <row r="659" spans="1:6" x14ac:dyDescent="0.35">
      <c r="A659">
        <v>4913</v>
      </c>
      <c r="B659">
        <v>2025</v>
      </c>
      <c r="C659">
        <v>10</v>
      </c>
      <c r="D659" t="s">
        <v>163</v>
      </c>
      <c r="E659" s="75">
        <v>45714</v>
      </c>
      <c r="F659" s="75">
        <v>45720</v>
      </c>
    </row>
    <row r="660" spans="1:6" x14ac:dyDescent="0.35">
      <c r="A660">
        <v>4914</v>
      </c>
      <c r="B660">
        <v>2025</v>
      </c>
      <c r="C660">
        <v>10</v>
      </c>
      <c r="D660" t="s">
        <v>163</v>
      </c>
      <c r="E660" s="75">
        <v>45714</v>
      </c>
      <c r="F660" s="75">
        <v>45720</v>
      </c>
    </row>
    <row r="661" spans="1:6" x14ac:dyDescent="0.35">
      <c r="A661">
        <v>4915</v>
      </c>
      <c r="B661">
        <v>2025</v>
      </c>
      <c r="C661">
        <v>10</v>
      </c>
      <c r="D661" t="s">
        <v>163</v>
      </c>
      <c r="E661" s="75">
        <v>45714</v>
      </c>
      <c r="F661" s="75">
        <v>45720</v>
      </c>
    </row>
    <row r="662" spans="1:6" x14ac:dyDescent="0.35">
      <c r="A662">
        <v>4916</v>
      </c>
      <c r="B662">
        <v>2025</v>
      </c>
      <c r="C662">
        <v>11</v>
      </c>
      <c r="D662" t="s">
        <v>164</v>
      </c>
      <c r="E662" s="75">
        <v>45721</v>
      </c>
      <c r="F662" s="75">
        <v>45727</v>
      </c>
    </row>
    <row r="663" spans="1:6" x14ac:dyDescent="0.35">
      <c r="A663">
        <v>4917</v>
      </c>
      <c r="B663">
        <v>2025</v>
      </c>
      <c r="C663">
        <v>11</v>
      </c>
      <c r="D663" t="s">
        <v>164</v>
      </c>
      <c r="E663" s="75">
        <v>45721</v>
      </c>
      <c r="F663" s="75">
        <v>45727</v>
      </c>
    </row>
    <row r="664" spans="1:6" x14ac:dyDescent="0.35">
      <c r="A664">
        <v>4918</v>
      </c>
      <c r="B664">
        <v>2025</v>
      </c>
      <c r="C664">
        <v>11</v>
      </c>
      <c r="D664" t="s">
        <v>164</v>
      </c>
      <c r="E664" s="75">
        <v>45721</v>
      </c>
      <c r="F664" s="75">
        <v>45727</v>
      </c>
    </row>
    <row r="665" spans="1:6" x14ac:dyDescent="0.35">
      <c r="A665">
        <v>4919</v>
      </c>
      <c r="B665">
        <v>2025</v>
      </c>
      <c r="C665">
        <v>11</v>
      </c>
      <c r="D665" t="s">
        <v>164</v>
      </c>
      <c r="E665" s="75">
        <v>45721</v>
      </c>
      <c r="F665" s="75">
        <v>45727</v>
      </c>
    </row>
    <row r="666" spans="1:6" x14ac:dyDescent="0.35">
      <c r="A666">
        <v>4920</v>
      </c>
      <c r="B666">
        <v>2025</v>
      </c>
      <c r="C666">
        <v>11</v>
      </c>
      <c r="D666" t="s">
        <v>164</v>
      </c>
      <c r="E666" s="75">
        <v>45721</v>
      </c>
      <c r="F666" s="75">
        <v>45727</v>
      </c>
    </row>
    <row r="667" spans="1:6" x14ac:dyDescent="0.35">
      <c r="A667">
        <v>4921</v>
      </c>
      <c r="B667">
        <v>2025</v>
      </c>
      <c r="C667">
        <v>11</v>
      </c>
      <c r="D667" t="s">
        <v>164</v>
      </c>
      <c r="E667" s="75">
        <v>45721</v>
      </c>
      <c r="F667" s="75">
        <v>45727</v>
      </c>
    </row>
    <row r="668" spans="1:6" x14ac:dyDescent="0.35">
      <c r="A668">
        <v>4922</v>
      </c>
      <c r="B668">
        <v>2025</v>
      </c>
      <c r="C668">
        <v>11</v>
      </c>
      <c r="D668" t="s">
        <v>164</v>
      </c>
      <c r="E668" s="75">
        <v>45721</v>
      </c>
      <c r="F668" s="75">
        <v>45727</v>
      </c>
    </row>
    <row r="669" spans="1:6" x14ac:dyDescent="0.35">
      <c r="A669">
        <v>4923</v>
      </c>
      <c r="B669">
        <v>2025</v>
      </c>
      <c r="C669">
        <v>11</v>
      </c>
      <c r="D669" t="s">
        <v>164</v>
      </c>
      <c r="E669" s="75">
        <v>45721</v>
      </c>
      <c r="F669" s="75">
        <v>45727</v>
      </c>
    </row>
    <row r="670" spans="1:6" x14ac:dyDescent="0.35">
      <c r="A670">
        <v>4924</v>
      </c>
      <c r="B670">
        <v>2025</v>
      </c>
      <c r="C670">
        <v>11</v>
      </c>
      <c r="D670" t="s">
        <v>164</v>
      </c>
      <c r="E670" s="75">
        <v>45721</v>
      </c>
      <c r="F670" s="75">
        <v>45727</v>
      </c>
    </row>
    <row r="671" spans="1:6" x14ac:dyDescent="0.35">
      <c r="A671">
        <v>4925</v>
      </c>
      <c r="B671">
        <v>2025</v>
      </c>
      <c r="C671">
        <v>11</v>
      </c>
      <c r="D671" t="s">
        <v>164</v>
      </c>
      <c r="E671" s="75">
        <v>45721</v>
      </c>
      <c r="F671" s="75">
        <v>45727</v>
      </c>
    </row>
    <row r="672" spans="1:6" x14ac:dyDescent="0.35">
      <c r="A672">
        <v>4926</v>
      </c>
      <c r="B672">
        <v>2025</v>
      </c>
      <c r="C672">
        <v>11</v>
      </c>
      <c r="D672" t="s">
        <v>164</v>
      </c>
      <c r="E672" s="75">
        <v>45721</v>
      </c>
      <c r="F672" s="75">
        <v>45727</v>
      </c>
    </row>
    <row r="673" spans="1:6" x14ac:dyDescent="0.35">
      <c r="A673">
        <v>4927</v>
      </c>
      <c r="B673">
        <v>2025</v>
      </c>
      <c r="C673">
        <v>11</v>
      </c>
      <c r="D673" t="s">
        <v>164</v>
      </c>
      <c r="E673" s="75">
        <v>45721</v>
      </c>
      <c r="F673" s="75">
        <v>45727</v>
      </c>
    </row>
    <row r="674" spans="1:6" x14ac:dyDescent="0.35">
      <c r="A674">
        <v>4928</v>
      </c>
      <c r="B674">
        <v>2025</v>
      </c>
      <c r="C674">
        <v>11</v>
      </c>
      <c r="D674" t="s">
        <v>164</v>
      </c>
      <c r="E674" s="75">
        <v>45721</v>
      </c>
      <c r="F674" s="75">
        <v>45727</v>
      </c>
    </row>
    <row r="675" spans="1:6" x14ac:dyDescent="0.35">
      <c r="A675">
        <v>4929</v>
      </c>
      <c r="B675">
        <v>2025</v>
      </c>
      <c r="C675">
        <v>11</v>
      </c>
      <c r="D675" t="s">
        <v>164</v>
      </c>
      <c r="E675" s="75">
        <v>45721</v>
      </c>
      <c r="F675" s="75">
        <v>45727</v>
      </c>
    </row>
    <row r="676" spans="1:6" x14ac:dyDescent="0.35">
      <c r="A676">
        <v>4930</v>
      </c>
      <c r="B676">
        <v>2025</v>
      </c>
      <c r="C676">
        <v>11</v>
      </c>
      <c r="D676" t="s">
        <v>164</v>
      </c>
      <c r="E676" s="75">
        <v>45721</v>
      </c>
      <c r="F676" s="75">
        <v>45727</v>
      </c>
    </row>
    <row r="677" spans="1:6" x14ac:dyDescent="0.35">
      <c r="A677">
        <v>4931</v>
      </c>
      <c r="B677">
        <v>2025</v>
      </c>
      <c r="C677">
        <v>11</v>
      </c>
      <c r="D677" t="s">
        <v>164</v>
      </c>
      <c r="E677" s="75">
        <v>45721</v>
      </c>
      <c r="F677" s="75">
        <v>45727</v>
      </c>
    </row>
    <row r="678" spans="1:6" x14ac:dyDescent="0.35">
      <c r="A678">
        <v>4932</v>
      </c>
      <c r="B678">
        <v>2025</v>
      </c>
      <c r="C678">
        <v>11</v>
      </c>
      <c r="D678" t="s">
        <v>164</v>
      </c>
      <c r="E678" s="75">
        <v>45721</v>
      </c>
      <c r="F678" s="75">
        <v>45727</v>
      </c>
    </row>
    <row r="679" spans="1:6" x14ac:dyDescent="0.35">
      <c r="A679">
        <v>4933</v>
      </c>
      <c r="B679">
        <v>2025</v>
      </c>
      <c r="C679">
        <v>11</v>
      </c>
      <c r="D679" t="s">
        <v>164</v>
      </c>
      <c r="E679" s="75">
        <v>45721</v>
      </c>
      <c r="F679" s="75">
        <v>45727</v>
      </c>
    </row>
    <row r="680" spans="1:6" x14ac:dyDescent="0.35">
      <c r="A680">
        <v>4934</v>
      </c>
      <c r="B680">
        <v>2025</v>
      </c>
      <c r="C680">
        <v>12</v>
      </c>
      <c r="D680" t="s">
        <v>165</v>
      </c>
      <c r="E680" s="75">
        <v>45728</v>
      </c>
      <c r="F680" s="75">
        <v>45734</v>
      </c>
    </row>
    <row r="681" spans="1:6" x14ac:dyDescent="0.35">
      <c r="A681">
        <v>4935</v>
      </c>
      <c r="B681">
        <v>2025</v>
      </c>
      <c r="C681">
        <v>12</v>
      </c>
      <c r="D681" t="s">
        <v>165</v>
      </c>
      <c r="E681" s="75">
        <v>45728</v>
      </c>
      <c r="F681" s="75">
        <v>45734</v>
      </c>
    </row>
    <row r="682" spans="1:6" x14ac:dyDescent="0.35">
      <c r="A682">
        <v>4936</v>
      </c>
      <c r="B682">
        <v>2025</v>
      </c>
      <c r="C682">
        <v>12</v>
      </c>
      <c r="D682" t="s">
        <v>165</v>
      </c>
      <c r="E682" s="75">
        <v>45728</v>
      </c>
      <c r="F682" s="75">
        <v>45734</v>
      </c>
    </row>
    <row r="683" spans="1:6" x14ac:dyDescent="0.35">
      <c r="A683">
        <v>4937</v>
      </c>
      <c r="B683">
        <v>2025</v>
      </c>
      <c r="C683">
        <v>12</v>
      </c>
      <c r="D683" t="s">
        <v>165</v>
      </c>
      <c r="E683" s="75">
        <v>45728</v>
      </c>
      <c r="F683" s="75">
        <v>45734</v>
      </c>
    </row>
    <row r="684" spans="1:6" x14ac:dyDescent="0.35">
      <c r="A684">
        <v>4938</v>
      </c>
      <c r="B684">
        <v>2025</v>
      </c>
      <c r="C684">
        <v>12</v>
      </c>
      <c r="D684" t="s">
        <v>165</v>
      </c>
      <c r="E684" s="75">
        <v>45728</v>
      </c>
      <c r="F684" s="75">
        <v>45734</v>
      </c>
    </row>
    <row r="685" spans="1:6" x14ac:dyDescent="0.35">
      <c r="A685">
        <v>4939</v>
      </c>
      <c r="B685">
        <v>2025</v>
      </c>
      <c r="C685">
        <v>12</v>
      </c>
      <c r="D685" t="s">
        <v>165</v>
      </c>
      <c r="E685" s="75">
        <v>45728</v>
      </c>
      <c r="F685" s="75">
        <v>45734</v>
      </c>
    </row>
    <row r="686" spans="1:6" x14ac:dyDescent="0.35">
      <c r="A686">
        <v>4940</v>
      </c>
      <c r="B686">
        <v>2025</v>
      </c>
      <c r="C686">
        <v>12</v>
      </c>
      <c r="D686" t="s">
        <v>165</v>
      </c>
      <c r="E686" s="75">
        <v>45728</v>
      </c>
      <c r="F686" s="75">
        <v>45734</v>
      </c>
    </row>
    <row r="687" spans="1:6" x14ac:dyDescent="0.35">
      <c r="A687">
        <v>4941</v>
      </c>
      <c r="B687">
        <v>2025</v>
      </c>
      <c r="C687">
        <v>12</v>
      </c>
      <c r="D687" t="s">
        <v>165</v>
      </c>
      <c r="E687" s="75">
        <v>45728</v>
      </c>
      <c r="F687" s="75">
        <v>45734</v>
      </c>
    </row>
    <row r="688" spans="1:6" x14ac:dyDescent="0.35">
      <c r="A688">
        <v>4942</v>
      </c>
      <c r="B688">
        <v>2025</v>
      </c>
      <c r="C688">
        <v>12</v>
      </c>
      <c r="D688" t="s">
        <v>165</v>
      </c>
      <c r="E688" s="75">
        <v>45728</v>
      </c>
      <c r="F688" s="75">
        <v>45734</v>
      </c>
    </row>
    <row r="689" spans="1:6" x14ac:dyDescent="0.35">
      <c r="A689">
        <v>4943</v>
      </c>
      <c r="B689">
        <v>2025</v>
      </c>
      <c r="C689">
        <v>12</v>
      </c>
      <c r="D689" t="s">
        <v>165</v>
      </c>
      <c r="E689" s="75">
        <v>45728</v>
      </c>
      <c r="F689" s="75">
        <v>45734</v>
      </c>
    </row>
    <row r="690" spans="1:6" x14ac:dyDescent="0.35">
      <c r="A690">
        <v>4944</v>
      </c>
      <c r="B690">
        <v>2025</v>
      </c>
      <c r="C690">
        <v>12</v>
      </c>
      <c r="D690" t="s">
        <v>165</v>
      </c>
      <c r="E690" s="75">
        <v>45728</v>
      </c>
      <c r="F690" s="75">
        <v>45734</v>
      </c>
    </row>
    <row r="691" spans="1:6" x14ac:dyDescent="0.35">
      <c r="A691">
        <v>4945</v>
      </c>
      <c r="B691">
        <v>2025</v>
      </c>
      <c r="C691">
        <v>12</v>
      </c>
      <c r="D691" t="s">
        <v>165</v>
      </c>
      <c r="E691" s="75">
        <v>45728</v>
      </c>
      <c r="F691" s="75">
        <v>45734</v>
      </c>
    </row>
    <row r="692" spans="1:6" x14ac:dyDescent="0.35">
      <c r="A692">
        <v>4946</v>
      </c>
      <c r="B692">
        <v>2025</v>
      </c>
      <c r="C692">
        <v>12</v>
      </c>
      <c r="D692" t="s">
        <v>165</v>
      </c>
      <c r="E692" s="75">
        <v>45728</v>
      </c>
      <c r="F692" s="75">
        <v>45734</v>
      </c>
    </row>
    <row r="693" spans="1:6" x14ac:dyDescent="0.35">
      <c r="A693">
        <v>4947</v>
      </c>
      <c r="B693">
        <v>2025</v>
      </c>
      <c r="C693">
        <v>12</v>
      </c>
      <c r="D693" t="s">
        <v>165</v>
      </c>
      <c r="E693" s="75">
        <v>45728</v>
      </c>
      <c r="F693" s="75">
        <v>45734</v>
      </c>
    </row>
    <row r="694" spans="1:6" x14ac:dyDescent="0.35">
      <c r="A694">
        <v>4948</v>
      </c>
      <c r="B694">
        <v>2025</v>
      </c>
      <c r="C694">
        <v>12</v>
      </c>
      <c r="D694" t="s">
        <v>165</v>
      </c>
      <c r="E694" s="75">
        <v>45728</v>
      </c>
      <c r="F694" s="75">
        <v>45734</v>
      </c>
    </row>
    <row r="695" spans="1:6" x14ac:dyDescent="0.35">
      <c r="A695">
        <v>4949</v>
      </c>
      <c r="B695">
        <v>2025</v>
      </c>
      <c r="C695">
        <v>12</v>
      </c>
      <c r="D695" t="s">
        <v>165</v>
      </c>
      <c r="E695" s="75">
        <v>45728</v>
      </c>
      <c r="F695" s="75">
        <v>45734</v>
      </c>
    </row>
    <row r="696" spans="1:6" x14ac:dyDescent="0.35">
      <c r="A696">
        <v>4950</v>
      </c>
      <c r="B696">
        <v>2025</v>
      </c>
      <c r="C696">
        <v>12</v>
      </c>
      <c r="D696" t="s">
        <v>165</v>
      </c>
      <c r="E696" s="75">
        <v>45728</v>
      </c>
      <c r="F696" s="75">
        <v>45734</v>
      </c>
    </row>
    <row r="697" spans="1:6" x14ac:dyDescent="0.35">
      <c r="A697">
        <v>4951</v>
      </c>
      <c r="B697">
        <v>2025</v>
      </c>
      <c r="C697">
        <v>12</v>
      </c>
      <c r="D697" t="s">
        <v>165</v>
      </c>
      <c r="E697" s="75">
        <v>45728</v>
      </c>
      <c r="F697" s="75">
        <v>45734</v>
      </c>
    </row>
    <row r="698" spans="1:6" x14ac:dyDescent="0.35">
      <c r="A698">
        <v>4952</v>
      </c>
      <c r="B698">
        <v>2025</v>
      </c>
      <c r="C698">
        <v>12</v>
      </c>
      <c r="D698" t="s">
        <v>165</v>
      </c>
      <c r="E698" s="75">
        <v>45728</v>
      </c>
      <c r="F698" s="75">
        <v>45734</v>
      </c>
    </row>
    <row r="699" spans="1:6" x14ac:dyDescent="0.35">
      <c r="A699">
        <v>4953</v>
      </c>
      <c r="B699">
        <v>2025</v>
      </c>
      <c r="C699">
        <v>12</v>
      </c>
      <c r="D699" t="s">
        <v>165</v>
      </c>
      <c r="E699" s="75">
        <v>45728</v>
      </c>
      <c r="F699" s="75">
        <v>45734</v>
      </c>
    </row>
    <row r="700" spans="1:6" x14ac:dyDescent="0.35">
      <c r="A700">
        <v>4954</v>
      </c>
      <c r="B700">
        <v>2025</v>
      </c>
      <c r="C700">
        <v>12</v>
      </c>
      <c r="D700" t="s">
        <v>165</v>
      </c>
      <c r="E700" s="75">
        <v>45728</v>
      </c>
      <c r="F700" s="75">
        <v>45734</v>
      </c>
    </row>
    <row r="701" spans="1:6" x14ac:dyDescent="0.35">
      <c r="A701">
        <v>4955</v>
      </c>
      <c r="B701">
        <v>2025</v>
      </c>
      <c r="C701">
        <v>12</v>
      </c>
      <c r="D701" t="s">
        <v>165</v>
      </c>
      <c r="E701" s="75">
        <v>45728</v>
      </c>
      <c r="F701" s="75">
        <v>45734</v>
      </c>
    </row>
    <row r="702" spans="1:6" x14ac:dyDescent="0.35">
      <c r="A702">
        <v>4956</v>
      </c>
      <c r="B702">
        <v>2025</v>
      </c>
      <c r="C702">
        <v>12</v>
      </c>
      <c r="D702" t="s">
        <v>165</v>
      </c>
      <c r="E702" s="75">
        <v>45728</v>
      </c>
      <c r="F702" s="75">
        <v>45734</v>
      </c>
    </row>
    <row r="703" spans="1:6" x14ac:dyDescent="0.35">
      <c r="A703">
        <v>4957</v>
      </c>
      <c r="B703">
        <v>2025</v>
      </c>
      <c r="C703">
        <v>12</v>
      </c>
      <c r="D703" t="s">
        <v>165</v>
      </c>
      <c r="E703" s="75">
        <v>45728</v>
      </c>
      <c r="F703" s="75">
        <v>45734</v>
      </c>
    </row>
    <row r="704" spans="1:6" x14ac:dyDescent="0.35">
      <c r="A704">
        <v>4958</v>
      </c>
      <c r="B704">
        <v>2025</v>
      </c>
      <c r="C704">
        <v>12</v>
      </c>
      <c r="D704" t="s">
        <v>165</v>
      </c>
      <c r="E704" s="75">
        <v>45728</v>
      </c>
      <c r="F704" s="75">
        <v>45734</v>
      </c>
    </row>
    <row r="705" spans="1:6" x14ac:dyDescent="0.35">
      <c r="A705">
        <v>4959</v>
      </c>
      <c r="B705">
        <v>2025</v>
      </c>
      <c r="C705">
        <v>12</v>
      </c>
      <c r="D705" t="s">
        <v>165</v>
      </c>
      <c r="E705" s="75">
        <v>45728</v>
      </c>
      <c r="F705" s="75">
        <v>45734</v>
      </c>
    </row>
    <row r="706" spans="1:6" x14ac:dyDescent="0.35">
      <c r="A706">
        <v>4960</v>
      </c>
      <c r="B706">
        <v>2025</v>
      </c>
      <c r="C706">
        <v>12</v>
      </c>
      <c r="D706" t="s">
        <v>165</v>
      </c>
      <c r="E706" s="75">
        <v>45728</v>
      </c>
      <c r="F706" s="75">
        <v>45734</v>
      </c>
    </row>
    <row r="707" spans="1:6" x14ac:dyDescent="0.35">
      <c r="A707">
        <v>4961</v>
      </c>
      <c r="B707">
        <v>2025</v>
      </c>
      <c r="C707">
        <v>12</v>
      </c>
      <c r="D707" t="s">
        <v>165</v>
      </c>
      <c r="E707" s="75">
        <v>45728</v>
      </c>
      <c r="F707" s="75">
        <v>45734</v>
      </c>
    </row>
    <row r="708" spans="1:6" x14ac:dyDescent="0.35">
      <c r="A708">
        <v>4962</v>
      </c>
      <c r="B708">
        <v>2025</v>
      </c>
      <c r="C708">
        <v>12</v>
      </c>
      <c r="D708" t="s">
        <v>165</v>
      </c>
      <c r="E708" s="75">
        <v>45728</v>
      </c>
      <c r="F708" s="75">
        <v>45734</v>
      </c>
    </row>
    <row r="709" spans="1:6" x14ac:dyDescent="0.35">
      <c r="A709">
        <v>4963</v>
      </c>
      <c r="B709">
        <v>2025</v>
      </c>
      <c r="C709">
        <v>12</v>
      </c>
      <c r="D709" t="s">
        <v>165</v>
      </c>
      <c r="E709" s="75">
        <v>45728</v>
      </c>
      <c r="F709" s="75">
        <v>45734</v>
      </c>
    </row>
    <row r="710" spans="1:6" x14ac:dyDescent="0.35">
      <c r="A710">
        <v>4964</v>
      </c>
      <c r="B710">
        <v>2025</v>
      </c>
      <c r="C710">
        <v>12</v>
      </c>
      <c r="D710" t="s">
        <v>165</v>
      </c>
      <c r="E710" s="75">
        <v>45728</v>
      </c>
      <c r="F710" s="75">
        <v>45734</v>
      </c>
    </row>
    <row r="711" spans="1:6" x14ac:dyDescent="0.35">
      <c r="A711">
        <v>4965</v>
      </c>
      <c r="B711">
        <v>2025</v>
      </c>
      <c r="C711">
        <v>12</v>
      </c>
      <c r="D711" t="s">
        <v>165</v>
      </c>
      <c r="E711" s="75">
        <v>45728</v>
      </c>
      <c r="F711" s="75">
        <v>45734</v>
      </c>
    </row>
    <row r="712" spans="1:6" x14ac:dyDescent="0.35">
      <c r="A712">
        <v>4966</v>
      </c>
      <c r="B712">
        <v>2025</v>
      </c>
      <c r="C712">
        <v>12</v>
      </c>
      <c r="D712" t="s">
        <v>165</v>
      </c>
      <c r="E712" s="75">
        <v>45728</v>
      </c>
      <c r="F712" s="75">
        <v>45734</v>
      </c>
    </row>
    <row r="713" spans="1:6" x14ac:dyDescent="0.35">
      <c r="A713">
        <v>4967</v>
      </c>
      <c r="B713">
        <v>2025</v>
      </c>
      <c r="C713">
        <v>13</v>
      </c>
      <c r="D713" t="s">
        <v>166</v>
      </c>
      <c r="E713" s="75">
        <v>45735</v>
      </c>
      <c r="F713" s="75">
        <v>45741</v>
      </c>
    </row>
    <row r="714" spans="1:6" x14ac:dyDescent="0.35">
      <c r="A714">
        <v>4968</v>
      </c>
      <c r="B714">
        <v>2025</v>
      </c>
      <c r="C714">
        <v>13</v>
      </c>
      <c r="D714" t="s">
        <v>166</v>
      </c>
      <c r="E714" s="75">
        <v>45735</v>
      </c>
      <c r="F714" s="75">
        <v>45741</v>
      </c>
    </row>
    <row r="715" spans="1:6" x14ac:dyDescent="0.35">
      <c r="A715">
        <v>4969</v>
      </c>
      <c r="B715">
        <v>2025</v>
      </c>
      <c r="C715">
        <v>13</v>
      </c>
      <c r="D715" t="s">
        <v>166</v>
      </c>
      <c r="E715" s="75">
        <v>45735</v>
      </c>
      <c r="F715" s="75">
        <v>45741</v>
      </c>
    </row>
    <row r="716" spans="1:6" x14ac:dyDescent="0.35">
      <c r="A716">
        <v>4970</v>
      </c>
      <c r="B716">
        <v>2025</v>
      </c>
      <c r="C716">
        <v>13</v>
      </c>
      <c r="D716" t="s">
        <v>166</v>
      </c>
      <c r="E716" s="75">
        <v>45735</v>
      </c>
      <c r="F716" s="75">
        <v>45741</v>
      </c>
    </row>
    <row r="717" spans="1:6" x14ac:dyDescent="0.35">
      <c r="A717">
        <v>4971</v>
      </c>
      <c r="B717">
        <v>2025</v>
      </c>
      <c r="C717">
        <v>13</v>
      </c>
      <c r="D717" t="s">
        <v>166</v>
      </c>
      <c r="E717" s="75">
        <v>45735</v>
      </c>
      <c r="F717" s="75">
        <v>45741</v>
      </c>
    </row>
    <row r="718" spans="1:6" x14ac:dyDescent="0.35">
      <c r="A718">
        <v>4972</v>
      </c>
      <c r="B718">
        <v>2025</v>
      </c>
      <c r="C718">
        <v>13</v>
      </c>
      <c r="D718" t="s">
        <v>166</v>
      </c>
      <c r="E718" s="75">
        <v>45735</v>
      </c>
      <c r="F718" s="75">
        <v>45741</v>
      </c>
    </row>
    <row r="719" spans="1:6" x14ac:dyDescent="0.35">
      <c r="A719">
        <v>4973</v>
      </c>
      <c r="B719">
        <v>2025</v>
      </c>
      <c r="C719">
        <v>13</v>
      </c>
      <c r="D719" t="s">
        <v>166</v>
      </c>
      <c r="E719" s="75">
        <v>45735</v>
      </c>
      <c r="F719" s="75">
        <v>45741</v>
      </c>
    </row>
    <row r="720" spans="1:6" x14ac:dyDescent="0.35">
      <c r="A720">
        <v>4974</v>
      </c>
      <c r="B720">
        <v>2025</v>
      </c>
      <c r="C720">
        <v>13</v>
      </c>
      <c r="D720" t="s">
        <v>166</v>
      </c>
      <c r="E720" s="75">
        <v>45735</v>
      </c>
      <c r="F720" s="75">
        <v>45741</v>
      </c>
    </row>
    <row r="721" spans="1:6" x14ac:dyDescent="0.35">
      <c r="A721">
        <v>4975</v>
      </c>
      <c r="B721">
        <v>2025</v>
      </c>
      <c r="C721">
        <v>13</v>
      </c>
      <c r="D721" t="s">
        <v>166</v>
      </c>
      <c r="E721" s="75">
        <v>45735</v>
      </c>
      <c r="F721" s="75">
        <v>45741</v>
      </c>
    </row>
    <row r="722" spans="1:6" x14ac:dyDescent="0.35">
      <c r="A722">
        <v>4976</v>
      </c>
      <c r="B722">
        <v>2025</v>
      </c>
      <c r="C722">
        <v>13</v>
      </c>
      <c r="D722" t="s">
        <v>166</v>
      </c>
      <c r="E722" s="75">
        <v>45735</v>
      </c>
      <c r="F722" s="75">
        <v>45741</v>
      </c>
    </row>
    <row r="723" spans="1:6" x14ac:dyDescent="0.35">
      <c r="A723">
        <v>4977</v>
      </c>
      <c r="B723">
        <v>2025</v>
      </c>
      <c r="C723">
        <v>13</v>
      </c>
      <c r="D723" t="s">
        <v>166</v>
      </c>
      <c r="E723" s="75">
        <v>45735</v>
      </c>
      <c r="F723" s="75">
        <v>45741</v>
      </c>
    </row>
    <row r="724" spans="1:6" x14ac:dyDescent="0.35">
      <c r="A724">
        <v>4978</v>
      </c>
      <c r="B724">
        <v>2025</v>
      </c>
      <c r="C724">
        <v>13</v>
      </c>
      <c r="D724" t="s">
        <v>166</v>
      </c>
      <c r="E724" s="75">
        <v>45735</v>
      </c>
      <c r="F724" s="75">
        <v>45741</v>
      </c>
    </row>
    <row r="725" spans="1:6" x14ac:dyDescent="0.35">
      <c r="A725">
        <v>4979</v>
      </c>
      <c r="B725">
        <v>2025</v>
      </c>
      <c r="C725">
        <v>13</v>
      </c>
      <c r="D725" t="s">
        <v>166</v>
      </c>
      <c r="E725" s="75">
        <v>45735</v>
      </c>
      <c r="F725" s="75">
        <v>45741</v>
      </c>
    </row>
    <row r="726" spans="1:6" x14ac:dyDescent="0.35">
      <c r="A726">
        <v>4980</v>
      </c>
      <c r="B726">
        <v>2025</v>
      </c>
      <c r="C726">
        <v>13</v>
      </c>
      <c r="D726" t="s">
        <v>166</v>
      </c>
      <c r="E726" s="75">
        <v>45735</v>
      </c>
      <c r="F726" s="75">
        <v>45741</v>
      </c>
    </row>
    <row r="727" spans="1:6" x14ac:dyDescent="0.35">
      <c r="A727">
        <v>4981</v>
      </c>
      <c r="B727">
        <v>2025</v>
      </c>
      <c r="C727">
        <v>13</v>
      </c>
      <c r="D727" t="s">
        <v>166</v>
      </c>
      <c r="E727" s="75">
        <v>45735</v>
      </c>
      <c r="F727" s="75">
        <v>45741</v>
      </c>
    </row>
    <row r="728" spans="1:6" x14ac:dyDescent="0.35">
      <c r="A728">
        <v>4982</v>
      </c>
      <c r="B728">
        <v>2025</v>
      </c>
      <c r="C728">
        <v>13</v>
      </c>
      <c r="D728" t="s">
        <v>166</v>
      </c>
      <c r="E728" s="75">
        <v>45735</v>
      </c>
      <c r="F728" s="75">
        <v>45741</v>
      </c>
    </row>
    <row r="729" spans="1:6" x14ac:dyDescent="0.35">
      <c r="A729">
        <v>4983</v>
      </c>
      <c r="B729">
        <v>2025</v>
      </c>
      <c r="C729">
        <v>13</v>
      </c>
      <c r="D729" t="s">
        <v>166</v>
      </c>
      <c r="E729" s="75">
        <v>45735</v>
      </c>
      <c r="F729" s="75">
        <v>45741</v>
      </c>
    </row>
    <row r="730" spans="1:6" x14ac:dyDescent="0.35">
      <c r="A730">
        <v>4984</v>
      </c>
      <c r="B730">
        <v>2025</v>
      </c>
      <c r="C730">
        <v>13</v>
      </c>
      <c r="D730" t="s">
        <v>166</v>
      </c>
      <c r="E730" s="75">
        <v>45735</v>
      </c>
      <c r="F730" s="75">
        <v>45741</v>
      </c>
    </row>
    <row r="731" spans="1:6" x14ac:dyDescent="0.35">
      <c r="A731">
        <v>4985</v>
      </c>
      <c r="B731">
        <v>2025</v>
      </c>
      <c r="C731">
        <v>13</v>
      </c>
      <c r="D731" t="s">
        <v>166</v>
      </c>
      <c r="E731" s="75">
        <v>45735</v>
      </c>
      <c r="F731" s="75">
        <v>45741</v>
      </c>
    </row>
    <row r="732" spans="1:6" x14ac:dyDescent="0.35">
      <c r="A732">
        <v>4986</v>
      </c>
      <c r="B732">
        <v>2025</v>
      </c>
      <c r="C732">
        <v>13</v>
      </c>
      <c r="D732" t="s">
        <v>166</v>
      </c>
      <c r="E732" s="75">
        <v>45735</v>
      </c>
      <c r="F732" s="75">
        <v>45741</v>
      </c>
    </row>
    <row r="733" spans="1:6" x14ac:dyDescent="0.35">
      <c r="A733">
        <v>4987</v>
      </c>
      <c r="B733">
        <v>2025</v>
      </c>
      <c r="C733">
        <v>13</v>
      </c>
      <c r="D733" t="s">
        <v>166</v>
      </c>
      <c r="E733" s="75">
        <v>45735</v>
      </c>
      <c r="F733" s="75">
        <v>45741</v>
      </c>
    </row>
    <row r="734" spans="1:6" x14ac:dyDescent="0.35">
      <c r="A734">
        <v>4988</v>
      </c>
      <c r="B734">
        <v>2025</v>
      </c>
      <c r="C734">
        <v>13</v>
      </c>
      <c r="D734" t="s">
        <v>166</v>
      </c>
      <c r="E734" s="75">
        <v>45735</v>
      </c>
      <c r="F734" s="75">
        <v>45741</v>
      </c>
    </row>
    <row r="735" spans="1:6" x14ac:dyDescent="0.35">
      <c r="A735">
        <v>4989</v>
      </c>
      <c r="B735">
        <v>2025</v>
      </c>
      <c r="C735">
        <v>13</v>
      </c>
      <c r="D735" t="s">
        <v>166</v>
      </c>
      <c r="E735" s="75">
        <v>45735</v>
      </c>
      <c r="F735" s="75">
        <v>45741</v>
      </c>
    </row>
    <row r="736" spans="1:6" x14ac:dyDescent="0.35">
      <c r="A736">
        <v>4990</v>
      </c>
      <c r="B736">
        <v>2025</v>
      </c>
      <c r="C736">
        <v>14</v>
      </c>
      <c r="D736" t="s">
        <v>167</v>
      </c>
      <c r="E736" s="75">
        <v>45742</v>
      </c>
      <c r="F736" s="75">
        <v>45748</v>
      </c>
    </row>
    <row r="737" spans="1:6" x14ac:dyDescent="0.35">
      <c r="A737">
        <v>4991</v>
      </c>
      <c r="B737">
        <v>2025</v>
      </c>
      <c r="C737">
        <v>14</v>
      </c>
      <c r="D737" t="s">
        <v>167</v>
      </c>
      <c r="E737" s="75">
        <v>45742</v>
      </c>
      <c r="F737" s="75">
        <v>45748</v>
      </c>
    </row>
    <row r="738" spans="1:6" x14ac:dyDescent="0.35">
      <c r="A738">
        <v>4992</v>
      </c>
      <c r="B738">
        <v>2025</v>
      </c>
      <c r="C738">
        <v>14</v>
      </c>
      <c r="D738" t="s">
        <v>167</v>
      </c>
      <c r="E738" s="75">
        <v>45742</v>
      </c>
      <c r="F738" s="75">
        <v>45748</v>
      </c>
    </row>
    <row r="739" spans="1:6" x14ac:dyDescent="0.35">
      <c r="A739">
        <v>4993</v>
      </c>
      <c r="B739">
        <v>2025</v>
      </c>
      <c r="C739">
        <v>14</v>
      </c>
      <c r="D739" t="s">
        <v>167</v>
      </c>
      <c r="E739" s="75">
        <v>45742</v>
      </c>
      <c r="F739" s="75">
        <v>45748</v>
      </c>
    </row>
    <row r="740" spans="1:6" x14ac:dyDescent="0.35">
      <c r="A740">
        <v>4994</v>
      </c>
      <c r="B740">
        <v>2025</v>
      </c>
      <c r="C740">
        <v>14</v>
      </c>
      <c r="D740" t="s">
        <v>167</v>
      </c>
      <c r="E740" s="75">
        <v>45742</v>
      </c>
      <c r="F740" s="75">
        <v>45748</v>
      </c>
    </row>
    <row r="741" spans="1:6" x14ac:dyDescent="0.35">
      <c r="A741">
        <v>4995</v>
      </c>
      <c r="B741">
        <v>2025</v>
      </c>
      <c r="C741">
        <v>14</v>
      </c>
      <c r="D741" t="s">
        <v>167</v>
      </c>
      <c r="E741" s="75">
        <v>45742</v>
      </c>
      <c r="F741" s="75">
        <v>45748</v>
      </c>
    </row>
    <row r="742" spans="1:6" x14ac:dyDescent="0.35">
      <c r="A742">
        <v>4996</v>
      </c>
      <c r="B742">
        <v>2025</v>
      </c>
      <c r="C742">
        <v>14</v>
      </c>
      <c r="D742" t="s">
        <v>167</v>
      </c>
      <c r="E742" s="75">
        <v>45742</v>
      </c>
      <c r="F742" s="75">
        <v>45748</v>
      </c>
    </row>
    <row r="743" spans="1:6" x14ac:dyDescent="0.35">
      <c r="A743">
        <v>4997</v>
      </c>
      <c r="B743">
        <v>2025</v>
      </c>
      <c r="C743">
        <v>14</v>
      </c>
      <c r="D743" t="s">
        <v>167</v>
      </c>
      <c r="E743" s="75">
        <v>45742</v>
      </c>
      <c r="F743" s="75">
        <v>45748</v>
      </c>
    </row>
    <row r="744" spans="1:6" x14ac:dyDescent="0.35">
      <c r="A744">
        <v>4998</v>
      </c>
      <c r="B744">
        <v>2025</v>
      </c>
      <c r="C744">
        <v>14</v>
      </c>
      <c r="D744" t="s">
        <v>167</v>
      </c>
      <c r="E744" s="75">
        <v>45742</v>
      </c>
      <c r="F744" s="75">
        <v>45748</v>
      </c>
    </row>
    <row r="745" spans="1:6" x14ac:dyDescent="0.35">
      <c r="A745">
        <v>4999</v>
      </c>
      <c r="B745">
        <v>2025</v>
      </c>
      <c r="C745">
        <v>14</v>
      </c>
      <c r="D745" t="s">
        <v>167</v>
      </c>
      <c r="E745" s="75">
        <v>45742</v>
      </c>
      <c r="F745" s="75">
        <v>45748</v>
      </c>
    </row>
    <row r="746" spans="1:6" x14ac:dyDescent="0.35">
      <c r="A746">
        <v>5000</v>
      </c>
      <c r="B746">
        <v>2025</v>
      </c>
      <c r="C746">
        <v>14</v>
      </c>
      <c r="D746" t="s">
        <v>167</v>
      </c>
      <c r="E746" s="75">
        <v>45742</v>
      </c>
      <c r="F746" s="75">
        <v>45748</v>
      </c>
    </row>
    <row r="747" spans="1:6" x14ac:dyDescent="0.35">
      <c r="A747">
        <v>5001</v>
      </c>
      <c r="B747">
        <v>2025</v>
      </c>
      <c r="C747">
        <v>14</v>
      </c>
      <c r="D747" t="s">
        <v>167</v>
      </c>
      <c r="E747" s="75">
        <v>45742</v>
      </c>
      <c r="F747" s="75">
        <v>45748</v>
      </c>
    </row>
    <row r="748" spans="1:6" x14ac:dyDescent="0.35">
      <c r="A748">
        <v>5002</v>
      </c>
      <c r="B748">
        <v>2025</v>
      </c>
      <c r="C748">
        <v>14</v>
      </c>
      <c r="D748" t="s">
        <v>167</v>
      </c>
      <c r="E748" s="75">
        <v>45742</v>
      </c>
      <c r="F748" s="75">
        <v>45748</v>
      </c>
    </row>
    <row r="749" spans="1:6" x14ac:dyDescent="0.35">
      <c r="A749">
        <v>5003</v>
      </c>
      <c r="B749">
        <v>2025</v>
      </c>
      <c r="C749">
        <v>14</v>
      </c>
      <c r="D749" t="s">
        <v>167</v>
      </c>
      <c r="E749" s="75">
        <v>45742</v>
      </c>
      <c r="F749" s="75">
        <v>45748</v>
      </c>
    </row>
    <row r="750" spans="1:6" x14ac:dyDescent="0.35">
      <c r="A750">
        <v>5004</v>
      </c>
      <c r="B750">
        <v>2025</v>
      </c>
      <c r="C750">
        <v>14</v>
      </c>
      <c r="D750" t="s">
        <v>167</v>
      </c>
      <c r="E750" s="75">
        <v>45742</v>
      </c>
      <c r="F750" s="75">
        <v>45748</v>
      </c>
    </row>
    <row r="751" spans="1:6" x14ac:dyDescent="0.35">
      <c r="A751">
        <v>5005</v>
      </c>
      <c r="B751">
        <v>2025</v>
      </c>
      <c r="C751">
        <v>14</v>
      </c>
      <c r="D751" t="s">
        <v>167</v>
      </c>
      <c r="E751" s="75">
        <v>45742</v>
      </c>
      <c r="F751" s="75">
        <v>45748</v>
      </c>
    </row>
    <row r="752" spans="1:6" x14ac:dyDescent="0.35">
      <c r="A752">
        <v>5006</v>
      </c>
      <c r="B752">
        <v>2025</v>
      </c>
      <c r="C752">
        <v>14</v>
      </c>
      <c r="D752" t="s">
        <v>167</v>
      </c>
      <c r="E752" s="75">
        <v>45742</v>
      </c>
      <c r="F752" s="75">
        <v>45748</v>
      </c>
    </row>
    <row r="753" spans="1:6" x14ac:dyDescent="0.35">
      <c r="A753">
        <v>5007</v>
      </c>
      <c r="B753">
        <v>2025</v>
      </c>
      <c r="C753">
        <v>14</v>
      </c>
      <c r="D753" t="s">
        <v>167</v>
      </c>
      <c r="E753" s="75">
        <v>45742</v>
      </c>
      <c r="F753" s="75">
        <v>45748</v>
      </c>
    </row>
    <row r="754" spans="1:6" x14ac:dyDescent="0.35">
      <c r="A754">
        <v>5008</v>
      </c>
      <c r="B754">
        <v>2025</v>
      </c>
      <c r="C754">
        <v>14</v>
      </c>
      <c r="D754" t="s">
        <v>167</v>
      </c>
      <c r="E754" s="75">
        <v>45742</v>
      </c>
      <c r="F754" s="75">
        <v>45748</v>
      </c>
    </row>
    <row r="755" spans="1:6" x14ac:dyDescent="0.35">
      <c r="A755">
        <v>5009</v>
      </c>
      <c r="B755">
        <v>2025</v>
      </c>
      <c r="C755">
        <v>14</v>
      </c>
      <c r="D755" t="s">
        <v>167</v>
      </c>
      <c r="E755" s="75">
        <v>45742</v>
      </c>
      <c r="F755" s="75">
        <v>45748</v>
      </c>
    </row>
    <row r="756" spans="1:6" x14ac:dyDescent="0.35">
      <c r="A756">
        <v>5010</v>
      </c>
      <c r="B756">
        <v>2025</v>
      </c>
      <c r="C756">
        <v>14</v>
      </c>
      <c r="D756" t="s">
        <v>167</v>
      </c>
      <c r="E756" s="75">
        <v>45742</v>
      </c>
      <c r="F756" s="75">
        <v>45748</v>
      </c>
    </row>
    <row r="757" spans="1:6" x14ac:dyDescent="0.35">
      <c r="A757">
        <v>5011</v>
      </c>
      <c r="B757">
        <v>2025</v>
      </c>
      <c r="C757">
        <v>14</v>
      </c>
      <c r="D757" t="s">
        <v>167</v>
      </c>
      <c r="E757" s="75">
        <v>45742</v>
      </c>
      <c r="F757" s="75">
        <v>45748</v>
      </c>
    </row>
    <row r="758" spans="1:6" x14ac:dyDescent="0.35">
      <c r="A758">
        <v>5012</v>
      </c>
      <c r="B758">
        <v>2025</v>
      </c>
      <c r="C758">
        <v>14</v>
      </c>
      <c r="D758" t="s">
        <v>167</v>
      </c>
      <c r="E758" s="75">
        <v>45742</v>
      </c>
      <c r="F758" s="75">
        <v>45748</v>
      </c>
    </row>
    <row r="759" spans="1:6" x14ac:dyDescent="0.35">
      <c r="A759">
        <v>5013</v>
      </c>
      <c r="B759">
        <v>2025</v>
      </c>
      <c r="C759">
        <v>14</v>
      </c>
      <c r="D759" t="s">
        <v>167</v>
      </c>
      <c r="E759" s="75">
        <v>45742</v>
      </c>
      <c r="F759" s="75">
        <v>45748</v>
      </c>
    </row>
    <row r="760" spans="1:6" x14ac:dyDescent="0.35">
      <c r="A760">
        <v>5014</v>
      </c>
      <c r="B760">
        <v>2025</v>
      </c>
      <c r="C760">
        <v>14</v>
      </c>
      <c r="D760" t="s">
        <v>167</v>
      </c>
      <c r="E760" s="75">
        <v>45742</v>
      </c>
      <c r="F760" s="75">
        <v>45748</v>
      </c>
    </row>
    <row r="761" spans="1:6" x14ac:dyDescent="0.35">
      <c r="A761">
        <v>5015</v>
      </c>
      <c r="B761">
        <v>2025</v>
      </c>
      <c r="C761">
        <v>14</v>
      </c>
      <c r="D761" t="s">
        <v>167</v>
      </c>
      <c r="E761" s="75">
        <v>45742</v>
      </c>
      <c r="F761" s="75">
        <v>45748</v>
      </c>
    </row>
    <row r="762" spans="1:6" x14ac:dyDescent="0.35">
      <c r="A762">
        <v>5016</v>
      </c>
      <c r="B762">
        <v>2025</v>
      </c>
      <c r="C762">
        <v>14</v>
      </c>
      <c r="D762" t="s">
        <v>167</v>
      </c>
      <c r="E762" s="75">
        <v>45742</v>
      </c>
      <c r="F762" s="75">
        <v>45748</v>
      </c>
    </row>
    <row r="763" spans="1:6" x14ac:dyDescent="0.35">
      <c r="A763">
        <v>5017</v>
      </c>
      <c r="B763">
        <v>2025</v>
      </c>
      <c r="C763">
        <v>15</v>
      </c>
      <c r="D763" t="s">
        <v>168</v>
      </c>
      <c r="E763" s="75">
        <v>45749</v>
      </c>
      <c r="F763" s="75">
        <v>45755</v>
      </c>
    </row>
    <row r="764" spans="1:6" x14ac:dyDescent="0.35">
      <c r="A764">
        <v>5018</v>
      </c>
      <c r="B764">
        <v>2025</v>
      </c>
      <c r="C764">
        <v>15</v>
      </c>
      <c r="D764" t="s">
        <v>168</v>
      </c>
      <c r="E764" s="75">
        <v>45749</v>
      </c>
      <c r="F764" s="75">
        <v>45755</v>
      </c>
    </row>
    <row r="765" spans="1:6" x14ac:dyDescent="0.35">
      <c r="A765">
        <v>5019</v>
      </c>
      <c r="B765">
        <v>2025</v>
      </c>
      <c r="C765">
        <v>15</v>
      </c>
      <c r="D765" t="s">
        <v>168</v>
      </c>
      <c r="E765" s="75">
        <v>45749</v>
      </c>
      <c r="F765" s="75">
        <v>45755</v>
      </c>
    </row>
    <row r="766" spans="1:6" x14ac:dyDescent="0.35">
      <c r="A766">
        <v>5020</v>
      </c>
      <c r="B766">
        <v>2025</v>
      </c>
      <c r="C766">
        <v>15</v>
      </c>
      <c r="D766" t="s">
        <v>168</v>
      </c>
      <c r="E766" s="75">
        <v>45749</v>
      </c>
      <c r="F766" s="75">
        <v>45755</v>
      </c>
    </row>
    <row r="767" spans="1:6" x14ac:dyDescent="0.35">
      <c r="A767">
        <v>5021</v>
      </c>
      <c r="B767">
        <v>2025</v>
      </c>
      <c r="C767">
        <v>15</v>
      </c>
      <c r="D767" t="s">
        <v>168</v>
      </c>
      <c r="E767" s="75">
        <v>45749</v>
      </c>
      <c r="F767" s="75">
        <v>45755</v>
      </c>
    </row>
    <row r="768" spans="1:6" x14ac:dyDescent="0.35">
      <c r="A768">
        <v>5022</v>
      </c>
      <c r="B768">
        <v>2025</v>
      </c>
      <c r="C768">
        <v>15</v>
      </c>
      <c r="D768" t="s">
        <v>168</v>
      </c>
      <c r="E768" s="75">
        <v>45749</v>
      </c>
      <c r="F768" s="75">
        <v>45755</v>
      </c>
    </row>
    <row r="769" spans="1:6" x14ac:dyDescent="0.35">
      <c r="A769">
        <v>5023</v>
      </c>
      <c r="B769">
        <v>2025</v>
      </c>
      <c r="C769">
        <v>15</v>
      </c>
      <c r="D769" t="s">
        <v>168</v>
      </c>
      <c r="E769" s="75">
        <v>45749</v>
      </c>
      <c r="F769" s="75">
        <v>45755</v>
      </c>
    </row>
    <row r="770" spans="1:6" x14ac:dyDescent="0.35">
      <c r="A770">
        <v>5024</v>
      </c>
      <c r="B770">
        <v>2025</v>
      </c>
      <c r="C770">
        <v>15</v>
      </c>
      <c r="D770" t="s">
        <v>168</v>
      </c>
      <c r="E770" s="75">
        <v>45749</v>
      </c>
      <c r="F770" s="75">
        <v>45755</v>
      </c>
    </row>
    <row r="771" spans="1:6" x14ac:dyDescent="0.35">
      <c r="A771">
        <v>5025</v>
      </c>
      <c r="B771">
        <v>2025</v>
      </c>
      <c r="C771">
        <v>15</v>
      </c>
      <c r="D771" t="s">
        <v>168</v>
      </c>
      <c r="E771" s="75">
        <v>45749</v>
      </c>
      <c r="F771" s="75">
        <v>45755</v>
      </c>
    </row>
    <row r="772" spans="1:6" x14ac:dyDescent="0.35">
      <c r="A772">
        <v>5026</v>
      </c>
      <c r="B772">
        <v>2025</v>
      </c>
      <c r="C772">
        <v>15</v>
      </c>
      <c r="D772" t="s">
        <v>168</v>
      </c>
      <c r="E772" s="75">
        <v>45749</v>
      </c>
      <c r="F772" s="75">
        <v>45755</v>
      </c>
    </row>
    <row r="773" spans="1:6" x14ac:dyDescent="0.35">
      <c r="A773">
        <v>5027</v>
      </c>
      <c r="B773">
        <v>2025</v>
      </c>
      <c r="C773">
        <v>15</v>
      </c>
      <c r="D773" t="s">
        <v>168</v>
      </c>
      <c r="E773" s="75">
        <v>45749</v>
      </c>
      <c r="F773" s="75">
        <v>45755</v>
      </c>
    </row>
    <row r="774" spans="1:6" x14ac:dyDescent="0.35">
      <c r="A774">
        <v>5028</v>
      </c>
      <c r="B774">
        <v>2025</v>
      </c>
      <c r="C774">
        <v>15</v>
      </c>
      <c r="D774" t="s">
        <v>168</v>
      </c>
      <c r="E774" s="75">
        <v>45749</v>
      </c>
      <c r="F774" s="75">
        <v>45755</v>
      </c>
    </row>
    <row r="775" spans="1:6" x14ac:dyDescent="0.35">
      <c r="A775">
        <v>5029</v>
      </c>
      <c r="B775">
        <v>2025</v>
      </c>
      <c r="C775">
        <v>15</v>
      </c>
      <c r="D775" t="s">
        <v>168</v>
      </c>
      <c r="E775" s="75">
        <v>45749</v>
      </c>
      <c r="F775" s="75">
        <v>45755</v>
      </c>
    </row>
    <row r="776" spans="1:6" x14ac:dyDescent="0.35">
      <c r="A776">
        <v>5030</v>
      </c>
      <c r="B776">
        <v>2025</v>
      </c>
      <c r="C776">
        <v>15</v>
      </c>
      <c r="D776" t="s">
        <v>168</v>
      </c>
      <c r="E776" s="75">
        <v>45749</v>
      </c>
      <c r="F776" s="75">
        <v>45755</v>
      </c>
    </row>
    <row r="777" spans="1:6" x14ac:dyDescent="0.35">
      <c r="A777">
        <v>5031</v>
      </c>
      <c r="B777">
        <v>2025</v>
      </c>
      <c r="C777">
        <v>15</v>
      </c>
      <c r="D777" t="s">
        <v>168</v>
      </c>
      <c r="E777" s="75">
        <v>45749</v>
      </c>
      <c r="F777" s="75">
        <v>45755</v>
      </c>
    </row>
    <row r="778" spans="1:6" x14ac:dyDescent="0.35">
      <c r="A778">
        <v>5032</v>
      </c>
      <c r="B778">
        <v>2025</v>
      </c>
      <c r="C778">
        <v>15</v>
      </c>
      <c r="D778" t="s">
        <v>168</v>
      </c>
      <c r="E778" s="75">
        <v>45749</v>
      </c>
      <c r="F778" s="75">
        <v>45755</v>
      </c>
    </row>
    <row r="779" spans="1:6" x14ac:dyDescent="0.35">
      <c r="A779">
        <v>5033</v>
      </c>
      <c r="B779">
        <v>2025</v>
      </c>
      <c r="C779">
        <v>15</v>
      </c>
      <c r="D779" t="s">
        <v>168</v>
      </c>
      <c r="E779" s="75">
        <v>45749</v>
      </c>
      <c r="F779" s="75">
        <v>45755</v>
      </c>
    </row>
    <row r="780" spans="1:6" x14ac:dyDescent="0.35">
      <c r="A780">
        <v>5034</v>
      </c>
      <c r="B780">
        <v>2025</v>
      </c>
      <c r="C780">
        <v>15</v>
      </c>
      <c r="D780" t="s">
        <v>168</v>
      </c>
      <c r="E780" s="75">
        <v>45749</v>
      </c>
      <c r="F780" s="75">
        <v>45755</v>
      </c>
    </row>
    <row r="781" spans="1:6" x14ac:dyDescent="0.35">
      <c r="A781">
        <v>5035</v>
      </c>
      <c r="B781">
        <v>2025</v>
      </c>
      <c r="C781">
        <v>15</v>
      </c>
      <c r="D781" t="s">
        <v>168</v>
      </c>
      <c r="E781" s="75">
        <v>45749</v>
      </c>
      <c r="F781" s="75">
        <v>45755</v>
      </c>
    </row>
    <row r="782" spans="1:6" x14ac:dyDescent="0.35">
      <c r="A782">
        <v>5036</v>
      </c>
      <c r="B782">
        <v>2025</v>
      </c>
      <c r="C782">
        <v>15</v>
      </c>
      <c r="D782" t="s">
        <v>168</v>
      </c>
      <c r="E782" s="75">
        <v>45749</v>
      </c>
      <c r="F782" s="75">
        <v>45755</v>
      </c>
    </row>
    <row r="783" spans="1:6" x14ac:dyDescent="0.35">
      <c r="A783">
        <v>5037</v>
      </c>
      <c r="B783">
        <v>2025</v>
      </c>
      <c r="C783">
        <v>15</v>
      </c>
      <c r="D783" t="s">
        <v>168</v>
      </c>
      <c r="E783" s="75">
        <v>45749</v>
      </c>
      <c r="F783" s="75">
        <v>45755</v>
      </c>
    </row>
    <row r="784" spans="1:6" x14ac:dyDescent="0.35">
      <c r="A784">
        <v>5038</v>
      </c>
      <c r="B784">
        <v>2025</v>
      </c>
      <c r="C784">
        <v>15</v>
      </c>
      <c r="D784" t="s">
        <v>168</v>
      </c>
      <c r="E784" s="75">
        <v>45749</v>
      </c>
      <c r="F784" s="75">
        <v>45755</v>
      </c>
    </row>
    <row r="785" spans="1:6" x14ac:dyDescent="0.35">
      <c r="A785">
        <v>5039</v>
      </c>
      <c r="B785">
        <v>2025</v>
      </c>
      <c r="C785">
        <v>16</v>
      </c>
      <c r="D785" t="s">
        <v>169</v>
      </c>
      <c r="E785" s="75">
        <v>45756</v>
      </c>
      <c r="F785" s="75">
        <v>45762</v>
      </c>
    </row>
    <row r="786" spans="1:6" x14ac:dyDescent="0.35">
      <c r="A786">
        <v>5040</v>
      </c>
      <c r="B786">
        <v>2025</v>
      </c>
      <c r="C786">
        <v>16</v>
      </c>
      <c r="D786" t="s">
        <v>169</v>
      </c>
      <c r="E786" s="75">
        <v>45756</v>
      </c>
      <c r="F786" s="75">
        <v>45762</v>
      </c>
    </row>
    <row r="787" spans="1:6" x14ac:dyDescent="0.35">
      <c r="A787">
        <v>5041</v>
      </c>
      <c r="B787">
        <v>2025</v>
      </c>
      <c r="C787">
        <v>16</v>
      </c>
      <c r="D787" t="s">
        <v>169</v>
      </c>
      <c r="E787" s="75">
        <v>45756</v>
      </c>
      <c r="F787" s="75">
        <v>45762</v>
      </c>
    </row>
    <row r="788" spans="1:6" x14ac:dyDescent="0.35">
      <c r="A788">
        <v>5042</v>
      </c>
      <c r="B788">
        <v>2025</v>
      </c>
      <c r="C788">
        <v>16</v>
      </c>
      <c r="D788" t="s">
        <v>169</v>
      </c>
      <c r="E788" s="75">
        <v>45756</v>
      </c>
      <c r="F788" s="75">
        <v>45762</v>
      </c>
    </row>
    <row r="789" spans="1:6" x14ac:dyDescent="0.35">
      <c r="A789">
        <v>5043</v>
      </c>
      <c r="B789">
        <v>2025</v>
      </c>
      <c r="C789">
        <v>16</v>
      </c>
      <c r="D789" t="s">
        <v>169</v>
      </c>
      <c r="E789" s="75">
        <v>45756</v>
      </c>
      <c r="F789" s="75">
        <v>45762</v>
      </c>
    </row>
    <row r="790" spans="1:6" x14ac:dyDescent="0.35">
      <c r="A790">
        <v>5044</v>
      </c>
      <c r="B790">
        <v>2025</v>
      </c>
      <c r="C790">
        <v>16</v>
      </c>
      <c r="D790" t="s">
        <v>169</v>
      </c>
      <c r="E790" s="75">
        <v>45756</v>
      </c>
      <c r="F790" s="75">
        <v>45762</v>
      </c>
    </row>
    <row r="791" spans="1:6" x14ac:dyDescent="0.35">
      <c r="A791">
        <v>5045</v>
      </c>
      <c r="B791">
        <v>2025</v>
      </c>
      <c r="C791">
        <v>16</v>
      </c>
      <c r="D791" t="s">
        <v>169</v>
      </c>
      <c r="E791" s="75">
        <v>45756</v>
      </c>
      <c r="F791" s="75">
        <v>45762</v>
      </c>
    </row>
    <row r="792" spans="1:6" x14ac:dyDescent="0.35">
      <c r="A792">
        <v>5046</v>
      </c>
      <c r="B792">
        <v>2025</v>
      </c>
      <c r="C792">
        <v>16</v>
      </c>
      <c r="D792" t="s">
        <v>169</v>
      </c>
      <c r="E792" s="75">
        <v>45756</v>
      </c>
      <c r="F792" s="75">
        <v>45762</v>
      </c>
    </row>
    <row r="793" spans="1:6" x14ac:dyDescent="0.35">
      <c r="A793">
        <v>5047</v>
      </c>
      <c r="B793">
        <v>2025</v>
      </c>
      <c r="C793">
        <v>16</v>
      </c>
      <c r="D793" t="s">
        <v>169</v>
      </c>
      <c r="E793" s="75">
        <v>45756</v>
      </c>
      <c r="F793" s="75">
        <v>45762</v>
      </c>
    </row>
    <row r="794" spans="1:6" x14ac:dyDescent="0.35">
      <c r="A794">
        <v>5048</v>
      </c>
      <c r="B794">
        <v>2025</v>
      </c>
      <c r="C794">
        <v>16</v>
      </c>
      <c r="D794" t="s">
        <v>169</v>
      </c>
      <c r="E794" s="75">
        <v>45756</v>
      </c>
      <c r="F794" s="75">
        <v>45762</v>
      </c>
    </row>
    <row r="795" spans="1:6" x14ac:dyDescent="0.35">
      <c r="A795">
        <v>5049</v>
      </c>
      <c r="B795">
        <v>2025</v>
      </c>
      <c r="C795">
        <v>16</v>
      </c>
      <c r="D795" t="s">
        <v>169</v>
      </c>
      <c r="E795" s="75">
        <v>45756</v>
      </c>
      <c r="F795" s="75">
        <v>45762</v>
      </c>
    </row>
    <row r="796" spans="1:6" x14ac:dyDescent="0.35">
      <c r="A796">
        <v>5050</v>
      </c>
      <c r="B796">
        <v>2025</v>
      </c>
      <c r="C796">
        <v>16</v>
      </c>
      <c r="D796" t="s">
        <v>169</v>
      </c>
      <c r="E796" s="75">
        <v>45756</v>
      </c>
      <c r="F796" s="75">
        <v>45762</v>
      </c>
    </row>
    <row r="797" spans="1:6" x14ac:dyDescent="0.35">
      <c r="A797">
        <v>5051</v>
      </c>
      <c r="B797">
        <v>2025</v>
      </c>
      <c r="C797">
        <v>16</v>
      </c>
      <c r="D797" t="s">
        <v>169</v>
      </c>
      <c r="E797" s="75">
        <v>45756</v>
      </c>
      <c r="F797" s="75">
        <v>45762</v>
      </c>
    </row>
    <row r="798" spans="1:6" x14ac:dyDescent="0.35">
      <c r="A798">
        <v>5052</v>
      </c>
      <c r="B798">
        <v>2025</v>
      </c>
      <c r="C798">
        <v>16</v>
      </c>
      <c r="D798" t="s">
        <v>169</v>
      </c>
      <c r="E798" s="75">
        <v>45756</v>
      </c>
      <c r="F798" s="75">
        <v>45762</v>
      </c>
    </row>
    <row r="799" spans="1:6" x14ac:dyDescent="0.35">
      <c r="A799">
        <v>5053</v>
      </c>
      <c r="B799">
        <v>2025</v>
      </c>
      <c r="C799">
        <v>16</v>
      </c>
      <c r="D799" t="s">
        <v>169</v>
      </c>
      <c r="E799" s="75">
        <v>45756</v>
      </c>
      <c r="F799" s="75">
        <v>45762</v>
      </c>
    </row>
    <row r="800" spans="1:6" x14ac:dyDescent="0.35">
      <c r="A800">
        <v>5054</v>
      </c>
      <c r="B800">
        <v>2025</v>
      </c>
      <c r="C800">
        <v>16</v>
      </c>
      <c r="D800" t="s">
        <v>169</v>
      </c>
      <c r="E800" s="75">
        <v>45756</v>
      </c>
      <c r="F800" s="75">
        <v>45762</v>
      </c>
    </row>
    <row r="801" spans="1:6" x14ac:dyDescent="0.35">
      <c r="A801">
        <v>5055</v>
      </c>
      <c r="B801">
        <v>2025</v>
      </c>
      <c r="C801">
        <v>16</v>
      </c>
      <c r="D801" t="s">
        <v>169</v>
      </c>
      <c r="E801" s="75">
        <v>45756</v>
      </c>
      <c r="F801" s="75">
        <v>45762</v>
      </c>
    </row>
    <row r="802" spans="1:6" x14ac:dyDescent="0.35">
      <c r="A802">
        <v>5056</v>
      </c>
      <c r="B802">
        <v>2025</v>
      </c>
      <c r="C802">
        <v>16</v>
      </c>
      <c r="D802" t="s">
        <v>169</v>
      </c>
      <c r="E802" s="75">
        <v>45756</v>
      </c>
      <c r="F802" s="75">
        <v>45762</v>
      </c>
    </row>
    <row r="803" spans="1:6" x14ac:dyDescent="0.35">
      <c r="A803">
        <v>5057</v>
      </c>
      <c r="B803">
        <v>2025</v>
      </c>
      <c r="C803">
        <v>16</v>
      </c>
      <c r="D803" t="s">
        <v>169</v>
      </c>
      <c r="E803" s="75">
        <v>45756</v>
      </c>
      <c r="F803" s="75">
        <v>45762</v>
      </c>
    </row>
    <row r="804" spans="1:6" x14ac:dyDescent="0.35">
      <c r="A804">
        <v>5058</v>
      </c>
      <c r="B804">
        <v>2025</v>
      </c>
      <c r="C804">
        <v>17</v>
      </c>
      <c r="D804" t="s">
        <v>170</v>
      </c>
      <c r="E804" s="75">
        <v>45763</v>
      </c>
      <c r="F804" s="75">
        <v>45769</v>
      </c>
    </row>
    <row r="805" spans="1:6" x14ac:dyDescent="0.35">
      <c r="A805">
        <v>5059</v>
      </c>
      <c r="B805">
        <v>2025</v>
      </c>
      <c r="C805">
        <v>17</v>
      </c>
      <c r="D805" t="s">
        <v>170</v>
      </c>
      <c r="E805" s="75">
        <v>45763</v>
      </c>
      <c r="F805" s="75">
        <v>45769</v>
      </c>
    </row>
    <row r="806" spans="1:6" x14ac:dyDescent="0.35">
      <c r="A806">
        <v>5060</v>
      </c>
      <c r="B806">
        <v>2025</v>
      </c>
      <c r="C806">
        <v>17</v>
      </c>
      <c r="D806" t="s">
        <v>170</v>
      </c>
      <c r="E806" s="75">
        <v>45763</v>
      </c>
      <c r="F806" s="75">
        <v>45769</v>
      </c>
    </row>
    <row r="807" spans="1:6" x14ac:dyDescent="0.35">
      <c r="A807">
        <v>5061</v>
      </c>
      <c r="B807">
        <v>2025</v>
      </c>
      <c r="C807">
        <v>17</v>
      </c>
      <c r="D807" t="s">
        <v>170</v>
      </c>
      <c r="E807" s="75">
        <v>45763</v>
      </c>
      <c r="F807" s="75">
        <v>45769</v>
      </c>
    </row>
    <row r="808" spans="1:6" x14ac:dyDescent="0.35">
      <c r="A808">
        <v>5062</v>
      </c>
      <c r="B808">
        <v>2025</v>
      </c>
      <c r="C808">
        <v>17</v>
      </c>
      <c r="D808" t="s">
        <v>170</v>
      </c>
      <c r="E808" s="75">
        <v>45763</v>
      </c>
      <c r="F808" s="75">
        <v>45769</v>
      </c>
    </row>
    <row r="809" spans="1:6" x14ac:dyDescent="0.35">
      <c r="A809">
        <v>5063</v>
      </c>
      <c r="B809">
        <v>2025</v>
      </c>
      <c r="C809">
        <v>17</v>
      </c>
      <c r="D809" t="s">
        <v>170</v>
      </c>
      <c r="E809" s="75">
        <v>45763</v>
      </c>
      <c r="F809" s="75">
        <v>45769</v>
      </c>
    </row>
    <row r="810" spans="1:6" x14ac:dyDescent="0.35">
      <c r="A810">
        <v>5064</v>
      </c>
      <c r="B810">
        <v>2025</v>
      </c>
      <c r="C810">
        <v>17</v>
      </c>
      <c r="D810" t="s">
        <v>170</v>
      </c>
      <c r="E810" s="75">
        <v>45763</v>
      </c>
      <c r="F810" s="75">
        <v>45769</v>
      </c>
    </row>
    <row r="811" spans="1:6" x14ac:dyDescent="0.35">
      <c r="A811">
        <v>5065</v>
      </c>
      <c r="B811">
        <v>2025</v>
      </c>
      <c r="C811">
        <v>17</v>
      </c>
      <c r="D811" t="s">
        <v>170</v>
      </c>
      <c r="E811" s="75">
        <v>45763</v>
      </c>
      <c r="F811" s="75">
        <v>45769</v>
      </c>
    </row>
    <row r="812" spans="1:6" x14ac:dyDescent="0.35">
      <c r="A812">
        <v>5066</v>
      </c>
      <c r="B812">
        <v>2025</v>
      </c>
      <c r="C812">
        <v>17</v>
      </c>
      <c r="D812" t="s">
        <v>170</v>
      </c>
      <c r="E812" s="75">
        <v>45763</v>
      </c>
      <c r="F812" s="75">
        <v>45769</v>
      </c>
    </row>
    <row r="813" spans="1:6" x14ac:dyDescent="0.35">
      <c r="A813">
        <v>5067</v>
      </c>
      <c r="B813">
        <v>2025</v>
      </c>
      <c r="C813">
        <v>17</v>
      </c>
      <c r="D813" t="s">
        <v>170</v>
      </c>
      <c r="E813" s="75">
        <v>45763</v>
      </c>
      <c r="F813" s="75">
        <v>45769</v>
      </c>
    </row>
    <row r="814" spans="1:6" x14ac:dyDescent="0.35">
      <c r="A814">
        <v>5068</v>
      </c>
      <c r="B814">
        <v>2025</v>
      </c>
      <c r="C814">
        <v>18</v>
      </c>
      <c r="D814" t="s">
        <v>171</v>
      </c>
      <c r="E814" s="75">
        <v>45770</v>
      </c>
      <c r="F814" s="75">
        <v>45776</v>
      </c>
    </row>
    <row r="815" spans="1:6" x14ac:dyDescent="0.35">
      <c r="A815">
        <v>5069</v>
      </c>
      <c r="B815">
        <v>2025</v>
      </c>
      <c r="C815">
        <v>18</v>
      </c>
      <c r="D815" t="s">
        <v>171</v>
      </c>
      <c r="E815" s="75">
        <v>45770</v>
      </c>
      <c r="F815" s="75">
        <v>45776</v>
      </c>
    </row>
    <row r="816" spans="1:6" x14ac:dyDescent="0.35">
      <c r="A816">
        <v>5070</v>
      </c>
      <c r="B816">
        <v>2025</v>
      </c>
      <c r="C816">
        <v>18</v>
      </c>
      <c r="D816" t="s">
        <v>171</v>
      </c>
      <c r="E816" s="75">
        <v>45770</v>
      </c>
      <c r="F816" s="75">
        <v>45776</v>
      </c>
    </row>
    <row r="817" spans="1:6" x14ac:dyDescent="0.35">
      <c r="A817">
        <v>5071</v>
      </c>
      <c r="B817">
        <v>2025</v>
      </c>
      <c r="C817">
        <v>18</v>
      </c>
      <c r="D817" t="s">
        <v>171</v>
      </c>
      <c r="E817" s="75">
        <v>45770</v>
      </c>
      <c r="F817" s="75">
        <v>45776</v>
      </c>
    </row>
    <row r="818" spans="1:6" x14ac:dyDescent="0.35">
      <c r="A818">
        <v>5072</v>
      </c>
      <c r="B818">
        <v>2025</v>
      </c>
      <c r="C818">
        <v>18</v>
      </c>
      <c r="D818" t="s">
        <v>171</v>
      </c>
      <c r="E818" s="75">
        <v>45770</v>
      </c>
      <c r="F818" s="75">
        <v>45776</v>
      </c>
    </row>
    <row r="819" spans="1:6" x14ac:dyDescent="0.35">
      <c r="A819">
        <v>5073</v>
      </c>
      <c r="B819">
        <v>2025</v>
      </c>
      <c r="C819">
        <v>18</v>
      </c>
      <c r="D819" t="s">
        <v>171</v>
      </c>
      <c r="E819" s="75">
        <v>45770</v>
      </c>
      <c r="F819" s="75">
        <v>45776</v>
      </c>
    </row>
    <row r="820" spans="1:6" x14ac:dyDescent="0.35">
      <c r="A820">
        <v>5074</v>
      </c>
      <c r="B820">
        <v>2025</v>
      </c>
      <c r="C820">
        <v>18</v>
      </c>
      <c r="D820" t="s">
        <v>171</v>
      </c>
      <c r="E820" s="75">
        <v>45770</v>
      </c>
      <c r="F820" s="75">
        <v>45776</v>
      </c>
    </row>
    <row r="821" spans="1:6" x14ac:dyDescent="0.35">
      <c r="A821">
        <v>5075</v>
      </c>
      <c r="B821">
        <v>2025</v>
      </c>
      <c r="C821">
        <v>18</v>
      </c>
      <c r="D821" t="s">
        <v>171</v>
      </c>
      <c r="E821" s="75">
        <v>45770</v>
      </c>
      <c r="F821" s="75">
        <v>45776</v>
      </c>
    </row>
    <row r="822" spans="1:6" x14ac:dyDescent="0.35">
      <c r="A822">
        <v>5076</v>
      </c>
      <c r="B822">
        <v>2025</v>
      </c>
      <c r="C822">
        <v>18</v>
      </c>
      <c r="D822" t="s">
        <v>171</v>
      </c>
      <c r="E822" s="75">
        <v>45770</v>
      </c>
      <c r="F822" s="75">
        <v>45776</v>
      </c>
    </row>
    <row r="823" spans="1:6" x14ac:dyDescent="0.35">
      <c r="A823">
        <v>5077</v>
      </c>
      <c r="B823">
        <v>2025</v>
      </c>
      <c r="C823">
        <v>18</v>
      </c>
      <c r="D823" t="s">
        <v>171</v>
      </c>
      <c r="E823" s="75">
        <v>45770</v>
      </c>
      <c r="F823" s="75">
        <v>45776</v>
      </c>
    </row>
    <row r="824" spans="1:6" x14ac:dyDescent="0.35">
      <c r="A824">
        <v>5078</v>
      </c>
      <c r="B824">
        <v>2025</v>
      </c>
      <c r="C824">
        <v>18</v>
      </c>
      <c r="D824" t="s">
        <v>171</v>
      </c>
      <c r="E824" s="75">
        <v>45770</v>
      </c>
      <c r="F824" s="75">
        <v>45776</v>
      </c>
    </row>
    <row r="825" spans="1:6" x14ac:dyDescent="0.35">
      <c r="A825">
        <v>5079</v>
      </c>
      <c r="B825">
        <v>2025</v>
      </c>
      <c r="C825">
        <v>18</v>
      </c>
      <c r="D825" t="s">
        <v>171</v>
      </c>
      <c r="E825" s="75">
        <v>45770</v>
      </c>
      <c r="F825" s="75">
        <v>45776</v>
      </c>
    </row>
    <row r="826" spans="1:6" x14ac:dyDescent="0.35">
      <c r="A826">
        <v>5080</v>
      </c>
      <c r="B826">
        <v>2025</v>
      </c>
      <c r="C826">
        <v>18</v>
      </c>
      <c r="D826" t="s">
        <v>171</v>
      </c>
      <c r="E826" s="75">
        <v>45770</v>
      </c>
      <c r="F826" s="75">
        <v>45776</v>
      </c>
    </row>
    <row r="827" spans="1:6" x14ac:dyDescent="0.35">
      <c r="A827">
        <v>5081</v>
      </c>
      <c r="B827">
        <v>2025</v>
      </c>
      <c r="C827">
        <v>18</v>
      </c>
      <c r="D827" t="s">
        <v>171</v>
      </c>
      <c r="E827" s="75">
        <v>45770</v>
      </c>
      <c r="F827" s="75">
        <v>45776</v>
      </c>
    </row>
    <row r="828" spans="1:6" x14ac:dyDescent="0.35">
      <c r="A828">
        <v>5082</v>
      </c>
      <c r="B828">
        <v>2025</v>
      </c>
      <c r="C828">
        <v>18</v>
      </c>
      <c r="D828" t="s">
        <v>171</v>
      </c>
      <c r="E828" s="75">
        <v>45770</v>
      </c>
      <c r="F828" s="75">
        <v>45776</v>
      </c>
    </row>
    <row r="829" spans="1:6" x14ac:dyDescent="0.35">
      <c r="A829">
        <v>5083</v>
      </c>
      <c r="B829">
        <v>2025</v>
      </c>
      <c r="C829">
        <v>18</v>
      </c>
      <c r="D829" t="s">
        <v>171</v>
      </c>
      <c r="E829" s="75">
        <v>45770</v>
      </c>
      <c r="F829" s="75">
        <v>45776</v>
      </c>
    </row>
    <row r="830" spans="1:6" x14ac:dyDescent="0.35">
      <c r="A830">
        <v>5084</v>
      </c>
      <c r="B830">
        <v>2025</v>
      </c>
      <c r="C830">
        <v>18</v>
      </c>
      <c r="D830" t="s">
        <v>171</v>
      </c>
      <c r="E830" s="75">
        <v>45770</v>
      </c>
      <c r="F830" s="75">
        <v>45776</v>
      </c>
    </row>
    <row r="831" spans="1:6" x14ac:dyDescent="0.35">
      <c r="A831">
        <v>5085</v>
      </c>
      <c r="B831">
        <v>2025</v>
      </c>
      <c r="C831">
        <v>18</v>
      </c>
      <c r="D831" t="s">
        <v>171</v>
      </c>
      <c r="E831" s="75">
        <v>45770</v>
      </c>
      <c r="F831" s="75">
        <v>45776</v>
      </c>
    </row>
    <row r="832" spans="1:6" x14ac:dyDescent="0.35">
      <c r="A832">
        <v>5086</v>
      </c>
      <c r="B832">
        <v>2025</v>
      </c>
      <c r="C832">
        <v>18</v>
      </c>
      <c r="D832" t="s">
        <v>171</v>
      </c>
      <c r="E832" s="75">
        <v>45770</v>
      </c>
      <c r="F832" s="75">
        <v>45776</v>
      </c>
    </row>
    <row r="833" spans="1:6" x14ac:dyDescent="0.35">
      <c r="A833">
        <v>5087</v>
      </c>
      <c r="B833">
        <v>2025</v>
      </c>
      <c r="C833">
        <v>18</v>
      </c>
      <c r="D833" t="s">
        <v>171</v>
      </c>
      <c r="E833" s="75">
        <v>45770</v>
      </c>
      <c r="F833" s="75">
        <v>45776</v>
      </c>
    </row>
    <row r="834" spans="1:6" x14ac:dyDescent="0.35">
      <c r="A834">
        <v>5088</v>
      </c>
      <c r="B834">
        <v>2025</v>
      </c>
      <c r="C834">
        <v>18</v>
      </c>
      <c r="D834" t="s">
        <v>171</v>
      </c>
      <c r="E834" s="75">
        <v>45770</v>
      </c>
      <c r="F834" s="75">
        <v>45776</v>
      </c>
    </row>
    <row r="835" spans="1:6" x14ac:dyDescent="0.35">
      <c r="A835">
        <v>5089</v>
      </c>
      <c r="B835">
        <v>2025</v>
      </c>
      <c r="C835">
        <v>18</v>
      </c>
      <c r="D835" t="s">
        <v>171</v>
      </c>
      <c r="E835" s="75">
        <v>45770</v>
      </c>
      <c r="F835" s="75">
        <v>45776</v>
      </c>
    </row>
    <row r="836" spans="1:6" x14ac:dyDescent="0.35">
      <c r="A836">
        <v>5090</v>
      </c>
      <c r="B836">
        <v>2025</v>
      </c>
      <c r="C836">
        <v>18</v>
      </c>
      <c r="D836" t="s">
        <v>171</v>
      </c>
      <c r="E836" s="75">
        <v>45770</v>
      </c>
      <c r="F836" s="75">
        <v>45776</v>
      </c>
    </row>
    <row r="837" spans="1:6" x14ac:dyDescent="0.35">
      <c r="A837">
        <v>5091</v>
      </c>
      <c r="B837">
        <v>2025</v>
      </c>
      <c r="C837">
        <v>18</v>
      </c>
      <c r="D837" t="s">
        <v>171</v>
      </c>
      <c r="E837" s="75">
        <v>45770</v>
      </c>
      <c r="F837" s="75">
        <v>45776</v>
      </c>
    </row>
    <row r="838" spans="1:6" x14ac:dyDescent="0.35">
      <c r="A838">
        <v>5092</v>
      </c>
      <c r="B838">
        <v>2025</v>
      </c>
      <c r="C838">
        <v>18</v>
      </c>
      <c r="D838" t="s">
        <v>171</v>
      </c>
      <c r="E838" s="75">
        <v>45770</v>
      </c>
      <c r="F838" s="75">
        <v>45776</v>
      </c>
    </row>
    <row r="839" spans="1:6" x14ac:dyDescent="0.35">
      <c r="A839">
        <v>5093</v>
      </c>
      <c r="B839">
        <v>2025</v>
      </c>
      <c r="C839">
        <v>18</v>
      </c>
      <c r="D839" t="s">
        <v>171</v>
      </c>
      <c r="E839" s="75">
        <v>45770</v>
      </c>
      <c r="F839" s="75">
        <v>45776</v>
      </c>
    </row>
    <row r="840" spans="1:6" x14ac:dyDescent="0.35">
      <c r="A840">
        <v>5094</v>
      </c>
      <c r="B840">
        <v>2025</v>
      </c>
      <c r="C840">
        <v>18</v>
      </c>
      <c r="D840" t="s">
        <v>171</v>
      </c>
      <c r="E840" s="75">
        <v>45770</v>
      </c>
      <c r="F840" s="75">
        <v>45776</v>
      </c>
    </row>
    <row r="841" spans="1:6" x14ac:dyDescent="0.35">
      <c r="A841">
        <v>5095</v>
      </c>
      <c r="B841">
        <v>2025</v>
      </c>
      <c r="C841">
        <v>18</v>
      </c>
      <c r="D841" t="s">
        <v>171</v>
      </c>
      <c r="E841" s="75">
        <v>45770</v>
      </c>
      <c r="F841" s="75">
        <v>45776</v>
      </c>
    </row>
    <row r="842" spans="1:6" x14ac:dyDescent="0.35">
      <c r="A842">
        <v>5096</v>
      </c>
      <c r="B842">
        <v>2025</v>
      </c>
      <c r="C842">
        <v>18</v>
      </c>
      <c r="D842" t="s">
        <v>171</v>
      </c>
      <c r="E842" s="75">
        <v>45770</v>
      </c>
      <c r="F842" s="75">
        <v>45776</v>
      </c>
    </row>
    <row r="843" spans="1:6" x14ac:dyDescent="0.35">
      <c r="A843">
        <v>5097</v>
      </c>
      <c r="B843">
        <v>2025</v>
      </c>
      <c r="C843">
        <v>18</v>
      </c>
      <c r="D843" t="s">
        <v>171</v>
      </c>
      <c r="E843" s="75">
        <v>45770</v>
      </c>
      <c r="F843" s="75">
        <v>45776</v>
      </c>
    </row>
    <row r="844" spans="1:6" x14ac:dyDescent="0.35">
      <c r="A844">
        <v>5098</v>
      </c>
      <c r="B844">
        <v>2025</v>
      </c>
      <c r="C844">
        <v>18</v>
      </c>
      <c r="D844" t="s">
        <v>171</v>
      </c>
      <c r="E844" s="75">
        <v>45770</v>
      </c>
      <c r="F844" s="75">
        <v>45776</v>
      </c>
    </row>
    <row r="845" spans="1:6" x14ac:dyDescent="0.35">
      <c r="A845">
        <v>5099</v>
      </c>
      <c r="B845">
        <v>2025</v>
      </c>
      <c r="C845">
        <v>18</v>
      </c>
      <c r="D845" t="s">
        <v>171</v>
      </c>
      <c r="E845" s="75">
        <v>45770</v>
      </c>
      <c r="F845" s="75">
        <v>45776</v>
      </c>
    </row>
    <row r="846" spans="1:6" x14ac:dyDescent="0.35">
      <c r="A846">
        <v>5100</v>
      </c>
      <c r="B846">
        <v>2025</v>
      </c>
      <c r="C846">
        <v>18</v>
      </c>
      <c r="D846" t="s">
        <v>171</v>
      </c>
      <c r="E846" s="75">
        <v>45770</v>
      </c>
      <c r="F846" s="75">
        <v>45776</v>
      </c>
    </row>
    <row r="847" spans="1:6" x14ac:dyDescent="0.35">
      <c r="A847">
        <v>5101</v>
      </c>
      <c r="B847">
        <v>2025</v>
      </c>
      <c r="C847">
        <v>18</v>
      </c>
      <c r="D847" t="s">
        <v>171</v>
      </c>
      <c r="E847" s="75">
        <v>45770</v>
      </c>
      <c r="F847" s="75">
        <v>45776</v>
      </c>
    </row>
    <row r="848" spans="1:6" x14ac:dyDescent="0.35">
      <c r="A848">
        <v>5102</v>
      </c>
      <c r="B848">
        <v>2025</v>
      </c>
      <c r="C848">
        <v>18</v>
      </c>
      <c r="D848" t="s">
        <v>171</v>
      </c>
      <c r="E848" s="75">
        <v>45770</v>
      </c>
      <c r="F848" s="75">
        <v>45776</v>
      </c>
    </row>
    <row r="849" spans="1:6" x14ac:dyDescent="0.35">
      <c r="A849">
        <v>5103</v>
      </c>
      <c r="B849">
        <v>2025</v>
      </c>
      <c r="C849">
        <v>18</v>
      </c>
      <c r="D849" t="s">
        <v>171</v>
      </c>
      <c r="E849" s="75">
        <v>45770</v>
      </c>
      <c r="F849" s="75">
        <v>45776</v>
      </c>
    </row>
    <row r="850" spans="1:6" x14ac:dyDescent="0.35">
      <c r="A850">
        <v>5104</v>
      </c>
      <c r="B850">
        <v>2025</v>
      </c>
      <c r="C850">
        <v>18</v>
      </c>
      <c r="D850" t="s">
        <v>171</v>
      </c>
      <c r="E850" s="75">
        <v>45770</v>
      </c>
      <c r="F850" s="75">
        <v>45776</v>
      </c>
    </row>
    <row r="851" spans="1:6" x14ac:dyDescent="0.35">
      <c r="A851">
        <v>5105</v>
      </c>
      <c r="B851">
        <v>2025</v>
      </c>
      <c r="C851">
        <v>18</v>
      </c>
      <c r="D851" t="s">
        <v>171</v>
      </c>
      <c r="E851" s="75">
        <v>45770</v>
      </c>
      <c r="F851" s="75">
        <v>45776</v>
      </c>
    </row>
    <row r="852" spans="1:6" x14ac:dyDescent="0.35">
      <c r="A852">
        <v>5106</v>
      </c>
      <c r="B852">
        <v>2025</v>
      </c>
      <c r="C852">
        <v>18</v>
      </c>
      <c r="D852" t="s">
        <v>171</v>
      </c>
      <c r="E852" s="75">
        <v>45770</v>
      </c>
      <c r="F852" s="75">
        <v>45776</v>
      </c>
    </row>
    <row r="853" spans="1:6" x14ac:dyDescent="0.35">
      <c r="A853">
        <v>5107</v>
      </c>
      <c r="B853">
        <v>2025</v>
      </c>
      <c r="C853">
        <v>18</v>
      </c>
      <c r="D853" t="s">
        <v>171</v>
      </c>
      <c r="E853" s="75">
        <v>45770</v>
      </c>
      <c r="F853" s="75">
        <v>45776</v>
      </c>
    </row>
    <row r="854" spans="1:6" x14ac:dyDescent="0.35">
      <c r="A854">
        <v>5108</v>
      </c>
      <c r="B854">
        <v>2025</v>
      </c>
      <c r="C854">
        <v>19</v>
      </c>
      <c r="D854" t="s">
        <v>172</v>
      </c>
      <c r="E854" s="75">
        <v>45777</v>
      </c>
      <c r="F854" s="75">
        <v>45783</v>
      </c>
    </row>
    <row r="855" spans="1:6" x14ac:dyDescent="0.35">
      <c r="A855">
        <v>5109</v>
      </c>
      <c r="B855">
        <v>2025</v>
      </c>
      <c r="C855">
        <v>19</v>
      </c>
      <c r="D855" t="s">
        <v>172</v>
      </c>
      <c r="E855" s="75">
        <v>45777</v>
      </c>
      <c r="F855" s="75">
        <v>45783</v>
      </c>
    </row>
    <row r="856" spans="1:6" x14ac:dyDescent="0.35">
      <c r="A856">
        <v>5110</v>
      </c>
      <c r="B856">
        <v>2025</v>
      </c>
      <c r="C856">
        <v>19</v>
      </c>
      <c r="D856" t="s">
        <v>172</v>
      </c>
      <c r="E856" s="75">
        <v>45777</v>
      </c>
      <c r="F856" s="75">
        <v>45783</v>
      </c>
    </row>
    <row r="857" spans="1:6" x14ac:dyDescent="0.35">
      <c r="A857">
        <v>5111</v>
      </c>
      <c r="B857">
        <v>2025</v>
      </c>
      <c r="C857">
        <v>19</v>
      </c>
      <c r="D857" t="s">
        <v>172</v>
      </c>
      <c r="E857" s="75">
        <v>45777</v>
      </c>
      <c r="F857" s="75">
        <v>45783</v>
      </c>
    </row>
    <row r="858" spans="1:6" x14ac:dyDescent="0.35">
      <c r="A858">
        <v>5112</v>
      </c>
      <c r="B858">
        <v>2025</v>
      </c>
      <c r="C858">
        <v>19</v>
      </c>
      <c r="D858" t="s">
        <v>172</v>
      </c>
      <c r="E858" s="75">
        <v>45777</v>
      </c>
      <c r="F858" s="75">
        <v>45783</v>
      </c>
    </row>
    <row r="859" spans="1:6" x14ac:dyDescent="0.35">
      <c r="A859">
        <v>5113</v>
      </c>
      <c r="B859">
        <v>2025</v>
      </c>
      <c r="C859">
        <v>19</v>
      </c>
      <c r="D859" t="s">
        <v>172</v>
      </c>
      <c r="E859" s="75">
        <v>45777</v>
      </c>
      <c r="F859" s="75">
        <v>45783</v>
      </c>
    </row>
    <row r="860" spans="1:6" x14ac:dyDescent="0.35">
      <c r="A860">
        <v>5114</v>
      </c>
      <c r="B860">
        <v>2025</v>
      </c>
      <c r="C860">
        <v>19</v>
      </c>
      <c r="D860" t="s">
        <v>172</v>
      </c>
      <c r="E860" s="75">
        <v>45777</v>
      </c>
      <c r="F860" s="75">
        <v>45783</v>
      </c>
    </row>
    <row r="861" spans="1:6" x14ac:dyDescent="0.35">
      <c r="A861">
        <v>5115</v>
      </c>
      <c r="B861">
        <v>2025</v>
      </c>
      <c r="C861">
        <v>19</v>
      </c>
      <c r="D861" t="s">
        <v>172</v>
      </c>
      <c r="E861" s="75">
        <v>45777</v>
      </c>
      <c r="F861" s="75">
        <v>45783</v>
      </c>
    </row>
    <row r="862" spans="1:6" x14ac:dyDescent="0.35">
      <c r="A862">
        <v>5116</v>
      </c>
      <c r="B862">
        <v>2025</v>
      </c>
      <c r="C862">
        <v>19</v>
      </c>
      <c r="D862" t="s">
        <v>172</v>
      </c>
      <c r="E862" s="75">
        <v>45777</v>
      </c>
      <c r="F862" s="75">
        <v>45783</v>
      </c>
    </row>
    <row r="863" spans="1:6" x14ac:dyDescent="0.35">
      <c r="A863">
        <v>5117</v>
      </c>
      <c r="B863">
        <v>2025</v>
      </c>
      <c r="C863">
        <v>19</v>
      </c>
      <c r="D863" t="s">
        <v>172</v>
      </c>
      <c r="E863" s="75">
        <v>45777</v>
      </c>
      <c r="F863" s="75">
        <v>45783</v>
      </c>
    </row>
    <row r="864" spans="1:6" x14ac:dyDescent="0.35">
      <c r="A864">
        <v>5118</v>
      </c>
      <c r="B864">
        <v>2025</v>
      </c>
      <c r="C864">
        <v>19</v>
      </c>
      <c r="D864" t="s">
        <v>172</v>
      </c>
      <c r="E864" s="75">
        <v>45777</v>
      </c>
      <c r="F864" s="75">
        <v>45783</v>
      </c>
    </row>
    <row r="865" spans="1:6" x14ac:dyDescent="0.35">
      <c r="A865">
        <v>5119</v>
      </c>
      <c r="B865">
        <v>2025</v>
      </c>
      <c r="C865">
        <v>19</v>
      </c>
      <c r="D865" t="s">
        <v>172</v>
      </c>
      <c r="E865" s="75">
        <v>45777</v>
      </c>
      <c r="F865" s="75">
        <v>45783</v>
      </c>
    </row>
    <row r="866" spans="1:6" x14ac:dyDescent="0.35">
      <c r="A866">
        <v>5120</v>
      </c>
      <c r="B866">
        <v>2025</v>
      </c>
      <c r="C866">
        <v>19</v>
      </c>
      <c r="D866" t="s">
        <v>172</v>
      </c>
      <c r="E866" s="75">
        <v>45777</v>
      </c>
      <c r="F866" s="75">
        <v>45783</v>
      </c>
    </row>
    <row r="867" spans="1:6" x14ac:dyDescent="0.35">
      <c r="A867">
        <v>5121</v>
      </c>
      <c r="B867">
        <v>2025</v>
      </c>
      <c r="C867">
        <v>20</v>
      </c>
      <c r="D867" t="s">
        <v>173</v>
      </c>
      <c r="E867" s="75">
        <v>45784</v>
      </c>
      <c r="F867" s="75">
        <v>45790</v>
      </c>
    </row>
    <row r="868" spans="1:6" x14ac:dyDescent="0.35">
      <c r="A868">
        <v>5122</v>
      </c>
      <c r="B868">
        <v>2025</v>
      </c>
      <c r="C868">
        <v>20</v>
      </c>
      <c r="D868" t="s">
        <v>173</v>
      </c>
      <c r="E868" s="75">
        <v>45784</v>
      </c>
      <c r="F868" s="75">
        <v>45790</v>
      </c>
    </row>
    <row r="869" spans="1:6" x14ac:dyDescent="0.35">
      <c r="A869">
        <v>5123</v>
      </c>
      <c r="B869">
        <v>2025</v>
      </c>
      <c r="C869">
        <v>20</v>
      </c>
      <c r="D869" t="s">
        <v>173</v>
      </c>
      <c r="E869" s="75">
        <v>45784</v>
      </c>
      <c r="F869" s="75">
        <v>45790</v>
      </c>
    </row>
    <row r="870" spans="1:6" x14ac:dyDescent="0.35">
      <c r="A870">
        <v>5124</v>
      </c>
      <c r="B870">
        <v>2025</v>
      </c>
      <c r="C870">
        <v>20</v>
      </c>
      <c r="D870" t="s">
        <v>173</v>
      </c>
      <c r="E870" s="75">
        <v>45784</v>
      </c>
      <c r="F870" s="75">
        <v>45790</v>
      </c>
    </row>
    <row r="871" spans="1:6" x14ac:dyDescent="0.35">
      <c r="A871">
        <v>5125</v>
      </c>
      <c r="B871">
        <v>2025</v>
      </c>
      <c r="C871">
        <v>20</v>
      </c>
      <c r="D871" t="s">
        <v>173</v>
      </c>
      <c r="E871" s="75">
        <v>45784</v>
      </c>
      <c r="F871" s="75">
        <v>45790</v>
      </c>
    </row>
    <row r="872" spans="1:6" x14ac:dyDescent="0.35">
      <c r="A872">
        <v>5126</v>
      </c>
      <c r="B872">
        <v>2025</v>
      </c>
      <c r="C872">
        <v>20</v>
      </c>
      <c r="D872" t="s">
        <v>173</v>
      </c>
      <c r="E872" s="75">
        <v>45784</v>
      </c>
      <c r="F872" s="75">
        <v>45790</v>
      </c>
    </row>
    <row r="873" spans="1:6" x14ac:dyDescent="0.35">
      <c r="A873">
        <v>5127</v>
      </c>
      <c r="B873">
        <v>2025</v>
      </c>
      <c r="C873">
        <v>20</v>
      </c>
      <c r="D873" t="s">
        <v>173</v>
      </c>
      <c r="E873" s="75">
        <v>45784</v>
      </c>
      <c r="F873" s="75">
        <v>45790</v>
      </c>
    </row>
    <row r="874" spans="1:6" x14ac:dyDescent="0.35">
      <c r="A874">
        <v>5128</v>
      </c>
      <c r="B874">
        <v>2025</v>
      </c>
      <c r="C874">
        <v>20</v>
      </c>
      <c r="D874" t="s">
        <v>173</v>
      </c>
      <c r="E874" s="75">
        <v>45784</v>
      </c>
      <c r="F874" s="75">
        <v>45790</v>
      </c>
    </row>
    <row r="875" spans="1:6" x14ac:dyDescent="0.35">
      <c r="A875">
        <v>5129</v>
      </c>
      <c r="B875">
        <v>2025</v>
      </c>
      <c r="C875">
        <v>20</v>
      </c>
      <c r="D875" t="s">
        <v>173</v>
      </c>
      <c r="E875" s="75">
        <v>45784</v>
      </c>
      <c r="F875" s="75">
        <v>45790</v>
      </c>
    </row>
    <row r="876" spans="1:6" x14ac:dyDescent="0.35">
      <c r="A876">
        <v>5130</v>
      </c>
      <c r="B876">
        <v>2025</v>
      </c>
      <c r="C876">
        <v>20</v>
      </c>
      <c r="D876" t="s">
        <v>173</v>
      </c>
      <c r="E876" s="75">
        <v>45784</v>
      </c>
      <c r="F876" s="75">
        <v>45790</v>
      </c>
    </row>
    <row r="877" spans="1:6" x14ac:dyDescent="0.35">
      <c r="A877">
        <v>5131</v>
      </c>
      <c r="B877">
        <v>2025</v>
      </c>
      <c r="C877">
        <v>21</v>
      </c>
      <c r="D877" t="s">
        <v>174</v>
      </c>
      <c r="E877" s="75">
        <v>45791</v>
      </c>
      <c r="F877" s="75">
        <v>45797</v>
      </c>
    </row>
    <row r="878" spans="1:6" x14ac:dyDescent="0.35">
      <c r="A878">
        <v>5132</v>
      </c>
      <c r="B878">
        <v>2025</v>
      </c>
      <c r="C878">
        <v>21</v>
      </c>
      <c r="D878" t="s">
        <v>174</v>
      </c>
      <c r="E878" s="75">
        <v>45791</v>
      </c>
      <c r="F878" s="75">
        <v>45797</v>
      </c>
    </row>
    <row r="879" spans="1:6" x14ac:dyDescent="0.35">
      <c r="A879">
        <v>5133</v>
      </c>
      <c r="B879">
        <v>2025</v>
      </c>
      <c r="C879">
        <v>21</v>
      </c>
      <c r="D879" t="s">
        <v>174</v>
      </c>
      <c r="E879" s="75">
        <v>45791</v>
      </c>
      <c r="F879" s="75">
        <v>45797</v>
      </c>
    </row>
    <row r="880" spans="1:6" x14ac:dyDescent="0.35">
      <c r="A880">
        <v>5134</v>
      </c>
      <c r="B880">
        <v>2025</v>
      </c>
      <c r="C880">
        <v>21</v>
      </c>
      <c r="D880" t="s">
        <v>174</v>
      </c>
      <c r="E880" s="75">
        <v>45791</v>
      </c>
      <c r="F880" s="75">
        <v>45797</v>
      </c>
    </row>
    <row r="881" spans="1:6" x14ac:dyDescent="0.35">
      <c r="A881">
        <v>5135</v>
      </c>
      <c r="B881">
        <v>2025</v>
      </c>
      <c r="C881">
        <v>21</v>
      </c>
      <c r="D881" t="s">
        <v>174</v>
      </c>
      <c r="E881" s="75">
        <v>45791</v>
      </c>
      <c r="F881" s="75">
        <v>45797</v>
      </c>
    </row>
    <row r="882" spans="1:6" x14ac:dyDescent="0.35">
      <c r="A882">
        <v>5136</v>
      </c>
      <c r="B882">
        <v>2025</v>
      </c>
      <c r="C882">
        <v>21</v>
      </c>
      <c r="D882" t="s">
        <v>174</v>
      </c>
      <c r="E882" s="75">
        <v>45791</v>
      </c>
      <c r="F882" s="75">
        <v>45797</v>
      </c>
    </row>
    <row r="883" spans="1:6" x14ac:dyDescent="0.35">
      <c r="A883">
        <v>5137</v>
      </c>
      <c r="B883">
        <v>2025</v>
      </c>
      <c r="C883">
        <v>21</v>
      </c>
      <c r="D883" t="s">
        <v>174</v>
      </c>
      <c r="E883" s="75">
        <v>45791</v>
      </c>
      <c r="F883" s="75">
        <v>45797</v>
      </c>
    </row>
    <row r="884" spans="1:6" x14ac:dyDescent="0.35">
      <c r="A884">
        <v>5138</v>
      </c>
      <c r="B884">
        <v>2025</v>
      </c>
      <c r="C884">
        <v>21</v>
      </c>
      <c r="D884" t="s">
        <v>174</v>
      </c>
      <c r="E884" s="75">
        <v>45791</v>
      </c>
      <c r="F884" s="75">
        <v>45797</v>
      </c>
    </row>
    <row r="885" spans="1:6" x14ac:dyDescent="0.35">
      <c r="A885">
        <v>5139</v>
      </c>
      <c r="B885">
        <v>2025</v>
      </c>
      <c r="C885">
        <v>21</v>
      </c>
      <c r="D885" t="s">
        <v>174</v>
      </c>
      <c r="E885" s="75">
        <v>45791</v>
      </c>
      <c r="F885" s="75">
        <v>45797</v>
      </c>
    </row>
    <row r="886" spans="1:6" x14ac:dyDescent="0.35">
      <c r="A886">
        <v>5140</v>
      </c>
      <c r="B886">
        <v>2025</v>
      </c>
      <c r="C886">
        <v>21</v>
      </c>
      <c r="D886" t="s">
        <v>174</v>
      </c>
      <c r="E886" s="75">
        <v>45791</v>
      </c>
      <c r="F886" s="75">
        <v>45797</v>
      </c>
    </row>
    <row r="887" spans="1:6" x14ac:dyDescent="0.35">
      <c r="A887">
        <v>5141</v>
      </c>
      <c r="B887">
        <v>2025</v>
      </c>
      <c r="C887">
        <v>21</v>
      </c>
      <c r="D887" t="s">
        <v>174</v>
      </c>
      <c r="E887" s="75">
        <v>45791</v>
      </c>
      <c r="F887" s="75">
        <v>45797</v>
      </c>
    </row>
    <row r="888" spans="1:6" x14ac:dyDescent="0.35">
      <c r="A888">
        <v>5142</v>
      </c>
      <c r="B888">
        <v>2025</v>
      </c>
      <c r="C888">
        <v>21</v>
      </c>
      <c r="D888" t="s">
        <v>174</v>
      </c>
      <c r="E888" s="75">
        <v>45791</v>
      </c>
      <c r="F888" s="75">
        <v>45797</v>
      </c>
    </row>
    <row r="889" spans="1:6" x14ac:dyDescent="0.35">
      <c r="A889">
        <v>5143</v>
      </c>
      <c r="B889">
        <v>2025</v>
      </c>
      <c r="C889">
        <v>21</v>
      </c>
      <c r="D889" t="s">
        <v>174</v>
      </c>
      <c r="E889" s="75">
        <v>45791</v>
      </c>
      <c r="F889" s="75">
        <v>45797</v>
      </c>
    </row>
    <row r="890" spans="1:6" x14ac:dyDescent="0.35">
      <c r="A890">
        <v>5144</v>
      </c>
      <c r="B890">
        <v>2025</v>
      </c>
      <c r="C890">
        <v>21</v>
      </c>
      <c r="D890" t="s">
        <v>174</v>
      </c>
      <c r="E890" s="75">
        <v>45791</v>
      </c>
      <c r="F890" s="75">
        <v>45797</v>
      </c>
    </row>
    <row r="891" spans="1:6" x14ac:dyDescent="0.35">
      <c r="A891">
        <v>5145</v>
      </c>
      <c r="B891">
        <v>2025</v>
      </c>
      <c r="C891">
        <v>21</v>
      </c>
      <c r="D891" t="s">
        <v>174</v>
      </c>
      <c r="E891" s="75">
        <v>45791</v>
      </c>
      <c r="F891" s="75">
        <v>45797</v>
      </c>
    </row>
    <row r="892" spans="1:6" x14ac:dyDescent="0.35">
      <c r="A892">
        <v>5146</v>
      </c>
      <c r="B892">
        <v>2025</v>
      </c>
      <c r="C892">
        <v>21</v>
      </c>
      <c r="D892" t="s">
        <v>174</v>
      </c>
      <c r="E892" s="75">
        <v>45791</v>
      </c>
      <c r="F892" s="75">
        <v>45797</v>
      </c>
    </row>
    <row r="893" spans="1:6" x14ac:dyDescent="0.35">
      <c r="A893">
        <v>5147</v>
      </c>
      <c r="B893">
        <v>2025</v>
      </c>
      <c r="C893">
        <v>21</v>
      </c>
      <c r="D893" t="s">
        <v>174</v>
      </c>
      <c r="E893" s="75">
        <v>45791</v>
      </c>
      <c r="F893" s="75">
        <v>45797</v>
      </c>
    </row>
    <row r="894" spans="1:6" x14ac:dyDescent="0.35">
      <c r="A894">
        <v>5148</v>
      </c>
      <c r="B894">
        <v>2025</v>
      </c>
      <c r="C894">
        <v>22</v>
      </c>
      <c r="D894" t="s">
        <v>175</v>
      </c>
      <c r="E894" s="75">
        <v>45798</v>
      </c>
      <c r="F894" s="75">
        <v>45804</v>
      </c>
    </row>
    <row r="895" spans="1:6" x14ac:dyDescent="0.35">
      <c r="A895">
        <v>5149</v>
      </c>
      <c r="B895">
        <v>2025</v>
      </c>
      <c r="C895">
        <v>22</v>
      </c>
      <c r="D895" t="s">
        <v>175</v>
      </c>
      <c r="E895" s="75">
        <v>45798</v>
      </c>
      <c r="F895" s="75">
        <v>45804</v>
      </c>
    </row>
    <row r="896" spans="1:6" x14ac:dyDescent="0.35">
      <c r="A896">
        <v>5150</v>
      </c>
      <c r="B896">
        <v>2025</v>
      </c>
      <c r="C896">
        <v>22</v>
      </c>
      <c r="D896" t="s">
        <v>175</v>
      </c>
      <c r="E896" s="75">
        <v>45798</v>
      </c>
      <c r="F896" s="75">
        <v>45804</v>
      </c>
    </row>
    <row r="897" spans="1:6" x14ac:dyDescent="0.35">
      <c r="A897">
        <v>5151</v>
      </c>
      <c r="B897">
        <v>2025</v>
      </c>
      <c r="C897">
        <v>22</v>
      </c>
      <c r="D897" t="s">
        <v>175</v>
      </c>
      <c r="E897" s="75">
        <v>45798</v>
      </c>
      <c r="F897" s="75">
        <v>45804</v>
      </c>
    </row>
    <row r="898" spans="1:6" x14ac:dyDescent="0.35">
      <c r="A898">
        <v>5152</v>
      </c>
      <c r="B898">
        <v>2025</v>
      </c>
      <c r="C898">
        <v>22</v>
      </c>
      <c r="D898" t="s">
        <v>175</v>
      </c>
      <c r="E898" s="75">
        <v>45798</v>
      </c>
      <c r="F898" s="75">
        <v>45804</v>
      </c>
    </row>
    <row r="899" spans="1:6" x14ac:dyDescent="0.35">
      <c r="A899">
        <v>5153</v>
      </c>
      <c r="B899">
        <v>2025</v>
      </c>
      <c r="C899">
        <v>22</v>
      </c>
      <c r="D899" t="s">
        <v>175</v>
      </c>
      <c r="E899" s="75">
        <v>45798</v>
      </c>
      <c r="F899" s="75">
        <v>45804</v>
      </c>
    </row>
    <row r="900" spans="1:6" x14ac:dyDescent="0.35">
      <c r="A900">
        <v>5154</v>
      </c>
      <c r="B900">
        <v>2025</v>
      </c>
      <c r="C900">
        <v>22</v>
      </c>
      <c r="D900" t="s">
        <v>175</v>
      </c>
      <c r="E900" s="75">
        <v>45798</v>
      </c>
      <c r="F900" s="75">
        <v>45804</v>
      </c>
    </row>
    <row r="901" spans="1:6" x14ac:dyDescent="0.35">
      <c r="A901">
        <v>5155</v>
      </c>
      <c r="B901">
        <v>2025</v>
      </c>
      <c r="C901">
        <v>22</v>
      </c>
      <c r="D901" t="s">
        <v>175</v>
      </c>
      <c r="E901" s="75">
        <v>45798</v>
      </c>
      <c r="F901" s="75">
        <v>45804</v>
      </c>
    </row>
    <row r="902" spans="1:6" x14ac:dyDescent="0.35">
      <c r="A902">
        <v>5156</v>
      </c>
      <c r="B902">
        <v>2025</v>
      </c>
      <c r="C902">
        <v>22</v>
      </c>
      <c r="D902" t="s">
        <v>175</v>
      </c>
      <c r="E902" s="75">
        <v>45798</v>
      </c>
      <c r="F902" s="75">
        <v>45804</v>
      </c>
    </row>
    <row r="903" spans="1:6" x14ac:dyDescent="0.35">
      <c r="A903">
        <v>5157</v>
      </c>
      <c r="B903">
        <v>2025</v>
      </c>
      <c r="C903">
        <v>22</v>
      </c>
      <c r="D903" t="s">
        <v>175</v>
      </c>
      <c r="E903" s="75">
        <v>45798</v>
      </c>
      <c r="F903" s="75">
        <v>45804</v>
      </c>
    </row>
    <row r="904" spans="1:6" x14ac:dyDescent="0.35">
      <c r="A904">
        <v>5158</v>
      </c>
      <c r="B904">
        <v>2025</v>
      </c>
      <c r="C904">
        <v>22</v>
      </c>
      <c r="D904" t="s">
        <v>175</v>
      </c>
      <c r="E904" s="75">
        <v>45798</v>
      </c>
      <c r="F904" s="75">
        <v>45804</v>
      </c>
    </row>
    <row r="905" spans="1:6" x14ac:dyDescent="0.35">
      <c r="A905">
        <v>5159</v>
      </c>
      <c r="B905">
        <v>2025</v>
      </c>
      <c r="C905">
        <v>22</v>
      </c>
      <c r="D905" t="s">
        <v>175</v>
      </c>
      <c r="E905" s="75">
        <v>45798</v>
      </c>
      <c r="F905" s="75">
        <v>45804</v>
      </c>
    </row>
    <row r="906" spans="1:6" x14ac:dyDescent="0.35">
      <c r="A906">
        <v>5160</v>
      </c>
      <c r="B906">
        <v>2025</v>
      </c>
      <c r="C906">
        <v>23</v>
      </c>
      <c r="D906" t="s">
        <v>176</v>
      </c>
      <c r="E906" s="75">
        <v>45805</v>
      </c>
      <c r="F906" s="75">
        <v>45811</v>
      </c>
    </row>
    <row r="907" spans="1:6" x14ac:dyDescent="0.35">
      <c r="A907">
        <v>5161</v>
      </c>
      <c r="B907">
        <v>2025</v>
      </c>
      <c r="C907">
        <v>23</v>
      </c>
      <c r="D907" t="s">
        <v>176</v>
      </c>
      <c r="E907" s="75">
        <v>45805</v>
      </c>
      <c r="F907" s="75">
        <v>45811</v>
      </c>
    </row>
    <row r="908" spans="1:6" x14ac:dyDescent="0.35">
      <c r="A908">
        <v>5162</v>
      </c>
      <c r="B908">
        <v>2025</v>
      </c>
      <c r="C908">
        <v>23</v>
      </c>
      <c r="D908" t="s">
        <v>176</v>
      </c>
      <c r="E908" s="75">
        <v>45805</v>
      </c>
      <c r="F908" s="75">
        <v>45811</v>
      </c>
    </row>
    <row r="909" spans="1:6" x14ac:dyDescent="0.35">
      <c r="A909">
        <v>5163</v>
      </c>
      <c r="B909">
        <v>2025</v>
      </c>
      <c r="C909">
        <v>23</v>
      </c>
      <c r="D909" t="s">
        <v>176</v>
      </c>
      <c r="E909" s="75">
        <v>45805</v>
      </c>
      <c r="F909" s="75">
        <v>45811</v>
      </c>
    </row>
    <row r="910" spans="1:6" x14ac:dyDescent="0.35">
      <c r="A910">
        <v>5164</v>
      </c>
      <c r="B910">
        <v>2025</v>
      </c>
      <c r="C910">
        <v>23</v>
      </c>
      <c r="D910" t="s">
        <v>176</v>
      </c>
      <c r="E910" s="75">
        <v>45805</v>
      </c>
      <c r="F910" s="75">
        <v>45811</v>
      </c>
    </row>
    <row r="911" spans="1:6" x14ac:dyDescent="0.35">
      <c r="A911">
        <v>5165</v>
      </c>
      <c r="B911">
        <v>2025</v>
      </c>
      <c r="C911">
        <v>23</v>
      </c>
      <c r="D911" t="s">
        <v>176</v>
      </c>
      <c r="E911" s="75">
        <v>45805</v>
      </c>
      <c r="F911" s="75">
        <v>45811</v>
      </c>
    </row>
    <row r="912" spans="1:6" x14ac:dyDescent="0.35">
      <c r="A912">
        <v>5166</v>
      </c>
      <c r="B912">
        <v>2025</v>
      </c>
      <c r="C912">
        <v>23</v>
      </c>
      <c r="D912" t="s">
        <v>176</v>
      </c>
      <c r="E912" s="75">
        <v>45805</v>
      </c>
      <c r="F912" s="75">
        <v>45811</v>
      </c>
    </row>
    <row r="913" spans="1:6" x14ac:dyDescent="0.35">
      <c r="A913">
        <v>5167</v>
      </c>
      <c r="B913">
        <v>2025</v>
      </c>
      <c r="C913">
        <v>23</v>
      </c>
      <c r="D913" t="s">
        <v>176</v>
      </c>
      <c r="E913" s="75">
        <v>45805</v>
      </c>
      <c r="F913" s="75">
        <v>45811</v>
      </c>
    </row>
    <row r="914" spans="1:6" x14ac:dyDescent="0.35">
      <c r="A914">
        <v>5168</v>
      </c>
      <c r="B914">
        <v>2025</v>
      </c>
      <c r="C914">
        <v>23</v>
      </c>
      <c r="D914" t="s">
        <v>176</v>
      </c>
      <c r="E914" s="75">
        <v>45805</v>
      </c>
      <c r="F914" s="75">
        <v>45811</v>
      </c>
    </row>
    <row r="915" spans="1:6" x14ac:dyDescent="0.35">
      <c r="A915">
        <v>5169</v>
      </c>
      <c r="B915">
        <v>2025</v>
      </c>
      <c r="C915">
        <v>23</v>
      </c>
      <c r="D915" t="s">
        <v>176</v>
      </c>
      <c r="E915" s="75">
        <v>45805</v>
      </c>
      <c r="F915" s="75">
        <v>45811</v>
      </c>
    </row>
    <row r="916" spans="1:6" x14ac:dyDescent="0.35">
      <c r="A916">
        <v>5170</v>
      </c>
      <c r="B916">
        <v>2025</v>
      </c>
      <c r="C916">
        <v>23</v>
      </c>
      <c r="D916" t="s">
        <v>176</v>
      </c>
      <c r="E916" s="75">
        <v>45805</v>
      </c>
      <c r="F916" s="75">
        <v>45811</v>
      </c>
    </row>
    <row r="917" spans="1:6" x14ac:dyDescent="0.35">
      <c r="A917">
        <v>5171</v>
      </c>
      <c r="B917">
        <v>2025</v>
      </c>
      <c r="C917">
        <v>23</v>
      </c>
      <c r="D917" t="s">
        <v>176</v>
      </c>
      <c r="E917" s="75">
        <v>45805</v>
      </c>
      <c r="F917" s="75">
        <v>45811</v>
      </c>
    </row>
    <row r="918" spans="1:6" x14ac:dyDescent="0.35">
      <c r="A918">
        <v>5172</v>
      </c>
      <c r="B918">
        <v>2025</v>
      </c>
      <c r="C918">
        <v>23</v>
      </c>
      <c r="D918" t="s">
        <v>176</v>
      </c>
      <c r="E918" s="75">
        <v>45805</v>
      </c>
      <c r="F918" s="75">
        <v>45811</v>
      </c>
    </row>
    <row r="919" spans="1:6" x14ac:dyDescent="0.35">
      <c r="A919">
        <v>5173</v>
      </c>
      <c r="B919">
        <v>2025</v>
      </c>
      <c r="C919">
        <v>24</v>
      </c>
      <c r="D919" t="s">
        <v>177</v>
      </c>
      <c r="E919" s="75">
        <v>45812</v>
      </c>
      <c r="F919" s="75">
        <v>45818</v>
      </c>
    </row>
    <row r="920" spans="1:6" x14ac:dyDescent="0.35">
      <c r="A920">
        <v>5174</v>
      </c>
      <c r="B920">
        <v>2025</v>
      </c>
      <c r="C920">
        <v>24</v>
      </c>
      <c r="D920" t="s">
        <v>177</v>
      </c>
      <c r="E920" s="75">
        <v>45812</v>
      </c>
      <c r="F920" s="75">
        <v>45818</v>
      </c>
    </row>
    <row r="921" spans="1:6" x14ac:dyDescent="0.35">
      <c r="A921">
        <v>5175</v>
      </c>
      <c r="B921">
        <v>2025</v>
      </c>
      <c r="C921">
        <v>24</v>
      </c>
      <c r="D921" t="s">
        <v>177</v>
      </c>
      <c r="E921" s="75">
        <v>45812</v>
      </c>
      <c r="F921" s="75">
        <v>45818</v>
      </c>
    </row>
    <row r="922" spans="1:6" x14ac:dyDescent="0.35">
      <c r="A922">
        <v>5176</v>
      </c>
      <c r="B922">
        <v>2025</v>
      </c>
      <c r="C922">
        <v>24</v>
      </c>
      <c r="D922" t="s">
        <v>177</v>
      </c>
      <c r="E922" s="75">
        <v>45812</v>
      </c>
      <c r="F922" s="75">
        <v>45818</v>
      </c>
    </row>
    <row r="923" spans="1:6" x14ac:dyDescent="0.35">
      <c r="A923">
        <v>5177</v>
      </c>
      <c r="B923">
        <v>2025</v>
      </c>
      <c r="C923">
        <v>24</v>
      </c>
      <c r="D923" t="s">
        <v>177</v>
      </c>
      <c r="E923" s="75">
        <v>45812</v>
      </c>
      <c r="F923" s="75">
        <v>45818</v>
      </c>
    </row>
    <row r="924" spans="1:6" x14ac:dyDescent="0.35">
      <c r="A924">
        <v>5178</v>
      </c>
      <c r="B924">
        <v>2025</v>
      </c>
      <c r="C924">
        <v>24</v>
      </c>
      <c r="D924" t="s">
        <v>177</v>
      </c>
      <c r="E924" s="75">
        <v>45812</v>
      </c>
      <c r="F924" s="75">
        <v>45818</v>
      </c>
    </row>
    <row r="925" spans="1:6" x14ac:dyDescent="0.35">
      <c r="A925">
        <v>5179</v>
      </c>
      <c r="B925">
        <v>2025</v>
      </c>
      <c r="C925">
        <v>24</v>
      </c>
      <c r="D925" t="s">
        <v>177</v>
      </c>
      <c r="E925" s="75">
        <v>45812</v>
      </c>
      <c r="F925" s="75">
        <v>45818</v>
      </c>
    </row>
    <row r="926" spans="1:6" x14ac:dyDescent="0.35">
      <c r="A926">
        <v>5180</v>
      </c>
      <c r="B926">
        <v>2025</v>
      </c>
      <c r="C926">
        <v>24</v>
      </c>
      <c r="D926" t="s">
        <v>177</v>
      </c>
      <c r="E926" s="75">
        <v>45812</v>
      </c>
      <c r="F926" s="75">
        <v>45818</v>
      </c>
    </row>
    <row r="927" spans="1:6" x14ac:dyDescent="0.35">
      <c r="A927">
        <v>5181</v>
      </c>
      <c r="B927">
        <v>2025</v>
      </c>
      <c r="C927">
        <v>24</v>
      </c>
      <c r="D927" t="s">
        <v>177</v>
      </c>
      <c r="E927" s="75">
        <v>45812</v>
      </c>
      <c r="F927" s="75">
        <v>45818</v>
      </c>
    </row>
    <row r="928" spans="1:6" x14ac:dyDescent="0.35">
      <c r="A928">
        <v>5182</v>
      </c>
      <c r="B928">
        <v>2025</v>
      </c>
      <c r="C928">
        <v>24</v>
      </c>
      <c r="D928" t="s">
        <v>177</v>
      </c>
      <c r="E928" s="75">
        <v>45812</v>
      </c>
      <c r="F928" s="75">
        <v>45818</v>
      </c>
    </row>
    <row r="929" spans="1:6" x14ac:dyDescent="0.35">
      <c r="A929">
        <v>5183</v>
      </c>
      <c r="B929">
        <v>2025</v>
      </c>
      <c r="C929">
        <v>24</v>
      </c>
      <c r="D929" t="s">
        <v>177</v>
      </c>
      <c r="E929" s="75">
        <v>45812</v>
      </c>
      <c r="F929" s="75">
        <v>45818</v>
      </c>
    </row>
    <row r="930" spans="1:6" x14ac:dyDescent="0.35">
      <c r="A930">
        <v>5184</v>
      </c>
      <c r="B930">
        <v>2025</v>
      </c>
      <c r="C930">
        <v>24</v>
      </c>
      <c r="D930" t="s">
        <v>177</v>
      </c>
      <c r="E930" s="75">
        <v>45812</v>
      </c>
      <c r="F930" s="75">
        <v>45818</v>
      </c>
    </row>
    <row r="931" spans="1:6" x14ac:dyDescent="0.35">
      <c r="A931">
        <v>5185</v>
      </c>
      <c r="B931">
        <v>2025</v>
      </c>
      <c r="C931">
        <v>24</v>
      </c>
      <c r="D931" t="s">
        <v>177</v>
      </c>
      <c r="E931" s="75">
        <v>45812</v>
      </c>
      <c r="F931" s="75">
        <v>45818</v>
      </c>
    </row>
    <row r="932" spans="1:6" x14ac:dyDescent="0.35">
      <c r="A932">
        <v>5186</v>
      </c>
      <c r="B932">
        <v>2025</v>
      </c>
      <c r="C932">
        <v>24</v>
      </c>
      <c r="D932" t="s">
        <v>177</v>
      </c>
      <c r="E932" s="75">
        <v>45812</v>
      </c>
      <c r="F932" s="75">
        <v>45818</v>
      </c>
    </row>
    <row r="933" spans="1:6" x14ac:dyDescent="0.35">
      <c r="A933">
        <v>5187</v>
      </c>
      <c r="B933">
        <v>2025</v>
      </c>
      <c r="C933">
        <v>24</v>
      </c>
      <c r="D933" t="s">
        <v>177</v>
      </c>
      <c r="E933" s="75">
        <v>45812</v>
      </c>
      <c r="F933" s="75">
        <v>45818</v>
      </c>
    </row>
    <row r="934" spans="1:6" x14ac:dyDescent="0.35">
      <c r="A934">
        <v>5188</v>
      </c>
      <c r="B934">
        <v>2025</v>
      </c>
      <c r="C934">
        <v>24</v>
      </c>
      <c r="D934" t="s">
        <v>177</v>
      </c>
      <c r="E934" s="75">
        <v>45812</v>
      </c>
      <c r="F934" s="75">
        <v>45818</v>
      </c>
    </row>
    <row r="935" spans="1:6" x14ac:dyDescent="0.35">
      <c r="A935">
        <v>5189</v>
      </c>
      <c r="B935">
        <v>2025</v>
      </c>
      <c r="C935">
        <v>24</v>
      </c>
      <c r="D935" t="s">
        <v>177</v>
      </c>
      <c r="E935" s="75">
        <v>45812</v>
      </c>
      <c r="F935" s="75">
        <v>45818</v>
      </c>
    </row>
    <row r="936" spans="1:6" x14ac:dyDescent="0.35">
      <c r="A936">
        <v>5190</v>
      </c>
      <c r="B936">
        <v>2025</v>
      </c>
      <c r="C936">
        <v>24</v>
      </c>
      <c r="D936" t="s">
        <v>177</v>
      </c>
      <c r="E936" s="75">
        <v>45812</v>
      </c>
      <c r="F936" s="75">
        <v>45818</v>
      </c>
    </row>
    <row r="937" spans="1:6" x14ac:dyDescent="0.35">
      <c r="A937">
        <v>5191</v>
      </c>
      <c r="B937">
        <v>2025</v>
      </c>
      <c r="C937">
        <v>25</v>
      </c>
      <c r="D937" t="s">
        <v>178</v>
      </c>
      <c r="E937" s="75">
        <v>45819</v>
      </c>
      <c r="F937" s="75">
        <v>45825</v>
      </c>
    </row>
    <row r="938" spans="1:6" x14ac:dyDescent="0.35">
      <c r="A938">
        <v>5192</v>
      </c>
      <c r="B938">
        <v>2025</v>
      </c>
      <c r="C938">
        <v>25</v>
      </c>
      <c r="D938" t="s">
        <v>178</v>
      </c>
      <c r="E938" s="75">
        <v>45819</v>
      </c>
      <c r="F938" s="75">
        <v>45825</v>
      </c>
    </row>
    <row r="939" spans="1:6" x14ac:dyDescent="0.35">
      <c r="A939">
        <v>5193</v>
      </c>
      <c r="B939">
        <v>2025</v>
      </c>
      <c r="C939">
        <v>25</v>
      </c>
      <c r="D939" t="s">
        <v>178</v>
      </c>
      <c r="E939" s="75">
        <v>45819</v>
      </c>
      <c r="F939" s="75">
        <v>45825</v>
      </c>
    </row>
    <row r="940" spans="1:6" x14ac:dyDescent="0.35">
      <c r="A940">
        <v>5194</v>
      </c>
      <c r="B940">
        <v>2025</v>
      </c>
      <c r="C940">
        <v>25</v>
      </c>
      <c r="D940" t="s">
        <v>178</v>
      </c>
      <c r="E940" s="75">
        <v>45819</v>
      </c>
      <c r="F940" s="75">
        <v>45825</v>
      </c>
    </row>
    <row r="941" spans="1:6" x14ac:dyDescent="0.35">
      <c r="A941">
        <v>5195</v>
      </c>
      <c r="B941">
        <v>2025</v>
      </c>
      <c r="C941">
        <v>25</v>
      </c>
      <c r="D941" t="s">
        <v>178</v>
      </c>
      <c r="E941" s="75">
        <v>45819</v>
      </c>
      <c r="F941" s="75">
        <v>45825</v>
      </c>
    </row>
    <row r="942" spans="1:6" x14ac:dyDescent="0.35">
      <c r="A942">
        <v>5196</v>
      </c>
      <c r="B942">
        <v>2025</v>
      </c>
      <c r="C942">
        <v>25</v>
      </c>
      <c r="D942" t="s">
        <v>178</v>
      </c>
      <c r="E942" s="75">
        <v>45819</v>
      </c>
      <c r="F942" s="75">
        <v>45825</v>
      </c>
    </row>
    <row r="943" spans="1:6" x14ac:dyDescent="0.35">
      <c r="A943">
        <v>5197</v>
      </c>
      <c r="B943">
        <v>2025</v>
      </c>
      <c r="C943">
        <v>25</v>
      </c>
      <c r="D943" t="s">
        <v>178</v>
      </c>
      <c r="E943" s="75">
        <v>45819</v>
      </c>
      <c r="F943" s="75">
        <v>45825</v>
      </c>
    </row>
    <row r="944" spans="1:6" x14ac:dyDescent="0.35">
      <c r="A944">
        <v>5198</v>
      </c>
      <c r="B944">
        <v>2025</v>
      </c>
      <c r="C944">
        <v>25</v>
      </c>
      <c r="D944" t="s">
        <v>178</v>
      </c>
      <c r="E944" s="75">
        <v>45819</v>
      </c>
      <c r="F944" s="75">
        <v>45825</v>
      </c>
    </row>
    <row r="945" spans="1:6" x14ac:dyDescent="0.35">
      <c r="A945">
        <v>5199</v>
      </c>
      <c r="B945">
        <v>2025</v>
      </c>
      <c r="C945">
        <v>25</v>
      </c>
      <c r="D945" t="s">
        <v>178</v>
      </c>
      <c r="E945" s="75">
        <v>45819</v>
      </c>
      <c r="F945" s="75">
        <v>45825</v>
      </c>
    </row>
    <row r="946" spans="1:6" x14ac:dyDescent="0.35">
      <c r="A946">
        <v>5200</v>
      </c>
      <c r="B946">
        <v>2025</v>
      </c>
      <c r="C946">
        <v>25</v>
      </c>
      <c r="D946" t="s">
        <v>178</v>
      </c>
      <c r="E946" s="75">
        <v>45819</v>
      </c>
      <c r="F946" s="75">
        <v>45825</v>
      </c>
    </row>
    <row r="947" spans="1:6" x14ac:dyDescent="0.35">
      <c r="A947">
        <v>5201</v>
      </c>
      <c r="B947">
        <v>2025</v>
      </c>
      <c r="C947">
        <v>25</v>
      </c>
      <c r="D947" t="s">
        <v>178</v>
      </c>
      <c r="E947" s="75">
        <v>45819</v>
      </c>
      <c r="F947" s="75">
        <v>45825</v>
      </c>
    </row>
    <row r="948" spans="1:6" x14ac:dyDescent="0.35">
      <c r="A948">
        <v>5202</v>
      </c>
      <c r="B948">
        <v>2025</v>
      </c>
      <c r="C948">
        <v>25</v>
      </c>
      <c r="D948" t="s">
        <v>178</v>
      </c>
      <c r="E948" s="75">
        <v>45819</v>
      </c>
      <c r="F948" s="75">
        <v>45825</v>
      </c>
    </row>
    <row r="949" spans="1:6" x14ac:dyDescent="0.35">
      <c r="A949">
        <v>5203</v>
      </c>
      <c r="B949">
        <v>2025</v>
      </c>
      <c r="C949">
        <v>25</v>
      </c>
      <c r="D949" t="s">
        <v>178</v>
      </c>
      <c r="E949" s="75">
        <v>45819</v>
      </c>
      <c r="F949" s="75">
        <v>45825</v>
      </c>
    </row>
    <row r="950" spans="1:6" x14ac:dyDescent="0.35">
      <c r="A950">
        <v>5204</v>
      </c>
      <c r="B950">
        <v>2025</v>
      </c>
      <c r="C950">
        <v>25</v>
      </c>
      <c r="D950" t="s">
        <v>178</v>
      </c>
      <c r="E950" s="75">
        <v>45819</v>
      </c>
      <c r="F950" s="75">
        <v>45825</v>
      </c>
    </row>
    <row r="951" spans="1:6" x14ac:dyDescent="0.35">
      <c r="A951">
        <v>5205</v>
      </c>
      <c r="B951">
        <v>2025</v>
      </c>
      <c r="C951">
        <v>25</v>
      </c>
      <c r="D951" t="s">
        <v>178</v>
      </c>
      <c r="E951" s="75">
        <v>45819</v>
      </c>
      <c r="F951" s="75">
        <v>45825</v>
      </c>
    </row>
    <row r="952" spans="1:6" x14ac:dyDescent="0.35">
      <c r="A952">
        <v>5206</v>
      </c>
      <c r="B952">
        <v>2025</v>
      </c>
      <c r="C952">
        <v>25</v>
      </c>
      <c r="D952" t="s">
        <v>178</v>
      </c>
      <c r="E952" s="75">
        <v>45819</v>
      </c>
      <c r="F952" s="75">
        <v>45825</v>
      </c>
    </row>
    <row r="953" spans="1:6" x14ac:dyDescent="0.35">
      <c r="A953">
        <v>5207</v>
      </c>
      <c r="B953">
        <v>2025</v>
      </c>
      <c r="C953">
        <v>25</v>
      </c>
      <c r="D953" t="s">
        <v>178</v>
      </c>
      <c r="E953" s="75">
        <v>45819</v>
      </c>
      <c r="F953" s="75">
        <v>45825</v>
      </c>
    </row>
    <row r="954" spans="1:6" x14ac:dyDescent="0.35">
      <c r="A954">
        <v>5208</v>
      </c>
      <c r="B954">
        <v>2025</v>
      </c>
      <c r="C954">
        <v>26</v>
      </c>
      <c r="D954" t="s">
        <v>179</v>
      </c>
      <c r="E954" s="75">
        <v>45826</v>
      </c>
      <c r="F954" s="75">
        <v>45832</v>
      </c>
    </row>
    <row r="955" spans="1:6" x14ac:dyDescent="0.35">
      <c r="A955">
        <v>5209</v>
      </c>
      <c r="B955">
        <v>2025</v>
      </c>
      <c r="C955">
        <v>26</v>
      </c>
      <c r="D955" t="s">
        <v>179</v>
      </c>
      <c r="E955" s="75">
        <v>45826</v>
      </c>
      <c r="F955" s="75">
        <v>45832</v>
      </c>
    </row>
    <row r="956" spans="1:6" x14ac:dyDescent="0.35">
      <c r="A956">
        <v>5210</v>
      </c>
      <c r="B956">
        <v>2025</v>
      </c>
      <c r="C956">
        <v>26</v>
      </c>
      <c r="D956" t="s">
        <v>179</v>
      </c>
      <c r="E956" s="75">
        <v>45826</v>
      </c>
      <c r="F956" s="75">
        <v>45832</v>
      </c>
    </row>
    <row r="957" spans="1:6" x14ac:dyDescent="0.35">
      <c r="A957">
        <v>5211</v>
      </c>
      <c r="B957">
        <v>2025</v>
      </c>
      <c r="C957">
        <v>26</v>
      </c>
      <c r="D957" t="s">
        <v>179</v>
      </c>
      <c r="E957" s="75">
        <v>45826</v>
      </c>
      <c r="F957" s="75">
        <v>45832</v>
      </c>
    </row>
    <row r="958" spans="1:6" x14ac:dyDescent="0.35">
      <c r="A958">
        <v>5212</v>
      </c>
      <c r="B958">
        <v>2025</v>
      </c>
      <c r="C958">
        <v>26</v>
      </c>
      <c r="D958" t="s">
        <v>179</v>
      </c>
      <c r="E958" s="75">
        <v>45826</v>
      </c>
      <c r="F958" s="75">
        <v>45832</v>
      </c>
    </row>
    <row r="959" spans="1:6" x14ac:dyDescent="0.35">
      <c r="A959">
        <v>5213</v>
      </c>
      <c r="B959">
        <v>2025</v>
      </c>
      <c r="C959">
        <v>26</v>
      </c>
      <c r="D959" t="s">
        <v>179</v>
      </c>
      <c r="E959" s="75">
        <v>45826</v>
      </c>
      <c r="F959" s="75">
        <v>45832</v>
      </c>
    </row>
    <row r="960" spans="1:6" x14ac:dyDescent="0.35">
      <c r="A960">
        <v>5214</v>
      </c>
      <c r="B960">
        <v>2025</v>
      </c>
      <c r="C960">
        <v>26</v>
      </c>
      <c r="D960" t="s">
        <v>179</v>
      </c>
      <c r="E960" s="75">
        <v>45826</v>
      </c>
      <c r="F960" s="75">
        <v>45832</v>
      </c>
    </row>
    <row r="961" spans="1:6" x14ac:dyDescent="0.35">
      <c r="A961">
        <v>5215</v>
      </c>
      <c r="B961">
        <v>2025</v>
      </c>
      <c r="C961">
        <v>26</v>
      </c>
      <c r="D961" t="s">
        <v>179</v>
      </c>
      <c r="E961" s="75">
        <v>45826</v>
      </c>
      <c r="F961" s="75">
        <v>45832</v>
      </c>
    </row>
    <row r="962" spans="1:6" x14ac:dyDescent="0.35">
      <c r="A962">
        <v>5216</v>
      </c>
      <c r="B962">
        <v>2025</v>
      </c>
      <c r="C962">
        <v>26</v>
      </c>
      <c r="D962" t="s">
        <v>179</v>
      </c>
      <c r="E962" s="75">
        <v>45826</v>
      </c>
      <c r="F962" s="75">
        <v>45832</v>
      </c>
    </row>
    <row r="963" spans="1:6" x14ac:dyDescent="0.35">
      <c r="A963">
        <v>5217</v>
      </c>
      <c r="B963">
        <v>2025</v>
      </c>
      <c r="C963">
        <v>26</v>
      </c>
      <c r="D963" t="s">
        <v>179</v>
      </c>
      <c r="E963" s="75">
        <v>45826</v>
      </c>
      <c r="F963" s="75">
        <v>45832</v>
      </c>
    </row>
    <row r="964" spans="1:6" x14ac:dyDescent="0.35">
      <c r="A964">
        <v>5218</v>
      </c>
      <c r="B964">
        <v>2025</v>
      </c>
      <c r="C964">
        <v>26</v>
      </c>
      <c r="D964" t="s">
        <v>179</v>
      </c>
      <c r="E964" s="75">
        <v>45826</v>
      </c>
      <c r="F964" s="75">
        <v>45832</v>
      </c>
    </row>
    <row r="965" spans="1:6" x14ac:dyDescent="0.35">
      <c r="A965">
        <v>5219</v>
      </c>
      <c r="B965">
        <v>2025</v>
      </c>
      <c r="C965">
        <v>26</v>
      </c>
      <c r="D965" t="s">
        <v>179</v>
      </c>
      <c r="E965" s="75">
        <v>45826</v>
      </c>
      <c r="F965" s="75">
        <v>45832</v>
      </c>
    </row>
    <row r="966" spans="1:6" x14ac:dyDescent="0.35">
      <c r="A966">
        <v>5220</v>
      </c>
      <c r="B966">
        <v>2025</v>
      </c>
      <c r="C966">
        <v>26</v>
      </c>
      <c r="D966" t="s">
        <v>179</v>
      </c>
      <c r="E966" s="75">
        <v>45826</v>
      </c>
      <c r="F966" s="75">
        <v>45832</v>
      </c>
    </row>
    <row r="967" spans="1:6" x14ac:dyDescent="0.35">
      <c r="A967">
        <v>5221</v>
      </c>
      <c r="B967">
        <v>2025</v>
      </c>
      <c r="C967">
        <v>26</v>
      </c>
      <c r="D967" t="s">
        <v>179</v>
      </c>
      <c r="E967" s="75">
        <v>45826</v>
      </c>
      <c r="F967" s="75">
        <v>45832</v>
      </c>
    </row>
    <row r="968" spans="1:6" x14ac:dyDescent="0.35">
      <c r="A968">
        <v>5222</v>
      </c>
      <c r="B968">
        <v>2025</v>
      </c>
      <c r="C968">
        <v>26</v>
      </c>
      <c r="D968" t="s">
        <v>179</v>
      </c>
      <c r="E968" s="75">
        <v>45826</v>
      </c>
      <c r="F968" s="75">
        <v>45832</v>
      </c>
    </row>
    <row r="969" spans="1:6" x14ac:dyDescent="0.35">
      <c r="A969">
        <v>5223</v>
      </c>
      <c r="B969">
        <v>2025</v>
      </c>
      <c r="C969">
        <v>26</v>
      </c>
      <c r="D969" t="s">
        <v>179</v>
      </c>
      <c r="E969" s="75">
        <v>45826</v>
      </c>
      <c r="F969" s="75">
        <v>45832</v>
      </c>
    </row>
    <row r="970" spans="1:6" x14ac:dyDescent="0.35">
      <c r="A970">
        <v>5224</v>
      </c>
      <c r="B970">
        <v>2025</v>
      </c>
      <c r="C970">
        <v>26</v>
      </c>
      <c r="D970" t="s">
        <v>179</v>
      </c>
      <c r="E970" s="75">
        <v>45826</v>
      </c>
      <c r="F970" s="75">
        <v>45832</v>
      </c>
    </row>
    <row r="971" spans="1:6" x14ac:dyDescent="0.35">
      <c r="A971">
        <v>5225</v>
      </c>
      <c r="B971">
        <v>2025</v>
      </c>
      <c r="C971">
        <v>26</v>
      </c>
      <c r="D971" t="s">
        <v>179</v>
      </c>
      <c r="E971" s="75">
        <v>45826</v>
      </c>
      <c r="F971" s="75">
        <v>45832</v>
      </c>
    </row>
    <row r="972" spans="1:6" x14ac:dyDescent="0.35">
      <c r="A972">
        <v>5226</v>
      </c>
      <c r="B972">
        <v>2025</v>
      </c>
      <c r="C972">
        <v>27</v>
      </c>
      <c r="D972" t="s">
        <v>180</v>
      </c>
      <c r="E972" s="75">
        <v>45833</v>
      </c>
      <c r="F972" s="75">
        <v>45839</v>
      </c>
    </row>
    <row r="973" spans="1:6" x14ac:dyDescent="0.35">
      <c r="A973">
        <v>5227</v>
      </c>
      <c r="B973">
        <v>2025</v>
      </c>
      <c r="C973">
        <v>27</v>
      </c>
      <c r="D973" t="s">
        <v>180</v>
      </c>
      <c r="E973" s="75">
        <v>45833</v>
      </c>
      <c r="F973" s="75">
        <v>45839</v>
      </c>
    </row>
    <row r="974" spans="1:6" x14ac:dyDescent="0.35">
      <c r="A974">
        <v>5228</v>
      </c>
      <c r="B974">
        <v>2025</v>
      </c>
      <c r="C974">
        <v>27</v>
      </c>
      <c r="D974" t="s">
        <v>180</v>
      </c>
      <c r="E974" s="75">
        <v>45833</v>
      </c>
      <c r="F974" s="75">
        <v>45839</v>
      </c>
    </row>
    <row r="975" spans="1:6" x14ac:dyDescent="0.35">
      <c r="A975">
        <v>5229</v>
      </c>
      <c r="B975">
        <v>2025</v>
      </c>
      <c r="C975">
        <v>27</v>
      </c>
      <c r="D975" t="s">
        <v>180</v>
      </c>
      <c r="E975" s="75">
        <v>45833</v>
      </c>
      <c r="F975" s="75">
        <v>45839</v>
      </c>
    </row>
    <row r="976" spans="1:6" x14ac:dyDescent="0.35">
      <c r="A976">
        <v>5230</v>
      </c>
      <c r="B976">
        <v>2025</v>
      </c>
      <c r="C976">
        <v>27</v>
      </c>
      <c r="D976" t="s">
        <v>180</v>
      </c>
      <c r="E976" s="75">
        <v>45833</v>
      </c>
      <c r="F976" s="75">
        <v>45839</v>
      </c>
    </row>
    <row r="977" spans="1:6" x14ac:dyDescent="0.35">
      <c r="A977">
        <v>5231</v>
      </c>
      <c r="B977">
        <v>2025</v>
      </c>
      <c r="C977">
        <v>27</v>
      </c>
      <c r="D977" t="s">
        <v>180</v>
      </c>
      <c r="E977" s="75">
        <v>45833</v>
      </c>
      <c r="F977" s="75">
        <v>45839</v>
      </c>
    </row>
    <row r="978" spans="1:6" x14ac:dyDescent="0.35">
      <c r="A978">
        <v>5232</v>
      </c>
      <c r="B978">
        <v>2025</v>
      </c>
      <c r="C978">
        <v>27</v>
      </c>
      <c r="D978" t="s">
        <v>180</v>
      </c>
      <c r="E978" s="75">
        <v>45833</v>
      </c>
      <c r="F978" s="75">
        <v>45839</v>
      </c>
    </row>
    <row r="979" spans="1:6" x14ac:dyDescent="0.35">
      <c r="A979">
        <v>5233</v>
      </c>
      <c r="B979">
        <v>2025</v>
      </c>
      <c r="C979">
        <v>27</v>
      </c>
      <c r="D979" t="s">
        <v>180</v>
      </c>
      <c r="E979" s="75">
        <v>45833</v>
      </c>
      <c r="F979" s="75">
        <v>45839</v>
      </c>
    </row>
    <row r="980" spans="1:6" x14ac:dyDescent="0.35">
      <c r="A980">
        <v>5234</v>
      </c>
      <c r="B980">
        <v>2025</v>
      </c>
      <c r="C980">
        <v>27</v>
      </c>
      <c r="D980" t="s">
        <v>180</v>
      </c>
      <c r="E980" s="75">
        <v>45833</v>
      </c>
      <c r="F980" s="75">
        <v>45839</v>
      </c>
    </row>
    <row r="981" spans="1:6" x14ac:dyDescent="0.35">
      <c r="A981">
        <v>5235</v>
      </c>
      <c r="B981">
        <v>2025</v>
      </c>
      <c r="C981">
        <v>27</v>
      </c>
      <c r="D981" t="s">
        <v>180</v>
      </c>
      <c r="E981" s="75">
        <v>45833</v>
      </c>
      <c r="F981" s="75">
        <v>45839</v>
      </c>
    </row>
    <row r="982" spans="1:6" x14ac:dyDescent="0.35">
      <c r="A982">
        <v>5236</v>
      </c>
      <c r="B982">
        <v>2025</v>
      </c>
      <c r="C982">
        <v>28</v>
      </c>
      <c r="D982" t="s">
        <v>181</v>
      </c>
      <c r="E982" s="75">
        <v>45840</v>
      </c>
      <c r="F982" s="75">
        <v>45846</v>
      </c>
    </row>
    <row r="983" spans="1:6" x14ac:dyDescent="0.35">
      <c r="A983">
        <v>5237</v>
      </c>
      <c r="B983">
        <v>2025</v>
      </c>
      <c r="C983">
        <v>28</v>
      </c>
      <c r="D983" t="s">
        <v>181</v>
      </c>
      <c r="E983" s="75">
        <v>45840</v>
      </c>
      <c r="F983" s="75">
        <v>45846</v>
      </c>
    </row>
    <row r="984" spans="1:6" x14ac:dyDescent="0.35">
      <c r="A984">
        <v>5238</v>
      </c>
      <c r="B984">
        <v>2025</v>
      </c>
      <c r="C984">
        <v>28</v>
      </c>
      <c r="D984" t="s">
        <v>181</v>
      </c>
      <c r="E984" s="75">
        <v>45840</v>
      </c>
      <c r="F984" s="75">
        <v>45846</v>
      </c>
    </row>
    <row r="985" spans="1:6" x14ac:dyDescent="0.35">
      <c r="A985">
        <v>5239</v>
      </c>
      <c r="B985">
        <v>2025</v>
      </c>
      <c r="C985">
        <v>28</v>
      </c>
      <c r="D985" t="s">
        <v>181</v>
      </c>
      <c r="E985" s="75">
        <v>45840</v>
      </c>
      <c r="F985" s="75">
        <v>45846</v>
      </c>
    </row>
    <row r="986" spans="1:6" x14ac:dyDescent="0.35">
      <c r="A986">
        <v>5240</v>
      </c>
      <c r="B986">
        <v>2025</v>
      </c>
      <c r="C986">
        <v>28</v>
      </c>
      <c r="D986" t="s">
        <v>181</v>
      </c>
      <c r="E986" s="75">
        <v>45840</v>
      </c>
      <c r="F986" s="75">
        <v>45846</v>
      </c>
    </row>
    <row r="987" spans="1:6" x14ac:dyDescent="0.35">
      <c r="A987">
        <v>5241</v>
      </c>
      <c r="B987">
        <v>2025</v>
      </c>
      <c r="C987">
        <v>28</v>
      </c>
      <c r="D987" t="s">
        <v>181</v>
      </c>
      <c r="E987" s="75">
        <v>45840</v>
      </c>
      <c r="F987" s="75">
        <v>45846</v>
      </c>
    </row>
    <row r="988" spans="1:6" x14ac:dyDescent="0.35">
      <c r="A988">
        <v>5242</v>
      </c>
      <c r="B988">
        <v>2025</v>
      </c>
      <c r="C988">
        <v>28</v>
      </c>
      <c r="D988" t="s">
        <v>181</v>
      </c>
      <c r="E988" s="75">
        <v>45840</v>
      </c>
      <c r="F988" s="75">
        <v>45846</v>
      </c>
    </row>
    <row r="989" spans="1:6" x14ac:dyDescent="0.35">
      <c r="A989">
        <v>5243</v>
      </c>
      <c r="B989">
        <v>2025</v>
      </c>
      <c r="C989">
        <v>28</v>
      </c>
      <c r="D989" t="s">
        <v>181</v>
      </c>
      <c r="E989" s="75">
        <v>45840</v>
      </c>
      <c r="F989" s="75">
        <v>45846</v>
      </c>
    </row>
    <row r="990" spans="1:6" x14ac:dyDescent="0.35">
      <c r="A990">
        <v>5244</v>
      </c>
      <c r="B990">
        <v>2025</v>
      </c>
      <c r="C990">
        <v>28</v>
      </c>
      <c r="D990" t="s">
        <v>181</v>
      </c>
      <c r="E990" s="75">
        <v>45840</v>
      </c>
      <c r="F990" s="75">
        <v>45846</v>
      </c>
    </row>
    <row r="991" spans="1:6" x14ac:dyDescent="0.35">
      <c r="A991">
        <v>5245</v>
      </c>
      <c r="B991">
        <v>2025</v>
      </c>
      <c r="C991">
        <v>28</v>
      </c>
      <c r="D991" t="s">
        <v>181</v>
      </c>
      <c r="E991" s="75">
        <v>45840</v>
      </c>
      <c r="F991" s="75">
        <v>45846</v>
      </c>
    </row>
    <row r="992" spans="1:6" x14ac:dyDescent="0.35">
      <c r="A992">
        <v>5246</v>
      </c>
      <c r="B992">
        <v>2025</v>
      </c>
      <c r="C992">
        <v>28</v>
      </c>
      <c r="D992" t="s">
        <v>181</v>
      </c>
      <c r="E992" s="75">
        <v>45840</v>
      </c>
      <c r="F992" s="75">
        <v>45846</v>
      </c>
    </row>
    <row r="993" spans="1:6" x14ac:dyDescent="0.35">
      <c r="A993">
        <v>5247</v>
      </c>
      <c r="B993">
        <v>2025</v>
      </c>
      <c r="C993">
        <v>28</v>
      </c>
      <c r="D993" t="s">
        <v>181</v>
      </c>
      <c r="E993" s="75">
        <v>45840</v>
      </c>
      <c r="F993" s="75">
        <v>45846</v>
      </c>
    </row>
    <row r="994" spans="1:6" x14ac:dyDescent="0.35">
      <c r="A994">
        <v>5248</v>
      </c>
      <c r="B994">
        <v>2025</v>
      </c>
      <c r="C994">
        <v>28</v>
      </c>
      <c r="D994" t="s">
        <v>181</v>
      </c>
      <c r="E994" s="75">
        <v>45840</v>
      </c>
      <c r="F994" s="75">
        <v>45846</v>
      </c>
    </row>
    <row r="995" spans="1:6" x14ac:dyDescent="0.35">
      <c r="A995">
        <v>5249</v>
      </c>
      <c r="B995">
        <v>2025</v>
      </c>
      <c r="C995">
        <v>28</v>
      </c>
      <c r="D995" t="s">
        <v>181</v>
      </c>
      <c r="E995" s="75">
        <v>45840</v>
      </c>
      <c r="F995" s="75">
        <v>45846</v>
      </c>
    </row>
    <row r="996" spans="1:6" x14ac:dyDescent="0.35">
      <c r="A996">
        <v>5250</v>
      </c>
      <c r="B996">
        <v>2025</v>
      </c>
      <c r="C996">
        <v>28</v>
      </c>
      <c r="D996" t="s">
        <v>181</v>
      </c>
      <c r="E996" s="75">
        <v>45840</v>
      </c>
      <c r="F996" s="75">
        <v>45846</v>
      </c>
    </row>
    <row r="997" spans="1:6" x14ac:dyDescent="0.35">
      <c r="A997">
        <v>5251</v>
      </c>
      <c r="B997">
        <v>2025</v>
      </c>
      <c r="C997">
        <v>28</v>
      </c>
      <c r="D997" t="s">
        <v>181</v>
      </c>
      <c r="E997" s="75">
        <v>45840</v>
      </c>
      <c r="F997" s="75">
        <v>45846</v>
      </c>
    </row>
    <row r="998" spans="1:6" x14ac:dyDescent="0.35">
      <c r="A998">
        <v>5252</v>
      </c>
      <c r="B998">
        <v>2025</v>
      </c>
      <c r="C998">
        <v>28</v>
      </c>
      <c r="D998" t="s">
        <v>181</v>
      </c>
      <c r="E998" s="75">
        <v>45840</v>
      </c>
      <c r="F998" s="75">
        <v>45846</v>
      </c>
    </row>
    <row r="999" spans="1:6" x14ac:dyDescent="0.35">
      <c r="A999">
        <v>5253</v>
      </c>
      <c r="B999">
        <v>2025</v>
      </c>
      <c r="C999">
        <v>28</v>
      </c>
      <c r="D999" t="s">
        <v>181</v>
      </c>
      <c r="E999" s="75">
        <v>45840</v>
      </c>
      <c r="F999" s="75">
        <v>45846</v>
      </c>
    </row>
    <row r="1000" spans="1:6" x14ac:dyDescent="0.35">
      <c r="A1000">
        <v>5254</v>
      </c>
      <c r="B1000">
        <v>2025</v>
      </c>
      <c r="C1000">
        <v>28</v>
      </c>
      <c r="D1000" t="s">
        <v>181</v>
      </c>
      <c r="E1000" s="75">
        <v>45840</v>
      </c>
      <c r="F1000" s="75">
        <v>45846</v>
      </c>
    </row>
    <row r="1001" spans="1:6" x14ac:dyDescent="0.35">
      <c r="A1001">
        <v>5255</v>
      </c>
      <c r="B1001">
        <v>2025</v>
      </c>
      <c r="C1001">
        <v>28</v>
      </c>
      <c r="D1001" t="s">
        <v>181</v>
      </c>
      <c r="E1001" s="75">
        <v>45840</v>
      </c>
      <c r="F1001" s="75">
        <v>45846</v>
      </c>
    </row>
    <row r="1002" spans="1:6" x14ac:dyDescent="0.35">
      <c r="A1002">
        <v>5256</v>
      </c>
      <c r="B1002">
        <v>2025</v>
      </c>
      <c r="C1002">
        <v>28</v>
      </c>
      <c r="D1002" t="s">
        <v>181</v>
      </c>
      <c r="E1002" s="75">
        <v>45840</v>
      </c>
      <c r="F1002" s="75">
        <v>45846</v>
      </c>
    </row>
    <row r="1003" spans="1:6" x14ac:dyDescent="0.35">
      <c r="A1003">
        <v>5257</v>
      </c>
      <c r="B1003">
        <v>2025</v>
      </c>
      <c r="C1003">
        <v>28</v>
      </c>
      <c r="D1003" t="s">
        <v>181</v>
      </c>
      <c r="E1003" s="75">
        <v>45840</v>
      </c>
      <c r="F1003" s="75">
        <v>45846</v>
      </c>
    </row>
    <row r="1004" spans="1:6" x14ac:dyDescent="0.35">
      <c r="A1004">
        <v>5258</v>
      </c>
      <c r="B1004">
        <v>2025</v>
      </c>
      <c r="C1004">
        <v>28</v>
      </c>
      <c r="D1004" t="s">
        <v>181</v>
      </c>
      <c r="E1004" s="75">
        <v>45840</v>
      </c>
      <c r="F1004" s="75">
        <v>45846</v>
      </c>
    </row>
    <row r="1005" spans="1:6" x14ac:dyDescent="0.35">
      <c r="A1005">
        <v>5259</v>
      </c>
      <c r="B1005">
        <v>2025</v>
      </c>
      <c r="C1005">
        <v>28</v>
      </c>
      <c r="D1005" t="s">
        <v>181</v>
      </c>
      <c r="E1005" s="75">
        <v>45840</v>
      </c>
      <c r="F1005" s="75">
        <v>45846</v>
      </c>
    </row>
    <row r="1006" spans="1:6" x14ac:dyDescent="0.35">
      <c r="A1006">
        <v>5260</v>
      </c>
      <c r="B1006">
        <v>2025</v>
      </c>
      <c r="C1006">
        <v>28</v>
      </c>
      <c r="D1006" t="s">
        <v>181</v>
      </c>
      <c r="E1006" s="75">
        <v>45840</v>
      </c>
      <c r="F1006" s="75">
        <v>45846</v>
      </c>
    </row>
    <row r="1007" spans="1:6" x14ac:dyDescent="0.35">
      <c r="A1007">
        <v>5261</v>
      </c>
      <c r="B1007">
        <v>2025</v>
      </c>
      <c r="C1007">
        <v>29</v>
      </c>
      <c r="D1007" t="s">
        <v>182</v>
      </c>
      <c r="E1007" s="75">
        <v>45847</v>
      </c>
      <c r="F1007" s="75">
        <v>45853</v>
      </c>
    </row>
    <row r="1008" spans="1:6" x14ac:dyDescent="0.35">
      <c r="A1008">
        <v>5262</v>
      </c>
      <c r="B1008">
        <v>2025</v>
      </c>
      <c r="C1008">
        <v>29</v>
      </c>
      <c r="D1008" t="s">
        <v>182</v>
      </c>
      <c r="E1008" s="75">
        <v>45847</v>
      </c>
      <c r="F1008" s="75">
        <v>45853</v>
      </c>
    </row>
    <row r="1009" spans="1:6" x14ac:dyDescent="0.35">
      <c r="A1009">
        <v>5263</v>
      </c>
      <c r="B1009">
        <v>2025</v>
      </c>
      <c r="C1009">
        <v>29</v>
      </c>
      <c r="D1009" t="s">
        <v>182</v>
      </c>
      <c r="E1009" s="75">
        <v>45847</v>
      </c>
      <c r="F1009" s="75">
        <v>45853</v>
      </c>
    </row>
    <row r="1010" spans="1:6" x14ac:dyDescent="0.35">
      <c r="A1010">
        <v>5264</v>
      </c>
      <c r="B1010">
        <v>2025</v>
      </c>
      <c r="C1010">
        <v>29</v>
      </c>
      <c r="D1010" t="s">
        <v>182</v>
      </c>
      <c r="E1010" s="75">
        <v>45847</v>
      </c>
      <c r="F1010" s="75">
        <v>45853</v>
      </c>
    </row>
    <row r="1011" spans="1:6" x14ac:dyDescent="0.35">
      <c r="A1011">
        <v>5265</v>
      </c>
      <c r="B1011">
        <v>2025</v>
      </c>
      <c r="C1011">
        <v>29</v>
      </c>
      <c r="D1011" t="s">
        <v>182</v>
      </c>
      <c r="E1011" s="75">
        <v>45847</v>
      </c>
      <c r="F1011" s="75">
        <v>45853</v>
      </c>
    </row>
    <row r="1012" spans="1:6" x14ac:dyDescent="0.35">
      <c r="A1012">
        <v>5266</v>
      </c>
      <c r="B1012">
        <v>2025</v>
      </c>
      <c r="C1012">
        <v>29</v>
      </c>
      <c r="D1012" t="s">
        <v>182</v>
      </c>
      <c r="E1012" s="75">
        <v>45847</v>
      </c>
      <c r="F1012" s="75">
        <v>45853</v>
      </c>
    </row>
    <row r="1013" spans="1:6" x14ac:dyDescent="0.35">
      <c r="A1013">
        <v>5267</v>
      </c>
      <c r="B1013">
        <v>2025</v>
      </c>
      <c r="C1013">
        <v>29</v>
      </c>
      <c r="D1013" t="s">
        <v>182</v>
      </c>
      <c r="E1013" s="75">
        <v>45847</v>
      </c>
      <c r="F1013" s="75">
        <v>45853</v>
      </c>
    </row>
    <row r="1014" spans="1:6" x14ac:dyDescent="0.35">
      <c r="A1014">
        <v>5268</v>
      </c>
      <c r="B1014">
        <v>2025</v>
      </c>
      <c r="C1014">
        <v>29</v>
      </c>
      <c r="D1014" t="s">
        <v>182</v>
      </c>
      <c r="E1014" s="75">
        <v>45847</v>
      </c>
      <c r="F1014" s="75">
        <v>45853</v>
      </c>
    </row>
    <row r="1015" spans="1:6" x14ac:dyDescent="0.35">
      <c r="A1015">
        <v>5269</v>
      </c>
      <c r="B1015">
        <v>2025</v>
      </c>
      <c r="C1015">
        <v>29</v>
      </c>
      <c r="D1015" t="s">
        <v>182</v>
      </c>
      <c r="E1015" s="75">
        <v>45847</v>
      </c>
      <c r="F1015" s="75">
        <v>45853</v>
      </c>
    </row>
    <row r="1016" spans="1:6" x14ac:dyDescent="0.35">
      <c r="A1016">
        <v>5270</v>
      </c>
      <c r="B1016">
        <v>2025</v>
      </c>
      <c r="C1016">
        <v>29</v>
      </c>
      <c r="D1016" t="s">
        <v>182</v>
      </c>
      <c r="E1016" s="75">
        <v>45847</v>
      </c>
      <c r="F1016" s="75">
        <v>45853</v>
      </c>
    </row>
    <row r="1017" spans="1:6" x14ac:dyDescent="0.35">
      <c r="A1017">
        <v>5271</v>
      </c>
      <c r="B1017">
        <v>2025</v>
      </c>
      <c r="C1017">
        <v>29</v>
      </c>
      <c r="D1017" t="s">
        <v>182</v>
      </c>
      <c r="E1017" s="75">
        <v>45847</v>
      </c>
      <c r="F1017" s="75">
        <v>45853</v>
      </c>
    </row>
    <row r="1018" spans="1:6" x14ac:dyDescent="0.35">
      <c r="A1018">
        <v>5272</v>
      </c>
      <c r="B1018">
        <v>2025</v>
      </c>
      <c r="C1018">
        <v>29</v>
      </c>
      <c r="D1018" t="s">
        <v>182</v>
      </c>
      <c r="E1018" s="75">
        <v>45847</v>
      </c>
      <c r="F1018" s="75">
        <v>45853</v>
      </c>
    </row>
    <row r="1019" spans="1:6" x14ac:dyDescent="0.35">
      <c r="A1019">
        <v>5273</v>
      </c>
      <c r="B1019">
        <v>2025</v>
      </c>
      <c r="C1019">
        <v>29</v>
      </c>
      <c r="D1019" t="s">
        <v>182</v>
      </c>
      <c r="E1019" s="75">
        <v>45847</v>
      </c>
      <c r="F1019" s="75">
        <v>45853</v>
      </c>
    </row>
    <row r="1020" spans="1:6" x14ac:dyDescent="0.35">
      <c r="A1020">
        <v>5274</v>
      </c>
      <c r="B1020">
        <v>2025</v>
      </c>
      <c r="C1020">
        <v>29</v>
      </c>
      <c r="D1020" t="s">
        <v>182</v>
      </c>
      <c r="E1020" s="75">
        <v>45847</v>
      </c>
      <c r="F1020" s="75">
        <v>45853</v>
      </c>
    </row>
    <row r="1021" spans="1:6" x14ac:dyDescent="0.35">
      <c r="A1021">
        <v>5275</v>
      </c>
      <c r="B1021">
        <v>2025</v>
      </c>
      <c r="C1021">
        <v>29</v>
      </c>
      <c r="D1021" t="s">
        <v>182</v>
      </c>
      <c r="E1021" s="75">
        <v>45847</v>
      </c>
      <c r="F1021" s="75">
        <v>45853</v>
      </c>
    </row>
    <row r="1022" spans="1:6" x14ac:dyDescent="0.35">
      <c r="A1022">
        <v>5276</v>
      </c>
      <c r="B1022">
        <v>2025</v>
      </c>
      <c r="C1022">
        <v>29</v>
      </c>
      <c r="D1022" t="s">
        <v>182</v>
      </c>
      <c r="E1022" s="75">
        <v>45847</v>
      </c>
      <c r="F1022" s="75">
        <v>45853</v>
      </c>
    </row>
    <row r="1023" spans="1:6" x14ac:dyDescent="0.35">
      <c r="A1023">
        <v>5277</v>
      </c>
      <c r="B1023">
        <v>2025</v>
      </c>
      <c r="C1023">
        <v>29</v>
      </c>
      <c r="D1023" t="s">
        <v>182</v>
      </c>
      <c r="E1023" s="75">
        <v>45847</v>
      </c>
      <c r="F1023" s="75">
        <v>45853</v>
      </c>
    </row>
    <row r="1024" spans="1:6" x14ac:dyDescent="0.35">
      <c r="A1024">
        <v>5278</v>
      </c>
      <c r="B1024">
        <v>2025</v>
      </c>
      <c r="C1024">
        <v>29</v>
      </c>
      <c r="D1024" t="s">
        <v>182</v>
      </c>
      <c r="E1024" s="75">
        <v>45847</v>
      </c>
      <c r="F1024" s="75">
        <v>45853</v>
      </c>
    </row>
    <row r="1025" spans="1:6" x14ac:dyDescent="0.35">
      <c r="A1025">
        <v>5279</v>
      </c>
      <c r="B1025">
        <v>2025</v>
      </c>
      <c r="C1025">
        <v>29</v>
      </c>
      <c r="D1025" t="s">
        <v>182</v>
      </c>
      <c r="E1025" s="75">
        <v>45847</v>
      </c>
      <c r="F1025" s="75">
        <v>45853</v>
      </c>
    </row>
    <row r="1026" spans="1:6" x14ac:dyDescent="0.35">
      <c r="A1026">
        <v>5280</v>
      </c>
      <c r="B1026">
        <v>2025</v>
      </c>
      <c r="C1026">
        <v>29</v>
      </c>
      <c r="D1026" t="s">
        <v>182</v>
      </c>
      <c r="E1026" s="75">
        <v>45847</v>
      </c>
      <c r="F1026" s="75">
        <v>45853</v>
      </c>
    </row>
    <row r="1027" spans="1:6" x14ac:dyDescent="0.35">
      <c r="A1027">
        <v>5281</v>
      </c>
      <c r="B1027">
        <v>2025</v>
      </c>
      <c r="C1027">
        <v>29</v>
      </c>
      <c r="D1027" t="s">
        <v>182</v>
      </c>
      <c r="E1027" s="75">
        <v>45847</v>
      </c>
      <c r="F1027" s="75">
        <v>45853</v>
      </c>
    </row>
    <row r="1028" spans="1:6" x14ac:dyDescent="0.35">
      <c r="A1028">
        <v>5282</v>
      </c>
      <c r="B1028">
        <v>2025</v>
      </c>
      <c r="C1028">
        <v>30</v>
      </c>
      <c r="D1028" t="s">
        <v>183</v>
      </c>
      <c r="E1028" s="75">
        <v>45854</v>
      </c>
      <c r="F1028" s="75">
        <v>45860</v>
      </c>
    </row>
    <row r="1029" spans="1:6" x14ac:dyDescent="0.35">
      <c r="A1029">
        <v>5283</v>
      </c>
      <c r="B1029">
        <v>2025</v>
      </c>
      <c r="C1029">
        <v>30</v>
      </c>
      <c r="D1029" t="s">
        <v>183</v>
      </c>
      <c r="E1029" s="75">
        <v>45854</v>
      </c>
      <c r="F1029" s="75">
        <v>45860</v>
      </c>
    </row>
    <row r="1030" spans="1:6" x14ac:dyDescent="0.35">
      <c r="A1030">
        <v>5284</v>
      </c>
      <c r="B1030">
        <v>2025</v>
      </c>
      <c r="C1030">
        <v>30</v>
      </c>
      <c r="D1030" t="s">
        <v>183</v>
      </c>
      <c r="E1030" s="75">
        <v>45854</v>
      </c>
      <c r="F1030" s="75">
        <v>45860</v>
      </c>
    </row>
    <row r="1031" spans="1:6" x14ac:dyDescent="0.35">
      <c r="A1031">
        <v>5285</v>
      </c>
      <c r="B1031">
        <v>2025</v>
      </c>
      <c r="C1031">
        <v>30</v>
      </c>
      <c r="D1031" t="s">
        <v>183</v>
      </c>
      <c r="E1031" s="75">
        <v>45854</v>
      </c>
      <c r="F1031" s="75">
        <v>45860</v>
      </c>
    </row>
    <row r="1032" spans="1:6" x14ac:dyDescent="0.35">
      <c r="A1032">
        <v>5286</v>
      </c>
      <c r="B1032">
        <v>2025</v>
      </c>
      <c r="C1032">
        <v>30</v>
      </c>
      <c r="D1032" t="s">
        <v>183</v>
      </c>
      <c r="E1032" s="75">
        <v>45854</v>
      </c>
      <c r="F1032" s="75">
        <v>45860</v>
      </c>
    </row>
    <row r="1033" spans="1:6" x14ac:dyDescent="0.35">
      <c r="A1033">
        <v>5287</v>
      </c>
      <c r="B1033">
        <v>2025</v>
      </c>
      <c r="C1033">
        <v>30</v>
      </c>
      <c r="D1033" t="s">
        <v>183</v>
      </c>
      <c r="E1033" s="75">
        <v>45854</v>
      </c>
      <c r="F1033" s="75">
        <v>45860</v>
      </c>
    </row>
    <row r="1034" spans="1:6" x14ac:dyDescent="0.35">
      <c r="A1034">
        <v>5288</v>
      </c>
      <c r="B1034">
        <v>2025</v>
      </c>
      <c r="C1034">
        <v>30</v>
      </c>
      <c r="D1034" t="s">
        <v>183</v>
      </c>
      <c r="E1034" s="75">
        <v>45854</v>
      </c>
      <c r="F1034" s="75">
        <v>45860</v>
      </c>
    </row>
    <row r="1035" spans="1:6" x14ac:dyDescent="0.35">
      <c r="A1035">
        <v>5289</v>
      </c>
      <c r="B1035">
        <v>2025</v>
      </c>
      <c r="C1035">
        <v>30</v>
      </c>
      <c r="D1035" t="s">
        <v>183</v>
      </c>
      <c r="E1035" s="75">
        <v>45854</v>
      </c>
      <c r="F1035" s="75">
        <v>45860</v>
      </c>
    </row>
    <row r="1036" spans="1:6" x14ac:dyDescent="0.35">
      <c r="A1036">
        <v>5290</v>
      </c>
      <c r="B1036">
        <v>2025</v>
      </c>
      <c r="C1036">
        <v>30</v>
      </c>
      <c r="D1036" t="s">
        <v>183</v>
      </c>
      <c r="E1036" s="75">
        <v>45854</v>
      </c>
      <c r="F1036" s="75">
        <v>45860</v>
      </c>
    </row>
    <row r="1037" spans="1:6" x14ac:dyDescent="0.35">
      <c r="A1037">
        <v>5291</v>
      </c>
      <c r="B1037">
        <v>2025</v>
      </c>
      <c r="C1037">
        <v>30</v>
      </c>
      <c r="D1037" t="s">
        <v>183</v>
      </c>
      <c r="E1037" s="75">
        <v>45854</v>
      </c>
      <c r="F1037" s="75">
        <v>45860</v>
      </c>
    </row>
    <row r="1038" spans="1:6" x14ac:dyDescent="0.35">
      <c r="A1038">
        <v>5292</v>
      </c>
      <c r="B1038">
        <v>2025</v>
      </c>
      <c r="C1038">
        <v>30</v>
      </c>
      <c r="D1038" t="s">
        <v>183</v>
      </c>
      <c r="E1038" s="75">
        <v>45854</v>
      </c>
      <c r="F1038" s="75">
        <v>45860</v>
      </c>
    </row>
    <row r="1039" spans="1:6" x14ac:dyDescent="0.35">
      <c r="A1039">
        <v>5293</v>
      </c>
      <c r="B1039">
        <v>2025</v>
      </c>
      <c r="C1039">
        <v>30</v>
      </c>
      <c r="D1039" t="s">
        <v>183</v>
      </c>
      <c r="E1039" s="75">
        <v>45854</v>
      </c>
      <c r="F1039" s="75">
        <v>45860</v>
      </c>
    </row>
    <row r="1040" spans="1:6" x14ac:dyDescent="0.35">
      <c r="A1040">
        <v>5294</v>
      </c>
      <c r="B1040">
        <v>2025</v>
      </c>
      <c r="C1040">
        <v>30</v>
      </c>
      <c r="D1040" t="s">
        <v>183</v>
      </c>
      <c r="E1040" s="75">
        <v>45854</v>
      </c>
      <c r="F1040" s="75">
        <v>45860</v>
      </c>
    </row>
    <row r="1041" spans="1:6" x14ac:dyDescent="0.35">
      <c r="A1041">
        <v>5295</v>
      </c>
      <c r="B1041">
        <v>2025</v>
      </c>
      <c r="C1041">
        <v>30</v>
      </c>
      <c r="D1041" t="s">
        <v>183</v>
      </c>
      <c r="E1041" s="75">
        <v>45854</v>
      </c>
      <c r="F1041" s="75">
        <v>45860</v>
      </c>
    </row>
    <row r="1042" spans="1:6" x14ac:dyDescent="0.35">
      <c r="A1042">
        <v>5296</v>
      </c>
      <c r="B1042">
        <v>2025</v>
      </c>
      <c r="C1042">
        <v>30</v>
      </c>
      <c r="D1042" t="s">
        <v>183</v>
      </c>
      <c r="E1042" s="75">
        <v>45854</v>
      </c>
      <c r="F1042" s="75">
        <v>45860</v>
      </c>
    </row>
    <row r="1043" spans="1:6" x14ac:dyDescent="0.35">
      <c r="A1043">
        <v>5297</v>
      </c>
      <c r="B1043">
        <v>2025</v>
      </c>
      <c r="C1043">
        <v>30</v>
      </c>
      <c r="D1043" t="s">
        <v>183</v>
      </c>
      <c r="E1043" s="75">
        <v>45854</v>
      </c>
      <c r="F1043" s="75">
        <v>45860</v>
      </c>
    </row>
    <row r="1044" spans="1:6" x14ac:dyDescent="0.35">
      <c r="A1044">
        <v>5298</v>
      </c>
      <c r="B1044">
        <v>2025</v>
      </c>
      <c r="C1044">
        <v>30</v>
      </c>
      <c r="D1044" t="s">
        <v>183</v>
      </c>
      <c r="E1044" s="75">
        <v>45854</v>
      </c>
      <c r="F1044" s="75">
        <v>45860</v>
      </c>
    </row>
    <row r="1045" spans="1:6" x14ac:dyDescent="0.35">
      <c r="A1045">
        <v>5299</v>
      </c>
      <c r="B1045">
        <v>2025</v>
      </c>
      <c r="C1045">
        <v>30</v>
      </c>
      <c r="D1045" t="s">
        <v>183</v>
      </c>
      <c r="E1045" s="75">
        <v>45854</v>
      </c>
      <c r="F1045" s="75">
        <v>45860</v>
      </c>
    </row>
    <row r="1046" spans="1:6" x14ac:dyDescent="0.35">
      <c r="A1046">
        <v>5300</v>
      </c>
      <c r="B1046">
        <v>2025</v>
      </c>
      <c r="C1046">
        <v>30</v>
      </c>
      <c r="D1046" t="s">
        <v>183</v>
      </c>
      <c r="E1046" s="75">
        <v>45854</v>
      </c>
      <c r="F1046" s="75">
        <v>45860</v>
      </c>
    </row>
    <row r="1047" spans="1:6" x14ac:dyDescent="0.35">
      <c r="A1047">
        <v>5301</v>
      </c>
      <c r="B1047">
        <v>2025</v>
      </c>
      <c r="C1047">
        <v>30</v>
      </c>
      <c r="D1047" t="s">
        <v>183</v>
      </c>
      <c r="E1047" s="75">
        <v>45854</v>
      </c>
      <c r="F1047" s="75">
        <v>45860</v>
      </c>
    </row>
    <row r="1048" spans="1:6" x14ac:dyDescent="0.35">
      <c r="A1048">
        <v>5302</v>
      </c>
      <c r="B1048">
        <v>2025</v>
      </c>
      <c r="C1048">
        <v>30</v>
      </c>
      <c r="D1048" t="s">
        <v>183</v>
      </c>
      <c r="E1048" s="75">
        <v>45854</v>
      </c>
      <c r="F1048" s="75">
        <v>45860</v>
      </c>
    </row>
    <row r="1049" spans="1:6" x14ac:dyDescent="0.35">
      <c r="A1049">
        <v>5303</v>
      </c>
      <c r="B1049">
        <v>2025</v>
      </c>
      <c r="C1049">
        <v>30</v>
      </c>
      <c r="D1049" t="s">
        <v>183</v>
      </c>
      <c r="E1049" s="75">
        <v>45854</v>
      </c>
      <c r="F1049" s="75">
        <v>45860</v>
      </c>
    </row>
    <row r="1050" spans="1:6" x14ac:dyDescent="0.35">
      <c r="A1050">
        <v>5304</v>
      </c>
      <c r="B1050">
        <v>2025</v>
      </c>
      <c r="C1050">
        <v>30</v>
      </c>
      <c r="D1050" t="s">
        <v>183</v>
      </c>
      <c r="E1050" s="75">
        <v>45854</v>
      </c>
      <c r="F1050" s="75">
        <v>45860</v>
      </c>
    </row>
    <row r="1051" spans="1:6" x14ac:dyDescent="0.35">
      <c r="A1051">
        <v>5305</v>
      </c>
      <c r="B1051">
        <v>2025</v>
      </c>
      <c r="C1051">
        <v>30</v>
      </c>
      <c r="D1051" t="s">
        <v>183</v>
      </c>
      <c r="E1051" s="75">
        <v>45854</v>
      </c>
      <c r="F1051" s="75">
        <v>45860</v>
      </c>
    </row>
    <row r="1052" spans="1:6" x14ac:dyDescent="0.35">
      <c r="A1052">
        <v>5306</v>
      </c>
      <c r="B1052">
        <v>2025</v>
      </c>
      <c r="C1052">
        <v>30</v>
      </c>
      <c r="D1052" t="s">
        <v>183</v>
      </c>
      <c r="E1052" s="75">
        <v>45854</v>
      </c>
      <c r="F1052" s="75">
        <v>45860</v>
      </c>
    </row>
    <row r="1053" spans="1:6" x14ac:dyDescent="0.35">
      <c r="A1053">
        <v>5307</v>
      </c>
      <c r="B1053">
        <v>2025</v>
      </c>
      <c r="C1053">
        <v>30</v>
      </c>
      <c r="D1053" t="s">
        <v>183</v>
      </c>
      <c r="E1053" s="75">
        <v>45854</v>
      </c>
      <c r="F1053" s="75">
        <v>45860</v>
      </c>
    </row>
    <row r="1054" spans="1:6" x14ac:dyDescent="0.35">
      <c r="A1054">
        <v>5308</v>
      </c>
      <c r="B1054">
        <v>2025</v>
      </c>
      <c r="C1054">
        <v>30</v>
      </c>
      <c r="D1054" t="s">
        <v>183</v>
      </c>
      <c r="E1054" s="75">
        <v>45854</v>
      </c>
      <c r="F1054" s="75">
        <v>45860</v>
      </c>
    </row>
    <row r="1055" spans="1:6" x14ac:dyDescent="0.35">
      <c r="A1055">
        <v>5309</v>
      </c>
      <c r="B1055">
        <v>2025</v>
      </c>
      <c r="C1055">
        <v>30</v>
      </c>
      <c r="D1055" t="s">
        <v>183</v>
      </c>
      <c r="E1055" s="75">
        <v>45854</v>
      </c>
      <c r="F1055" s="75">
        <v>45860</v>
      </c>
    </row>
    <row r="1056" spans="1:6" x14ac:dyDescent="0.35">
      <c r="A1056">
        <v>5310</v>
      </c>
      <c r="B1056">
        <v>2025</v>
      </c>
      <c r="C1056">
        <v>30</v>
      </c>
      <c r="D1056" t="s">
        <v>183</v>
      </c>
      <c r="E1056" s="75">
        <v>45854</v>
      </c>
      <c r="F1056" s="75">
        <v>45860</v>
      </c>
    </row>
    <row r="1057" spans="1:6" x14ac:dyDescent="0.35">
      <c r="A1057">
        <v>5311</v>
      </c>
      <c r="B1057">
        <v>2025</v>
      </c>
      <c r="C1057">
        <v>30</v>
      </c>
      <c r="D1057" t="s">
        <v>183</v>
      </c>
      <c r="E1057" s="75">
        <v>45854</v>
      </c>
      <c r="F1057" s="75">
        <v>45860</v>
      </c>
    </row>
    <row r="1058" spans="1:6" x14ac:dyDescent="0.35">
      <c r="A1058">
        <v>5312</v>
      </c>
      <c r="B1058">
        <v>2025</v>
      </c>
      <c r="C1058">
        <v>31</v>
      </c>
      <c r="D1058" t="s">
        <v>184</v>
      </c>
      <c r="E1058" s="75">
        <v>45861</v>
      </c>
      <c r="F1058" s="75">
        <v>45867</v>
      </c>
    </row>
    <row r="1059" spans="1:6" x14ac:dyDescent="0.35">
      <c r="A1059">
        <v>5313</v>
      </c>
      <c r="B1059">
        <v>2025</v>
      </c>
      <c r="C1059">
        <v>31</v>
      </c>
      <c r="D1059" t="s">
        <v>184</v>
      </c>
      <c r="E1059" s="75">
        <v>45861</v>
      </c>
      <c r="F1059" s="75">
        <v>45867</v>
      </c>
    </row>
    <row r="1060" spans="1:6" x14ac:dyDescent="0.35">
      <c r="A1060">
        <v>5314</v>
      </c>
      <c r="B1060">
        <v>2025</v>
      </c>
      <c r="C1060">
        <v>31</v>
      </c>
      <c r="D1060" t="s">
        <v>184</v>
      </c>
      <c r="E1060" s="75">
        <v>45861</v>
      </c>
      <c r="F1060" s="75">
        <v>45867</v>
      </c>
    </row>
    <row r="1061" spans="1:6" x14ac:dyDescent="0.35">
      <c r="A1061">
        <v>5315</v>
      </c>
      <c r="B1061">
        <v>2025</v>
      </c>
      <c r="C1061">
        <v>31</v>
      </c>
      <c r="D1061" t="s">
        <v>184</v>
      </c>
      <c r="E1061" s="75">
        <v>45861</v>
      </c>
      <c r="F1061" s="75">
        <v>45867</v>
      </c>
    </row>
    <row r="1062" spans="1:6" x14ac:dyDescent="0.35">
      <c r="A1062">
        <v>5316</v>
      </c>
      <c r="B1062">
        <v>2025</v>
      </c>
      <c r="C1062">
        <v>31</v>
      </c>
      <c r="D1062" t="s">
        <v>184</v>
      </c>
      <c r="E1062" s="75">
        <v>45861</v>
      </c>
      <c r="F1062" s="75">
        <v>45867</v>
      </c>
    </row>
    <row r="1063" spans="1:6" x14ac:dyDescent="0.35">
      <c r="A1063">
        <v>5317</v>
      </c>
      <c r="B1063">
        <v>2025</v>
      </c>
      <c r="C1063">
        <v>31</v>
      </c>
      <c r="D1063" t="s">
        <v>184</v>
      </c>
      <c r="E1063" s="75">
        <v>45861</v>
      </c>
      <c r="F1063" s="75">
        <v>45867</v>
      </c>
    </row>
    <row r="1064" spans="1:6" x14ac:dyDescent="0.35">
      <c r="A1064">
        <v>5318</v>
      </c>
      <c r="B1064">
        <v>2025</v>
      </c>
      <c r="C1064">
        <v>31</v>
      </c>
      <c r="D1064" t="s">
        <v>184</v>
      </c>
      <c r="E1064" s="75">
        <v>45861</v>
      </c>
      <c r="F1064" s="75">
        <v>45867</v>
      </c>
    </row>
    <row r="1065" spans="1:6" x14ac:dyDescent="0.35">
      <c r="A1065">
        <v>5319</v>
      </c>
      <c r="B1065">
        <v>2025</v>
      </c>
      <c r="C1065">
        <v>31</v>
      </c>
      <c r="D1065" t="s">
        <v>184</v>
      </c>
      <c r="E1065" s="75">
        <v>45861</v>
      </c>
      <c r="F1065" s="75">
        <v>45867</v>
      </c>
    </row>
    <row r="1066" spans="1:6" x14ac:dyDescent="0.35">
      <c r="A1066">
        <v>5320</v>
      </c>
      <c r="B1066">
        <v>2025</v>
      </c>
      <c r="C1066">
        <v>31</v>
      </c>
      <c r="D1066" t="s">
        <v>184</v>
      </c>
      <c r="E1066" s="75">
        <v>45861</v>
      </c>
      <c r="F1066" s="75">
        <v>45867</v>
      </c>
    </row>
    <row r="1067" spans="1:6" x14ac:dyDescent="0.35">
      <c r="A1067">
        <v>5321</v>
      </c>
      <c r="B1067">
        <v>2025</v>
      </c>
      <c r="C1067">
        <v>31</v>
      </c>
      <c r="D1067" t="s">
        <v>184</v>
      </c>
      <c r="E1067" s="75">
        <v>45861</v>
      </c>
      <c r="F1067" s="75">
        <v>45867</v>
      </c>
    </row>
    <row r="1068" spans="1:6" x14ac:dyDescent="0.35">
      <c r="A1068">
        <v>5322</v>
      </c>
      <c r="B1068">
        <v>2025</v>
      </c>
      <c r="C1068">
        <v>31</v>
      </c>
      <c r="D1068" t="s">
        <v>184</v>
      </c>
      <c r="E1068" s="75">
        <v>45861</v>
      </c>
      <c r="F1068" s="75">
        <v>45867</v>
      </c>
    </row>
    <row r="1069" spans="1:6" x14ac:dyDescent="0.35">
      <c r="A1069">
        <v>5323</v>
      </c>
      <c r="B1069">
        <v>2025</v>
      </c>
      <c r="C1069">
        <v>31</v>
      </c>
      <c r="D1069" t="s">
        <v>184</v>
      </c>
      <c r="E1069" s="75">
        <v>45861</v>
      </c>
      <c r="F1069" s="75">
        <v>45867</v>
      </c>
    </row>
    <row r="1070" spans="1:6" x14ac:dyDescent="0.35">
      <c r="A1070">
        <v>5324</v>
      </c>
      <c r="B1070">
        <v>2025</v>
      </c>
      <c r="C1070">
        <v>31</v>
      </c>
      <c r="D1070" t="s">
        <v>184</v>
      </c>
      <c r="E1070" s="75">
        <v>45861</v>
      </c>
      <c r="F1070" s="75">
        <v>45867</v>
      </c>
    </row>
    <row r="1071" spans="1:6" x14ac:dyDescent="0.35">
      <c r="A1071">
        <v>5325</v>
      </c>
      <c r="B1071">
        <v>2025</v>
      </c>
      <c r="C1071">
        <v>31</v>
      </c>
      <c r="D1071" t="s">
        <v>184</v>
      </c>
      <c r="E1071" s="75">
        <v>45861</v>
      </c>
      <c r="F1071" s="75">
        <v>45867</v>
      </c>
    </row>
    <row r="1072" spans="1:6" x14ac:dyDescent="0.35">
      <c r="A1072">
        <v>5326</v>
      </c>
      <c r="B1072">
        <v>2025</v>
      </c>
      <c r="C1072">
        <v>31</v>
      </c>
      <c r="D1072" t="s">
        <v>184</v>
      </c>
      <c r="E1072" s="75">
        <v>45861</v>
      </c>
      <c r="F1072" s="75">
        <v>45867</v>
      </c>
    </row>
    <row r="1073" spans="1:6" x14ac:dyDescent="0.35">
      <c r="A1073">
        <v>5327</v>
      </c>
      <c r="B1073">
        <v>2025</v>
      </c>
      <c r="C1073">
        <v>31</v>
      </c>
      <c r="D1073" t="s">
        <v>184</v>
      </c>
      <c r="E1073" s="75">
        <v>45861</v>
      </c>
      <c r="F1073" s="75">
        <v>45867</v>
      </c>
    </row>
    <row r="1074" spans="1:6" x14ac:dyDescent="0.35">
      <c r="A1074">
        <v>5328</v>
      </c>
      <c r="B1074">
        <v>2025</v>
      </c>
      <c r="C1074">
        <v>31</v>
      </c>
      <c r="D1074" t="s">
        <v>184</v>
      </c>
      <c r="E1074" s="75">
        <v>45861</v>
      </c>
      <c r="F1074" s="75">
        <v>45867</v>
      </c>
    </row>
    <row r="1075" spans="1:6" x14ac:dyDescent="0.35">
      <c r="A1075">
        <v>5329</v>
      </c>
      <c r="B1075">
        <v>2025</v>
      </c>
      <c r="C1075">
        <v>31</v>
      </c>
      <c r="D1075" t="s">
        <v>184</v>
      </c>
      <c r="E1075" s="75">
        <v>45861</v>
      </c>
      <c r="F1075" s="75">
        <v>45867</v>
      </c>
    </row>
    <row r="1076" spans="1:6" x14ac:dyDescent="0.35">
      <c r="A1076">
        <v>5330</v>
      </c>
      <c r="B1076">
        <v>2025</v>
      </c>
      <c r="C1076">
        <v>31</v>
      </c>
      <c r="D1076" t="s">
        <v>184</v>
      </c>
      <c r="E1076" s="75">
        <v>45861</v>
      </c>
      <c r="F1076" s="75">
        <v>45867</v>
      </c>
    </row>
    <row r="1077" spans="1:6" x14ac:dyDescent="0.35">
      <c r="A1077">
        <v>5331</v>
      </c>
      <c r="B1077">
        <v>2025</v>
      </c>
      <c r="C1077">
        <v>31</v>
      </c>
      <c r="D1077" t="s">
        <v>184</v>
      </c>
      <c r="E1077" s="75">
        <v>45861</v>
      </c>
      <c r="F1077" s="75">
        <v>45867</v>
      </c>
    </row>
    <row r="1078" spans="1:6" x14ac:dyDescent="0.35">
      <c r="A1078">
        <v>5332</v>
      </c>
      <c r="B1078">
        <v>2025</v>
      </c>
      <c r="C1078">
        <v>31</v>
      </c>
      <c r="D1078" t="s">
        <v>184</v>
      </c>
      <c r="E1078" s="75">
        <v>45861</v>
      </c>
      <c r="F1078" s="75">
        <v>45867</v>
      </c>
    </row>
    <row r="1079" spans="1:6" x14ac:dyDescent="0.35">
      <c r="A1079">
        <v>5333</v>
      </c>
      <c r="B1079">
        <v>2025</v>
      </c>
      <c r="C1079">
        <v>31</v>
      </c>
      <c r="D1079" t="s">
        <v>184</v>
      </c>
      <c r="E1079" s="75">
        <v>45861</v>
      </c>
      <c r="F1079" s="75">
        <v>45867</v>
      </c>
    </row>
    <row r="1080" spans="1:6" x14ac:dyDescent="0.35">
      <c r="A1080">
        <v>5334</v>
      </c>
      <c r="B1080">
        <v>2025</v>
      </c>
      <c r="C1080">
        <v>32</v>
      </c>
      <c r="D1080" t="s">
        <v>185</v>
      </c>
      <c r="E1080" s="75">
        <v>45868</v>
      </c>
      <c r="F1080" s="75">
        <v>45874</v>
      </c>
    </row>
    <row r="1081" spans="1:6" x14ac:dyDescent="0.35">
      <c r="A1081">
        <v>5335</v>
      </c>
      <c r="B1081">
        <v>2025</v>
      </c>
      <c r="C1081">
        <v>32</v>
      </c>
      <c r="D1081" t="s">
        <v>185</v>
      </c>
      <c r="E1081" s="75">
        <v>45868</v>
      </c>
      <c r="F1081" s="75">
        <v>45874</v>
      </c>
    </row>
    <row r="1082" spans="1:6" x14ac:dyDescent="0.35">
      <c r="A1082">
        <v>5336</v>
      </c>
      <c r="B1082">
        <v>2025</v>
      </c>
      <c r="C1082">
        <v>32</v>
      </c>
      <c r="D1082" t="s">
        <v>185</v>
      </c>
      <c r="E1082" s="75">
        <v>45868</v>
      </c>
      <c r="F1082" s="75">
        <v>45874</v>
      </c>
    </row>
    <row r="1083" spans="1:6" x14ac:dyDescent="0.35">
      <c r="A1083">
        <v>5337</v>
      </c>
      <c r="B1083">
        <v>2025</v>
      </c>
      <c r="C1083">
        <v>32</v>
      </c>
      <c r="D1083" t="s">
        <v>185</v>
      </c>
      <c r="E1083" s="75">
        <v>45868</v>
      </c>
      <c r="F1083" s="75">
        <v>45874</v>
      </c>
    </row>
    <row r="1084" spans="1:6" x14ac:dyDescent="0.35">
      <c r="A1084">
        <v>5338</v>
      </c>
      <c r="B1084">
        <v>2025</v>
      </c>
      <c r="C1084">
        <v>32</v>
      </c>
      <c r="D1084" t="s">
        <v>185</v>
      </c>
      <c r="E1084" s="75">
        <v>45868</v>
      </c>
      <c r="F1084" s="75">
        <v>45874</v>
      </c>
    </row>
    <row r="1085" spans="1:6" x14ac:dyDescent="0.35">
      <c r="A1085">
        <v>5339</v>
      </c>
      <c r="B1085">
        <v>2025</v>
      </c>
      <c r="C1085">
        <v>32</v>
      </c>
      <c r="D1085" t="s">
        <v>185</v>
      </c>
      <c r="E1085" s="75">
        <v>45868</v>
      </c>
      <c r="F1085" s="75">
        <v>45874</v>
      </c>
    </row>
    <row r="1086" spans="1:6" x14ac:dyDescent="0.35">
      <c r="A1086">
        <v>5340</v>
      </c>
      <c r="B1086">
        <v>2025</v>
      </c>
      <c r="C1086">
        <v>32</v>
      </c>
      <c r="D1086" t="s">
        <v>185</v>
      </c>
      <c r="E1086" s="75">
        <v>45868</v>
      </c>
      <c r="F1086" s="75">
        <v>45874</v>
      </c>
    </row>
    <row r="1087" spans="1:6" x14ac:dyDescent="0.35">
      <c r="A1087">
        <v>5341</v>
      </c>
      <c r="B1087">
        <v>2025</v>
      </c>
      <c r="C1087">
        <v>32</v>
      </c>
      <c r="D1087" t="s">
        <v>185</v>
      </c>
      <c r="E1087" s="75">
        <v>45868</v>
      </c>
      <c r="F1087" s="75">
        <v>45874</v>
      </c>
    </row>
    <row r="1088" spans="1:6" x14ac:dyDescent="0.35">
      <c r="A1088">
        <v>5342</v>
      </c>
      <c r="B1088">
        <v>2025</v>
      </c>
      <c r="C1088">
        <v>32</v>
      </c>
      <c r="D1088" t="s">
        <v>185</v>
      </c>
      <c r="E1088" s="75">
        <v>45868</v>
      </c>
      <c r="F1088" s="75">
        <v>45874</v>
      </c>
    </row>
    <row r="1089" spans="1:6" x14ac:dyDescent="0.35">
      <c r="A1089">
        <v>5343</v>
      </c>
      <c r="B1089">
        <v>2025</v>
      </c>
      <c r="C1089">
        <v>32</v>
      </c>
      <c r="D1089" t="s">
        <v>185</v>
      </c>
      <c r="E1089" s="75">
        <v>45868</v>
      </c>
      <c r="F1089" s="75">
        <v>45874</v>
      </c>
    </row>
    <row r="1090" spans="1:6" x14ac:dyDescent="0.35">
      <c r="A1090">
        <v>5344</v>
      </c>
      <c r="B1090">
        <v>2025</v>
      </c>
      <c r="C1090">
        <v>32</v>
      </c>
      <c r="D1090" t="s">
        <v>185</v>
      </c>
      <c r="E1090" s="75">
        <v>45868</v>
      </c>
      <c r="F1090" s="75">
        <v>45874</v>
      </c>
    </row>
    <row r="1091" spans="1:6" x14ac:dyDescent="0.35">
      <c r="A1091">
        <v>5345</v>
      </c>
      <c r="B1091">
        <v>2025</v>
      </c>
      <c r="C1091">
        <v>32</v>
      </c>
      <c r="D1091" t="s">
        <v>185</v>
      </c>
      <c r="E1091" s="75">
        <v>45868</v>
      </c>
      <c r="F1091" s="75">
        <v>45874</v>
      </c>
    </row>
    <row r="1092" spans="1:6" x14ac:dyDescent="0.35">
      <c r="A1092">
        <v>5346</v>
      </c>
      <c r="B1092">
        <v>2025</v>
      </c>
      <c r="C1092">
        <v>32</v>
      </c>
      <c r="D1092" t="s">
        <v>185</v>
      </c>
      <c r="E1092" s="75">
        <v>45868</v>
      </c>
      <c r="F1092" s="75">
        <v>45874</v>
      </c>
    </row>
    <row r="1093" spans="1:6" x14ac:dyDescent="0.35">
      <c r="A1093">
        <v>5347</v>
      </c>
      <c r="B1093">
        <v>2025</v>
      </c>
      <c r="C1093">
        <v>32</v>
      </c>
      <c r="D1093" t="s">
        <v>185</v>
      </c>
      <c r="E1093" s="75">
        <v>45868</v>
      </c>
      <c r="F1093" s="75">
        <v>45874</v>
      </c>
    </row>
    <row r="1094" spans="1:6" x14ac:dyDescent="0.35">
      <c r="A1094">
        <v>5348</v>
      </c>
      <c r="B1094">
        <v>2025</v>
      </c>
      <c r="C1094">
        <v>32</v>
      </c>
      <c r="D1094" t="s">
        <v>185</v>
      </c>
      <c r="E1094" s="75">
        <v>45868</v>
      </c>
      <c r="F1094" s="75">
        <v>45874</v>
      </c>
    </row>
    <row r="1095" spans="1:6" x14ac:dyDescent="0.35">
      <c r="A1095">
        <v>5349</v>
      </c>
      <c r="B1095">
        <v>2025</v>
      </c>
      <c r="C1095">
        <v>32</v>
      </c>
      <c r="D1095" t="s">
        <v>185</v>
      </c>
      <c r="E1095" s="75">
        <v>45868</v>
      </c>
      <c r="F1095" s="75">
        <v>45874</v>
      </c>
    </row>
    <row r="1096" spans="1:6" x14ac:dyDescent="0.35">
      <c r="A1096">
        <v>5350</v>
      </c>
      <c r="B1096">
        <v>2025</v>
      </c>
      <c r="C1096">
        <v>32</v>
      </c>
      <c r="D1096" t="s">
        <v>185</v>
      </c>
      <c r="E1096" s="75">
        <v>45868</v>
      </c>
      <c r="F1096" s="75">
        <v>45874</v>
      </c>
    </row>
    <row r="1097" spans="1:6" x14ac:dyDescent="0.35">
      <c r="A1097">
        <v>5351</v>
      </c>
      <c r="B1097">
        <v>2025</v>
      </c>
      <c r="C1097">
        <v>32</v>
      </c>
      <c r="D1097" t="s">
        <v>185</v>
      </c>
      <c r="E1097" s="75">
        <v>45868</v>
      </c>
      <c r="F1097" s="75">
        <v>45874</v>
      </c>
    </row>
    <row r="1098" spans="1:6" x14ac:dyDescent="0.35">
      <c r="A1098">
        <v>5352</v>
      </c>
      <c r="B1098">
        <v>2025</v>
      </c>
      <c r="C1098">
        <v>32</v>
      </c>
      <c r="D1098" t="s">
        <v>185</v>
      </c>
      <c r="E1098" s="75">
        <v>45868</v>
      </c>
      <c r="F1098" s="75">
        <v>45874</v>
      </c>
    </row>
    <row r="1099" spans="1:6" x14ac:dyDescent="0.35">
      <c r="A1099">
        <v>5353</v>
      </c>
      <c r="B1099">
        <v>2025</v>
      </c>
      <c r="C1099">
        <v>32</v>
      </c>
      <c r="D1099" t="s">
        <v>185</v>
      </c>
      <c r="E1099" s="75">
        <v>45868</v>
      </c>
      <c r="F1099" s="75">
        <v>45874</v>
      </c>
    </row>
    <row r="1100" spans="1:6" x14ac:dyDescent="0.35">
      <c r="A1100">
        <v>5354</v>
      </c>
      <c r="B1100">
        <v>2025</v>
      </c>
      <c r="C1100">
        <v>32</v>
      </c>
      <c r="D1100" t="s">
        <v>185</v>
      </c>
      <c r="E1100" s="75">
        <v>45868</v>
      </c>
      <c r="F1100" s="75">
        <v>45874</v>
      </c>
    </row>
    <row r="1101" spans="1:6" x14ac:dyDescent="0.35">
      <c r="A1101">
        <v>5355</v>
      </c>
      <c r="B1101">
        <v>2025</v>
      </c>
      <c r="C1101">
        <v>32</v>
      </c>
      <c r="D1101" t="s">
        <v>185</v>
      </c>
      <c r="E1101" s="75">
        <v>45868</v>
      </c>
      <c r="F1101" s="75">
        <v>45874</v>
      </c>
    </row>
    <row r="1102" spans="1:6" x14ac:dyDescent="0.35">
      <c r="A1102">
        <v>5356</v>
      </c>
      <c r="B1102">
        <v>2025</v>
      </c>
      <c r="C1102">
        <v>32</v>
      </c>
      <c r="D1102" t="s">
        <v>185</v>
      </c>
      <c r="E1102" s="75">
        <v>45868</v>
      </c>
      <c r="F1102" s="75">
        <v>45874</v>
      </c>
    </row>
    <row r="1103" spans="1:6" x14ac:dyDescent="0.35">
      <c r="A1103">
        <v>5357</v>
      </c>
      <c r="B1103">
        <v>2025</v>
      </c>
      <c r="C1103">
        <v>32</v>
      </c>
      <c r="D1103" t="s">
        <v>185</v>
      </c>
      <c r="E1103" s="75">
        <v>45868</v>
      </c>
      <c r="F1103" s="75">
        <v>45874</v>
      </c>
    </row>
    <row r="1104" spans="1:6" x14ac:dyDescent="0.35">
      <c r="A1104">
        <v>5358</v>
      </c>
      <c r="B1104">
        <v>2025</v>
      </c>
      <c r="C1104">
        <v>32</v>
      </c>
      <c r="D1104" t="s">
        <v>185</v>
      </c>
      <c r="E1104" s="75">
        <v>45868</v>
      </c>
      <c r="F1104" s="75">
        <v>45874</v>
      </c>
    </row>
    <row r="1105" spans="1:6" x14ac:dyDescent="0.35">
      <c r="A1105">
        <v>5359</v>
      </c>
      <c r="B1105">
        <v>2025</v>
      </c>
      <c r="C1105">
        <v>32</v>
      </c>
      <c r="D1105" t="s">
        <v>185</v>
      </c>
      <c r="E1105" s="75">
        <v>45868</v>
      </c>
      <c r="F1105" s="75">
        <v>45874</v>
      </c>
    </row>
    <row r="1106" spans="1:6" x14ac:dyDescent="0.35">
      <c r="A1106">
        <v>5360</v>
      </c>
      <c r="B1106">
        <v>2025</v>
      </c>
      <c r="C1106">
        <v>32</v>
      </c>
      <c r="D1106" t="s">
        <v>185</v>
      </c>
      <c r="E1106" s="75">
        <v>45868</v>
      </c>
      <c r="F1106" s="75">
        <v>45874</v>
      </c>
    </row>
    <row r="1107" spans="1:6" x14ac:dyDescent="0.35">
      <c r="A1107">
        <v>5361</v>
      </c>
      <c r="B1107">
        <v>2025</v>
      </c>
      <c r="C1107">
        <v>32</v>
      </c>
      <c r="D1107" t="s">
        <v>185</v>
      </c>
      <c r="E1107" s="75">
        <v>45868</v>
      </c>
      <c r="F1107" s="75">
        <v>45874</v>
      </c>
    </row>
    <row r="1108" spans="1:6" x14ac:dyDescent="0.35">
      <c r="A1108">
        <v>5362</v>
      </c>
      <c r="B1108">
        <v>2025</v>
      </c>
      <c r="C1108">
        <v>32</v>
      </c>
      <c r="D1108" t="s">
        <v>185</v>
      </c>
      <c r="E1108" s="75">
        <v>45868</v>
      </c>
      <c r="F1108" s="75">
        <v>45874</v>
      </c>
    </row>
    <row r="1109" spans="1:6" x14ac:dyDescent="0.35">
      <c r="A1109">
        <v>5363</v>
      </c>
      <c r="B1109">
        <v>2025</v>
      </c>
      <c r="C1109">
        <v>32</v>
      </c>
      <c r="D1109" t="s">
        <v>185</v>
      </c>
      <c r="E1109" s="75">
        <v>45868</v>
      </c>
      <c r="F1109" s="75">
        <v>45874</v>
      </c>
    </row>
    <row r="1110" spans="1:6" x14ac:dyDescent="0.35">
      <c r="A1110">
        <v>5364</v>
      </c>
      <c r="B1110">
        <v>2025</v>
      </c>
      <c r="C1110">
        <v>33</v>
      </c>
      <c r="D1110" t="s">
        <v>186</v>
      </c>
      <c r="E1110" s="75">
        <v>45875</v>
      </c>
      <c r="F1110" s="75">
        <v>45881</v>
      </c>
    </row>
    <row r="1111" spans="1:6" x14ac:dyDescent="0.35">
      <c r="A1111">
        <v>5365</v>
      </c>
      <c r="B1111">
        <v>2025</v>
      </c>
      <c r="C1111">
        <v>33</v>
      </c>
      <c r="D1111" t="s">
        <v>186</v>
      </c>
      <c r="E1111" s="75">
        <v>45875</v>
      </c>
      <c r="F1111" s="75">
        <v>45881</v>
      </c>
    </row>
    <row r="1112" spans="1:6" x14ac:dyDescent="0.35">
      <c r="A1112">
        <v>5366</v>
      </c>
      <c r="B1112">
        <v>2025</v>
      </c>
      <c r="C1112">
        <v>33</v>
      </c>
      <c r="D1112" t="s">
        <v>186</v>
      </c>
      <c r="E1112" s="75">
        <v>45875</v>
      </c>
      <c r="F1112" s="75">
        <v>45881</v>
      </c>
    </row>
    <row r="1113" spans="1:6" x14ac:dyDescent="0.35">
      <c r="A1113">
        <v>5367</v>
      </c>
      <c r="B1113">
        <v>2025</v>
      </c>
      <c r="C1113">
        <v>33</v>
      </c>
      <c r="D1113" t="s">
        <v>186</v>
      </c>
      <c r="E1113" s="75">
        <v>45875</v>
      </c>
      <c r="F1113" s="75">
        <v>45881</v>
      </c>
    </row>
    <row r="1114" spans="1:6" x14ac:dyDescent="0.35">
      <c r="A1114">
        <v>5368</v>
      </c>
      <c r="B1114">
        <v>2025</v>
      </c>
      <c r="C1114">
        <v>33</v>
      </c>
      <c r="D1114" t="s">
        <v>186</v>
      </c>
      <c r="E1114" s="75">
        <v>45875</v>
      </c>
      <c r="F1114" s="75">
        <v>45881</v>
      </c>
    </row>
    <row r="1115" spans="1:6" x14ac:dyDescent="0.35">
      <c r="A1115">
        <v>5369</v>
      </c>
      <c r="B1115">
        <v>2025</v>
      </c>
      <c r="C1115">
        <v>33</v>
      </c>
      <c r="D1115" t="s">
        <v>186</v>
      </c>
      <c r="E1115" s="75">
        <v>45875</v>
      </c>
      <c r="F1115" s="75">
        <v>45881</v>
      </c>
    </row>
    <row r="1116" spans="1:6" x14ac:dyDescent="0.35">
      <c r="A1116">
        <v>5370</v>
      </c>
      <c r="B1116">
        <v>2025</v>
      </c>
      <c r="C1116">
        <v>33</v>
      </c>
      <c r="D1116" t="s">
        <v>186</v>
      </c>
      <c r="E1116" s="75">
        <v>45875</v>
      </c>
      <c r="F1116" s="75">
        <v>45881</v>
      </c>
    </row>
    <row r="1117" spans="1:6" x14ac:dyDescent="0.35">
      <c r="A1117">
        <v>5371</v>
      </c>
      <c r="B1117">
        <v>2025</v>
      </c>
      <c r="C1117">
        <v>33</v>
      </c>
      <c r="D1117" t="s">
        <v>186</v>
      </c>
      <c r="E1117" s="75">
        <v>45875</v>
      </c>
      <c r="F1117" s="75">
        <v>45881</v>
      </c>
    </row>
    <row r="1118" spans="1:6" x14ac:dyDescent="0.35">
      <c r="A1118">
        <v>5372</v>
      </c>
      <c r="B1118">
        <v>2025</v>
      </c>
      <c r="C1118">
        <v>33</v>
      </c>
      <c r="D1118" t="s">
        <v>186</v>
      </c>
      <c r="E1118" s="75">
        <v>45875</v>
      </c>
      <c r="F1118" s="75">
        <v>45881</v>
      </c>
    </row>
    <row r="1119" spans="1:6" x14ac:dyDescent="0.35">
      <c r="A1119">
        <v>5373</v>
      </c>
      <c r="B1119">
        <v>2025</v>
      </c>
      <c r="C1119">
        <v>33</v>
      </c>
      <c r="D1119" t="s">
        <v>186</v>
      </c>
      <c r="E1119" s="75">
        <v>45875</v>
      </c>
      <c r="F1119" s="75">
        <v>45881</v>
      </c>
    </row>
    <row r="1120" spans="1:6" x14ac:dyDescent="0.35">
      <c r="A1120">
        <v>5374</v>
      </c>
      <c r="B1120">
        <v>2025</v>
      </c>
      <c r="C1120">
        <v>33</v>
      </c>
      <c r="D1120" t="s">
        <v>186</v>
      </c>
      <c r="E1120" s="75">
        <v>45875</v>
      </c>
      <c r="F1120" s="75">
        <v>45881</v>
      </c>
    </row>
    <row r="1121" spans="1:6" x14ac:dyDescent="0.35">
      <c r="A1121">
        <v>5375</v>
      </c>
      <c r="B1121">
        <v>2025</v>
      </c>
      <c r="C1121">
        <v>34</v>
      </c>
      <c r="D1121" t="s">
        <v>187</v>
      </c>
      <c r="E1121" s="75">
        <v>45882</v>
      </c>
      <c r="F1121" s="75">
        <v>45888</v>
      </c>
    </row>
    <row r="1122" spans="1:6" x14ac:dyDescent="0.35">
      <c r="A1122">
        <v>5376</v>
      </c>
      <c r="B1122">
        <v>2025</v>
      </c>
      <c r="C1122">
        <v>34</v>
      </c>
      <c r="D1122" t="s">
        <v>187</v>
      </c>
      <c r="E1122" s="75">
        <v>45882</v>
      </c>
      <c r="F1122" s="75">
        <v>45888</v>
      </c>
    </row>
    <row r="1123" spans="1:6" x14ac:dyDescent="0.35">
      <c r="A1123">
        <v>5377</v>
      </c>
      <c r="B1123">
        <v>2025</v>
      </c>
      <c r="C1123">
        <v>34</v>
      </c>
      <c r="D1123" t="s">
        <v>187</v>
      </c>
      <c r="E1123" s="75">
        <v>45882</v>
      </c>
      <c r="F1123" s="75">
        <v>45888</v>
      </c>
    </row>
    <row r="1124" spans="1:6" x14ac:dyDescent="0.35">
      <c r="A1124">
        <v>5378</v>
      </c>
      <c r="B1124">
        <v>2025</v>
      </c>
      <c r="C1124">
        <v>34</v>
      </c>
      <c r="D1124" t="s">
        <v>187</v>
      </c>
      <c r="E1124" s="75">
        <v>45882</v>
      </c>
      <c r="F1124" s="75">
        <v>45888</v>
      </c>
    </row>
    <row r="1125" spans="1:6" x14ac:dyDescent="0.35">
      <c r="A1125">
        <v>5379</v>
      </c>
      <c r="B1125">
        <v>2025</v>
      </c>
      <c r="C1125">
        <v>34</v>
      </c>
      <c r="D1125" t="s">
        <v>187</v>
      </c>
      <c r="E1125" s="75">
        <v>45882</v>
      </c>
      <c r="F1125" s="75">
        <v>45888</v>
      </c>
    </row>
    <row r="1126" spans="1:6" x14ac:dyDescent="0.35">
      <c r="A1126">
        <v>5380</v>
      </c>
      <c r="B1126">
        <v>2025</v>
      </c>
      <c r="C1126">
        <v>34</v>
      </c>
      <c r="D1126" t="s">
        <v>187</v>
      </c>
      <c r="E1126" s="75">
        <v>45882</v>
      </c>
      <c r="F1126" s="75">
        <v>45888</v>
      </c>
    </row>
    <row r="1127" spans="1:6" x14ac:dyDescent="0.35">
      <c r="A1127">
        <v>5381</v>
      </c>
      <c r="B1127">
        <v>2025</v>
      </c>
      <c r="C1127">
        <v>34</v>
      </c>
      <c r="D1127" t="s">
        <v>187</v>
      </c>
      <c r="E1127" s="75">
        <v>45882</v>
      </c>
      <c r="F1127" s="75">
        <v>45888</v>
      </c>
    </row>
    <row r="1128" spans="1:6" x14ac:dyDescent="0.35">
      <c r="A1128">
        <v>5382</v>
      </c>
      <c r="B1128">
        <v>2025</v>
      </c>
      <c r="C1128">
        <v>34</v>
      </c>
      <c r="D1128" t="s">
        <v>187</v>
      </c>
      <c r="E1128" s="75">
        <v>45882</v>
      </c>
      <c r="F1128" s="75">
        <v>45888</v>
      </c>
    </row>
    <row r="1129" spans="1:6" x14ac:dyDescent="0.35">
      <c r="A1129">
        <v>5383</v>
      </c>
      <c r="B1129">
        <v>2025</v>
      </c>
      <c r="C1129">
        <v>34</v>
      </c>
      <c r="D1129" t="s">
        <v>187</v>
      </c>
      <c r="E1129" s="75">
        <v>45882</v>
      </c>
      <c r="F1129" s="75">
        <v>45888</v>
      </c>
    </row>
    <row r="1130" spans="1:6" x14ac:dyDescent="0.35">
      <c r="A1130">
        <v>5384</v>
      </c>
      <c r="B1130">
        <v>2025</v>
      </c>
      <c r="C1130">
        <v>34</v>
      </c>
      <c r="D1130" t="s">
        <v>187</v>
      </c>
      <c r="E1130" s="75">
        <v>45882</v>
      </c>
      <c r="F1130" s="75">
        <v>45888</v>
      </c>
    </row>
    <row r="1131" spans="1:6" x14ac:dyDescent="0.35">
      <c r="A1131">
        <v>5385</v>
      </c>
      <c r="B1131">
        <v>2025</v>
      </c>
      <c r="C1131">
        <v>34</v>
      </c>
      <c r="D1131" t="s">
        <v>187</v>
      </c>
      <c r="E1131" s="75">
        <v>45882</v>
      </c>
      <c r="F1131" s="75">
        <v>45888</v>
      </c>
    </row>
    <row r="1132" spans="1:6" x14ac:dyDescent="0.35">
      <c r="A1132">
        <v>5386</v>
      </c>
      <c r="B1132">
        <v>2025</v>
      </c>
      <c r="C1132">
        <v>34</v>
      </c>
      <c r="D1132" t="s">
        <v>187</v>
      </c>
      <c r="E1132" s="75">
        <v>45882</v>
      </c>
      <c r="F1132" s="75">
        <v>45888</v>
      </c>
    </row>
    <row r="1133" spans="1:6" x14ac:dyDescent="0.35">
      <c r="A1133">
        <v>5387</v>
      </c>
      <c r="B1133">
        <v>2025</v>
      </c>
      <c r="C1133">
        <v>34</v>
      </c>
      <c r="D1133" t="s">
        <v>187</v>
      </c>
      <c r="E1133" s="75">
        <v>45882</v>
      </c>
      <c r="F1133" s="75">
        <v>45888</v>
      </c>
    </row>
    <row r="1134" spans="1:6" x14ac:dyDescent="0.35">
      <c r="A1134">
        <v>5388</v>
      </c>
      <c r="B1134">
        <v>2025</v>
      </c>
      <c r="C1134">
        <v>34</v>
      </c>
      <c r="D1134" t="s">
        <v>187</v>
      </c>
      <c r="E1134" s="75">
        <v>45882</v>
      </c>
      <c r="F1134" s="75">
        <v>45888</v>
      </c>
    </row>
    <row r="1135" spans="1:6" x14ac:dyDescent="0.35">
      <c r="A1135">
        <v>5389</v>
      </c>
      <c r="B1135">
        <v>2025</v>
      </c>
      <c r="C1135">
        <v>34</v>
      </c>
      <c r="D1135" t="s">
        <v>187</v>
      </c>
      <c r="E1135" s="75">
        <v>45882</v>
      </c>
      <c r="F1135" s="75">
        <v>45888</v>
      </c>
    </row>
    <row r="1136" spans="1:6" x14ac:dyDescent="0.35">
      <c r="A1136">
        <v>5390</v>
      </c>
      <c r="B1136">
        <v>2025</v>
      </c>
      <c r="C1136">
        <v>34</v>
      </c>
      <c r="D1136" t="s">
        <v>187</v>
      </c>
      <c r="E1136" s="75">
        <v>45882</v>
      </c>
      <c r="F1136" s="75">
        <v>45888</v>
      </c>
    </row>
    <row r="1137" spans="1:6" x14ac:dyDescent="0.35">
      <c r="A1137">
        <v>5391</v>
      </c>
      <c r="B1137">
        <v>2025</v>
      </c>
      <c r="C1137">
        <v>34</v>
      </c>
      <c r="D1137" t="s">
        <v>187</v>
      </c>
      <c r="E1137" s="75">
        <v>45882</v>
      </c>
      <c r="F1137" s="75">
        <v>45888</v>
      </c>
    </row>
    <row r="1138" spans="1:6" x14ac:dyDescent="0.35">
      <c r="A1138">
        <v>5392</v>
      </c>
      <c r="B1138">
        <v>2025</v>
      </c>
      <c r="C1138">
        <v>34</v>
      </c>
      <c r="D1138" t="s">
        <v>187</v>
      </c>
      <c r="E1138" s="75">
        <v>45882</v>
      </c>
      <c r="F1138" s="75">
        <v>45888</v>
      </c>
    </row>
    <row r="1139" spans="1:6" x14ac:dyDescent="0.35">
      <c r="A1139">
        <v>5393</v>
      </c>
      <c r="B1139">
        <v>2025</v>
      </c>
      <c r="C1139">
        <v>34</v>
      </c>
      <c r="D1139" t="s">
        <v>187</v>
      </c>
      <c r="E1139" s="75">
        <v>45882</v>
      </c>
      <c r="F1139" s="75">
        <v>45888</v>
      </c>
    </row>
    <row r="1140" spans="1:6" x14ac:dyDescent="0.35">
      <c r="A1140">
        <v>5394</v>
      </c>
      <c r="B1140">
        <v>2025</v>
      </c>
      <c r="C1140">
        <v>34</v>
      </c>
      <c r="D1140" t="s">
        <v>187</v>
      </c>
      <c r="E1140" s="75">
        <v>45882</v>
      </c>
      <c r="F1140" s="75">
        <v>45888</v>
      </c>
    </row>
    <row r="1141" spans="1:6" x14ac:dyDescent="0.35">
      <c r="A1141">
        <v>5395</v>
      </c>
      <c r="B1141">
        <v>2025</v>
      </c>
      <c r="C1141">
        <v>34</v>
      </c>
      <c r="D1141" t="s">
        <v>187</v>
      </c>
      <c r="E1141" s="75">
        <v>45882</v>
      </c>
      <c r="F1141" s="75">
        <v>45888</v>
      </c>
    </row>
    <row r="1142" spans="1:6" x14ac:dyDescent="0.35">
      <c r="A1142">
        <v>5396</v>
      </c>
      <c r="B1142">
        <v>2025</v>
      </c>
      <c r="C1142">
        <v>34</v>
      </c>
      <c r="D1142" t="s">
        <v>187</v>
      </c>
      <c r="E1142" s="75">
        <v>45882</v>
      </c>
      <c r="F1142" s="75">
        <v>45888</v>
      </c>
    </row>
    <row r="1143" spans="1:6" x14ac:dyDescent="0.35">
      <c r="A1143">
        <v>5397</v>
      </c>
      <c r="B1143">
        <v>2025</v>
      </c>
      <c r="C1143">
        <v>34</v>
      </c>
      <c r="D1143" t="s">
        <v>187</v>
      </c>
      <c r="E1143" s="75">
        <v>45882</v>
      </c>
      <c r="F1143" s="75">
        <v>45888</v>
      </c>
    </row>
    <row r="1144" spans="1:6" x14ac:dyDescent="0.35">
      <c r="A1144">
        <v>5398</v>
      </c>
      <c r="B1144">
        <v>2025</v>
      </c>
      <c r="C1144">
        <v>34</v>
      </c>
      <c r="D1144" t="s">
        <v>187</v>
      </c>
      <c r="E1144" s="75">
        <v>45882</v>
      </c>
      <c r="F1144" s="75">
        <v>45888</v>
      </c>
    </row>
    <row r="1145" spans="1:6" x14ac:dyDescent="0.35">
      <c r="A1145">
        <v>5399</v>
      </c>
      <c r="B1145">
        <v>2025</v>
      </c>
      <c r="C1145">
        <v>34</v>
      </c>
      <c r="D1145" t="s">
        <v>187</v>
      </c>
      <c r="E1145" s="75">
        <v>45882</v>
      </c>
      <c r="F1145" s="75">
        <v>45888</v>
      </c>
    </row>
    <row r="1146" spans="1:6" x14ac:dyDescent="0.35">
      <c r="A1146">
        <v>5400</v>
      </c>
      <c r="B1146">
        <v>2025</v>
      </c>
      <c r="C1146">
        <v>34</v>
      </c>
      <c r="D1146" t="s">
        <v>187</v>
      </c>
      <c r="E1146" s="75">
        <v>45882</v>
      </c>
      <c r="F1146" s="75">
        <v>45888</v>
      </c>
    </row>
    <row r="1147" spans="1:6" x14ac:dyDescent="0.35">
      <c r="A1147">
        <v>5401</v>
      </c>
      <c r="B1147">
        <v>2025</v>
      </c>
      <c r="C1147">
        <v>34</v>
      </c>
      <c r="D1147" t="s">
        <v>187</v>
      </c>
      <c r="E1147" s="75">
        <v>45882</v>
      </c>
      <c r="F1147" s="75">
        <v>45888</v>
      </c>
    </row>
    <row r="1148" spans="1:6" x14ac:dyDescent="0.35">
      <c r="A1148">
        <v>5402</v>
      </c>
      <c r="B1148">
        <v>2025</v>
      </c>
      <c r="C1148">
        <v>35</v>
      </c>
      <c r="D1148" t="s">
        <v>188</v>
      </c>
      <c r="E1148" s="75">
        <v>45889</v>
      </c>
      <c r="F1148" s="75">
        <v>45895</v>
      </c>
    </row>
    <row r="1149" spans="1:6" x14ac:dyDescent="0.35">
      <c r="A1149">
        <v>5403</v>
      </c>
      <c r="B1149">
        <v>2025</v>
      </c>
      <c r="C1149">
        <v>35</v>
      </c>
      <c r="D1149" t="s">
        <v>188</v>
      </c>
      <c r="E1149" s="75">
        <v>45889</v>
      </c>
      <c r="F1149" s="75">
        <v>45895</v>
      </c>
    </row>
    <row r="1150" spans="1:6" x14ac:dyDescent="0.35">
      <c r="A1150">
        <v>5404</v>
      </c>
      <c r="B1150">
        <v>2025</v>
      </c>
      <c r="C1150">
        <v>35</v>
      </c>
      <c r="D1150" t="s">
        <v>188</v>
      </c>
      <c r="E1150" s="75">
        <v>45889</v>
      </c>
      <c r="F1150" s="75">
        <v>45895</v>
      </c>
    </row>
    <row r="1151" spans="1:6" x14ac:dyDescent="0.35">
      <c r="A1151">
        <v>5405</v>
      </c>
      <c r="B1151">
        <v>2025</v>
      </c>
      <c r="C1151">
        <v>35</v>
      </c>
      <c r="D1151" t="s">
        <v>188</v>
      </c>
      <c r="E1151" s="75">
        <v>45889</v>
      </c>
      <c r="F1151" s="75">
        <v>45895</v>
      </c>
    </row>
    <row r="1152" spans="1:6" x14ac:dyDescent="0.35">
      <c r="A1152">
        <v>5406</v>
      </c>
      <c r="B1152">
        <v>2025</v>
      </c>
      <c r="C1152">
        <v>35</v>
      </c>
      <c r="D1152" t="s">
        <v>188</v>
      </c>
      <c r="E1152" s="75">
        <v>45889</v>
      </c>
      <c r="F1152" s="75">
        <v>45895</v>
      </c>
    </row>
    <row r="1153" spans="1:6" x14ac:dyDescent="0.35">
      <c r="A1153">
        <v>5407</v>
      </c>
      <c r="B1153">
        <v>2025</v>
      </c>
      <c r="C1153">
        <v>35</v>
      </c>
      <c r="D1153" t="s">
        <v>188</v>
      </c>
      <c r="E1153" s="75">
        <v>45889</v>
      </c>
      <c r="F1153" s="75">
        <v>45895</v>
      </c>
    </row>
    <row r="1154" spans="1:6" x14ac:dyDescent="0.35">
      <c r="A1154">
        <v>5408</v>
      </c>
      <c r="B1154">
        <v>2025</v>
      </c>
      <c r="C1154">
        <v>35</v>
      </c>
      <c r="D1154" t="s">
        <v>188</v>
      </c>
      <c r="E1154" s="75">
        <v>45889</v>
      </c>
      <c r="F1154" s="75">
        <v>45895</v>
      </c>
    </row>
    <row r="1155" spans="1:6" x14ac:dyDescent="0.35">
      <c r="A1155">
        <v>5409</v>
      </c>
      <c r="B1155">
        <v>2025</v>
      </c>
      <c r="C1155">
        <v>35</v>
      </c>
      <c r="D1155" t="s">
        <v>188</v>
      </c>
      <c r="E1155" s="75">
        <v>45889</v>
      </c>
      <c r="F1155" s="75">
        <v>45895</v>
      </c>
    </row>
    <row r="1156" spans="1:6" x14ac:dyDescent="0.35">
      <c r="A1156">
        <v>5410</v>
      </c>
      <c r="B1156">
        <v>2025</v>
      </c>
      <c r="C1156">
        <v>35</v>
      </c>
      <c r="D1156" t="s">
        <v>188</v>
      </c>
      <c r="E1156" s="75">
        <v>45889</v>
      </c>
      <c r="F1156" s="75">
        <v>45895</v>
      </c>
    </row>
    <row r="1157" spans="1:6" x14ac:dyDescent="0.35">
      <c r="A1157">
        <v>5411</v>
      </c>
      <c r="B1157">
        <v>2025</v>
      </c>
      <c r="C1157">
        <v>35</v>
      </c>
      <c r="D1157" t="s">
        <v>188</v>
      </c>
      <c r="E1157" s="75">
        <v>45889</v>
      </c>
      <c r="F1157" s="75">
        <v>45895</v>
      </c>
    </row>
    <row r="1158" spans="1:6" x14ac:dyDescent="0.35">
      <c r="A1158">
        <v>5412</v>
      </c>
      <c r="B1158">
        <v>2025</v>
      </c>
      <c r="C1158">
        <v>35</v>
      </c>
      <c r="D1158" t="s">
        <v>188</v>
      </c>
      <c r="E1158" s="75">
        <v>45889</v>
      </c>
      <c r="F1158" s="75">
        <v>45895</v>
      </c>
    </row>
    <row r="1159" spans="1:6" x14ac:dyDescent="0.35">
      <c r="A1159">
        <v>5413</v>
      </c>
      <c r="B1159">
        <v>2025</v>
      </c>
      <c r="C1159">
        <v>35</v>
      </c>
      <c r="D1159" t="s">
        <v>188</v>
      </c>
      <c r="E1159" s="75">
        <v>45889</v>
      </c>
      <c r="F1159" s="75">
        <v>45895</v>
      </c>
    </row>
    <row r="1160" spans="1:6" x14ac:dyDescent="0.35">
      <c r="A1160">
        <v>5414</v>
      </c>
      <c r="B1160">
        <v>2025</v>
      </c>
      <c r="C1160">
        <v>35</v>
      </c>
      <c r="D1160" t="s">
        <v>188</v>
      </c>
      <c r="E1160" s="75">
        <v>45889</v>
      </c>
      <c r="F1160" s="75">
        <v>45895</v>
      </c>
    </row>
    <row r="1161" spans="1:6" x14ac:dyDescent="0.35">
      <c r="A1161">
        <v>5415</v>
      </c>
      <c r="B1161">
        <v>2025</v>
      </c>
      <c r="C1161">
        <v>35</v>
      </c>
      <c r="D1161" t="s">
        <v>188</v>
      </c>
      <c r="E1161" s="75">
        <v>45889</v>
      </c>
      <c r="F1161" s="75">
        <v>45895</v>
      </c>
    </row>
    <row r="1162" spans="1:6" x14ac:dyDescent="0.35">
      <c r="A1162">
        <v>5416</v>
      </c>
      <c r="B1162">
        <v>2025</v>
      </c>
      <c r="C1162">
        <v>35</v>
      </c>
      <c r="D1162" t="s">
        <v>188</v>
      </c>
      <c r="E1162" s="75">
        <v>45889</v>
      </c>
      <c r="F1162" s="75">
        <v>45895</v>
      </c>
    </row>
    <row r="1163" spans="1:6" x14ac:dyDescent="0.35">
      <c r="A1163">
        <v>5417</v>
      </c>
      <c r="B1163">
        <v>2025</v>
      </c>
      <c r="C1163">
        <v>35</v>
      </c>
      <c r="D1163" t="s">
        <v>188</v>
      </c>
      <c r="E1163" s="75">
        <v>45889</v>
      </c>
      <c r="F1163" s="75">
        <v>45895</v>
      </c>
    </row>
    <row r="1164" spans="1:6" x14ac:dyDescent="0.35">
      <c r="A1164">
        <v>5418</v>
      </c>
      <c r="B1164">
        <v>2025</v>
      </c>
      <c r="C1164">
        <v>35</v>
      </c>
      <c r="D1164" t="s">
        <v>188</v>
      </c>
      <c r="E1164" s="75">
        <v>45889</v>
      </c>
      <c r="F1164" s="75">
        <v>45895</v>
      </c>
    </row>
    <row r="1165" spans="1:6" x14ac:dyDescent="0.35">
      <c r="A1165">
        <v>5419</v>
      </c>
      <c r="B1165">
        <v>2025</v>
      </c>
      <c r="C1165">
        <v>35</v>
      </c>
      <c r="D1165" t="s">
        <v>188</v>
      </c>
      <c r="E1165" s="75">
        <v>45889</v>
      </c>
      <c r="F1165" s="75">
        <v>45895</v>
      </c>
    </row>
    <row r="1166" spans="1:6" x14ac:dyDescent="0.35">
      <c r="A1166">
        <v>5420</v>
      </c>
      <c r="B1166">
        <v>2025</v>
      </c>
      <c r="C1166">
        <v>35</v>
      </c>
      <c r="D1166" t="s">
        <v>188</v>
      </c>
      <c r="E1166" s="75">
        <v>45889</v>
      </c>
      <c r="F1166" s="75">
        <v>45895</v>
      </c>
    </row>
    <row r="1167" spans="1:6" x14ac:dyDescent="0.35">
      <c r="A1167">
        <v>5421</v>
      </c>
      <c r="B1167">
        <v>2025</v>
      </c>
      <c r="C1167">
        <v>35</v>
      </c>
      <c r="D1167" t="s">
        <v>188</v>
      </c>
      <c r="E1167" s="75">
        <v>45889</v>
      </c>
      <c r="F1167" s="75">
        <v>45895</v>
      </c>
    </row>
    <row r="1168" spans="1:6" x14ac:dyDescent="0.35">
      <c r="A1168">
        <v>5422</v>
      </c>
      <c r="B1168">
        <v>2025</v>
      </c>
      <c r="C1168">
        <v>35</v>
      </c>
      <c r="D1168" t="s">
        <v>188</v>
      </c>
      <c r="E1168" s="75">
        <v>45889</v>
      </c>
      <c r="F1168" s="75">
        <v>45895</v>
      </c>
    </row>
    <row r="1169" spans="1:6" x14ac:dyDescent="0.35">
      <c r="A1169">
        <v>5423</v>
      </c>
      <c r="B1169">
        <v>2025</v>
      </c>
      <c r="C1169">
        <v>35</v>
      </c>
      <c r="D1169" t="s">
        <v>188</v>
      </c>
      <c r="E1169" s="75">
        <v>45889</v>
      </c>
      <c r="F1169" s="75">
        <v>45895</v>
      </c>
    </row>
    <row r="1170" spans="1:6" x14ac:dyDescent="0.35">
      <c r="A1170">
        <v>5424</v>
      </c>
      <c r="B1170">
        <v>2025</v>
      </c>
      <c r="C1170">
        <v>35</v>
      </c>
      <c r="D1170" t="s">
        <v>188</v>
      </c>
      <c r="E1170" s="75">
        <v>45889</v>
      </c>
      <c r="F1170" s="75">
        <v>45895</v>
      </c>
    </row>
    <row r="1171" spans="1:6" x14ac:dyDescent="0.35">
      <c r="A1171">
        <v>5425</v>
      </c>
      <c r="B1171">
        <v>2025</v>
      </c>
      <c r="C1171">
        <v>35</v>
      </c>
      <c r="D1171" t="s">
        <v>188</v>
      </c>
      <c r="E1171" s="75">
        <v>45889</v>
      </c>
      <c r="F1171" s="75">
        <v>45895</v>
      </c>
    </row>
    <row r="1172" spans="1:6" x14ac:dyDescent="0.35">
      <c r="A1172">
        <v>5426</v>
      </c>
      <c r="B1172">
        <v>2025</v>
      </c>
      <c r="C1172">
        <v>35</v>
      </c>
      <c r="D1172" t="s">
        <v>188</v>
      </c>
      <c r="E1172" s="75">
        <v>45889</v>
      </c>
      <c r="F1172" s="75">
        <v>45895</v>
      </c>
    </row>
    <row r="1173" spans="1:6" x14ac:dyDescent="0.35">
      <c r="A1173">
        <v>5427</v>
      </c>
      <c r="B1173">
        <v>2025</v>
      </c>
      <c r="C1173">
        <v>36</v>
      </c>
      <c r="D1173" t="s">
        <v>189</v>
      </c>
      <c r="E1173" s="75">
        <v>45896</v>
      </c>
      <c r="F1173" s="75">
        <v>45902</v>
      </c>
    </row>
    <row r="1174" spans="1:6" x14ac:dyDescent="0.35">
      <c r="A1174">
        <v>5428</v>
      </c>
      <c r="B1174">
        <v>2025</v>
      </c>
      <c r="C1174">
        <v>36</v>
      </c>
      <c r="D1174" t="s">
        <v>189</v>
      </c>
      <c r="E1174" s="75">
        <v>45896</v>
      </c>
      <c r="F1174" s="75">
        <v>45902</v>
      </c>
    </row>
    <row r="1175" spans="1:6" x14ac:dyDescent="0.35">
      <c r="A1175">
        <v>5429</v>
      </c>
      <c r="B1175">
        <v>2025</v>
      </c>
      <c r="C1175">
        <v>36</v>
      </c>
      <c r="D1175" t="s">
        <v>189</v>
      </c>
      <c r="E1175" s="75">
        <v>45896</v>
      </c>
      <c r="F1175" s="75">
        <v>45902</v>
      </c>
    </row>
    <row r="1176" spans="1:6" x14ac:dyDescent="0.35">
      <c r="A1176">
        <v>5430</v>
      </c>
      <c r="B1176">
        <v>2025</v>
      </c>
      <c r="C1176">
        <v>36</v>
      </c>
      <c r="D1176" t="s">
        <v>189</v>
      </c>
      <c r="E1176" s="75">
        <v>45896</v>
      </c>
      <c r="F1176" s="75">
        <v>45902</v>
      </c>
    </row>
    <row r="1177" spans="1:6" x14ac:dyDescent="0.35">
      <c r="A1177">
        <v>5431</v>
      </c>
      <c r="B1177">
        <v>2025</v>
      </c>
      <c r="C1177">
        <v>36</v>
      </c>
      <c r="D1177" t="s">
        <v>189</v>
      </c>
      <c r="E1177" s="75">
        <v>45896</v>
      </c>
      <c r="F1177" s="75">
        <v>45902</v>
      </c>
    </row>
    <row r="1178" spans="1:6" x14ac:dyDescent="0.35">
      <c r="A1178">
        <v>5432</v>
      </c>
      <c r="B1178">
        <v>2025</v>
      </c>
      <c r="C1178">
        <v>36</v>
      </c>
      <c r="D1178" t="s">
        <v>189</v>
      </c>
      <c r="E1178" s="75">
        <v>45896</v>
      </c>
      <c r="F1178" s="75">
        <v>45902</v>
      </c>
    </row>
    <row r="1179" spans="1:6" x14ac:dyDescent="0.35">
      <c r="A1179">
        <v>5433</v>
      </c>
      <c r="B1179">
        <v>2025</v>
      </c>
      <c r="C1179">
        <v>36</v>
      </c>
      <c r="D1179" t="s">
        <v>189</v>
      </c>
      <c r="E1179" s="75">
        <v>45896</v>
      </c>
      <c r="F1179" s="75">
        <v>45902</v>
      </c>
    </row>
    <row r="1180" spans="1:6" x14ac:dyDescent="0.35">
      <c r="A1180">
        <v>5434</v>
      </c>
      <c r="B1180">
        <v>2025</v>
      </c>
      <c r="C1180">
        <v>36</v>
      </c>
      <c r="D1180" t="s">
        <v>189</v>
      </c>
      <c r="E1180" s="75">
        <v>45896</v>
      </c>
      <c r="F1180" s="75">
        <v>45902</v>
      </c>
    </row>
    <row r="1181" spans="1:6" x14ac:dyDescent="0.35">
      <c r="A1181">
        <v>5435</v>
      </c>
      <c r="B1181">
        <v>2025</v>
      </c>
      <c r="C1181">
        <v>36</v>
      </c>
      <c r="D1181" t="s">
        <v>189</v>
      </c>
      <c r="E1181" s="75">
        <v>45896</v>
      </c>
      <c r="F1181" s="75">
        <v>45902</v>
      </c>
    </row>
    <row r="1182" spans="1:6" x14ac:dyDescent="0.35">
      <c r="A1182">
        <v>5436</v>
      </c>
      <c r="B1182">
        <v>2025</v>
      </c>
      <c r="C1182">
        <v>36</v>
      </c>
      <c r="D1182" t="s">
        <v>189</v>
      </c>
      <c r="E1182" s="75">
        <v>45896</v>
      </c>
      <c r="F1182" s="75">
        <v>45902</v>
      </c>
    </row>
    <row r="1183" spans="1:6" x14ac:dyDescent="0.35">
      <c r="A1183">
        <v>5437</v>
      </c>
      <c r="B1183">
        <v>2025</v>
      </c>
      <c r="C1183">
        <v>36</v>
      </c>
      <c r="D1183" t="s">
        <v>189</v>
      </c>
      <c r="E1183" s="75">
        <v>45896</v>
      </c>
      <c r="F1183" s="75">
        <v>45902</v>
      </c>
    </row>
    <row r="1184" spans="1:6" x14ac:dyDescent="0.35">
      <c r="A1184">
        <v>5438</v>
      </c>
      <c r="B1184">
        <v>2025</v>
      </c>
      <c r="C1184">
        <v>36</v>
      </c>
      <c r="D1184" t="s">
        <v>189</v>
      </c>
      <c r="E1184" s="75">
        <v>45896</v>
      </c>
      <c r="F1184" s="75">
        <v>45902</v>
      </c>
    </row>
    <row r="1185" spans="1:6" x14ac:dyDescent="0.35">
      <c r="A1185">
        <v>5439</v>
      </c>
      <c r="B1185">
        <v>2025</v>
      </c>
      <c r="C1185">
        <v>36</v>
      </c>
      <c r="D1185" t="s">
        <v>189</v>
      </c>
      <c r="E1185" s="75">
        <v>45896</v>
      </c>
      <c r="F1185" s="75">
        <v>45902</v>
      </c>
    </row>
    <row r="1186" spans="1:6" x14ac:dyDescent="0.35">
      <c r="A1186">
        <v>5440</v>
      </c>
      <c r="B1186">
        <v>2025</v>
      </c>
      <c r="C1186">
        <v>36</v>
      </c>
      <c r="D1186" t="s">
        <v>189</v>
      </c>
      <c r="E1186" s="75">
        <v>45896</v>
      </c>
      <c r="F1186" s="75">
        <v>45902</v>
      </c>
    </row>
    <row r="1187" spans="1:6" x14ac:dyDescent="0.35">
      <c r="A1187">
        <v>5441</v>
      </c>
      <c r="B1187">
        <v>2025</v>
      </c>
      <c r="C1187">
        <v>36</v>
      </c>
      <c r="D1187" t="s">
        <v>189</v>
      </c>
      <c r="E1187" s="75">
        <v>45896</v>
      </c>
      <c r="F1187" s="75">
        <v>45902</v>
      </c>
    </row>
    <row r="1188" spans="1:6" x14ac:dyDescent="0.35">
      <c r="A1188">
        <v>5442</v>
      </c>
      <c r="B1188">
        <v>2025</v>
      </c>
      <c r="C1188">
        <v>36</v>
      </c>
      <c r="D1188" t="s">
        <v>189</v>
      </c>
      <c r="E1188" s="75">
        <v>45896</v>
      </c>
      <c r="F1188" s="75">
        <v>45902</v>
      </c>
    </row>
    <row r="1189" spans="1:6" x14ac:dyDescent="0.35">
      <c r="A1189">
        <v>5443</v>
      </c>
      <c r="B1189">
        <v>2025</v>
      </c>
      <c r="C1189">
        <v>36</v>
      </c>
      <c r="D1189" t="s">
        <v>189</v>
      </c>
      <c r="E1189" s="75">
        <v>45896</v>
      </c>
      <c r="F1189" s="75">
        <v>45902</v>
      </c>
    </row>
    <row r="1190" spans="1:6" x14ac:dyDescent="0.35">
      <c r="A1190">
        <v>5444</v>
      </c>
      <c r="B1190">
        <v>2025</v>
      </c>
      <c r="C1190">
        <v>36</v>
      </c>
      <c r="D1190" t="s">
        <v>189</v>
      </c>
      <c r="E1190" s="75">
        <v>45896</v>
      </c>
      <c r="F1190" s="75">
        <v>45902</v>
      </c>
    </row>
    <row r="1191" spans="1:6" x14ac:dyDescent="0.35">
      <c r="A1191">
        <v>5445</v>
      </c>
      <c r="B1191">
        <v>2025</v>
      </c>
      <c r="C1191">
        <v>36</v>
      </c>
      <c r="D1191" t="s">
        <v>189</v>
      </c>
      <c r="E1191" s="75">
        <v>45896</v>
      </c>
      <c r="F1191" s="75">
        <v>45902</v>
      </c>
    </row>
    <row r="1192" spans="1:6" x14ac:dyDescent="0.35">
      <c r="A1192">
        <v>5446</v>
      </c>
      <c r="B1192">
        <v>2025</v>
      </c>
      <c r="C1192">
        <v>36</v>
      </c>
      <c r="D1192" t="s">
        <v>189</v>
      </c>
      <c r="E1192" s="75">
        <v>45896</v>
      </c>
      <c r="F1192" s="75">
        <v>45902</v>
      </c>
    </row>
    <row r="1193" spans="1:6" x14ac:dyDescent="0.35">
      <c r="A1193">
        <v>5447</v>
      </c>
      <c r="B1193">
        <v>2025</v>
      </c>
      <c r="C1193">
        <v>36</v>
      </c>
      <c r="D1193" t="s">
        <v>189</v>
      </c>
      <c r="E1193" s="75">
        <v>45896</v>
      </c>
      <c r="F1193" s="75">
        <v>45902</v>
      </c>
    </row>
    <row r="1194" spans="1:6" x14ac:dyDescent="0.35">
      <c r="A1194">
        <v>5448</v>
      </c>
      <c r="B1194">
        <v>2025</v>
      </c>
      <c r="C1194">
        <v>36</v>
      </c>
      <c r="D1194" t="s">
        <v>189</v>
      </c>
      <c r="E1194" s="75">
        <v>45896</v>
      </c>
      <c r="F1194" s="75">
        <v>45902</v>
      </c>
    </row>
    <row r="1195" spans="1:6" x14ac:dyDescent="0.35">
      <c r="A1195">
        <v>5449</v>
      </c>
      <c r="B1195">
        <v>2025</v>
      </c>
      <c r="C1195">
        <v>36</v>
      </c>
      <c r="D1195" t="s">
        <v>189</v>
      </c>
      <c r="E1195" s="75">
        <v>45896</v>
      </c>
      <c r="F1195" s="75">
        <v>45902</v>
      </c>
    </row>
    <row r="1196" spans="1:6" x14ac:dyDescent="0.35">
      <c r="A1196">
        <v>5450</v>
      </c>
      <c r="B1196">
        <v>2025</v>
      </c>
      <c r="C1196">
        <v>36</v>
      </c>
      <c r="D1196" t="s">
        <v>189</v>
      </c>
      <c r="E1196" s="75">
        <v>45896</v>
      </c>
      <c r="F1196" s="75">
        <v>45902</v>
      </c>
    </row>
    <row r="1197" spans="1:6" x14ac:dyDescent="0.35">
      <c r="A1197">
        <v>5451</v>
      </c>
      <c r="B1197">
        <v>2025</v>
      </c>
      <c r="C1197">
        <v>36</v>
      </c>
      <c r="D1197" t="s">
        <v>189</v>
      </c>
      <c r="E1197" s="75">
        <v>45896</v>
      </c>
      <c r="F1197" s="75">
        <v>45902</v>
      </c>
    </row>
    <row r="1198" spans="1:6" x14ac:dyDescent="0.35">
      <c r="A1198">
        <v>5452</v>
      </c>
      <c r="B1198">
        <v>2025</v>
      </c>
      <c r="C1198">
        <v>37</v>
      </c>
      <c r="D1198" t="s">
        <v>190</v>
      </c>
      <c r="E1198" s="75">
        <v>45903</v>
      </c>
      <c r="F1198" s="75">
        <v>45909</v>
      </c>
    </row>
    <row r="1199" spans="1:6" x14ac:dyDescent="0.35">
      <c r="A1199">
        <v>5453</v>
      </c>
      <c r="B1199">
        <v>2025</v>
      </c>
      <c r="C1199">
        <v>37</v>
      </c>
      <c r="D1199" t="s">
        <v>190</v>
      </c>
      <c r="E1199" s="75">
        <v>45903</v>
      </c>
      <c r="F1199" s="75">
        <v>45909</v>
      </c>
    </row>
    <row r="1200" spans="1:6" x14ac:dyDescent="0.35">
      <c r="A1200">
        <v>5454</v>
      </c>
      <c r="B1200">
        <v>2025</v>
      </c>
      <c r="C1200">
        <v>37</v>
      </c>
      <c r="D1200" t="s">
        <v>190</v>
      </c>
      <c r="E1200" s="75">
        <v>45903</v>
      </c>
      <c r="F1200" s="75">
        <v>45909</v>
      </c>
    </row>
    <row r="1201" spans="1:6" x14ac:dyDescent="0.35">
      <c r="A1201">
        <v>5455</v>
      </c>
      <c r="B1201">
        <v>2025</v>
      </c>
      <c r="C1201">
        <v>37</v>
      </c>
      <c r="D1201" t="s">
        <v>190</v>
      </c>
      <c r="E1201" s="75">
        <v>45903</v>
      </c>
      <c r="F1201" s="75">
        <v>45909</v>
      </c>
    </row>
    <row r="1202" spans="1:6" x14ac:dyDescent="0.35">
      <c r="A1202">
        <v>5456</v>
      </c>
      <c r="B1202">
        <v>2025</v>
      </c>
      <c r="C1202">
        <v>37</v>
      </c>
      <c r="D1202" t="s">
        <v>190</v>
      </c>
      <c r="E1202" s="75">
        <v>45903</v>
      </c>
      <c r="F1202" s="75">
        <v>45909</v>
      </c>
    </row>
    <row r="1203" spans="1:6" x14ac:dyDescent="0.35">
      <c r="A1203">
        <v>5457</v>
      </c>
      <c r="B1203">
        <v>2025</v>
      </c>
      <c r="C1203">
        <v>37</v>
      </c>
      <c r="D1203" t="s">
        <v>190</v>
      </c>
      <c r="E1203" s="75">
        <v>45903</v>
      </c>
      <c r="F1203" s="75">
        <v>45909</v>
      </c>
    </row>
    <row r="1204" spans="1:6" x14ac:dyDescent="0.35">
      <c r="A1204">
        <v>5458</v>
      </c>
      <c r="B1204">
        <v>2025</v>
      </c>
      <c r="C1204">
        <v>37</v>
      </c>
      <c r="D1204" t="s">
        <v>190</v>
      </c>
      <c r="E1204" s="75">
        <v>45903</v>
      </c>
      <c r="F1204" s="75">
        <v>45909</v>
      </c>
    </row>
    <row r="1205" spans="1:6" x14ac:dyDescent="0.35">
      <c r="A1205">
        <v>5459</v>
      </c>
      <c r="B1205">
        <v>2025</v>
      </c>
      <c r="C1205">
        <v>37</v>
      </c>
      <c r="D1205" t="s">
        <v>190</v>
      </c>
      <c r="E1205" s="75">
        <v>45903</v>
      </c>
      <c r="F1205" s="75">
        <v>45909</v>
      </c>
    </row>
    <row r="1206" spans="1:6" x14ac:dyDescent="0.35">
      <c r="A1206">
        <v>5460</v>
      </c>
      <c r="B1206">
        <v>2025</v>
      </c>
      <c r="C1206">
        <v>37</v>
      </c>
      <c r="D1206" t="s">
        <v>190</v>
      </c>
      <c r="E1206" s="75">
        <v>45903</v>
      </c>
      <c r="F1206" s="75">
        <v>45909</v>
      </c>
    </row>
    <row r="1207" spans="1:6" x14ac:dyDescent="0.35">
      <c r="A1207">
        <v>5461</v>
      </c>
      <c r="B1207">
        <v>2025</v>
      </c>
      <c r="C1207">
        <v>37</v>
      </c>
      <c r="D1207" t="s">
        <v>190</v>
      </c>
      <c r="E1207" s="75">
        <v>45903</v>
      </c>
      <c r="F1207" s="75">
        <v>45909</v>
      </c>
    </row>
    <row r="1208" spans="1:6" x14ac:dyDescent="0.35">
      <c r="A1208">
        <v>5462</v>
      </c>
      <c r="B1208">
        <v>2025</v>
      </c>
      <c r="C1208">
        <v>37</v>
      </c>
      <c r="D1208" t="s">
        <v>190</v>
      </c>
      <c r="E1208" s="75">
        <v>45903</v>
      </c>
      <c r="F1208" s="75">
        <v>45909</v>
      </c>
    </row>
    <row r="1209" spans="1:6" x14ac:dyDescent="0.35">
      <c r="A1209">
        <v>5463</v>
      </c>
      <c r="B1209">
        <v>2025</v>
      </c>
      <c r="C1209">
        <v>37</v>
      </c>
      <c r="D1209" t="s">
        <v>190</v>
      </c>
      <c r="E1209" s="75">
        <v>45903</v>
      </c>
      <c r="F1209" s="75">
        <v>45909</v>
      </c>
    </row>
    <row r="1210" spans="1:6" x14ac:dyDescent="0.35">
      <c r="A1210">
        <v>5464</v>
      </c>
      <c r="B1210">
        <v>2025</v>
      </c>
      <c r="C1210">
        <v>37</v>
      </c>
      <c r="D1210" t="s">
        <v>190</v>
      </c>
      <c r="E1210" s="75">
        <v>45903</v>
      </c>
      <c r="F1210" s="75">
        <v>45909</v>
      </c>
    </row>
    <row r="1211" spans="1:6" x14ac:dyDescent="0.35">
      <c r="A1211">
        <v>5465</v>
      </c>
      <c r="B1211">
        <v>2025</v>
      </c>
      <c r="C1211">
        <v>37</v>
      </c>
      <c r="D1211" t="s">
        <v>190</v>
      </c>
      <c r="E1211" s="75">
        <v>45903</v>
      </c>
      <c r="F1211" s="75">
        <v>45909</v>
      </c>
    </row>
    <row r="1212" spans="1:6" x14ac:dyDescent="0.35">
      <c r="A1212">
        <v>5466</v>
      </c>
      <c r="B1212">
        <v>2025</v>
      </c>
      <c r="C1212">
        <v>37</v>
      </c>
      <c r="D1212" t="s">
        <v>190</v>
      </c>
      <c r="E1212" s="75">
        <v>45903</v>
      </c>
      <c r="F1212" s="75">
        <v>45909</v>
      </c>
    </row>
    <row r="1213" spans="1:6" x14ac:dyDescent="0.35">
      <c r="A1213">
        <v>5467</v>
      </c>
      <c r="B1213">
        <v>2025</v>
      </c>
      <c r="C1213">
        <v>37</v>
      </c>
      <c r="D1213" t="s">
        <v>190</v>
      </c>
      <c r="E1213" s="75">
        <v>45903</v>
      </c>
      <c r="F1213" s="75">
        <v>45909</v>
      </c>
    </row>
    <row r="1214" spans="1:6" x14ac:dyDescent="0.35">
      <c r="A1214">
        <v>5468</v>
      </c>
      <c r="B1214">
        <v>2025</v>
      </c>
      <c r="C1214">
        <v>37</v>
      </c>
      <c r="D1214" t="s">
        <v>190</v>
      </c>
      <c r="E1214" s="75">
        <v>45903</v>
      </c>
      <c r="F1214" s="75">
        <v>45909</v>
      </c>
    </row>
    <row r="1215" spans="1:6" x14ac:dyDescent="0.35">
      <c r="A1215">
        <v>5469</v>
      </c>
      <c r="B1215">
        <v>2025</v>
      </c>
      <c r="C1215">
        <v>37</v>
      </c>
      <c r="D1215" t="s">
        <v>190</v>
      </c>
      <c r="E1215" s="75">
        <v>45903</v>
      </c>
      <c r="F1215" s="75">
        <v>45909</v>
      </c>
    </row>
    <row r="1216" spans="1:6" x14ac:dyDescent="0.35">
      <c r="A1216">
        <v>5470</v>
      </c>
      <c r="B1216">
        <v>2025</v>
      </c>
      <c r="C1216">
        <v>37</v>
      </c>
      <c r="D1216" t="s">
        <v>190</v>
      </c>
      <c r="E1216" s="75">
        <v>45903</v>
      </c>
      <c r="F1216" s="75">
        <v>45909</v>
      </c>
    </row>
    <row r="1217" spans="1:6" x14ac:dyDescent="0.35">
      <c r="A1217">
        <v>5471</v>
      </c>
      <c r="B1217">
        <v>2025</v>
      </c>
      <c r="C1217">
        <v>37</v>
      </c>
      <c r="D1217" t="s">
        <v>190</v>
      </c>
      <c r="E1217" s="75">
        <v>45903</v>
      </c>
      <c r="F1217" s="75">
        <v>45909</v>
      </c>
    </row>
    <row r="1218" spans="1:6" x14ac:dyDescent="0.35">
      <c r="A1218">
        <v>5472</v>
      </c>
      <c r="B1218">
        <v>2025</v>
      </c>
      <c r="C1218">
        <v>38</v>
      </c>
      <c r="D1218" t="s">
        <v>191</v>
      </c>
      <c r="E1218" s="75">
        <v>45910</v>
      </c>
      <c r="F1218" s="75">
        <v>45916</v>
      </c>
    </row>
    <row r="1219" spans="1:6" x14ac:dyDescent="0.35">
      <c r="A1219">
        <v>5473</v>
      </c>
      <c r="B1219">
        <v>2025</v>
      </c>
      <c r="C1219">
        <v>38</v>
      </c>
      <c r="D1219" t="s">
        <v>191</v>
      </c>
      <c r="E1219" s="75">
        <v>45910</v>
      </c>
      <c r="F1219" s="75">
        <v>45916</v>
      </c>
    </row>
    <row r="1220" spans="1:6" x14ac:dyDescent="0.35">
      <c r="A1220">
        <v>5474</v>
      </c>
      <c r="B1220">
        <v>2025</v>
      </c>
      <c r="C1220">
        <v>38</v>
      </c>
      <c r="D1220" t="s">
        <v>191</v>
      </c>
      <c r="E1220" s="75">
        <v>45910</v>
      </c>
      <c r="F1220" s="75">
        <v>45916</v>
      </c>
    </row>
    <row r="1221" spans="1:6" x14ac:dyDescent="0.35">
      <c r="A1221">
        <v>5475</v>
      </c>
      <c r="B1221">
        <v>2025</v>
      </c>
      <c r="C1221">
        <v>38</v>
      </c>
      <c r="D1221" t="s">
        <v>191</v>
      </c>
      <c r="E1221" s="75">
        <v>45910</v>
      </c>
      <c r="F1221" s="75">
        <v>45916</v>
      </c>
    </row>
    <row r="1222" spans="1:6" x14ac:dyDescent="0.35">
      <c r="A1222">
        <v>5476</v>
      </c>
      <c r="B1222">
        <v>2025</v>
      </c>
      <c r="C1222">
        <v>38</v>
      </c>
      <c r="D1222" t="s">
        <v>191</v>
      </c>
      <c r="E1222" s="75">
        <v>45910</v>
      </c>
      <c r="F1222" s="75">
        <v>45916</v>
      </c>
    </row>
    <row r="1223" spans="1:6" x14ac:dyDescent="0.35">
      <c r="A1223">
        <v>5477</v>
      </c>
      <c r="B1223">
        <v>2025</v>
      </c>
      <c r="C1223">
        <v>38</v>
      </c>
      <c r="D1223" t="s">
        <v>191</v>
      </c>
      <c r="E1223" s="75">
        <v>45910</v>
      </c>
      <c r="F1223" s="75">
        <v>45916</v>
      </c>
    </row>
    <row r="1224" spans="1:6" x14ac:dyDescent="0.35">
      <c r="A1224">
        <v>5478</v>
      </c>
      <c r="B1224">
        <v>2025</v>
      </c>
      <c r="C1224">
        <v>38</v>
      </c>
      <c r="D1224" t="s">
        <v>191</v>
      </c>
      <c r="E1224" s="75">
        <v>45910</v>
      </c>
      <c r="F1224" s="75">
        <v>45916</v>
      </c>
    </row>
    <row r="1225" spans="1:6" x14ac:dyDescent="0.35">
      <c r="A1225">
        <v>5479</v>
      </c>
      <c r="B1225">
        <v>2025</v>
      </c>
      <c r="C1225">
        <v>38</v>
      </c>
      <c r="D1225" t="s">
        <v>191</v>
      </c>
      <c r="E1225" s="75">
        <v>45910</v>
      </c>
      <c r="F1225" s="75">
        <v>45916</v>
      </c>
    </row>
    <row r="1226" spans="1:6" x14ac:dyDescent="0.35">
      <c r="A1226">
        <v>5480</v>
      </c>
      <c r="B1226">
        <v>2025</v>
      </c>
      <c r="C1226">
        <v>38</v>
      </c>
      <c r="D1226" t="s">
        <v>191</v>
      </c>
      <c r="E1226" s="75">
        <v>45910</v>
      </c>
      <c r="F1226" s="75">
        <v>45916</v>
      </c>
    </row>
    <row r="1227" spans="1:6" x14ac:dyDescent="0.35">
      <c r="A1227">
        <v>5481</v>
      </c>
      <c r="B1227">
        <v>2025</v>
      </c>
      <c r="C1227">
        <v>38</v>
      </c>
      <c r="D1227" t="s">
        <v>191</v>
      </c>
      <c r="E1227" s="75">
        <v>45910</v>
      </c>
      <c r="F1227" s="75">
        <v>45916</v>
      </c>
    </row>
    <row r="1228" spans="1:6" x14ac:dyDescent="0.35">
      <c r="A1228">
        <v>5482</v>
      </c>
      <c r="B1228">
        <v>2025</v>
      </c>
      <c r="C1228">
        <v>38</v>
      </c>
      <c r="D1228" t="s">
        <v>191</v>
      </c>
      <c r="E1228" s="75">
        <v>45910</v>
      </c>
      <c r="F1228" s="75">
        <v>45916</v>
      </c>
    </row>
    <row r="1229" spans="1:6" x14ac:dyDescent="0.35">
      <c r="A1229">
        <v>5483</v>
      </c>
      <c r="B1229">
        <v>2025</v>
      </c>
      <c r="C1229">
        <v>38</v>
      </c>
      <c r="D1229" t="s">
        <v>191</v>
      </c>
      <c r="E1229" s="75">
        <v>45910</v>
      </c>
      <c r="F1229" s="75">
        <v>45916</v>
      </c>
    </row>
    <row r="1230" spans="1:6" x14ac:dyDescent="0.35">
      <c r="A1230">
        <v>5484</v>
      </c>
      <c r="B1230">
        <v>2025</v>
      </c>
      <c r="C1230">
        <v>38</v>
      </c>
      <c r="D1230" t="s">
        <v>191</v>
      </c>
      <c r="E1230" s="75">
        <v>45910</v>
      </c>
      <c r="F1230" s="75">
        <v>45916</v>
      </c>
    </row>
    <row r="1231" spans="1:6" x14ac:dyDescent="0.35">
      <c r="A1231">
        <v>5485</v>
      </c>
      <c r="B1231">
        <v>2025</v>
      </c>
      <c r="C1231">
        <v>38</v>
      </c>
      <c r="D1231" t="s">
        <v>191</v>
      </c>
      <c r="E1231" s="75">
        <v>45910</v>
      </c>
      <c r="F1231" s="75">
        <v>45916</v>
      </c>
    </row>
    <row r="1232" spans="1:6" x14ac:dyDescent="0.35">
      <c r="A1232">
        <v>5486</v>
      </c>
      <c r="B1232">
        <v>2025</v>
      </c>
      <c r="C1232">
        <v>38</v>
      </c>
      <c r="D1232" t="s">
        <v>191</v>
      </c>
      <c r="E1232" s="75">
        <v>45910</v>
      </c>
      <c r="F1232" s="75">
        <v>45916</v>
      </c>
    </row>
    <row r="1233" spans="1:6" x14ac:dyDescent="0.35">
      <c r="A1233">
        <v>5487</v>
      </c>
      <c r="B1233">
        <v>2025</v>
      </c>
      <c r="C1233">
        <v>38</v>
      </c>
      <c r="D1233" t="s">
        <v>191</v>
      </c>
      <c r="E1233" s="75">
        <v>45910</v>
      </c>
      <c r="F1233" s="75">
        <v>45916</v>
      </c>
    </row>
    <row r="1234" spans="1:6" x14ac:dyDescent="0.35">
      <c r="A1234">
        <v>5488</v>
      </c>
      <c r="B1234">
        <v>2025</v>
      </c>
      <c r="C1234">
        <v>38</v>
      </c>
      <c r="D1234" t="s">
        <v>191</v>
      </c>
      <c r="E1234" s="75">
        <v>45910</v>
      </c>
      <c r="F1234" s="75">
        <v>45916</v>
      </c>
    </row>
    <row r="1235" spans="1:6" x14ac:dyDescent="0.35">
      <c r="A1235">
        <v>5489</v>
      </c>
      <c r="B1235">
        <v>2025</v>
      </c>
      <c r="C1235">
        <v>38</v>
      </c>
      <c r="D1235" t="s">
        <v>191</v>
      </c>
      <c r="E1235" s="75">
        <v>45910</v>
      </c>
      <c r="F1235" s="75">
        <v>45916</v>
      </c>
    </row>
    <row r="1236" spans="1:6" x14ac:dyDescent="0.35">
      <c r="A1236">
        <v>5490</v>
      </c>
      <c r="B1236">
        <v>2025</v>
      </c>
      <c r="C1236">
        <v>38</v>
      </c>
      <c r="D1236" t="s">
        <v>191</v>
      </c>
      <c r="E1236" s="75">
        <v>45910</v>
      </c>
      <c r="F1236" s="75">
        <v>45916</v>
      </c>
    </row>
    <row r="1237" spans="1:6" x14ac:dyDescent="0.35">
      <c r="A1237">
        <v>5491</v>
      </c>
      <c r="B1237">
        <v>2025</v>
      </c>
      <c r="C1237">
        <v>39</v>
      </c>
      <c r="D1237" t="s">
        <v>192</v>
      </c>
      <c r="E1237" s="75">
        <v>45917</v>
      </c>
      <c r="F1237" s="75">
        <v>45923</v>
      </c>
    </row>
    <row r="1238" spans="1:6" x14ac:dyDescent="0.35">
      <c r="A1238">
        <v>5492</v>
      </c>
      <c r="B1238">
        <v>2025</v>
      </c>
      <c r="C1238">
        <v>39</v>
      </c>
      <c r="D1238" t="s">
        <v>192</v>
      </c>
      <c r="E1238" s="75">
        <v>45917</v>
      </c>
      <c r="F1238" s="75">
        <v>45923</v>
      </c>
    </row>
    <row r="1239" spans="1:6" x14ac:dyDescent="0.35">
      <c r="A1239">
        <v>5493</v>
      </c>
      <c r="B1239">
        <v>2025</v>
      </c>
      <c r="C1239">
        <v>39</v>
      </c>
      <c r="D1239" t="s">
        <v>192</v>
      </c>
      <c r="E1239" s="75">
        <v>45917</v>
      </c>
      <c r="F1239" s="75">
        <v>45923</v>
      </c>
    </row>
    <row r="1240" spans="1:6" x14ac:dyDescent="0.35">
      <c r="A1240">
        <v>5494</v>
      </c>
      <c r="B1240">
        <v>2025</v>
      </c>
      <c r="C1240">
        <v>39</v>
      </c>
      <c r="D1240" t="s">
        <v>192</v>
      </c>
      <c r="E1240" s="75">
        <v>45917</v>
      </c>
      <c r="F1240" s="75">
        <v>45923</v>
      </c>
    </row>
    <row r="1241" spans="1:6" x14ac:dyDescent="0.35">
      <c r="A1241">
        <v>5495</v>
      </c>
      <c r="B1241">
        <v>2025</v>
      </c>
      <c r="C1241">
        <v>39</v>
      </c>
      <c r="D1241" t="s">
        <v>192</v>
      </c>
      <c r="E1241" s="75">
        <v>45917</v>
      </c>
      <c r="F1241" s="75">
        <v>45923</v>
      </c>
    </row>
    <row r="1242" spans="1:6" x14ac:dyDescent="0.35">
      <c r="A1242">
        <v>5496</v>
      </c>
      <c r="B1242">
        <v>2025</v>
      </c>
      <c r="C1242">
        <v>39</v>
      </c>
      <c r="D1242" t="s">
        <v>192</v>
      </c>
      <c r="E1242" s="75">
        <v>45917</v>
      </c>
      <c r="F1242" s="75">
        <v>45923</v>
      </c>
    </row>
    <row r="1243" spans="1:6" x14ac:dyDescent="0.35">
      <c r="A1243">
        <v>5497</v>
      </c>
      <c r="B1243">
        <v>2025</v>
      </c>
      <c r="C1243">
        <v>39</v>
      </c>
      <c r="D1243" t="s">
        <v>192</v>
      </c>
      <c r="E1243" s="75">
        <v>45917</v>
      </c>
      <c r="F1243" s="75">
        <v>45923</v>
      </c>
    </row>
    <row r="1244" spans="1:6" x14ac:dyDescent="0.35">
      <c r="A1244">
        <v>5498</v>
      </c>
      <c r="B1244">
        <v>2025</v>
      </c>
      <c r="C1244">
        <v>39</v>
      </c>
      <c r="D1244" t="s">
        <v>192</v>
      </c>
      <c r="E1244" s="75">
        <v>45917</v>
      </c>
      <c r="F1244" s="75">
        <v>45923</v>
      </c>
    </row>
    <row r="1245" spans="1:6" x14ac:dyDescent="0.35">
      <c r="A1245">
        <v>5499</v>
      </c>
      <c r="B1245">
        <v>2025</v>
      </c>
      <c r="C1245">
        <v>39</v>
      </c>
      <c r="D1245" t="s">
        <v>192</v>
      </c>
      <c r="E1245" s="75">
        <v>45917</v>
      </c>
      <c r="F1245" s="75">
        <v>45923</v>
      </c>
    </row>
    <row r="1246" spans="1:6" x14ac:dyDescent="0.35">
      <c r="A1246">
        <v>5500</v>
      </c>
      <c r="B1246">
        <v>2025</v>
      </c>
      <c r="C1246">
        <v>39</v>
      </c>
      <c r="D1246" t="s">
        <v>192</v>
      </c>
      <c r="E1246" s="75">
        <v>45917</v>
      </c>
      <c r="F1246" s="75">
        <v>45923</v>
      </c>
    </row>
    <row r="1247" spans="1:6" x14ac:dyDescent="0.35">
      <c r="A1247">
        <v>5501</v>
      </c>
      <c r="B1247">
        <v>2025</v>
      </c>
      <c r="C1247">
        <v>39</v>
      </c>
      <c r="D1247" t="s">
        <v>192</v>
      </c>
      <c r="E1247" s="75">
        <v>45917</v>
      </c>
      <c r="F1247" s="75">
        <v>45923</v>
      </c>
    </row>
    <row r="1248" spans="1:6" x14ac:dyDescent="0.35">
      <c r="A1248">
        <v>5502</v>
      </c>
      <c r="B1248">
        <v>2025</v>
      </c>
      <c r="C1248">
        <v>39</v>
      </c>
      <c r="D1248" t="s">
        <v>192</v>
      </c>
      <c r="E1248" s="75">
        <v>45917</v>
      </c>
      <c r="F1248" s="75">
        <v>45923</v>
      </c>
    </row>
    <row r="1249" spans="1:6" x14ac:dyDescent="0.35">
      <c r="A1249">
        <v>5503</v>
      </c>
      <c r="B1249">
        <v>2025</v>
      </c>
      <c r="C1249">
        <v>39</v>
      </c>
      <c r="D1249" t="s">
        <v>192</v>
      </c>
      <c r="E1249" s="75">
        <v>45917</v>
      </c>
      <c r="F1249" s="75">
        <v>45923</v>
      </c>
    </row>
    <row r="1250" spans="1:6" x14ac:dyDescent="0.35">
      <c r="A1250">
        <v>5504</v>
      </c>
      <c r="B1250">
        <v>2025</v>
      </c>
      <c r="C1250">
        <v>39</v>
      </c>
      <c r="D1250" t="s">
        <v>192</v>
      </c>
      <c r="E1250" s="75">
        <v>45917</v>
      </c>
      <c r="F1250" s="75">
        <v>45923</v>
      </c>
    </row>
    <row r="1251" spans="1:6" x14ac:dyDescent="0.35">
      <c r="A1251">
        <v>5505</v>
      </c>
      <c r="B1251">
        <v>2025</v>
      </c>
      <c r="C1251">
        <v>39</v>
      </c>
      <c r="D1251" t="s">
        <v>192</v>
      </c>
      <c r="E1251" s="75">
        <v>45917</v>
      </c>
      <c r="F1251" s="75">
        <v>45923</v>
      </c>
    </row>
    <row r="1252" spans="1:6" x14ac:dyDescent="0.35">
      <c r="A1252">
        <v>5506</v>
      </c>
      <c r="B1252">
        <v>2025</v>
      </c>
      <c r="C1252">
        <v>39</v>
      </c>
      <c r="D1252" t="s">
        <v>192</v>
      </c>
      <c r="E1252" s="75">
        <v>45917</v>
      </c>
      <c r="F1252" s="75">
        <v>45923</v>
      </c>
    </row>
    <row r="1253" spans="1:6" x14ac:dyDescent="0.35">
      <c r="A1253">
        <v>5507</v>
      </c>
      <c r="B1253">
        <v>2025</v>
      </c>
      <c r="C1253">
        <v>39</v>
      </c>
      <c r="D1253" t="s">
        <v>192</v>
      </c>
      <c r="E1253" s="75">
        <v>45917</v>
      </c>
      <c r="F1253" s="75">
        <v>45923</v>
      </c>
    </row>
    <row r="1254" spans="1:6" x14ac:dyDescent="0.35">
      <c r="A1254">
        <v>5508</v>
      </c>
      <c r="B1254">
        <v>2025</v>
      </c>
      <c r="C1254">
        <v>39</v>
      </c>
      <c r="D1254" t="s">
        <v>192</v>
      </c>
      <c r="E1254" s="75">
        <v>45917</v>
      </c>
      <c r="F1254" s="75">
        <v>45923</v>
      </c>
    </row>
    <row r="1255" spans="1:6" x14ac:dyDescent="0.35">
      <c r="A1255">
        <v>5509</v>
      </c>
      <c r="B1255">
        <v>2025</v>
      </c>
      <c r="C1255">
        <v>39</v>
      </c>
      <c r="D1255" t="s">
        <v>192</v>
      </c>
      <c r="E1255" s="75">
        <v>45917</v>
      </c>
      <c r="F1255" s="75">
        <v>45923</v>
      </c>
    </row>
    <row r="1256" spans="1:6" x14ac:dyDescent="0.35">
      <c r="A1256">
        <v>5510</v>
      </c>
      <c r="B1256">
        <v>2025</v>
      </c>
      <c r="C1256">
        <v>40</v>
      </c>
      <c r="D1256" t="s">
        <v>193</v>
      </c>
      <c r="E1256" s="75">
        <v>45924</v>
      </c>
      <c r="F1256" s="75">
        <v>45930</v>
      </c>
    </row>
    <row r="1257" spans="1:6" x14ac:dyDescent="0.35">
      <c r="A1257">
        <v>5511</v>
      </c>
      <c r="B1257">
        <v>2025</v>
      </c>
      <c r="C1257">
        <v>40</v>
      </c>
      <c r="D1257" t="s">
        <v>193</v>
      </c>
      <c r="E1257" s="75">
        <v>45924</v>
      </c>
      <c r="F1257" s="75">
        <v>45930</v>
      </c>
    </row>
    <row r="1258" spans="1:6" x14ac:dyDescent="0.35">
      <c r="A1258">
        <v>5512</v>
      </c>
      <c r="B1258">
        <v>2025</v>
      </c>
      <c r="C1258">
        <v>40</v>
      </c>
      <c r="D1258" t="s">
        <v>193</v>
      </c>
      <c r="E1258" s="75">
        <v>45924</v>
      </c>
      <c r="F1258" s="75">
        <v>45930</v>
      </c>
    </row>
    <row r="1259" spans="1:6" x14ac:dyDescent="0.35">
      <c r="A1259">
        <v>5513</v>
      </c>
      <c r="B1259">
        <v>2025</v>
      </c>
      <c r="C1259">
        <v>40</v>
      </c>
      <c r="D1259" t="s">
        <v>193</v>
      </c>
      <c r="E1259" s="75">
        <v>45924</v>
      </c>
      <c r="F1259" s="75">
        <v>45930</v>
      </c>
    </row>
    <row r="1260" spans="1:6" x14ac:dyDescent="0.35">
      <c r="A1260">
        <v>5514</v>
      </c>
      <c r="B1260">
        <v>2025</v>
      </c>
      <c r="C1260">
        <v>40</v>
      </c>
      <c r="D1260" t="s">
        <v>193</v>
      </c>
      <c r="E1260" s="75">
        <v>45924</v>
      </c>
      <c r="F1260" s="75">
        <v>45930</v>
      </c>
    </row>
    <row r="1261" spans="1:6" x14ac:dyDescent="0.35">
      <c r="A1261">
        <v>5515</v>
      </c>
      <c r="B1261">
        <v>2025</v>
      </c>
      <c r="C1261">
        <v>40</v>
      </c>
      <c r="D1261" t="s">
        <v>193</v>
      </c>
      <c r="E1261" s="75">
        <v>45924</v>
      </c>
      <c r="F1261" s="75">
        <v>45930</v>
      </c>
    </row>
    <row r="1262" spans="1:6" x14ac:dyDescent="0.35">
      <c r="A1262">
        <v>5516</v>
      </c>
      <c r="B1262">
        <v>2025</v>
      </c>
      <c r="C1262">
        <v>40</v>
      </c>
      <c r="D1262" t="s">
        <v>193</v>
      </c>
      <c r="E1262" s="75">
        <v>45924</v>
      </c>
      <c r="F1262" s="75">
        <v>45930</v>
      </c>
    </row>
    <row r="1263" spans="1:6" x14ac:dyDescent="0.35">
      <c r="A1263">
        <v>5517</v>
      </c>
      <c r="B1263">
        <v>2025</v>
      </c>
      <c r="C1263">
        <v>40</v>
      </c>
      <c r="D1263" t="s">
        <v>193</v>
      </c>
      <c r="E1263" s="75">
        <v>45924</v>
      </c>
      <c r="F1263" s="75">
        <v>45930</v>
      </c>
    </row>
    <row r="1264" spans="1:6" x14ac:dyDescent="0.35">
      <c r="A1264">
        <v>5518</v>
      </c>
      <c r="B1264">
        <v>2025</v>
      </c>
      <c r="C1264">
        <v>40</v>
      </c>
      <c r="D1264" t="s">
        <v>193</v>
      </c>
      <c r="E1264" s="75">
        <v>45924</v>
      </c>
      <c r="F1264" s="75">
        <v>45930</v>
      </c>
    </row>
    <row r="1265" spans="1:6" x14ac:dyDescent="0.35">
      <c r="A1265">
        <v>5519</v>
      </c>
      <c r="B1265">
        <v>2025</v>
      </c>
      <c r="C1265">
        <v>40</v>
      </c>
      <c r="D1265" t="s">
        <v>193</v>
      </c>
      <c r="E1265" s="75">
        <v>45924</v>
      </c>
      <c r="F1265" s="75">
        <v>45930</v>
      </c>
    </row>
    <row r="1266" spans="1:6" x14ac:dyDescent="0.35">
      <c r="A1266">
        <v>5520</v>
      </c>
      <c r="B1266">
        <v>2025</v>
      </c>
      <c r="C1266">
        <v>40</v>
      </c>
      <c r="D1266" t="s">
        <v>193</v>
      </c>
      <c r="E1266" s="75">
        <v>45924</v>
      </c>
      <c r="F1266" s="75">
        <v>45930</v>
      </c>
    </row>
    <row r="1267" spans="1:6" x14ac:dyDescent="0.35">
      <c r="A1267">
        <v>5521</v>
      </c>
      <c r="B1267">
        <v>2025</v>
      </c>
      <c r="C1267">
        <v>40</v>
      </c>
      <c r="D1267" t="s">
        <v>193</v>
      </c>
      <c r="E1267" s="75">
        <v>45924</v>
      </c>
      <c r="F1267" s="75">
        <v>45930</v>
      </c>
    </row>
    <row r="1268" spans="1:6" x14ac:dyDescent="0.35">
      <c r="A1268">
        <v>5522</v>
      </c>
      <c r="B1268">
        <v>2025</v>
      </c>
      <c r="C1268">
        <v>40</v>
      </c>
      <c r="D1268" t="s">
        <v>193</v>
      </c>
      <c r="E1268" s="75">
        <v>45924</v>
      </c>
      <c r="F1268" s="75">
        <v>45930</v>
      </c>
    </row>
    <row r="1269" spans="1:6" x14ac:dyDescent="0.35">
      <c r="A1269">
        <v>5523</v>
      </c>
      <c r="B1269">
        <v>2025</v>
      </c>
      <c r="C1269">
        <v>40</v>
      </c>
      <c r="D1269" t="s">
        <v>193</v>
      </c>
      <c r="E1269" s="75">
        <v>45924</v>
      </c>
      <c r="F1269" s="75">
        <v>45930</v>
      </c>
    </row>
    <row r="1270" spans="1:6" x14ac:dyDescent="0.35">
      <c r="A1270">
        <v>5524</v>
      </c>
      <c r="B1270">
        <v>2025</v>
      </c>
      <c r="C1270">
        <v>40</v>
      </c>
      <c r="D1270" t="s">
        <v>193</v>
      </c>
      <c r="E1270" s="75">
        <v>45924</v>
      </c>
      <c r="F1270" s="75">
        <v>45930</v>
      </c>
    </row>
    <row r="1271" spans="1:6" x14ac:dyDescent="0.35">
      <c r="A1271">
        <v>5525</v>
      </c>
      <c r="B1271">
        <v>2025</v>
      </c>
      <c r="C1271">
        <v>40</v>
      </c>
      <c r="D1271" t="s">
        <v>193</v>
      </c>
      <c r="E1271" s="75">
        <v>45924</v>
      </c>
      <c r="F1271" s="75">
        <v>45930</v>
      </c>
    </row>
    <row r="1272" spans="1:6" x14ac:dyDescent="0.35">
      <c r="A1272">
        <v>5526</v>
      </c>
      <c r="B1272">
        <v>2025</v>
      </c>
      <c r="C1272">
        <v>41</v>
      </c>
      <c r="D1272" t="s">
        <v>194</v>
      </c>
      <c r="E1272" s="75">
        <v>45931</v>
      </c>
      <c r="F1272" s="75">
        <v>45937</v>
      </c>
    </row>
    <row r="1273" spans="1:6" x14ac:dyDescent="0.35">
      <c r="A1273">
        <v>5527</v>
      </c>
      <c r="B1273">
        <v>2025</v>
      </c>
      <c r="C1273">
        <v>41</v>
      </c>
      <c r="D1273" t="s">
        <v>194</v>
      </c>
      <c r="E1273" s="75">
        <v>45931</v>
      </c>
      <c r="F1273" s="75">
        <v>45937</v>
      </c>
    </row>
    <row r="1274" spans="1:6" x14ac:dyDescent="0.35">
      <c r="A1274">
        <v>5528</v>
      </c>
      <c r="B1274">
        <v>2025</v>
      </c>
      <c r="C1274">
        <v>41</v>
      </c>
      <c r="D1274" t="s">
        <v>194</v>
      </c>
      <c r="E1274" s="75">
        <v>45931</v>
      </c>
      <c r="F1274" s="75">
        <v>45937</v>
      </c>
    </row>
    <row r="1275" spans="1:6" x14ac:dyDescent="0.35">
      <c r="A1275">
        <v>5529</v>
      </c>
      <c r="B1275">
        <v>2025</v>
      </c>
      <c r="C1275">
        <v>41</v>
      </c>
      <c r="D1275" t="s">
        <v>194</v>
      </c>
      <c r="E1275" s="75">
        <v>45931</v>
      </c>
      <c r="F1275" s="75">
        <v>45937</v>
      </c>
    </row>
    <row r="1276" spans="1:6" x14ac:dyDescent="0.35">
      <c r="A1276">
        <v>5530</v>
      </c>
      <c r="B1276">
        <v>2025</v>
      </c>
      <c r="C1276">
        <v>41</v>
      </c>
      <c r="D1276" t="s">
        <v>194</v>
      </c>
      <c r="E1276" s="75">
        <v>45931</v>
      </c>
      <c r="F1276" s="75">
        <v>45937</v>
      </c>
    </row>
    <row r="1277" spans="1:6" x14ac:dyDescent="0.35">
      <c r="A1277">
        <v>5531</v>
      </c>
      <c r="B1277">
        <v>2025</v>
      </c>
      <c r="C1277">
        <v>41</v>
      </c>
      <c r="D1277" t="s">
        <v>194</v>
      </c>
      <c r="E1277" s="75">
        <v>45931</v>
      </c>
      <c r="F1277" s="75">
        <v>45937</v>
      </c>
    </row>
    <row r="1278" spans="1:6" x14ac:dyDescent="0.35">
      <c r="A1278">
        <v>5532</v>
      </c>
      <c r="B1278">
        <v>2025</v>
      </c>
      <c r="C1278">
        <v>41</v>
      </c>
      <c r="D1278" t="s">
        <v>194</v>
      </c>
      <c r="E1278" s="75">
        <v>45931</v>
      </c>
      <c r="F1278" s="75">
        <v>45937</v>
      </c>
    </row>
    <row r="1279" spans="1:6" x14ac:dyDescent="0.35">
      <c r="A1279">
        <v>5533</v>
      </c>
      <c r="B1279">
        <v>2025</v>
      </c>
      <c r="C1279">
        <v>41</v>
      </c>
      <c r="D1279" t="s">
        <v>194</v>
      </c>
      <c r="E1279" s="75">
        <v>45931</v>
      </c>
      <c r="F1279" s="75">
        <v>45937</v>
      </c>
    </row>
    <row r="1280" spans="1:6" x14ac:dyDescent="0.35">
      <c r="A1280">
        <v>5534</v>
      </c>
      <c r="B1280">
        <v>2025</v>
      </c>
      <c r="C1280">
        <v>41</v>
      </c>
      <c r="D1280" t="s">
        <v>194</v>
      </c>
      <c r="E1280" s="75">
        <v>45931</v>
      </c>
      <c r="F1280" s="75">
        <v>45937</v>
      </c>
    </row>
    <row r="1281" spans="1:6" x14ac:dyDescent="0.35">
      <c r="A1281">
        <v>5535</v>
      </c>
      <c r="B1281">
        <v>2025</v>
      </c>
      <c r="C1281">
        <v>41</v>
      </c>
      <c r="D1281" t="s">
        <v>194</v>
      </c>
      <c r="E1281" s="75">
        <v>45931</v>
      </c>
      <c r="F1281" s="75">
        <v>45937</v>
      </c>
    </row>
    <row r="1282" spans="1:6" x14ac:dyDescent="0.35">
      <c r="A1282">
        <v>5536</v>
      </c>
      <c r="B1282">
        <v>2025</v>
      </c>
      <c r="C1282">
        <v>42</v>
      </c>
      <c r="D1282" t="s">
        <v>195</v>
      </c>
      <c r="E1282" s="75">
        <v>45938</v>
      </c>
      <c r="F1282" s="75">
        <v>45944</v>
      </c>
    </row>
    <row r="1283" spans="1:6" x14ac:dyDescent="0.35">
      <c r="A1283">
        <v>5537</v>
      </c>
      <c r="B1283">
        <v>2025</v>
      </c>
      <c r="C1283">
        <v>42</v>
      </c>
      <c r="D1283" t="s">
        <v>195</v>
      </c>
      <c r="E1283" s="75">
        <v>45938</v>
      </c>
      <c r="F1283" s="75">
        <v>45944</v>
      </c>
    </row>
    <row r="1284" spans="1:6" x14ac:dyDescent="0.35">
      <c r="A1284">
        <v>5538</v>
      </c>
      <c r="B1284">
        <v>2025</v>
      </c>
      <c r="C1284">
        <v>42</v>
      </c>
      <c r="D1284" t="s">
        <v>195</v>
      </c>
      <c r="E1284" s="75">
        <v>45938</v>
      </c>
      <c r="F1284" s="75">
        <v>45944</v>
      </c>
    </row>
    <row r="1285" spans="1:6" x14ac:dyDescent="0.35">
      <c r="A1285">
        <v>5539</v>
      </c>
      <c r="B1285">
        <v>2025</v>
      </c>
      <c r="C1285">
        <v>42</v>
      </c>
      <c r="D1285" t="s">
        <v>195</v>
      </c>
      <c r="E1285" s="75">
        <v>45938</v>
      </c>
      <c r="F1285" s="75">
        <v>45944</v>
      </c>
    </row>
    <row r="1286" spans="1:6" x14ac:dyDescent="0.35">
      <c r="A1286">
        <v>5540</v>
      </c>
      <c r="B1286">
        <v>2025</v>
      </c>
      <c r="C1286">
        <v>42</v>
      </c>
      <c r="D1286" t="s">
        <v>195</v>
      </c>
      <c r="E1286" s="75">
        <v>45938</v>
      </c>
      <c r="F1286" s="75">
        <v>45944</v>
      </c>
    </row>
    <row r="1287" spans="1:6" x14ac:dyDescent="0.35">
      <c r="A1287">
        <v>5541</v>
      </c>
      <c r="B1287">
        <v>2025</v>
      </c>
      <c r="C1287">
        <v>42</v>
      </c>
      <c r="D1287" t="s">
        <v>195</v>
      </c>
      <c r="E1287" s="75">
        <v>45938</v>
      </c>
      <c r="F1287" s="75">
        <v>45944</v>
      </c>
    </row>
    <row r="1288" spans="1:6" x14ac:dyDescent="0.35">
      <c r="A1288">
        <v>5542</v>
      </c>
      <c r="B1288">
        <v>2025</v>
      </c>
      <c r="C1288">
        <v>42</v>
      </c>
      <c r="D1288" t="s">
        <v>195</v>
      </c>
      <c r="E1288" s="75">
        <v>45938</v>
      </c>
      <c r="F1288" s="75">
        <v>45944</v>
      </c>
    </row>
    <row r="1289" spans="1:6" x14ac:dyDescent="0.35">
      <c r="A1289">
        <v>5543</v>
      </c>
      <c r="B1289">
        <v>2025</v>
      </c>
      <c r="C1289">
        <v>42</v>
      </c>
      <c r="D1289" t="s">
        <v>195</v>
      </c>
      <c r="E1289" s="75">
        <v>45938</v>
      </c>
      <c r="F1289" s="75">
        <v>45944</v>
      </c>
    </row>
    <row r="1290" spans="1:6" x14ac:dyDescent="0.35">
      <c r="A1290">
        <v>5544</v>
      </c>
      <c r="B1290">
        <v>2025</v>
      </c>
      <c r="C1290">
        <v>42</v>
      </c>
      <c r="D1290" t="s">
        <v>195</v>
      </c>
      <c r="E1290" s="75">
        <v>45938</v>
      </c>
      <c r="F1290" s="75">
        <v>45944</v>
      </c>
    </row>
    <row r="1291" spans="1:6" x14ac:dyDescent="0.35">
      <c r="A1291">
        <v>5545</v>
      </c>
      <c r="B1291">
        <v>2025</v>
      </c>
      <c r="C1291">
        <v>42</v>
      </c>
      <c r="D1291" t="s">
        <v>195</v>
      </c>
      <c r="E1291" s="75">
        <v>45938</v>
      </c>
      <c r="F1291" s="75">
        <v>45944</v>
      </c>
    </row>
    <row r="1292" spans="1:6" x14ac:dyDescent="0.35">
      <c r="A1292">
        <v>5546</v>
      </c>
      <c r="B1292">
        <v>2025</v>
      </c>
      <c r="C1292">
        <v>42</v>
      </c>
      <c r="D1292" t="s">
        <v>195</v>
      </c>
      <c r="E1292" s="75">
        <v>45938</v>
      </c>
      <c r="F1292" s="75">
        <v>45944</v>
      </c>
    </row>
    <row r="1293" spans="1:6" x14ac:dyDescent="0.35">
      <c r="A1293">
        <v>5547</v>
      </c>
      <c r="B1293">
        <v>2025</v>
      </c>
      <c r="C1293">
        <v>42</v>
      </c>
      <c r="D1293" t="s">
        <v>195</v>
      </c>
      <c r="E1293" s="75">
        <v>45938</v>
      </c>
      <c r="F1293" s="75">
        <v>45944</v>
      </c>
    </row>
    <row r="1294" spans="1:6" x14ac:dyDescent="0.35">
      <c r="A1294">
        <v>5548</v>
      </c>
      <c r="B1294">
        <v>2025</v>
      </c>
      <c r="C1294">
        <v>42</v>
      </c>
      <c r="D1294" t="s">
        <v>195</v>
      </c>
      <c r="E1294" s="75">
        <v>45938</v>
      </c>
      <c r="F1294" s="75">
        <v>45944</v>
      </c>
    </row>
    <row r="1295" spans="1:6" x14ac:dyDescent="0.35">
      <c r="A1295">
        <v>5549</v>
      </c>
      <c r="B1295">
        <v>2025</v>
      </c>
      <c r="C1295">
        <v>42</v>
      </c>
      <c r="D1295" t="s">
        <v>195</v>
      </c>
      <c r="E1295" s="75">
        <v>45938</v>
      </c>
      <c r="F1295" s="75">
        <v>45944</v>
      </c>
    </row>
    <row r="1296" spans="1:6" x14ac:dyDescent="0.35">
      <c r="A1296">
        <v>5550</v>
      </c>
      <c r="B1296">
        <v>2025</v>
      </c>
      <c r="C1296">
        <v>42</v>
      </c>
      <c r="D1296" t="s">
        <v>195</v>
      </c>
      <c r="E1296" s="75">
        <v>45938</v>
      </c>
      <c r="F1296" s="75">
        <v>45944</v>
      </c>
    </row>
    <row r="1297" spans="1:6" x14ac:dyDescent="0.35">
      <c r="A1297">
        <v>5551</v>
      </c>
      <c r="B1297">
        <v>2025</v>
      </c>
      <c r="C1297">
        <v>42</v>
      </c>
      <c r="D1297" t="s">
        <v>195</v>
      </c>
      <c r="E1297" s="75">
        <v>45938</v>
      </c>
      <c r="F1297" s="75">
        <v>45944</v>
      </c>
    </row>
    <row r="1298" spans="1:6" x14ac:dyDescent="0.35">
      <c r="A1298">
        <v>5552</v>
      </c>
      <c r="B1298">
        <v>2025</v>
      </c>
      <c r="C1298">
        <v>42</v>
      </c>
      <c r="D1298" t="s">
        <v>195</v>
      </c>
      <c r="E1298" s="75">
        <v>45938</v>
      </c>
      <c r="F1298" s="75">
        <v>45944</v>
      </c>
    </row>
    <row r="1299" spans="1:6" x14ac:dyDescent="0.35">
      <c r="A1299">
        <v>5553</v>
      </c>
      <c r="B1299">
        <v>2025</v>
      </c>
      <c r="C1299">
        <v>42</v>
      </c>
      <c r="D1299" t="s">
        <v>195</v>
      </c>
      <c r="E1299" s="75">
        <v>45938</v>
      </c>
      <c r="F1299" s="75">
        <v>45944</v>
      </c>
    </row>
    <row r="1300" spans="1:6" x14ac:dyDescent="0.35">
      <c r="A1300">
        <v>5554</v>
      </c>
      <c r="B1300">
        <v>2025</v>
      </c>
      <c r="C1300">
        <v>43</v>
      </c>
      <c r="D1300" t="s">
        <v>196</v>
      </c>
      <c r="E1300" s="75">
        <v>45945</v>
      </c>
      <c r="F1300" s="75">
        <v>45951</v>
      </c>
    </row>
    <row r="1301" spans="1:6" x14ac:dyDescent="0.35">
      <c r="A1301">
        <v>5555</v>
      </c>
      <c r="B1301">
        <v>2025</v>
      </c>
      <c r="C1301">
        <v>43</v>
      </c>
      <c r="D1301" t="s">
        <v>196</v>
      </c>
      <c r="E1301" s="75">
        <v>45945</v>
      </c>
      <c r="F1301" s="75">
        <v>45951</v>
      </c>
    </row>
    <row r="1302" spans="1:6" x14ac:dyDescent="0.35">
      <c r="A1302">
        <v>5556</v>
      </c>
      <c r="B1302">
        <v>2025</v>
      </c>
      <c r="C1302">
        <v>43</v>
      </c>
      <c r="D1302" t="s">
        <v>196</v>
      </c>
      <c r="E1302" s="75">
        <v>45945</v>
      </c>
      <c r="F1302" s="75">
        <v>45951</v>
      </c>
    </row>
    <row r="1303" spans="1:6" x14ac:dyDescent="0.35">
      <c r="A1303">
        <v>5557</v>
      </c>
      <c r="B1303">
        <v>2025</v>
      </c>
      <c r="C1303">
        <v>43</v>
      </c>
      <c r="D1303" t="s">
        <v>196</v>
      </c>
      <c r="E1303" s="75">
        <v>45945</v>
      </c>
      <c r="F1303" s="75">
        <v>45951</v>
      </c>
    </row>
    <row r="1304" spans="1:6" x14ac:dyDescent="0.35">
      <c r="A1304">
        <v>5558</v>
      </c>
      <c r="B1304">
        <v>2025</v>
      </c>
      <c r="C1304">
        <v>43</v>
      </c>
      <c r="D1304" t="s">
        <v>196</v>
      </c>
      <c r="E1304" s="75">
        <v>45945</v>
      </c>
      <c r="F1304" s="75">
        <v>45951</v>
      </c>
    </row>
    <row r="1305" spans="1:6" x14ac:dyDescent="0.35">
      <c r="A1305">
        <v>5559</v>
      </c>
      <c r="B1305">
        <v>2025</v>
      </c>
      <c r="C1305">
        <v>43</v>
      </c>
      <c r="D1305" t="s">
        <v>196</v>
      </c>
      <c r="E1305" s="75">
        <v>45945</v>
      </c>
      <c r="F1305" s="75">
        <v>45951</v>
      </c>
    </row>
    <row r="1306" spans="1:6" x14ac:dyDescent="0.35">
      <c r="A1306">
        <v>5560</v>
      </c>
      <c r="B1306">
        <v>2025</v>
      </c>
      <c r="C1306">
        <v>43</v>
      </c>
      <c r="D1306" t="s">
        <v>196</v>
      </c>
      <c r="E1306" s="75">
        <v>45945</v>
      </c>
      <c r="F1306" s="75">
        <v>45951</v>
      </c>
    </row>
    <row r="1307" spans="1:6" x14ac:dyDescent="0.35">
      <c r="A1307">
        <v>5561</v>
      </c>
      <c r="B1307">
        <v>2025</v>
      </c>
      <c r="C1307">
        <v>43</v>
      </c>
      <c r="D1307" t="s">
        <v>196</v>
      </c>
      <c r="E1307" s="75">
        <v>45945</v>
      </c>
      <c r="F1307" s="75">
        <v>45951</v>
      </c>
    </row>
    <row r="1308" spans="1:6" x14ac:dyDescent="0.35">
      <c r="A1308">
        <v>5562</v>
      </c>
      <c r="B1308">
        <v>2025</v>
      </c>
      <c r="C1308">
        <v>43</v>
      </c>
      <c r="D1308" t="s">
        <v>196</v>
      </c>
      <c r="E1308" s="75">
        <v>45945</v>
      </c>
      <c r="F1308" s="75">
        <v>45951</v>
      </c>
    </row>
    <row r="1309" spans="1:6" x14ac:dyDescent="0.35">
      <c r="A1309">
        <v>5563</v>
      </c>
      <c r="B1309">
        <v>2025</v>
      </c>
      <c r="C1309">
        <v>43</v>
      </c>
      <c r="D1309" t="s">
        <v>196</v>
      </c>
      <c r="E1309" s="75">
        <v>45945</v>
      </c>
      <c r="F1309" s="75">
        <v>45951</v>
      </c>
    </row>
    <row r="1310" spans="1:6" x14ac:dyDescent="0.35">
      <c r="A1310">
        <v>5564</v>
      </c>
      <c r="B1310">
        <v>2025</v>
      </c>
      <c r="C1310">
        <v>43</v>
      </c>
      <c r="D1310" t="s">
        <v>196</v>
      </c>
      <c r="E1310" s="75">
        <v>45945</v>
      </c>
      <c r="F1310" s="75">
        <v>45951</v>
      </c>
    </row>
    <row r="1311" spans="1:6" x14ac:dyDescent="0.35">
      <c r="A1311">
        <v>5565</v>
      </c>
      <c r="B1311">
        <v>2025</v>
      </c>
      <c r="C1311">
        <v>43</v>
      </c>
      <c r="D1311" t="s">
        <v>196</v>
      </c>
      <c r="E1311" s="75">
        <v>45945</v>
      </c>
      <c r="F1311" s="75">
        <v>45951</v>
      </c>
    </row>
    <row r="1312" spans="1:6" x14ac:dyDescent="0.35">
      <c r="A1312">
        <v>5566</v>
      </c>
      <c r="B1312">
        <v>2025</v>
      </c>
      <c r="C1312">
        <v>43</v>
      </c>
      <c r="D1312" t="s">
        <v>196</v>
      </c>
      <c r="E1312" s="75">
        <v>45945</v>
      </c>
      <c r="F1312" s="75">
        <v>45951</v>
      </c>
    </row>
    <row r="1313" spans="1:6" x14ac:dyDescent="0.35">
      <c r="A1313">
        <v>5567</v>
      </c>
      <c r="B1313">
        <v>2025</v>
      </c>
      <c r="C1313">
        <v>43</v>
      </c>
      <c r="D1313" t="s">
        <v>196</v>
      </c>
      <c r="E1313" s="75">
        <v>45945</v>
      </c>
      <c r="F1313" s="75">
        <v>45951</v>
      </c>
    </row>
    <row r="1314" spans="1:6" x14ac:dyDescent="0.35">
      <c r="A1314">
        <v>5568</v>
      </c>
      <c r="B1314">
        <v>2025</v>
      </c>
      <c r="C1314">
        <v>43</v>
      </c>
      <c r="D1314" t="s">
        <v>196</v>
      </c>
      <c r="E1314" s="75">
        <v>45945</v>
      </c>
      <c r="F1314" s="75">
        <v>45951</v>
      </c>
    </row>
    <row r="1315" spans="1:6" x14ac:dyDescent="0.35">
      <c r="A1315">
        <v>5569</v>
      </c>
      <c r="B1315">
        <v>2025</v>
      </c>
      <c r="C1315">
        <v>43</v>
      </c>
      <c r="D1315" t="s">
        <v>196</v>
      </c>
      <c r="E1315" s="75">
        <v>45945</v>
      </c>
      <c r="F1315" s="75">
        <v>45951</v>
      </c>
    </row>
    <row r="1316" spans="1:6" x14ac:dyDescent="0.35">
      <c r="A1316">
        <v>5570</v>
      </c>
      <c r="B1316">
        <v>2025</v>
      </c>
      <c r="C1316">
        <v>43</v>
      </c>
      <c r="D1316" t="s">
        <v>196</v>
      </c>
      <c r="E1316" s="75">
        <v>45945</v>
      </c>
      <c r="F1316" s="75">
        <v>45951</v>
      </c>
    </row>
    <row r="1317" spans="1:6" x14ac:dyDescent="0.35">
      <c r="A1317">
        <v>5571</v>
      </c>
      <c r="B1317">
        <v>2025</v>
      </c>
      <c r="C1317">
        <v>43</v>
      </c>
      <c r="D1317" t="s">
        <v>196</v>
      </c>
      <c r="E1317" s="75">
        <v>45945</v>
      </c>
      <c r="F1317" s="75">
        <v>45951</v>
      </c>
    </row>
    <row r="1318" spans="1:6" x14ac:dyDescent="0.35">
      <c r="A1318">
        <v>5572</v>
      </c>
      <c r="B1318">
        <v>2025</v>
      </c>
      <c r="C1318">
        <v>43</v>
      </c>
      <c r="D1318" t="s">
        <v>196</v>
      </c>
      <c r="E1318" s="75">
        <v>45945</v>
      </c>
      <c r="F1318" s="75">
        <v>45951</v>
      </c>
    </row>
    <row r="1319" spans="1:6" x14ac:dyDescent="0.35">
      <c r="A1319">
        <v>5573</v>
      </c>
      <c r="B1319">
        <v>2025</v>
      </c>
      <c r="C1319">
        <v>44</v>
      </c>
      <c r="D1319" t="s">
        <v>197</v>
      </c>
      <c r="E1319" s="75">
        <v>45952</v>
      </c>
      <c r="F1319" s="75">
        <v>45958</v>
      </c>
    </row>
    <row r="1320" spans="1:6" x14ac:dyDescent="0.35">
      <c r="A1320">
        <v>5574</v>
      </c>
      <c r="B1320">
        <v>2025</v>
      </c>
      <c r="C1320">
        <v>44</v>
      </c>
      <c r="D1320" t="s">
        <v>197</v>
      </c>
      <c r="E1320" s="75">
        <v>45952</v>
      </c>
      <c r="F1320" s="75">
        <v>45958</v>
      </c>
    </row>
    <row r="1321" spans="1:6" x14ac:dyDescent="0.35">
      <c r="A1321">
        <v>5575</v>
      </c>
      <c r="B1321">
        <v>2025</v>
      </c>
      <c r="C1321">
        <v>44</v>
      </c>
      <c r="D1321" t="s">
        <v>197</v>
      </c>
      <c r="E1321" s="75">
        <v>45952</v>
      </c>
      <c r="F1321" s="75">
        <v>45958</v>
      </c>
    </row>
    <row r="1322" spans="1:6" x14ac:dyDescent="0.35">
      <c r="A1322">
        <v>5576</v>
      </c>
      <c r="B1322">
        <v>2025</v>
      </c>
      <c r="C1322">
        <v>44</v>
      </c>
      <c r="D1322" t="s">
        <v>197</v>
      </c>
      <c r="E1322" s="75">
        <v>45952</v>
      </c>
      <c r="F1322" s="75">
        <v>45958</v>
      </c>
    </row>
    <row r="1323" spans="1:6" x14ac:dyDescent="0.35">
      <c r="A1323">
        <v>5577</v>
      </c>
      <c r="B1323">
        <v>2025</v>
      </c>
      <c r="C1323">
        <v>44</v>
      </c>
      <c r="D1323" t="s">
        <v>197</v>
      </c>
      <c r="E1323" s="75">
        <v>45952</v>
      </c>
      <c r="F1323" s="75">
        <v>45958</v>
      </c>
    </row>
    <row r="1324" spans="1:6" x14ac:dyDescent="0.35">
      <c r="A1324">
        <v>5578</v>
      </c>
      <c r="B1324">
        <v>2025</v>
      </c>
      <c r="C1324">
        <v>44</v>
      </c>
      <c r="D1324" t="s">
        <v>197</v>
      </c>
      <c r="E1324" s="75">
        <v>45952</v>
      </c>
      <c r="F1324" s="75">
        <v>45958</v>
      </c>
    </row>
    <row r="1325" spans="1:6" x14ac:dyDescent="0.35">
      <c r="A1325">
        <v>5579</v>
      </c>
      <c r="B1325">
        <v>2025</v>
      </c>
      <c r="C1325">
        <v>44</v>
      </c>
      <c r="D1325" t="s">
        <v>197</v>
      </c>
      <c r="E1325" s="75">
        <v>45952</v>
      </c>
      <c r="F1325" s="75">
        <v>45958</v>
      </c>
    </row>
    <row r="1326" spans="1:6" x14ac:dyDescent="0.35">
      <c r="A1326">
        <v>5580</v>
      </c>
      <c r="B1326">
        <v>2025</v>
      </c>
      <c r="C1326">
        <v>44</v>
      </c>
      <c r="D1326" t="s">
        <v>197</v>
      </c>
      <c r="E1326" s="75">
        <v>45952</v>
      </c>
      <c r="F1326" s="75">
        <v>45958</v>
      </c>
    </row>
    <row r="1327" spans="1:6" x14ac:dyDescent="0.35">
      <c r="A1327">
        <v>5581</v>
      </c>
      <c r="B1327">
        <v>2025</v>
      </c>
      <c r="C1327">
        <v>44</v>
      </c>
      <c r="D1327" t="s">
        <v>197</v>
      </c>
      <c r="E1327" s="75">
        <v>45952</v>
      </c>
      <c r="F1327" s="75">
        <v>45958</v>
      </c>
    </row>
    <row r="1328" spans="1:6" x14ac:dyDescent="0.35">
      <c r="A1328">
        <v>5582</v>
      </c>
      <c r="B1328">
        <v>2025</v>
      </c>
      <c r="C1328">
        <v>44</v>
      </c>
      <c r="D1328" t="s">
        <v>197</v>
      </c>
      <c r="E1328" s="75">
        <v>45952</v>
      </c>
      <c r="F1328" s="75">
        <v>45958</v>
      </c>
    </row>
    <row r="1329" spans="1:6" x14ac:dyDescent="0.35">
      <c r="A1329">
        <v>5583</v>
      </c>
      <c r="B1329">
        <v>2025</v>
      </c>
      <c r="C1329">
        <v>44</v>
      </c>
      <c r="D1329" t="s">
        <v>197</v>
      </c>
      <c r="E1329" s="75">
        <v>45952</v>
      </c>
      <c r="F1329" s="75">
        <v>45958</v>
      </c>
    </row>
    <row r="1330" spans="1:6" x14ac:dyDescent="0.35">
      <c r="A1330">
        <v>5584</v>
      </c>
      <c r="B1330">
        <v>2025</v>
      </c>
      <c r="C1330">
        <v>44</v>
      </c>
      <c r="D1330" t="s">
        <v>197</v>
      </c>
      <c r="E1330" s="75">
        <v>45952</v>
      </c>
      <c r="F1330" s="75">
        <v>45958</v>
      </c>
    </row>
    <row r="1331" spans="1:6" x14ac:dyDescent="0.35">
      <c r="A1331">
        <v>5585</v>
      </c>
      <c r="B1331">
        <v>2025</v>
      </c>
      <c r="C1331">
        <v>44</v>
      </c>
      <c r="D1331" t="s">
        <v>197</v>
      </c>
      <c r="E1331" s="75">
        <v>45952</v>
      </c>
      <c r="F1331" s="75">
        <v>45958</v>
      </c>
    </row>
    <row r="1332" spans="1:6" x14ac:dyDescent="0.35">
      <c r="A1332">
        <v>5586</v>
      </c>
      <c r="B1332">
        <v>2025</v>
      </c>
      <c r="C1332">
        <v>44</v>
      </c>
      <c r="D1332" t="s">
        <v>197</v>
      </c>
      <c r="E1332" s="75">
        <v>45952</v>
      </c>
      <c r="F1332" s="75">
        <v>45958</v>
      </c>
    </row>
    <row r="1333" spans="1:6" x14ac:dyDescent="0.35">
      <c r="A1333">
        <v>5587</v>
      </c>
      <c r="B1333">
        <v>2025</v>
      </c>
      <c r="C1333">
        <v>44</v>
      </c>
      <c r="D1333" t="s">
        <v>197</v>
      </c>
      <c r="E1333" s="75">
        <v>45952</v>
      </c>
      <c r="F1333" s="75">
        <v>45958</v>
      </c>
    </row>
    <row r="1334" spans="1:6" x14ac:dyDescent="0.35">
      <c r="A1334">
        <v>5588</v>
      </c>
      <c r="B1334">
        <v>2025</v>
      </c>
      <c r="C1334">
        <v>44</v>
      </c>
      <c r="D1334" t="s">
        <v>197</v>
      </c>
      <c r="E1334" s="75">
        <v>45952</v>
      </c>
      <c r="F1334" s="75">
        <v>45958</v>
      </c>
    </row>
    <row r="1335" spans="1:6" x14ac:dyDescent="0.35">
      <c r="A1335">
        <v>5589</v>
      </c>
      <c r="B1335">
        <v>2025</v>
      </c>
      <c r="C1335">
        <v>44</v>
      </c>
      <c r="D1335" t="s">
        <v>197</v>
      </c>
      <c r="E1335" s="75">
        <v>45952</v>
      </c>
      <c r="F1335" s="75">
        <v>45958</v>
      </c>
    </row>
    <row r="1336" spans="1:6" x14ac:dyDescent="0.35">
      <c r="A1336">
        <v>5590</v>
      </c>
      <c r="B1336">
        <v>2025</v>
      </c>
      <c r="C1336">
        <v>45</v>
      </c>
      <c r="D1336" t="s">
        <v>198</v>
      </c>
      <c r="E1336" s="75">
        <v>45959</v>
      </c>
      <c r="F1336" s="75">
        <v>45965</v>
      </c>
    </row>
    <row r="1337" spans="1:6" x14ac:dyDescent="0.35">
      <c r="A1337">
        <v>5591</v>
      </c>
      <c r="B1337">
        <v>2025</v>
      </c>
      <c r="C1337">
        <v>45</v>
      </c>
      <c r="D1337" t="s">
        <v>198</v>
      </c>
      <c r="E1337" s="75">
        <v>45959</v>
      </c>
      <c r="F1337" s="75">
        <v>45965</v>
      </c>
    </row>
    <row r="1338" spans="1:6" x14ac:dyDescent="0.35">
      <c r="A1338">
        <v>5592</v>
      </c>
      <c r="B1338">
        <v>2025</v>
      </c>
      <c r="C1338">
        <v>45</v>
      </c>
      <c r="D1338" t="s">
        <v>198</v>
      </c>
      <c r="E1338" s="75">
        <v>45959</v>
      </c>
      <c r="F1338" s="75">
        <v>45965</v>
      </c>
    </row>
    <row r="1339" spans="1:6" x14ac:dyDescent="0.35">
      <c r="A1339">
        <v>5593</v>
      </c>
      <c r="B1339">
        <v>2025</v>
      </c>
      <c r="C1339">
        <v>45</v>
      </c>
      <c r="D1339" t="s">
        <v>198</v>
      </c>
      <c r="E1339" s="75">
        <v>45959</v>
      </c>
      <c r="F1339" s="75">
        <v>45965</v>
      </c>
    </row>
    <row r="1340" spans="1:6" x14ac:dyDescent="0.35">
      <c r="A1340">
        <v>5594</v>
      </c>
      <c r="B1340">
        <v>2025</v>
      </c>
      <c r="C1340">
        <v>45</v>
      </c>
      <c r="D1340" t="s">
        <v>198</v>
      </c>
      <c r="E1340" s="75">
        <v>45959</v>
      </c>
      <c r="F1340" s="75">
        <v>45965</v>
      </c>
    </row>
    <row r="1341" spans="1:6" x14ac:dyDescent="0.35">
      <c r="A1341">
        <v>5595</v>
      </c>
      <c r="B1341">
        <v>2025</v>
      </c>
      <c r="C1341">
        <v>45</v>
      </c>
      <c r="D1341" t="s">
        <v>198</v>
      </c>
      <c r="E1341" s="75">
        <v>45959</v>
      </c>
      <c r="F1341" s="75">
        <v>45965</v>
      </c>
    </row>
    <row r="1342" spans="1:6" x14ac:dyDescent="0.35">
      <c r="A1342">
        <v>5596</v>
      </c>
      <c r="B1342">
        <v>2025</v>
      </c>
      <c r="C1342">
        <v>45</v>
      </c>
      <c r="D1342" t="s">
        <v>198</v>
      </c>
      <c r="E1342" s="75">
        <v>45959</v>
      </c>
      <c r="F1342" s="75">
        <v>45965</v>
      </c>
    </row>
    <row r="1343" spans="1:6" x14ac:dyDescent="0.35">
      <c r="A1343">
        <v>5597</v>
      </c>
      <c r="B1343">
        <v>2025</v>
      </c>
      <c r="C1343">
        <v>45</v>
      </c>
      <c r="D1343" t="s">
        <v>198</v>
      </c>
      <c r="E1343" s="75">
        <v>45959</v>
      </c>
      <c r="F1343" s="75">
        <v>45965</v>
      </c>
    </row>
    <row r="1344" spans="1:6" x14ac:dyDescent="0.35">
      <c r="A1344">
        <v>5598</v>
      </c>
      <c r="B1344">
        <v>2025</v>
      </c>
      <c r="C1344">
        <v>45</v>
      </c>
      <c r="D1344" t="s">
        <v>198</v>
      </c>
      <c r="E1344" s="75">
        <v>45959</v>
      </c>
      <c r="F1344" s="75">
        <v>45965</v>
      </c>
    </row>
    <row r="1345" spans="1:6" x14ac:dyDescent="0.35">
      <c r="A1345">
        <v>5599</v>
      </c>
      <c r="B1345">
        <v>2025</v>
      </c>
      <c r="C1345">
        <v>45</v>
      </c>
      <c r="D1345" t="s">
        <v>198</v>
      </c>
      <c r="E1345" s="75">
        <v>45959</v>
      </c>
      <c r="F1345" s="75">
        <v>45965</v>
      </c>
    </row>
    <row r="1346" spans="1:6" x14ac:dyDescent="0.35">
      <c r="A1346">
        <v>5600</v>
      </c>
      <c r="B1346">
        <v>2025</v>
      </c>
      <c r="C1346">
        <v>45</v>
      </c>
      <c r="D1346" t="s">
        <v>198</v>
      </c>
      <c r="E1346" s="75">
        <v>45959</v>
      </c>
      <c r="F1346" s="75">
        <v>45965</v>
      </c>
    </row>
    <row r="1347" spans="1:6" x14ac:dyDescent="0.35">
      <c r="A1347">
        <v>5601</v>
      </c>
      <c r="B1347">
        <v>2025</v>
      </c>
      <c r="C1347">
        <v>45</v>
      </c>
      <c r="D1347" t="s">
        <v>198</v>
      </c>
      <c r="E1347" s="75">
        <v>45959</v>
      </c>
      <c r="F1347" s="75">
        <v>45965</v>
      </c>
    </row>
    <row r="1348" spans="1:6" x14ac:dyDescent="0.35">
      <c r="A1348">
        <v>5602</v>
      </c>
      <c r="B1348">
        <v>2025</v>
      </c>
      <c r="C1348">
        <v>45</v>
      </c>
      <c r="D1348" t="s">
        <v>198</v>
      </c>
      <c r="E1348" s="75">
        <v>45959</v>
      </c>
      <c r="F1348" s="75">
        <v>45965</v>
      </c>
    </row>
    <row r="1349" spans="1:6" x14ac:dyDescent="0.35">
      <c r="A1349">
        <v>5603</v>
      </c>
      <c r="B1349">
        <v>2025</v>
      </c>
      <c r="C1349">
        <v>45</v>
      </c>
      <c r="D1349" t="s">
        <v>198</v>
      </c>
      <c r="E1349" s="75">
        <v>45959</v>
      </c>
      <c r="F1349" s="75">
        <v>45965</v>
      </c>
    </row>
    <row r="1350" spans="1:6" x14ac:dyDescent="0.35">
      <c r="A1350">
        <v>5604</v>
      </c>
      <c r="B1350">
        <v>2025</v>
      </c>
      <c r="C1350">
        <v>46</v>
      </c>
      <c r="D1350" t="s">
        <v>199</v>
      </c>
      <c r="E1350" s="75">
        <v>45966</v>
      </c>
      <c r="F1350" s="75">
        <v>45972</v>
      </c>
    </row>
    <row r="1351" spans="1:6" x14ac:dyDescent="0.35">
      <c r="A1351">
        <v>5605</v>
      </c>
      <c r="B1351">
        <v>2025</v>
      </c>
      <c r="C1351">
        <v>46</v>
      </c>
      <c r="D1351" t="s">
        <v>199</v>
      </c>
      <c r="E1351" s="75">
        <v>45966</v>
      </c>
      <c r="F1351" s="75">
        <v>45972</v>
      </c>
    </row>
    <row r="1352" spans="1:6" x14ac:dyDescent="0.35">
      <c r="A1352">
        <v>5606</v>
      </c>
      <c r="B1352">
        <v>2025</v>
      </c>
      <c r="C1352">
        <v>46</v>
      </c>
      <c r="D1352" t="s">
        <v>199</v>
      </c>
      <c r="E1352" s="75">
        <v>45966</v>
      </c>
      <c r="F1352" s="75">
        <v>45972</v>
      </c>
    </row>
    <row r="1353" spans="1:6" x14ac:dyDescent="0.35">
      <c r="A1353">
        <v>5607</v>
      </c>
      <c r="B1353">
        <v>2025</v>
      </c>
      <c r="C1353">
        <v>46</v>
      </c>
      <c r="D1353" t="s">
        <v>199</v>
      </c>
      <c r="E1353" s="75">
        <v>45966</v>
      </c>
      <c r="F1353" s="75">
        <v>45972</v>
      </c>
    </row>
    <row r="1354" spans="1:6" x14ac:dyDescent="0.35">
      <c r="A1354">
        <v>5608</v>
      </c>
      <c r="B1354">
        <v>2025</v>
      </c>
      <c r="C1354">
        <v>46</v>
      </c>
      <c r="D1354" t="s">
        <v>199</v>
      </c>
      <c r="E1354" s="75">
        <v>45966</v>
      </c>
      <c r="F1354" s="75">
        <v>45972</v>
      </c>
    </row>
    <row r="1355" spans="1:6" x14ac:dyDescent="0.35">
      <c r="A1355">
        <v>5609</v>
      </c>
      <c r="B1355">
        <v>2025</v>
      </c>
      <c r="C1355">
        <v>46</v>
      </c>
      <c r="D1355" t="s">
        <v>199</v>
      </c>
      <c r="E1355" s="75">
        <v>45966</v>
      </c>
      <c r="F1355" s="75">
        <v>45972</v>
      </c>
    </row>
    <row r="1356" spans="1:6" x14ac:dyDescent="0.35">
      <c r="A1356">
        <v>5610</v>
      </c>
      <c r="B1356">
        <v>2025</v>
      </c>
      <c r="C1356">
        <v>46</v>
      </c>
      <c r="D1356" t="s">
        <v>199</v>
      </c>
      <c r="E1356" s="75">
        <v>45966</v>
      </c>
      <c r="F1356" s="75">
        <v>45972</v>
      </c>
    </row>
    <row r="1357" spans="1:6" x14ac:dyDescent="0.35">
      <c r="A1357">
        <v>5611</v>
      </c>
      <c r="B1357">
        <v>2025</v>
      </c>
      <c r="C1357">
        <v>46</v>
      </c>
      <c r="D1357" t="s">
        <v>199</v>
      </c>
      <c r="E1357" s="75">
        <v>45966</v>
      </c>
      <c r="F1357" s="75">
        <v>45972</v>
      </c>
    </row>
    <row r="1358" spans="1:6" x14ac:dyDescent="0.35">
      <c r="A1358">
        <v>5612</v>
      </c>
      <c r="B1358">
        <v>2025</v>
      </c>
      <c r="C1358">
        <v>46</v>
      </c>
      <c r="D1358" t="s">
        <v>199</v>
      </c>
      <c r="E1358" s="75">
        <v>45966</v>
      </c>
      <c r="F1358" s="75">
        <v>45972</v>
      </c>
    </row>
    <row r="1359" spans="1:6" x14ac:dyDescent="0.35">
      <c r="A1359">
        <v>5613</v>
      </c>
      <c r="B1359">
        <v>2025</v>
      </c>
      <c r="C1359">
        <v>46</v>
      </c>
      <c r="D1359" t="s">
        <v>199</v>
      </c>
      <c r="E1359" s="75">
        <v>45966</v>
      </c>
      <c r="F1359" s="75">
        <v>45972</v>
      </c>
    </row>
    <row r="1360" spans="1:6" x14ac:dyDescent="0.35">
      <c r="A1360">
        <v>5614</v>
      </c>
      <c r="B1360">
        <v>2025</v>
      </c>
      <c r="C1360">
        <v>46</v>
      </c>
      <c r="D1360" t="s">
        <v>199</v>
      </c>
      <c r="E1360" s="75">
        <v>45966</v>
      </c>
      <c r="F1360" s="75">
        <v>45972</v>
      </c>
    </row>
    <row r="1361" spans="1:6" x14ac:dyDescent="0.35">
      <c r="A1361">
        <v>5615</v>
      </c>
      <c r="B1361">
        <v>2025</v>
      </c>
      <c r="C1361">
        <v>46</v>
      </c>
      <c r="D1361" t="s">
        <v>199</v>
      </c>
      <c r="E1361" s="75">
        <v>45966</v>
      </c>
      <c r="F1361" s="75">
        <v>45972</v>
      </c>
    </row>
    <row r="1362" spans="1:6" x14ac:dyDescent="0.35">
      <c r="A1362">
        <v>5616</v>
      </c>
      <c r="B1362">
        <v>2025</v>
      </c>
      <c r="C1362">
        <v>46</v>
      </c>
      <c r="D1362" t="s">
        <v>199</v>
      </c>
      <c r="E1362" s="75">
        <v>45966</v>
      </c>
      <c r="F1362" s="75">
        <v>45972</v>
      </c>
    </row>
    <row r="1363" spans="1:6" x14ac:dyDescent="0.35">
      <c r="A1363">
        <v>5617</v>
      </c>
      <c r="B1363">
        <v>2025</v>
      </c>
      <c r="C1363">
        <v>46</v>
      </c>
      <c r="D1363" t="s">
        <v>199</v>
      </c>
      <c r="E1363" s="75">
        <v>45966</v>
      </c>
      <c r="F1363" s="75">
        <v>45972</v>
      </c>
    </row>
    <row r="1364" spans="1:6" x14ac:dyDescent="0.35">
      <c r="A1364">
        <v>5618</v>
      </c>
      <c r="B1364">
        <v>2025</v>
      </c>
      <c r="C1364">
        <v>46</v>
      </c>
      <c r="D1364" t="s">
        <v>199</v>
      </c>
      <c r="E1364" s="75">
        <v>45966</v>
      </c>
      <c r="F1364" s="75">
        <v>45972</v>
      </c>
    </row>
    <row r="1365" spans="1:6" x14ac:dyDescent="0.35">
      <c r="A1365">
        <v>5619</v>
      </c>
      <c r="B1365">
        <v>2025</v>
      </c>
      <c r="C1365">
        <v>46</v>
      </c>
      <c r="D1365" t="s">
        <v>199</v>
      </c>
      <c r="E1365" s="75">
        <v>45966</v>
      </c>
      <c r="F1365" s="75">
        <v>45972</v>
      </c>
    </row>
    <row r="1366" spans="1:6" x14ac:dyDescent="0.35">
      <c r="A1366">
        <v>5620</v>
      </c>
      <c r="B1366">
        <v>2025</v>
      </c>
      <c r="C1366">
        <v>46</v>
      </c>
      <c r="D1366" t="s">
        <v>199</v>
      </c>
      <c r="E1366" s="75">
        <v>45966</v>
      </c>
      <c r="F1366" s="75">
        <v>45972</v>
      </c>
    </row>
    <row r="1367" spans="1:6" x14ac:dyDescent="0.35">
      <c r="A1367">
        <v>5621</v>
      </c>
      <c r="B1367">
        <v>2025</v>
      </c>
      <c r="C1367">
        <v>46</v>
      </c>
      <c r="D1367" t="s">
        <v>199</v>
      </c>
      <c r="E1367" s="75">
        <v>45966</v>
      </c>
      <c r="F1367" s="75">
        <v>45972</v>
      </c>
    </row>
    <row r="1368" spans="1:6" x14ac:dyDescent="0.35">
      <c r="A1368">
        <v>5622</v>
      </c>
      <c r="B1368">
        <v>2025</v>
      </c>
      <c r="C1368">
        <v>46</v>
      </c>
      <c r="D1368" t="s">
        <v>199</v>
      </c>
      <c r="E1368" s="75">
        <v>45966</v>
      </c>
      <c r="F1368" s="75">
        <v>45972</v>
      </c>
    </row>
    <row r="1369" spans="1:6" x14ac:dyDescent="0.35">
      <c r="A1369">
        <v>5623</v>
      </c>
      <c r="B1369">
        <v>2025</v>
      </c>
      <c r="C1369">
        <v>46</v>
      </c>
      <c r="D1369" t="s">
        <v>199</v>
      </c>
      <c r="E1369" s="75">
        <v>45966</v>
      </c>
      <c r="F1369" s="75">
        <v>45972</v>
      </c>
    </row>
    <row r="1370" spans="1:6" x14ac:dyDescent="0.35">
      <c r="A1370">
        <v>5624</v>
      </c>
      <c r="B1370">
        <v>2025</v>
      </c>
      <c r="C1370">
        <v>47</v>
      </c>
      <c r="D1370" t="s">
        <v>200</v>
      </c>
      <c r="E1370" s="75">
        <v>45973</v>
      </c>
      <c r="F1370" s="75">
        <v>45979</v>
      </c>
    </row>
    <row r="1371" spans="1:6" x14ac:dyDescent="0.35">
      <c r="A1371">
        <v>5625</v>
      </c>
      <c r="B1371">
        <v>2025</v>
      </c>
      <c r="C1371">
        <v>47</v>
      </c>
      <c r="D1371" t="s">
        <v>200</v>
      </c>
      <c r="E1371" s="75">
        <v>45973</v>
      </c>
      <c r="F1371" s="75">
        <v>45979</v>
      </c>
    </row>
    <row r="1372" spans="1:6" x14ac:dyDescent="0.35">
      <c r="A1372">
        <v>5626</v>
      </c>
      <c r="B1372">
        <v>2025</v>
      </c>
      <c r="C1372">
        <v>47</v>
      </c>
      <c r="D1372" t="s">
        <v>200</v>
      </c>
      <c r="E1372" s="75">
        <v>45973</v>
      </c>
      <c r="F1372" s="75">
        <v>45979</v>
      </c>
    </row>
    <row r="1373" spans="1:6" x14ac:dyDescent="0.35">
      <c r="A1373">
        <v>5627</v>
      </c>
      <c r="B1373">
        <v>2025</v>
      </c>
      <c r="C1373">
        <v>47</v>
      </c>
      <c r="D1373" t="s">
        <v>200</v>
      </c>
      <c r="E1373" s="75">
        <v>45973</v>
      </c>
      <c r="F1373" s="75">
        <v>45979</v>
      </c>
    </row>
    <row r="1374" spans="1:6" x14ac:dyDescent="0.35">
      <c r="A1374">
        <v>5628</v>
      </c>
      <c r="B1374">
        <v>2025</v>
      </c>
      <c r="C1374">
        <v>47</v>
      </c>
      <c r="D1374" t="s">
        <v>200</v>
      </c>
      <c r="E1374" s="75">
        <v>45973</v>
      </c>
      <c r="F1374" s="75">
        <v>45979</v>
      </c>
    </row>
    <row r="1375" spans="1:6" x14ac:dyDescent="0.35">
      <c r="A1375">
        <v>5629</v>
      </c>
      <c r="B1375">
        <v>2025</v>
      </c>
      <c r="C1375">
        <v>47</v>
      </c>
      <c r="D1375" t="s">
        <v>200</v>
      </c>
      <c r="E1375" s="75">
        <v>45973</v>
      </c>
      <c r="F1375" s="75">
        <v>45979</v>
      </c>
    </row>
    <row r="1376" spans="1:6" x14ac:dyDescent="0.35">
      <c r="A1376">
        <v>5630</v>
      </c>
      <c r="B1376">
        <v>2025</v>
      </c>
      <c r="C1376">
        <v>47</v>
      </c>
      <c r="D1376" t="s">
        <v>200</v>
      </c>
      <c r="E1376" s="75">
        <v>45973</v>
      </c>
      <c r="F1376" s="75">
        <v>45979</v>
      </c>
    </row>
    <row r="1377" spans="1:6" x14ac:dyDescent="0.35">
      <c r="A1377">
        <v>5631</v>
      </c>
      <c r="B1377">
        <v>2025</v>
      </c>
      <c r="C1377">
        <v>47</v>
      </c>
      <c r="D1377" t="s">
        <v>200</v>
      </c>
      <c r="E1377" s="75">
        <v>45973</v>
      </c>
      <c r="F1377" s="75">
        <v>45979</v>
      </c>
    </row>
    <row r="1378" spans="1:6" x14ac:dyDescent="0.35">
      <c r="A1378">
        <v>5632</v>
      </c>
      <c r="B1378">
        <v>2025</v>
      </c>
      <c r="C1378">
        <v>47</v>
      </c>
      <c r="D1378" t="s">
        <v>200</v>
      </c>
      <c r="E1378" s="75">
        <v>45973</v>
      </c>
      <c r="F1378" s="75">
        <v>45979</v>
      </c>
    </row>
    <row r="1379" spans="1:6" x14ac:dyDescent="0.35">
      <c r="A1379">
        <v>5633</v>
      </c>
      <c r="B1379">
        <v>2025</v>
      </c>
      <c r="C1379">
        <v>47</v>
      </c>
      <c r="D1379" t="s">
        <v>200</v>
      </c>
      <c r="E1379" s="75">
        <v>45973</v>
      </c>
      <c r="F1379" s="75">
        <v>45979</v>
      </c>
    </row>
    <row r="1380" spans="1:6" x14ac:dyDescent="0.35">
      <c r="A1380">
        <v>5634</v>
      </c>
      <c r="B1380">
        <v>2025</v>
      </c>
      <c r="C1380">
        <v>47</v>
      </c>
      <c r="D1380" t="s">
        <v>200</v>
      </c>
      <c r="E1380" s="75">
        <v>45973</v>
      </c>
      <c r="F1380" s="75">
        <v>45979</v>
      </c>
    </row>
    <row r="1381" spans="1:6" x14ac:dyDescent="0.35">
      <c r="A1381">
        <v>5635</v>
      </c>
      <c r="B1381">
        <v>2025</v>
      </c>
      <c r="C1381">
        <v>47</v>
      </c>
      <c r="D1381" t="s">
        <v>200</v>
      </c>
      <c r="E1381" s="75">
        <v>45973</v>
      </c>
      <c r="F1381" s="75">
        <v>45979</v>
      </c>
    </row>
    <row r="1382" spans="1:6" x14ac:dyDescent="0.35">
      <c r="A1382">
        <v>5636</v>
      </c>
      <c r="B1382">
        <v>2025</v>
      </c>
      <c r="C1382">
        <v>47</v>
      </c>
      <c r="D1382" t="s">
        <v>200</v>
      </c>
      <c r="E1382" s="75">
        <v>45973</v>
      </c>
      <c r="F1382" s="75">
        <v>45979</v>
      </c>
    </row>
    <row r="1383" spans="1:6" x14ac:dyDescent="0.35">
      <c r="A1383">
        <v>5637</v>
      </c>
      <c r="B1383">
        <v>2025</v>
      </c>
      <c r="C1383">
        <v>47</v>
      </c>
      <c r="D1383" t="s">
        <v>200</v>
      </c>
      <c r="E1383" s="75">
        <v>45973</v>
      </c>
      <c r="F1383" s="75">
        <v>45979</v>
      </c>
    </row>
    <row r="1384" spans="1:6" x14ac:dyDescent="0.35">
      <c r="A1384">
        <v>5638</v>
      </c>
      <c r="B1384">
        <v>2025</v>
      </c>
      <c r="C1384">
        <v>47</v>
      </c>
      <c r="D1384" t="s">
        <v>200</v>
      </c>
      <c r="E1384" s="75">
        <v>45973</v>
      </c>
      <c r="F1384" s="75">
        <v>45979</v>
      </c>
    </row>
    <row r="1385" spans="1:6" x14ac:dyDescent="0.35">
      <c r="A1385">
        <v>5639</v>
      </c>
      <c r="B1385">
        <v>2025</v>
      </c>
      <c r="C1385">
        <v>47</v>
      </c>
      <c r="D1385" t="s">
        <v>200</v>
      </c>
      <c r="E1385" s="75">
        <v>45973</v>
      </c>
      <c r="F1385" s="75">
        <v>45979</v>
      </c>
    </row>
    <row r="1386" spans="1:6" x14ac:dyDescent="0.35">
      <c r="A1386">
        <v>5640</v>
      </c>
      <c r="B1386">
        <v>2025</v>
      </c>
      <c r="C1386">
        <v>47</v>
      </c>
      <c r="D1386" t="s">
        <v>200</v>
      </c>
      <c r="E1386" s="75">
        <v>45973</v>
      </c>
      <c r="F1386" s="75">
        <v>45979</v>
      </c>
    </row>
    <row r="1387" spans="1:6" x14ac:dyDescent="0.35">
      <c r="A1387">
        <v>5641</v>
      </c>
      <c r="B1387">
        <v>2025</v>
      </c>
      <c r="C1387">
        <v>47</v>
      </c>
      <c r="D1387" t="s">
        <v>200</v>
      </c>
      <c r="E1387" s="75">
        <v>45973</v>
      </c>
      <c r="F1387" s="75">
        <v>45979</v>
      </c>
    </row>
    <row r="1388" spans="1:6" x14ac:dyDescent="0.35">
      <c r="A1388">
        <v>5642</v>
      </c>
      <c r="B1388">
        <v>2025</v>
      </c>
      <c r="C1388">
        <v>47</v>
      </c>
      <c r="D1388" t="s">
        <v>200</v>
      </c>
      <c r="E1388" s="75">
        <v>45973</v>
      </c>
      <c r="F1388" s="75">
        <v>45979</v>
      </c>
    </row>
    <row r="1389" spans="1:6" x14ac:dyDescent="0.35">
      <c r="A1389">
        <v>5643</v>
      </c>
      <c r="B1389">
        <v>2025</v>
      </c>
      <c r="C1389">
        <v>47</v>
      </c>
      <c r="D1389" t="s">
        <v>200</v>
      </c>
      <c r="E1389" s="75">
        <v>45973</v>
      </c>
      <c r="F1389" s="75">
        <v>45979</v>
      </c>
    </row>
    <row r="1390" spans="1:6" x14ac:dyDescent="0.35">
      <c r="A1390">
        <v>5644</v>
      </c>
      <c r="B1390">
        <v>2025</v>
      </c>
      <c r="C1390">
        <v>48</v>
      </c>
      <c r="D1390" t="s">
        <v>201</v>
      </c>
      <c r="E1390" s="75">
        <v>45980</v>
      </c>
      <c r="F1390" s="75">
        <v>45986</v>
      </c>
    </row>
    <row r="1391" spans="1:6" x14ac:dyDescent="0.35">
      <c r="A1391">
        <v>5645</v>
      </c>
      <c r="B1391">
        <v>2025</v>
      </c>
      <c r="C1391">
        <v>48</v>
      </c>
      <c r="D1391" t="s">
        <v>201</v>
      </c>
      <c r="E1391" s="75">
        <v>45980</v>
      </c>
      <c r="F1391" s="75">
        <v>45986</v>
      </c>
    </row>
    <row r="1392" spans="1:6" x14ac:dyDescent="0.35">
      <c r="A1392">
        <v>5646</v>
      </c>
      <c r="B1392">
        <v>2025</v>
      </c>
      <c r="C1392">
        <v>48</v>
      </c>
      <c r="D1392" t="s">
        <v>201</v>
      </c>
      <c r="E1392" s="75">
        <v>45980</v>
      </c>
      <c r="F1392" s="75">
        <v>45986</v>
      </c>
    </row>
    <row r="1393" spans="1:6" x14ac:dyDescent="0.35">
      <c r="A1393">
        <v>5647</v>
      </c>
      <c r="B1393">
        <v>2025</v>
      </c>
      <c r="C1393">
        <v>48</v>
      </c>
      <c r="D1393" t="s">
        <v>201</v>
      </c>
      <c r="E1393" s="75">
        <v>45980</v>
      </c>
      <c r="F1393" s="75">
        <v>45986</v>
      </c>
    </row>
    <row r="1394" spans="1:6" x14ac:dyDescent="0.35">
      <c r="A1394">
        <v>5648</v>
      </c>
      <c r="B1394">
        <v>2025</v>
      </c>
      <c r="C1394">
        <v>48</v>
      </c>
      <c r="D1394" t="s">
        <v>201</v>
      </c>
      <c r="E1394" s="75">
        <v>45980</v>
      </c>
      <c r="F1394" s="75">
        <v>45986</v>
      </c>
    </row>
    <row r="1395" spans="1:6" x14ac:dyDescent="0.35">
      <c r="A1395">
        <v>5649</v>
      </c>
      <c r="B1395">
        <v>2025</v>
      </c>
      <c r="C1395">
        <v>48</v>
      </c>
      <c r="D1395" t="s">
        <v>201</v>
      </c>
      <c r="E1395" s="75">
        <v>45980</v>
      </c>
      <c r="F1395" s="75">
        <v>45986</v>
      </c>
    </row>
    <row r="1396" spans="1:6" x14ac:dyDescent="0.35">
      <c r="A1396">
        <v>5650</v>
      </c>
      <c r="B1396">
        <v>2025</v>
      </c>
      <c r="C1396">
        <v>48</v>
      </c>
      <c r="D1396" t="s">
        <v>201</v>
      </c>
      <c r="E1396" s="75">
        <v>45980</v>
      </c>
      <c r="F1396" s="75">
        <v>45986</v>
      </c>
    </row>
    <row r="1397" spans="1:6" x14ac:dyDescent="0.35">
      <c r="A1397">
        <v>5651</v>
      </c>
      <c r="B1397">
        <v>2025</v>
      </c>
      <c r="C1397">
        <v>48</v>
      </c>
      <c r="D1397" t="s">
        <v>201</v>
      </c>
      <c r="E1397" s="75">
        <v>45980</v>
      </c>
      <c r="F1397" s="75">
        <v>45986</v>
      </c>
    </row>
    <row r="1398" spans="1:6" x14ac:dyDescent="0.35">
      <c r="A1398">
        <v>5652</v>
      </c>
      <c r="B1398">
        <v>2025</v>
      </c>
      <c r="C1398">
        <v>48</v>
      </c>
      <c r="D1398" t="s">
        <v>201</v>
      </c>
      <c r="E1398" s="75">
        <v>45980</v>
      </c>
      <c r="F1398" s="75">
        <v>45986</v>
      </c>
    </row>
    <row r="1399" spans="1:6" x14ac:dyDescent="0.35">
      <c r="A1399">
        <v>5653</v>
      </c>
      <c r="B1399">
        <v>2025</v>
      </c>
      <c r="C1399">
        <v>48</v>
      </c>
      <c r="D1399" t="s">
        <v>201</v>
      </c>
      <c r="E1399" s="75">
        <v>45980</v>
      </c>
      <c r="F1399" s="75">
        <v>45986</v>
      </c>
    </row>
    <row r="1400" spans="1:6" x14ac:dyDescent="0.35">
      <c r="A1400">
        <v>5654</v>
      </c>
      <c r="B1400">
        <v>2025</v>
      </c>
      <c r="C1400">
        <v>48</v>
      </c>
      <c r="D1400" t="s">
        <v>201</v>
      </c>
      <c r="E1400" s="75">
        <v>45980</v>
      </c>
      <c r="F1400" s="75">
        <v>45986</v>
      </c>
    </row>
    <row r="1401" spans="1:6" x14ac:dyDescent="0.35">
      <c r="A1401">
        <v>5655</v>
      </c>
      <c r="B1401">
        <v>2025</v>
      </c>
      <c r="C1401">
        <v>48</v>
      </c>
      <c r="D1401" t="s">
        <v>201</v>
      </c>
      <c r="E1401" s="75">
        <v>45980</v>
      </c>
      <c r="F1401" s="75">
        <v>45986</v>
      </c>
    </row>
    <row r="1402" spans="1:6" x14ac:dyDescent="0.35">
      <c r="A1402">
        <v>5656</v>
      </c>
      <c r="B1402">
        <v>2025</v>
      </c>
      <c r="C1402">
        <v>48</v>
      </c>
      <c r="D1402" t="s">
        <v>201</v>
      </c>
      <c r="E1402" s="75">
        <v>45980</v>
      </c>
      <c r="F1402" s="75">
        <v>45986</v>
      </c>
    </row>
    <row r="1403" spans="1:6" x14ac:dyDescent="0.35">
      <c r="A1403">
        <v>5657</v>
      </c>
      <c r="B1403">
        <v>2025</v>
      </c>
      <c r="C1403">
        <v>48</v>
      </c>
      <c r="D1403" t="s">
        <v>201</v>
      </c>
      <c r="E1403" s="75">
        <v>45980</v>
      </c>
      <c r="F1403" s="75">
        <v>45986</v>
      </c>
    </row>
    <row r="1404" spans="1:6" x14ac:dyDescent="0.35">
      <c r="A1404">
        <v>5658</v>
      </c>
      <c r="B1404">
        <v>2025</v>
      </c>
      <c r="C1404">
        <v>48</v>
      </c>
      <c r="D1404" t="s">
        <v>201</v>
      </c>
      <c r="E1404" s="75">
        <v>45980</v>
      </c>
      <c r="F1404" s="75">
        <v>45986</v>
      </c>
    </row>
    <row r="1405" spans="1:6" x14ac:dyDescent="0.35">
      <c r="A1405">
        <v>5659</v>
      </c>
      <c r="B1405">
        <v>2025</v>
      </c>
      <c r="C1405">
        <v>48</v>
      </c>
      <c r="D1405" t="s">
        <v>201</v>
      </c>
      <c r="E1405" s="75">
        <v>45980</v>
      </c>
      <c r="F1405" s="75">
        <v>45986</v>
      </c>
    </row>
    <row r="1406" spans="1:6" x14ac:dyDescent="0.35">
      <c r="A1406">
        <v>5660</v>
      </c>
      <c r="B1406">
        <v>2025</v>
      </c>
      <c r="C1406">
        <v>48</v>
      </c>
      <c r="D1406" t="s">
        <v>201</v>
      </c>
      <c r="E1406" s="75">
        <v>45980</v>
      </c>
      <c r="F1406" s="75">
        <v>45986</v>
      </c>
    </row>
    <row r="1407" spans="1:6" x14ac:dyDescent="0.35">
      <c r="A1407">
        <v>5661</v>
      </c>
      <c r="B1407">
        <v>2025</v>
      </c>
      <c r="C1407">
        <v>48</v>
      </c>
      <c r="D1407" t="s">
        <v>201</v>
      </c>
      <c r="E1407" s="75">
        <v>45980</v>
      </c>
      <c r="F1407" s="75">
        <v>45986</v>
      </c>
    </row>
    <row r="1408" spans="1:6" x14ac:dyDescent="0.35">
      <c r="A1408">
        <v>5662</v>
      </c>
      <c r="B1408">
        <v>2025</v>
      </c>
      <c r="C1408">
        <v>48</v>
      </c>
      <c r="D1408" t="s">
        <v>201</v>
      </c>
      <c r="E1408" s="75">
        <v>45980</v>
      </c>
      <c r="F1408" s="75">
        <v>45986</v>
      </c>
    </row>
    <row r="1409" spans="1:6" x14ac:dyDescent="0.35">
      <c r="A1409">
        <v>5663</v>
      </c>
      <c r="B1409">
        <v>2025</v>
      </c>
      <c r="C1409">
        <v>48</v>
      </c>
      <c r="D1409" t="s">
        <v>201</v>
      </c>
      <c r="E1409" s="75">
        <v>45980</v>
      </c>
      <c r="F1409" s="75">
        <v>45986</v>
      </c>
    </row>
    <row r="1410" spans="1:6" x14ac:dyDescent="0.35">
      <c r="A1410">
        <v>5664</v>
      </c>
      <c r="B1410">
        <v>2025</v>
      </c>
      <c r="C1410">
        <v>48</v>
      </c>
      <c r="D1410" t="s">
        <v>201</v>
      </c>
      <c r="E1410" s="75">
        <v>45980</v>
      </c>
      <c r="F1410" s="75">
        <v>45986</v>
      </c>
    </row>
    <row r="1411" spans="1:6" x14ac:dyDescent="0.35">
      <c r="A1411">
        <v>5665</v>
      </c>
      <c r="B1411">
        <v>2025</v>
      </c>
      <c r="C1411">
        <v>48</v>
      </c>
      <c r="D1411" t="s">
        <v>201</v>
      </c>
      <c r="E1411" s="75">
        <v>45980</v>
      </c>
      <c r="F1411" s="75">
        <v>45986</v>
      </c>
    </row>
    <row r="1412" spans="1:6" x14ac:dyDescent="0.35">
      <c r="A1412">
        <v>5666</v>
      </c>
      <c r="B1412">
        <v>2025</v>
      </c>
      <c r="C1412">
        <v>48</v>
      </c>
      <c r="D1412" t="s">
        <v>201</v>
      </c>
      <c r="E1412" s="75">
        <v>45980</v>
      </c>
      <c r="F1412" s="75">
        <v>45986</v>
      </c>
    </row>
    <row r="1413" spans="1:6" x14ac:dyDescent="0.35">
      <c r="A1413">
        <v>5667</v>
      </c>
      <c r="B1413">
        <v>2025</v>
      </c>
      <c r="C1413">
        <v>48</v>
      </c>
      <c r="D1413" t="s">
        <v>201</v>
      </c>
      <c r="E1413" s="75">
        <v>45980</v>
      </c>
      <c r="F1413" s="75">
        <v>45986</v>
      </c>
    </row>
    <row r="1414" spans="1:6" x14ac:dyDescent="0.35">
      <c r="A1414">
        <v>5668</v>
      </c>
      <c r="B1414">
        <v>2025</v>
      </c>
      <c r="C1414">
        <v>48</v>
      </c>
      <c r="D1414" t="s">
        <v>201</v>
      </c>
      <c r="E1414" s="75">
        <v>45980</v>
      </c>
      <c r="F1414" s="75">
        <v>45986</v>
      </c>
    </row>
    <row r="1415" spans="1:6" x14ac:dyDescent="0.35">
      <c r="A1415">
        <v>5669</v>
      </c>
      <c r="B1415">
        <v>2025</v>
      </c>
      <c r="C1415">
        <v>48</v>
      </c>
      <c r="D1415" t="s">
        <v>201</v>
      </c>
      <c r="E1415" s="75">
        <v>45980</v>
      </c>
      <c r="F1415" s="75">
        <v>45986</v>
      </c>
    </row>
    <row r="1416" spans="1:6" x14ac:dyDescent="0.35">
      <c r="A1416">
        <v>5670</v>
      </c>
      <c r="B1416">
        <v>2025</v>
      </c>
      <c r="C1416">
        <v>48</v>
      </c>
      <c r="D1416" t="s">
        <v>201</v>
      </c>
      <c r="E1416" s="75">
        <v>45980</v>
      </c>
      <c r="F1416" s="75">
        <v>45986</v>
      </c>
    </row>
    <row r="1417" spans="1:6" x14ac:dyDescent="0.35">
      <c r="A1417">
        <v>5671</v>
      </c>
      <c r="B1417">
        <v>2025</v>
      </c>
      <c r="C1417">
        <v>48</v>
      </c>
      <c r="D1417" t="s">
        <v>201</v>
      </c>
      <c r="E1417" s="75">
        <v>45980</v>
      </c>
      <c r="F1417" s="75">
        <v>45986</v>
      </c>
    </row>
    <row r="1418" spans="1:6" x14ac:dyDescent="0.35">
      <c r="A1418">
        <v>5672</v>
      </c>
      <c r="B1418">
        <v>2025</v>
      </c>
      <c r="C1418">
        <v>49</v>
      </c>
      <c r="D1418" t="s">
        <v>202</v>
      </c>
      <c r="E1418" s="75">
        <v>45987</v>
      </c>
      <c r="F1418" s="75">
        <v>45993</v>
      </c>
    </row>
    <row r="1419" spans="1:6" x14ac:dyDescent="0.35">
      <c r="A1419">
        <v>5673</v>
      </c>
      <c r="B1419">
        <v>2025</v>
      </c>
      <c r="C1419">
        <v>49</v>
      </c>
      <c r="D1419" t="s">
        <v>202</v>
      </c>
      <c r="E1419" s="75">
        <v>45987</v>
      </c>
      <c r="F1419" s="75">
        <v>45993</v>
      </c>
    </row>
    <row r="1420" spans="1:6" x14ac:dyDescent="0.35">
      <c r="A1420">
        <v>5674</v>
      </c>
      <c r="B1420">
        <v>2025</v>
      </c>
      <c r="C1420">
        <v>49</v>
      </c>
      <c r="D1420" t="s">
        <v>202</v>
      </c>
      <c r="E1420" s="75">
        <v>45987</v>
      </c>
      <c r="F1420" s="75">
        <v>45993</v>
      </c>
    </row>
    <row r="1421" spans="1:6" x14ac:dyDescent="0.35">
      <c r="A1421">
        <v>5675</v>
      </c>
      <c r="B1421">
        <v>2025</v>
      </c>
      <c r="C1421">
        <v>49</v>
      </c>
      <c r="D1421" t="s">
        <v>202</v>
      </c>
      <c r="E1421" s="75">
        <v>45987</v>
      </c>
      <c r="F1421" s="75">
        <v>45993</v>
      </c>
    </row>
    <row r="1422" spans="1:6" x14ac:dyDescent="0.35">
      <c r="A1422">
        <v>5676</v>
      </c>
      <c r="B1422">
        <v>2025</v>
      </c>
      <c r="C1422">
        <v>49</v>
      </c>
      <c r="D1422" t="s">
        <v>202</v>
      </c>
      <c r="E1422" s="75">
        <v>45987</v>
      </c>
      <c r="F1422" s="75">
        <v>45993</v>
      </c>
    </row>
    <row r="1423" spans="1:6" x14ac:dyDescent="0.35">
      <c r="A1423">
        <v>5677</v>
      </c>
      <c r="B1423">
        <v>2025</v>
      </c>
      <c r="C1423">
        <v>49</v>
      </c>
      <c r="D1423" t="s">
        <v>202</v>
      </c>
      <c r="E1423" s="75">
        <v>45987</v>
      </c>
      <c r="F1423" s="75">
        <v>45993</v>
      </c>
    </row>
    <row r="1424" spans="1:6" x14ac:dyDescent="0.35">
      <c r="A1424">
        <v>5678</v>
      </c>
      <c r="B1424">
        <v>2025</v>
      </c>
      <c r="C1424">
        <v>49</v>
      </c>
      <c r="D1424" t="s">
        <v>202</v>
      </c>
      <c r="E1424" s="75">
        <v>45987</v>
      </c>
      <c r="F1424" s="75">
        <v>45993</v>
      </c>
    </row>
    <row r="1425" spans="1:6" x14ac:dyDescent="0.35">
      <c r="A1425">
        <v>5679</v>
      </c>
      <c r="B1425">
        <v>2025</v>
      </c>
      <c r="C1425">
        <v>49</v>
      </c>
      <c r="D1425" t="s">
        <v>202</v>
      </c>
      <c r="E1425" s="75">
        <v>45987</v>
      </c>
      <c r="F1425" s="75">
        <v>45993</v>
      </c>
    </row>
    <row r="1426" spans="1:6" x14ac:dyDescent="0.35">
      <c r="A1426">
        <v>5680</v>
      </c>
      <c r="B1426">
        <v>2025</v>
      </c>
      <c r="C1426">
        <v>49</v>
      </c>
      <c r="D1426" t="s">
        <v>202</v>
      </c>
      <c r="E1426" s="75">
        <v>45987</v>
      </c>
      <c r="F1426" s="75">
        <v>45993</v>
      </c>
    </row>
    <row r="1427" spans="1:6" x14ac:dyDescent="0.35">
      <c r="A1427">
        <v>5681</v>
      </c>
      <c r="B1427">
        <v>2025</v>
      </c>
      <c r="C1427">
        <v>49</v>
      </c>
      <c r="D1427" t="s">
        <v>202</v>
      </c>
      <c r="E1427" s="75">
        <v>45987</v>
      </c>
      <c r="F1427" s="75">
        <v>45993</v>
      </c>
    </row>
    <row r="1428" spans="1:6" x14ac:dyDescent="0.35">
      <c r="A1428">
        <v>5682</v>
      </c>
      <c r="B1428">
        <v>2025</v>
      </c>
      <c r="C1428">
        <v>49</v>
      </c>
      <c r="D1428" t="s">
        <v>202</v>
      </c>
      <c r="E1428" s="75">
        <v>45987</v>
      </c>
      <c r="F1428" s="75">
        <v>45993</v>
      </c>
    </row>
    <row r="1429" spans="1:6" x14ac:dyDescent="0.35">
      <c r="A1429">
        <v>5683</v>
      </c>
      <c r="B1429">
        <v>2025</v>
      </c>
      <c r="C1429">
        <v>49</v>
      </c>
      <c r="D1429" t="s">
        <v>202</v>
      </c>
      <c r="E1429" s="75">
        <v>45987</v>
      </c>
      <c r="F1429" s="75">
        <v>45993</v>
      </c>
    </row>
    <row r="1430" spans="1:6" x14ac:dyDescent="0.35">
      <c r="A1430">
        <v>5684</v>
      </c>
      <c r="B1430">
        <v>2025</v>
      </c>
      <c r="C1430">
        <v>49</v>
      </c>
      <c r="D1430" t="s">
        <v>202</v>
      </c>
      <c r="E1430" s="75">
        <v>45987</v>
      </c>
      <c r="F1430" s="75">
        <v>45993</v>
      </c>
    </row>
    <row r="1431" spans="1:6" x14ac:dyDescent="0.35">
      <c r="A1431">
        <v>5685</v>
      </c>
      <c r="B1431">
        <v>2025</v>
      </c>
      <c r="C1431">
        <v>49</v>
      </c>
      <c r="D1431" t="s">
        <v>202</v>
      </c>
      <c r="E1431" s="75">
        <v>45987</v>
      </c>
      <c r="F1431" s="75">
        <v>45993</v>
      </c>
    </row>
    <row r="1432" spans="1:6" x14ac:dyDescent="0.35">
      <c r="A1432">
        <v>5686</v>
      </c>
      <c r="B1432">
        <v>2025</v>
      </c>
      <c r="C1432">
        <v>49</v>
      </c>
      <c r="D1432" t="s">
        <v>202</v>
      </c>
      <c r="E1432" s="75">
        <v>45987</v>
      </c>
      <c r="F1432" s="75">
        <v>45993</v>
      </c>
    </row>
    <row r="1433" spans="1:6" x14ac:dyDescent="0.35">
      <c r="A1433">
        <v>5687</v>
      </c>
      <c r="B1433">
        <v>2025</v>
      </c>
      <c r="C1433">
        <v>49</v>
      </c>
      <c r="D1433" t="s">
        <v>202</v>
      </c>
      <c r="E1433" s="75">
        <v>45987</v>
      </c>
      <c r="F1433" s="75">
        <v>45993</v>
      </c>
    </row>
    <row r="1434" spans="1:6" x14ac:dyDescent="0.35">
      <c r="A1434">
        <v>5688</v>
      </c>
      <c r="B1434">
        <v>2025</v>
      </c>
      <c r="C1434">
        <v>49</v>
      </c>
      <c r="D1434" t="s">
        <v>202</v>
      </c>
      <c r="E1434" s="75">
        <v>45987</v>
      </c>
      <c r="F1434" s="75">
        <v>45993</v>
      </c>
    </row>
    <row r="1435" spans="1:6" x14ac:dyDescent="0.35">
      <c r="A1435">
        <v>5689</v>
      </c>
      <c r="B1435">
        <v>2025</v>
      </c>
      <c r="C1435">
        <v>49</v>
      </c>
      <c r="D1435" t="s">
        <v>202</v>
      </c>
      <c r="E1435" s="75">
        <v>45987</v>
      </c>
      <c r="F1435" s="75">
        <v>45993</v>
      </c>
    </row>
    <row r="1436" spans="1:6" x14ac:dyDescent="0.35">
      <c r="A1436">
        <v>5690</v>
      </c>
      <c r="B1436">
        <v>2025</v>
      </c>
      <c r="C1436">
        <v>49</v>
      </c>
      <c r="D1436" t="s">
        <v>202</v>
      </c>
      <c r="E1436" s="75">
        <v>45987</v>
      </c>
      <c r="F1436" s="75">
        <v>45993</v>
      </c>
    </row>
    <row r="1437" spans="1:6" x14ac:dyDescent="0.35">
      <c r="A1437">
        <v>5691</v>
      </c>
      <c r="B1437">
        <v>2025</v>
      </c>
      <c r="C1437">
        <v>49</v>
      </c>
      <c r="D1437" t="s">
        <v>202</v>
      </c>
      <c r="E1437" s="75">
        <v>45987</v>
      </c>
      <c r="F1437" s="75">
        <v>45993</v>
      </c>
    </row>
    <row r="1438" spans="1:6" x14ac:dyDescent="0.35">
      <c r="A1438">
        <v>5692</v>
      </c>
      <c r="B1438">
        <v>2025</v>
      </c>
      <c r="C1438">
        <v>49</v>
      </c>
      <c r="D1438" t="s">
        <v>202</v>
      </c>
      <c r="E1438" s="75">
        <v>45987</v>
      </c>
      <c r="F1438" s="75">
        <v>45993</v>
      </c>
    </row>
    <row r="1439" spans="1:6" x14ac:dyDescent="0.35">
      <c r="A1439">
        <v>5693</v>
      </c>
      <c r="B1439">
        <v>2025</v>
      </c>
      <c r="C1439">
        <v>49</v>
      </c>
      <c r="D1439" t="s">
        <v>202</v>
      </c>
      <c r="E1439" s="75">
        <v>45987</v>
      </c>
      <c r="F1439" s="75">
        <v>45993</v>
      </c>
    </row>
    <row r="1440" spans="1:6" x14ac:dyDescent="0.35">
      <c r="A1440">
        <v>5694</v>
      </c>
      <c r="B1440">
        <v>2025</v>
      </c>
      <c r="C1440">
        <v>49</v>
      </c>
      <c r="D1440" t="s">
        <v>202</v>
      </c>
      <c r="E1440" s="75">
        <v>45987</v>
      </c>
      <c r="F1440" s="75">
        <v>45993</v>
      </c>
    </row>
    <row r="1441" spans="1:6" x14ac:dyDescent="0.35">
      <c r="A1441">
        <v>5695</v>
      </c>
      <c r="B1441">
        <v>2025</v>
      </c>
      <c r="C1441">
        <v>49</v>
      </c>
      <c r="D1441" t="s">
        <v>202</v>
      </c>
      <c r="E1441" s="75">
        <v>45987</v>
      </c>
      <c r="F1441" s="75">
        <v>45993</v>
      </c>
    </row>
    <row r="1442" spans="1:6" x14ac:dyDescent="0.35">
      <c r="A1442">
        <v>5696</v>
      </c>
      <c r="B1442">
        <v>2025</v>
      </c>
      <c r="C1442">
        <v>49</v>
      </c>
      <c r="D1442" t="s">
        <v>202</v>
      </c>
      <c r="E1442" s="75">
        <v>45987</v>
      </c>
      <c r="F1442" s="75">
        <v>45993</v>
      </c>
    </row>
    <row r="1443" spans="1:6" x14ac:dyDescent="0.35">
      <c r="A1443">
        <v>5697</v>
      </c>
      <c r="B1443">
        <v>2025</v>
      </c>
      <c r="C1443">
        <v>49</v>
      </c>
      <c r="D1443" t="s">
        <v>202</v>
      </c>
      <c r="E1443" s="75">
        <v>45987</v>
      </c>
      <c r="F1443" s="75">
        <v>45993</v>
      </c>
    </row>
    <row r="1444" spans="1:6" x14ac:dyDescent="0.35">
      <c r="A1444">
        <v>5698</v>
      </c>
      <c r="B1444">
        <v>2025</v>
      </c>
      <c r="C1444">
        <v>49</v>
      </c>
      <c r="D1444" t="s">
        <v>202</v>
      </c>
      <c r="E1444" s="75">
        <v>45987</v>
      </c>
      <c r="F1444" s="75">
        <v>45993</v>
      </c>
    </row>
    <row r="1445" spans="1:6" x14ac:dyDescent="0.35">
      <c r="A1445">
        <v>5699</v>
      </c>
      <c r="B1445">
        <v>2025</v>
      </c>
      <c r="C1445">
        <v>49</v>
      </c>
      <c r="D1445" t="s">
        <v>202</v>
      </c>
      <c r="E1445" s="75">
        <v>45987</v>
      </c>
      <c r="F1445" s="75">
        <v>45993</v>
      </c>
    </row>
    <row r="1446" spans="1:6" x14ac:dyDescent="0.35">
      <c r="A1446">
        <v>5700</v>
      </c>
      <c r="B1446">
        <v>2025</v>
      </c>
      <c r="C1446">
        <v>49</v>
      </c>
      <c r="D1446" t="s">
        <v>202</v>
      </c>
      <c r="E1446" s="75">
        <v>45987</v>
      </c>
      <c r="F1446" s="75">
        <v>45993</v>
      </c>
    </row>
    <row r="1447" spans="1:6" x14ac:dyDescent="0.35">
      <c r="A1447">
        <v>5701</v>
      </c>
      <c r="B1447">
        <v>2025</v>
      </c>
      <c r="C1447">
        <v>49</v>
      </c>
      <c r="D1447" t="s">
        <v>202</v>
      </c>
      <c r="E1447" s="75">
        <v>45987</v>
      </c>
      <c r="F1447" s="75">
        <v>45993</v>
      </c>
    </row>
    <row r="1448" spans="1:6" x14ac:dyDescent="0.35">
      <c r="A1448">
        <v>5702</v>
      </c>
      <c r="B1448">
        <v>2025</v>
      </c>
      <c r="C1448">
        <v>50</v>
      </c>
      <c r="D1448" t="s">
        <v>203</v>
      </c>
      <c r="E1448" s="75">
        <v>45994</v>
      </c>
      <c r="F1448" s="75">
        <v>46000</v>
      </c>
    </row>
    <row r="1449" spans="1:6" x14ac:dyDescent="0.35">
      <c r="A1449">
        <v>5703</v>
      </c>
      <c r="B1449">
        <v>2025</v>
      </c>
      <c r="C1449">
        <v>50</v>
      </c>
      <c r="D1449" t="s">
        <v>203</v>
      </c>
      <c r="E1449" s="75">
        <v>45994</v>
      </c>
      <c r="F1449" s="75">
        <v>46000</v>
      </c>
    </row>
    <row r="1450" spans="1:6" x14ac:dyDescent="0.35">
      <c r="A1450">
        <v>5704</v>
      </c>
      <c r="B1450">
        <v>2025</v>
      </c>
      <c r="C1450">
        <v>50</v>
      </c>
      <c r="D1450" t="s">
        <v>203</v>
      </c>
      <c r="E1450" s="75">
        <v>45994</v>
      </c>
      <c r="F1450" s="75">
        <v>46000</v>
      </c>
    </row>
    <row r="1451" spans="1:6" x14ac:dyDescent="0.35">
      <c r="A1451">
        <v>5705</v>
      </c>
      <c r="B1451">
        <v>2025</v>
      </c>
      <c r="C1451">
        <v>50</v>
      </c>
      <c r="D1451" t="s">
        <v>203</v>
      </c>
      <c r="E1451" s="75">
        <v>45994</v>
      </c>
      <c r="F1451" s="75">
        <v>46000</v>
      </c>
    </row>
    <row r="1452" spans="1:6" x14ac:dyDescent="0.35">
      <c r="A1452">
        <v>5706</v>
      </c>
      <c r="B1452">
        <v>2025</v>
      </c>
      <c r="C1452">
        <v>50</v>
      </c>
      <c r="D1452" t="s">
        <v>203</v>
      </c>
      <c r="E1452" s="75">
        <v>45994</v>
      </c>
      <c r="F1452" s="75">
        <v>46000</v>
      </c>
    </row>
    <row r="1453" spans="1:6" x14ac:dyDescent="0.35">
      <c r="A1453">
        <v>5707</v>
      </c>
      <c r="B1453">
        <v>2025</v>
      </c>
      <c r="C1453">
        <v>50</v>
      </c>
      <c r="D1453" t="s">
        <v>203</v>
      </c>
      <c r="E1453" s="75">
        <v>45994</v>
      </c>
      <c r="F1453" s="75">
        <v>46000</v>
      </c>
    </row>
    <row r="1454" spans="1:6" x14ac:dyDescent="0.35">
      <c r="A1454">
        <v>5708</v>
      </c>
      <c r="B1454">
        <v>2025</v>
      </c>
      <c r="C1454">
        <v>50</v>
      </c>
      <c r="D1454" t="s">
        <v>203</v>
      </c>
      <c r="E1454" s="75">
        <v>45994</v>
      </c>
      <c r="F1454" s="75">
        <v>46000</v>
      </c>
    </row>
    <row r="1455" spans="1:6" x14ac:dyDescent="0.35">
      <c r="A1455">
        <v>5709</v>
      </c>
      <c r="B1455">
        <v>2025</v>
      </c>
      <c r="C1455">
        <v>50</v>
      </c>
      <c r="D1455" t="s">
        <v>203</v>
      </c>
      <c r="E1455" s="75">
        <v>45994</v>
      </c>
      <c r="F1455" s="75">
        <v>46000</v>
      </c>
    </row>
    <row r="1456" spans="1:6" x14ac:dyDescent="0.35">
      <c r="A1456">
        <v>5710</v>
      </c>
      <c r="B1456">
        <v>2025</v>
      </c>
      <c r="C1456">
        <v>50</v>
      </c>
      <c r="D1456" t="s">
        <v>203</v>
      </c>
      <c r="E1456" s="75">
        <v>45994</v>
      </c>
      <c r="F1456" s="75">
        <v>46000</v>
      </c>
    </row>
    <row r="1457" spans="1:6" x14ac:dyDescent="0.35">
      <c r="A1457">
        <v>5711</v>
      </c>
      <c r="B1457">
        <v>2025</v>
      </c>
      <c r="C1457">
        <v>50</v>
      </c>
      <c r="D1457" t="s">
        <v>203</v>
      </c>
      <c r="E1457" s="75">
        <v>45994</v>
      </c>
      <c r="F1457" s="75">
        <v>46000</v>
      </c>
    </row>
    <row r="1458" spans="1:6" x14ac:dyDescent="0.35">
      <c r="A1458">
        <v>5712</v>
      </c>
      <c r="B1458">
        <v>2025</v>
      </c>
      <c r="C1458">
        <v>50</v>
      </c>
      <c r="D1458" t="s">
        <v>203</v>
      </c>
      <c r="E1458" s="75">
        <v>45994</v>
      </c>
      <c r="F1458" s="75">
        <v>46000</v>
      </c>
    </row>
    <row r="1459" spans="1:6" x14ac:dyDescent="0.35">
      <c r="A1459">
        <v>5713</v>
      </c>
      <c r="B1459">
        <v>2025</v>
      </c>
      <c r="C1459">
        <v>50</v>
      </c>
      <c r="D1459" t="s">
        <v>203</v>
      </c>
      <c r="E1459" s="75">
        <v>45994</v>
      </c>
      <c r="F1459" s="75">
        <v>46000</v>
      </c>
    </row>
    <row r="1460" spans="1:6" x14ac:dyDescent="0.35">
      <c r="A1460">
        <v>5714</v>
      </c>
      <c r="B1460">
        <v>2025</v>
      </c>
      <c r="C1460">
        <v>50</v>
      </c>
      <c r="D1460" t="s">
        <v>203</v>
      </c>
      <c r="E1460" s="75">
        <v>45994</v>
      </c>
      <c r="F1460" s="75">
        <v>46000</v>
      </c>
    </row>
    <row r="1461" spans="1:6" x14ac:dyDescent="0.35">
      <c r="A1461">
        <v>5715</v>
      </c>
      <c r="B1461">
        <v>2025</v>
      </c>
      <c r="C1461">
        <v>50</v>
      </c>
      <c r="D1461" t="s">
        <v>203</v>
      </c>
      <c r="E1461" s="75">
        <v>45994</v>
      </c>
      <c r="F1461" s="75">
        <v>46000</v>
      </c>
    </row>
    <row r="1462" spans="1:6" x14ac:dyDescent="0.35">
      <c r="A1462">
        <v>5716</v>
      </c>
      <c r="B1462">
        <v>2025</v>
      </c>
      <c r="C1462">
        <v>50</v>
      </c>
      <c r="D1462" t="s">
        <v>203</v>
      </c>
      <c r="E1462" s="75">
        <v>45994</v>
      </c>
      <c r="F1462" s="75">
        <v>46000</v>
      </c>
    </row>
    <row r="1463" spans="1:6" x14ac:dyDescent="0.35">
      <c r="A1463">
        <v>5717</v>
      </c>
      <c r="B1463">
        <v>2025</v>
      </c>
      <c r="C1463">
        <v>50</v>
      </c>
      <c r="D1463" t="s">
        <v>203</v>
      </c>
      <c r="E1463" s="75">
        <v>45994</v>
      </c>
      <c r="F1463" s="75">
        <v>46000</v>
      </c>
    </row>
    <row r="1464" spans="1:6" x14ac:dyDescent="0.35">
      <c r="A1464">
        <v>5718</v>
      </c>
      <c r="B1464">
        <v>2025</v>
      </c>
      <c r="C1464">
        <v>50</v>
      </c>
      <c r="D1464" t="s">
        <v>203</v>
      </c>
      <c r="E1464" s="75">
        <v>45994</v>
      </c>
      <c r="F1464" s="75">
        <v>46000</v>
      </c>
    </row>
    <row r="1465" spans="1:6" x14ac:dyDescent="0.35">
      <c r="A1465">
        <v>5719</v>
      </c>
      <c r="B1465">
        <v>2025</v>
      </c>
      <c r="C1465">
        <v>50</v>
      </c>
      <c r="D1465" t="s">
        <v>203</v>
      </c>
      <c r="E1465" s="75">
        <v>45994</v>
      </c>
      <c r="F1465" s="75">
        <v>46000</v>
      </c>
    </row>
    <row r="1466" spans="1:6" x14ac:dyDescent="0.35">
      <c r="A1466">
        <v>5720</v>
      </c>
      <c r="B1466">
        <v>2025</v>
      </c>
      <c r="C1466">
        <v>50</v>
      </c>
      <c r="D1466" t="s">
        <v>203</v>
      </c>
      <c r="E1466" s="75">
        <v>45994</v>
      </c>
      <c r="F1466" s="75">
        <v>46000</v>
      </c>
    </row>
    <row r="1467" spans="1:6" x14ac:dyDescent="0.35">
      <c r="A1467">
        <v>5721</v>
      </c>
      <c r="B1467">
        <v>2025</v>
      </c>
      <c r="C1467">
        <v>50</v>
      </c>
      <c r="D1467" t="s">
        <v>203</v>
      </c>
      <c r="E1467" s="75">
        <v>45994</v>
      </c>
      <c r="F1467" s="75">
        <v>46000</v>
      </c>
    </row>
    <row r="1468" spans="1:6" x14ac:dyDescent="0.35">
      <c r="A1468">
        <v>5722</v>
      </c>
      <c r="B1468">
        <v>2025</v>
      </c>
      <c r="C1468">
        <v>50</v>
      </c>
      <c r="D1468" t="s">
        <v>203</v>
      </c>
      <c r="E1468" s="75">
        <v>45994</v>
      </c>
      <c r="F1468" s="75">
        <v>46000</v>
      </c>
    </row>
    <row r="1469" spans="1:6" x14ac:dyDescent="0.35">
      <c r="A1469">
        <v>5723</v>
      </c>
      <c r="B1469">
        <v>2025</v>
      </c>
      <c r="C1469">
        <v>50</v>
      </c>
      <c r="D1469" t="s">
        <v>203</v>
      </c>
      <c r="E1469" s="75">
        <v>45994</v>
      </c>
      <c r="F1469" s="75">
        <v>46000</v>
      </c>
    </row>
    <row r="1470" spans="1:6" x14ac:dyDescent="0.35">
      <c r="A1470">
        <v>5724</v>
      </c>
      <c r="B1470">
        <v>2025</v>
      </c>
      <c r="C1470">
        <v>50</v>
      </c>
      <c r="D1470" t="s">
        <v>203</v>
      </c>
      <c r="E1470" s="75">
        <v>45994</v>
      </c>
      <c r="F1470" s="75">
        <v>46000</v>
      </c>
    </row>
    <row r="1471" spans="1:6" x14ac:dyDescent="0.35">
      <c r="A1471">
        <v>5725</v>
      </c>
      <c r="B1471">
        <v>2025</v>
      </c>
      <c r="C1471">
        <v>50</v>
      </c>
      <c r="D1471" t="s">
        <v>203</v>
      </c>
      <c r="E1471" s="75">
        <v>45994</v>
      </c>
      <c r="F1471" s="75">
        <v>46000</v>
      </c>
    </row>
    <row r="1472" spans="1:6" x14ac:dyDescent="0.35">
      <c r="A1472">
        <v>5726</v>
      </c>
      <c r="B1472">
        <v>2025</v>
      </c>
      <c r="C1472">
        <v>50</v>
      </c>
      <c r="D1472" t="s">
        <v>203</v>
      </c>
      <c r="E1472" s="75">
        <v>45994</v>
      </c>
      <c r="F1472" s="75">
        <v>46000</v>
      </c>
    </row>
    <row r="1473" spans="1:6" x14ac:dyDescent="0.35">
      <c r="A1473">
        <v>5727</v>
      </c>
      <c r="B1473">
        <v>2025</v>
      </c>
      <c r="C1473">
        <v>51</v>
      </c>
      <c r="D1473" t="s">
        <v>204</v>
      </c>
      <c r="E1473" s="75">
        <v>46001</v>
      </c>
      <c r="F1473" s="75">
        <v>46007</v>
      </c>
    </row>
    <row r="1474" spans="1:6" x14ac:dyDescent="0.35">
      <c r="A1474">
        <v>5728</v>
      </c>
      <c r="B1474">
        <v>2025</v>
      </c>
      <c r="C1474">
        <v>51</v>
      </c>
      <c r="D1474" t="s">
        <v>204</v>
      </c>
      <c r="E1474" s="75">
        <v>46001</v>
      </c>
      <c r="F1474" s="75">
        <v>46007</v>
      </c>
    </row>
    <row r="1475" spans="1:6" x14ac:dyDescent="0.35">
      <c r="A1475">
        <v>5729</v>
      </c>
      <c r="B1475">
        <v>2025</v>
      </c>
      <c r="C1475">
        <v>51</v>
      </c>
      <c r="D1475" t="s">
        <v>204</v>
      </c>
      <c r="E1475" s="75">
        <v>46001</v>
      </c>
      <c r="F1475" s="75">
        <v>46007</v>
      </c>
    </row>
    <row r="1476" spans="1:6" x14ac:dyDescent="0.35">
      <c r="A1476">
        <v>5730</v>
      </c>
      <c r="B1476">
        <v>2025</v>
      </c>
      <c r="C1476">
        <v>51</v>
      </c>
      <c r="D1476" t="s">
        <v>204</v>
      </c>
      <c r="E1476" s="75">
        <v>46001</v>
      </c>
      <c r="F1476" s="75">
        <v>46007</v>
      </c>
    </row>
    <row r="1477" spans="1:6" x14ac:dyDescent="0.35">
      <c r="A1477">
        <v>5731</v>
      </c>
      <c r="B1477">
        <v>2025</v>
      </c>
      <c r="C1477">
        <v>51</v>
      </c>
      <c r="D1477" t="s">
        <v>204</v>
      </c>
      <c r="E1477" s="75">
        <v>46001</v>
      </c>
      <c r="F1477" s="75">
        <v>46007</v>
      </c>
    </row>
    <row r="1478" spans="1:6" x14ac:dyDescent="0.35">
      <c r="A1478">
        <v>5732</v>
      </c>
      <c r="B1478">
        <v>2025</v>
      </c>
      <c r="C1478">
        <v>51</v>
      </c>
      <c r="D1478" t="s">
        <v>204</v>
      </c>
      <c r="E1478" s="75">
        <v>46001</v>
      </c>
      <c r="F1478" s="75">
        <v>46007</v>
      </c>
    </row>
    <row r="1479" spans="1:6" x14ac:dyDescent="0.35">
      <c r="A1479">
        <v>5733</v>
      </c>
      <c r="B1479">
        <v>2025</v>
      </c>
      <c r="C1479">
        <v>51</v>
      </c>
      <c r="D1479" t="s">
        <v>204</v>
      </c>
      <c r="E1479" s="75">
        <v>46001</v>
      </c>
      <c r="F1479" s="75">
        <v>46007</v>
      </c>
    </row>
    <row r="1480" spans="1:6" x14ac:dyDescent="0.35">
      <c r="A1480">
        <v>5734</v>
      </c>
      <c r="B1480">
        <v>2025</v>
      </c>
      <c r="C1480">
        <v>51</v>
      </c>
      <c r="D1480" t="s">
        <v>204</v>
      </c>
      <c r="E1480" s="75">
        <v>46001</v>
      </c>
      <c r="F1480" s="75">
        <v>46007</v>
      </c>
    </row>
    <row r="1481" spans="1:6" x14ac:dyDescent="0.35">
      <c r="A1481">
        <v>5735</v>
      </c>
      <c r="B1481">
        <v>2025</v>
      </c>
      <c r="C1481">
        <v>51</v>
      </c>
      <c r="D1481" t="s">
        <v>204</v>
      </c>
      <c r="E1481" s="75">
        <v>46001</v>
      </c>
      <c r="F1481" s="75">
        <v>46007</v>
      </c>
    </row>
    <row r="1482" spans="1:6" x14ac:dyDescent="0.35">
      <c r="A1482">
        <v>5736</v>
      </c>
      <c r="B1482">
        <v>2025</v>
      </c>
      <c r="C1482">
        <v>51</v>
      </c>
      <c r="D1482" t="s">
        <v>204</v>
      </c>
      <c r="E1482" s="75">
        <v>46001</v>
      </c>
      <c r="F1482" s="75">
        <v>46007</v>
      </c>
    </row>
    <row r="1483" spans="1:6" x14ac:dyDescent="0.35">
      <c r="A1483">
        <v>5737</v>
      </c>
      <c r="B1483">
        <v>2025</v>
      </c>
      <c r="C1483">
        <v>51</v>
      </c>
      <c r="D1483" t="s">
        <v>204</v>
      </c>
      <c r="E1483" s="75">
        <v>46001</v>
      </c>
      <c r="F1483" s="75">
        <v>46007</v>
      </c>
    </row>
    <row r="1484" spans="1:6" x14ac:dyDescent="0.35">
      <c r="A1484">
        <v>5738</v>
      </c>
      <c r="B1484">
        <v>2025</v>
      </c>
      <c r="C1484">
        <v>51</v>
      </c>
      <c r="D1484" t="s">
        <v>204</v>
      </c>
      <c r="E1484" s="75">
        <v>46001</v>
      </c>
      <c r="F1484" s="75">
        <v>46007</v>
      </c>
    </row>
    <row r="1485" spans="1:6" x14ac:dyDescent="0.35">
      <c r="A1485">
        <v>5739</v>
      </c>
      <c r="B1485">
        <v>2025</v>
      </c>
      <c r="C1485">
        <v>51</v>
      </c>
      <c r="D1485" t="s">
        <v>204</v>
      </c>
      <c r="E1485" s="75">
        <v>46001</v>
      </c>
      <c r="F1485" s="75">
        <v>46007</v>
      </c>
    </row>
    <row r="1486" spans="1:6" x14ac:dyDescent="0.35">
      <c r="A1486">
        <v>5740</v>
      </c>
      <c r="B1486">
        <v>2025</v>
      </c>
      <c r="C1486">
        <v>51</v>
      </c>
      <c r="D1486" t="s">
        <v>204</v>
      </c>
      <c r="E1486" s="75">
        <v>46001</v>
      </c>
      <c r="F1486" s="75">
        <v>46007</v>
      </c>
    </row>
    <row r="1487" spans="1:6" x14ac:dyDescent="0.35">
      <c r="A1487">
        <v>5741</v>
      </c>
      <c r="B1487">
        <v>2025</v>
      </c>
      <c r="C1487">
        <v>51</v>
      </c>
      <c r="D1487" t="s">
        <v>204</v>
      </c>
      <c r="E1487" s="75">
        <v>46001</v>
      </c>
      <c r="F1487" s="75">
        <v>46007</v>
      </c>
    </row>
    <row r="1488" spans="1:6" x14ac:dyDescent="0.35">
      <c r="A1488">
        <v>5742</v>
      </c>
      <c r="B1488">
        <v>2025</v>
      </c>
      <c r="C1488">
        <v>51</v>
      </c>
      <c r="D1488" t="s">
        <v>204</v>
      </c>
      <c r="E1488" s="75">
        <v>46001</v>
      </c>
      <c r="F1488" s="75">
        <v>46007</v>
      </c>
    </row>
    <row r="1489" spans="1:6" x14ac:dyDescent="0.35">
      <c r="A1489">
        <v>5743</v>
      </c>
      <c r="B1489">
        <v>2025</v>
      </c>
      <c r="C1489">
        <v>51</v>
      </c>
      <c r="D1489" t="s">
        <v>204</v>
      </c>
      <c r="E1489" s="75">
        <v>46001</v>
      </c>
      <c r="F1489" s="75">
        <v>46007</v>
      </c>
    </row>
    <row r="1490" spans="1:6" x14ac:dyDescent="0.35">
      <c r="A1490">
        <v>5744</v>
      </c>
      <c r="B1490">
        <v>2025</v>
      </c>
      <c r="C1490">
        <v>51</v>
      </c>
      <c r="D1490" t="s">
        <v>204</v>
      </c>
      <c r="E1490" s="75">
        <v>46001</v>
      </c>
      <c r="F1490" s="75">
        <v>46007</v>
      </c>
    </row>
    <row r="1491" spans="1:6" x14ac:dyDescent="0.35">
      <c r="A1491">
        <v>5745</v>
      </c>
      <c r="B1491">
        <v>2025</v>
      </c>
      <c r="C1491">
        <v>51</v>
      </c>
      <c r="D1491" t="s">
        <v>204</v>
      </c>
      <c r="E1491" s="75">
        <v>46001</v>
      </c>
      <c r="F1491" s="75">
        <v>46007</v>
      </c>
    </row>
    <row r="1492" spans="1:6" x14ac:dyDescent="0.35">
      <c r="A1492">
        <v>5746</v>
      </c>
      <c r="B1492">
        <v>2025</v>
      </c>
      <c r="C1492">
        <v>51</v>
      </c>
      <c r="D1492" t="s">
        <v>204</v>
      </c>
      <c r="E1492" s="75">
        <v>46001</v>
      </c>
      <c r="F1492" s="75">
        <v>46007</v>
      </c>
    </row>
    <row r="1493" spans="1:6" x14ac:dyDescent="0.35">
      <c r="A1493">
        <v>5747</v>
      </c>
      <c r="B1493">
        <v>2025</v>
      </c>
      <c r="C1493">
        <v>51</v>
      </c>
      <c r="D1493" t="s">
        <v>204</v>
      </c>
      <c r="E1493" s="75">
        <v>46001</v>
      </c>
      <c r="F1493" s="75">
        <v>46007</v>
      </c>
    </row>
    <row r="1494" spans="1:6" x14ac:dyDescent="0.35">
      <c r="A1494">
        <v>5748</v>
      </c>
      <c r="B1494">
        <v>2025</v>
      </c>
      <c r="C1494">
        <v>51</v>
      </c>
      <c r="D1494" t="s">
        <v>204</v>
      </c>
      <c r="E1494" s="75">
        <v>46001</v>
      </c>
      <c r="F1494" s="75">
        <v>46007</v>
      </c>
    </row>
    <row r="1495" spans="1:6" x14ac:dyDescent="0.35">
      <c r="A1495">
        <v>5749</v>
      </c>
      <c r="B1495">
        <v>2025</v>
      </c>
      <c r="C1495">
        <v>51</v>
      </c>
      <c r="D1495" t="s">
        <v>204</v>
      </c>
      <c r="E1495" s="75">
        <v>46001</v>
      </c>
      <c r="F1495" s="75">
        <v>46007</v>
      </c>
    </row>
    <row r="1496" spans="1:6" x14ac:dyDescent="0.35">
      <c r="A1496">
        <v>5750</v>
      </c>
      <c r="B1496">
        <v>2025</v>
      </c>
      <c r="C1496">
        <v>51</v>
      </c>
      <c r="D1496" t="s">
        <v>204</v>
      </c>
      <c r="E1496" s="75">
        <v>46001</v>
      </c>
      <c r="F1496" s="75">
        <v>46007</v>
      </c>
    </row>
    <row r="1497" spans="1:6" x14ac:dyDescent="0.35">
      <c r="A1497">
        <v>5751</v>
      </c>
      <c r="B1497">
        <v>2025</v>
      </c>
      <c r="C1497">
        <v>51</v>
      </c>
      <c r="D1497" t="s">
        <v>204</v>
      </c>
      <c r="E1497" s="75">
        <v>46001</v>
      </c>
      <c r="F1497" s="75">
        <v>46007</v>
      </c>
    </row>
    <row r="1498" spans="1:6" x14ac:dyDescent="0.35">
      <c r="A1498">
        <v>5752</v>
      </c>
      <c r="B1498">
        <v>2025</v>
      </c>
      <c r="C1498">
        <v>51</v>
      </c>
      <c r="D1498" t="s">
        <v>204</v>
      </c>
      <c r="E1498" s="75">
        <v>46001</v>
      </c>
      <c r="F1498" s="75">
        <v>46007</v>
      </c>
    </row>
    <row r="1499" spans="1:6" x14ac:dyDescent="0.35">
      <c r="A1499">
        <v>5753</v>
      </c>
      <c r="B1499">
        <v>2025</v>
      </c>
      <c r="C1499">
        <v>51</v>
      </c>
      <c r="D1499" t="s">
        <v>204</v>
      </c>
      <c r="E1499" s="75">
        <v>46001</v>
      </c>
      <c r="F1499" s="75">
        <v>46007</v>
      </c>
    </row>
    <row r="1500" spans="1:6" x14ac:dyDescent="0.35">
      <c r="A1500">
        <v>5754</v>
      </c>
      <c r="B1500">
        <v>2025</v>
      </c>
      <c r="C1500">
        <v>51</v>
      </c>
      <c r="D1500" t="s">
        <v>204</v>
      </c>
      <c r="E1500" s="75">
        <v>46001</v>
      </c>
      <c r="F1500" s="75">
        <v>46007</v>
      </c>
    </row>
    <row r="1501" spans="1:6" x14ac:dyDescent="0.35">
      <c r="A1501">
        <v>5755</v>
      </c>
      <c r="B1501">
        <v>2025</v>
      </c>
      <c r="C1501">
        <v>52</v>
      </c>
      <c r="D1501" t="s">
        <v>205</v>
      </c>
      <c r="E1501" s="75">
        <v>46008</v>
      </c>
      <c r="F1501" s="75">
        <v>46014</v>
      </c>
    </row>
    <row r="1502" spans="1:6" x14ac:dyDescent="0.35">
      <c r="A1502">
        <v>5756</v>
      </c>
      <c r="B1502">
        <v>2025</v>
      </c>
      <c r="C1502">
        <v>52</v>
      </c>
      <c r="D1502" t="s">
        <v>205</v>
      </c>
      <c r="E1502" s="75">
        <v>46008</v>
      </c>
      <c r="F1502" s="75">
        <v>46014</v>
      </c>
    </row>
    <row r="1503" spans="1:6" x14ac:dyDescent="0.35">
      <c r="A1503">
        <v>5757</v>
      </c>
      <c r="B1503">
        <v>2025</v>
      </c>
      <c r="C1503">
        <v>52</v>
      </c>
      <c r="D1503" t="s">
        <v>205</v>
      </c>
      <c r="E1503" s="75">
        <v>46008</v>
      </c>
      <c r="F1503" s="75">
        <v>46014</v>
      </c>
    </row>
    <row r="1504" spans="1:6" x14ac:dyDescent="0.35">
      <c r="A1504">
        <v>5758</v>
      </c>
      <c r="B1504">
        <v>2025</v>
      </c>
      <c r="C1504">
        <v>52</v>
      </c>
      <c r="D1504" t="s">
        <v>205</v>
      </c>
      <c r="E1504" s="75">
        <v>46008</v>
      </c>
      <c r="F1504" s="75">
        <v>46014</v>
      </c>
    </row>
    <row r="1505" spans="1:6" x14ac:dyDescent="0.35">
      <c r="A1505">
        <v>5759</v>
      </c>
      <c r="B1505">
        <v>2025</v>
      </c>
      <c r="C1505">
        <v>52</v>
      </c>
      <c r="D1505" t="s">
        <v>205</v>
      </c>
      <c r="E1505" s="75">
        <v>46008</v>
      </c>
      <c r="F1505" s="75">
        <v>46014</v>
      </c>
    </row>
    <row r="1506" spans="1:6" x14ac:dyDescent="0.35">
      <c r="A1506">
        <v>5760</v>
      </c>
      <c r="B1506">
        <v>2025</v>
      </c>
      <c r="C1506">
        <v>52</v>
      </c>
      <c r="D1506" t="s">
        <v>205</v>
      </c>
      <c r="E1506" s="75">
        <v>46008</v>
      </c>
      <c r="F1506" s="75">
        <v>46014</v>
      </c>
    </row>
    <row r="1507" spans="1:6" x14ac:dyDescent="0.35">
      <c r="A1507">
        <v>5761</v>
      </c>
      <c r="B1507">
        <v>2025</v>
      </c>
      <c r="C1507">
        <v>52</v>
      </c>
      <c r="D1507" t="s">
        <v>205</v>
      </c>
      <c r="E1507" s="75">
        <v>46008</v>
      </c>
      <c r="F1507" s="75">
        <v>46014</v>
      </c>
    </row>
    <row r="1508" spans="1:6" x14ac:dyDescent="0.35">
      <c r="A1508">
        <v>5762</v>
      </c>
      <c r="B1508">
        <v>2025</v>
      </c>
      <c r="C1508">
        <v>52</v>
      </c>
      <c r="D1508" t="s">
        <v>205</v>
      </c>
      <c r="E1508" s="75">
        <v>46008</v>
      </c>
      <c r="F1508" s="75">
        <v>46014</v>
      </c>
    </row>
    <row r="1509" spans="1:6" x14ac:dyDescent="0.35">
      <c r="A1509">
        <v>5763</v>
      </c>
      <c r="B1509">
        <v>2025</v>
      </c>
      <c r="C1509">
        <v>52</v>
      </c>
      <c r="D1509" t="s">
        <v>205</v>
      </c>
      <c r="E1509" s="75">
        <v>46008</v>
      </c>
      <c r="F1509" s="75">
        <v>46014</v>
      </c>
    </row>
    <row r="1510" spans="1:6" x14ac:dyDescent="0.35">
      <c r="A1510">
        <v>5764</v>
      </c>
      <c r="B1510">
        <v>2025</v>
      </c>
      <c r="C1510">
        <v>52</v>
      </c>
      <c r="D1510" t="s">
        <v>205</v>
      </c>
      <c r="E1510" s="75">
        <v>46008</v>
      </c>
      <c r="F1510" s="75">
        <v>46014</v>
      </c>
    </row>
    <row r="1511" spans="1:6" x14ac:dyDescent="0.35">
      <c r="A1511">
        <v>5765</v>
      </c>
      <c r="B1511">
        <v>2025</v>
      </c>
      <c r="C1511">
        <v>52</v>
      </c>
      <c r="D1511" t="s">
        <v>205</v>
      </c>
      <c r="E1511" s="75">
        <v>46008</v>
      </c>
      <c r="F1511" s="75">
        <v>46014</v>
      </c>
    </row>
    <row r="1512" spans="1:6" x14ac:dyDescent="0.35">
      <c r="A1512">
        <v>5766</v>
      </c>
      <c r="B1512">
        <v>2025</v>
      </c>
      <c r="C1512">
        <v>52</v>
      </c>
      <c r="D1512" t="s">
        <v>205</v>
      </c>
      <c r="E1512" s="75">
        <v>46008</v>
      </c>
      <c r="F1512" s="75">
        <v>46014</v>
      </c>
    </row>
    <row r="1513" spans="1:6" x14ac:dyDescent="0.35">
      <c r="A1513">
        <v>5767</v>
      </c>
      <c r="B1513">
        <v>2025</v>
      </c>
      <c r="C1513">
        <v>52</v>
      </c>
      <c r="D1513" t="s">
        <v>205</v>
      </c>
      <c r="E1513" s="75">
        <v>46008</v>
      </c>
      <c r="F1513" s="75">
        <v>46014</v>
      </c>
    </row>
    <row r="1514" spans="1:6" x14ac:dyDescent="0.35">
      <c r="A1514">
        <v>5768</v>
      </c>
      <c r="B1514">
        <v>2025</v>
      </c>
      <c r="C1514">
        <v>52</v>
      </c>
      <c r="D1514" t="s">
        <v>205</v>
      </c>
      <c r="E1514" s="75">
        <v>46008</v>
      </c>
      <c r="F1514" s="75">
        <v>46014</v>
      </c>
    </row>
    <row r="1515" spans="1:6" x14ac:dyDescent="0.35">
      <c r="A1515">
        <v>5769</v>
      </c>
      <c r="B1515">
        <v>2025</v>
      </c>
      <c r="C1515">
        <v>52</v>
      </c>
      <c r="D1515" t="s">
        <v>205</v>
      </c>
      <c r="E1515" s="75">
        <v>46008</v>
      </c>
      <c r="F1515" s="75">
        <v>46014</v>
      </c>
    </row>
    <row r="1516" spans="1:6" x14ac:dyDescent="0.35">
      <c r="A1516">
        <v>5770</v>
      </c>
      <c r="B1516">
        <v>2025</v>
      </c>
      <c r="C1516">
        <v>52</v>
      </c>
      <c r="D1516" t="s">
        <v>205</v>
      </c>
      <c r="E1516" s="75">
        <v>46008</v>
      </c>
      <c r="F1516" s="75">
        <v>46014</v>
      </c>
    </row>
    <row r="1517" spans="1:6" x14ac:dyDescent="0.35">
      <c r="A1517">
        <v>5771</v>
      </c>
      <c r="B1517">
        <v>2025</v>
      </c>
      <c r="C1517">
        <v>52</v>
      </c>
      <c r="D1517" t="s">
        <v>205</v>
      </c>
      <c r="E1517" s="75">
        <v>46008</v>
      </c>
      <c r="F1517" s="75">
        <v>46014</v>
      </c>
    </row>
    <row r="1518" spans="1:6" x14ac:dyDescent="0.35">
      <c r="A1518">
        <v>5772</v>
      </c>
      <c r="B1518">
        <v>2025</v>
      </c>
      <c r="C1518">
        <v>52</v>
      </c>
      <c r="D1518" t="s">
        <v>205</v>
      </c>
      <c r="E1518" s="75">
        <v>46008</v>
      </c>
      <c r="F1518" s="75">
        <v>46014</v>
      </c>
    </row>
    <row r="1519" spans="1:6" x14ac:dyDescent="0.35">
      <c r="A1519">
        <v>5773</v>
      </c>
      <c r="B1519">
        <v>2025</v>
      </c>
      <c r="C1519">
        <v>52</v>
      </c>
      <c r="D1519" t="s">
        <v>205</v>
      </c>
      <c r="E1519" s="75">
        <v>46008</v>
      </c>
      <c r="F1519" s="75">
        <v>46014</v>
      </c>
    </row>
    <row r="1520" spans="1:6" x14ac:dyDescent="0.35">
      <c r="A1520">
        <v>5774</v>
      </c>
      <c r="B1520">
        <v>2025</v>
      </c>
      <c r="C1520">
        <v>52</v>
      </c>
      <c r="D1520" t="s">
        <v>205</v>
      </c>
      <c r="E1520" s="75">
        <v>46008</v>
      </c>
      <c r="F1520" s="75">
        <v>46014</v>
      </c>
    </row>
    <row r="1521" spans="1:6" x14ac:dyDescent="0.35">
      <c r="A1521">
        <v>5775</v>
      </c>
      <c r="B1521">
        <v>2025</v>
      </c>
      <c r="C1521">
        <v>52</v>
      </c>
      <c r="D1521" t="s">
        <v>205</v>
      </c>
      <c r="E1521" s="75">
        <v>46008</v>
      </c>
      <c r="F1521" s="75">
        <v>46014</v>
      </c>
    </row>
    <row r="1522" spans="1:6" x14ac:dyDescent="0.35">
      <c r="A1522">
        <v>5776</v>
      </c>
      <c r="B1522">
        <v>2025</v>
      </c>
      <c r="C1522">
        <v>52</v>
      </c>
      <c r="D1522" t="s">
        <v>205</v>
      </c>
      <c r="E1522" s="75">
        <v>46008</v>
      </c>
      <c r="F1522" s="75">
        <v>46014</v>
      </c>
    </row>
    <row r="1523" spans="1:6" x14ac:dyDescent="0.35">
      <c r="A1523">
        <v>5777</v>
      </c>
      <c r="B1523">
        <v>2025</v>
      </c>
      <c r="C1523">
        <v>52</v>
      </c>
      <c r="D1523" t="s">
        <v>205</v>
      </c>
      <c r="E1523" s="75">
        <v>46008</v>
      </c>
      <c r="F1523" s="75">
        <v>46014</v>
      </c>
    </row>
    <row r="1524" spans="1:6" x14ac:dyDescent="0.35">
      <c r="A1524">
        <v>5778</v>
      </c>
      <c r="B1524">
        <v>2025</v>
      </c>
      <c r="C1524">
        <v>52</v>
      </c>
      <c r="D1524" t="s">
        <v>205</v>
      </c>
      <c r="E1524" s="75">
        <v>46008</v>
      </c>
      <c r="F1524" s="75">
        <v>46014</v>
      </c>
    </row>
    <row r="1525" spans="1:6" x14ac:dyDescent="0.35">
      <c r="A1525">
        <v>5779</v>
      </c>
      <c r="B1525">
        <v>2025</v>
      </c>
      <c r="C1525">
        <v>52</v>
      </c>
      <c r="D1525" t="s">
        <v>205</v>
      </c>
      <c r="E1525" s="75">
        <v>46008</v>
      </c>
      <c r="F1525" s="75">
        <v>46014</v>
      </c>
    </row>
    <row r="1526" spans="1:6" x14ac:dyDescent="0.35">
      <c r="A1526">
        <v>5780</v>
      </c>
      <c r="B1526">
        <v>2025</v>
      </c>
      <c r="C1526">
        <v>52</v>
      </c>
      <c r="D1526" t="s">
        <v>205</v>
      </c>
      <c r="E1526" s="75">
        <v>46008</v>
      </c>
      <c r="F1526" s="75">
        <v>46014</v>
      </c>
    </row>
    <row r="1527" spans="1:6" x14ac:dyDescent="0.35">
      <c r="A1527">
        <v>5781</v>
      </c>
      <c r="B1527">
        <v>2025</v>
      </c>
      <c r="C1527">
        <v>52</v>
      </c>
      <c r="D1527" t="s">
        <v>205</v>
      </c>
      <c r="E1527" s="75">
        <v>46008</v>
      </c>
      <c r="F1527" s="75">
        <v>46014</v>
      </c>
    </row>
    <row r="1528" spans="1:6" x14ac:dyDescent="0.35">
      <c r="A1528">
        <v>5782</v>
      </c>
      <c r="B1528">
        <v>2025</v>
      </c>
      <c r="C1528">
        <v>52</v>
      </c>
      <c r="D1528" t="s">
        <v>205</v>
      </c>
      <c r="E1528" s="75">
        <v>46008</v>
      </c>
      <c r="F1528" s="75">
        <v>46014</v>
      </c>
    </row>
    <row r="1529" spans="1:6" x14ac:dyDescent="0.35">
      <c r="A1529">
        <v>0</v>
      </c>
      <c r="B1529">
        <v>2026</v>
      </c>
      <c r="C1529">
        <v>1</v>
      </c>
      <c r="D1529" t="s">
        <v>206</v>
      </c>
      <c r="E1529" s="75">
        <v>46015</v>
      </c>
      <c r="F1529" s="75">
        <v>46021</v>
      </c>
    </row>
    <row r="1530" spans="1:6" x14ac:dyDescent="0.35">
      <c r="A1530">
        <v>5783</v>
      </c>
      <c r="B1530">
        <v>2026</v>
      </c>
      <c r="C1530">
        <v>2</v>
      </c>
      <c r="D1530" t="s">
        <v>207</v>
      </c>
      <c r="E1530" s="75">
        <v>46022</v>
      </c>
      <c r="F1530" s="75">
        <v>46028</v>
      </c>
    </row>
    <row r="1531" spans="1:6" x14ac:dyDescent="0.35">
      <c r="A1531">
        <v>5784</v>
      </c>
      <c r="B1531">
        <v>2026</v>
      </c>
      <c r="C1531">
        <v>2</v>
      </c>
      <c r="D1531" t="s">
        <v>207</v>
      </c>
      <c r="E1531" s="75">
        <v>46022</v>
      </c>
      <c r="F1531" s="75">
        <v>46028</v>
      </c>
    </row>
    <row r="1532" spans="1:6" x14ac:dyDescent="0.35">
      <c r="A1532">
        <v>5785</v>
      </c>
      <c r="B1532">
        <v>2026</v>
      </c>
      <c r="C1532">
        <v>3</v>
      </c>
      <c r="D1532" t="s">
        <v>208</v>
      </c>
      <c r="E1532" s="75">
        <v>46029</v>
      </c>
      <c r="F1532" s="75">
        <v>46035</v>
      </c>
    </row>
    <row r="1533" spans="1:6" x14ac:dyDescent="0.35">
      <c r="A1533">
        <v>5786</v>
      </c>
      <c r="B1533">
        <v>2026</v>
      </c>
      <c r="C1533">
        <v>3</v>
      </c>
      <c r="D1533" t="s">
        <v>208</v>
      </c>
      <c r="E1533" s="75">
        <v>46029</v>
      </c>
      <c r="F1533" s="75">
        <v>46035</v>
      </c>
    </row>
    <row r="1534" spans="1:6" x14ac:dyDescent="0.35">
      <c r="A1534">
        <v>5787</v>
      </c>
      <c r="B1534">
        <v>2026</v>
      </c>
      <c r="C1534">
        <v>3</v>
      </c>
      <c r="D1534" t="s">
        <v>208</v>
      </c>
      <c r="E1534" s="75">
        <v>46029</v>
      </c>
      <c r="F1534" s="75">
        <v>46035</v>
      </c>
    </row>
    <row r="1535" spans="1:6" x14ac:dyDescent="0.35">
      <c r="A1535">
        <v>5788</v>
      </c>
      <c r="B1535">
        <v>2026</v>
      </c>
      <c r="C1535">
        <v>3</v>
      </c>
      <c r="D1535" t="s">
        <v>208</v>
      </c>
      <c r="E1535" s="75">
        <v>46029</v>
      </c>
      <c r="F1535" s="75">
        <v>46035</v>
      </c>
    </row>
    <row r="1536" spans="1:6" x14ac:dyDescent="0.35">
      <c r="A1536">
        <v>5789</v>
      </c>
      <c r="B1536">
        <v>2026</v>
      </c>
      <c r="C1536">
        <v>3</v>
      </c>
      <c r="D1536" t="s">
        <v>208</v>
      </c>
      <c r="E1536" s="75">
        <v>46029</v>
      </c>
      <c r="F1536" s="75">
        <v>46035</v>
      </c>
    </row>
    <row r="1537" spans="1:6" x14ac:dyDescent="0.35">
      <c r="A1537">
        <v>5790</v>
      </c>
      <c r="B1537">
        <v>2026</v>
      </c>
      <c r="C1537">
        <v>4</v>
      </c>
      <c r="D1537" t="s">
        <v>209</v>
      </c>
      <c r="E1537" s="75">
        <v>46036</v>
      </c>
      <c r="F1537" s="75">
        <v>46042</v>
      </c>
    </row>
    <row r="1538" spans="1:6" x14ac:dyDescent="0.35">
      <c r="A1538">
        <v>5791</v>
      </c>
      <c r="B1538">
        <v>2026</v>
      </c>
      <c r="C1538">
        <v>4</v>
      </c>
      <c r="D1538" t="s">
        <v>209</v>
      </c>
      <c r="E1538" s="75">
        <v>46036</v>
      </c>
      <c r="F1538" s="75">
        <v>46042</v>
      </c>
    </row>
    <row r="1539" spans="1:6" x14ac:dyDescent="0.35">
      <c r="A1539">
        <v>5792</v>
      </c>
      <c r="B1539">
        <v>2026</v>
      </c>
      <c r="C1539">
        <v>4</v>
      </c>
      <c r="D1539" t="s">
        <v>209</v>
      </c>
      <c r="E1539" s="75">
        <v>46036</v>
      </c>
      <c r="F1539" s="75">
        <v>46042</v>
      </c>
    </row>
    <row r="1540" spans="1:6" x14ac:dyDescent="0.35">
      <c r="A1540">
        <v>5793</v>
      </c>
      <c r="B1540">
        <v>2026</v>
      </c>
      <c r="C1540">
        <v>4</v>
      </c>
      <c r="D1540" t="s">
        <v>209</v>
      </c>
      <c r="E1540" s="75">
        <v>46036</v>
      </c>
      <c r="F1540" s="75">
        <v>46042</v>
      </c>
    </row>
    <row r="1541" spans="1:6" x14ac:dyDescent="0.35">
      <c r="A1541">
        <v>5794</v>
      </c>
      <c r="B1541">
        <v>2026</v>
      </c>
      <c r="C1541">
        <v>4</v>
      </c>
      <c r="D1541" t="s">
        <v>209</v>
      </c>
      <c r="E1541" s="75">
        <v>46036</v>
      </c>
      <c r="F1541" s="75">
        <v>46042</v>
      </c>
    </row>
    <row r="1542" spans="1:6" x14ac:dyDescent="0.35">
      <c r="A1542">
        <v>5795</v>
      </c>
      <c r="B1542">
        <v>2026</v>
      </c>
      <c r="C1542">
        <v>4</v>
      </c>
      <c r="D1542" t="s">
        <v>209</v>
      </c>
      <c r="E1542" s="75">
        <v>46036</v>
      </c>
      <c r="F1542" s="75">
        <v>46042</v>
      </c>
    </row>
    <row r="1543" spans="1:6" x14ac:dyDescent="0.35">
      <c r="A1543">
        <v>5796</v>
      </c>
      <c r="B1543">
        <v>2026</v>
      </c>
      <c r="C1543">
        <v>4</v>
      </c>
      <c r="D1543" t="s">
        <v>209</v>
      </c>
      <c r="E1543" s="75">
        <v>46036</v>
      </c>
      <c r="F1543" s="75">
        <v>46042</v>
      </c>
    </row>
    <row r="1544" spans="1:6" x14ac:dyDescent="0.35">
      <c r="A1544">
        <v>5797</v>
      </c>
      <c r="B1544">
        <v>2026</v>
      </c>
      <c r="C1544">
        <v>4</v>
      </c>
      <c r="D1544" t="s">
        <v>209</v>
      </c>
      <c r="E1544" s="75">
        <v>46036</v>
      </c>
      <c r="F1544" s="75">
        <v>46042</v>
      </c>
    </row>
    <row r="1545" spans="1:6" x14ac:dyDescent="0.35">
      <c r="A1545">
        <v>5798</v>
      </c>
      <c r="B1545">
        <v>2026</v>
      </c>
      <c r="C1545">
        <v>4</v>
      </c>
      <c r="D1545" t="s">
        <v>209</v>
      </c>
      <c r="E1545" s="75">
        <v>46036</v>
      </c>
      <c r="F1545" s="75">
        <v>46042</v>
      </c>
    </row>
    <row r="1546" spans="1:6" x14ac:dyDescent="0.35">
      <c r="A1546">
        <v>5799</v>
      </c>
      <c r="B1546">
        <v>2026</v>
      </c>
      <c r="C1546">
        <v>4</v>
      </c>
      <c r="D1546" t="s">
        <v>209</v>
      </c>
      <c r="E1546" s="75">
        <v>46036</v>
      </c>
      <c r="F1546" s="75">
        <v>46042</v>
      </c>
    </row>
    <row r="1547" spans="1:6" x14ac:dyDescent="0.35">
      <c r="A1547">
        <v>5800</v>
      </c>
      <c r="B1547">
        <v>2026</v>
      </c>
      <c r="C1547">
        <v>4</v>
      </c>
      <c r="D1547" t="s">
        <v>209</v>
      </c>
      <c r="E1547" s="75">
        <v>46036</v>
      </c>
      <c r="F1547" s="75">
        <v>46042</v>
      </c>
    </row>
    <row r="1548" spans="1:6" x14ac:dyDescent="0.35">
      <c r="A1548">
        <v>5801</v>
      </c>
      <c r="B1548">
        <v>2026</v>
      </c>
      <c r="C1548">
        <v>4</v>
      </c>
      <c r="D1548" t="s">
        <v>209</v>
      </c>
      <c r="E1548" s="75">
        <v>46036</v>
      </c>
      <c r="F1548" s="75">
        <v>46042</v>
      </c>
    </row>
    <row r="1549" spans="1:6" x14ac:dyDescent="0.35">
      <c r="A1549">
        <v>5802</v>
      </c>
      <c r="B1549">
        <v>2026</v>
      </c>
      <c r="C1549">
        <v>4</v>
      </c>
      <c r="D1549" t="s">
        <v>209</v>
      </c>
      <c r="E1549" s="75">
        <v>46036</v>
      </c>
      <c r="F1549" s="75">
        <v>46042</v>
      </c>
    </row>
    <row r="1550" spans="1:6" x14ac:dyDescent="0.35">
      <c r="A1550">
        <v>5803</v>
      </c>
      <c r="B1550">
        <v>2026</v>
      </c>
      <c r="C1550">
        <v>4</v>
      </c>
      <c r="D1550" t="s">
        <v>209</v>
      </c>
      <c r="E1550" s="75">
        <v>46036</v>
      </c>
      <c r="F1550" s="75">
        <v>46042</v>
      </c>
    </row>
    <row r="1551" spans="1:6" x14ac:dyDescent="0.35">
      <c r="A1551">
        <v>5804</v>
      </c>
      <c r="B1551">
        <v>2026</v>
      </c>
      <c r="C1551">
        <v>5</v>
      </c>
      <c r="D1551" t="s">
        <v>210</v>
      </c>
      <c r="E1551" s="75">
        <v>46043</v>
      </c>
      <c r="F1551" s="75">
        <v>46049</v>
      </c>
    </row>
    <row r="1552" spans="1:6" x14ac:dyDescent="0.35">
      <c r="A1552">
        <v>5805</v>
      </c>
      <c r="B1552">
        <v>2026</v>
      </c>
      <c r="C1552">
        <v>5</v>
      </c>
      <c r="D1552" t="s">
        <v>210</v>
      </c>
      <c r="E1552" s="75">
        <v>46043</v>
      </c>
      <c r="F1552" s="75">
        <v>46049</v>
      </c>
    </row>
    <row r="1553" spans="1:6" x14ac:dyDescent="0.35">
      <c r="A1553">
        <v>5806</v>
      </c>
      <c r="B1553">
        <v>2026</v>
      </c>
      <c r="C1553">
        <v>5</v>
      </c>
      <c r="D1553" t="s">
        <v>210</v>
      </c>
      <c r="E1553" s="75">
        <v>46043</v>
      </c>
      <c r="F1553" s="75">
        <v>46049</v>
      </c>
    </row>
    <row r="1554" spans="1:6" x14ac:dyDescent="0.35">
      <c r="A1554">
        <v>5807</v>
      </c>
      <c r="B1554">
        <v>2026</v>
      </c>
      <c r="C1554">
        <v>5</v>
      </c>
      <c r="D1554" t="s">
        <v>210</v>
      </c>
      <c r="E1554" s="75">
        <v>46043</v>
      </c>
      <c r="F1554" s="75">
        <v>46049</v>
      </c>
    </row>
    <row r="1555" spans="1:6" x14ac:dyDescent="0.35">
      <c r="A1555">
        <v>5808</v>
      </c>
      <c r="B1555">
        <v>2026</v>
      </c>
      <c r="C1555">
        <v>5</v>
      </c>
      <c r="D1555" t="s">
        <v>210</v>
      </c>
      <c r="E1555" s="75">
        <v>46043</v>
      </c>
      <c r="F1555" s="75">
        <v>46049</v>
      </c>
    </row>
    <row r="1556" spans="1:6" x14ac:dyDescent="0.35">
      <c r="A1556">
        <v>5809</v>
      </c>
      <c r="B1556">
        <v>2026</v>
      </c>
      <c r="C1556">
        <v>5</v>
      </c>
      <c r="D1556" t="s">
        <v>210</v>
      </c>
      <c r="E1556" s="75">
        <v>46043</v>
      </c>
      <c r="F1556" s="75">
        <v>46049</v>
      </c>
    </row>
    <row r="1557" spans="1:6" x14ac:dyDescent="0.35">
      <c r="A1557">
        <v>5810</v>
      </c>
      <c r="B1557">
        <v>2026</v>
      </c>
      <c r="C1557">
        <v>5</v>
      </c>
      <c r="D1557" t="s">
        <v>210</v>
      </c>
      <c r="E1557" s="75">
        <v>46043</v>
      </c>
      <c r="F1557" s="75">
        <v>46049</v>
      </c>
    </row>
    <row r="1558" spans="1:6" x14ac:dyDescent="0.35">
      <c r="A1558">
        <v>5811</v>
      </c>
      <c r="B1558">
        <v>2026</v>
      </c>
      <c r="C1558">
        <v>5</v>
      </c>
      <c r="D1558" t="s">
        <v>210</v>
      </c>
      <c r="E1558" s="75">
        <v>46043</v>
      </c>
      <c r="F1558" s="75">
        <v>46049</v>
      </c>
    </row>
    <row r="1559" spans="1:6" x14ac:dyDescent="0.35">
      <c r="A1559">
        <v>5812</v>
      </c>
      <c r="B1559">
        <v>2026</v>
      </c>
      <c r="C1559">
        <v>5</v>
      </c>
      <c r="D1559" t="s">
        <v>210</v>
      </c>
      <c r="E1559" s="75">
        <v>46043</v>
      </c>
      <c r="F1559" s="75">
        <v>46049</v>
      </c>
    </row>
    <row r="1560" spans="1:6" x14ac:dyDescent="0.35">
      <c r="A1560">
        <v>5813</v>
      </c>
      <c r="B1560">
        <v>2026</v>
      </c>
      <c r="C1560">
        <v>5</v>
      </c>
      <c r="D1560" t="s">
        <v>210</v>
      </c>
      <c r="E1560" s="75">
        <v>46043</v>
      </c>
      <c r="F1560" s="75">
        <v>46049</v>
      </c>
    </row>
    <row r="1561" spans="1:6" x14ac:dyDescent="0.35">
      <c r="A1561">
        <v>5814</v>
      </c>
      <c r="B1561">
        <v>2026</v>
      </c>
      <c r="C1561">
        <v>5</v>
      </c>
      <c r="D1561" t="s">
        <v>210</v>
      </c>
      <c r="E1561" s="75">
        <v>46043</v>
      </c>
      <c r="F1561" s="75">
        <v>46049</v>
      </c>
    </row>
    <row r="1562" spans="1:6" x14ac:dyDescent="0.35">
      <c r="A1562">
        <v>5815</v>
      </c>
      <c r="B1562">
        <v>2026</v>
      </c>
      <c r="C1562">
        <v>5</v>
      </c>
      <c r="D1562" t="s">
        <v>210</v>
      </c>
      <c r="E1562" s="75">
        <v>46043</v>
      </c>
      <c r="F1562" s="75">
        <v>46049</v>
      </c>
    </row>
    <row r="1563" spans="1:6" x14ac:dyDescent="0.35">
      <c r="A1563">
        <v>5816</v>
      </c>
      <c r="B1563">
        <v>2026</v>
      </c>
      <c r="C1563">
        <v>5</v>
      </c>
      <c r="D1563" t="s">
        <v>210</v>
      </c>
      <c r="E1563" s="75">
        <v>46043</v>
      </c>
      <c r="F1563" s="75">
        <v>46049</v>
      </c>
    </row>
    <row r="1564" spans="1:6" x14ac:dyDescent="0.35">
      <c r="A1564">
        <v>5817</v>
      </c>
      <c r="B1564">
        <v>2026</v>
      </c>
      <c r="C1564">
        <v>5</v>
      </c>
      <c r="D1564" t="s">
        <v>210</v>
      </c>
      <c r="E1564" s="75">
        <v>46043</v>
      </c>
      <c r="F1564" s="75">
        <v>46049</v>
      </c>
    </row>
    <row r="1565" spans="1:6" x14ac:dyDescent="0.35">
      <c r="A1565">
        <v>5818</v>
      </c>
      <c r="B1565">
        <v>2026</v>
      </c>
      <c r="C1565">
        <v>5</v>
      </c>
      <c r="D1565" t="s">
        <v>210</v>
      </c>
      <c r="E1565" s="75">
        <v>46043</v>
      </c>
      <c r="F1565" s="75">
        <v>46049</v>
      </c>
    </row>
    <row r="1566" spans="1:6" x14ac:dyDescent="0.35">
      <c r="A1566">
        <v>5819</v>
      </c>
      <c r="B1566">
        <v>2026</v>
      </c>
      <c r="C1566">
        <v>5</v>
      </c>
      <c r="D1566" t="s">
        <v>210</v>
      </c>
      <c r="E1566" s="75">
        <v>46043</v>
      </c>
      <c r="F1566" s="75">
        <v>46049</v>
      </c>
    </row>
    <row r="1567" spans="1:6" x14ac:dyDescent="0.35">
      <c r="A1567">
        <v>5820</v>
      </c>
      <c r="B1567">
        <v>2026</v>
      </c>
      <c r="C1567">
        <v>5</v>
      </c>
      <c r="D1567" t="s">
        <v>210</v>
      </c>
      <c r="E1567" s="75">
        <v>46043</v>
      </c>
      <c r="F1567" s="75">
        <v>46049</v>
      </c>
    </row>
    <row r="1568" spans="1:6" x14ac:dyDescent="0.35">
      <c r="A1568">
        <v>5821</v>
      </c>
      <c r="B1568">
        <v>2026</v>
      </c>
      <c r="C1568">
        <v>5</v>
      </c>
      <c r="D1568" t="s">
        <v>210</v>
      </c>
      <c r="E1568" s="75">
        <v>46043</v>
      </c>
      <c r="F1568" s="75">
        <v>46049</v>
      </c>
    </row>
    <row r="1569" spans="1:6" x14ac:dyDescent="0.35">
      <c r="A1569">
        <v>5822</v>
      </c>
      <c r="B1569">
        <v>2026</v>
      </c>
      <c r="C1569">
        <v>5</v>
      </c>
      <c r="D1569" t="s">
        <v>210</v>
      </c>
      <c r="E1569" s="75">
        <v>46043</v>
      </c>
      <c r="F1569" s="75">
        <v>46049</v>
      </c>
    </row>
    <row r="1570" spans="1:6" x14ac:dyDescent="0.35">
      <c r="A1570">
        <v>5823</v>
      </c>
      <c r="B1570">
        <v>2026</v>
      </c>
      <c r="C1570">
        <v>5</v>
      </c>
      <c r="D1570" t="s">
        <v>210</v>
      </c>
      <c r="E1570" s="75">
        <v>46043</v>
      </c>
      <c r="F1570" s="75">
        <v>46049</v>
      </c>
    </row>
    <row r="1571" spans="1:6" x14ac:dyDescent="0.35">
      <c r="A1571">
        <v>5824</v>
      </c>
      <c r="B1571">
        <v>2026</v>
      </c>
      <c r="C1571">
        <v>5</v>
      </c>
      <c r="D1571" t="s">
        <v>210</v>
      </c>
      <c r="E1571" s="75">
        <v>46043</v>
      </c>
      <c r="F1571" s="75">
        <v>46049</v>
      </c>
    </row>
    <row r="1572" spans="1:6" x14ac:dyDescent="0.35">
      <c r="A1572">
        <v>5825</v>
      </c>
      <c r="B1572">
        <v>2026</v>
      </c>
      <c r="C1572">
        <v>5</v>
      </c>
      <c r="D1572" t="s">
        <v>210</v>
      </c>
      <c r="E1572" s="75">
        <v>46043</v>
      </c>
      <c r="F1572" s="75">
        <v>46049</v>
      </c>
    </row>
    <row r="1573" spans="1:6" x14ac:dyDescent="0.35">
      <c r="A1573">
        <v>5826</v>
      </c>
      <c r="B1573">
        <v>2026</v>
      </c>
      <c r="C1573">
        <v>5</v>
      </c>
      <c r="D1573" t="s">
        <v>210</v>
      </c>
      <c r="E1573" s="75">
        <v>46043</v>
      </c>
      <c r="F1573" s="75">
        <v>46049</v>
      </c>
    </row>
    <row r="1574" spans="1:6" x14ac:dyDescent="0.35">
      <c r="A1574">
        <v>5827</v>
      </c>
      <c r="B1574">
        <v>2026</v>
      </c>
      <c r="C1574">
        <v>6</v>
      </c>
      <c r="D1574" t="s">
        <v>211</v>
      </c>
      <c r="E1574" s="75">
        <v>46050</v>
      </c>
      <c r="F1574" s="75">
        <v>46056</v>
      </c>
    </row>
    <row r="1575" spans="1:6" x14ac:dyDescent="0.35">
      <c r="A1575">
        <v>5828</v>
      </c>
      <c r="B1575">
        <v>2026</v>
      </c>
      <c r="C1575">
        <v>6</v>
      </c>
      <c r="D1575" t="s">
        <v>211</v>
      </c>
      <c r="E1575" s="75">
        <v>46050</v>
      </c>
      <c r="F1575" s="75">
        <v>46056</v>
      </c>
    </row>
    <row r="1576" spans="1:6" x14ac:dyDescent="0.35">
      <c r="A1576">
        <v>5829</v>
      </c>
      <c r="B1576">
        <v>2026</v>
      </c>
      <c r="C1576">
        <v>6</v>
      </c>
      <c r="D1576" t="s">
        <v>211</v>
      </c>
      <c r="E1576" s="75">
        <v>46050</v>
      </c>
      <c r="F1576" s="75">
        <v>46056</v>
      </c>
    </row>
    <row r="1577" spans="1:6" x14ac:dyDescent="0.35">
      <c r="A1577">
        <v>5830</v>
      </c>
      <c r="B1577">
        <v>2026</v>
      </c>
      <c r="C1577">
        <v>6</v>
      </c>
      <c r="D1577" t="s">
        <v>211</v>
      </c>
      <c r="E1577" s="75">
        <v>46050</v>
      </c>
      <c r="F1577" s="75">
        <v>46056</v>
      </c>
    </row>
    <row r="1578" spans="1:6" x14ac:dyDescent="0.35">
      <c r="A1578">
        <v>5831</v>
      </c>
      <c r="B1578">
        <v>2026</v>
      </c>
      <c r="C1578">
        <v>6</v>
      </c>
      <c r="D1578" t="s">
        <v>211</v>
      </c>
      <c r="E1578" s="75">
        <v>46050</v>
      </c>
      <c r="F1578" s="75">
        <v>46056</v>
      </c>
    </row>
    <row r="1579" spans="1:6" x14ac:dyDescent="0.35">
      <c r="A1579">
        <v>5832</v>
      </c>
      <c r="B1579">
        <v>2026</v>
      </c>
      <c r="C1579">
        <v>6</v>
      </c>
      <c r="D1579" t="s">
        <v>211</v>
      </c>
      <c r="E1579" s="75">
        <v>46050</v>
      </c>
      <c r="F1579" s="75">
        <v>46056</v>
      </c>
    </row>
    <row r="1580" spans="1:6" x14ac:dyDescent="0.35">
      <c r="A1580">
        <v>5833</v>
      </c>
      <c r="B1580">
        <v>2026</v>
      </c>
      <c r="C1580">
        <v>6</v>
      </c>
      <c r="D1580" t="s">
        <v>211</v>
      </c>
      <c r="E1580" s="75">
        <v>46050</v>
      </c>
      <c r="F1580" s="75">
        <v>46056</v>
      </c>
    </row>
    <row r="1581" spans="1:6" x14ac:dyDescent="0.35">
      <c r="A1581">
        <v>5834</v>
      </c>
      <c r="B1581">
        <v>2026</v>
      </c>
      <c r="C1581">
        <v>6</v>
      </c>
      <c r="D1581" t="s">
        <v>211</v>
      </c>
      <c r="E1581" s="75">
        <v>46050</v>
      </c>
      <c r="F1581" s="75">
        <v>46056</v>
      </c>
    </row>
    <row r="1582" spans="1:6" x14ac:dyDescent="0.35">
      <c r="A1582">
        <v>5835</v>
      </c>
      <c r="B1582">
        <v>2026</v>
      </c>
      <c r="C1582">
        <v>6</v>
      </c>
      <c r="D1582" t="s">
        <v>211</v>
      </c>
      <c r="E1582" s="75">
        <v>46050</v>
      </c>
      <c r="F1582" s="75">
        <v>46056</v>
      </c>
    </row>
    <row r="1583" spans="1:6" x14ac:dyDescent="0.35">
      <c r="A1583">
        <v>5836</v>
      </c>
      <c r="B1583">
        <v>2026</v>
      </c>
      <c r="C1583">
        <v>6</v>
      </c>
      <c r="D1583" t="s">
        <v>211</v>
      </c>
      <c r="E1583" s="75">
        <v>46050</v>
      </c>
      <c r="F1583" s="75">
        <v>46056</v>
      </c>
    </row>
    <row r="1584" spans="1:6" x14ac:dyDescent="0.35">
      <c r="A1584">
        <v>5837</v>
      </c>
      <c r="B1584">
        <v>2026</v>
      </c>
      <c r="C1584">
        <v>6</v>
      </c>
      <c r="D1584" t="s">
        <v>211</v>
      </c>
      <c r="E1584" s="75">
        <v>46050</v>
      </c>
      <c r="F1584" s="75">
        <v>46056</v>
      </c>
    </row>
    <row r="1585" spans="1:6" x14ac:dyDescent="0.35">
      <c r="A1585">
        <v>5838</v>
      </c>
      <c r="B1585">
        <v>2026</v>
      </c>
      <c r="C1585">
        <v>6</v>
      </c>
      <c r="D1585" t="s">
        <v>211</v>
      </c>
      <c r="E1585" s="75">
        <v>46050</v>
      </c>
      <c r="F1585" s="75">
        <v>46056</v>
      </c>
    </row>
    <row r="1586" spans="1:6" x14ac:dyDescent="0.35">
      <c r="A1586">
        <v>5839</v>
      </c>
      <c r="B1586">
        <v>2026</v>
      </c>
      <c r="C1586">
        <v>6</v>
      </c>
      <c r="D1586" t="s">
        <v>211</v>
      </c>
      <c r="E1586" s="75">
        <v>46050</v>
      </c>
      <c r="F1586" s="75">
        <v>46056</v>
      </c>
    </row>
    <row r="1587" spans="1:6" x14ac:dyDescent="0.35">
      <c r="A1587">
        <v>5840</v>
      </c>
      <c r="B1587">
        <v>2026</v>
      </c>
      <c r="C1587">
        <v>6</v>
      </c>
      <c r="D1587" t="s">
        <v>211</v>
      </c>
      <c r="E1587" s="75">
        <v>46050</v>
      </c>
      <c r="F1587" s="75">
        <v>46056</v>
      </c>
    </row>
    <row r="1588" spans="1:6" x14ac:dyDescent="0.35">
      <c r="A1588">
        <v>5841</v>
      </c>
      <c r="B1588">
        <v>2026</v>
      </c>
      <c r="C1588">
        <v>6</v>
      </c>
      <c r="D1588" t="s">
        <v>211</v>
      </c>
      <c r="E1588" s="75">
        <v>46050</v>
      </c>
      <c r="F1588" s="75">
        <v>46056</v>
      </c>
    </row>
    <row r="1589" spans="1:6" x14ac:dyDescent="0.35">
      <c r="A1589">
        <v>5842</v>
      </c>
      <c r="B1589">
        <v>2026</v>
      </c>
      <c r="C1589">
        <v>6</v>
      </c>
      <c r="D1589" t="s">
        <v>211</v>
      </c>
      <c r="E1589" s="75">
        <v>46050</v>
      </c>
      <c r="F1589" s="75">
        <v>46056</v>
      </c>
    </row>
    <row r="1590" spans="1:6" x14ac:dyDescent="0.35">
      <c r="A1590">
        <v>5843</v>
      </c>
      <c r="B1590">
        <v>2026</v>
      </c>
      <c r="C1590">
        <v>6</v>
      </c>
      <c r="D1590" t="s">
        <v>211</v>
      </c>
      <c r="E1590" s="75">
        <v>46050</v>
      </c>
      <c r="F1590" s="75">
        <v>46056</v>
      </c>
    </row>
    <row r="1591" spans="1:6" x14ac:dyDescent="0.35">
      <c r="A1591">
        <v>5844</v>
      </c>
      <c r="B1591">
        <v>2026</v>
      </c>
      <c r="C1591">
        <v>6</v>
      </c>
      <c r="D1591" t="s">
        <v>211</v>
      </c>
      <c r="E1591" s="75">
        <v>46050</v>
      </c>
      <c r="F1591" s="75">
        <v>46056</v>
      </c>
    </row>
    <row r="1592" spans="1:6" x14ac:dyDescent="0.35">
      <c r="A1592">
        <v>5845</v>
      </c>
      <c r="B1592">
        <v>2026</v>
      </c>
      <c r="C1592">
        <v>6</v>
      </c>
      <c r="D1592" t="s">
        <v>211</v>
      </c>
      <c r="E1592" s="75">
        <v>46050</v>
      </c>
      <c r="F1592" s="75">
        <v>46056</v>
      </c>
    </row>
    <row r="1593" spans="1:6" x14ac:dyDescent="0.35">
      <c r="A1593">
        <v>5846</v>
      </c>
      <c r="B1593">
        <v>2026</v>
      </c>
      <c r="C1593">
        <v>6</v>
      </c>
      <c r="D1593" t="s">
        <v>211</v>
      </c>
      <c r="E1593" s="75">
        <v>46050</v>
      </c>
      <c r="F1593" s="75">
        <v>46056</v>
      </c>
    </row>
    <row r="1594" spans="1:6" x14ac:dyDescent="0.35">
      <c r="A1594">
        <v>5847</v>
      </c>
      <c r="B1594">
        <v>2026</v>
      </c>
      <c r="C1594">
        <v>6</v>
      </c>
      <c r="D1594" t="s">
        <v>211</v>
      </c>
      <c r="E1594" s="75">
        <v>46050</v>
      </c>
      <c r="F1594" s="75">
        <v>46056</v>
      </c>
    </row>
    <row r="1595" spans="1:6" x14ac:dyDescent="0.35">
      <c r="A1595">
        <v>5848</v>
      </c>
      <c r="B1595">
        <v>2026</v>
      </c>
      <c r="C1595">
        <v>6</v>
      </c>
      <c r="D1595" t="s">
        <v>211</v>
      </c>
      <c r="E1595" s="75">
        <v>46050</v>
      </c>
      <c r="F1595" s="75">
        <v>46056</v>
      </c>
    </row>
    <row r="1596" spans="1:6" x14ac:dyDescent="0.35">
      <c r="A1596">
        <v>5849</v>
      </c>
      <c r="B1596">
        <v>2026</v>
      </c>
      <c r="C1596">
        <v>6</v>
      </c>
      <c r="D1596" t="s">
        <v>211</v>
      </c>
      <c r="E1596" s="75">
        <v>46050</v>
      </c>
      <c r="F1596" s="75">
        <v>46056</v>
      </c>
    </row>
    <row r="1597" spans="1:6" x14ac:dyDescent="0.35">
      <c r="A1597">
        <v>5850</v>
      </c>
      <c r="B1597">
        <v>2026</v>
      </c>
      <c r="C1597">
        <v>6</v>
      </c>
      <c r="D1597" t="s">
        <v>211</v>
      </c>
      <c r="E1597" s="75">
        <v>46050</v>
      </c>
      <c r="F1597" s="75">
        <v>46056</v>
      </c>
    </row>
    <row r="1598" spans="1:6" x14ac:dyDescent="0.35">
      <c r="A1598">
        <v>5851</v>
      </c>
      <c r="B1598">
        <v>2026</v>
      </c>
      <c r="C1598">
        <v>6</v>
      </c>
      <c r="D1598" t="s">
        <v>211</v>
      </c>
      <c r="E1598" s="75">
        <v>46050</v>
      </c>
      <c r="F1598" s="75">
        <v>46056</v>
      </c>
    </row>
    <row r="1599" spans="1:6" x14ac:dyDescent="0.35">
      <c r="A1599">
        <v>5852</v>
      </c>
      <c r="B1599">
        <v>2026</v>
      </c>
      <c r="C1599">
        <v>7</v>
      </c>
      <c r="D1599" t="s">
        <v>212</v>
      </c>
      <c r="E1599" s="75">
        <v>46057</v>
      </c>
      <c r="F1599" s="75">
        <v>46063</v>
      </c>
    </row>
    <row r="1600" spans="1:6" x14ac:dyDescent="0.35">
      <c r="A1600">
        <v>5853</v>
      </c>
      <c r="B1600">
        <v>2026</v>
      </c>
      <c r="C1600">
        <v>7</v>
      </c>
      <c r="D1600" t="s">
        <v>212</v>
      </c>
      <c r="E1600" s="75">
        <v>46057</v>
      </c>
      <c r="F1600" s="75">
        <v>46063</v>
      </c>
    </row>
    <row r="1601" spans="1:6" x14ac:dyDescent="0.35">
      <c r="A1601">
        <v>5854</v>
      </c>
      <c r="B1601">
        <v>2026</v>
      </c>
      <c r="C1601">
        <v>7</v>
      </c>
      <c r="D1601" t="s">
        <v>212</v>
      </c>
      <c r="E1601" s="75">
        <v>46057</v>
      </c>
      <c r="F1601" s="75">
        <v>46063</v>
      </c>
    </row>
    <row r="1602" spans="1:6" x14ac:dyDescent="0.35">
      <c r="A1602">
        <v>5855</v>
      </c>
      <c r="B1602">
        <v>2026</v>
      </c>
      <c r="C1602">
        <v>7</v>
      </c>
      <c r="D1602" t="s">
        <v>212</v>
      </c>
      <c r="E1602" s="75">
        <v>46057</v>
      </c>
      <c r="F1602" s="75">
        <v>46063</v>
      </c>
    </row>
    <row r="1603" spans="1:6" x14ac:dyDescent="0.35">
      <c r="A1603">
        <v>5856</v>
      </c>
      <c r="B1603">
        <v>2026</v>
      </c>
      <c r="C1603">
        <v>7</v>
      </c>
      <c r="D1603" t="s">
        <v>212</v>
      </c>
      <c r="E1603" s="75">
        <v>46057</v>
      </c>
      <c r="F1603" s="75">
        <v>46063</v>
      </c>
    </row>
    <row r="1604" spans="1:6" x14ac:dyDescent="0.35">
      <c r="A1604">
        <v>5857</v>
      </c>
      <c r="B1604">
        <v>2026</v>
      </c>
      <c r="C1604">
        <v>7</v>
      </c>
      <c r="D1604" t="s">
        <v>212</v>
      </c>
      <c r="E1604" s="75">
        <v>46057</v>
      </c>
      <c r="F1604" s="75">
        <v>46063</v>
      </c>
    </row>
    <row r="1605" spans="1:6" x14ac:dyDescent="0.35">
      <c r="A1605">
        <v>5858</v>
      </c>
      <c r="B1605">
        <v>2026</v>
      </c>
      <c r="C1605">
        <v>7</v>
      </c>
      <c r="D1605" t="s">
        <v>212</v>
      </c>
      <c r="E1605" s="75">
        <v>46057</v>
      </c>
      <c r="F1605" s="75">
        <v>46063</v>
      </c>
    </row>
    <row r="1606" spans="1:6" x14ac:dyDescent="0.35">
      <c r="A1606">
        <v>5859</v>
      </c>
      <c r="B1606">
        <v>2026</v>
      </c>
      <c r="C1606">
        <v>7</v>
      </c>
      <c r="D1606" t="s">
        <v>212</v>
      </c>
      <c r="E1606" s="75">
        <v>46057</v>
      </c>
      <c r="F1606" s="75">
        <v>46063</v>
      </c>
    </row>
    <row r="1607" spans="1:6" x14ac:dyDescent="0.35">
      <c r="A1607">
        <v>5860</v>
      </c>
      <c r="B1607">
        <v>2026</v>
      </c>
      <c r="C1607">
        <v>7</v>
      </c>
      <c r="D1607" t="s">
        <v>212</v>
      </c>
      <c r="E1607" s="75">
        <v>46057</v>
      </c>
      <c r="F1607" s="75">
        <v>46063</v>
      </c>
    </row>
    <row r="1608" spans="1:6" x14ac:dyDescent="0.35">
      <c r="A1608">
        <v>5861</v>
      </c>
      <c r="B1608">
        <v>2026</v>
      </c>
      <c r="C1608">
        <v>7</v>
      </c>
      <c r="D1608" t="s">
        <v>212</v>
      </c>
      <c r="E1608" s="75">
        <v>46057</v>
      </c>
      <c r="F1608" s="75">
        <v>46063</v>
      </c>
    </row>
    <row r="1609" spans="1:6" x14ac:dyDescent="0.35">
      <c r="A1609">
        <v>5862</v>
      </c>
      <c r="B1609">
        <v>2026</v>
      </c>
      <c r="C1609">
        <v>7</v>
      </c>
      <c r="D1609" t="s">
        <v>212</v>
      </c>
      <c r="E1609" s="75">
        <v>46057</v>
      </c>
      <c r="F1609" s="75">
        <v>46063</v>
      </c>
    </row>
    <row r="1610" spans="1:6" x14ac:dyDescent="0.35">
      <c r="A1610">
        <v>5863</v>
      </c>
      <c r="B1610">
        <v>2026</v>
      </c>
      <c r="C1610">
        <v>7</v>
      </c>
      <c r="D1610" t="s">
        <v>212</v>
      </c>
      <c r="E1610" s="75">
        <v>46057</v>
      </c>
      <c r="F1610" s="75">
        <v>46063</v>
      </c>
    </row>
    <row r="1611" spans="1:6" x14ac:dyDescent="0.35">
      <c r="A1611">
        <v>5864</v>
      </c>
      <c r="B1611">
        <v>2026</v>
      </c>
      <c r="C1611">
        <v>7</v>
      </c>
      <c r="D1611" t="s">
        <v>212</v>
      </c>
      <c r="E1611" s="75">
        <v>46057</v>
      </c>
      <c r="F1611" s="75">
        <v>46063</v>
      </c>
    </row>
    <row r="1612" spans="1:6" x14ac:dyDescent="0.35">
      <c r="A1612">
        <v>5865</v>
      </c>
      <c r="B1612">
        <v>2026</v>
      </c>
      <c r="C1612">
        <v>7</v>
      </c>
      <c r="D1612" t="s">
        <v>212</v>
      </c>
      <c r="E1612" s="75">
        <v>46057</v>
      </c>
      <c r="F1612" s="75">
        <v>46063</v>
      </c>
    </row>
    <row r="1613" spans="1:6" x14ac:dyDescent="0.35">
      <c r="A1613">
        <v>5866</v>
      </c>
      <c r="B1613">
        <v>2026</v>
      </c>
      <c r="C1613">
        <v>7</v>
      </c>
      <c r="D1613" t="s">
        <v>212</v>
      </c>
      <c r="E1613" s="75">
        <v>46057</v>
      </c>
      <c r="F1613" s="75">
        <v>46063</v>
      </c>
    </row>
    <row r="1614" spans="1:6" x14ac:dyDescent="0.35">
      <c r="A1614">
        <v>5867</v>
      </c>
      <c r="B1614">
        <v>2026</v>
      </c>
      <c r="C1614">
        <v>7</v>
      </c>
      <c r="D1614" t="s">
        <v>212</v>
      </c>
      <c r="E1614" s="75">
        <v>46057</v>
      </c>
      <c r="F1614" s="75">
        <v>46063</v>
      </c>
    </row>
    <row r="1615" spans="1:6" x14ac:dyDescent="0.35">
      <c r="A1615">
        <v>5868</v>
      </c>
      <c r="B1615">
        <v>2026</v>
      </c>
      <c r="C1615">
        <v>7</v>
      </c>
      <c r="D1615" t="s">
        <v>212</v>
      </c>
      <c r="E1615" s="75">
        <v>46057</v>
      </c>
      <c r="F1615" s="75">
        <v>46063</v>
      </c>
    </row>
    <row r="1616" spans="1:6" x14ac:dyDescent="0.35">
      <c r="A1616">
        <v>5869</v>
      </c>
      <c r="B1616">
        <v>2026</v>
      </c>
      <c r="C1616">
        <v>7</v>
      </c>
      <c r="D1616" t="s">
        <v>212</v>
      </c>
      <c r="E1616" s="75">
        <v>46057</v>
      </c>
      <c r="F1616" s="75">
        <v>46063</v>
      </c>
    </row>
    <row r="1617" spans="1:6" x14ac:dyDescent="0.35">
      <c r="A1617">
        <v>5870</v>
      </c>
      <c r="B1617">
        <v>2026</v>
      </c>
      <c r="C1617">
        <v>8</v>
      </c>
      <c r="D1617" t="s">
        <v>213</v>
      </c>
      <c r="E1617" s="75">
        <v>46064</v>
      </c>
      <c r="F1617" s="75">
        <v>46070</v>
      </c>
    </row>
    <row r="1618" spans="1:6" x14ac:dyDescent="0.35">
      <c r="A1618">
        <v>5871</v>
      </c>
      <c r="B1618">
        <v>2026</v>
      </c>
      <c r="C1618">
        <v>8</v>
      </c>
      <c r="D1618" t="s">
        <v>213</v>
      </c>
      <c r="E1618" s="75">
        <v>46064</v>
      </c>
      <c r="F1618" s="75">
        <v>46070</v>
      </c>
    </row>
    <row r="1619" spans="1:6" x14ac:dyDescent="0.35">
      <c r="A1619">
        <v>5872</v>
      </c>
      <c r="B1619">
        <v>2026</v>
      </c>
      <c r="C1619">
        <v>8</v>
      </c>
      <c r="D1619" t="s">
        <v>213</v>
      </c>
      <c r="E1619" s="75">
        <v>46064</v>
      </c>
      <c r="F1619" s="75">
        <v>46070</v>
      </c>
    </row>
    <row r="1620" spans="1:6" x14ac:dyDescent="0.35">
      <c r="A1620">
        <v>5873</v>
      </c>
      <c r="B1620">
        <v>2026</v>
      </c>
      <c r="C1620">
        <v>8</v>
      </c>
      <c r="D1620" t="s">
        <v>213</v>
      </c>
      <c r="E1620" s="75">
        <v>46064</v>
      </c>
      <c r="F1620" s="75">
        <v>46070</v>
      </c>
    </row>
    <row r="1621" spans="1:6" x14ac:dyDescent="0.35">
      <c r="A1621">
        <v>5874</v>
      </c>
      <c r="B1621">
        <v>2026</v>
      </c>
      <c r="C1621">
        <v>8</v>
      </c>
      <c r="D1621" t="s">
        <v>213</v>
      </c>
      <c r="E1621" s="75">
        <v>46064</v>
      </c>
      <c r="F1621" s="75">
        <v>46070</v>
      </c>
    </row>
    <row r="1622" spans="1:6" x14ac:dyDescent="0.35">
      <c r="A1622">
        <v>5875</v>
      </c>
      <c r="B1622">
        <v>2026</v>
      </c>
      <c r="C1622">
        <v>8</v>
      </c>
      <c r="D1622" t="s">
        <v>213</v>
      </c>
      <c r="E1622" s="75">
        <v>46064</v>
      </c>
      <c r="F1622" s="75">
        <v>46070</v>
      </c>
    </row>
    <row r="1623" spans="1:6" x14ac:dyDescent="0.35">
      <c r="A1623">
        <v>5876</v>
      </c>
      <c r="B1623">
        <v>2026</v>
      </c>
      <c r="C1623">
        <v>8</v>
      </c>
      <c r="D1623" t="s">
        <v>213</v>
      </c>
      <c r="E1623" s="75">
        <v>46064</v>
      </c>
      <c r="F1623" s="75">
        <v>46070</v>
      </c>
    </row>
    <row r="1624" spans="1:6" x14ac:dyDescent="0.35">
      <c r="A1624">
        <v>5877</v>
      </c>
      <c r="B1624">
        <v>2026</v>
      </c>
      <c r="C1624">
        <v>8</v>
      </c>
      <c r="D1624" t="s">
        <v>213</v>
      </c>
      <c r="E1624" s="75">
        <v>46064</v>
      </c>
      <c r="F1624" s="75">
        <v>46070</v>
      </c>
    </row>
    <row r="1625" spans="1:6" x14ac:dyDescent="0.35">
      <c r="A1625">
        <v>5878</v>
      </c>
      <c r="B1625">
        <v>2026</v>
      </c>
      <c r="C1625">
        <v>8</v>
      </c>
      <c r="D1625" t="s">
        <v>213</v>
      </c>
      <c r="E1625" s="75">
        <v>46064</v>
      </c>
      <c r="F1625" s="75">
        <v>46070</v>
      </c>
    </row>
    <row r="1626" spans="1:6" x14ac:dyDescent="0.35">
      <c r="A1626">
        <v>5879</v>
      </c>
      <c r="B1626">
        <v>2026</v>
      </c>
      <c r="C1626">
        <v>8</v>
      </c>
      <c r="D1626" t="s">
        <v>213</v>
      </c>
      <c r="E1626" s="75">
        <v>46064</v>
      </c>
      <c r="F1626" s="75">
        <v>46070</v>
      </c>
    </row>
    <row r="1627" spans="1:6" x14ac:dyDescent="0.35">
      <c r="A1627">
        <v>5880</v>
      </c>
      <c r="B1627">
        <v>2026</v>
      </c>
      <c r="C1627">
        <v>8</v>
      </c>
      <c r="D1627" t="s">
        <v>213</v>
      </c>
      <c r="E1627" s="75">
        <v>46064</v>
      </c>
      <c r="F1627" s="75">
        <v>46070</v>
      </c>
    </row>
    <row r="1628" spans="1:6" x14ac:dyDescent="0.35">
      <c r="A1628">
        <v>5881</v>
      </c>
      <c r="B1628">
        <v>2026</v>
      </c>
      <c r="C1628">
        <v>8</v>
      </c>
      <c r="D1628" t="s">
        <v>213</v>
      </c>
      <c r="E1628" s="75">
        <v>46064</v>
      </c>
      <c r="F1628" s="75">
        <v>46070</v>
      </c>
    </row>
    <row r="1629" spans="1:6" x14ac:dyDescent="0.35">
      <c r="A1629">
        <v>5882</v>
      </c>
      <c r="B1629">
        <v>2026</v>
      </c>
      <c r="C1629">
        <v>8</v>
      </c>
      <c r="D1629" t="s">
        <v>213</v>
      </c>
      <c r="E1629" s="75">
        <v>46064</v>
      </c>
      <c r="F1629" s="75">
        <v>46070</v>
      </c>
    </row>
    <row r="1630" spans="1:6" x14ac:dyDescent="0.35">
      <c r="A1630">
        <v>5883</v>
      </c>
      <c r="B1630">
        <v>2026</v>
      </c>
      <c r="C1630">
        <v>9</v>
      </c>
      <c r="D1630" t="s">
        <v>214</v>
      </c>
      <c r="E1630" s="75">
        <v>46071</v>
      </c>
      <c r="F1630" s="75">
        <v>46077</v>
      </c>
    </row>
    <row r="1631" spans="1:6" x14ac:dyDescent="0.35">
      <c r="A1631">
        <v>5884</v>
      </c>
      <c r="B1631">
        <v>2026</v>
      </c>
      <c r="C1631">
        <v>9</v>
      </c>
      <c r="D1631" t="s">
        <v>214</v>
      </c>
      <c r="E1631" s="75">
        <v>46071</v>
      </c>
      <c r="F1631" s="75">
        <v>46077</v>
      </c>
    </row>
    <row r="1632" spans="1:6" x14ac:dyDescent="0.35">
      <c r="A1632">
        <v>5885</v>
      </c>
      <c r="B1632">
        <v>2026</v>
      </c>
      <c r="C1632">
        <v>9</v>
      </c>
      <c r="D1632" t="s">
        <v>214</v>
      </c>
      <c r="E1632" s="75">
        <v>46071</v>
      </c>
      <c r="F1632" s="75">
        <v>46077</v>
      </c>
    </row>
    <row r="1633" spans="1:6" x14ac:dyDescent="0.35">
      <c r="A1633">
        <v>5886</v>
      </c>
      <c r="B1633">
        <v>2026</v>
      </c>
      <c r="C1633">
        <v>9</v>
      </c>
      <c r="D1633" t="s">
        <v>214</v>
      </c>
      <c r="E1633" s="75">
        <v>46071</v>
      </c>
      <c r="F1633" s="75">
        <v>46077</v>
      </c>
    </row>
    <row r="1634" spans="1:6" x14ac:dyDescent="0.35">
      <c r="A1634">
        <v>5887</v>
      </c>
      <c r="B1634">
        <v>2026</v>
      </c>
      <c r="C1634">
        <v>9</v>
      </c>
      <c r="D1634" t="s">
        <v>214</v>
      </c>
      <c r="E1634" s="75">
        <v>46071</v>
      </c>
      <c r="F1634" s="75">
        <v>46077</v>
      </c>
    </row>
    <row r="1635" spans="1:6" x14ac:dyDescent="0.35">
      <c r="A1635">
        <v>5888</v>
      </c>
      <c r="B1635">
        <v>2026</v>
      </c>
      <c r="C1635">
        <v>9</v>
      </c>
      <c r="D1635" t="s">
        <v>214</v>
      </c>
      <c r="E1635" s="75">
        <v>46071</v>
      </c>
      <c r="F1635" s="75">
        <v>46077</v>
      </c>
    </row>
    <row r="1636" spans="1:6" x14ac:dyDescent="0.35">
      <c r="A1636">
        <v>5889</v>
      </c>
      <c r="B1636">
        <v>2026</v>
      </c>
      <c r="C1636">
        <v>9</v>
      </c>
      <c r="D1636" t="s">
        <v>214</v>
      </c>
      <c r="E1636" s="75">
        <v>46071</v>
      </c>
      <c r="F1636" s="75">
        <v>46077</v>
      </c>
    </row>
    <row r="1637" spans="1:6" x14ac:dyDescent="0.35">
      <c r="A1637">
        <v>5890</v>
      </c>
      <c r="B1637">
        <v>2026</v>
      </c>
      <c r="C1637">
        <v>9</v>
      </c>
      <c r="D1637" t="s">
        <v>214</v>
      </c>
      <c r="E1637" s="75">
        <v>46071</v>
      </c>
      <c r="F1637" s="75">
        <v>46077</v>
      </c>
    </row>
    <row r="1638" spans="1:6" x14ac:dyDescent="0.35">
      <c r="A1638">
        <v>5891</v>
      </c>
      <c r="B1638">
        <v>2026</v>
      </c>
      <c r="C1638">
        <v>9</v>
      </c>
      <c r="D1638" t="s">
        <v>214</v>
      </c>
      <c r="E1638" s="75">
        <v>46071</v>
      </c>
      <c r="F1638" s="75">
        <v>46077</v>
      </c>
    </row>
    <row r="1639" spans="1:6" x14ac:dyDescent="0.35">
      <c r="A1639">
        <v>5892</v>
      </c>
      <c r="B1639">
        <v>2026</v>
      </c>
      <c r="C1639">
        <v>9</v>
      </c>
      <c r="D1639" t="s">
        <v>214</v>
      </c>
      <c r="E1639" s="75">
        <v>46071</v>
      </c>
      <c r="F1639" s="75">
        <v>46077</v>
      </c>
    </row>
    <row r="1640" spans="1:6" x14ac:dyDescent="0.35">
      <c r="A1640">
        <v>5893</v>
      </c>
      <c r="B1640">
        <v>2026</v>
      </c>
      <c r="C1640">
        <v>9</v>
      </c>
      <c r="D1640" t="s">
        <v>214</v>
      </c>
      <c r="E1640" s="75">
        <v>46071</v>
      </c>
      <c r="F1640" s="75">
        <v>46077</v>
      </c>
    </row>
    <row r="1641" spans="1:6" x14ac:dyDescent="0.35">
      <c r="A1641">
        <v>5894</v>
      </c>
      <c r="B1641">
        <v>2026</v>
      </c>
      <c r="C1641">
        <v>9</v>
      </c>
      <c r="D1641" t="s">
        <v>214</v>
      </c>
      <c r="E1641" s="75">
        <v>46071</v>
      </c>
      <c r="F1641" s="75">
        <v>46077</v>
      </c>
    </row>
    <row r="1642" spans="1:6" x14ac:dyDescent="0.35">
      <c r="A1642">
        <v>5895</v>
      </c>
      <c r="B1642">
        <v>2026</v>
      </c>
      <c r="C1642">
        <v>9</v>
      </c>
      <c r="D1642" t="s">
        <v>214</v>
      </c>
      <c r="E1642" s="75">
        <v>46071</v>
      </c>
      <c r="F1642" s="75">
        <v>46077</v>
      </c>
    </row>
    <row r="1643" spans="1:6" x14ac:dyDescent="0.35">
      <c r="A1643">
        <v>5896</v>
      </c>
      <c r="B1643">
        <v>2026</v>
      </c>
      <c r="C1643">
        <v>9</v>
      </c>
      <c r="D1643" t="s">
        <v>214</v>
      </c>
      <c r="E1643" s="75">
        <v>46071</v>
      </c>
      <c r="F1643" s="75">
        <v>46077</v>
      </c>
    </row>
    <row r="1644" spans="1:6" x14ac:dyDescent="0.35">
      <c r="A1644">
        <v>5897</v>
      </c>
      <c r="B1644">
        <v>2026</v>
      </c>
      <c r="C1644">
        <v>9</v>
      </c>
      <c r="D1644" t="s">
        <v>214</v>
      </c>
      <c r="E1644" s="75">
        <v>46071</v>
      </c>
      <c r="F1644" s="75">
        <v>46077</v>
      </c>
    </row>
    <row r="1645" spans="1:6" x14ac:dyDescent="0.35">
      <c r="A1645">
        <v>5898</v>
      </c>
      <c r="B1645">
        <v>2026</v>
      </c>
      <c r="C1645">
        <v>9</v>
      </c>
      <c r="D1645" t="s">
        <v>214</v>
      </c>
      <c r="E1645" s="75">
        <v>46071</v>
      </c>
      <c r="F1645" s="75">
        <v>46077</v>
      </c>
    </row>
    <row r="1646" spans="1:6" x14ac:dyDescent="0.35">
      <c r="A1646">
        <v>5899</v>
      </c>
      <c r="B1646">
        <v>2026</v>
      </c>
      <c r="C1646">
        <v>9</v>
      </c>
      <c r="D1646" t="s">
        <v>214</v>
      </c>
      <c r="E1646" s="75">
        <v>46071</v>
      </c>
      <c r="F1646" s="75">
        <v>46077</v>
      </c>
    </row>
    <row r="1647" spans="1:6" x14ac:dyDescent="0.35">
      <c r="A1647">
        <v>5900</v>
      </c>
      <c r="B1647">
        <v>2026</v>
      </c>
      <c r="C1647">
        <v>9</v>
      </c>
      <c r="D1647" t="s">
        <v>214</v>
      </c>
      <c r="E1647" s="75">
        <v>46071</v>
      </c>
      <c r="F1647" s="75">
        <v>46077</v>
      </c>
    </row>
    <row r="1648" spans="1:6" x14ac:dyDescent="0.35">
      <c r="A1648">
        <v>5901</v>
      </c>
      <c r="B1648">
        <v>2026</v>
      </c>
      <c r="C1648">
        <v>9</v>
      </c>
      <c r="D1648" t="s">
        <v>214</v>
      </c>
      <c r="E1648" s="75">
        <v>46071</v>
      </c>
      <c r="F1648" s="75">
        <v>46077</v>
      </c>
    </row>
    <row r="1649" spans="1:6" x14ac:dyDescent="0.35">
      <c r="A1649">
        <v>5902</v>
      </c>
      <c r="B1649">
        <v>2026</v>
      </c>
      <c r="C1649">
        <v>9</v>
      </c>
      <c r="D1649" t="s">
        <v>214</v>
      </c>
      <c r="E1649" s="75">
        <v>46071</v>
      </c>
      <c r="F1649" s="75">
        <v>46077</v>
      </c>
    </row>
    <row r="1650" spans="1:6" x14ac:dyDescent="0.35">
      <c r="A1650">
        <v>5903</v>
      </c>
      <c r="B1650">
        <v>2026</v>
      </c>
      <c r="C1650">
        <v>9</v>
      </c>
      <c r="D1650" t="s">
        <v>214</v>
      </c>
      <c r="E1650" s="75">
        <v>46071</v>
      </c>
      <c r="F1650" s="75">
        <v>46077</v>
      </c>
    </row>
    <row r="1651" spans="1:6" x14ac:dyDescent="0.35">
      <c r="A1651">
        <v>5904</v>
      </c>
      <c r="B1651">
        <v>2026</v>
      </c>
      <c r="C1651">
        <v>9</v>
      </c>
      <c r="D1651" t="s">
        <v>214</v>
      </c>
      <c r="E1651" s="75">
        <v>46071</v>
      </c>
      <c r="F1651" s="75">
        <v>46077</v>
      </c>
    </row>
    <row r="1652" spans="1:6" x14ac:dyDescent="0.35">
      <c r="A1652">
        <v>5905</v>
      </c>
      <c r="B1652">
        <v>2026</v>
      </c>
      <c r="C1652">
        <v>9</v>
      </c>
      <c r="D1652" t="s">
        <v>214</v>
      </c>
      <c r="E1652" s="75">
        <v>46071</v>
      </c>
      <c r="F1652" s="75">
        <v>46077</v>
      </c>
    </row>
    <row r="1653" spans="1:6" x14ac:dyDescent="0.35">
      <c r="A1653">
        <v>5906</v>
      </c>
      <c r="B1653">
        <v>2026</v>
      </c>
      <c r="C1653">
        <v>9</v>
      </c>
      <c r="D1653" t="s">
        <v>214</v>
      </c>
      <c r="E1653" s="75">
        <v>46071</v>
      </c>
      <c r="F1653" s="75">
        <v>46077</v>
      </c>
    </row>
    <row r="1654" spans="1:6" x14ac:dyDescent="0.35">
      <c r="A1654">
        <v>5907</v>
      </c>
      <c r="B1654">
        <v>2026</v>
      </c>
      <c r="C1654">
        <v>9</v>
      </c>
      <c r="D1654" t="s">
        <v>214</v>
      </c>
      <c r="E1654" s="75">
        <v>46071</v>
      </c>
      <c r="F1654" s="75">
        <v>46077</v>
      </c>
    </row>
    <row r="1655" spans="1:6" x14ac:dyDescent="0.35">
      <c r="A1655">
        <v>5908</v>
      </c>
      <c r="B1655">
        <v>2026</v>
      </c>
      <c r="C1655">
        <v>9</v>
      </c>
      <c r="D1655" t="s">
        <v>214</v>
      </c>
      <c r="E1655" s="75">
        <v>46071</v>
      </c>
      <c r="F1655" s="75">
        <v>46077</v>
      </c>
    </row>
    <row r="1656" spans="1:6" x14ac:dyDescent="0.35">
      <c r="A1656">
        <v>5909</v>
      </c>
      <c r="B1656">
        <v>2026</v>
      </c>
      <c r="C1656">
        <v>9</v>
      </c>
      <c r="D1656" t="s">
        <v>214</v>
      </c>
      <c r="E1656" s="75">
        <v>46071</v>
      </c>
      <c r="F1656" s="75">
        <v>46077</v>
      </c>
    </row>
    <row r="1657" spans="1:6" x14ac:dyDescent="0.35">
      <c r="A1657">
        <v>5910</v>
      </c>
      <c r="B1657">
        <v>2026</v>
      </c>
      <c r="C1657">
        <v>9</v>
      </c>
      <c r="D1657" t="s">
        <v>214</v>
      </c>
      <c r="E1657" s="75">
        <v>46071</v>
      </c>
      <c r="F1657" s="75">
        <v>46077</v>
      </c>
    </row>
    <row r="1658" spans="1:6" x14ac:dyDescent="0.35">
      <c r="A1658">
        <v>5911</v>
      </c>
      <c r="B1658">
        <v>2026</v>
      </c>
      <c r="C1658">
        <v>9</v>
      </c>
      <c r="D1658" t="s">
        <v>214</v>
      </c>
      <c r="E1658" s="75">
        <v>46071</v>
      </c>
      <c r="F1658" s="75">
        <v>46077</v>
      </c>
    </row>
    <row r="1659" spans="1:6" x14ac:dyDescent="0.35">
      <c r="A1659">
        <v>5912</v>
      </c>
      <c r="B1659">
        <v>2026</v>
      </c>
      <c r="C1659">
        <v>9</v>
      </c>
      <c r="D1659" t="s">
        <v>214</v>
      </c>
      <c r="E1659" s="75">
        <v>46071</v>
      </c>
      <c r="F1659" s="75">
        <v>46077</v>
      </c>
    </row>
    <row r="1660" spans="1:6" x14ac:dyDescent="0.35">
      <c r="A1660">
        <v>5913</v>
      </c>
      <c r="B1660">
        <v>2026</v>
      </c>
      <c r="C1660">
        <v>9</v>
      </c>
      <c r="D1660" t="s">
        <v>214</v>
      </c>
      <c r="E1660" s="75">
        <v>46071</v>
      </c>
      <c r="F1660" s="75">
        <v>46077</v>
      </c>
    </row>
    <row r="1661" spans="1:6" x14ac:dyDescent="0.35">
      <c r="A1661">
        <v>5914</v>
      </c>
      <c r="B1661">
        <v>2026</v>
      </c>
      <c r="C1661">
        <v>9</v>
      </c>
      <c r="D1661" t="s">
        <v>214</v>
      </c>
      <c r="E1661" s="75">
        <v>46071</v>
      </c>
      <c r="F1661" s="75">
        <v>46077</v>
      </c>
    </row>
    <row r="1662" spans="1:6" x14ac:dyDescent="0.35">
      <c r="A1662">
        <v>5915</v>
      </c>
      <c r="B1662">
        <v>2026</v>
      </c>
      <c r="C1662">
        <v>9</v>
      </c>
      <c r="D1662" t="s">
        <v>214</v>
      </c>
      <c r="E1662" s="75">
        <v>46071</v>
      </c>
      <c r="F1662" s="75">
        <v>46077</v>
      </c>
    </row>
    <row r="1663" spans="1:6" x14ac:dyDescent="0.35">
      <c r="A1663">
        <v>5916</v>
      </c>
      <c r="B1663">
        <v>2026</v>
      </c>
      <c r="C1663">
        <v>9</v>
      </c>
      <c r="D1663" t="s">
        <v>214</v>
      </c>
      <c r="E1663" s="75">
        <v>46071</v>
      </c>
      <c r="F1663" s="75">
        <v>46077</v>
      </c>
    </row>
    <row r="1664" spans="1:6" x14ac:dyDescent="0.35">
      <c r="A1664">
        <v>5917</v>
      </c>
      <c r="B1664">
        <v>2026</v>
      </c>
      <c r="C1664">
        <v>9</v>
      </c>
      <c r="D1664" t="s">
        <v>214</v>
      </c>
      <c r="E1664" s="75">
        <v>46071</v>
      </c>
      <c r="F1664" s="75">
        <v>46077</v>
      </c>
    </row>
    <row r="1665" spans="1:6" x14ac:dyDescent="0.35">
      <c r="A1665">
        <v>5918</v>
      </c>
      <c r="B1665">
        <v>2026</v>
      </c>
      <c r="C1665">
        <v>9</v>
      </c>
      <c r="D1665" t="s">
        <v>214</v>
      </c>
      <c r="E1665" s="75">
        <v>46071</v>
      </c>
      <c r="F1665" s="75">
        <v>46077</v>
      </c>
    </row>
    <row r="1666" spans="1:6" x14ac:dyDescent="0.35">
      <c r="A1666">
        <v>5919</v>
      </c>
      <c r="B1666">
        <v>2026</v>
      </c>
      <c r="C1666">
        <v>9</v>
      </c>
      <c r="D1666" t="s">
        <v>214</v>
      </c>
      <c r="E1666" s="75">
        <v>46071</v>
      </c>
      <c r="F1666" s="75">
        <v>46077</v>
      </c>
    </row>
    <row r="1667" spans="1:6" x14ac:dyDescent="0.35">
      <c r="A1667">
        <v>5920</v>
      </c>
      <c r="B1667">
        <v>2026</v>
      </c>
      <c r="C1667">
        <v>9</v>
      </c>
      <c r="D1667" t="s">
        <v>214</v>
      </c>
      <c r="E1667" s="75">
        <v>46071</v>
      </c>
      <c r="F1667" s="75">
        <v>46077</v>
      </c>
    </row>
    <row r="1668" spans="1:6" x14ac:dyDescent="0.35">
      <c r="A1668">
        <v>5921</v>
      </c>
      <c r="B1668">
        <v>2026</v>
      </c>
      <c r="C1668">
        <v>9</v>
      </c>
      <c r="D1668" t="s">
        <v>214</v>
      </c>
      <c r="E1668" s="75">
        <v>46071</v>
      </c>
      <c r="F1668" s="75">
        <v>46077</v>
      </c>
    </row>
    <row r="1669" spans="1:6" x14ac:dyDescent="0.35">
      <c r="A1669">
        <v>5922</v>
      </c>
      <c r="B1669">
        <v>2026</v>
      </c>
      <c r="C1669">
        <v>9</v>
      </c>
      <c r="D1669" t="s">
        <v>214</v>
      </c>
      <c r="E1669" s="75">
        <v>46071</v>
      </c>
      <c r="F1669" s="75">
        <v>46077</v>
      </c>
    </row>
    <row r="1670" spans="1:6" x14ac:dyDescent="0.35">
      <c r="A1670">
        <v>5923</v>
      </c>
      <c r="B1670">
        <v>2026</v>
      </c>
      <c r="C1670">
        <v>9</v>
      </c>
      <c r="D1670" t="s">
        <v>214</v>
      </c>
      <c r="E1670" s="75">
        <v>46071</v>
      </c>
      <c r="F1670" s="75">
        <v>46077</v>
      </c>
    </row>
    <row r="1671" spans="1:6" x14ac:dyDescent="0.35">
      <c r="A1671">
        <v>5924</v>
      </c>
      <c r="B1671">
        <v>2026</v>
      </c>
      <c r="C1671">
        <v>9</v>
      </c>
      <c r="D1671" t="s">
        <v>214</v>
      </c>
      <c r="E1671" s="75">
        <v>46071</v>
      </c>
      <c r="F1671" s="75">
        <v>46077</v>
      </c>
    </row>
    <row r="1672" spans="1:6" x14ac:dyDescent="0.35">
      <c r="A1672">
        <v>5925</v>
      </c>
      <c r="B1672">
        <v>2026</v>
      </c>
      <c r="C1672">
        <v>9</v>
      </c>
      <c r="D1672" t="s">
        <v>214</v>
      </c>
      <c r="E1672" s="75">
        <v>46071</v>
      </c>
      <c r="F1672" s="75">
        <v>46077</v>
      </c>
    </row>
    <row r="1673" spans="1:6" x14ac:dyDescent="0.35">
      <c r="A1673">
        <v>5926</v>
      </c>
      <c r="B1673">
        <v>2026</v>
      </c>
      <c r="C1673">
        <v>9</v>
      </c>
      <c r="D1673" t="s">
        <v>214</v>
      </c>
      <c r="E1673" s="75">
        <v>46071</v>
      </c>
      <c r="F1673" s="75">
        <v>46077</v>
      </c>
    </row>
    <row r="1674" spans="1:6" x14ac:dyDescent="0.35">
      <c r="A1674">
        <v>5927</v>
      </c>
      <c r="B1674">
        <v>2026</v>
      </c>
      <c r="C1674">
        <v>9</v>
      </c>
      <c r="D1674" t="s">
        <v>214</v>
      </c>
      <c r="E1674" s="75">
        <v>46071</v>
      </c>
      <c r="F1674" s="75">
        <v>46077</v>
      </c>
    </row>
    <row r="1675" spans="1:6" x14ac:dyDescent="0.35">
      <c r="A1675">
        <v>5928</v>
      </c>
      <c r="B1675">
        <v>2026</v>
      </c>
      <c r="C1675">
        <v>9</v>
      </c>
      <c r="D1675" t="s">
        <v>214</v>
      </c>
      <c r="E1675" s="75">
        <v>46071</v>
      </c>
      <c r="F1675" s="75">
        <v>46077</v>
      </c>
    </row>
    <row r="1676" spans="1:6" x14ac:dyDescent="0.35">
      <c r="A1676">
        <v>5929</v>
      </c>
      <c r="B1676">
        <v>2026</v>
      </c>
      <c r="C1676">
        <v>9</v>
      </c>
      <c r="D1676" t="s">
        <v>214</v>
      </c>
      <c r="E1676" s="75">
        <v>46071</v>
      </c>
      <c r="F1676" s="75">
        <v>46077</v>
      </c>
    </row>
    <row r="1677" spans="1:6" x14ac:dyDescent="0.35">
      <c r="A1677">
        <v>5930</v>
      </c>
      <c r="B1677">
        <v>2026</v>
      </c>
      <c r="C1677">
        <v>9</v>
      </c>
      <c r="D1677" t="s">
        <v>214</v>
      </c>
      <c r="E1677" s="75">
        <v>46071</v>
      </c>
      <c r="F1677" s="75">
        <v>46077</v>
      </c>
    </row>
    <row r="1678" spans="1:6" x14ac:dyDescent="0.35">
      <c r="A1678">
        <v>5931</v>
      </c>
      <c r="B1678">
        <v>2026</v>
      </c>
      <c r="C1678">
        <v>9</v>
      </c>
      <c r="D1678" t="s">
        <v>214</v>
      </c>
      <c r="E1678" s="75">
        <v>46071</v>
      </c>
      <c r="F1678" s="75">
        <v>46077</v>
      </c>
    </row>
    <row r="1679" spans="1:6" x14ac:dyDescent="0.35">
      <c r="A1679">
        <v>5932</v>
      </c>
      <c r="B1679">
        <v>2026</v>
      </c>
      <c r="C1679">
        <v>9</v>
      </c>
      <c r="D1679" t="s">
        <v>214</v>
      </c>
      <c r="E1679" s="75">
        <v>46071</v>
      </c>
      <c r="F1679" s="75">
        <v>46077</v>
      </c>
    </row>
    <row r="1680" spans="1:6" x14ac:dyDescent="0.35">
      <c r="A1680">
        <v>5933</v>
      </c>
      <c r="B1680">
        <v>2026</v>
      </c>
      <c r="C1680">
        <v>9</v>
      </c>
      <c r="D1680" t="s">
        <v>214</v>
      </c>
      <c r="E1680" s="75">
        <v>46071</v>
      </c>
      <c r="F1680" s="75">
        <v>46077</v>
      </c>
    </row>
    <row r="1681" spans="1:6" x14ac:dyDescent="0.35">
      <c r="A1681">
        <v>5934</v>
      </c>
      <c r="B1681">
        <v>2026</v>
      </c>
      <c r="C1681">
        <v>9</v>
      </c>
      <c r="D1681" t="s">
        <v>214</v>
      </c>
      <c r="E1681" s="75">
        <v>46071</v>
      </c>
      <c r="F1681" s="75">
        <v>46077</v>
      </c>
    </row>
    <row r="1682" spans="1:6" x14ac:dyDescent="0.35">
      <c r="A1682">
        <v>5935</v>
      </c>
      <c r="B1682">
        <v>2026</v>
      </c>
      <c r="C1682">
        <v>9</v>
      </c>
      <c r="D1682" t="s">
        <v>214</v>
      </c>
      <c r="E1682" s="75">
        <v>46071</v>
      </c>
      <c r="F1682" s="75">
        <v>46077</v>
      </c>
    </row>
    <row r="1683" spans="1:6" x14ac:dyDescent="0.35">
      <c r="A1683">
        <v>5936</v>
      </c>
      <c r="B1683">
        <v>2026</v>
      </c>
      <c r="C1683">
        <v>9</v>
      </c>
      <c r="D1683" t="s">
        <v>214</v>
      </c>
      <c r="E1683" s="75">
        <v>46071</v>
      </c>
      <c r="F1683" s="75">
        <v>46077</v>
      </c>
    </row>
    <row r="1684" spans="1:6" x14ac:dyDescent="0.35">
      <c r="A1684">
        <v>5937</v>
      </c>
      <c r="B1684">
        <v>2026</v>
      </c>
      <c r="C1684">
        <v>9</v>
      </c>
      <c r="D1684" t="s">
        <v>214</v>
      </c>
      <c r="E1684" s="75">
        <v>46071</v>
      </c>
      <c r="F1684" s="75">
        <v>46077</v>
      </c>
    </row>
    <row r="1685" spans="1:6" x14ac:dyDescent="0.35">
      <c r="A1685">
        <v>5938</v>
      </c>
      <c r="B1685">
        <v>2026</v>
      </c>
      <c r="C1685">
        <v>9</v>
      </c>
      <c r="D1685" t="s">
        <v>214</v>
      </c>
      <c r="E1685" s="75">
        <v>46071</v>
      </c>
      <c r="F1685" s="75">
        <v>46077</v>
      </c>
    </row>
    <row r="1686" spans="1:6" x14ac:dyDescent="0.35">
      <c r="A1686">
        <v>5939</v>
      </c>
      <c r="B1686">
        <v>2026</v>
      </c>
      <c r="C1686">
        <v>9</v>
      </c>
      <c r="D1686" t="s">
        <v>214</v>
      </c>
      <c r="E1686" s="75">
        <v>46071</v>
      </c>
      <c r="F1686" s="75">
        <v>46077</v>
      </c>
    </row>
    <row r="1687" spans="1:6" x14ac:dyDescent="0.35">
      <c r="A1687">
        <v>5940</v>
      </c>
      <c r="B1687">
        <v>2026</v>
      </c>
      <c r="C1687">
        <v>9</v>
      </c>
      <c r="D1687" t="s">
        <v>214</v>
      </c>
      <c r="E1687" s="75">
        <v>46071</v>
      </c>
      <c r="F1687" s="75">
        <v>46077</v>
      </c>
    </row>
    <row r="1688" spans="1:6" x14ac:dyDescent="0.35">
      <c r="A1688">
        <v>5941</v>
      </c>
      <c r="B1688">
        <v>2026</v>
      </c>
      <c r="C1688">
        <v>9</v>
      </c>
      <c r="D1688" t="s">
        <v>214</v>
      </c>
      <c r="E1688" s="75">
        <v>46071</v>
      </c>
      <c r="F1688" s="75">
        <v>46077</v>
      </c>
    </row>
    <row r="1689" spans="1:6" x14ac:dyDescent="0.35">
      <c r="A1689">
        <v>5942</v>
      </c>
      <c r="B1689">
        <v>2026</v>
      </c>
      <c r="C1689">
        <v>9</v>
      </c>
      <c r="D1689" t="s">
        <v>214</v>
      </c>
      <c r="E1689" s="75">
        <v>46071</v>
      </c>
      <c r="F1689" s="75">
        <v>46077</v>
      </c>
    </row>
    <row r="1690" spans="1:6" x14ac:dyDescent="0.35">
      <c r="A1690">
        <v>5943</v>
      </c>
      <c r="B1690">
        <v>2026</v>
      </c>
      <c r="C1690">
        <v>9</v>
      </c>
      <c r="D1690" t="s">
        <v>214</v>
      </c>
      <c r="E1690" s="75">
        <v>46071</v>
      </c>
      <c r="F1690" s="75">
        <v>46077</v>
      </c>
    </row>
    <row r="1691" spans="1:6" x14ac:dyDescent="0.35">
      <c r="A1691">
        <v>5944</v>
      </c>
      <c r="B1691">
        <v>2026</v>
      </c>
      <c r="C1691">
        <v>9</v>
      </c>
      <c r="D1691" t="s">
        <v>214</v>
      </c>
      <c r="E1691" s="75">
        <v>46071</v>
      </c>
      <c r="F1691" s="75">
        <v>46077</v>
      </c>
    </row>
    <row r="1692" spans="1:6" x14ac:dyDescent="0.35">
      <c r="A1692">
        <v>5945</v>
      </c>
      <c r="B1692">
        <v>2026</v>
      </c>
      <c r="C1692">
        <v>9</v>
      </c>
      <c r="D1692" t="s">
        <v>214</v>
      </c>
      <c r="E1692" s="75">
        <v>46071</v>
      </c>
      <c r="F1692" s="75">
        <v>46077</v>
      </c>
    </row>
    <row r="1693" spans="1:6" x14ac:dyDescent="0.35">
      <c r="A1693">
        <v>5946</v>
      </c>
      <c r="B1693">
        <v>2026</v>
      </c>
      <c r="C1693">
        <v>9</v>
      </c>
      <c r="D1693" t="s">
        <v>214</v>
      </c>
      <c r="E1693" s="75">
        <v>46071</v>
      </c>
      <c r="F1693" s="75">
        <v>46077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53A27A1B41A8C40BB4C1D7F86B2FC9B" ma:contentTypeVersion="14" ma:contentTypeDescription="Crear nuevo documento." ma:contentTypeScope="" ma:versionID="eeccc5fa491760c97adf65336130a2d7">
  <xsd:schema xmlns:xsd="http://www.w3.org/2001/XMLSchema" xmlns:xs="http://www.w3.org/2001/XMLSchema" xmlns:p="http://schemas.microsoft.com/office/2006/metadata/properties" xmlns:ns2="dffeeb89-2336-47d2-920f-ea078a8e5c93" xmlns:ns3="8ec2144a-c81d-4a2e-bafd-95d77f688e25" xmlns:ns4="ea075209-df58-4b43-ba67-a99425f08c92" targetNamespace="http://schemas.microsoft.com/office/2006/metadata/properties" ma:root="true" ma:fieldsID="dcefd184614a75e64a696d94479a0ef7" ns2:_="" ns3:_="" ns4:_="">
    <xsd:import namespace="dffeeb89-2336-47d2-920f-ea078a8e5c93"/>
    <xsd:import namespace="8ec2144a-c81d-4a2e-bafd-95d77f688e25"/>
    <xsd:import namespace="ea075209-df58-4b43-ba67-a99425f08c9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4: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feeb89-2336-47d2-920f-ea078a8e5c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5077ae-66a9-47e8-a03f-4f57bf9ffe1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ec2144a-c81d-4a2e-bafd-95d77f688e25"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075209-df58-4b43-ba67-a99425f08c92"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18983d2d-80e0-4496-805e-26e57028307b}" ma:internalName="TaxCatchAll" ma:showField="CatchAllData" ma:web="ea075209-df58-4b43-ba67-a99425f08c9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ffeeb89-2336-47d2-920f-ea078a8e5c93">
      <Terms xmlns="http://schemas.microsoft.com/office/infopath/2007/PartnerControls"/>
    </lcf76f155ced4ddcb4097134ff3c332f>
    <TaxCatchAll xmlns="ea075209-df58-4b43-ba67-a99425f08c9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C6CF6E-7FAA-4CF7-A774-0D863FF8A5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feeb89-2336-47d2-920f-ea078a8e5c93"/>
    <ds:schemaRef ds:uri="8ec2144a-c81d-4a2e-bafd-95d77f688e25"/>
    <ds:schemaRef ds:uri="ea075209-df58-4b43-ba67-a99425f08c9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C4451-A1FC-4B03-94CF-C3ED015F65B6}">
  <ds:schemaRefs>
    <ds:schemaRef ds:uri="http://schemas.microsoft.com/office/2006/metadata/properties"/>
    <ds:schemaRef ds:uri="http://schemas.microsoft.com/office/infopath/2007/PartnerControls"/>
    <ds:schemaRef ds:uri="dffeeb89-2336-47d2-920f-ea078a8e5c93"/>
    <ds:schemaRef ds:uri="ea075209-df58-4b43-ba67-a99425f08c92"/>
  </ds:schemaRefs>
</ds:datastoreItem>
</file>

<file path=customXml/itemProps3.xml><?xml version="1.0" encoding="utf-8"?>
<ds:datastoreItem xmlns:ds="http://schemas.openxmlformats.org/officeDocument/2006/customXml" ds:itemID="{A9973CCB-2961-49C6-AD2E-D18163CC46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CONSOLIDADO SEMANAL</vt:lpstr>
      <vt:lpstr>Hoja1</vt:lpstr>
      <vt:lpstr>Gestion docs</vt:lpstr>
      <vt:lpstr>codificacion</vt:lpstr>
      <vt:lpstr>COMPRAS</vt:lpstr>
      <vt:lpstr>consolidado</vt:lpstr>
      <vt:lpstr>DATOS</vt:lpstr>
      <vt:lpstr>Maestro_Semanal</vt:lpstr>
      <vt:lpstr>Mapa_NC_Semana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German Mauricio Infante Valenzuela</dc:creator>
  <cp:keywords/>
  <dc:description/>
  <cp:lastModifiedBy>Daniel Felipe Cardenas Rivera</cp:lastModifiedBy>
  <cp:revision/>
  <dcterms:created xsi:type="dcterms:W3CDTF">2015-06-05T18:19:34Z</dcterms:created>
  <dcterms:modified xsi:type="dcterms:W3CDTF">2026-04-30T21:18:00Z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0x010100053A27A1B41A8C40BB4C1D7F86B2FC9B</vt:lpwstr>
  </property>
  <property fmtid="{D5CDD505-2E9C-101B-9397-08002B2CF9AE}" pid="3" name="MediaServiceImageTags">
    <vt:lpwstr/>
  </property>
</Properties>
</file>