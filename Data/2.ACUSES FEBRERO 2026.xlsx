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provexpress.sharepoint.com/sites/ProvexpressIntranet/Adminyfinanciero/Documentos compartidos/Facturación/Asistente documental/control  de acuses/ACUSES 2026/"/>
    </mc:Choice>
  </mc:AlternateContent>
  <xr:revisionPtr revIDLastSave="11936" documentId="8_{FD91A618-C12A-4A7C-B12D-201CE459D8B9}" xr6:coauthVersionLast="47" xr6:coauthVersionMax="47" xr10:uidLastSave="{E0F84D58-ED9F-4525-B99F-730EB262A717}"/>
  <bookViews>
    <workbookView xWindow="20370" yWindow="-4710" windowWidth="29040" windowHeight="15720" firstSheet="6" activeTab="7" xr2:uid="{00000000-000D-0000-FFFF-FFFF00000000}"/>
  </bookViews>
  <sheets>
    <sheet name="ACUSES FEBRERO 2026" sheetId="1" r:id="rId1"/>
    <sheet name="Detalle1" sheetId="8" r:id="rId2"/>
    <sheet name="1 ACUSE" sheetId="2" r:id="rId3"/>
    <sheet name="2 ACUSES" sheetId="3" r:id="rId4"/>
    <sheet name="3 ACUSES" sheetId="4" r:id="rId5"/>
    <sheet name="SIN ACUSE" sheetId="5" r:id="rId6"/>
    <sheet name="Detalle2" sheetId="9" r:id="rId7"/>
    <sheet name="RECHAZADAS" sheetId="6" r:id="rId8"/>
    <sheet name="PAGAS EN SISTEMA" sheetId="7" r:id="rId9"/>
  </sheets>
  <definedNames>
    <definedName name="_xlnm._FilterDatabase" localSheetId="0" hidden="1">'ACUSES FEBRERO 2026'!$A$11:$Q$1957</definedName>
  </definedNames>
  <calcPr calcId="191028"/>
  <pivotCaches>
    <pivotCache cacheId="82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55" i="1" l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8" i="1"/>
  <c r="D1449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7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 l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C4" i="1"/>
  <c r="B3" i="1"/>
  <c r="B4" i="1"/>
  <c r="C2" i="1"/>
  <c r="C6" i="1"/>
  <c r="C5" i="1"/>
  <c r="C3" i="1"/>
  <c r="B2" i="1"/>
  <c r="B6" i="1"/>
  <c r="B7" i="1"/>
  <c r="C7" i="1"/>
  <c r="B5" i="1"/>
  <c r="C8" i="1" l="1"/>
  <c r="B8" i="1"/>
</calcChain>
</file>

<file path=xl/sharedStrings.xml><?xml version="1.0" encoding="utf-8"?>
<sst xmlns="http://schemas.openxmlformats.org/spreadsheetml/2006/main" count="29511" uniqueCount="8343">
  <si>
    <t>CONCEPTOS</t>
  </si>
  <si>
    <t>CANTIDAD</t>
  </si>
  <si>
    <t>VALOR TOTAL</t>
  </si>
  <si>
    <t>SIN ACUSE</t>
  </si>
  <si>
    <t>1 ACUSE</t>
  </si>
  <si>
    <t>2 ACUSES</t>
  </si>
  <si>
    <t xml:space="preserve">3 ACUSES </t>
  </si>
  <si>
    <t>RECHAZADAS</t>
  </si>
  <si>
    <t>PAGAS EN SISTEMA</t>
  </si>
  <si>
    <t>Tipo de documento</t>
  </si>
  <si>
    <t>CUFE/CUDE</t>
  </si>
  <si>
    <t>Folio</t>
  </si>
  <si>
    <t>Columna1</t>
  </si>
  <si>
    <t>Prefijo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</si>
  <si>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</si>
  <si>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</si>
  <si>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</si>
  <si>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</si>
  <si>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</si>
  <si>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</si>
  <si>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</si>
  <si>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</si>
  <si>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IPC</t>
  </si>
  <si>
    <t>Total</t>
  </si>
  <si>
    <t>Estado</t>
  </si>
  <si>
    <t>Grupo</t>
  </si>
  <si>
    <t>2 ACUSE</t>
  </si>
  <si>
    <t>3 ACUSE</t>
  </si>
  <si>
    <t>RECHAZADA</t>
  </si>
  <si>
    <t>YA PAGA  EN SISTEMA</t>
  </si>
  <si>
    <t>OBSERVACIONES</t>
  </si>
  <si>
    <t>Factura electrónica</t>
  </si>
  <si>
    <t>9e8f28c8532435a346538ba8112c8e9068f13434c11d8c912887c24408c7f4329064f57b5ec8611e6d4110c3c9add36c</t>
  </si>
  <si>
    <t>105658</t>
  </si>
  <si>
    <t>FVE</t>
  </si>
  <si>
    <t>02-02-2026</t>
  </si>
  <si>
    <t>02-02-2026 10:36:58</t>
  </si>
  <si>
    <t>900800595</t>
  </si>
  <si>
    <t>Provexpress SAS</t>
  </si>
  <si>
    <t>800066001</t>
  </si>
  <si>
    <t>Centro Medico Oftalmologico Y Laboratorio Clinico Andrade Narvaez Sociedad Por Acciones Simplificada</t>
  </si>
  <si>
    <t>Aprobado con notificación</t>
  </si>
  <si>
    <t>Emitido</t>
  </si>
  <si>
    <t>X</t>
  </si>
  <si>
    <t>707f3324c2985d0956872bed06d68c59cbbcc2638add454dd8e804470260abda9217c0fda5fab5326b848f047bdffde2</t>
  </si>
  <si>
    <t>105659</t>
  </si>
  <si>
    <t>02-02-2026 10:37:00</t>
  </si>
  <si>
    <t>902022742</t>
  </si>
  <si>
    <t>Andetech SAS</t>
  </si>
  <si>
    <t>12c3102ff5193eebafe188694748ffe8ea776ea1d0c9c2f7727e5e3dfa2298822f03257462a42aee8c124014adfa3eb0</t>
  </si>
  <si>
    <t>105660</t>
  </si>
  <si>
    <t>02-02-2026 10:37:04</t>
  </si>
  <si>
    <t>860007336</t>
  </si>
  <si>
    <t>Caja Colombiana De Subsidio Familiar Colsubsidio</t>
  </si>
  <si>
    <t>1b08143f21a456ff1082112ede1063a3f7d8c3ea4907763df913c754ea8ec578f79e3e9b5388356277e4c1383fae6589</t>
  </si>
  <si>
    <t>105661</t>
  </si>
  <si>
    <t>02-02-2026 10:37:08</t>
  </si>
  <si>
    <t>63b9538b5e0159ebbd1ffa6e1e357cc1d29dac576871d6010504b8a05e121ca2658b020aea59dc17ac247ae82ef86a66</t>
  </si>
  <si>
    <t>105662</t>
  </si>
  <si>
    <t>02-02-2026 10:52:04</t>
  </si>
  <si>
    <t>6f60d7737f6aba19c01eb2d54215e6eeb490a59ee0e03fd6806319a0e5c7fda7449b71e51bc932bd52cec1da7fee1a72</t>
  </si>
  <si>
    <t>105663</t>
  </si>
  <si>
    <t>02-02-2026 10:52:08</t>
  </si>
  <si>
    <t>e5f87f40776c53ce481b92ea82dc58f1ec8eead1822c293727d1b2f1e31cb4dff85f6352280730bf33387aadda0f535f</t>
  </si>
  <si>
    <t>105664</t>
  </si>
  <si>
    <t>02-02-2026 10:52:16</t>
  </si>
  <si>
    <t>638230dc821469761880ec6e47a52c85efec3f32e1331ef28129bed38a92e26a3ea0ed9d233c60bb2eb786deeb537bb3</t>
  </si>
  <si>
    <t>105665</t>
  </si>
  <si>
    <t>02-02-2026 10:52:18</t>
  </si>
  <si>
    <t>901847883</t>
  </si>
  <si>
    <t>IA4 SAS</t>
  </si>
  <si>
    <t>d9d17494e29f3e4a96115842453834c51d6696c4b0465a2d0799d7b22eedf8e286403fd54eb786fa32b8f26d5db19d0a</t>
  </si>
  <si>
    <t>105666</t>
  </si>
  <si>
    <t>02-02-2026 10:52:23</t>
  </si>
  <si>
    <t>24d00dded83330c157318855770d7f7e0ef64f063c7bf120b8e4ef2a27b3bd91eff26e3a5363aa4c4f793766ced0ba1a</t>
  </si>
  <si>
    <t>105667</t>
  </si>
  <si>
    <t>02-02-2026 10:52:29</t>
  </si>
  <si>
    <t>db47bd5edf1223fe8c65e9bf30fb984d67645639a792d0d5ab7a61bcb719ad28ad87c69d3126b3464535c3939f841da2</t>
  </si>
  <si>
    <t>105668</t>
  </si>
  <si>
    <t>02-02-2026 10:52:32</t>
  </si>
  <si>
    <t>8b1b5684580c86fcd3f2b01ce5f29672849fe794109e9086163afa03db77ae2a3e1e3041df9710f58b791aabf9930645</t>
  </si>
  <si>
    <t>105669</t>
  </si>
  <si>
    <t>02-02-2026 10:52:38</t>
  </si>
  <si>
    <t>900024398</t>
  </si>
  <si>
    <t>Ecologistica SAS Empresa De Servicios Publicos Ecologistica SAS ESP</t>
  </si>
  <si>
    <t>3a78622c2995dc09ad913647615b08d5324b9c83768ff079309240371ae2deeeb21a41ee555d8e9895b3f2e3aa6852cf</t>
  </si>
  <si>
    <t>105670</t>
  </si>
  <si>
    <t>02-02-2026 10:52:42</t>
  </si>
  <si>
    <t>ed59b92615a0b014d73fea5d6de691107185efccb62ab2ed00e640e9826c49ea69395192c59d31840915cd0c81b51606</t>
  </si>
  <si>
    <t>105671</t>
  </si>
  <si>
    <t>02-02-2026 10:52:48</t>
  </si>
  <si>
    <t>900916121</t>
  </si>
  <si>
    <t>Industria Ambiental SAS</t>
  </si>
  <si>
    <t>0837e3626c0ea760f585b2852d6becb00f7bd7a3117bdbc0e8114a6088f0d7f9b0e75124cf0fe4a7e8e2be70c297a445</t>
  </si>
  <si>
    <t>105672</t>
  </si>
  <si>
    <t>02-02-2026 10:52:53</t>
  </si>
  <si>
    <t>860525156</t>
  </si>
  <si>
    <t>Valrex SAS</t>
  </si>
  <si>
    <t>689557710e31241b29ff0b29810eb5e91ba7f4e86b4521ea1bb000450e71d10287452debcac678fa701146a37671be05</t>
  </si>
  <si>
    <t>105673</t>
  </si>
  <si>
    <t>02-02-2026 10:52:57</t>
  </si>
  <si>
    <t>860068182</t>
  </si>
  <si>
    <t>Credicorp Capital Colombia SA</t>
  </si>
  <si>
    <t>840ead6acb50c9fdca1a66de9f36544e849caf077c067a0e0f590be01c86300a002f03259f0236f73a047d0d3ef79a7f</t>
  </si>
  <si>
    <t>105674</t>
  </si>
  <si>
    <t>02-02-2026 10:53:02</t>
  </si>
  <si>
    <t>860005114</t>
  </si>
  <si>
    <t>Messer Colombia SA</t>
  </si>
  <si>
    <t>1546001ba61f10f718dd48045184e6b034610f9edbabf38cbc750495a97ef8d4d4d768dfdf2deb0eabe1880d66aac007</t>
  </si>
  <si>
    <t>105675</t>
  </si>
  <si>
    <t>02-02-2026 10:53:08</t>
  </si>
  <si>
    <t>900478755</t>
  </si>
  <si>
    <t>Centak Export Zf SAS</t>
  </si>
  <si>
    <t>6a0786df26cdfccae4892807c267eddf4dd74ca2b517df9d4c290650ce5c20fcf45c6368f5ca7e8a344cb29998494184</t>
  </si>
  <si>
    <t>105676</t>
  </si>
  <si>
    <t>02-02-2026 11:08:15</t>
  </si>
  <si>
    <t>900396295</t>
  </si>
  <si>
    <t>Merquimia Internacional SAS</t>
  </si>
  <si>
    <t>407027706781adf9445faa615550f3fdfece7ea9f36e8f20c5a30a79285702a645b6d0513fbbd9fe67fdae7746a2a352</t>
  </si>
  <si>
    <t>105677</t>
  </si>
  <si>
    <t>02-02-2026 11:08:24</t>
  </si>
  <si>
    <t>900319696</t>
  </si>
  <si>
    <t>Concentrix Cvg Customer Management Colombia SAS</t>
  </si>
  <si>
    <t>f3e26d4b1bcd0610159e712e6583bd00de33bb44b0f671daad83919f652c8bd2860d2a7cba15fb09408346a39c2a1a39</t>
  </si>
  <si>
    <t>105678</t>
  </si>
  <si>
    <t>02-02-2026 11:23:32</t>
  </si>
  <si>
    <t>800149384</t>
  </si>
  <si>
    <t>Clinica Colsanitas SA</t>
  </si>
  <si>
    <t>5ff121deada184b911a539ad62e8d0068abb3808b64bb52a19f6c67ac7cc47b4539541180fb0953dd5833c3525d48915</t>
  </si>
  <si>
    <t>105679</t>
  </si>
  <si>
    <t>02-02-2026 11:23:35</t>
  </si>
  <si>
    <t>800118776</t>
  </si>
  <si>
    <t>Transportes Iceberg De Colombia SA</t>
  </si>
  <si>
    <t>0dbd479dd23ff38de826215780052c0f076049d0d6ebd7eb0f7a96133845c7d1978268de0c6e65e70ca5219f14dc4792</t>
  </si>
  <si>
    <t>105680</t>
  </si>
  <si>
    <t>02-02-2026 11:23:40</t>
  </si>
  <si>
    <t>860002183</t>
  </si>
  <si>
    <t>Axa Colpatria Seguros De Vida SA</t>
  </si>
  <si>
    <t>FACTURA PAGA EN EL SISTENMA 27/02/2026</t>
  </si>
  <si>
    <t>27c22922283a71f64b1932e8bbad5362ed84cb6e1e0082b06411a8e47108253a6a5c2facf77962a18ab22ada84a5cfaa</t>
  </si>
  <si>
    <t>105681</t>
  </si>
  <si>
    <t>02-02-2026 11:23:45</t>
  </si>
  <si>
    <t>900342297</t>
  </si>
  <si>
    <t>Comercializadora Arturo Calle SAS</t>
  </si>
  <si>
    <t>4ccc65bb341a2509401e409cc6d7b4ea22967beecc2ade9ee1a54a91a1f437cfb302a6783d4e57d33348856ce6065656</t>
  </si>
  <si>
    <t>105682</t>
  </si>
  <si>
    <t>02-02-2026 11:23:50</t>
  </si>
  <si>
    <t>5d86c7299e6cc22ffd8decd615bd620cb197df3f264ea089ebab9206bc64fca5ef00d19746f7159aded148ae01cdde7d</t>
  </si>
  <si>
    <t>105683</t>
  </si>
  <si>
    <t>02-02-2026 11:23:54</t>
  </si>
  <si>
    <t>860516806</t>
  </si>
  <si>
    <t>Permoda Ltda</t>
  </si>
  <si>
    <t>592150ecd90e6b1eeb467f5112942a5232c144343d3d9c22c2f9f453732f5f736c4e52383acee7975912b1806bf07b26</t>
  </si>
  <si>
    <t>105684</t>
  </si>
  <si>
    <t>02-02-2026 11:23:59</t>
  </si>
  <si>
    <t>900033883</t>
  </si>
  <si>
    <t>Quimicos Integrales SAS</t>
  </si>
  <si>
    <t>FACTURA PAGA EN EL SISTEMA 04/02/2026</t>
  </si>
  <si>
    <t>6b5214da75c4751860b35d87ae01932dda62c351cfc9f3a28422c487ab35ca4a93ede5a495f16710a89cbad71cf34586</t>
  </si>
  <si>
    <t>105685</t>
  </si>
  <si>
    <t>02-02-2026 11:24:03</t>
  </si>
  <si>
    <t>900475440</t>
  </si>
  <si>
    <t>Sulzer Pumps Colombia SAS</t>
  </si>
  <si>
    <t>1e13eb14028619fc90de9662e215f9ce12de5c8ce1e5b639541e568f58cf12633f2206e33eea93fa0eb94ccd8a2d49bd</t>
  </si>
  <si>
    <t>105686</t>
  </si>
  <si>
    <t>02-02-2026 11:24:08</t>
  </si>
  <si>
    <t>860066789</t>
  </si>
  <si>
    <t>Universidad El Bosque</t>
  </si>
  <si>
    <t>74b25a619e301ca2af617ba0077e0d2df371884fefcfd8750f86b2e812d4e8580083abcaca65c5c18107d69980fcaca8</t>
  </si>
  <si>
    <t>105687</t>
  </si>
  <si>
    <t>02-02-2026 11:24:16</t>
  </si>
  <si>
    <t>901117560</t>
  </si>
  <si>
    <t>Epiroc Colombia SAS</t>
  </si>
  <si>
    <t>1201e487ebd2f98d4e1c72d96053e9f6f0b273e22b336244566e06bdf5d3997d2783e8cf1d6998c8f80f473333715013</t>
  </si>
  <si>
    <t>105688</t>
  </si>
  <si>
    <t>02-02-2026 11:24:19</t>
  </si>
  <si>
    <t>e23c39840855391de9e9858ab8ac7800a4df58054bd581cd490203ba2c5893a4828e65fec205b2ff1fd56fd3207adc6b</t>
  </si>
  <si>
    <t>105689</t>
  </si>
  <si>
    <t>02-02-2026 11:24:22</t>
  </si>
  <si>
    <t>830111156</t>
  </si>
  <si>
    <t>Diseño Y Aplicaciones De Ingenieria Ltda</t>
  </si>
  <si>
    <t>69df6faf4b9f17e4c8c3def77eae62718df14a767b8c4ee7857d3b9f92864cf81e360274c52ec4d032f2e8bb36f5b01f</t>
  </si>
  <si>
    <t>105690</t>
  </si>
  <si>
    <t>02-02-2026 11:24:26</t>
  </si>
  <si>
    <t>900682841</t>
  </si>
  <si>
    <t>Educactiva SAS</t>
  </si>
  <si>
    <t>18a307d259606ed358ee3a996f6c34c17ee94a5549679f69f491946df2610dded02b2c0892bdd731e48a565de9fcf1ea</t>
  </si>
  <si>
    <t>105691</t>
  </si>
  <si>
    <t>02-02-2026 11:24:31</t>
  </si>
  <si>
    <t>830095970</t>
  </si>
  <si>
    <t>Distribuidora Y Editora Richmond SAS</t>
  </si>
  <si>
    <t>f746c7236a435b537639d20481902a39566d5be88f20d3ac263cc2c6acdea1482d1e10d6f03011e1712b2685bfc59097</t>
  </si>
  <si>
    <t>105692</t>
  </si>
  <si>
    <t>02-02-2026 11:39:55</t>
  </si>
  <si>
    <t>800024265</t>
  </si>
  <si>
    <t>Editorial Santillana SAS</t>
  </si>
  <si>
    <t>9cd87b991c3cd297c08a9bbf053ee5e1ca9133bb6f6c0712eb1f1c72ba3d0e40e34a2ac5c838a3aa834944f166b3c2ae</t>
  </si>
  <si>
    <t>105693</t>
  </si>
  <si>
    <t>a2f5f23b97db6066f2fdfa576eb86895522544fdd8de3254b3fb83ca13ddbb10a5bdc244e591b873a8efcf186cbea7e6</t>
  </si>
  <si>
    <t>105694</t>
  </si>
  <si>
    <t>02-02-2026 11:39:57</t>
  </si>
  <si>
    <t>NC 5905</t>
  </si>
  <si>
    <t>8a3a5ac4aca5e0e02c347e8fdba64faacd5bbbaea39f8b57a31cdaef31f2e3e2d3bf6cac5d29272cdfb9fa8c4132d59e</t>
  </si>
  <si>
    <t>105695</t>
  </si>
  <si>
    <t>02-02-2026 11:39:59</t>
  </si>
  <si>
    <t>NC 5904</t>
  </si>
  <si>
    <t>3a778bb9c17182fccca781f338cb12fc98e3b54b2c3487040b798643c8ed247b60561d9f79d494f5a5870b76d6825607</t>
  </si>
  <si>
    <t>105696</t>
  </si>
  <si>
    <t>02-02-2026 11:40:01</t>
  </si>
  <si>
    <t>5a0eb8f2e3cc78b5678333ae1e083bddbb09ef716e91e4d0541d15f832b8aec2fedeb7e6d910fb4ea44eec5da4832a99</t>
  </si>
  <si>
    <t>105697</t>
  </si>
  <si>
    <t>02-02-2026 11:40:04</t>
  </si>
  <si>
    <t>NC 5906</t>
  </si>
  <si>
    <t>694949ffbd6d6a7682474f4b2405b04102fea3db7a9dcb8b52e0fa4fdff2b94dc3d3b4faacfcd7bb734db893af1e9d35</t>
  </si>
  <si>
    <t>105698</t>
  </si>
  <si>
    <t>02-02-2026 11:40:06</t>
  </si>
  <si>
    <t>4faf9de62db2ee16b404320b0046cd52cb17dd1d9b1d29b74558e7dbebdb35c43bfd26f8a5f111ec7c353a1f71029bcd</t>
  </si>
  <si>
    <t>105699</t>
  </si>
  <si>
    <t>02-02-2026 11:40:11</t>
  </si>
  <si>
    <t>cceff4bdc8c689150fc265afcf68b480a4b3ef9870d077694d025807b4b3b4fe052983a631aec93af4d0b59875bf4d0a</t>
  </si>
  <si>
    <t>105700</t>
  </si>
  <si>
    <t>02-02-2026 11:40:16</t>
  </si>
  <si>
    <t>ef237c433cc5268f65732e4aa0dd830772944b6b0b87397ec1975bfb1b8c5e6bba3807680069e62f647faac563229163</t>
  </si>
  <si>
    <t>105701</t>
  </si>
  <si>
    <t>02-02-2026 11:40:20</t>
  </si>
  <si>
    <t>NC 5900</t>
  </si>
  <si>
    <t>bc274c8b1201d4c733653c8b18d2604227e18aca778803f06f02f0f3733b0a568c8ec8a341c8500aaa199c9020d1f268</t>
  </si>
  <si>
    <t>105702</t>
  </si>
  <si>
    <t>02-02-2026 11:40:25</t>
  </si>
  <si>
    <t>f889b915be5b6b2e00a1b3282a177ea3cdaadd6a63c6fa391298ca0df1b3f77f329dad236537ab296e05fba1ceefaa18</t>
  </si>
  <si>
    <t>105703</t>
  </si>
  <si>
    <t>02-02-2026 11:55:31</t>
  </si>
  <si>
    <t>NC 5892</t>
  </si>
  <si>
    <t>27e769dc56e3b50f7133c8f99c9425d0c6e76f8ddbb4d2cd737b67faceae647d835a9c2750344e3627e02c463bc1f271</t>
  </si>
  <si>
    <t>105704</t>
  </si>
  <si>
    <t>02-02-2026 11:55:36</t>
  </si>
  <si>
    <t>c82f8f700c8f4c89ed816fa95560069c98af11db89139e2829f16cf6bd91ff85d7a5a77e27962996cbeba5358a74dbc0</t>
  </si>
  <si>
    <t>105705</t>
  </si>
  <si>
    <t>02-02-2026 11:55:41</t>
  </si>
  <si>
    <t>ce0b1aab2ef595483b8ba05c0d4677bec26a365efdb498fd122b128a2b78b594a3af1b01c56dd1da68605db0a81f2b8b</t>
  </si>
  <si>
    <t>105706</t>
  </si>
  <si>
    <t>02-02-2026 11:55:45</t>
  </si>
  <si>
    <t>NC 5896</t>
  </si>
  <si>
    <t>568d22d35de471fc88a7003b7679f4b2509b320bbe4694d5c51acdc17b3b55c9e24f521e4a268d603109c30493877b39</t>
  </si>
  <si>
    <t>105707</t>
  </si>
  <si>
    <t>02-02-2026 11:55:49</t>
  </si>
  <si>
    <t>NC 5901</t>
  </si>
  <si>
    <t>c71aa9dee736e81df490328fb18c7d1b6336ef4c8175a7229bf415ac09ea09f31d492fba41408a1a2cc6177b1fed2c48</t>
  </si>
  <si>
    <t>105708</t>
  </si>
  <si>
    <t>02-02-2026 11:55:54</t>
  </si>
  <si>
    <t>NC 5897</t>
  </si>
  <si>
    <t>7483bb1cd002aff890863c19cb83050dbf3a6ff43af59adec42d8a15bb7e18f9b1cd8c8454b4a18e374d4a07aa874464</t>
  </si>
  <si>
    <t>105709</t>
  </si>
  <si>
    <t>02-02-2026 11:55:58</t>
  </si>
  <si>
    <t>NC 5895</t>
  </si>
  <si>
    <t>a19e3825e9d07716cbd64a24f839eb92bc970b8afec6728286aa81db6eee7e17acdb0eb59d8bac39aab482061b506b17</t>
  </si>
  <si>
    <t>105710</t>
  </si>
  <si>
    <t>02-02-2026 11:56:03</t>
  </si>
  <si>
    <t>NC 5898</t>
  </si>
  <si>
    <t>addf70e1518f1b81490acb74680929c53ac1cc39dbb0dcd7f3de9d49abe93183128b80d6935751ffd12e919299f1e82d</t>
  </si>
  <si>
    <t>105711</t>
  </si>
  <si>
    <t>02-02-2026 11:56:12</t>
  </si>
  <si>
    <t>NC 5890</t>
  </si>
  <si>
    <t>742c6fec88cf4a427ad6745ee806c8b6994a2ee57f5a6f83814622bcf590ebe8b34b414e8236f1cf8ebb5ca3a9442650</t>
  </si>
  <si>
    <t>105712</t>
  </si>
  <si>
    <t>02-02-2026 11:56:13</t>
  </si>
  <si>
    <t>NC 5887</t>
  </si>
  <si>
    <t>c1574c4df020f8b14c278f0a12a77925ae0d300e82645cf0da1dbf4fe81c49842c45038298897455d8b0a08e1294d998</t>
  </si>
  <si>
    <t>105713</t>
  </si>
  <si>
    <t>02-02-2026 11:56:20</t>
  </si>
  <si>
    <t>NC 5889</t>
  </si>
  <si>
    <t>9b9affb9cbb84b0cf9dc4b2fa1f6ddde16777701fdc9330a35d7d2623f2957c05a7dff5f0cc8e334167a28f390bf7972</t>
  </si>
  <si>
    <t>105714</t>
  </si>
  <si>
    <t>02-02-2026 11:56:37</t>
  </si>
  <si>
    <t>NC 5888</t>
  </si>
  <si>
    <t>f6f526bb0d71cc25ff94c9ede5a767d35e019038e48fa1dc327f9529fc0b85ac068eb618d28308ad224159e2cbb76a65</t>
  </si>
  <si>
    <t>105715</t>
  </si>
  <si>
    <t>02-02-2026 12:11:28</t>
  </si>
  <si>
    <t>NC 5899</t>
  </si>
  <si>
    <t>17f7a2f5952d1c6c1a3b085f3afe7e8e6e47c5db882bec2e50e2a55b2fd5ffefc72019d6aeea478de244a05073c56f48</t>
  </si>
  <si>
    <t>105716</t>
  </si>
  <si>
    <t>02-02-2026 12:11:33</t>
  </si>
  <si>
    <t>NC 5903</t>
  </si>
  <si>
    <t>edfd0dd919fb7b437ffe8f1649288d81b9386d870f326d9531a0845ca9e0031f24f121fd13aae0f886e2028d00fe935a</t>
  </si>
  <si>
    <t>105717</t>
  </si>
  <si>
    <t>02-02-2026 12:11:38</t>
  </si>
  <si>
    <t>33822f3f7463d082e2787abdff3b43854255f6e88f97c9b1caa0559a9f9b8a094db7178ba07dfc63c9027b1500d51a70</t>
  </si>
  <si>
    <t>105718</t>
  </si>
  <si>
    <t>02-02-2026 12:11:42</t>
  </si>
  <si>
    <t>7f3cece727f36d4f0eec73e128bef71e91ea8653c0ecc29d390a10a77ef19ebd75db767b84db8cf09352829f66f25390</t>
  </si>
  <si>
    <t>105719</t>
  </si>
  <si>
    <t>02-02-2026 12:11:47</t>
  </si>
  <si>
    <t>f88ae37c21a83c2c5ab85d5eb7009c952c95461d2de467e974e944dadcf2c3bcb35bb5739f6ce00ff4652af779c86bb6</t>
  </si>
  <si>
    <t>105720</t>
  </si>
  <si>
    <t>02-02-2026 12:11:51</t>
  </si>
  <si>
    <t>900935262</t>
  </si>
  <si>
    <t>General Business Machines De Colombia SAS</t>
  </si>
  <si>
    <t>FACTURA PAGA EN EL SISTEMA 3/02/2026</t>
  </si>
  <si>
    <t>d61072dacdf8ecdf9d7a9b23ea547a47b049204f70fa530031e33674bdaaacc7312229d39e328486d6b216a41e0dc242</t>
  </si>
  <si>
    <t>105721</t>
  </si>
  <si>
    <t>02-02-2026 16:22:43</t>
  </si>
  <si>
    <t>900561761</t>
  </si>
  <si>
    <t>Ingram Micro S.A.S</t>
  </si>
  <si>
    <t>aaca6d52be0e23d8c40b0ba399b4a4c1f2eb1c1f1bb02062f70d4b78a7f4f948355f1b4522ce3e298dfbaf12862bc856</t>
  </si>
  <si>
    <t>105722</t>
  </si>
  <si>
    <t>02-02-2026 12:12:00</t>
  </si>
  <si>
    <t>901295223</t>
  </si>
  <si>
    <t>Cosco Shipping Lines Colombia SAS</t>
  </si>
  <si>
    <t>390e296437c459e3309f45b749cf66baacccfc90a27bb53661bd100dd9fc0e7aea8558cfe62918b452534dda234bc4ee</t>
  </si>
  <si>
    <t>105723</t>
  </si>
  <si>
    <t>02-02-2026 12:12:04</t>
  </si>
  <si>
    <t>900430265</t>
  </si>
  <si>
    <t>Logysteel Operador Logistico SAS</t>
  </si>
  <si>
    <t>FACTURA PAGA EN EL SISTEMA 13/02/2026</t>
  </si>
  <si>
    <t>c84b230a53be95bf9b9cfad19fcb5535a1a07c22273c9d9151e5a7b7686d589de280140f747c58dbc110610ac344f18c</t>
  </si>
  <si>
    <t>105724</t>
  </si>
  <si>
    <t>02-02-2026 12:12:09</t>
  </si>
  <si>
    <t>860029415</t>
  </si>
  <si>
    <t>Empresa Colombiana De Clavos Emcoclavos SAS</t>
  </si>
  <si>
    <t>af380d11a984c5fce59b56725bfcf7857d539ce60e3f642117fe00c4a99a4766815724a411c20e835f973ea6b50fab90</t>
  </si>
  <si>
    <t>105725</t>
  </si>
  <si>
    <t>02-02-2026 12:12:13</t>
  </si>
  <si>
    <t>860533413</t>
  </si>
  <si>
    <t>IRCC SAS Industria De Restaurantes Casuales SAS</t>
  </si>
  <si>
    <t>25d0becf9a447183246e5b649600d33dbc1a07f2d0224535e65445fba9054055754de33a5c6d2089da0ba43494930607</t>
  </si>
  <si>
    <t>105726</t>
  </si>
  <si>
    <t>02-02-2026 12:12:19</t>
  </si>
  <si>
    <t>860050750</t>
  </si>
  <si>
    <t>Banco Gnb Sudameris S A</t>
  </si>
  <si>
    <t>a127aea6e58cbbf0b5d466972d97a8cb5c97ef8738eba634e3f7db990db67549777b4e78f19c6fea1e8fbaae71bf0694</t>
  </si>
  <si>
    <t>105727</t>
  </si>
  <si>
    <t>02-02-2026 12:12:22</t>
  </si>
  <si>
    <t>900451379</t>
  </si>
  <si>
    <t>Levare Services Ltd Sucursal Colombia</t>
  </si>
  <si>
    <t>2c3ec62f4c8040d88e6e7a1f7fcb3ea601d413f563dec7a51e36983371e4a9b493261dfc1055b21363c154c74c5c86c8</t>
  </si>
  <si>
    <t>105728</t>
  </si>
  <si>
    <t>02-02-2026 12:12:28</t>
  </si>
  <si>
    <t>800066123</t>
  </si>
  <si>
    <t>Gi Group Staffing SAS</t>
  </si>
  <si>
    <t>7a83f02aeee9539957a89270e797d51e5ae988595ffdf828bd2d7badf04f44e7e701946e5568976c59f35a5519ba28a0</t>
  </si>
  <si>
    <t>105729</t>
  </si>
  <si>
    <t>02-02-2026 12:27:35</t>
  </si>
  <si>
    <t>860050906</t>
  </si>
  <si>
    <t>Adecco Colombia S A</t>
  </si>
  <si>
    <t>5b113308845a32926d39761515dc67651465ac9bcf6f6d054b2733ac3f1290c969d7d1c2b791f2e828c133f286ba2432</t>
  </si>
  <si>
    <t>105730</t>
  </si>
  <si>
    <t>02-02-2026 12:27:39</t>
  </si>
  <si>
    <t>33d8e47ffd24df7387af41fa33af49f737a113e8b8ce3557e66bb42676037f80ebba811d0a7723356498a09c58eae841</t>
  </si>
  <si>
    <t>105731</t>
  </si>
  <si>
    <t>02-02-2026 12:27:43</t>
  </si>
  <si>
    <t>aa634563b5acc2a07606e60f7bf1eca1f3a15873f952a92cc0754bd6b2c6266a53808b4f044f6188c2272a0a6732c3e3</t>
  </si>
  <si>
    <t>105732</t>
  </si>
  <si>
    <t>02-02-2026 12:27:48</t>
  </si>
  <si>
    <t>800237608</t>
  </si>
  <si>
    <t>Central De Insumos Y Materias Primas Para La Industria Alimentaria SAS</t>
  </si>
  <si>
    <t>5cfefd84a8fe1834c99263cefd4756abf5bfb1fac93105f48976e238ad3eb0f9e96fe899e47f89e8b9c02c012225fd04</t>
  </si>
  <si>
    <t>105733</t>
  </si>
  <si>
    <t>02-02-2026 12:27:52</t>
  </si>
  <si>
    <t>901380344</t>
  </si>
  <si>
    <t>Buk Col SAS</t>
  </si>
  <si>
    <t>FACTURA PAGA EN EL SISTEMA  20/02/2026</t>
  </si>
  <si>
    <t>b01ba36f568ec034af4bfa43dd2f104504d56f18b5a31b80569b5321c335a6f8474b765b3971929b606c29afebbfb205</t>
  </si>
  <si>
    <t>105734</t>
  </si>
  <si>
    <t>02-02-2026 12:27:58</t>
  </si>
  <si>
    <t>e5f500062e105cf3b708db56d63aa25aeb39e6228daa69fe36d08d034bf0ef83396584ec1f9c26b3aff7d4c7fc136f3e</t>
  </si>
  <si>
    <t>105735</t>
  </si>
  <si>
    <t>02-02-2026 12:28:02</t>
  </si>
  <si>
    <t>860504772</t>
  </si>
  <si>
    <t>Efectimedios SAS</t>
  </si>
  <si>
    <t>203d752c3abb1719cb87dbac3601825bdcafc4a47744e94dbf17c907e6cf7750e16b34631d5c4fc54bcd9c88bf38ae2c</t>
  </si>
  <si>
    <t>105736</t>
  </si>
  <si>
    <t>02-02-2026 12:28:06</t>
  </si>
  <si>
    <t>6f12bd8e8e332a14faa985f917b4bd58a5880af1ab4f7306f61cbb2ce225592b19e2d6be5c5129bb6c6bb6c4519a9b7b</t>
  </si>
  <si>
    <t>105737</t>
  </si>
  <si>
    <t>02-02-2026 12:28:11</t>
  </si>
  <si>
    <t>901383974</t>
  </si>
  <si>
    <t>Mondi Cartagena SAS</t>
  </si>
  <si>
    <t>1471b77215a82bf54c2fcbf00e9bc062c165d9aaa5648d02993e07da96c5eda7766bdd0c23b54a9b4a243395fec63650</t>
  </si>
  <si>
    <t>105738</t>
  </si>
  <si>
    <t>02-02-2026 12:28:16</t>
  </si>
  <si>
    <t>9cf2d24fba1c3ffd6e9284e01161c1d33347b6b045a08df4db867be4769bbc682f14a1c79274eec1d08fada53a5de286</t>
  </si>
  <si>
    <t>105739</t>
  </si>
  <si>
    <t>02-02-2026 12:28:21</t>
  </si>
  <si>
    <t>830050228</t>
  </si>
  <si>
    <t>Adecco Servicios Colombia S A</t>
  </si>
  <si>
    <t>749f55ce4f37ca82bbc7dcb697659aa740b40eb3a5daa86bb7284a437462d43ed56b0d74443c6bf5c6f868f7f665f637</t>
  </si>
  <si>
    <t>105740</t>
  </si>
  <si>
    <t>02-02-2026 12:43:27</t>
  </si>
  <si>
    <t>b4a8de5057442bb67d7ccfe31246432059d0550dbaf264d5fa0fd9d1f459d7a1e01a14f53ffb1df36daaac180d0abd9c</t>
  </si>
  <si>
    <t>105741</t>
  </si>
  <si>
    <t>02-02-2026 12:43:31</t>
  </si>
  <si>
    <t>2e1763bd4723ef6d7fc980aaf78fb8c12149a0e799c8b1736113637bf6225b6e4bd2bbdeac5d911bfd37d5d666ae921e</t>
  </si>
  <si>
    <t>105742</t>
  </si>
  <si>
    <t>02-02-2026 12:43:37</t>
  </si>
  <si>
    <t>890401802</t>
  </si>
  <si>
    <t>Prosegur Vigilancia Y Seguridad Privada LTDA</t>
  </si>
  <si>
    <t>4f79cc366c8c0ff4693c110cf1f66f8172e21df21fd8e74c77c690084bbef60cb857732b1b5a5f5a836c59942041aefa</t>
  </si>
  <si>
    <t>105743</t>
  </si>
  <si>
    <t>02-02-2026 12:43:41</t>
  </si>
  <si>
    <t>e92f9bc6b81387671ec867f50f66faf4fd75fc5fd91d76409d194e1e9a9812720139a021c13aa3e4c5e4942a1a7c616e</t>
  </si>
  <si>
    <t>105744</t>
  </si>
  <si>
    <t>02-02-2026 12:43:46</t>
  </si>
  <si>
    <t>dc5c4ee659e745b3979eb78c0b715c6299a04cd49e79aa2b053b46a1b86ff029909e9b6097434167f54790d9c338cb59</t>
  </si>
  <si>
    <t>105745</t>
  </si>
  <si>
    <t>02-02-2026 12:43:50</t>
  </si>
  <si>
    <t>67914a89671ddc422fc5fd2e5207660a9ff1714675eb517a2590d65882d870bfa13ec323f41af539f384e4dea6553d66</t>
  </si>
  <si>
    <t>105746</t>
  </si>
  <si>
    <t>02-02-2026 12:43:55</t>
  </si>
  <si>
    <t>64ec7f7caa4f9e3c3d1cc6b187fadd164b9a3f542bd181f3570e91143ab8cc70a6fbe0c1ec3ebb130604e17d5afe1e7f</t>
  </si>
  <si>
    <t>105747</t>
  </si>
  <si>
    <t>02-02-2026 12:43:59</t>
  </si>
  <si>
    <t>a0dd3ac5678121152bf74f8ff804cc83dc06390f514b7ebf05b77a676966b536a42bdbd46783fdfb2dca2ba8f77a2586</t>
  </si>
  <si>
    <t>105748</t>
  </si>
  <si>
    <t>02-02-2026 12:44:04</t>
  </si>
  <si>
    <t>b5c563e9f53a7cd577e505c5112cf7e886cf862eb4dc9f93dbf6e8eede0bebf606f137149778edd1ac3d2d5fd9d686e6</t>
  </si>
  <si>
    <t>105749</t>
  </si>
  <si>
    <t>02-02-2026 12:44:09</t>
  </si>
  <si>
    <t>40d9236b2b9d075ad196e96593a80cc08d301df423d4bd3bc8026e54e15d6daf1e569a8fd2f22a8cc9b8e9b8c438ed30</t>
  </si>
  <si>
    <t>105750</t>
  </si>
  <si>
    <t>02-02-2026 12:44:14</t>
  </si>
  <si>
    <t>4a3d559e46ff9e6b4e1c0a07835390dbecff537a38bb19bde89f48505faee09345bcfd1f2e8ae51062416d47e2c31c52</t>
  </si>
  <si>
    <t>105751</t>
  </si>
  <si>
    <t>02-02-2026 12:44:18</t>
  </si>
  <si>
    <t>825207e8540b2099f06d389bea36aeb1e9461b1d8b36002368d71dfbf6751c30260c683cf5bf95a6ec79e953db1dad31</t>
  </si>
  <si>
    <t>105752</t>
  </si>
  <si>
    <t>02-02-2026 12:44:22</t>
  </si>
  <si>
    <t>830025104</t>
  </si>
  <si>
    <t>Prosegur Tecnologia SAS</t>
  </si>
  <si>
    <t>43190e8940e93d118fb4f5c393bc75cf66d64f571eecef0d298df7823f0e8098166be48908d39c6494da3fb53d58ce47</t>
  </si>
  <si>
    <t>105753</t>
  </si>
  <si>
    <t>02-02-2026 12:59:29</t>
  </si>
  <si>
    <t>900488297</t>
  </si>
  <si>
    <t>Knauf De Colombia SAS</t>
  </si>
  <si>
    <t>f9623a9ccf56fd8cd52d4f702ce6a46648ff03614ab29ce81deb0bb1727a8a89ffb5548d05beb5a29fd23f782f59d11b</t>
  </si>
  <si>
    <t>105754</t>
  </si>
  <si>
    <t>02-02-2026 12:59:34</t>
  </si>
  <si>
    <t>901179692</t>
  </si>
  <si>
    <t>FCL Impart SAS</t>
  </si>
  <si>
    <t>FACTURA PAGA EN EL SISTEMA 9/02/2026</t>
  </si>
  <si>
    <t>1a415d43cbe5ac0e81c1810e02c454a2b4ef4a9d1e12a2b5b0acf845c9e42163507b6aa69c8baa89a803236c9bc8f82b</t>
  </si>
  <si>
    <t>105755</t>
  </si>
  <si>
    <t>02-02-2026 12:59:38</t>
  </si>
  <si>
    <t>900794325</t>
  </si>
  <si>
    <t>Robertet Andina S A S</t>
  </si>
  <si>
    <t>26f011a7b5a56dfc51f3ab3d495e0f8283370c4b60b5b2e53adba8c2e5933a60196a672c5588c58f959e31d41271ec9f</t>
  </si>
  <si>
    <t>105756</t>
  </si>
  <si>
    <t>02-02-2026 12:59:43</t>
  </si>
  <si>
    <t>655c2c46798b0494d60afdf88f796f705c2e2b8194407c4daf3d7170706afe06893f81f6c60cf7740d67b6d63577fb15</t>
  </si>
  <si>
    <t>105757</t>
  </si>
  <si>
    <t>02-02-2026 12:59:49</t>
  </si>
  <si>
    <t>6d6774159532dbb45ac4fcde952c84efb181102de4ed5d6f9103ad2d6d114fcb4b425ccddf885cef551a96e1821da7bd</t>
  </si>
  <si>
    <t>105758</t>
  </si>
  <si>
    <t>02-02-2026 12:59:53</t>
  </si>
  <si>
    <t>4037400e86685a85938ac2cadad4c688337bdbeff3de225df97f33b5bb246602d14065696209b1d89f4507221043f620</t>
  </si>
  <si>
    <t>105759</t>
  </si>
  <si>
    <t>02-02-2026 12:59:58</t>
  </si>
  <si>
    <t>900771900</t>
  </si>
  <si>
    <t>Hilton Worldwide Manage Branchco Limited</t>
  </si>
  <si>
    <t>PAGA EL 20/02/2026</t>
  </si>
  <si>
    <t>93ca90b626f438df3b6478e74d352e33aef1418cb8be2cb7c594ae832cfb07ccd86b9359c9cadfdaa8d1d806aed81419</t>
  </si>
  <si>
    <t>105760</t>
  </si>
  <si>
    <t>02-02-2026 13:00:04</t>
  </si>
  <si>
    <t>9d86538b4d11dedf09a66f9beb0b90896aa8433b29468cf31375057101c0b2ed565c254b9dad3cd1056ff708e892485a</t>
  </si>
  <si>
    <t>105761</t>
  </si>
  <si>
    <t>02-02-2026 13:00:09</t>
  </si>
  <si>
    <t>10c80a0ad9c19bc8826fc93a7899f39ea9f2466d8502c50463328aa3e8ac3e01295cf7a2b4be416b7bd97d4eb9988d81</t>
  </si>
  <si>
    <t>105762</t>
  </si>
  <si>
    <t>02-02-2026 13:00:12</t>
  </si>
  <si>
    <t>604da40ec6f20fd4d866fa161e984d8abf9456f000c8450b4a63ceab8297b9e6bdb7fe4d8c6783d3e112aee9cbd82959</t>
  </si>
  <si>
    <t>105763</t>
  </si>
  <si>
    <t>02-02-2026 13:00:18</t>
  </si>
  <si>
    <t>830513773</t>
  </si>
  <si>
    <t>Applus Norcontrol Colombia Limitada</t>
  </si>
  <si>
    <t>babc5a358ff098d7831a91bcc6a5014b2cf8e4c107dca4ff8f5b968d3e2877d353a43999ad268bce6bdbe7726f299799</t>
  </si>
  <si>
    <t>105764</t>
  </si>
  <si>
    <t>02-02-2026 13:15:24</t>
  </si>
  <si>
    <t>ef3b425595935115822a43094a2cf7b503eac64a841dfef01843fb8c918c26728821a6ff93b1fa22bf357816322b497c</t>
  </si>
  <si>
    <t>105765</t>
  </si>
  <si>
    <t>02-02-2026 13:15:28</t>
  </si>
  <si>
    <t>b241625c88858e0bc110ce0f57ba4c76d7d910a30aeaf538530bcac1bc714b0e74cd92a1b9d5d609a1c140b5a8537010</t>
  </si>
  <si>
    <t>105766</t>
  </si>
  <si>
    <t>02-02-2026 13:15:33</t>
  </si>
  <si>
    <t>53813ecbea74c3bf9d88898e9f2e799e4abb84c7a8f6c4cdd5cf73245cade606495423589064cd6fa2199ad961832a8f</t>
  </si>
  <si>
    <t>105767</t>
  </si>
  <si>
    <t>02-02-2026 13:15:38</t>
  </si>
  <si>
    <t>6d092ac9a2d2099923977dd5e520fd0d771842bc5a201fb40afcc658285a2a9bfacda838d760c146ec99e7e5ab58baee</t>
  </si>
  <si>
    <t>105768</t>
  </si>
  <si>
    <t>02-02-2026 13:15:43</t>
  </si>
  <si>
    <t>efc3a2b91e78eeb6dcdd36ae39d9a2acbb579de77d381cc417da613db74395f2692a948c590b8c80281c626c113f416d</t>
  </si>
  <si>
    <t>105769</t>
  </si>
  <si>
    <t>02-02-2026 13:15:46</t>
  </si>
  <si>
    <t>abb18a01d58e6944092fca85da9764858fdf69690ba06f4f9d122b0866c73ddc0f42cdbcdd0cf02ff71400cc81f825d5</t>
  </si>
  <si>
    <t>105770</t>
  </si>
  <si>
    <t>02-02-2026 14:15:58</t>
  </si>
  <si>
    <t>860510863</t>
  </si>
  <si>
    <t>Inverleoka SAS</t>
  </si>
  <si>
    <t>662281b698bdd899240a8da06689e784ad427053496b42e16b3e94d1be7d9f0576e2892244187854ae5fe7d476dad313</t>
  </si>
  <si>
    <t>105771</t>
  </si>
  <si>
    <t>02-02-2026 14:16:03</t>
  </si>
  <si>
    <t>800241469</t>
  </si>
  <si>
    <t>Transborder SAS</t>
  </si>
  <si>
    <t>PAGA 2/03/2026</t>
  </si>
  <si>
    <t>dbb1c32fc1d9b8b25a33af9e5b0e594395ec62c8ed3895699147e922e90151509b6d9ccb415e99a89327058b85cb1b45</t>
  </si>
  <si>
    <t>105772</t>
  </si>
  <si>
    <t>02-02-2026 14:16:07</t>
  </si>
  <si>
    <t>800040410</t>
  </si>
  <si>
    <t>Consejo Profesional De Biologia</t>
  </si>
  <si>
    <t>ff94b7748307aad544dcd8155c0d40e23b9b00d6eaa2bbd2d33c6d1b606366abed3bb897affa9972941bf7a7a79009b3</t>
  </si>
  <si>
    <t>105773</t>
  </si>
  <si>
    <t>02-02-2026 14:16:12</t>
  </si>
  <si>
    <t>860019021</t>
  </si>
  <si>
    <t>Asociacion Para La Enseñanza Aspaen</t>
  </si>
  <si>
    <t>a962208b3b6afcf66edc950850a0669771f45cde31ec056ca3a2288619a3f5aa7bbe700633da1213a0b25de6d2885b5c</t>
  </si>
  <si>
    <t>105774</t>
  </si>
  <si>
    <t>02-02-2026 14:16:17</t>
  </si>
  <si>
    <t>860041367</t>
  </si>
  <si>
    <t>Cavelier Abogados S A S</t>
  </si>
  <si>
    <t>3cf68712ea1f4ab46c794cc517ecef8e61a83f2c543e6532aaeacc75e25bc35dbd71153e01e453e30e5df59fe6181100</t>
  </si>
  <si>
    <t>105775</t>
  </si>
  <si>
    <t>02-02-2026 14:16:23</t>
  </si>
  <si>
    <t>830005028</t>
  </si>
  <si>
    <t>Administradora Country SAS</t>
  </si>
  <si>
    <t>81f7aab273d209acebbbf53ca98fe833a5ed83f3c38ad97de80a19326cd9a7081f0d9f72fa417d5aca3357aa952e3d75</t>
  </si>
  <si>
    <t>105776</t>
  </si>
  <si>
    <t>02-02-2026 14:16:28</t>
  </si>
  <si>
    <t>830018004</t>
  </si>
  <si>
    <t>Correcol Corredores Colombianos De Seguros Corredores De Seguros SA</t>
  </si>
  <si>
    <t>a10b1a0e117cc71452aa73835875f407421b6c08d53c970247dfb9f215a36a06b195cf2a8e627f94d099327946f4ced2</t>
  </si>
  <si>
    <t>105777</t>
  </si>
  <si>
    <t>02-02-2026 14:16:31</t>
  </si>
  <si>
    <t>860002566</t>
  </si>
  <si>
    <t>Flota La Macarena SA</t>
  </si>
  <si>
    <t>759cd4b1670da6866325ca80ce85a5b18c112170abba9207bd906dffe78e2f54c76e120f9253fad2a7b83993a552e9df</t>
  </si>
  <si>
    <t>105778</t>
  </si>
  <si>
    <t>02-02-2026 14:33:21</t>
  </si>
  <si>
    <t>830027574</t>
  </si>
  <si>
    <t>Tivit Colombia Tercerizacion De Procesos Servicios Y Tecnologia SAS</t>
  </si>
  <si>
    <t>8fbd95fd04f0aa8e7b501fa3dcad8873d68a7a104edefbe211bdad0290e5b4c35253d961fcd8342b090eb59b0e0ce1bb</t>
  </si>
  <si>
    <t>105779</t>
  </si>
  <si>
    <t>02-02-2026 14:33:27</t>
  </si>
  <si>
    <t>860074520</t>
  </si>
  <si>
    <t>Inter Expo SA</t>
  </si>
  <si>
    <t>16bcc255cd2854e1d6200100ba7ca42e2b2c1f65c00a24cdf6e8ffff92251858f3b0e0c987eb0fb9e39d4589bff014cc</t>
  </si>
  <si>
    <t>105780</t>
  </si>
  <si>
    <t>02-02-2026 14:33:34</t>
  </si>
  <si>
    <t>900979802</t>
  </si>
  <si>
    <t>Hikvision Colombia SAS</t>
  </si>
  <si>
    <t>b0d566b5e83d0e3e5c93e8a83107bfe1db77c4cb310a57bb900b228c0f0e18e67b2442d1f156c3163af55d597c28138e</t>
  </si>
  <si>
    <t>105781</t>
  </si>
  <si>
    <t>d6559e50a574b33f71b7e7391b0b4dfbf8512140026ff9904a3f9c5bb3bf1ba45243571d1b5cb0553bb173ea770ca32f</t>
  </si>
  <si>
    <t>105782</t>
  </si>
  <si>
    <t>02-02-2026 14:33:38</t>
  </si>
  <si>
    <t>900139569</t>
  </si>
  <si>
    <t>Paneltec SAS</t>
  </si>
  <si>
    <t>45139bd3e2f24f30c4f078c1c8f03cfe92a603c20c11fabdc0f6a69b63a4c4bf62bb4a9f14b1e172277d530a7e2a3711</t>
  </si>
  <si>
    <t>105783</t>
  </si>
  <si>
    <t>02-02-2026 14:33:44</t>
  </si>
  <si>
    <t>800059470</t>
  </si>
  <si>
    <t>Esenttia SA</t>
  </si>
  <si>
    <t>0dc0d17ca1da3ad06bca6e8c1318cabbd03d0a5edbdb8588c916b2aac2406556284122153205a9259152f1e2d7f9ce8d</t>
  </si>
  <si>
    <t>105784</t>
  </si>
  <si>
    <t>02-02-2026 14:33:49</t>
  </si>
  <si>
    <t>a4f57c729b68e2267719fd92961bd063c6b7ee78b18aebad0d35b56b921c669c925ae2aa00155ecdeca56c119718719c</t>
  </si>
  <si>
    <t>105785</t>
  </si>
  <si>
    <t>02-02-2026 14:34:18</t>
  </si>
  <si>
    <t>d7fae086e1cf7e5e10e0468fe58a6a382266355980251376259f8db647217550fdff0f571d3799265b7552537ef0375b</t>
  </si>
  <si>
    <t>105786</t>
  </si>
  <si>
    <t>02-02-2026 14:53:00</t>
  </si>
  <si>
    <t>830068318</t>
  </si>
  <si>
    <t xml:space="preserve">Xcb De Colombia Limited Sucursal Colombiana </t>
  </si>
  <si>
    <t>110ce204377dd385107c1b707ebab5884c080e941a8c8344417c07e294cddd2ad66f0d70dfaa258ecb749d4f24876f06</t>
  </si>
  <si>
    <t>105787</t>
  </si>
  <si>
    <t>02-02-2026 14:53:01</t>
  </si>
  <si>
    <t>860001978</t>
  </si>
  <si>
    <t>Cabarria IQA SAS</t>
  </si>
  <si>
    <t>58d392a742a9c23d2341092fc11d0de3853e54c5f9a523ef6cb61f46756cbf32709e4ff06a0724db41187cbd706ea798</t>
  </si>
  <si>
    <t>105788</t>
  </si>
  <si>
    <t>02-02-2026 14:53:03</t>
  </si>
  <si>
    <t>95636e7ff8e02c9771816ec1aeb15e2cc40c8c3b15378bd9a6e1c44b48d43ff28032058fe6566a9f092c3532869d991a</t>
  </si>
  <si>
    <t>105789</t>
  </si>
  <si>
    <t>02-02-2026 14:53:07</t>
  </si>
  <si>
    <t>830096376</t>
  </si>
  <si>
    <t>Transportes Humadea SAS</t>
  </si>
  <si>
    <t>476458e0c2c805214e0056ef4ab3531910c7d97a879ffbb975561fcda70916f01ed83b7b2bc6030476f989042da1bff0</t>
  </si>
  <si>
    <t>105790</t>
  </si>
  <si>
    <t>02-02-2026 14:53:12</t>
  </si>
  <si>
    <t>31ad92397c0b1860adf8b4aca197ee86ce8f51222f33f1fbfe100b6f96527f4d0012b215bc5025b6e2627e759e4f892f</t>
  </si>
  <si>
    <t>105791</t>
  </si>
  <si>
    <t>02-02-2026 14:53:10</t>
  </si>
  <si>
    <t>23a7602e682dfe9a2840bc6a57f3e432359baa9b936391f35fdf80ce5290ca8501cb3408aaddd069b9297518779b7214</t>
  </si>
  <si>
    <t>105792</t>
  </si>
  <si>
    <t>02-02-2026 15:02:47</t>
  </si>
  <si>
    <t>800081833</t>
  </si>
  <si>
    <t>Lineas Tecnicas De Cargamentos SAS</t>
  </si>
  <si>
    <t>b5d0e92c91fb11e516dc7dfa8b037c4596ba17fce319ebfc42d82783a42ded288de9d2ed29ec2253c8fbc70696408e6d</t>
  </si>
  <si>
    <t>105793</t>
  </si>
  <si>
    <t>02-02-2026 15:02:52</t>
  </si>
  <si>
    <t>639a40a0e4000de8c78eaec11f0f10f57bad3d27d162baf277bba87dbfad30ee8458546ca8dfb457331b4318f0a277c9</t>
  </si>
  <si>
    <t>105794</t>
  </si>
  <si>
    <t>02-02-2026 15:02:57</t>
  </si>
  <si>
    <t>817001672</t>
  </si>
  <si>
    <t>Colinagro SA</t>
  </si>
  <si>
    <t>d9eb7c67f65e05308cde21624f69641b18ee655c090951e98a3833c1653e3e5eaf2d71e6465a7ac89cb0a565a2c4b263</t>
  </si>
  <si>
    <t>105795</t>
  </si>
  <si>
    <t>02-02-2026 15:03:01</t>
  </si>
  <si>
    <t>b1f2af6d8e84b5ca898c35ea0a65d72c4c9603eabf31aaea2ebaa72592c27c582bb0ed19985a7d8a905ed48d61abf594</t>
  </si>
  <si>
    <t>105796</t>
  </si>
  <si>
    <t>02-02-2026 15:03:07</t>
  </si>
  <si>
    <t>f22cc85a9bb16b9ff125049706aa2bf8cb0e664c58eb88ce61414c4bc6ec7cdc2ff8106bfc8bdcc7d26bd6064189bf9e</t>
  </si>
  <si>
    <t>105797</t>
  </si>
  <si>
    <t>02-02-2026 15:03:11</t>
  </si>
  <si>
    <t>900270701</t>
  </si>
  <si>
    <t>BR Group SA</t>
  </si>
  <si>
    <t>e77edacd0f6afeb740411f1a1bba0158a213298fcf9ade4961652e13881e1aa6e57ac34aba83a12decf78b7c92ad91a1</t>
  </si>
  <si>
    <t>105798</t>
  </si>
  <si>
    <t>02-02-2026 15:03:16</t>
  </si>
  <si>
    <t>830109997</t>
  </si>
  <si>
    <t>Otto Bock Healthcare Andina SAS</t>
  </si>
  <si>
    <t>027e1e2dc7109a66aae0e2a815d0f56668b13542f9b372f54674c43aede2a20ae78c6c932c7f1eeadfb0c329d0654637</t>
  </si>
  <si>
    <t>105799</t>
  </si>
  <si>
    <t>02-02-2026 15:03:21</t>
  </si>
  <si>
    <t>900208445</t>
  </si>
  <si>
    <t>Ceramica San Lorenzo Industrial De Colombia SA</t>
  </si>
  <si>
    <t>bb2d295ccbf4a651c76193b5a0c95533a34fb6af55a00321fca6d1037d4c19b37d428050a9a1370210dcc3f6c5ebfec1</t>
  </si>
  <si>
    <t>105800</t>
  </si>
  <si>
    <t>02-02-2026 15:18:28</t>
  </si>
  <si>
    <t>800084728</t>
  </si>
  <si>
    <t>Distribuidora Mayorista De Automoviles Madiautos SAS</t>
  </si>
  <si>
    <t>x</t>
  </si>
  <si>
    <t>b472fc39341a0d7da62c8009f0fe48f892c8f15cd4b5ff00d34093eee36a61d8d287e3c1c69d268c785efd0dbe852f4d</t>
  </si>
  <si>
    <t>105801</t>
  </si>
  <si>
    <t>02-02-2026 15:18:33</t>
  </si>
  <si>
    <t>900148177</t>
  </si>
  <si>
    <t>Pear Solutions SA</t>
  </si>
  <si>
    <t>bb4b2ae93c148cd486f2589022b0e237adb05319c0a097c0ea2037f11e98d4f877997845dea96a79d880c17c6618e046</t>
  </si>
  <si>
    <t>105802</t>
  </si>
  <si>
    <t>02-02-2026 15:18:36</t>
  </si>
  <si>
    <t>830104929</t>
  </si>
  <si>
    <t>Logistica Repremundo SAS</t>
  </si>
  <si>
    <t>481df0824f108b8aa43a63fdca0561486adb0911b575521d5566e0263ea3abf1a365d491b9fb5c42946fdfc672ff699e</t>
  </si>
  <si>
    <t>105803</t>
  </si>
  <si>
    <t>02-02-2026 15:18:41</t>
  </si>
  <si>
    <t>369d6d7c39cc910187dbefedbcb4c4db731c7a426a3989e03fd8799a27a340bee2524fa38333a14b116499a7dd038917</t>
  </si>
  <si>
    <t>105804</t>
  </si>
  <si>
    <t>02-02-2026 15:18:46</t>
  </si>
  <si>
    <t>830077515</t>
  </si>
  <si>
    <t>Global Motor SAS</t>
  </si>
  <si>
    <t>PAGA 27/02/2026</t>
  </si>
  <si>
    <t>c85076a6c1c50d5ff7ae6c1bc40d8788d25a17bbfd0aed943e82cb5b58752776f044eb6db2147759a063886ab8ea5e1d</t>
  </si>
  <si>
    <t>105805</t>
  </si>
  <si>
    <t>02-02-2026 15:18:50</t>
  </si>
  <si>
    <t>890101681</t>
  </si>
  <si>
    <t>Fundacion Universidad Del Norte</t>
  </si>
  <si>
    <t>78e1b15b0d919d3be007a17723ec15831ac62fe9b844f8e37d48c00495db101569b5ab0b0f499c1fd4b33fc9ae5a4937</t>
  </si>
  <si>
    <t>105806</t>
  </si>
  <si>
    <t>02-02-2026 15:18:54</t>
  </si>
  <si>
    <t>900611019</t>
  </si>
  <si>
    <t>Boticario Colombia S A S</t>
  </si>
  <si>
    <t>b23036ae6816c74960b75cbc8aeae1f5062c02724d0c0dd9a03a112428062804df76039b45c35bb7014fd77d140eaa97</t>
  </si>
  <si>
    <t>105807</t>
  </si>
  <si>
    <t>02-02-2026 15:18:59</t>
  </si>
  <si>
    <t>d289a9a9b12c4024d374b088d343637fdb894715c031019446bc11ecaebc4abaeb5c23f8df39045277155d01e9efcff4</t>
  </si>
  <si>
    <t>105808</t>
  </si>
  <si>
    <t>02-02-2026 15:19:04</t>
  </si>
  <si>
    <t>860044349</t>
  </si>
  <si>
    <t>G Barco SA</t>
  </si>
  <si>
    <t>14b38846107828c8618d2293fd8b8e1074f977fc2f818276d9ba21733f8bed5c2d6f39e4d933b19f6259998c17c3e55b</t>
  </si>
  <si>
    <t>105809</t>
  </si>
  <si>
    <t>02-02-2026 15:19:09</t>
  </si>
  <si>
    <t>900592369</t>
  </si>
  <si>
    <t>Quironprevencion Colombia SAS</t>
  </si>
  <si>
    <t>9d05dde5f6598527346eb6573047d93fd5a08d228ff1739b4b31d524df28207c7445ec22861fa43183a2ecb6a6af42d5</t>
  </si>
  <si>
    <t>105810</t>
  </si>
  <si>
    <t>02-02-2026 15:34:42</t>
  </si>
  <si>
    <t>919946ad309238d8d262fad13ece9ed46574ccc4da870ab9e903cfadc88b17367163040a795e944633135f8e9400bfa7</t>
  </si>
  <si>
    <t>105811</t>
  </si>
  <si>
    <t>02-02-2026 15:34:46</t>
  </si>
  <si>
    <t>900037743</t>
  </si>
  <si>
    <t>Linktic SAS</t>
  </si>
  <si>
    <t>0cea422554ca7be7753a1ee5f5887d05c7d7f0118d9fd0fde3c03132bf3a586a40d123d908fe768619b2d385964e7c69</t>
  </si>
  <si>
    <t>105812</t>
  </si>
  <si>
    <t>02-02-2026 15:34:58</t>
  </si>
  <si>
    <t>296c3d5dea8cccc7c95532e0aeb2b47a18904775535ffb0e7110939a473be07bb82b9053ee6147dfe914794199de98c9</t>
  </si>
  <si>
    <t>105813</t>
  </si>
  <si>
    <t>02-02-2026 15:35:06</t>
  </si>
  <si>
    <t>900449844</t>
  </si>
  <si>
    <t xml:space="preserve">Tecses S A S </t>
  </si>
  <si>
    <t>4f78bde40f16ec44b1b5c4d8bfe054f87e4387840edab15ffd2a72f13add4341968340c17fbf8bff097f767f17719b22</t>
  </si>
  <si>
    <t>105814</t>
  </si>
  <si>
    <t>02-02-2026 15:35:10</t>
  </si>
  <si>
    <t>43d206fcbdf868528ab530730529582d34c2295c4d643d57d184ec88209ca0cf3f07a25326d1787f2bffd41bbf3307e9</t>
  </si>
  <si>
    <t>105815</t>
  </si>
  <si>
    <t>02-02-2026 15:35:12</t>
  </si>
  <si>
    <t>2d6694312ebb48629c9d8178e2c6b14e629650abd0096e43024659e95ec5088177f09be2796bd5cfe47647c52b486efe</t>
  </si>
  <si>
    <t>105816</t>
  </si>
  <si>
    <t>02-02-2026 15:35:17</t>
  </si>
  <si>
    <t>c4f92634c802f58b43f0c734e10a51a69a75dac6270b3389a1c968117d0145ee0a63343bf2b21328c64a288ad79b0775</t>
  </si>
  <si>
    <t>105817</t>
  </si>
  <si>
    <t>02-02-2026 15:35:24</t>
  </si>
  <si>
    <t>6a7b160dd8fb1e01202b65cf166a6d66c8cf111fb6b5c598679149713d81150d0e091d6fe018829af23c4fb5bcaeea09</t>
  </si>
  <si>
    <t>105818</t>
  </si>
  <si>
    <t>02-02-2026 15:35:30</t>
  </si>
  <si>
    <t>860001778</t>
  </si>
  <si>
    <t>Industrias Ivor SA Casa Inglesa</t>
  </si>
  <si>
    <t>3b7f5620139422f1db5966f2ee0726c085757480606e0e2f4865bbbffa6da2d78edff90517bb94d903da09360e47916b</t>
  </si>
  <si>
    <t>105819</t>
  </si>
  <si>
    <t>02-02-2026 15:35:37</t>
  </si>
  <si>
    <t>800028326</t>
  </si>
  <si>
    <t>Novasoft S A S</t>
  </si>
  <si>
    <t>f8d1047d17e971e226ff1237d8f654de8439a95de445daaf4b6725a6244bc8cf942ecf7e88ca580bdb4b5ba9414491f5</t>
  </si>
  <si>
    <t>105820</t>
  </si>
  <si>
    <t>02-02-2026 15:35:49</t>
  </si>
  <si>
    <t>901057541</t>
  </si>
  <si>
    <t>Labodigital Colombia SAS</t>
  </si>
  <si>
    <t>d15946afe029ff78b846a606030d223e17a2364028160f69d87c524f7ea5609d7a6ec6c293dbb1a0023cf656da67b2aa</t>
  </si>
  <si>
    <t>105821</t>
  </si>
  <si>
    <t>02-02-2026 15:35:53</t>
  </si>
  <si>
    <t>b37535f2d779a6fef07fb359c03bb449c6ef0aa5cad5ca80b6f6e450c4f22437b842649adf19b5555d9e1b2fd5816cd0</t>
  </si>
  <si>
    <t>105822</t>
  </si>
  <si>
    <t>02-02-2026 15:50:50</t>
  </si>
  <si>
    <t>8822833e90b181bb3cecd4b64638d2d4c9cef73ebfd92ae702362a840d6816fd91834894ea8e3a6b866e7002995288b8</t>
  </si>
  <si>
    <t>105823</t>
  </si>
  <si>
    <t>02-02-2026 15:50:54</t>
  </si>
  <si>
    <t>a61ff91916a3c6416726857952ca1da193e0ff530269fb1015e2e0c3121497bdda4a263837731f9448e78c6329146e3e</t>
  </si>
  <si>
    <t>105824</t>
  </si>
  <si>
    <t>02-02-2026 15:50:59</t>
  </si>
  <si>
    <t>dfefb3f1fadaed415b5129d364564ff5d6cff56b173141e09c5c19b5769eefe6b4c87e55de6c198a0f7e1a07a57ef776</t>
  </si>
  <si>
    <t>105825</t>
  </si>
  <si>
    <t>02-02-2026 15:51:04</t>
  </si>
  <si>
    <t>860009985</t>
  </si>
  <si>
    <t>Congregacion De Los Hermanos De Las Escuelas Cristianas</t>
  </si>
  <si>
    <t>6d910cc54b965a8477743a288ffcc90147f1f15648f23aa318776fa92d5558ddf6a0928f2a1ecafa84e56e9799f0d6fe</t>
  </si>
  <si>
    <t>105826</t>
  </si>
  <si>
    <t>02-02-2026 15:51:09</t>
  </si>
  <si>
    <t>680a26bf77f003041f53de5064904a6a1700da4dc857304d2cd4f2d10a550450130709d1d9fdf6692887164f43e52b5c</t>
  </si>
  <si>
    <t>105827</t>
  </si>
  <si>
    <t>02-02-2026 15:51:13</t>
  </si>
  <si>
    <t>f85f152e373f432d15ed4af9d9997b5d7330891890c643798b3166dec7ff0189d5aef20ac4eef5368e3447df9bc3cc47</t>
  </si>
  <si>
    <t>105828</t>
  </si>
  <si>
    <t>02-02-2026 15:51:18</t>
  </si>
  <si>
    <t>830032436</t>
  </si>
  <si>
    <t>Intexus S A S</t>
  </si>
  <si>
    <t>b2ef4a6d2289d46ff132c7991dcdc77c89c4b1dac185df4aa91aa5d6c945d34ddac7807393105349374ce08ad54e6cb7</t>
  </si>
  <si>
    <t>105829</t>
  </si>
  <si>
    <t>02-02-2026 15:51:23</t>
  </si>
  <si>
    <t>900923636</t>
  </si>
  <si>
    <t>Soluciones Y Servicios De Procedimiento Y Operacion De Tecnologia SAS</t>
  </si>
  <si>
    <t>da1743c23a0664507d0500a28ac5eac4913bb34840969c62720b9d2fa7ef58ffbfa88246650803f1afa3fdbdddb844ad</t>
  </si>
  <si>
    <t>105830</t>
  </si>
  <si>
    <t>02-02-2026 15:51:28</t>
  </si>
  <si>
    <t>05dc7d2be90db9587806b9c9521c40ffd27570a045885b465e9d12e6d262e6d0b0229ccd2096ed1680fad5a0d9e23cd6</t>
  </si>
  <si>
    <t>105831</t>
  </si>
  <si>
    <t>02-02-2026 15:51:33</t>
  </si>
  <si>
    <t>7206c416e2ba11e403e2bd5f6b30e7efbed849885168498093c88346d56a3f812ec67c7a5536293e3de2f526bab1782d</t>
  </si>
  <si>
    <t>105832</t>
  </si>
  <si>
    <t>02-02-2026 15:51:36</t>
  </si>
  <si>
    <t>908ecf01aa22a61b5fd8bebdaa081e91c09d93da036bba48c9f58e1533a9498ba6f03f9419d90b8073d9aca73d14499e</t>
  </si>
  <si>
    <t>105833</t>
  </si>
  <si>
    <t>02-02-2026 16:06:48</t>
  </si>
  <si>
    <t>830013819</t>
  </si>
  <si>
    <t>Cas Colombo American School SAS</t>
  </si>
  <si>
    <t>c9cae84a2e926e420dd1da53114aaf64fca8b2efdfa155e7b55ef7b9f692f1ae954333e1fe9e8ca9c1d891b78a23770b</t>
  </si>
  <si>
    <t>105834</t>
  </si>
  <si>
    <t>02-02-2026 16:06:52</t>
  </si>
  <si>
    <t>860522056</t>
  </si>
  <si>
    <t>Lamitech SAS</t>
  </si>
  <si>
    <t>f40638bdfb961e8daf44142b93263270e55095b25f0d81a5de5c5a66d49364fe57338de7f59b0117bb764b270dc572dd</t>
  </si>
  <si>
    <t>105835</t>
  </si>
  <si>
    <t>02-02-2026 16:06:56</t>
  </si>
  <si>
    <t>860072279</t>
  </si>
  <si>
    <t>Doble A Ingenieria SAS</t>
  </si>
  <si>
    <t>0ba554c2c312e13e548b84b28e63b41bf716807dc87219fcf8cd9a1182cc0b02a9777cf4f42eec13a8c45fb0f409072b</t>
  </si>
  <si>
    <t>105836</t>
  </si>
  <si>
    <t>02-02-2026 16:07:01</t>
  </si>
  <si>
    <t>fa4bffeb5b2ace4a5e251384eff7b8692f695f3a3cbaba42c93b3fa4d05f18d09e1ff11d31fdc8f466fc82a55c1e038f</t>
  </si>
  <si>
    <t>105837</t>
  </si>
  <si>
    <t>02-02-2026 16:07:05</t>
  </si>
  <si>
    <t>05e0fb68f7a11c6f380a2bee65c0e5ca0e4b2150d68db80e0879b5230356e9e735c03117a4fe6cb0d19700a795cb7c7c</t>
  </si>
  <si>
    <t>105838</t>
  </si>
  <si>
    <t>02-02-2026 16:07:10</t>
  </si>
  <si>
    <t>635cb8b34a849a9d89719e4aafa2366fe2721fec77a1ccb976e7916248ae062870599bc6da857ec92e96b11bdbb9a24e</t>
  </si>
  <si>
    <t>105839</t>
  </si>
  <si>
    <t>02-02-2026 16:07:16</t>
  </si>
  <si>
    <t>900115560</t>
  </si>
  <si>
    <t>Sociedad Operadora 72 Gran Hotel SAS</t>
  </si>
  <si>
    <t>10e896d9b9c973c9b55315f2d04a4df9d5d23255c7638f0d72f7700cc7a19dbb484a13d5dfddccbfc67be99f4ff2d434</t>
  </si>
  <si>
    <t>105840</t>
  </si>
  <si>
    <t>02-02-2026 16:07:21</t>
  </si>
  <si>
    <t>830051573</t>
  </si>
  <si>
    <t>Medios Y Servicios Integrados  M I S Ltda</t>
  </si>
  <si>
    <t>9c449f42eb1611485f574cb0bd779ba992fe1a70f7d83b3a13833a69437a4050097066e4775110f3caf0b0503d3cba0e</t>
  </si>
  <si>
    <t>105841</t>
  </si>
  <si>
    <t>02-02-2026 16:07:25</t>
  </si>
  <si>
    <t>830035263</t>
  </si>
  <si>
    <t>Lipesa Colombia SAS</t>
  </si>
  <si>
    <t>28d9953a33b51f030f545c6cddee129985b3f375a9cd96a9fd8da7a6f7f3c332217a38fc3f8559022ee1689ebbe24d1e</t>
  </si>
  <si>
    <t>105842</t>
  </si>
  <si>
    <t>02-02-2026 16:07:29</t>
  </si>
  <si>
    <t>900993690</t>
  </si>
  <si>
    <t>Manuelhmoreno SAS</t>
  </si>
  <si>
    <t>c888958d074f6572a752b8e698e93d52b2ba7543b7767df986db60f9d91f0baabb20d69914c772b11f6d0a4f3cb529cd</t>
  </si>
  <si>
    <t>105843</t>
  </si>
  <si>
    <t>02-02-2026 16:07:34</t>
  </si>
  <si>
    <t>04d7a4fcdb8466702cd6b056507dcbed5598d18f9cba3f8edbf0e95096e38b71efc999bbe7562726f2298f179a466d89</t>
  </si>
  <si>
    <t>105844</t>
  </si>
  <si>
    <t>02-02-2026 16:07:39</t>
  </si>
  <si>
    <t>830020274</t>
  </si>
  <si>
    <t>Aei Arquitectura E Interiores SAS</t>
  </si>
  <si>
    <t>88d6247c820f7af197b286a70fd3da0ac7a2e4bbbc3d7b33dd6fd96f3de41d683996b07947583a2b4ab1202fdb036561</t>
  </si>
  <si>
    <t>105845</t>
  </si>
  <si>
    <t>02-02-2026 16:22:49</t>
  </si>
  <si>
    <t>77904443e880c34b54de73de09d72e667b8e11cf8b0e71182b112a4443a7b78dda4a408a38f88a621313072cf347fa55</t>
  </si>
  <si>
    <t>105846</t>
  </si>
  <si>
    <t>02-02-2026 16:22:55</t>
  </si>
  <si>
    <t>800250382</t>
  </si>
  <si>
    <t>Amarey Nova Medical SA</t>
  </si>
  <si>
    <t>68176f58f71bfdced8ba3615a1eb850ddcd8c527b781d631519fe6de0c58d2f2ecd956e0073f146120d995b336ac7f7c</t>
  </si>
  <si>
    <t>105847</t>
  </si>
  <si>
    <t>02-02-2026 16:22:59</t>
  </si>
  <si>
    <t>860509527</t>
  </si>
  <si>
    <t>Constructora Obreval SA</t>
  </si>
  <si>
    <t>b1260754e91550a082422b241c539bdcf56045cdf02f5ea90f524e2fc76eb4be09ae40f07fd208a64a9cef8f657926c4</t>
  </si>
  <si>
    <t>105848</t>
  </si>
  <si>
    <t>02-02-2026 16:23:04</t>
  </si>
  <si>
    <t>811022981</t>
  </si>
  <si>
    <t>Soberana SAS</t>
  </si>
  <si>
    <t>fc971bd745d5ff2567f673c744ebc8b8c76ba8fd5cd2abfaa3daa6aea47ff364bed4c9f3438641d38b4ddf071442e754</t>
  </si>
  <si>
    <t>105849</t>
  </si>
  <si>
    <t>03-02-2026</t>
  </si>
  <si>
    <t>03-02-2026 07:09:26</t>
  </si>
  <si>
    <t>830088759</t>
  </si>
  <si>
    <t>Eminss SAS</t>
  </si>
  <si>
    <t>9496e3d9cc788e90691b4f05fd424e442b6ec8090f27872bffc9f762ae36d5dc11ff4079677c796ae8ff3be70c834938</t>
  </si>
  <si>
    <t>105850</t>
  </si>
  <si>
    <t>03-02-2026 07:09:33</t>
  </si>
  <si>
    <t>900255472</t>
  </si>
  <si>
    <t>Maurel &amp; Prom Colombia Sociedad Limitada Sucursal En Colombia</t>
  </si>
  <si>
    <t>5577d8e36306feee49ba7495684e7d23ba0ecc5f6217a3aac0d88ee4435d12f4a1c8da3f0474526eb6f93c7d4144cec8</t>
  </si>
  <si>
    <t>105851</t>
  </si>
  <si>
    <t>03-02-2026 07:09:35</t>
  </si>
  <si>
    <t>830120215</t>
  </si>
  <si>
    <t>S3 Simple Smart Speedy SAS</t>
  </si>
  <si>
    <t>0cd35eb6d21f250904d0ae8af714bcf45e4a4c5953ad4251a02cb4d4913cadef34d0d218966ff6679e280a79a5832bc8</t>
  </si>
  <si>
    <t>105852</t>
  </si>
  <si>
    <t>03-02-2026 07:09:40</t>
  </si>
  <si>
    <t>900439672</t>
  </si>
  <si>
    <t>Actual Constructora SAS</t>
  </si>
  <si>
    <t>f9016377e650ae0dbb4388f8ba3df43388cac96c88de3674b7bfadfc89d0df7b89718b537a6c0b3542d7f64cff88ea12</t>
  </si>
  <si>
    <t>105853</t>
  </si>
  <si>
    <t>03-02-2026 07:24:46</t>
  </si>
  <si>
    <t>ea5b961268e775de204e5e4c0ea475ca2dadedb478fcab1692742afa5e9a0117026414e4869a19048b56a98ba342310d</t>
  </si>
  <si>
    <t>105854</t>
  </si>
  <si>
    <t>03-02-2026 07:24:50</t>
  </si>
  <si>
    <t>a0c7a5e8dd61f640bb95d7a9c4be687ab1439051ea4712de5a85d9e60678f13039f59bedfd14f72b5c08c8e5b1e501f4</t>
  </si>
  <si>
    <t>105855</t>
  </si>
  <si>
    <t>03-02-2026 07:24:55</t>
  </si>
  <si>
    <t>4c481a66be93ef80c2600d7b470d44b8ace53b38a5ba6c278870082e11c1d782b7a356b9f7fb04a476b696e4162d193d</t>
  </si>
  <si>
    <t>105856</t>
  </si>
  <si>
    <t>03-02-2026 07:25:00</t>
  </si>
  <si>
    <t>4ca70fc6346775c1f8722033c68d5ffa5ecb97b79192b6fa84b319fc0f2274f3ff44f90e6179319eb8112622abd23e97</t>
  </si>
  <si>
    <t>105857</t>
  </si>
  <si>
    <t>03-02-2026 07:25:05</t>
  </si>
  <si>
    <t>bb23a7f4d2c6d07eacaf4f36baced885f33abe8308142dcbd0f09fdfaaf2f89d46b4a46beca396abae7e969cac28094e</t>
  </si>
  <si>
    <t>105858</t>
  </si>
  <si>
    <t>03-02-2026 07:25:10</t>
  </si>
  <si>
    <t>830058677</t>
  </si>
  <si>
    <t xml:space="preserve">Ifx Networks Colombia S A S </t>
  </si>
  <si>
    <t>3bd6b6a76e58cd3ce8ccf7713c71069f22cd7ea566a84b4cb2f5e9a8d8bd33d55504879f5377d2766251725509a995dc</t>
  </si>
  <si>
    <t>105859</t>
  </si>
  <si>
    <t>03-02-2026 07:25:14</t>
  </si>
  <si>
    <t>900179369</t>
  </si>
  <si>
    <t>Confipetrol SAS</t>
  </si>
  <si>
    <t>99614f954901d20ecf365b9040640c1a5225a825e26700b92b569b74870d1ae2aed3e3b2fa182b36857413ce3f0a7417</t>
  </si>
  <si>
    <t>105860</t>
  </si>
  <si>
    <t>03-02-2026 07:25:18</t>
  </si>
  <si>
    <t>830122431</t>
  </si>
  <si>
    <t>Marketing Services De Colombia SAS</t>
  </si>
  <si>
    <t>e9b7125e007d404165c8092f568344dcb9e8c853545c3226935b876148df0b238a3d5057d29dca1ec9a4600d5c0f820b</t>
  </si>
  <si>
    <t>105861</t>
  </si>
  <si>
    <t>03-02-2026 07:25:23</t>
  </si>
  <si>
    <t>830106265</t>
  </si>
  <si>
    <t>Carboinsa SAS</t>
  </si>
  <si>
    <t>b40b73295553d253c94da99127cd0d80d470982eb56620f95a4e53c93cb4711288c12db40a283cedcbb39ea334cd97f1</t>
  </si>
  <si>
    <t>105862</t>
  </si>
  <si>
    <t>03-02-2026 07:25:27</t>
  </si>
  <si>
    <t>830092092</t>
  </si>
  <si>
    <t>Edificio Cervantes IV Propiedad Horizontal</t>
  </si>
  <si>
    <t>a4826439bc25918663c1896a869e9ea35dd7a509fdcb7a62e0bf876826d75dacf2cc4e3c80c2eaf28014c7f986d0d177</t>
  </si>
  <si>
    <t>105863</t>
  </si>
  <si>
    <t>03-02-2026 07:25:32</t>
  </si>
  <si>
    <t>900114346</t>
  </si>
  <si>
    <t>Banco Jpmorgan Colombia SA</t>
  </si>
  <si>
    <t>PAGA EL 16/02/2026</t>
  </si>
  <si>
    <t>ea4a374d7bafe62cfd68d0bcc9c77bb10976f05b279b78c3f47b8ecc4596e7ebf9de5fe9773acb54293e1680096c9ae1</t>
  </si>
  <si>
    <t>105864</t>
  </si>
  <si>
    <t>03-02-2026 07:25:37</t>
  </si>
  <si>
    <t>900391130</t>
  </si>
  <si>
    <t>Ip Ingenieria De Produccion SAS</t>
  </si>
  <si>
    <t>PAGA 11/02/2026</t>
  </si>
  <si>
    <t>21cafff2398be201b604f3bc766bb6c767242fa38fd5fdf49aca3b337531aa19bfa4db0c215d74df2c3fa841e8bd009c</t>
  </si>
  <si>
    <t>105865</t>
  </si>
  <si>
    <t>03-02-2026 07:25:41</t>
  </si>
  <si>
    <t>900356846</t>
  </si>
  <si>
    <t>Ortiz Construcciones Y Proyectos SA Sucursal Colombia</t>
  </si>
  <si>
    <t>75b9c9a4ff870b255c13e19abf5b7335b039d2ebffd242863ea913e9a59eca22517b70a9b12d6fb4acae98f7aaedf0e8</t>
  </si>
  <si>
    <t>105866</t>
  </si>
  <si>
    <t>03-02-2026 07:40:48</t>
  </si>
  <si>
    <t>b8a5b02b5cb24b7f28dcfb108bfefeb6e5e23d8f39462702012878cf2c28b03f9709eae5e50f8c786d0e39543d40f4da</t>
  </si>
  <si>
    <t>105867</t>
  </si>
  <si>
    <t>03-02-2026 07:40:52</t>
  </si>
  <si>
    <t>900496641</t>
  </si>
  <si>
    <t>Clinicos Programas De Atencion Integral SAS IPS</t>
  </si>
  <si>
    <t>2547308dae57305080ebe8a677fa19957861aafd3bce3ece4f2492ee88063bfe7a3db2ae712d0ac45e28098a021de0d3</t>
  </si>
  <si>
    <t>105868</t>
  </si>
  <si>
    <t>03-02-2026 07:41:00</t>
  </si>
  <si>
    <t>860503159</t>
  </si>
  <si>
    <t>Pash SAS</t>
  </si>
  <si>
    <t>f41d2c528525f571d54bad3d666f2c50135520130f359f706680bcd854fc43b0e76b72d3bf8daf1b179aaa9422032bf1</t>
  </si>
  <si>
    <t>105869</t>
  </si>
  <si>
    <t>03-02-2026 07:41:05</t>
  </si>
  <si>
    <t>PAGA 18/02/2026</t>
  </si>
  <si>
    <t>e69b4f9e8622da44fcccb33f4f9ae10a6f5b653a4c7545a2ef3b77fe15b7c1e64328180854955fdc076acb13bb359ee9</t>
  </si>
  <si>
    <t>105870</t>
  </si>
  <si>
    <t>03-02-2026 07:41:10</t>
  </si>
  <si>
    <t>635ded1563a8c5f5cdd3d6fcb0a9ab5ced40c6f04744d21abefe9b6809708bb5107aa8209cba0bdb22272b41effcc3dc</t>
  </si>
  <si>
    <t>105871</t>
  </si>
  <si>
    <t>03-02-2026 07:41:15</t>
  </si>
  <si>
    <t>1989641d090a7453dc8066d5f425e41c9647f0df5b8434b4280d23e6f3d0211dfac0fd515228c8ff233390a6bd6e5afb</t>
  </si>
  <si>
    <t>105872</t>
  </si>
  <si>
    <t>03-02-2026 07:41:21</t>
  </si>
  <si>
    <t>PAGA 13/02/2026</t>
  </si>
  <si>
    <t>a6d8fb74efb5a89d32ac86dcc8060f25981f3160c3095c3265b8659a042d602c4af7e2185162eb512c2f57d6d9563241</t>
  </si>
  <si>
    <t>105873</t>
  </si>
  <si>
    <t>03-02-2026 07:41:25</t>
  </si>
  <si>
    <t>800207192</t>
  </si>
  <si>
    <t xml:space="preserve">Syntofarma S A </t>
  </si>
  <si>
    <t>3f684f14af5e5adda05cdc89d75a551f8f435ff90bb8bec7a4e3f00b03bbfe8a775eb9ccb721b1edc1c9639075345ed1</t>
  </si>
  <si>
    <t>105874</t>
  </si>
  <si>
    <t>03-02-2026 07:41:29</t>
  </si>
  <si>
    <t>830080641</t>
  </si>
  <si>
    <t>Partequipos S A S</t>
  </si>
  <si>
    <t>860dafaf658c331aeb52cf6c15201b5220e722ab02fcd3f359090194f67fd53fffa64364cd43351e968ece5558688d97</t>
  </si>
  <si>
    <t>105875</t>
  </si>
  <si>
    <t>03-02-2026 07:41:34</t>
  </si>
  <si>
    <t>891903392</t>
  </si>
  <si>
    <t>T-Vapan 500 S A S</t>
  </si>
  <si>
    <t>8c071ebfef354e39edd9c5d9f14f933ca9887a24502c01323cb9b33af49cd54333f51f90c5bb03c9dbccb1a8758a0a9a</t>
  </si>
  <si>
    <t>105876</t>
  </si>
  <si>
    <t>03-02-2026 07:56:41</t>
  </si>
  <si>
    <t>900348830</t>
  </si>
  <si>
    <t>Integral Solutions Sd S A S</t>
  </si>
  <si>
    <t>81c2709273e3c613038a8c85d40936f588afc677f4394f9d2f8887f7c585b2573bd7763467c44a4c7bcfbdd02d1a1b6a</t>
  </si>
  <si>
    <t>105877</t>
  </si>
  <si>
    <t>03-02-2026 07:56:46</t>
  </si>
  <si>
    <t>901541749</t>
  </si>
  <si>
    <t>Kala Colombia S A S</t>
  </si>
  <si>
    <t>2dadb87115f0eabaf6ff41893d3b0417ad1f65bf0e2ff81a5f308542a20cb137f9307df4a4809a406a78a216d4ecf8c9</t>
  </si>
  <si>
    <t>105878</t>
  </si>
  <si>
    <t>03-02-2026 07:56:51</t>
  </si>
  <si>
    <t>830128434</t>
  </si>
  <si>
    <t>Weg Colombia S A S</t>
  </si>
  <si>
    <t>47e97752efd32d6983aa42f7a3f8a4e3ce1ecb65cffeda57a787cb53fa115166161b443f3bdb196b5cbdb32cedbd2864</t>
  </si>
  <si>
    <t>105879</t>
  </si>
  <si>
    <t>03-02-2026 07:56:55</t>
  </si>
  <si>
    <t>320715287</t>
  </si>
  <si>
    <t>Restart USA Inc</t>
  </si>
  <si>
    <t>ce0eaa463aca9e410cfe54828db65432b00ad2a640f0defbaba2928d675e3a92fc478479d2ca3e650e94a32471426cef</t>
  </si>
  <si>
    <t>105880</t>
  </si>
  <si>
    <t>03-02-2026 07:57:00</t>
  </si>
  <si>
    <t>900224534</t>
  </si>
  <si>
    <t>Isi Emerging Markets Colombia SAS</t>
  </si>
  <si>
    <t>86d94f8a8e3b21c33f7d0f8b6979b26594f518cfe81257ae6b88bb600d1bfd8a8fd9a7261d358dabf998a937869ba512</t>
  </si>
  <si>
    <t>105881</t>
  </si>
  <si>
    <t>03-02-2026 07:57:06</t>
  </si>
  <si>
    <t>830036108</t>
  </si>
  <si>
    <t>Sed International De Colombia S.A.S</t>
  </si>
  <si>
    <t>4aeb0883b393e4fbec00e5826760c7e7a39f6a4e16fe4b15e35c4ab528beb5ffd29f6328a2bfd6ff1174879c995bdd1a</t>
  </si>
  <si>
    <t>105882</t>
  </si>
  <si>
    <t>03-02-2026 07:57:10</t>
  </si>
  <si>
    <t>6f3a999d703b60e2327edf3ca1d0709b5521f44a20fec9a4a76b83ec13806dca1d0c37e035aaaccc193b7f9b4da1201b</t>
  </si>
  <si>
    <t>105883</t>
  </si>
  <si>
    <t>03-02-2026 07:57:15</t>
  </si>
  <si>
    <t>6cbe00b23d82b169b67f1dbd5af5fc98b26c4ef8057681c1aa1761cfc3d3081122b66954adf5ea80bd42e6c3129aefd0</t>
  </si>
  <si>
    <t>105884</t>
  </si>
  <si>
    <t>03-02-2026 07:57:19</t>
  </si>
  <si>
    <t>b4e6b77fbdff596dfba4ea98123bdcdb1425d571aa93bd054f9a1bf7151b02b008ef74aa155ede6486849b23c7082b2b</t>
  </si>
  <si>
    <t>105885</t>
  </si>
  <si>
    <t>03-02-2026 08:12:26</t>
  </si>
  <si>
    <t>bbd4f76d72cfb904e38f8e5f33bd35d7f1caa3021ae1e20d18310ce61d7aa8481c7db7a4d96dc50535455e3623ed22d1</t>
  </si>
  <si>
    <t>105886</t>
  </si>
  <si>
    <t>03-02-2026 08:12:31</t>
  </si>
  <si>
    <t>dd0fc96752454fa0ac5617ce8d5b54f82b9868d287f66106bfd5be706de64eb07e0e21490a2b738b692b086a9027586f</t>
  </si>
  <si>
    <t>105887</t>
  </si>
  <si>
    <t>03-02-2026 08:12:35</t>
  </si>
  <si>
    <t>860000452</t>
  </si>
  <si>
    <t>Manufacturas Eliot SAS</t>
  </si>
  <si>
    <t>9bb38e7e0793f9ff89809dd5df874b71ef5edd577adbd8e86fb87935f817d01c9941ec0c64ca45cf372d41a16acf82b4</t>
  </si>
  <si>
    <t>105888</t>
  </si>
  <si>
    <t>03-02-2026 08:12:40</t>
  </si>
  <si>
    <t>860028415</t>
  </si>
  <si>
    <t xml:space="preserve">La Equidad Seguros Generales Organismo Cooperativo </t>
  </si>
  <si>
    <t>0a6382261d5e1701607e8aecc07d0692f2298be18cbda3e786c48570841c169d5f8a2dae83e84645ec65e806b8527aa0</t>
  </si>
  <si>
    <t>105889</t>
  </si>
  <si>
    <t>03-02-2026 08:12:44</t>
  </si>
  <si>
    <t>900498940</t>
  </si>
  <si>
    <t>Ab Proyectos Propiedad Horizontal</t>
  </si>
  <si>
    <t>8cdffc5ddcc1707f144ef266888ec25758a893b03c147540a391b5806244a555ba456db9854a46531a3f0e918435012a</t>
  </si>
  <si>
    <t>105890</t>
  </si>
  <si>
    <t>03-02-2026 08:12:49</t>
  </si>
  <si>
    <t>800172871</t>
  </si>
  <si>
    <t>Geocol Consultores SA</t>
  </si>
  <si>
    <t>8df7306292a3c4aaf7fef53c2e3fdc4f014da77840d9a845717cc9ea09f1bdaa9ffdb23fc90ccd626e04dcd601fff632</t>
  </si>
  <si>
    <t>105891</t>
  </si>
  <si>
    <t>03-02-2026 08:27:54</t>
  </si>
  <si>
    <t>900050036</t>
  </si>
  <si>
    <t>Cushman &amp; WaKefield Colombia SAS</t>
  </si>
  <si>
    <t>f3a485863ae8fcc1360012a24d44a19c72edb03e78612fd37a2d01924fd9e9843b16521ed3e0c451ce88e75b97173d7e</t>
  </si>
  <si>
    <t>105892</t>
  </si>
  <si>
    <t>03-02-2026 08:27:59</t>
  </si>
  <si>
    <t>8fd6fe3c87f2e4382dd988a8a64b3a2b3a47114e11fb4bc21b097b11d3446f02bfd01558c16c50b13ee6e5466747550c</t>
  </si>
  <si>
    <t>105893</t>
  </si>
  <si>
    <t>03-02-2026 08:28:04</t>
  </si>
  <si>
    <t>830121176</t>
  </si>
  <si>
    <t>Mb Tech De Colombia SAS</t>
  </si>
  <si>
    <t>0982581dce9c304f4717fdc6523f59c9be648ba089fe2852f4a9faf7c2d9a14f9498d5251ddb8aeceab19ee8d21b08ad</t>
  </si>
  <si>
    <t>105894</t>
  </si>
  <si>
    <t>03-02-2026 08:28:09</t>
  </si>
  <si>
    <t>860031615</t>
  </si>
  <si>
    <t>Agunsa Colombia SAS</t>
  </si>
  <si>
    <t>PAGA 20/02/2026</t>
  </si>
  <si>
    <t>71e0076f7e83225ebee8867062920ff50fdb41664b57fe5a0b61603f47a1587de4f311b41c4b53099273836500b4ca38</t>
  </si>
  <si>
    <t>105895</t>
  </si>
  <si>
    <t>03-02-2026 08:43:15</t>
  </si>
  <si>
    <t>900966568</t>
  </si>
  <si>
    <t>Thomas Processing &amp; System SAS</t>
  </si>
  <si>
    <t>045adaf179649589fcf187cf0417fac9d6fee846d19a5bb0312a1d1653728044db8599c1b2560513de49f460af96a664</t>
  </si>
  <si>
    <t>105896</t>
  </si>
  <si>
    <t>03-02-2026 08:43:20</t>
  </si>
  <si>
    <t>156df5679716a7f1e84710a9579546211aeed83d84a8ddb6d7b4504996c7e1784377303c21e816b325e5b64fcabd54b2</t>
  </si>
  <si>
    <t>105897</t>
  </si>
  <si>
    <t>03-02-2026 08:43:24</t>
  </si>
  <si>
    <t>900943048</t>
  </si>
  <si>
    <t>Pwc Contadores Y Auditores SAS</t>
  </si>
  <si>
    <t>2ac12f4b6a015ae19936ba57e565e28b95ee422112219b5b5263bd9651e1ac641a5c57ab56b178389990dabc57e62a91</t>
  </si>
  <si>
    <t>105898</t>
  </si>
  <si>
    <t>03-02-2026 08:43:28</t>
  </si>
  <si>
    <t>901301865</t>
  </si>
  <si>
    <t>Enfragen Colombia SAS</t>
  </si>
  <si>
    <t>9459b8baa50212c45001d6f50afacfd3ea2142585d068418d8be7a25bc277f3c473a16d4ceb85e1a07eb67e41153b471</t>
  </si>
  <si>
    <t>105899</t>
  </si>
  <si>
    <t>03-02-2026 08:43:33</t>
  </si>
  <si>
    <t>901846724</t>
  </si>
  <si>
    <t>Alttek Colombia SAS</t>
  </si>
  <si>
    <t>0d16aba3381ef579d3dc00407b2be4630f83db817488e610a072a5c652d2b6ef97db49a21c0456d70e545cbba3392665</t>
  </si>
  <si>
    <t>105900</t>
  </si>
  <si>
    <t>03-02-2026 08:43:38</t>
  </si>
  <si>
    <t>890311875</t>
  </si>
  <si>
    <t>Schneider Electric De Colombia S A S</t>
  </si>
  <si>
    <t>735f6d140cffef33217493f4fc9f247a3f31f06e708bb3dbb012796a446cf22b40ad7f00e2ebb2bef4d200957ed2f7ce</t>
  </si>
  <si>
    <t>105901</t>
  </si>
  <si>
    <t>03-02-2026 08:43:42</t>
  </si>
  <si>
    <t>800106962</t>
  </si>
  <si>
    <t>Omnitempus Limitada</t>
  </si>
  <si>
    <t>6bc50cb0e1c11ace5bdb9742a7e0216207548444bb178bc2068819ddd6f7b275edd700770043bb72e48da15199d68ef0</t>
  </si>
  <si>
    <t>105902</t>
  </si>
  <si>
    <t>03-02-2026 08:43:47</t>
  </si>
  <si>
    <t>901248246</t>
  </si>
  <si>
    <t>Excellence Logging Latin America Limited, Sucursal Colombiana</t>
  </si>
  <si>
    <t>a3bf03c1333895abc175b5b221f7e97337a98a8131f5459adac1d085ee82864e57e5d5a140e7051c3c13bd96daf2d17b</t>
  </si>
  <si>
    <t>105903</t>
  </si>
  <si>
    <t>03-02-2026 08:59:12</t>
  </si>
  <si>
    <t>860506140</t>
  </si>
  <si>
    <t xml:space="preserve">Fundacion Universitaria Compensar </t>
  </si>
  <si>
    <t>be9560fedba847c0379ed81de323bb9885209f07bc0618368f488620d948b29819361d5b2bda2128b64a954d3f0b1572</t>
  </si>
  <si>
    <t>105904</t>
  </si>
  <si>
    <t>03-02-2026 08:59:29</t>
  </si>
  <si>
    <t>832006599</t>
  </si>
  <si>
    <t>Inzignia Construction SA</t>
  </si>
  <si>
    <t>9e228a1602aa2cc8b4da7851d49f2bb997c335a22124db7eca1648d09d50811efebadcdc3b180339514911a7cd2782eb</t>
  </si>
  <si>
    <t>105905</t>
  </si>
  <si>
    <t>03-02-2026 08:59:49</t>
  </si>
  <si>
    <t>800237412</t>
  </si>
  <si>
    <t>Ferricentros SAS</t>
  </si>
  <si>
    <t>e99758cd224e341f2eff80c938e826ae5d430bd2051b1690cf7f4ca4a8271721074443fed3f20f9b8b27a673f68f1999</t>
  </si>
  <si>
    <t>105906</t>
  </si>
  <si>
    <t>03-02-2026 09:00:02</t>
  </si>
  <si>
    <t>1e1ccdc3e8e8f365cdd6a5f384a2f4e5b660a0cc0b7d35fd5949af02f24c0fb90c09fde1d3e7a3a6470c12b58d387e91</t>
  </si>
  <si>
    <t>105907</t>
  </si>
  <si>
    <t>03-02-2026 09:00:07</t>
  </si>
  <si>
    <t>fdf0843c21681d13b0184eaea1cabf820897f49a92623d243a9d1ff046147c35b2d28b5b7ce7b2483ee3ac36cac98c26</t>
  </si>
  <si>
    <t>105908</t>
  </si>
  <si>
    <t>03-02-2026 09:15:15</t>
  </si>
  <si>
    <t>900162414</t>
  </si>
  <si>
    <t>Ingeniería Y Tecnología De Servicios SAS</t>
  </si>
  <si>
    <t>bece4422e2b8de7c40345281c1febc1230032342d0459666028c0f9ce07850b7ff214e9db2616f2b1dc872320d50f557</t>
  </si>
  <si>
    <t>105909</t>
  </si>
  <si>
    <t>03-02-2026 09:15:20</t>
  </si>
  <si>
    <t>9fa9761c35bccdba1f5d34257b49b6f3994b09b3cf4736505a6ddd47b1156af1c0cf01d428fd3d81ff7f8c0399077bac</t>
  </si>
  <si>
    <t>105910</t>
  </si>
  <si>
    <t>03-02-2026 09:15:26</t>
  </si>
  <si>
    <t>860518673</t>
  </si>
  <si>
    <t>Palmeras Del Llano SAS Bic</t>
  </si>
  <si>
    <t>5ecda90790521d783378e850c6a6abfb0f0675dadd227dc23825e9a4e00607d84f816d5afe57032b178c7b376dc78216</t>
  </si>
  <si>
    <t>105911</t>
  </si>
  <si>
    <t>03-02-2026 09:15:31</t>
  </si>
  <si>
    <t>860045210</t>
  </si>
  <si>
    <t>Ropim SAS</t>
  </si>
  <si>
    <t>29de56aa0ffda066789fc7fe6ef1d300b1287d56de6df7866fb3037b0f25b045298aa04c59026a09f698224907f77eac</t>
  </si>
  <si>
    <t>105912</t>
  </si>
  <si>
    <t>03-02-2026 09:15:37</t>
  </si>
  <si>
    <t>860001615</t>
  </si>
  <si>
    <t>Automundial SA</t>
  </si>
  <si>
    <t>e8c92eb782cc5cee7e8e0b22e9ea6169b8e236d063dde9cbdb728eaf9dfa0fb74cadb5cbacb87c45140468cd142b8834</t>
  </si>
  <si>
    <t>105913</t>
  </si>
  <si>
    <t>03-02-2026 09:15:41</t>
  </si>
  <si>
    <t>75cc49618ab5c964168513c19d341206a6b59bc11ae5b318dc644f15a9ebab160d8c630c2a4009ba9b27fcab26bfde25</t>
  </si>
  <si>
    <t>105914</t>
  </si>
  <si>
    <t>03-02-2026 09:15:46</t>
  </si>
  <si>
    <t>901342082</t>
  </si>
  <si>
    <t>E-Somos Alimentacion SAS</t>
  </si>
  <si>
    <t>ec973fffbbaa193ce7ca3e362c49e2a8188de8b949e6fdb1035ccb7d4814d2808c09efcaa7b2848ca44fa062de5041c9</t>
  </si>
  <si>
    <t>105915</t>
  </si>
  <si>
    <t>03-02-2026 09:15:52</t>
  </si>
  <si>
    <t>901229878</t>
  </si>
  <si>
    <t>Somos Bogota Usme SAS</t>
  </si>
  <si>
    <t>a84970cbc5c567ca38604dd9ba04e6a43a270ec28c244d8f7bdf3f714a468235742f9e280c2ad5ec38312afe711e61f3</t>
  </si>
  <si>
    <t>105916</t>
  </si>
  <si>
    <t>03-02-2026 09:15:56</t>
  </si>
  <si>
    <t>a25c6e41e2dbc4d9a5c35c4cba175e422cb1be95201a73bf7266dee2b78469fc0cf001b9e93eca90679c41565cb69c4e</t>
  </si>
  <si>
    <t>105917</t>
  </si>
  <si>
    <t>03-02-2026 09:16:01</t>
  </si>
  <si>
    <t>8afc652784e8ffc3cdd95a06db9b9b86d5aecbd47bac6245c09ded647dc00e2affdf2b30fb770944d24354c397751eb2</t>
  </si>
  <si>
    <t>105918</t>
  </si>
  <si>
    <t>03-02-2026 09:31:09</t>
  </si>
  <si>
    <t>901281572</t>
  </si>
  <si>
    <t>Bold Co SAS</t>
  </si>
  <si>
    <t>dec061bb136a43f1f5ed3752901620dfa0038e4e9374260536d317e956b550d19d28d81617f923fe055d50dbd4c75529</t>
  </si>
  <si>
    <t>105919</t>
  </si>
  <si>
    <t>03-02-2026 09:31:15</t>
  </si>
  <si>
    <t>8171e71a681d81d7e3a4e3c0e8b237799eeae90c0388f44dae99bfcccda2f9ad332f0d2fe0aae8acb4c3324dd0b3232e</t>
  </si>
  <si>
    <t>105920</t>
  </si>
  <si>
    <t>03-02-2026 09:31:23</t>
  </si>
  <si>
    <t>860026123</t>
  </si>
  <si>
    <t xml:space="preserve">Cooperativa Nacional De Droguistas Detallistas </t>
  </si>
  <si>
    <t>PAGA 12/02/2026</t>
  </si>
  <si>
    <t>19e6d1043faf2f6d13d4edd125d452c0e3499de4c0260aaabf943afe1603edc78df58b7d9e5048709892b6ea025f45df</t>
  </si>
  <si>
    <t>105921</t>
  </si>
  <si>
    <t>03-02-2026 09:31:30</t>
  </si>
  <si>
    <t>776f635ddad7d18317e8a8a8f7100069235f41c178aac99d1a6c7c027f6e80171b91698b83877ba6cfee069f5231ddb3</t>
  </si>
  <si>
    <t>105922</t>
  </si>
  <si>
    <t>03-02-2026 09:31:37</t>
  </si>
  <si>
    <t>7879eb914150d08146057cd5a5cea376f973a38cce2242a3a9f2ba01c70543d4c724115a8aa4597660ab00bf08455407</t>
  </si>
  <si>
    <t>105923</t>
  </si>
  <si>
    <t>03-02-2026 09:31:43</t>
  </si>
  <si>
    <t>800103903</t>
  </si>
  <si>
    <t>Quad Graphics Colombia SAS</t>
  </si>
  <si>
    <t>2e111312b6791af1c8f5c9552ee73abbcba1e7ee6e24403328dfc3b0c3ff98ba475194840dfcf05a6213b60358182d72</t>
  </si>
  <si>
    <t>105924</t>
  </si>
  <si>
    <t>03-02-2026 09:31:51</t>
  </si>
  <si>
    <t>825d86c13bff97d78c3bdeb95361091fa00e0848fbf3f369e07f3179fe170f458e0eb4db01b30b96aa884efaf72755e3</t>
  </si>
  <si>
    <t>105925</t>
  </si>
  <si>
    <t>03-02-2026 09:32:04</t>
  </si>
  <si>
    <t>860010305</t>
  </si>
  <si>
    <t>Club Campestre El Rancho</t>
  </si>
  <si>
    <t>3f6d68310b89f43e9a9853289a90c680c723df4ea7e7358da17f47889b3eae7be378337c8aea40a13f97b37678c3faa2</t>
  </si>
  <si>
    <t>105926</t>
  </si>
  <si>
    <t>03-02-2026 09:32:13</t>
  </si>
  <si>
    <t>b12af2e2c22776dede62ec57e35c0a5a52aa341d628092f10cc1083089b7998c33878d072f429fe3ea6d3b947f162b0f</t>
  </si>
  <si>
    <t>105927</t>
  </si>
  <si>
    <t>03-02-2026 09:32:21</t>
  </si>
  <si>
    <t>830111257</t>
  </si>
  <si>
    <t>Grupo Empresarial En Linea S.A.</t>
  </si>
  <si>
    <t>16c9bd053950bd112e512188e9c0b7abd076d0ad8a8171314e5e232f2d6bddd7046004301ad75576fa5d38acdc0bdcf1</t>
  </si>
  <si>
    <t>105928</t>
  </si>
  <si>
    <t>03-02-2026 09:47:28</t>
  </si>
  <si>
    <t>09ee174031d7809a32244df315579b5706e6ba3420f8e227ad9bcbcfc7f767176b1f1baee632e4396334b0ef4aa3105c</t>
  </si>
  <si>
    <t>105929</t>
  </si>
  <si>
    <t>03-02-2026 17:14:53</t>
  </si>
  <si>
    <t>900992422</t>
  </si>
  <si>
    <t>Consorcio Constructor Autovia Neiva Girardot</t>
  </si>
  <si>
    <t>18f323dcaaafd67f59d3e239a4a5a40e715da5b05bf6731e71b55bd6bbc018009f1c4c098f8001ac1fbba8de68356e06</t>
  </si>
  <si>
    <t>105930</t>
  </si>
  <si>
    <t>03-02-2026 09:47:35</t>
  </si>
  <si>
    <t>860031361</t>
  </si>
  <si>
    <t>Wsp Consultoria SA</t>
  </si>
  <si>
    <t>299788bf4a88919823a619b965680162bfc3c787a6303f0038a2683926dd2bfa1915a31e0cdeecdb19339294ea5517cb</t>
  </si>
  <si>
    <t>105931</t>
  </si>
  <si>
    <t>03-02-2026 09:47:40</t>
  </si>
  <si>
    <t>860055182</t>
  </si>
  <si>
    <t>Wsp Colombia SAS</t>
  </si>
  <si>
    <t>508ddb4c35c759e6e503fa2eafd97abd653312aa279e511fd94abf1e7596e79b3858c6fb5a6f7721f8289cd454b30d56</t>
  </si>
  <si>
    <t>105932</t>
  </si>
  <si>
    <t>03-02-2026 09:47:45</t>
  </si>
  <si>
    <t>800130426</t>
  </si>
  <si>
    <t>GYJ Ferreterias S A</t>
  </si>
  <si>
    <t>e1e38a75f13ae838fa14e2d17e1e51d03e5a763539f050160ae5e45f2dbe2cebd660757a16b0a1f3acafb36fa11963d2</t>
  </si>
  <si>
    <t>105933</t>
  </si>
  <si>
    <t>03-02-2026 09:47:50</t>
  </si>
  <si>
    <t>830005448</t>
  </si>
  <si>
    <t>Otis Elevator Company Colombia SAS</t>
  </si>
  <si>
    <t>5f911055629a9a10f36dc9e79ed9d9ac9ef773a8ee5da3c2693a2610c1a4a6f2cfa45080b558a5ac6d1e831fed668f18</t>
  </si>
  <si>
    <t>105934</t>
  </si>
  <si>
    <t>03-02-2026 10:02:56</t>
  </si>
  <si>
    <t>61eb89b8abf752e29b9c99f0aa3b91c9a32917863c4650f34ce2515bc15b4ceeec976de93e07bf027b25f2ed7ac2da10</t>
  </si>
  <si>
    <t>105935</t>
  </si>
  <si>
    <t>03-02-2026 10:03:01</t>
  </si>
  <si>
    <t>ec2dd10fd5befc0b18fa1eb9aaf0940abd2dd1a8b9b1c3ce8bda849bd3809fb62cbab2fbb7a17c897f46aa3eaad2d51f</t>
  </si>
  <si>
    <t>105936</t>
  </si>
  <si>
    <t>03-02-2026 10:03:06</t>
  </si>
  <si>
    <t>80cb995baaf5b68a0890c53642eac43e69dba82735ec9c4ab6ea24603e77156bddeaa75bb20346985f2cc7c6968901a6</t>
  </si>
  <si>
    <t>105937</t>
  </si>
  <si>
    <t>03-02-2026 10:03:11</t>
  </si>
  <si>
    <t>871c25a624738acce3c16d0c4a16507ce81fb1605239b2d5ba9f3364eee61763fcc9fceb4846787415423926a4764786</t>
  </si>
  <si>
    <t>105938</t>
  </si>
  <si>
    <t>03-02-2026 10:03:17</t>
  </si>
  <si>
    <t>81088dc48204d14a72582b7c027675bd3bc84359fcbf7c04ebc1e1bf41be73207a4219af1e0c769721610fafcc3de9e3</t>
  </si>
  <si>
    <t>105939</t>
  </si>
  <si>
    <t>03-02-2026 10:03:20</t>
  </si>
  <si>
    <t>802007881</t>
  </si>
  <si>
    <t>Graneles Del Caribe SA</t>
  </si>
  <si>
    <t>ab0d40c2f8b899a65b8443188b02aec9dd3c1d64fad1c8790962a51f46007dbbbf3f2a4628c8b5f19aff31054a7a5163</t>
  </si>
  <si>
    <t>105940</t>
  </si>
  <si>
    <t>03-02-2026 10:18:37</t>
  </si>
  <si>
    <t>900597369</t>
  </si>
  <si>
    <t>ByD Motor Colombia SAS</t>
  </si>
  <si>
    <t>533d99e8079752a611a6f9cb033619682e4bc248ac1010555dfb727dbe87e6bb57fae2509a05776385c6187e1a48fab4</t>
  </si>
  <si>
    <t>105941</t>
  </si>
  <si>
    <t>03-02-2026 10:18:42</t>
  </si>
  <si>
    <t>508620f2a865325ee5ea5bb97b979d7e4debc75cd42e92c5d76b696026095b205dce86cc15ff95047613abbfaf4f597c</t>
  </si>
  <si>
    <t>105942</t>
  </si>
  <si>
    <t>03-02-2026 10:18:44</t>
  </si>
  <si>
    <t>9c4e07ce82852b050378010738958ade3ec6af58521c2b581bc6f1b4a098d2d1bd91be0af69cdaad999b261c765c1b1a</t>
  </si>
  <si>
    <t>105943</t>
  </si>
  <si>
    <t>03-02-2026 10:18:53</t>
  </si>
  <si>
    <t>24d1509be7d9d6818920787bd778ce61e4f3aea52b4260fe44d81254c42c4b02fa1d5d9007f1613b437330a2cf676e57</t>
  </si>
  <si>
    <t>105944</t>
  </si>
  <si>
    <t>03-02-2026 10:19:02</t>
  </si>
  <si>
    <t>800251440</t>
  </si>
  <si>
    <t>Entidad Promotora De Salud Sanitas SAS</t>
  </si>
  <si>
    <t>47ba1775c2b4598b9072c90462ab210387d21677458568bbcf80d7816fa95ddcc4235192cb051f19f4eece0db386ac01</t>
  </si>
  <si>
    <t>105945</t>
  </si>
  <si>
    <t>03-02-2026 10:19:08</t>
  </si>
  <si>
    <t>860078828</t>
  </si>
  <si>
    <t>Compañia De Medicina Prepagada Colsanitas SA</t>
  </si>
  <si>
    <t>3032c72409a6e142e368c41136e3b2bbaae911a59b5c2058585b5846a5fe5c6270601980b03471bd4160a1c94aa57d77</t>
  </si>
  <si>
    <t>105946</t>
  </si>
  <si>
    <t>03-02-2026 10:19:11</t>
  </si>
  <si>
    <t>830103525</t>
  </si>
  <si>
    <t>Oftalmosanitas SAS</t>
  </si>
  <si>
    <t>764c0a8af14126e2b314dbba09b6c8435042b11c288afcbc56623433a8f35872b08c6814016c622c6a9a62e90dce4ae2</t>
  </si>
  <si>
    <t>105947</t>
  </si>
  <si>
    <t>03-02-2026 10:34:02</t>
  </si>
  <si>
    <t>800182204</t>
  </si>
  <si>
    <t>Vavilco SAS</t>
  </si>
  <si>
    <t>bb506d4c2adc91ca4ea0956c6b00b03cf210b443c65989f1b7dd30744167f4958bd84aacaea9545f5a800679d5cd9b22</t>
  </si>
  <si>
    <t>105948</t>
  </si>
  <si>
    <t>03-02-2026 10:34:06</t>
  </si>
  <si>
    <t>901061386</t>
  </si>
  <si>
    <t>Bmi Colombia Compañia De Seguros De Vida SA</t>
  </si>
  <si>
    <t>PAGA 9/02/2026</t>
  </si>
  <si>
    <t>a1a131a76dfe25d02c13aa9a6e236960367cba584eea70c50b3d8f21818da00c6cc0580cbc07b991fa39ab36dbd5b2a6</t>
  </si>
  <si>
    <t>105949</t>
  </si>
  <si>
    <t>03-02-2026 10:34:11</t>
  </si>
  <si>
    <t>901900189</t>
  </si>
  <si>
    <t>Grupo De Entretenimiento La Unica SAS</t>
  </si>
  <si>
    <t>fdaf2f1528a70913b773eba53d5499f1a175a8362efa1e5dc6317d3f8c01e03b0c7e67768d05461d5270cbcdaff28043</t>
  </si>
  <si>
    <t>105950</t>
  </si>
  <si>
    <t>03-02-2026 10:34:16</t>
  </si>
  <si>
    <t>860527960</t>
  </si>
  <si>
    <t>Wesco SAS</t>
  </si>
  <si>
    <t>eaf10a873aea33cd03d5233f1946596b6c20c2488ae6328c74bbb61344e89d853b571eaa28e6f1a585de98bc7a8abdab</t>
  </si>
  <si>
    <t>105951</t>
  </si>
  <si>
    <t>03-02-2026 10:34:20</t>
  </si>
  <si>
    <t>b39a6391ea88e5f00074c858e49e06f9e00f516c71bc499e0d84fe9dd1f33261a598e66cde06f98b369f9d863ea09e42</t>
  </si>
  <si>
    <t>105952</t>
  </si>
  <si>
    <t>03-02-2026 10:34:25</t>
  </si>
  <si>
    <t>0c310523fb4b509c025293eba6fff88623c5201885617bda4ce4ba3a07bdfcaf80b1a93b68207e9b585356c61695182b</t>
  </si>
  <si>
    <t>105953</t>
  </si>
  <si>
    <t>03-02-2026 10:34:29</t>
  </si>
  <si>
    <t>860040407</t>
  </si>
  <si>
    <t>Plazoleta Bazzani SAS</t>
  </si>
  <si>
    <t>df3c8f7135af3c21bbb9e339b0f2d380833f5f408856ae8573f90fe6430b431d5668bc29fe834391bf9b5488726c188e</t>
  </si>
  <si>
    <t>105954</t>
  </si>
  <si>
    <t>03-02-2026 10:49:35</t>
  </si>
  <si>
    <t>901006430</t>
  </si>
  <si>
    <t>Datalaft SAS</t>
  </si>
  <si>
    <t>0b2576fee277147f561e7c3666afe57ecb19b810fb38285da19f4df78c8dbdfb33fc5d91ceec5cfe8b09726a256531f8</t>
  </si>
  <si>
    <t>105955</t>
  </si>
  <si>
    <t>03-02-2026 10:49:40</t>
  </si>
  <si>
    <t>830110141</t>
  </si>
  <si>
    <t>Risk Consulting Colombia SAS</t>
  </si>
  <si>
    <t>bf1723468f5b8090c0d82a5a9c0916af877e896f789aab1bbaca6318bf842672fade3b49efa45fe8e02abc90d52577d5</t>
  </si>
  <si>
    <t>105956</t>
  </si>
  <si>
    <t>03-02-2026 10:49:44</t>
  </si>
  <si>
    <t>830012863</t>
  </si>
  <si>
    <t>Goddard Catering Group Bogota SAS</t>
  </si>
  <si>
    <t>601984ca7e4227c743553654f785b130f0965671f6a98185963c280713a9f8b733642d11174a5cb0534dca8d0018190d</t>
  </si>
  <si>
    <t>105957</t>
  </si>
  <si>
    <t>03-02-2026 10:49:49</t>
  </si>
  <si>
    <t>900430148</t>
  </si>
  <si>
    <t>Goddard Catering Group Colombia SAS</t>
  </si>
  <si>
    <t>f5b02a220ff6b71cdb6e6ab1038e5556a69e4502d09693ffaaafbc29b6c3ebfd8cf18db51ab61bef2254ea363618c0e6</t>
  </si>
  <si>
    <t>105958</t>
  </si>
  <si>
    <t>03-02-2026 10:49:54</t>
  </si>
  <si>
    <t>c3c3901212cc257a10530b85ec8070d457ee6a1965e0f3f6c4c1e93752726dace656e009c28b47ce1c1ec710c311e3b6</t>
  </si>
  <si>
    <t>105959</t>
  </si>
  <si>
    <t>03-02-2026 10:49:59</t>
  </si>
  <si>
    <t>7a8540d0d43c58ab61621620cc4a9ab468bf80ba9477dabf8300823d63a1b913f54f4b6d1cfb82460e10ba67abd3c7ff</t>
  </si>
  <si>
    <t>105960</t>
  </si>
  <si>
    <t>03-02-2026 10:50:03</t>
  </si>
  <si>
    <t>901101746</t>
  </si>
  <si>
    <t>Kaizen Group Ingenieria SAS</t>
  </si>
  <si>
    <t>b9534a83bab2db92f62b4d957e9a63fb0d23e2e4d2ae0dd132890a03feed15025ac70647e47cfd68091394418dede745</t>
  </si>
  <si>
    <t>105961</t>
  </si>
  <si>
    <t>03-02-2026 10:50:07</t>
  </si>
  <si>
    <t>901754581</t>
  </si>
  <si>
    <t>Aquamech System SAS</t>
  </si>
  <si>
    <t>703a599c462d1a7ab7a797b5c4fb8c5cae4a69d5ef74acfe23103f5bf4d6c4fb85b246692f2ad2b5cee624e3147bde9c</t>
  </si>
  <si>
    <t>105962</t>
  </si>
  <si>
    <t>03-02-2026 11:05:13</t>
  </si>
  <si>
    <t>839cc61bdaa31d156e2bc2cc145a30ef40a40f0da6da3333f705740cbcd53e1304f474fd369a89ea5f592c6baca359e4</t>
  </si>
  <si>
    <t>105963</t>
  </si>
  <si>
    <t>03-02-2026 11:05:17</t>
  </si>
  <si>
    <t>e3f48fb977ec47d8423d83ef6f3482903a6ac2dd91ad84b82bacc575814f9a979585301f76bf9df80ae9399e8a88dc21</t>
  </si>
  <si>
    <t>105964</t>
  </si>
  <si>
    <t>03-02-2026 11:05:23</t>
  </si>
  <si>
    <t>901804480</t>
  </si>
  <si>
    <t>Breakfast Tbl SAS</t>
  </si>
  <si>
    <t>b6795f37eded96a3543d716f637729d6ecac18ed697b3ac9cf97bbf5c74357388b883455fb9102cbeff7c5289c4ec24e</t>
  </si>
  <si>
    <t>105965</t>
  </si>
  <si>
    <t>03-02-2026 11:05:29</t>
  </si>
  <si>
    <t>900477127</t>
  </si>
  <si>
    <t>Business And Quality Services SAS</t>
  </si>
  <si>
    <t>60dd1e93b392269cff14c68d17791deb07655e54f7f2970890604b934aa7abb05ccb00e4b48604ac97278bc75826b6a9</t>
  </si>
  <si>
    <t>105966</t>
  </si>
  <si>
    <t>03-02-2026 11:05:34</t>
  </si>
  <si>
    <t>860014040</t>
  </si>
  <si>
    <t>Cooperativa De Los Profesionales Coasmedas</t>
  </si>
  <si>
    <t>PAGA 6/02/2026</t>
  </si>
  <si>
    <t>f6b004b7b2a6b4be34f15f4625ebfa0fc421d99513d1ac76092acfbfb0ffe80394a254e2f23df0559eb6316616204208</t>
  </si>
  <si>
    <t>105967</t>
  </si>
  <si>
    <t>03-02-2026 11:35:40</t>
  </si>
  <si>
    <t>800091005</t>
  </si>
  <si>
    <t>Embajada De La República Federal De Alemania</t>
  </si>
  <si>
    <t>PAGA 9/12/2026</t>
  </si>
  <si>
    <t>74e23c86200feb646d3eac89d923dd296f930b4a0e991ddbbe00de8f4721621301dbc94f55acc71e954881074930b9e1</t>
  </si>
  <si>
    <t>105968</t>
  </si>
  <si>
    <t>03-02-2026 11:35:45</t>
  </si>
  <si>
    <t>0518c69ac96751649db8cbff0a86ec63203bcf98327c5d764ad74baa807e747b0fbbba67a68e50218ce080f170b7a18b</t>
  </si>
  <si>
    <t>105969</t>
  </si>
  <si>
    <t>03-02-2026 11:35:50</t>
  </si>
  <si>
    <t>860524163</t>
  </si>
  <si>
    <t>Flores De Serrezuela SAS</t>
  </si>
  <si>
    <t>ed451da81aa77071674b72f8d6bec739deb5eb1aba6496a668c320bcb48ee6d6a102e959d0e93f55e35a6d62a48b875f</t>
  </si>
  <si>
    <t>105970</t>
  </si>
  <si>
    <t>03-02-2026 11:35:54</t>
  </si>
  <si>
    <t>860026058</t>
  </si>
  <si>
    <t>Universidad EAN</t>
  </si>
  <si>
    <t>60707577388ac05328cbdc39374030aed5325b8569b0e6027691bb759a0acb1cb3b47098d2ff5cc57ee4701e316563a3</t>
  </si>
  <si>
    <t>105971</t>
  </si>
  <si>
    <t>03-02-2026 11:35:59</t>
  </si>
  <si>
    <t>900705294</t>
  </si>
  <si>
    <t>Yipao S A S</t>
  </si>
  <si>
    <t>PAGA EL 5/02/2026</t>
  </si>
  <si>
    <t>bfa843e921703a41582ee5b299d05d8818c1ba9b9afcf25a4a721224cd165aeba8b4a58dd93bf7958a16a73b2f77c7a1</t>
  </si>
  <si>
    <t>105972</t>
  </si>
  <si>
    <t>03-02-2026 11:36:04</t>
  </si>
  <si>
    <t>900714466</t>
  </si>
  <si>
    <t>Nevada Media SAS</t>
  </si>
  <si>
    <t>3be5707a5bb1a33995f19a8548ff5e09e72ad13249f60c9bf8895af41a12609f19bfa9896881f210d26797e02b95b763</t>
  </si>
  <si>
    <t>105973</t>
  </si>
  <si>
    <t>03-02-2026 11:36:08</t>
  </si>
  <si>
    <t>800251569</t>
  </si>
  <si>
    <t>Inter Rapidisimo SA</t>
  </si>
  <si>
    <t>9846bdc1fbc58ddc38317c10dc9d41147627eee36517ad60da1f943f64fe1cd05ea18ff0ee26703200452d56cdd557c8</t>
  </si>
  <si>
    <t>105974</t>
  </si>
  <si>
    <t>03-02-2026 11:36:13</t>
  </si>
  <si>
    <t>PAGA 24/02/2026</t>
  </si>
  <si>
    <t>ba9e975933aa0bb2d46614620ca400fce04eae0e0dc2db33fb78c50187616652526289101945b959ea17a6341669bf48</t>
  </si>
  <si>
    <t>105975</t>
  </si>
  <si>
    <t>03-02-2026 17:14:58</t>
  </si>
  <si>
    <t>30cb459fb9c80ae0ed3fb4f9db1bdd72bd634dc1a2e42db13539012e8a17eece773def7a5a978d5412f20fb6041c72e2</t>
  </si>
  <si>
    <t>105976</t>
  </si>
  <si>
    <t>03-02-2026 11:51:25</t>
  </si>
  <si>
    <t>PAGA 19/02/2026</t>
  </si>
  <si>
    <t>ac567a3a6278b9a2ea5b2e117bb6687923b10cc6e5d8e0bc22a4757624b1acafc7f5603fd9e6bb58846800f48cf3c2fb</t>
  </si>
  <si>
    <t>105977</t>
  </si>
  <si>
    <t>03-02-2026 11:51:29</t>
  </si>
  <si>
    <t>PAGA 16/02/2026</t>
  </si>
  <si>
    <t>ee2a1ea92c99b69a01c0a44ace72ab3a57086f2ac9c7dea883f189fba069f1b3006cb989da2a753bc1152d0877fe904d</t>
  </si>
  <si>
    <t>105978</t>
  </si>
  <si>
    <t>03-02-2026 11:51:33</t>
  </si>
  <si>
    <t>9ecdd5ab16e36cb52c5084edccc140384780ea527e27038354b24fea69bac2ab24e9cdeda72f3014a2238094ce7ca650</t>
  </si>
  <si>
    <t>105979</t>
  </si>
  <si>
    <t>03-02-2026 11:51:38</t>
  </si>
  <si>
    <t>8f1ace6477c45c4a552d05d345715de297d061990f5d7a8f22b948d13d84be487e67021de4c812fc46cc7442640a70ee</t>
  </si>
  <si>
    <t>105980</t>
  </si>
  <si>
    <t>03-02-2026 11:51:42</t>
  </si>
  <si>
    <t>0e33ef860e6459b823315a92288bb184c603820ed727d920efa804234d1ddedffe34939cc11dee072e99fba2e8ab2f3d</t>
  </si>
  <si>
    <t>105981</t>
  </si>
  <si>
    <t>03-02-2026 11:51:47</t>
  </si>
  <si>
    <t>900744272</t>
  </si>
  <si>
    <t>HY Cite Enterprises Colombia SAS</t>
  </si>
  <si>
    <t>d4782816e21843ab6ad89432e552c0bc2c8ebf0a3417b531417e975f9a4a752838ac0b3daa29fa05499589fbd7fa2e00</t>
  </si>
  <si>
    <t>105982</t>
  </si>
  <si>
    <t>03-02-2026 11:51:51</t>
  </si>
  <si>
    <t>901783463</t>
  </si>
  <si>
    <t>Asistencias Y Servicios Automatizados Ya SAS</t>
  </si>
  <si>
    <t>911303be3c6d3307f05e0112fb020c864423f3ea0a313baaa08da427e24424b4554d1c72b95faac076b555463edcd883</t>
  </si>
  <si>
    <t>105983</t>
  </si>
  <si>
    <t>03-02-2026 11:51:57</t>
  </si>
  <si>
    <t>428e9ecdb0a45f5c6db9265dddff51fa14cc40545cb0c669363cb2615e16d00a6874a790a46997a3db116fd6b944e77b</t>
  </si>
  <si>
    <t>105984</t>
  </si>
  <si>
    <t>03-02-2026 11:52:01</t>
  </si>
  <si>
    <t>800181114</t>
  </si>
  <si>
    <t>Puerto Pimsa SA</t>
  </si>
  <si>
    <t>14ce36f2fbfd6cafa3affbdd99deb4130c8ea8e2c476f8bd7d2651d8e9613ca93a5cc341d69b8a262a9d6ebc30ec8a8e</t>
  </si>
  <si>
    <t>105985</t>
  </si>
  <si>
    <t>03-02-2026 11:52:05</t>
  </si>
  <si>
    <t>804003084</t>
  </si>
  <si>
    <t>Inemec SAS</t>
  </si>
  <si>
    <t>6b99c2e14f694e0f0bf626ccc673478f993e047f4f17cb206ea6a94eaa9cf6437e3a981a692ec52833c7237068ac38be</t>
  </si>
  <si>
    <t>105986</t>
  </si>
  <si>
    <t>03-02-2026 12:07:11</t>
  </si>
  <si>
    <t>890112475</t>
  </si>
  <si>
    <t>Ci Energia Solar SAS Es Windows</t>
  </si>
  <si>
    <t>6f5c50ae95e2de967ce4e41965b931053fb7d71a2b4dfdcd6e63e9b19602296d88757391978e4d7d0f035e1023567f40</t>
  </si>
  <si>
    <t>105987</t>
  </si>
  <si>
    <t>03-02-2026 12:07:16</t>
  </si>
  <si>
    <t>830095262</t>
  </si>
  <si>
    <t>Qmax Solutions Colombia</t>
  </si>
  <si>
    <t>1636c52c984040d6646647271d3bd3ef27cf35fbc24fc4ef30ac5ea719eda18f388ff6dea53b1f318e642cdfc835dd0c</t>
  </si>
  <si>
    <t>105988</t>
  </si>
  <si>
    <t>03-02-2026 12:07:21</t>
  </si>
  <si>
    <t>46cec2dca960fedfe6ab5be193a3df1db3998df87236b12eb3fd502dea5b3445ca5396214494ab1e1e4d7ac911b90ecd</t>
  </si>
  <si>
    <t>105989</t>
  </si>
  <si>
    <t>03-02-2026 12:07:26</t>
  </si>
  <si>
    <t>800120681</t>
  </si>
  <si>
    <t>Croydon Colombia SA</t>
  </si>
  <si>
    <t>PAGA 23/02/2026</t>
  </si>
  <si>
    <t>3cef28d00fffee23e77c6a9f497816c33ce435cc252d087a94405af0f7b6b5f2ba5c1ef5c26c850d46b367851362fcbd</t>
  </si>
  <si>
    <t>105990</t>
  </si>
  <si>
    <t>03-02-2026 12:07:30</t>
  </si>
  <si>
    <t>900896981</t>
  </si>
  <si>
    <t>Endress+Hauser Colombia SAS</t>
  </si>
  <si>
    <t>6fd8330f00cd95e3f29f5ab5fe122c12dcd03d59feb78e565762dbb70d4777542036eaeb6ef4affb788739a55a96a7f3</t>
  </si>
  <si>
    <t>105991</t>
  </si>
  <si>
    <t>03-02-2026 12:07:35</t>
  </si>
  <si>
    <t>a435b71ec075bd1669597ef897d074c794029e93e97e3162a142ccd06c2d21daa13d01251e4c0f75bf431336aa58d850</t>
  </si>
  <si>
    <t>105992</t>
  </si>
  <si>
    <t>03-02-2026 12:07:39</t>
  </si>
  <si>
    <t>800063606</t>
  </si>
  <si>
    <t>Santiago Velez &amp; Asociados Corredores De Seguros SA</t>
  </si>
  <si>
    <t>4a9bba12649e93bd016c4e2594598f466c61e438233fafbc25b0c7e6a1dc2f0c8662a1c2ae046cc11db81df9fc8ad104</t>
  </si>
  <si>
    <t>105993</t>
  </si>
  <si>
    <t>03-02-2026 12:07:44</t>
  </si>
  <si>
    <t>52870894</t>
  </si>
  <si>
    <t>Rosmira Rojas Puentes</t>
  </si>
  <si>
    <t>24ba4f8e080fd49bbd48cbe135fbfce05d5046ff5b109a3a70954924950554a9b6d6914328b399ce63ddec22dbbb4937</t>
  </si>
  <si>
    <t>105994</t>
  </si>
  <si>
    <t>03-02-2026 12:22:51</t>
  </si>
  <si>
    <t>830077655</t>
  </si>
  <si>
    <t>Panamericana Outsourcing SA</t>
  </si>
  <si>
    <t>dcb27c9efb21094734391cf31284ef9dd3a27af06ee1b59117b239ef289f301d3669134a03058aca3fefcf620f4645e0</t>
  </si>
  <si>
    <t>105995</t>
  </si>
  <si>
    <t>03-02-2026 12:22:55</t>
  </si>
  <si>
    <t>800042119</t>
  </si>
  <si>
    <t>Vicpar SA</t>
  </si>
  <si>
    <t>dbdf06a11394debe1f177d51f8ef9925d15829c0bcc5ecd02ac38167232056919099333848fbed45404b672f29cc3d74</t>
  </si>
  <si>
    <t>105996</t>
  </si>
  <si>
    <t>03-02-2026 12:23:00</t>
  </si>
  <si>
    <t>830089642</t>
  </si>
  <si>
    <t>Rentacomputo SAS</t>
  </si>
  <si>
    <t>2e25f674befd2c1c5fcd4129e8cc870674ebf6ac675d8c3371d94d754a30f629b5e0316479b3db2d1cc93c0ec2189113</t>
  </si>
  <si>
    <t>105997</t>
  </si>
  <si>
    <t>03-02-2026 12:23:05</t>
  </si>
  <si>
    <t>860009107</t>
  </si>
  <si>
    <t xml:space="preserve">Fundacion Colegio Anglo Colombiano </t>
  </si>
  <si>
    <t>c6b926a1f64b63f0e310c2ba43ed5caa6ee46d71e4c39283dc627ffb56eea880ad251398a033a3fb6d8cdc9f3a85bbb4</t>
  </si>
  <si>
    <t>105998</t>
  </si>
  <si>
    <t>03-02-2026 12:23:09</t>
  </si>
  <si>
    <t>860028601</t>
  </si>
  <si>
    <t>Finanzauto SA BIC</t>
  </si>
  <si>
    <t>018532fa50e76614d25226033b818aab3d98849682d84ad68024dd8dfe31023c79f62b4b827288589ff1719fab3a75e9</t>
  </si>
  <si>
    <t>105999</t>
  </si>
  <si>
    <t>03-02-2026 12:23:14</t>
  </si>
  <si>
    <t>1dfb070064295dda865e9b85165cb2ba0a2b2cd2ab45e7f6cfa8a27d66d3b24ade79b4e303e650bc1d0382442e5ca071</t>
  </si>
  <si>
    <t>106000</t>
  </si>
  <si>
    <t>03-02-2026 12:23:20</t>
  </si>
  <si>
    <t>e6d09f4c78d530ca4d1ef775db0a7663ce40cca2525ee2a756f1783fdc8375d889a508067732d8356dc9139ff041d38e</t>
  </si>
  <si>
    <t>106001</t>
  </si>
  <si>
    <t>03-02-2026 12:23:23</t>
  </si>
  <si>
    <t>0c7b300566f416f1202f59144580c9ccedf3515d9faa8397bdd08dff250a6e01e4e9b01c8629a1293ce601bc697d1a20</t>
  </si>
  <si>
    <t>106002</t>
  </si>
  <si>
    <t>03-02-2026 12:23:28</t>
  </si>
  <si>
    <t>aad4562050481a1c9feef582577605d77369e9b83aa9ce2fbce433165ae5b5b712f6ec97f2615997882f7ef0303574a9</t>
  </si>
  <si>
    <t>106003</t>
  </si>
  <si>
    <t>03-02-2026 12:23:33</t>
  </si>
  <si>
    <t>543f16efe8851a1138462b1ac9797b7beb1e7c422deb541064622e56d9df32b27fffb3e7c1f61906d96c6529ea59e5c3</t>
  </si>
  <si>
    <t>106004</t>
  </si>
  <si>
    <t>03-02-2026 12:23:37</t>
  </si>
  <si>
    <t>b6ba659fe5bebc049aa950c3af6f96b26513ca517c91b866544b55d9b6b89cf081fa01ac9c90df4f7bed79907e847cc5</t>
  </si>
  <si>
    <t>106005</t>
  </si>
  <si>
    <t>03-02-2026 12:23:42</t>
  </si>
  <si>
    <t>a3f044ab6232dc2b051777f6000e2dbeb7cd2c0322e9dd75758c2450107a5825f02869bed63ffd6b950fb13a67ce3264</t>
  </si>
  <si>
    <t>106006</t>
  </si>
  <si>
    <t>03-02-2026 12:38:48</t>
  </si>
  <si>
    <t>b209133f62a976293beeb4027c9f9673c9054db769ed4a0d966cee5c58cb5d527568087ae2fdbdfdb199d8ff330aa31e</t>
  </si>
  <si>
    <t>106007</t>
  </si>
  <si>
    <t>03-02-2026 12:38:53</t>
  </si>
  <si>
    <t>38df8e5ed704fd3fe7ad6118782a32ff0be17559c791f9017444f419a265f12c45ce9226ff09c306279e69542b784ed2</t>
  </si>
  <si>
    <t>106008</t>
  </si>
  <si>
    <t>03-02-2026 12:38:57</t>
  </si>
  <si>
    <t>3844793368f0ee2f9264aef472de141f6083a16b4001624ac6ecd54119eeb4c04ff882b3fe5d1b51e95fa0f0e28989a2</t>
  </si>
  <si>
    <t>106009</t>
  </si>
  <si>
    <t>03-02-2026 12:39:02</t>
  </si>
  <si>
    <t>f7a7ab197039a8b211dae0c1486949a5ae97c41cba706cf09528e5a2fd926614909dfbe4d4779d4a7c858035a36bebc3</t>
  </si>
  <si>
    <t>106010</t>
  </si>
  <si>
    <t>03-02-2026 12:39:07</t>
  </si>
  <si>
    <t>f07fc8a39aae8ef9528a535a8983466a15d5eb60b478de341e94a80d92b4fd30f4fd1ebaa07156934b7894e9d3b0be6c</t>
  </si>
  <si>
    <t>106011</t>
  </si>
  <si>
    <t>03-02-2026 12:39:11</t>
  </si>
  <si>
    <t>0ae0f9015b1d9ec65c19351a007f6f96d436b38841f07ecff639ca3a115cc3dbf257731d48fe0ba3c54839c6d913e63f</t>
  </si>
  <si>
    <t>106012</t>
  </si>
  <si>
    <t>03-02-2026 12:39:16</t>
  </si>
  <si>
    <t>f7d7bcb446cc264debcd8e2bf6625e1156452d91be29b6ca4892f6086cbaad8634897fcb76841dc84b2a1acfa2d331de</t>
  </si>
  <si>
    <t>106013</t>
  </si>
  <si>
    <t>03-02-2026 12:39:20</t>
  </si>
  <si>
    <t>70fe1a5e475f910d4f637504be33a44ea47b37f9c4e83f58ca39dedd2cb1ff56ef1a61e261c857bd029ce199f3659cec</t>
  </si>
  <si>
    <t>106014</t>
  </si>
  <si>
    <t>03-02-2026 12:39:24</t>
  </si>
  <si>
    <t>3d64b2fae36fdb7b10f925b4ad121af616f5c3ccd461dc32206c6642435c439774b98f182abce0512173e81f877600ff</t>
  </si>
  <si>
    <t>106015</t>
  </si>
  <si>
    <t>03-02-2026 12:39:29</t>
  </si>
  <si>
    <t>320fecba924f11e87686d6f5c78eec2f26b13e699ba3728a14b8392c8e8afe0c9b0ed281077626e9f0a18dbb15dd889d</t>
  </si>
  <si>
    <t>106016</t>
  </si>
  <si>
    <t>03-02-2026 12:39:34</t>
  </si>
  <si>
    <t>71de977c4f2e6cb7b1f0a1d15604415d6cb423743b57bae7d14c64be81fe298e15e9c3485cd3aaf0adb92fffcd9709f7</t>
  </si>
  <si>
    <t>106017</t>
  </si>
  <si>
    <t>03-02-2026 12:39:39</t>
  </si>
  <si>
    <t>399c41bffbbb9d0d204c482a04e7f0db132e198b900a903889378b303c4bdd086f386f8aff4127af8fea786e89548219</t>
  </si>
  <si>
    <t>106018</t>
  </si>
  <si>
    <t>03-02-2026 12:39:43</t>
  </si>
  <si>
    <t>8a4ebf8b961993b0dd7e16008b8c7e1e486aa4b4d020784b6b3107d52bb4ad1f7901f7e766790ebdcaa468894201edd2</t>
  </si>
  <si>
    <t>106019</t>
  </si>
  <si>
    <t>03-02-2026 12:39:47</t>
  </si>
  <si>
    <t>5880d291b00b558070d7be1a762bf381ad65623f33706f6f033e4823c85bfb6e3beedb39638096cdfccda02daf3d39a7</t>
  </si>
  <si>
    <t>106020</t>
  </si>
  <si>
    <t>03-02-2026 12:39:53</t>
  </si>
  <si>
    <t>3cab7e23736e92227d794bc26794b73afb2de95daf4f176c52d1373c3f4069bfcf0b0dc1b14ba0f79165a100a6dff11f</t>
  </si>
  <si>
    <t>106021</t>
  </si>
  <si>
    <t>03-02-2026 12:39:57</t>
  </si>
  <si>
    <t>6cfb361fc2f1926c0164930b9b952fb36bc44c59e905fb1a9d6925ddb7c7721fc38ad1cdb667c89ddd2b0a403b31ebb7</t>
  </si>
  <si>
    <t>106022</t>
  </si>
  <si>
    <t>03-02-2026 12:40:03</t>
  </si>
  <si>
    <t>6f15a4b06bfe2911a555b6cbb5d9ab5838429f3e25fda873bc72f2f03e39e728609a4c0285acdea2adb8986daf380db2</t>
  </si>
  <si>
    <t>106023</t>
  </si>
  <si>
    <t>03-02-2026 12:40:07</t>
  </si>
  <si>
    <t>931b0172fa49f7b9c50456bc532c021ff6428a581fba4f7c70bd7ad6497f51b66e7e6bd326523773c19c942d701b2a39</t>
  </si>
  <si>
    <t>106024</t>
  </si>
  <si>
    <t>03-02-2026 12:55:14</t>
  </si>
  <si>
    <t>d5dac1c710b17f5f6507b92dd547bbc7f677eaca1f9c3a4672f4dcca8d2d2a86f47273101287e412ffba53418fc41b31</t>
  </si>
  <si>
    <t>106025</t>
  </si>
  <si>
    <t>03-02-2026 12:55:17</t>
  </si>
  <si>
    <t>67aeb69894ac2bccb448ed22ef27f6f6782ccb4b27dc9c21f26768946bebd13f2cadb5adef00911acabfba7aa6cdd78c</t>
  </si>
  <si>
    <t>106026</t>
  </si>
  <si>
    <t>03-02-2026 12:55:23</t>
  </si>
  <si>
    <t>58030982b8ceaaada26e5d2632b6c8ccad9ebb8d8dd9aa0d142b6f355b6684ff807a0cc83b5af32d7497ba2397e025e1</t>
  </si>
  <si>
    <t>106027</t>
  </si>
  <si>
    <t>03-02-2026 12:55:27</t>
  </si>
  <si>
    <t>3d7219232018e523a36eda7ab3b1ed6f2e73c9c7ee90563075677b96f82999a19f8e316fac6d933691f6e31ab207812c</t>
  </si>
  <si>
    <t>106028</t>
  </si>
  <si>
    <t>03-02-2026 12:55:31</t>
  </si>
  <si>
    <t>800251957</t>
  </si>
  <si>
    <t>Agencia De Aduanas Siaco SAS Nivel 1</t>
  </si>
  <si>
    <t>ba5a8ca2cdc7736fbc568c077ec4c889f650fd585e7afa5a1c7644f2535f4e41948323dd004c2617d9e531d6e9bf35e7</t>
  </si>
  <si>
    <t>106029</t>
  </si>
  <si>
    <t>03-02-2026 12:55:36</t>
  </si>
  <si>
    <t>c2e066cad0620ed9baff184619f358b894c0563a96fa1386232d8c4b1f0ce1e9a0fdb990429c8559773dec29cb5aaaae</t>
  </si>
  <si>
    <t>106030</t>
  </si>
  <si>
    <t>03-02-2026 12:55:41</t>
  </si>
  <si>
    <t>e9c9fc08b1c6f337d09438a71043e87a24abd31711ebcf2ba6dba309050bfdb40675f2be9cf8b0c1bc5a946e33863505</t>
  </si>
  <si>
    <t>106031</t>
  </si>
  <si>
    <t>03-02-2026 12:55:46</t>
  </si>
  <si>
    <t>830022818</t>
  </si>
  <si>
    <t>Data File SA</t>
  </si>
  <si>
    <t>baa52d1fd8f09206e92b9134b0b60d34e39847be10f135d6d2b2b774c0e5e942c657dab774e988dcdf7862fb4ac9ecac</t>
  </si>
  <si>
    <t>106032</t>
  </si>
  <si>
    <t>03-02-2026 13:10:52</t>
  </si>
  <si>
    <t>900575843</t>
  </si>
  <si>
    <t>Agp Services SAS</t>
  </si>
  <si>
    <t>fb31ba23a21d28bd58f371ee57649695e108202685804b7cdcb94f5d1f5b9319e40382cde3f6ccd4d82a548262dc9d18</t>
  </si>
  <si>
    <t>106033</t>
  </si>
  <si>
    <t>03-02-2026 13:10:56</t>
  </si>
  <si>
    <t>ca7c8e912588eee3d7a978ca906918166a786a430c7af18dd46d999b5fa5073746a55b55119023a84fdbe243f1c87e5c</t>
  </si>
  <si>
    <t>106034</t>
  </si>
  <si>
    <t>03-02-2026 13:11:05</t>
  </si>
  <si>
    <t>830002181</t>
  </si>
  <si>
    <t>Grupo Mok Colombia SAS</t>
  </si>
  <si>
    <t>c655f3d049a7493af5f539d5251cefbef1df7d33eab514f931d46f93ac4381eb2bd28aaba61a19cf68b56d3a1dc4861a</t>
  </si>
  <si>
    <t>106035</t>
  </si>
  <si>
    <t>03-02-2026 13:11:06</t>
  </si>
  <si>
    <t>3aefdc9922937c1fa1b949157626c833c14833993af036663e1435bf2a0169c476f914226f43b53fb5065fb89713a800</t>
  </si>
  <si>
    <t>106036</t>
  </si>
  <si>
    <t>03-02-2026 13:11:11</t>
  </si>
  <si>
    <t>900518732</t>
  </si>
  <si>
    <t>Samsonite Colombia SAS</t>
  </si>
  <si>
    <t>797143ae9d52e9a6361c253d5307ec9c2e4c8ad8c44c144a14da53e24dc6bb3b3d5d9a84ac0f909372b32e2f2a044abf</t>
  </si>
  <si>
    <t>106037</t>
  </si>
  <si>
    <t>03-02-2026 13:11:15</t>
  </si>
  <si>
    <t>830041970</t>
  </si>
  <si>
    <t>Conservation International Foundation</t>
  </si>
  <si>
    <t>PAGA  16/02/2026</t>
  </si>
  <si>
    <t>483a7d3e18a88c1a331ad5127dc850f6f7438662772e73bbfa2ee38ee50cb404cffe774809a32796567a65ddfb2b51e4</t>
  </si>
  <si>
    <t>106038</t>
  </si>
  <si>
    <t>03-02-2026 14:26:34</t>
  </si>
  <si>
    <t>1bb28f76118f7399486c1bb2fa6539ac2fb54b3021e42b50fe8777c7559f2e2776bf78a80032a353c325629711536574</t>
  </si>
  <si>
    <t>106039</t>
  </si>
  <si>
    <t>03-02-2026 14:26:43</t>
  </si>
  <si>
    <t>900396965</t>
  </si>
  <si>
    <t>Agroindustrial De Palma Aceitera SA Sucursal Colombia</t>
  </si>
  <si>
    <t>4fc0f224b44895bbdcd623cf319ef304b61bfa96d31c4d8761c65f38411aa985086f71ddeb423cf343ae6fea04cdaae8</t>
  </si>
  <si>
    <t>106040</t>
  </si>
  <si>
    <t>52078556</t>
  </si>
  <si>
    <t>Maria Eugenia Cruz Herrera</t>
  </si>
  <si>
    <t>PAGO 2/03/2026</t>
  </si>
  <si>
    <t>a41f3c18e0fe32edbb1c6695367731d3293aeda88691856b6cfd2ee3bf8fc4a5509b917e8bfd55e8df83f4ba7aeaafaf</t>
  </si>
  <si>
    <t>106041</t>
  </si>
  <si>
    <t>03-02-2026 14:41:49</t>
  </si>
  <si>
    <t>830054539</t>
  </si>
  <si>
    <t>Patrimonios Autonomos Fiduciaria Bancolombia SA Sociedad Fiduciaria</t>
  </si>
  <si>
    <t>37668cba0d013a57ea1e783c2eadfe1e753c7c68ba406e81c5ef960e5fdbde88eb2ed056c8a2c089070c352b76344262</t>
  </si>
  <si>
    <t>106042</t>
  </si>
  <si>
    <t>03-02-2026 14:56:56</t>
  </si>
  <si>
    <t>860038299</t>
  </si>
  <si>
    <t>Pan American Life De Colombia Compañia De Seguros SA</t>
  </si>
  <si>
    <t>c6179605fc98533b497881fa1a8593b21ac6a2fada4e71f2e424869c932283537a70040ca71a79e590635fcce9071bd1</t>
  </si>
  <si>
    <t>106043</t>
  </si>
  <si>
    <t>03-02-2026 14:57:00</t>
  </si>
  <si>
    <t>830126204</t>
  </si>
  <si>
    <t>Gate Gourmet Colombia SAS</t>
  </si>
  <si>
    <t>c2d7ad79ee15dd55c5cfadc46730e67df2f458f44d234a125f21a69f92c9e05591a9a6420b1814257a3285ddcd8baf67</t>
  </si>
  <si>
    <t>106044</t>
  </si>
  <si>
    <t>03-02-2026 14:57:05</t>
  </si>
  <si>
    <t>83e54dc626cf0303e4e3b32c2479e75413d6717ea5459f16bffa485c9072b98277b421459790e4852bd9695479dc0e7e</t>
  </si>
  <si>
    <t>106045</t>
  </si>
  <si>
    <t>03-02-2026 14:57:09</t>
  </si>
  <si>
    <t>900021547</t>
  </si>
  <si>
    <t>Logiztik Alliance Group SAS</t>
  </si>
  <si>
    <t>29c076d71bc29cc2c8733fe9dff527af5bd9efaa8d6f30f7bd858a5dbb679f3b6f8d0fe3d9714f264ad2a4ba2cf7212e</t>
  </si>
  <si>
    <t>106046</t>
  </si>
  <si>
    <t>03-02-2026 15:12:18</t>
  </si>
  <si>
    <t>13d3501f127f5d20d5ea27ea09c331992dba2fb88299b401dc0a59425bbbf1d7d324bac479b1df20044ac0689f7de6f5</t>
  </si>
  <si>
    <t>106047</t>
  </si>
  <si>
    <t>03-02-2026 15:12:21</t>
  </si>
  <si>
    <t>6246f6da16f33d05d146269b26c288ea5e9f7d638bcb9d0f63c294716d2ea4698241e633fb0a523a728c0eaf4c1de44c</t>
  </si>
  <si>
    <t>106048</t>
  </si>
  <si>
    <t>03-02-2026 15:12:27</t>
  </si>
  <si>
    <t>901045437</t>
  </si>
  <si>
    <t>Rms Diseños Y Construccion SAS</t>
  </si>
  <si>
    <t>9e17b04fdd99194699da22160648d8f7e9d3ba9b1b03d1a41d96485750d4b0a6c4e45d62c394c4296d518a07d9594379</t>
  </si>
  <si>
    <t>106049</t>
  </si>
  <si>
    <t>03-02-2026 15:12:32</t>
  </si>
  <si>
    <t>1cc2183248ad02517a583915fd263e6baa66901a4aeef8be62a82beaf35a7603d354b9f82c91898e6dda33d38c076206</t>
  </si>
  <si>
    <t>106050</t>
  </si>
  <si>
    <t>03-02-2026 15:12:36</t>
  </si>
  <si>
    <t>800116871</t>
  </si>
  <si>
    <t>C I Importex SA</t>
  </si>
  <si>
    <t>f9d1ab087712b135cabaa03973d3bca3788a872bfed7eecb698ba96af94738dbc31441c283473486a3c37f195208427c</t>
  </si>
  <si>
    <t>106051</t>
  </si>
  <si>
    <t>03-02-2026 15:12:40</t>
  </si>
  <si>
    <t>620e05c23bad27c56f193d464b26b2aef186db7a73f0cfd3319fb0fc3acf8b7eb4c2ca841b0649b8764e3ca16633e123</t>
  </si>
  <si>
    <t>106052</t>
  </si>
  <si>
    <t>03-02-2026 15:12:45</t>
  </si>
  <si>
    <t>900106694</t>
  </si>
  <si>
    <t>Am Medical SAS</t>
  </si>
  <si>
    <t>8398839ed2aa76ee87f177c2dccfa8253a34c22774f1b785abc67a026a76bc6f193111308b105dc459564c2dca1bfe33</t>
  </si>
  <si>
    <t>106053</t>
  </si>
  <si>
    <t>03-02-2026 15:12:49</t>
  </si>
  <si>
    <t>830060858</t>
  </si>
  <si>
    <t>Ambientti Constructora Inmobiliaria S A S</t>
  </si>
  <si>
    <t>4b72cb7e77f1c00dc007933ca8b235f38c47135543445762d6d8a0aa2ffbacf2adfd28e99f082a68adf2286d89660a27</t>
  </si>
  <si>
    <t>106054</t>
  </si>
  <si>
    <t>03-02-2026 15:12:54</t>
  </si>
  <si>
    <t>2f7fe9a54273bc1709c4afa2a59e099c7adf4c1a77af4cb1227c1b9ac5e606759c46d58d32111e5cbc17c950746946d5</t>
  </si>
  <si>
    <t>106055</t>
  </si>
  <si>
    <t>03-02-2026 15:12:59</t>
  </si>
  <si>
    <t>7b8317971ad458decb89e62e5dc7dc8af2261c891ea258c8129e0cedfd268af6061c2e90c209c48d131def17ca866d3f</t>
  </si>
  <si>
    <t>106056</t>
  </si>
  <si>
    <t>03-02-2026 15:13:24</t>
  </si>
  <si>
    <t>860007637</t>
  </si>
  <si>
    <t>Touring &amp; Automovil Club De Colombia Acc</t>
  </si>
  <si>
    <t>be49bb0c8827a1989e3f843a7c49a389d07bdc857bc3f4fd371d640148c3610e807d6440397fa3dab330085987bfddd6</t>
  </si>
  <si>
    <t>106057</t>
  </si>
  <si>
    <t>03-02-2026 15:13:19</t>
  </si>
  <si>
    <t>87c04675217eebd597813c6868bdace987c562b835de63129c534be5bbed3cb41a64b63513f94841ea7c454c071b94db</t>
  </si>
  <si>
    <t>106058</t>
  </si>
  <si>
    <t>03-02-2026 15:28:58</t>
  </si>
  <si>
    <t>900132714</t>
  </si>
  <si>
    <t>Domat SAS</t>
  </si>
  <si>
    <t>1a04af299a89bc731180782f208cff577f271432a8d39f286dcf1ced8e103b5ded8df0c6dc7dd9fff5a9a0ebe5a5037a</t>
  </si>
  <si>
    <t>106059</t>
  </si>
  <si>
    <t>03-02-2026 15:28:59</t>
  </si>
  <si>
    <t>560d21d5143add2142afd2c5b475ec062fef8309c411214c69093ca35741fc830f7c42d494905417c467f0cf83a6eda4</t>
  </si>
  <si>
    <t>106060</t>
  </si>
  <si>
    <t>03-02-2026 15:29:02</t>
  </si>
  <si>
    <t>c6bba3f0141396dae9e41194f0b0553b8186e66ebfaaad50f4d03380ef72a724ac3e79d896b290380c73260b28f0abaf</t>
  </si>
  <si>
    <t>106061</t>
  </si>
  <si>
    <t>03-02-2026 15:29:03</t>
  </si>
  <si>
    <t>900387076</t>
  </si>
  <si>
    <t>Inetum España SA Sucursal Colombia</t>
  </si>
  <si>
    <t>a79427a44648e5b41366261940e4738971c550c8338bf52658d633c5190bdc3b61c2e9bcf7924b17c47ae2b09ac171a8</t>
  </si>
  <si>
    <t>106062</t>
  </si>
  <si>
    <t>03-02-2026 15:29:05</t>
  </si>
  <si>
    <t>d648e20c98eaab71546de6ba846101db36da2e16254dfc72ae49b3213aea78a3dc5c6ddec6e2740a5ea64894b9e7d780</t>
  </si>
  <si>
    <t>106063</t>
  </si>
  <si>
    <t>03-02-2026 15:29:07</t>
  </si>
  <si>
    <t>901190665</t>
  </si>
  <si>
    <t>Global Training Aviation Colombia SAS</t>
  </si>
  <si>
    <t>6f749b3cda2e6f76b9feb1bf8571a5b519f4f03ec91c794fd4f8898e340346682c9e78b93f26bd6925ac5376972065c3</t>
  </si>
  <si>
    <t>106064</t>
  </si>
  <si>
    <t>03-02-2026 15:29:09</t>
  </si>
  <si>
    <t>830047411</t>
  </si>
  <si>
    <t>Kata SAS</t>
  </si>
  <si>
    <t>9e8f8122b5d9cfc31649daf83a2c84fef636d0facc20b44d92fae4f1bd62d2f794681105a6c1c5640ee51c5b33b10557</t>
  </si>
  <si>
    <t>106065</t>
  </si>
  <si>
    <t>03-02-2026 15:29:11</t>
  </si>
  <si>
    <t>830024974</t>
  </si>
  <si>
    <t>Natura Cosmeticos LTDA</t>
  </si>
  <si>
    <t>e770e145a1a5a17f03edea88c9ec6cb2c41f5fe8b22e146805f8f156d2eb7e32785991942d8fd663883a06eb757d05f2</t>
  </si>
  <si>
    <t>106066</t>
  </si>
  <si>
    <t>03-02-2026 15:29:14</t>
  </si>
  <si>
    <t>76e62642425e7c4e30c6f5dfcb75bb4d7ac690563bb7e29b0d4951d2f80c4cf7407efe0a33b76db86f68d5a1afb74198</t>
  </si>
  <si>
    <t>106067</t>
  </si>
  <si>
    <t>03-02-2026 15:29:18</t>
  </si>
  <si>
    <t>436e5c5145378171ccbb15d062067dd214a4916fc5a4a3968db4eee2c0f2a77a13be25d246dd5b6ead6c11a453112ffd</t>
  </si>
  <si>
    <t>106068</t>
  </si>
  <si>
    <t>03-02-2026 15:44:08</t>
  </si>
  <si>
    <t>800247814</t>
  </si>
  <si>
    <t>Quintero Y Quintero Asesores SA</t>
  </si>
  <si>
    <t>2cfac859711a12ebaba8a07c295963f73438d70e69a9bf5d931ee69414d377e379738423f2c28acf5ebce376dfbb9496</t>
  </si>
  <si>
    <t>106069</t>
  </si>
  <si>
    <t>03-02-2026 15:59:13</t>
  </si>
  <si>
    <t>900209858</t>
  </si>
  <si>
    <t>Retcom SAS</t>
  </si>
  <si>
    <t>7b004e3a49aa904e2d968229449cbb6c57b61eb1be2b6a3f5f6319d8858f8bd31675012763896b7f1d8a942e1095e680</t>
  </si>
  <si>
    <t>106070</t>
  </si>
  <si>
    <t>03-02-2026 15:59:18</t>
  </si>
  <si>
    <t>806002953</t>
  </si>
  <si>
    <t>Marketing E Inversiones SAS</t>
  </si>
  <si>
    <t>7e45491e39427b777daa9791252d648da714d39fec664c503ca9220a76a57f691494ecc2351e74d1e5a10909bcdd1c24</t>
  </si>
  <si>
    <t>106071</t>
  </si>
  <si>
    <t>03-02-2026 15:59:23</t>
  </si>
  <si>
    <t>901026491</t>
  </si>
  <si>
    <t>Consultores Arquitectura Y Construcciones SAS</t>
  </si>
  <si>
    <t>0b76056b1ebbe3049a40dfe5b42d0d846191db6354d08f3b0d03ac7beecdd68e8d1280bf057fdbbe6d7a0ce31a1d5809</t>
  </si>
  <si>
    <t>106072</t>
  </si>
  <si>
    <t>03-02-2026 15:59:27</t>
  </si>
  <si>
    <t>58837e3ea12d1145947ae5cd32ba37d84636576b7caa313254b4348f5becb3aa725a94687d1d5fca33199378da0689cc</t>
  </si>
  <si>
    <t>106073</t>
  </si>
  <si>
    <t>03-02-2026 15:59:33</t>
  </si>
  <si>
    <t>900789062</t>
  </si>
  <si>
    <t>Dr Reddy S Laboratories SAS</t>
  </si>
  <si>
    <t>cfb6f927c7580b4ae0d50696d03e5b4ea6cafe45f9a570c63e063e37d48b3a190232d32e35120b9eaf17d8b03a98a324</t>
  </si>
  <si>
    <t>106074</t>
  </si>
  <si>
    <t>03-02-2026 15:59:36</t>
  </si>
  <si>
    <t>800156889</t>
  </si>
  <si>
    <t>Distribuidora Kiramar SAS</t>
  </si>
  <si>
    <t>3c3923fc7e29feb50c4238f1af66ca4ab56a83356f4d2a4f60a52a67089e7cf2d248f64964b626f87937fe1329541f90</t>
  </si>
  <si>
    <t>106075</t>
  </si>
  <si>
    <t>03-02-2026 16:31:10</t>
  </si>
  <si>
    <t>900206480</t>
  </si>
  <si>
    <t>Ingetec Ingenieria &amp; Diseños SAS</t>
  </si>
  <si>
    <t>8688bf03e0bda3d7de590e00e2aa6059df3d4f8478575d6c39d85033692be6494e05f1528cda6a55478a514c005d375c</t>
  </si>
  <si>
    <t>106076</t>
  </si>
  <si>
    <t>04-02-2026</t>
  </si>
  <si>
    <t>04-02-2026 07:46:19</t>
  </si>
  <si>
    <t>0114e907b2eb7be4a571d2d5da5195da5a37576ff365eceab06c0e834ee4b3aad0e0b240d12a90c6a48f2b78d1489145</t>
  </si>
  <si>
    <t>106077</t>
  </si>
  <si>
    <t>04-02-2026 10:01:37</t>
  </si>
  <si>
    <t>901019138</t>
  </si>
  <si>
    <t>Consorcio Ruta 40</t>
  </si>
  <si>
    <t>11f9a6d64696e0470a649852fcc6e87623d95139b4abfd2e0e4546c20a7069189cc8324c3c4e0c7d8c5fed25f61b4aff</t>
  </si>
  <si>
    <t>106078</t>
  </si>
  <si>
    <t>04-02-2026 10:01:42</t>
  </si>
  <si>
    <t>900797309</t>
  </si>
  <si>
    <t>Knauf Distribuidora SAS</t>
  </si>
  <si>
    <t>c8bee03ac6e4627b73704e4991bfd752c7c8db1faccb93fc96e38d21dd214812211f242a198725ea62952fb2753e7f34</t>
  </si>
  <si>
    <t>106079</t>
  </si>
  <si>
    <t>04-02-2026 10:01:46</t>
  </si>
  <si>
    <t>900714469</t>
  </si>
  <si>
    <t>Sky Logistica Integral S A S</t>
  </si>
  <si>
    <t>985f28b78af4746d7a983a71171c6427d777d3b23d3ac7731732a234a233dd47ba20a5ddd8f56171914b8a8b9bae59fd</t>
  </si>
  <si>
    <t>106080</t>
  </si>
  <si>
    <t>04-02-2026 10:01:50</t>
  </si>
  <si>
    <t>800076719</t>
  </si>
  <si>
    <t>Vigilancia Santafereña Y Cia Ltda</t>
  </si>
  <si>
    <t>c9d144400f4de2042ed5d322dd8d89dc0b36c1e147dee26a7b72c30e91c73da9d280eac81ddf7de966198119abaebebe</t>
  </si>
  <si>
    <t>106081</t>
  </si>
  <si>
    <t>04-02-2026 10:01:55</t>
  </si>
  <si>
    <t>a26197fb776d3657df9aca6cd7bc7708b7af75e3ece469b8669d6b6fcd13d487dbbf44dfbe5d9d10dc5bd6ce947aa9dc</t>
  </si>
  <si>
    <t>106082</t>
  </si>
  <si>
    <t>04-02-2026 10:01:59</t>
  </si>
  <si>
    <t>860513970</t>
  </si>
  <si>
    <t>Comercializadora Internacional Milpa SA</t>
  </si>
  <si>
    <t>c9dd7df69577879ed84acaefa365ef8423c506ad911261ed33435909dba466192c801b9679437f91017ece59b6d4dbaa</t>
  </si>
  <si>
    <t>106083</t>
  </si>
  <si>
    <t>04-02-2026 10:17:05</t>
  </si>
  <si>
    <t>860536003</t>
  </si>
  <si>
    <t>Agencia De Aduanas Abc Repecev SAS Nivel 1</t>
  </si>
  <si>
    <t>c8847d2bc9b087d9b75fcb20ee0ac6f2b7534a3a933dfce18cc1a7de4f2c3c2f7b807c674cdef9a86633bbb5abea73bd</t>
  </si>
  <si>
    <t>106084</t>
  </si>
  <si>
    <t>04-02-2026 10:17:11</t>
  </si>
  <si>
    <t>860076579</t>
  </si>
  <si>
    <t xml:space="preserve">Centro Internacional De Estudios En Seguros </t>
  </si>
  <si>
    <t>c43c4111968684d14a95519831e9335609add0aa60fa4e06ee297bd73e65dcf165d5380a6b284fbac4e95e585d6ebecf</t>
  </si>
  <si>
    <t>106085</t>
  </si>
  <si>
    <t>04-02-2026 10:17:15</t>
  </si>
  <si>
    <t>860048112</t>
  </si>
  <si>
    <t>Construcciones Arrecife SAS</t>
  </si>
  <si>
    <t>8d285a595c1eb95fac6d3cdb5dad5e8a0e359f326e67ead41b7cc52a262c78fb7150bb5af84bfede5e902d1b218002a9</t>
  </si>
  <si>
    <t>106086</t>
  </si>
  <si>
    <t>04-02-2026 10:17:21</t>
  </si>
  <si>
    <t>901916856</t>
  </si>
  <si>
    <t>Green Emerald Mining Services SAS</t>
  </si>
  <si>
    <t>b60095d1b7ec70841a98dfc501d6b717569842ad091e0281817d0c7c36767211be450bd6cb2ca3267dffc54a2048d880</t>
  </si>
  <si>
    <t>106087</t>
  </si>
  <si>
    <t>04-02-2026 10:17:24</t>
  </si>
  <si>
    <t>3056f061c10b3b875504460ce5a91ab3534aade34fe8de37279b073e1b6194ab9832f2d644064146629a8f3483e59f47</t>
  </si>
  <si>
    <t>106088</t>
  </si>
  <si>
    <t>04-02-2026 10:17:28</t>
  </si>
  <si>
    <t>9d5e2067d9af61db885e0feb3908689f7895ed62437978b4fe27480d5c1003cc90f24e3d368717422618378db116198e</t>
  </si>
  <si>
    <t>106089</t>
  </si>
  <si>
    <t>04-02-2026 10:17:33</t>
  </si>
  <si>
    <t>901122559</t>
  </si>
  <si>
    <t>Esmeraldas Mining Services SAS</t>
  </si>
  <si>
    <t>1450761e426266db95e4f11ad09d6468a712b7b977a2c115ceb5e915de70bf208a61fce29b6758f736b01cdbba7e0bb9</t>
  </si>
  <si>
    <t>106090</t>
  </si>
  <si>
    <t>04-02-2026 10:17:37</t>
  </si>
  <si>
    <t>16e624b35da79637d5fa1479cb7c361a82f57c28c53e1c7ac588bedcf28813519334d450f39b7b4a2a1477b256d2230c</t>
  </si>
  <si>
    <t>106091</t>
  </si>
  <si>
    <t>04-02-2026 10:17:42</t>
  </si>
  <si>
    <t>3aa84b9cd9b94931f4be750246109f742ab6dfbffdf2cb6ea54fa2862759aa2d095c962e37430fea7812748be3073cab</t>
  </si>
  <si>
    <t>106092</t>
  </si>
  <si>
    <t>04-02-2026 10:17:47</t>
  </si>
  <si>
    <t>830075451</t>
  </si>
  <si>
    <t>Pinturas Tito Pabon SAS</t>
  </si>
  <si>
    <t>d7c0dd1b4d70c22a506a3f4af810ea166ad9cfbce664f6e7e395b7d1ee406baf3456da20d9318cadbaad157b3a02648b</t>
  </si>
  <si>
    <t>106093</t>
  </si>
  <si>
    <t>04-02-2026 10:17:52</t>
  </si>
  <si>
    <t>5e340cc66cc63ff5ddb39a6c0eb58df4d70753bb0c629f7b887801d6d89742856c7df2d04c68aca7d557a98abeff1818</t>
  </si>
  <si>
    <t>106094</t>
  </si>
  <si>
    <t>04-02-2026 10:17:56</t>
  </si>
  <si>
    <t>0d27fe229880a5b9519276e4cad0a5fc952c97442c3947104e7ecfd3a68db7e1a8d15281318b4f19f5c6f609bf614e4c</t>
  </si>
  <si>
    <t>106095</t>
  </si>
  <si>
    <t>04-02-2026 10:18:04</t>
  </si>
  <si>
    <t>b8b6811d73afd16e3b1c524973a786239e230a6ee8be4edcfb6ccbee40f92dcb0095a394f74b6aa5adc4e43db7b35055</t>
  </si>
  <si>
    <t>106096</t>
  </si>
  <si>
    <t>04-02-2026 10:18:07</t>
  </si>
  <si>
    <t>860450450</t>
  </si>
  <si>
    <t>Nicomar Electronics SAS</t>
  </si>
  <si>
    <t>fcf5be8436556e7704551d33e8f5e88e238e629d2566aeda6ddb81fa2542bcf751f9db10edbeac3ea598cf3ed6e618f1</t>
  </si>
  <si>
    <t>106097</t>
  </si>
  <si>
    <t>04-02-2026 10:33:12</t>
  </si>
  <si>
    <t>830055467</t>
  </si>
  <si>
    <t>Geodis Colombia LTDA</t>
  </si>
  <si>
    <t>9cb9ed962ab1ed390a0698ced491e2ef04724604dcb65e7255a03cab286807ee624e29f25fe653024569f8be9fa03e9f</t>
  </si>
  <si>
    <t>106098</t>
  </si>
  <si>
    <t>04-02-2026 10:33:16</t>
  </si>
  <si>
    <t>830033494</t>
  </si>
  <si>
    <t>Heel Colombia Ltda</t>
  </si>
  <si>
    <t>20653719cc8c9b5bed15a5c234fc641ff80d2ea603f3ebafcbc8637bf326b07a8c23ddabd132d7ba4935307b5a43a59f</t>
  </si>
  <si>
    <t>106099</t>
  </si>
  <si>
    <t>04-02-2026 10:33:20</t>
  </si>
  <si>
    <t>98d7c3938870fd335ce64aedc181913c72ac03e45032086cff241e071541a8fc79e3750887bf287392d53a3a31ad6935</t>
  </si>
  <si>
    <t>106100</t>
  </si>
  <si>
    <t>04-02-2026 10:33:25</t>
  </si>
  <si>
    <t>fe2f30bcad2d0efd1b2e5f134f022e3372465727b121de6a5404a23375ca7921fcd6ba3a2e5e7acf6ab342c2bb43d2ee</t>
  </si>
  <si>
    <t>106101</t>
  </si>
  <si>
    <t>04-02-2026 10:33:30</t>
  </si>
  <si>
    <t>af2bfbe0eb34a47c6e189292204398cc6da01444ce12346d074550bd18f9918b86a20961babb93f09c5b1dd7d3ca6bd5</t>
  </si>
  <si>
    <t>106102</t>
  </si>
  <si>
    <t>04-02-2026 10:33:35</t>
  </si>
  <si>
    <t>800077635</t>
  </si>
  <si>
    <t>LM Instruments SA</t>
  </si>
  <si>
    <t>02f887b41c394117ac80d6e04254765d508f63a15cd612b37a7065d35bce63d9770c7000810c146d55593401c2296364</t>
  </si>
  <si>
    <t>106103</t>
  </si>
  <si>
    <t>04-02-2026 10:48:42</t>
  </si>
  <si>
    <t>800022558</t>
  </si>
  <si>
    <t>Baterias Willard SA</t>
  </si>
  <si>
    <t>f10b05550f1fbe84a5daa9803944b90fd3ea67a5128060e9a4bf85e24b9bbb8d12ae6fb048b776c2c9cf1b59a0b558dd</t>
  </si>
  <si>
    <t>106104</t>
  </si>
  <si>
    <t>04-02-2026 10:48:46</t>
  </si>
  <si>
    <t>830144243</t>
  </si>
  <si>
    <t>S Y Z Colombia SAS</t>
  </si>
  <si>
    <t>e845970eca66e3c690d55bb5e20d48fb02cff3a0c2bf69d1f87486f6970ad5a27e343fe1b667e1dbb0684ed5bed91752</t>
  </si>
  <si>
    <t>106105</t>
  </si>
  <si>
    <t>04-02-2026 10:48:50</t>
  </si>
  <si>
    <t>c49aac8bb90589ddfd95c22cb2a7e52bfd638bc70231b551325c9fd417ef0f594bf63d8a2df8e578d1cf17ecbd23105e</t>
  </si>
  <si>
    <t>106106</t>
  </si>
  <si>
    <t>04-02-2026 10:48:55</t>
  </si>
  <si>
    <t>901094266</t>
  </si>
  <si>
    <t xml:space="preserve">Pandalatina Huamei Internacional S A S </t>
  </si>
  <si>
    <t>FACTURA PAGA EL 16/02/2026</t>
  </si>
  <si>
    <t>b180ffc454cef4ee488690533fb96b654def51b14fd946a3b3394b5d829325af10c83e28fe6169340becb5298bdb141b</t>
  </si>
  <si>
    <t>106107</t>
  </si>
  <si>
    <t>04-02-2026 10:48:59</t>
  </si>
  <si>
    <t>1e949b03b38356dd8f78407898d45ff7b05031a87db433aa15ef2ed97a7718ee233a74a4064d58f1a40765d841b586b9</t>
  </si>
  <si>
    <t>106108</t>
  </si>
  <si>
    <t>04-02-2026 10:49:04</t>
  </si>
  <si>
    <t>900166056</t>
  </si>
  <si>
    <t>Terminal Terrestre De Carga De Bogota Oikos Ok</t>
  </si>
  <si>
    <t>FPAGA 24/02/2026</t>
  </si>
  <si>
    <t>9ff7b7e901f99e8e45557fd177bcfb2e09251b6e0b0cacb5b0318aa733cad5bb3e7991ae03ded2e801a104741e39daa5</t>
  </si>
  <si>
    <t>106109</t>
  </si>
  <si>
    <t>04-02-2026 10:49:08</t>
  </si>
  <si>
    <t>900353434</t>
  </si>
  <si>
    <t>Dichter Neira Colombia SAS</t>
  </si>
  <si>
    <t>53fcf06f282b511829f47806a6e2a493e87f76b804166bd03b36b690d1e31f1ceed0908e8adf2d2acceb09869137b27d</t>
  </si>
  <si>
    <t>106110</t>
  </si>
  <si>
    <t>04-02-2026 10:49:14</t>
  </si>
  <si>
    <t>177a430db4beb066401b88bf026a28a409623353e8aeea5cd2a304d990750be2d10d8400995e548593c5c63d761cfd83</t>
  </si>
  <si>
    <t>106111</t>
  </si>
  <si>
    <t>04-02-2026 11:07:09</t>
  </si>
  <si>
    <t>860508470</t>
  </si>
  <si>
    <t>Preflex SAS</t>
  </si>
  <si>
    <t>8e426e59e4418c513f74998b62fc10c34c07f19f16906af3e859aa2d7700ead219f2a6c891481e99698bb0002c7da0ca</t>
  </si>
  <si>
    <t>106112</t>
  </si>
  <si>
    <t>04-02-2026 11:07:11</t>
  </si>
  <si>
    <t>901240494</t>
  </si>
  <si>
    <t>Inversiones Mi Tierrita SAS</t>
  </si>
  <si>
    <t>7144f1655967c4363c8a6874e8819045c632a3d55bcd8f94861c81d597a0f98f306da58c69a93f4f67b910041c519fbf</t>
  </si>
  <si>
    <t>106113</t>
  </si>
  <si>
    <t>04-02-2026 11:28:16</t>
  </si>
  <si>
    <t>314c72355556e7bffa29098318a9f089a501bb6836bd80baf9cf6d94c8a4e0e4cf1f8f4cbcf09dc41f13c6bc865db709</t>
  </si>
  <si>
    <t>106114</t>
  </si>
  <si>
    <t>04-02-2026 11:28:18</t>
  </si>
  <si>
    <t>860071562</t>
  </si>
  <si>
    <t>Acciones Y Valores SA Comisionista De Bolsa</t>
  </si>
  <si>
    <t>9e740f734f6a67927df2afd71b19119ec8174b339c5944f4ab90ca44ac8303ce78d633f50acfe13d14e735c8609a5d98</t>
  </si>
  <si>
    <t>106115</t>
  </si>
  <si>
    <t>04-02-2026 11:28:20</t>
  </si>
  <si>
    <t>158f1c379c75b752ca33a446b1fbfca1d81df738a2c0c29aa67bc8a323c983edd71d292e75b2f72cff1f78d06099ff8c</t>
  </si>
  <si>
    <t>106116</t>
  </si>
  <si>
    <t>04-02-2026 11:46:11</t>
  </si>
  <si>
    <t>900201138</t>
  </si>
  <si>
    <t>Novatec Solutions Ltda</t>
  </si>
  <si>
    <t>22642e134e7706f8f2f3432c8781c122abb488e516b2b45de95b8dd03948c95268b35466695de97e651a3bb062693e7d</t>
  </si>
  <si>
    <t>106117</t>
  </si>
  <si>
    <t>04-02-2026 11:46:35</t>
  </si>
  <si>
    <t>de3ebf432ed76725e2da2ff2744883c66ea6a10127c8c6db17675eca70fabeb472c586707f58197ea24e61a0949d89c4</t>
  </si>
  <si>
    <t>106118</t>
  </si>
  <si>
    <t>04-02-2026 11:46:13</t>
  </si>
  <si>
    <t>860055583</t>
  </si>
  <si>
    <t>Equipos Y Controles Industriales SA</t>
  </si>
  <si>
    <t>4b8c79709202df71e114d030b42ca6121a2a9a333f07eb65d2f1b93efaab9cabcc73ba40c4888dd191248650d1fbaf06</t>
  </si>
  <si>
    <t>106119</t>
  </si>
  <si>
    <t>04-02-2026 11:46:14</t>
  </si>
  <si>
    <t>900582598</t>
  </si>
  <si>
    <t>Administradora Clinica La Colina S A S</t>
  </si>
  <si>
    <t>cdb4af94a175e45c1a004da05783e1aa6fc136fb957b46a1ac60acd7bbc0da62a9abad79a49885a99afc4fb8b7620002</t>
  </si>
  <si>
    <t>106120</t>
  </si>
  <si>
    <t>04-02-2026 11:46:16</t>
  </si>
  <si>
    <t>860516847</t>
  </si>
  <si>
    <t>Juan Gaviria Restrepo &amp; Cia SAS</t>
  </si>
  <si>
    <t>FACTURA PAGA 23/02/2026</t>
  </si>
  <si>
    <t>e899bf556a159b47269dced8ebfc9fab9dc66d0e4385a430dc5d43962b699f7e9501ed6a57036438e6f68130511e68f1</t>
  </si>
  <si>
    <t>106121</t>
  </si>
  <si>
    <t>04-02-2026 11:46:17</t>
  </si>
  <si>
    <t>7ddc82cd8f9e2dea2aa9867c64f5eb6e9c0dd899e26dcadae2d8bfe8d8ce605f40fa633decae694224b7532dd405fb30</t>
  </si>
  <si>
    <t>106122</t>
  </si>
  <si>
    <t>04-02-2026 11:58:27</t>
  </si>
  <si>
    <t>860002130</t>
  </si>
  <si>
    <t>Nestle De Colombia SA</t>
  </si>
  <si>
    <t>63cf3940f6e8680bde8c21e9aa9802d01a5a2ffaa9fa29e71286ce7e620cc08e77180ea19b5706dce55c87ebf9bc443e</t>
  </si>
  <si>
    <t>106123</t>
  </si>
  <si>
    <t>04-02-2026 12:09:54</t>
  </si>
  <si>
    <t>901054874</t>
  </si>
  <si>
    <t>Fitness24seven Colombia S A S</t>
  </si>
  <si>
    <t>5c065dd2e8b6f6b5da925009959740f0ce84f00953d73863803292ea5c88aad66c5fdda55ada07a73779ba7c5c39253e</t>
  </si>
  <si>
    <t>106124</t>
  </si>
  <si>
    <t>04-02-2026 12:09:58</t>
  </si>
  <si>
    <t>860026070</t>
  </si>
  <si>
    <t>Gas Zipa SAS ESP</t>
  </si>
  <si>
    <t>PAGA 25/02/2026</t>
  </si>
  <si>
    <t>836609f42708045b6b526902eacc613ba3ec380fc086a36b117adb83e33b47332479b76e1382d67ceb4e5ba3ac5656f7</t>
  </si>
  <si>
    <t>106125</t>
  </si>
  <si>
    <t>04-02-2026 12:20:38</t>
  </si>
  <si>
    <t>900466858</t>
  </si>
  <si>
    <t>Surenergy SAS ESP</t>
  </si>
  <si>
    <t>82e50e21794173b7cd837670384f6b5d96111e08f00944d1a7cb3d4d4bf5317d6b38c93952c6ddb2fc7c389a9e727ab1</t>
  </si>
  <si>
    <t>106126</t>
  </si>
  <si>
    <t>04-02-2026 12:20:42</t>
  </si>
  <si>
    <t>860517608</t>
  </si>
  <si>
    <t>Metaza SAS</t>
  </si>
  <si>
    <t>b0a7c293c807560291dc1914a63264d98d64ec45aef806dca2bce1b80db8d9a82336f8d547e768dc190399cf4c28d3d6</t>
  </si>
  <si>
    <t>106127</t>
  </si>
  <si>
    <t>04-02-2026 12:20:47</t>
  </si>
  <si>
    <t>39887ddc9e3da8f94b332789a3a7e14f0811bc5d70d76844445a11d13dccb5e1829c57e19ce20b1b36e6e97e920ee333</t>
  </si>
  <si>
    <t>106128</t>
  </si>
  <si>
    <t>04-02-2026 12:20:52</t>
  </si>
  <si>
    <t>860023338</t>
  </si>
  <si>
    <t>Asociacion De Egresados De La Universidad De Los Andes Uniandinos</t>
  </si>
  <si>
    <t>7f93ae5f3c7353256c562b990df113694439f795a70cd76410f01bb4abd55abc05735e4739dd7c9af1490d5f0da58d2a</t>
  </si>
  <si>
    <t>106129</t>
  </si>
  <si>
    <t>04-02-2026 12:20:57</t>
  </si>
  <si>
    <t>900077707</t>
  </si>
  <si>
    <t>Pcs For All SAS</t>
  </si>
  <si>
    <t>12b302a3cc96544e5a52acc80085a2e7b5372062b031b89a4347962f2b44fda92e57459671ef94e2ed063d39a8a93e9e</t>
  </si>
  <si>
    <t>106130</t>
  </si>
  <si>
    <t>04-02-2026 12:36:43</t>
  </si>
  <si>
    <t>900704566</t>
  </si>
  <si>
    <t>Agroinsumos WM SAS</t>
  </si>
  <si>
    <t>PAGA 5/02/2026</t>
  </si>
  <si>
    <t>b0d696414682ad3248b69cc3e90e2e4c645c8c55b9e27056f01f4af29c1cc08a4069de9f05750140e940d0567d6383ef</t>
  </si>
  <si>
    <t>106131</t>
  </si>
  <si>
    <t>04-02-2026 12:36:45</t>
  </si>
  <si>
    <t>860025596</t>
  </si>
  <si>
    <t>Cooperativa Del Magisterio Codema</t>
  </si>
  <si>
    <t>PAGA 21/06/2026</t>
  </si>
  <si>
    <t>ea3484d0e41f6b8464637339b4c62aaaf870da009f361dc44a84b214611600f29d1ca0c3ca51183da357f6737a14706e</t>
  </si>
  <si>
    <t>106132</t>
  </si>
  <si>
    <t>04-02-2026 12:36:47</t>
  </si>
  <si>
    <t>900603554</t>
  </si>
  <si>
    <t>Sten Colombia Sistemas Tecnicos De Encofrados SAS</t>
  </si>
  <si>
    <t>af07fa7092a1d06b3ef8ffdcd35419449a3cf079499d2006567f8545d33379447e51fe33dc3353e5319f0eebc9f18606</t>
  </si>
  <si>
    <t>106133</t>
  </si>
  <si>
    <t>04-02-2026 12:36:50</t>
  </si>
  <si>
    <t>900081133</t>
  </si>
  <si>
    <t>Dynamo Producciones SAS</t>
  </si>
  <si>
    <t>bd37d19b85956ced59ad547759a1c8e4ea13be49b12596c9db0b08ece49e56099c4057dfc93d143a59430d63a5262257</t>
  </si>
  <si>
    <t>106134</t>
  </si>
  <si>
    <t>04-02-2026 12:36:52</t>
  </si>
  <si>
    <t>900936456</t>
  </si>
  <si>
    <t>Zeven Logistics SAS</t>
  </si>
  <si>
    <t>ddd0d9cc6877661bd19c764021eee4d58735e7b3acf88f438cf6d1b6c608cfb047244301f86301dedbf93572f374c963</t>
  </si>
  <si>
    <t>106135</t>
  </si>
  <si>
    <t>04-02-2026 12:36:54</t>
  </si>
  <si>
    <t>901211858</t>
  </si>
  <si>
    <t>Bongo Analytics SAS</t>
  </si>
  <si>
    <t>0726e71d9d8710b0d7b26be1af21aa4fead12f797266fbabb52b276ab2aa22cab7a7d6550728e7e0750749565b6094f4</t>
  </si>
  <si>
    <t>106136</t>
  </si>
  <si>
    <t>04-02-2026 12:51:32</t>
  </si>
  <si>
    <t>db1ca9787ee97a41f9c186549ea92eb9c75e1144edee251dc5d3a730f10ac0e2b9e657606a9164faf37d1c76e006784d</t>
  </si>
  <si>
    <t>106137</t>
  </si>
  <si>
    <t>04-02-2026 12:51:37</t>
  </si>
  <si>
    <t>5a1d72572d4cb2c876e6707e36e7f62204712d37c201263531442f1eb84f0d4eb93c459656d683dbe57e90dada6c58ed</t>
  </si>
  <si>
    <t>106138</t>
  </si>
  <si>
    <t>04-02-2026 12:51:42</t>
  </si>
  <si>
    <t>0c6f48684462cc1f87938b4227e1dbd737a4862f9551cc8bb107af4c878bf76caff697dcb90e9c62abc465f1c6258a9c</t>
  </si>
  <si>
    <t>106139</t>
  </si>
  <si>
    <t>04-02-2026 12:51:46</t>
  </si>
  <si>
    <t>7738682488d7a84a7be05397837220012d5a23373570d115fd15cc434695d9d184aa7130226a6692add9bec3b4abe6be</t>
  </si>
  <si>
    <t>106140</t>
  </si>
  <si>
    <t>04-02-2026 12:51:52</t>
  </si>
  <si>
    <t>860075558</t>
  </si>
  <si>
    <t>Universidad De La Sabana</t>
  </si>
  <si>
    <t>c773af673035fd8f064c2e206fde4f94a02fdb1da47844265a07ee3d2e246127c306b8167c71aae9644dac0a1c38f837</t>
  </si>
  <si>
    <t>106141</t>
  </si>
  <si>
    <t>04-02-2026 12:51:56</t>
  </si>
  <si>
    <t>419fb0489fd70cba79805daafa3312648b9914690945f55144682e33ee514301f226887295f96cde5cad52141770421b</t>
  </si>
  <si>
    <t>106142</t>
  </si>
  <si>
    <t>04-02-2026 12:52:00</t>
  </si>
  <si>
    <t>b3752d74d89cef275bb945d320efc42fb6f213d4189a0c95a7134a31a6d472b948b74c555931b2226d97e03e16bf1021</t>
  </si>
  <si>
    <t>106143</t>
  </si>
  <si>
    <t>04-02-2026 12:52:05</t>
  </si>
  <si>
    <t>860000996</t>
  </si>
  <si>
    <t>Racafe &amp; Cia SCA</t>
  </si>
  <si>
    <t>dfa1cea141a61cebb10c30acd5be5fa3895b87928567e5ddf9773b5aad97cfda9262816ae1595668b150b634b6de1883</t>
  </si>
  <si>
    <t>106144</t>
  </si>
  <si>
    <t>04-02-2026 12:52:10</t>
  </si>
  <si>
    <t>319e7078a7cd6bedef84988d7fac8d670b574e924b62277ebd304577de1603b4e96b4ef94ff123f3b235a4502d741969</t>
  </si>
  <si>
    <t>106145</t>
  </si>
  <si>
    <t>04-02-2026 12:52:15</t>
  </si>
  <si>
    <t>860051534</t>
  </si>
  <si>
    <t>Palmas De Tumaco SAS</t>
  </si>
  <si>
    <t>d64bb5d886b4ea580ea4cf04acc501788600da470f622bbca88e8ea4ea89ab18f7feba9f540ac1eb197cad8f404da32b</t>
  </si>
  <si>
    <t>106146</t>
  </si>
  <si>
    <t>04-02-2026 12:52:19</t>
  </si>
  <si>
    <t>830117370</t>
  </si>
  <si>
    <t>Servimeters SAS</t>
  </si>
  <si>
    <t>a1b1fcc51e07a293f3259679aae2b7bcddb8b490a3e24c997bddd57cfd874f61db89e53fdde1b01b1df0a28dace66801</t>
  </si>
  <si>
    <t>106147</t>
  </si>
  <si>
    <t>04-02-2026 12:52:24</t>
  </si>
  <si>
    <t>9f2c5b27e21233f483822aa2bc382811a3e406c3a71ae7a843170793c7d885d2ef1ed6bb449b3345789b33738e599909</t>
  </si>
  <si>
    <t>106148</t>
  </si>
  <si>
    <t>04-02-2026 13:07:33</t>
  </si>
  <si>
    <t>38332df04e5a551d80ebbf17243df6b5f19ce5308b604f69b20c254ecb5ff04fec194d4246889c2a008494656ce243dc</t>
  </si>
  <si>
    <t>106149</t>
  </si>
  <si>
    <t>04-02-2026 13:07:38</t>
  </si>
  <si>
    <t>ef443e3addff5092fa9d14fde71c8898192ec7c3e57a134509897689e6ee0e1b428c9d7dfa017b15fdcbd02631976250</t>
  </si>
  <si>
    <t>106150</t>
  </si>
  <si>
    <t>04-02-2026 13:07:42</t>
  </si>
  <si>
    <t>860048346</t>
  </si>
  <si>
    <t>Ronda SAS</t>
  </si>
  <si>
    <t>e9b5fde42f22f684ed920712951223854b6dce3edff0c2fbe1850a3ec8465f7b7b9909b5302a595044117b0ee4d0c220</t>
  </si>
  <si>
    <t>106151</t>
  </si>
  <si>
    <t>04-02-2026 13:07:46</t>
  </si>
  <si>
    <t>456d2fa88649c10134050d7cf69f4bd508948c311b5b3358d1cfad2b9c015e0df1e78db459b3ee95f256bc5361ff863a</t>
  </si>
  <si>
    <t>106152</t>
  </si>
  <si>
    <t>04-02-2026 13:07:52</t>
  </si>
  <si>
    <t>900112872</t>
  </si>
  <si>
    <t>PM&amp;F Fishing Oil Services SA</t>
  </si>
  <si>
    <t>d123039bb0a214401b0ba4ecd0503c7eec3350f72cddf9eb90afa7f1781a848b131d6e612dfda986d857b0d26127876e</t>
  </si>
  <si>
    <t>106153</t>
  </si>
  <si>
    <t>04-02-2026 13:07:56</t>
  </si>
  <si>
    <t>dccc283b719a24dceb974853380aa8e81ad70bd9cf00228b2f4618d0716a21264e46243ab66f6583067fd0e897864e61</t>
  </si>
  <si>
    <t>106154</t>
  </si>
  <si>
    <t>04-02-2026 13:08:01</t>
  </si>
  <si>
    <t>860020382</t>
  </si>
  <si>
    <t>Alpopular Almacen General De Depositos SA Alpopular SA</t>
  </si>
  <si>
    <t>5012e0b4a7951433975c9d95012c516275562b38809503375b2671356ce77e20c4f4620df65c1b20651f1728ca929b5d</t>
  </si>
  <si>
    <t>106155</t>
  </si>
  <si>
    <t>04-02-2026 13:08:05</t>
  </si>
  <si>
    <t>830040378</t>
  </si>
  <si>
    <t>Vco S.A</t>
  </si>
  <si>
    <t>bd9d989ce242848794a9bf6c058a588f2392022110f8589e21248ac38372add0258bb32f7fda9dbfd3b018fe345f82be</t>
  </si>
  <si>
    <t>106156</t>
  </si>
  <si>
    <t>04-02-2026 13:08:09</t>
  </si>
  <si>
    <t>c2ca113256dce50fa95b643fe2d897f1823ecbad29c39dd8dcb575ee6ab572c7f9417938eab7ed7d9365dab4725c0614</t>
  </si>
  <si>
    <t>106157</t>
  </si>
  <si>
    <t>04-02-2026 14:23:21</t>
  </si>
  <si>
    <t>830051519</t>
  </si>
  <si>
    <t>V&amp;S Comercial SAS</t>
  </si>
  <si>
    <t>1d835b4f8094e7a53586a2e81c3c9f66945f2ab3b2237480d61d877e471f3d8438a26a5ca1b4e70d877ba2bbfcb1ee40</t>
  </si>
  <si>
    <t>106158</t>
  </si>
  <si>
    <t>04-02-2026 14:23:25</t>
  </si>
  <si>
    <t>860053831</t>
  </si>
  <si>
    <t>Comercial Allan SAS</t>
  </si>
  <si>
    <t>0f66eb084bf6f3ae0b2595ee1d7f3ccefcdbc7c98c0eb3290aa13f202401d37f1309a3d94ebc05868df0bba7ebbbc776</t>
  </si>
  <si>
    <t>106159</t>
  </si>
  <si>
    <t>04-02-2026 14:23:30</t>
  </si>
  <si>
    <t>a6c4fdcc0027af96f2cbf677537115f346caa47fc3df9a4e9f1d4aa6c4afc1f1175a5e28438bd4353d1e5fe952478b4a</t>
  </si>
  <si>
    <t>106160</t>
  </si>
  <si>
    <t>04-02-2026 16:11:34</t>
  </si>
  <si>
    <t>900128566</t>
  </si>
  <si>
    <t>NTT Data Colombia SAS</t>
  </si>
  <si>
    <t>5fdbf4064dee1cecded094cf8341d8ce0d67added1787141a254b5197f8f3b85840ff34562222b05b05fdcadd9ae96d8</t>
  </si>
  <si>
    <t>106161</t>
  </si>
  <si>
    <t>04-02-2026 14:38:38</t>
  </si>
  <si>
    <t>1ba0acb05147d675737f6867696a95a5178af90088a5dd6a01faa388bcf41b55577cf077e6d859bcc5c6aafb58d67ea7</t>
  </si>
  <si>
    <t>106162</t>
  </si>
  <si>
    <t>04-02-2026 14:38:43</t>
  </si>
  <si>
    <t>800019102</t>
  </si>
  <si>
    <t>Interasesores Asesores Empresariales Administrativos SA</t>
  </si>
  <si>
    <t>f5ff222191ac92fcddb1f41a7e64fa097b6d9ef778a515422644cc1a1d88a9c61a57023c36a4840efd9ffced970cb636</t>
  </si>
  <si>
    <t>106163</t>
  </si>
  <si>
    <t>04-02-2026 14:38:49</t>
  </si>
  <si>
    <t>79deb829f5e37228c22441d8ec0aa87da9c7c009c83a546227e82dbd6c7c0d9713e20397b74a4281939ce911bb705de8</t>
  </si>
  <si>
    <t>106164</t>
  </si>
  <si>
    <t>04-02-2026 14:38:52</t>
  </si>
  <si>
    <t>901381693</t>
  </si>
  <si>
    <t>Mc Assets SAS</t>
  </si>
  <si>
    <t>5c4aa51fe57b9cdd0a655c113da5fdc3a900819e2470b930d782f09f6d5360b109fa91f44c37c6d1403fb7c9a8365194</t>
  </si>
  <si>
    <t>106165</t>
  </si>
  <si>
    <t>04-02-2026 14:53:59</t>
  </si>
  <si>
    <t>f0b1dac38d0de8172d1af64221e7a876f6eeefccb47109056d2715d828a71d7265f3d1a19a189a5d129c70d7e5dc6a83</t>
  </si>
  <si>
    <t>106166</t>
  </si>
  <si>
    <t>04-02-2026 14:54:04</t>
  </si>
  <si>
    <t>26f14a6daf24f32266162f50c449e0ab15a4276c19f7044663e34d44ff4b116a192c62f0643ce5bdd40d9799f909815c</t>
  </si>
  <si>
    <t>106167</t>
  </si>
  <si>
    <t>05-02-2026</t>
  </si>
  <si>
    <t>05-02-2026 12:16:41</t>
  </si>
  <si>
    <t>94306ca8dfa574dee3f705fce7d2f9b8c52af18e100e048c03ac1cd67fb4bfb658a3080693760a50e9a400ea75125c59</t>
  </si>
  <si>
    <t>106168</t>
  </si>
  <si>
    <t>04-02-2026 14:54:12</t>
  </si>
  <si>
    <t>860006628</t>
  </si>
  <si>
    <t>Mccann Erickson Corporation SA</t>
  </si>
  <si>
    <t>b64b7dd76f8e90e0efd24d0d6d282db1d1fa194680263b6b7468773cf16653d7109609ee3a91a8b2d7589631f1b0e3de</t>
  </si>
  <si>
    <t>106169</t>
  </si>
  <si>
    <t>04-02-2026 14:54:16</t>
  </si>
  <si>
    <t>c2abe313037d2c9cc3141a6b4e13c29bb9307d7c4361c2b6e178bdca7e9e60ef150ef5bcfcc36fe486c6074f3a42b93b</t>
  </si>
  <si>
    <t>106170</t>
  </si>
  <si>
    <t>04-02-2026 14:54:21</t>
  </si>
  <si>
    <t>901940397</t>
  </si>
  <si>
    <t>Consorcio Monitoreos Ituango</t>
  </si>
  <si>
    <t>8bde1a3ce8117897b61446fe1c7ba2908448c6bb8d2decc7b305065dbf6b19d18fd83ac7692d41405f705e470e53c5b6</t>
  </si>
  <si>
    <t>106171</t>
  </si>
  <si>
    <t>04-02-2026 15:09:30</t>
  </si>
  <si>
    <t>901307871</t>
  </si>
  <si>
    <t>Promotora Barlovento Del Mar SAS</t>
  </si>
  <si>
    <t>f6057cf0d046a2d323a3fe70ada7b615aa9a93329eaf1f05c2b4f3dbfcf01c3c55d50af3c5ee9c694ab8645c0256df05</t>
  </si>
  <si>
    <t>106172</t>
  </si>
  <si>
    <t>04-02-2026 15:09:33</t>
  </si>
  <si>
    <t>901718585</t>
  </si>
  <si>
    <t>Agencia De Aduanas Asociacion Aduanera Internacional SAS Nivel 2</t>
  </si>
  <si>
    <t>cadfaa4398380c4c4f958967477c6c7e932dc09b4f1e929c1d7ec4d12aa0ef84aaf3f966791ba7f90d96ebaca6f00ba3</t>
  </si>
  <si>
    <t>106173</t>
  </si>
  <si>
    <t>04-02-2026 15:24:38</t>
  </si>
  <si>
    <t>c85f272893a395c1e6da751c8fee2b4186006c7ffc8eb005965dd597c2b5accccdaeafab2750e5316bec04624bbac93b</t>
  </si>
  <si>
    <t>106174</t>
  </si>
  <si>
    <t>04-02-2026 15:39:53</t>
  </si>
  <si>
    <t>900189945</t>
  </si>
  <si>
    <t>Abastecedor Colombiano De Tejas Y Drywall SAS</t>
  </si>
  <si>
    <t>3820db3e00e26982e9fe24a6223dfaa0baecfca020daec04df9d64dcf26c079704e06dc559cf3186d966d2d4bf79ae5f</t>
  </si>
  <si>
    <t>106175</t>
  </si>
  <si>
    <t>04-02-2026 15:40:08</t>
  </si>
  <si>
    <t>900845767</t>
  </si>
  <si>
    <t>Services World SAS</t>
  </si>
  <si>
    <t>d3c5ae20499b770d390f71746f573e75061c371034142190deb5139564d4da5bc86ea1205287b4d35b156fd7aae52d0f</t>
  </si>
  <si>
    <t>106176</t>
  </si>
  <si>
    <t>04-02-2026 15:40:33</t>
  </si>
  <si>
    <t>860023264</t>
  </si>
  <si>
    <t>Securitas Colombia SA</t>
  </si>
  <si>
    <t>a5e2bd2e0fbe1d692180a155a4ee0d594893ec54192a9d9b23ee119a17498b89ff4652743db8a19ce5c9ae0cda0385a3</t>
  </si>
  <si>
    <t>106177</t>
  </si>
  <si>
    <t>04-02-2026 15:40:34</t>
  </si>
  <si>
    <t>e8ddf3f256608c8c773880dcecce207d064e2462f6c9bfc832f41e30fd87eee30e21f8460ff8f7c7c8e5e8d55aab074f</t>
  </si>
  <si>
    <t>106178</t>
  </si>
  <si>
    <t>04-02-2026 15:40:41</t>
  </si>
  <si>
    <t>830014825</t>
  </si>
  <si>
    <t>Papeles Primavera S A S</t>
  </si>
  <si>
    <t>8646b3f9f4b333968e6b632f149f0a10a9854b11dbb7b673fd921d29fe772e953dd6412de41cd750b0acfa6d50f47de6</t>
  </si>
  <si>
    <t>106179</t>
  </si>
  <si>
    <t>04-02-2026 15:40:45</t>
  </si>
  <si>
    <t>901051109</t>
  </si>
  <si>
    <t>Ferricar SAS</t>
  </si>
  <si>
    <t>f87fa2300bb59f5c6a450d44d3f9c6f2d2986fdb7d76e8739d01de261ff69bcfbf0fd699e066ea310d871dbea9f3c6f3</t>
  </si>
  <si>
    <t>106180</t>
  </si>
  <si>
    <t>04-02-2026 15:40:49</t>
  </si>
  <si>
    <t>860512466</t>
  </si>
  <si>
    <t>Sabanalac SAS</t>
  </si>
  <si>
    <t>5c140e9b8586523ec4f3e8a90dc7eee06cb96e3740f141fc6b0400447da5017637c09fa95b68c132ef7c512450d68bcd</t>
  </si>
  <si>
    <t>106181</t>
  </si>
  <si>
    <t>04-02-2026 15:40:48</t>
  </si>
  <si>
    <t>2a655520badddd4eccda6570c7e3a5d45a4adcbdd225ec192ad7335c5f848df20ed39893055dae9a411a82340eea7552</t>
  </si>
  <si>
    <t>106182</t>
  </si>
  <si>
    <t>04-02-2026 15:40:51</t>
  </si>
  <si>
    <t>559ccc085ba598dadb64d3edc05c4629978ea03f7d8b896343917f6202e1d0e49e8b476e2cdae232fa995f21365c4813</t>
  </si>
  <si>
    <t>106183</t>
  </si>
  <si>
    <t>04-02-2026 15:40:53</t>
  </si>
  <si>
    <t>db25f692884480778c237112e3c56151569fc6b0b3925c6282e3f4167cba973a954eb0327c145d086905bc5259629aec</t>
  </si>
  <si>
    <t>106184</t>
  </si>
  <si>
    <t>04-02-2026 15:40:56</t>
  </si>
  <si>
    <t>860077014</t>
  </si>
  <si>
    <t>Concay SA</t>
  </si>
  <si>
    <t>2476e8bc0cb1686d3d10b44ee77dcb00142c1cb5d2845a1909a47d88eb414d780f396159709353a2800419a1a4efd12c</t>
  </si>
  <si>
    <t>106185</t>
  </si>
  <si>
    <t>04-02-2026 15:41:00</t>
  </si>
  <si>
    <t>c8940c40ecff6ad58e31c368bac90e3c20e9b3b291ac3e80960c0048d44ef6d883d54d61d715849c82be07215c6f1ee5</t>
  </si>
  <si>
    <t>106186</t>
  </si>
  <si>
    <t>04-02-2026 15:41:04</t>
  </si>
  <si>
    <t>800217623</t>
  </si>
  <si>
    <t>Fantasias Plasticas De Colombia Ltda</t>
  </si>
  <si>
    <t>a1b7ee01d039a66cb7678ef6df093340ece042297739e9fc36844d19ef8db2857380c8fcce8eb9439d40025dda885720</t>
  </si>
  <si>
    <t>106187</t>
  </si>
  <si>
    <t>04-02-2026 15:56:05</t>
  </si>
  <si>
    <t>900180801</t>
  </si>
  <si>
    <t>Belltech Colombia SA</t>
  </si>
  <si>
    <t>2843a4354d1b65631ad36c182c16879560878acba0c947f24f57db6701d7673e9249db157f1fd7471c99cab8929fddda</t>
  </si>
  <si>
    <t>106188</t>
  </si>
  <si>
    <t>04-02-2026 15:56:10</t>
  </si>
  <si>
    <t>900203461</t>
  </si>
  <si>
    <t>Comercializadora Colombiana De Carbones Y Coques SAS C I</t>
  </si>
  <si>
    <t>fbecf898010f83137f27a488dc349c387edf51fe83f0ce14b9450be1b5ccd7998cc5c716188c891bdcc35530081204ad</t>
  </si>
  <si>
    <t>106189</t>
  </si>
  <si>
    <t>04-02-2026 15:56:15</t>
  </si>
  <si>
    <t>9a35717339d7402218a12155f74e910611d972a4a8d6891a6ef4d513ed5cc3f397e75251d08d83094fd85735b58d9acd</t>
  </si>
  <si>
    <t>106190</t>
  </si>
  <si>
    <t>04-02-2026 15:56:19</t>
  </si>
  <si>
    <t>860031462</t>
  </si>
  <si>
    <t>Nardiplast SAS</t>
  </si>
  <si>
    <t>69799f422dd97791c536cc19f73dc238bf3bbdf525542365f6107a9c5b3c35d59e67a35f0ae6412f3e47a78e45a1bffe</t>
  </si>
  <si>
    <t>106191</t>
  </si>
  <si>
    <t>04-02-2026 15:56:23</t>
  </si>
  <si>
    <t>900341092</t>
  </si>
  <si>
    <t>Meditrack SAS</t>
  </si>
  <si>
    <t>668b64ce400f8917a18f8f89753b3ec93eef065cb30c4ebd5079663c358c66270b514d61d87f1d08ab479630f766f4b9</t>
  </si>
  <si>
    <t>106192</t>
  </si>
  <si>
    <t>04-02-2026 16:11:42</t>
  </si>
  <si>
    <t>9c7fc240ea7dd65d037f1a7f2eb28af03f7baa5813d49c2398976e30f4656de3d4917815da3493d816a60f1e520acc53</t>
  </si>
  <si>
    <t>106193</t>
  </si>
  <si>
    <t>05-02-2026 07:43:13</t>
  </si>
  <si>
    <t>dfc60639d24b8641d10e02044e11f44562df1b6ac2cc036fab233a58ed10bb1a76cb1052113b82f63e761a705e45565f</t>
  </si>
  <si>
    <t>106194</t>
  </si>
  <si>
    <t>05-02-2026 07:43:20</t>
  </si>
  <si>
    <t>de34fd94b1f30f9b097c35d50b25433a35490256a1f0621f908f35850b0678556768a24718806aebe189d09a3038bfdf</t>
  </si>
  <si>
    <t>106195</t>
  </si>
  <si>
    <t>05-02-2026 07:43:25</t>
  </si>
  <si>
    <t>830130106</t>
  </si>
  <si>
    <t>Soenergy International Colombia SAS</t>
  </si>
  <si>
    <t>2c6eca4ca798740170d59d552f7fad61a5bbd47e985f35a41cc29351d9fef462281653a27dbcf0a9d76067b5345bd886</t>
  </si>
  <si>
    <t>106196</t>
  </si>
  <si>
    <t>05-02-2026 08:13:30</t>
  </si>
  <si>
    <t>860000332</t>
  </si>
  <si>
    <t>Lincoln Soldaduras De Colombia Ltda</t>
  </si>
  <si>
    <t>ef880ad342aae3ac94e0eb3367e68d20e77f5df232ee6555e63a241de3c68a2857a49d292b65d11e39d630430b09bbca</t>
  </si>
  <si>
    <t>106197</t>
  </si>
  <si>
    <t>05-02-2026 08:43:37</t>
  </si>
  <si>
    <t>860507710</t>
  </si>
  <si>
    <t>Auto Stok SAS</t>
  </si>
  <si>
    <t>a87b9001714b72681e87eed7eeb55a85be8e7700314c5224e872a1e19fe6b75d88cbc7470fdf4876a56b1d7c826867ec</t>
  </si>
  <si>
    <t>106198</t>
  </si>
  <si>
    <t>05-02-2026 08:43:42</t>
  </si>
  <si>
    <t>19b3a5df8677e298077d12b02f3370fbed44a52c9709d36cd93293519c2c0ddac3a2cf633a84fc588dfe4a864734d511</t>
  </si>
  <si>
    <t>106199</t>
  </si>
  <si>
    <t>05-02-2026 08:43:47</t>
  </si>
  <si>
    <t>900396967</t>
  </si>
  <si>
    <t>Industrial Aceitera Del Casanare SA Sucursal Colombia</t>
  </si>
  <si>
    <t>d021ae9b8f2ee025f1434bb8aae94aba9b16f282f52ba120834a3427444db28832b1df625fca90f79b5784c3f24532a8</t>
  </si>
  <si>
    <t>106200</t>
  </si>
  <si>
    <t>05-02-2026 08:43:52</t>
  </si>
  <si>
    <t>830017184</t>
  </si>
  <si>
    <t>Puffer Colombia</t>
  </si>
  <si>
    <t>cbb31bc270f0353f827208a005f0db4bf070633c87296df1ddd4f760b032223ad0112c27d910fed0e085c778efbe93d4</t>
  </si>
  <si>
    <t>106201</t>
  </si>
  <si>
    <t>05-02-2026 09:13:59</t>
  </si>
  <si>
    <t>7acd2a689e1209bfe005c13a0d31474ff58afcb6d575e6ba102daec8b5e8b1dc21a848e8d9d160e2f9009841c75dd7fc</t>
  </si>
  <si>
    <t>106202</t>
  </si>
  <si>
    <t>05-02-2026 09:59:14</t>
  </si>
  <si>
    <t>900656026</t>
  </si>
  <si>
    <t xml:space="preserve">Gmh Colombia S A S </t>
  </si>
  <si>
    <t>6cc522a7984c0c88d319994d9536701b074fa6068cf7391559731c49838083b35a3a4b5ac351871237427968361cc571</t>
  </si>
  <si>
    <t>106203</t>
  </si>
  <si>
    <t>05-02-2026 09:59:19</t>
  </si>
  <si>
    <t>7a92e2fca041bfb1cdb525071d353e694504f09cad1d263d8ef6768546cbb708af2f6e01890ad120b2e78d723f8a9d24</t>
  </si>
  <si>
    <t>106204</t>
  </si>
  <si>
    <t>05-02-2026 09:59:24</t>
  </si>
  <si>
    <t>860029846</t>
  </si>
  <si>
    <t>Asociacion Nacional De Comercio Exterior</t>
  </si>
  <si>
    <t>83723863da3b2314bd63101ff5a534caf1351bda715b20ae9c37cbf58d3cceafe12fdcdaf24ce99233ca2c0d04b707dd</t>
  </si>
  <si>
    <t>106205</t>
  </si>
  <si>
    <t>05-02-2026 09:59:29</t>
  </si>
  <si>
    <t>ab419e68a6903d71f86291a832c72f95875746a3a5d0d754292aedc9512c39393575c418c8e809a847466270997f2cf8</t>
  </si>
  <si>
    <t>106206</t>
  </si>
  <si>
    <t>05-02-2026 09:59:34</t>
  </si>
  <si>
    <t>860503184</t>
  </si>
  <si>
    <t>Bip Colombia SAS</t>
  </si>
  <si>
    <t>4f4332fa29e8bb2e042b5b02f41403642509cd75407bf651990b28459258fe3d623be8f1a541815c56de3aeb39b6a58d</t>
  </si>
  <si>
    <t>106207</t>
  </si>
  <si>
    <t>05-02-2026 10:14:40</t>
  </si>
  <si>
    <t>830021423</t>
  </si>
  <si>
    <t xml:space="preserve">Salitre Plaza Centro Comercial Propiedad Horizontal </t>
  </si>
  <si>
    <t>ebfeb3e1902b594b2eabb58883e111e8ab9913e87540d7f6a18837944543d635dbdab18ff4ec5772ae0bb2f593ee6538</t>
  </si>
  <si>
    <t>106208</t>
  </si>
  <si>
    <t>05-02-2026 10:29:47</t>
  </si>
  <si>
    <t>860024986</t>
  </si>
  <si>
    <t>Plasticos Tecnicos SAS Pero Podra Emplear El Nombre Plastitec SAS</t>
  </si>
  <si>
    <t>3ebdb47fb37bf03942e6febc15487c866bf1aa49cc3367ee85bedd21e8c49b72390e5062d0da570544e1d103d4d40367</t>
  </si>
  <si>
    <t>106209</t>
  </si>
  <si>
    <t>05-02-2026 10:29:51</t>
  </si>
  <si>
    <t>b7912315354d54d80961043827812c0515ed3f11ecfa5a79ea504667071d3e00999fb0c8da990b341df012c608289a49</t>
  </si>
  <si>
    <t>106210</t>
  </si>
  <si>
    <t>05-02-2026 10:29:56</t>
  </si>
  <si>
    <t>800090263</t>
  </si>
  <si>
    <t>Centro Agropecuario E Insumos Los Pinos SAS</t>
  </si>
  <si>
    <t>c9447496cac0e8af62e92259eaec2cf04bc00b8e69102f5d3327847cb383fc3ceea2a405a199b230bdab21c7d0da7b27</t>
  </si>
  <si>
    <t>106211</t>
  </si>
  <si>
    <t>05-02-2026 10:30:00</t>
  </si>
  <si>
    <t>a5fcd5167a4424298d6f2dbd8544ed194256bb75b195340ecb3f62adc50a44f84fce8478374a29109113b02eadf1ff06</t>
  </si>
  <si>
    <t>106212</t>
  </si>
  <si>
    <t>05-02-2026 10:30:05</t>
  </si>
  <si>
    <t>860504882</t>
  </si>
  <si>
    <t>Transportes Y Servicios Transer SAS</t>
  </si>
  <si>
    <t>f98b7ab7d3841e427281e9f10114c8beea6f59de4b1b40e89030c4d0776649e1159f0614a2af75fae9b610be47c5ed30</t>
  </si>
  <si>
    <t>106213</t>
  </si>
  <si>
    <t>05-02-2026 10:30:10</t>
  </si>
  <si>
    <t>79421565</t>
  </si>
  <si>
    <t>Javier Antonio Cortes Murcia</t>
  </si>
  <si>
    <t>PAGO EN EL SISTEMA 2/3/2026</t>
  </si>
  <si>
    <t>098268476b077df4430a64ef5a7c751f5b18f4b4e132fe361c12be9561189e8c9769696957b1f979332dab77585c8a83</t>
  </si>
  <si>
    <t>106214</t>
  </si>
  <si>
    <t>05-02-2026 10:30:16</t>
  </si>
  <si>
    <t>39a8bdf660f5dd901ceb5eb4c1e1f114996d90fb8a9c930f0993e8988733c876ca7fd7b0fd27cd5411a86a4ad97e5ca6</t>
  </si>
  <si>
    <t>106215</t>
  </si>
  <si>
    <t>05-02-2026 10:30:20</t>
  </si>
  <si>
    <t>8f9458390ce5b4ab238fee358e914b9c89e04224baf133ad0516bf08dea765b46e8c1ecb2b9f241c68ca38e616d7cf00</t>
  </si>
  <si>
    <t>106216</t>
  </si>
  <si>
    <t>05-02-2026 10:30:24</t>
  </si>
  <si>
    <t>0c99e20c2bf055670d9e754c428c3d70e3a40a910459d8d24da2a460b7b4221be2368a13e491f49682e229ad838348ab</t>
  </si>
  <si>
    <t>106217</t>
  </si>
  <si>
    <t>05-02-2026 10:45:30</t>
  </si>
  <si>
    <t>14d47f028afb2970bcd14f821af510a1e45c14d90694e0456046fd9cd756ac6521a6efb95ae1ad6818f8b52cd4ab7db3</t>
  </si>
  <si>
    <t>106218</t>
  </si>
  <si>
    <t>05-02-2026 10:45:35</t>
  </si>
  <si>
    <t>830056418</t>
  </si>
  <si>
    <t>Eulen Colombia SA</t>
  </si>
  <si>
    <t>c5979b824edb016c90daa0a9484b21b419cc399d32d048c864d11f9f6f5e086f137a09592d4462e70cadaaa689de2e44</t>
  </si>
  <si>
    <t>106219</t>
  </si>
  <si>
    <t>05-02-2026 11:15:48</t>
  </si>
  <si>
    <t>428aee39031195309df3df8f38469450f0f5efedfb1d63bb2b1510aaf0a7468b00b5b83873c116087b1324a8dd5ee432</t>
  </si>
  <si>
    <t>106220</t>
  </si>
  <si>
    <t>05-02-2026 11:15:54</t>
  </si>
  <si>
    <t>67dc9c4978ab109d99a6b0bf5ecbcffa479713993dcaba3fa3ee9dfcc31caaa2cc99dce39cc8e025e5dd4155ff45edd5</t>
  </si>
  <si>
    <t>106221</t>
  </si>
  <si>
    <t>05-02-2026 11:16:03</t>
  </si>
  <si>
    <t>bc943d179654b6a31af597cbdf1d22aa351e333bd42e11e1abf09c987a92156a298cc74a300becf22c169ba13ce97b9f</t>
  </si>
  <si>
    <t>106222</t>
  </si>
  <si>
    <t>05-02-2026 11:16:22</t>
  </si>
  <si>
    <t>900354036</t>
  </si>
  <si>
    <t>Axionlog SAS</t>
  </si>
  <si>
    <t>2bac1f079293027033fa4891ba89c9ac62c10828d88b6ab2a2b298cb590cb451b6bacfaade759c0312505596eb236407</t>
  </si>
  <si>
    <t>106223</t>
  </si>
  <si>
    <t>05-02-2026 11:31:03</t>
  </si>
  <si>
    <t>4c23a1d1c4962f87f7357e93b62120b7289b228b573b9b7e30a7c0a6e4b2726a9f39f854d6d39ea44b2b2103cf90a674</t>
  </si>
  <si>
    <t>106224</t>
  </si>
  <si>
    <t>05-02-2026 11:31:08</t>
  </si>
  <si>
    <t>830047497</t>
  </si>
  <si>
    <t>Invergran Sociedad Por Acciones Simplificada</t>
  </si>
  <si>
    <t>9fe1a6a98619dfa9c1053b67b3f6781901066b7c8d36584c96d429586de3ea8ee41732edc71160c88b220bdecb669164</t>
  </si>
  <si>
    <t>106225</t>
  </si>
  <si>
    <t>05-02-2026 11:31:40</t>
  </si>
  <si>
    <t>860015536</t>
  </si>
  <si>
    <t xml:space="preserve">Hospital Universitario San Ignacio </t>
  </si>
  <si>
    <t>e0ac92776884ec0f3e26215fe864f00cb392335a9ddcea5ed1ee46c462620cdc234ba23cd034a7cde69ef35e67645ecc</t>
  </si>
  <si>
    <t>106226</t>
  </si>
  <si>
    <t>05-02-2026 12:01:20</t>
  </si>
  <si>
    <t>800195603</t>
  </si>
  <si>
    <t>CYC Trading SAS</t>
  </si>
  <si>
    <t>bfda5a6da204aa82c629a1c9bc8694b8e1989252c018fbb4c529cb6bc4948a6f0eb64eb398933b81f3892aa110538355</t>
  </si>
  <si>
    <t>106227</t>
  </si>
  <si>
    <t>05-02-2026 12:01:24</t>
  </si>
  <si>
    <t>09ffd2d5f7c731fa045c0398108ce6868f5854e4e2c410a84c7f9fe99477f61d0be2e8e6d3c77a7190e25392e0ffe57d</t>
  </si>
  <si>
    <t>106228</t>
  </si>
  <si>
    <t>05-02-2026 12:01:31</t>
  </si>
  <si>
    <t>830067414</t>
  </si>
  <si>
    <t>Kaeser Compresores De Colombia SAS</t>
  </si>
  <si>
    <t>198454d08b785b58669c9cd2698c06833508777fa6c1ad012a8f315f24ae6cf61e400de44faed2f3bfe570594eec4fca</t>
  </si>
  <si>
    <t>106229</t>
  </si>
  <si>
    <t>05-02-2026 12:01:35</t>
  </si>
  <si>
    <t>900706581</t>
  </si>
  <si>
    <t>Soluciones Directivas Estrategicas Y Logisticas SAS</t>
  </si>
  <si>
    <t>296bc7747163ed2f9e904e367f2469bfd46727a40acfcdaa573836de68cc49f1547a9e8ff48159231650f7eb37a66e5a</t>
  </si>
  <si>
    <t>106230</t>
  </si>
  <si>
    <t>05-02-2026 12:16:49</t>
  </si>
  <si>
    <t>830124633</t>
  </si>
  <si>
    <t>Road Track De Colombia SAS</t>
  </si>
  <si>
    <t>cf0fd6f3c49f1f76926a635cef10106f442ee6dfced1b864a4769c763ffe2d133313cee363ca7547f63a3bab587bb776</t>
  </si>
  <si>
    <t>106231</t>
  </si>
  <si>
    <t>05-02-2026 12:16:53</t>
  </si>
  <si>
    <t>830050619</t>
  </si>
  <si>
    <t>City Parking SAS</t>
  </si>
  <si>
    <t>653a1740ec2cad813377ea4c616fd78285a7b35e51feb729df67a4031a6fdc5072236521bef5fa6e0585e99a3685dc60</t>
  </si>
  <si>
    <t>106232</t>
  </si>
  <si>
    <t>05-02-2026 12:16:57</t>
  </si>
  <si>
    <t>edef1104fda194fb6601ebab10b582cd8f4835f67a49bc3f560e358f60653b7fc3161d9d66aeabcddbe383826634e714</t>
  </si>
  <si>
    <t>106233</t>
  </si>
  <si>
    <t>05-02-2026 13:02:05</t>
  </si>
  <si>
    <t>800159527</t>
  </si>
  <si>
    <t>Amadeus It Group Colombia SAS</t>
  </si>
  <si>
    <t>24351858901896a56e83a6cdc698be72e68d09bd0a907535430675b53c1a9d66b629c5de913fd2236fad9a89797fb0b9</t>
  </si>
  <si>
    <t>106234</t>
  </si>
  <si>
    <t>05-02-2026 13:02:11</t>
  </si>
  <si>
    <t>1683cbc9c98331b016ef92b134785e265199550219d48ad2913959a808e7020f5ecc77e7b73e07904fe852b09abbbcc2</t>
  </si>
  <si>
    <t>106235</t>
  </si>
  <si>
    <t>05-02-2026 13:02:15</t>
  </si>
  <si>
    <t>901689684</t>
  </si>
  <si>
    <t>Fresenius Medical Care SAS</t>
  </si>
  <si>
    <t>32b6ba187a98fc6ef55acd097241fbd0d046cdd45f198eeb6379c4e25d13e3a5219230ef07b3ea86676198bc9408aaac</t>
  </si>
  <si>
    <t>106236</t>
  </si>
  <si>
    <t>05-02-2026 13:17:21</t>
  </si>
  <si>
    <t>900671249</t>
  </si>
  <si>
    <t>Power Systems Services Global SAS</t>
  </si>
  <si>
    <t>4d3d8d87db48cd7d8b26dbf098f8b983a5fd2f16b47c202f0d728677440daba0a59a347b999cbdf6f9c4c4cc42a2454c</t>
  </si>
  <si>
    <t>106237</t>
  </si>
  <si>
    <t>05-02-2026 14:17:33</t>
  </si>
  <si>
    <t>42b8b402c4a4e9f650449070807dc65e9f84706a5c0e5e83a6ae54509b01b4ef475892e6c074db76de4648139d39e18f</t>
  </si>
  <si>
    <t>106238</t>
  </si>
  <si>
    <t>05-02-2026 14:32:38</t>
  </si>
  <si>
    <t>860015905</t>
  </si>
  <si>
    <t>Clinica Nuestra Señora De La Paz</t>
  </si>
  <si>
    <t>2d86c29a915ff4784a1564ed0dbbcc1d98ec5f02128daeae0976ee2d0d739511895645dbe4e0c0fdb394567fbf470074</t>
  </si>
  <si>
    <t>106239</t>
  </si>
  <si>
    <t>05-02-2026 14:32:44</t>
  </si>
  <si>
    <t>63cdb00dcc69f65b511d91ac05ba9efc23945f2ab23e7a7b1bc843666c9df4572f731bc954553d20cdba5e28d41980f9</t>
  </si>
  <si>
    <t>106240</t>
  </si>
  <si>
    <t>05-02-2026 14:47:49</t>
  </si>
  <si>
    <t>900711448</t>
  </si>
  <si>
    <t>Phoenix Tower International Colombia Ltda</t>
  </si>
  <si>
    <t>c00e73eb3520be999152b12123467fbb4c093463d296dc9667f3022490f652be69e6b1fd5a8ea70e56fad1c9ed742f32</t>
  </si>
  <si>
    <t>106241</t>
  </si>
  <si>
    <t>05-02-2026 14:47:54</t>
  </si>
  <si>
    <t>32642d84d59cd592794ade2e1d7a562383b19ba0f249d33604a74cd07b40082ecc0e3fb2b80e44b91b39981188bc4877</t>
  </si>
  <si>
    <t>106242</t>
  </si>
  <si>
    <t>05-02-2026 14:47:58</t>
  </si>
  <si>
    <t>ebb63d7f45ab58f9b544643b70735b57019bf8e5ba8e4fb7305aefc78ee1055d52343a676fc224f60827401838a71988</t>
  </si>
  <si>
    <t>106243</t>
  </si>
  <si>
    <t>05-02-2026 14:48:03</t>
  </si>
  <si>
    <t>20c5d647320365ee197a2f5ac025cbd87a750a89b077335b69381d21eb01f577b273e1084c6a17dfaeb7806b210e6b56</t>
  </si>
  <si>
    <t>106244</t>
  </si>
  <si>
    <t>05-02-2026 15:03:09</t>
  </si>
  <si>
    <t>d47639a066919019b77461acfd458e69ed31d370fe9fa294ed91235e0a36df68785ec2162da46b1c1e4551cf42c1b789</t>
  </si>
  <si>
    <t>106245</t>
  </si>
  <si>
    <t>05-02-2026 15:03:13</t>
  </si>
  <si>
    <t>860006848</t>
  </si>
  <si>
    <t>Fundacion Universidad De Bogota Jorge Tadeo Lozano</t>
  </si>
  <si>
    <t>6f18e7bde4fc1b00d34453f934be16c79650c6a157a478e6b151e6dcf34106260033456c5ab6b611793abc7f688c4620</t>
  </si>
  <si>
    <t>106246</t>
  </si>
  <si>
    <t>05-02-2026 15:03:18</t>
  </si>
  <si>
    <t>a9a060736ece85b7297eb9cec4966faac8cd18e23f207281b190b48510c9de04be7fb688b0dbd85fab7ef34afb5a654c</t>
  </si>
  <si>
    <t>106247</t>
  </si>
  <si>
    <t>05-02-2026 15:03:22</t>
  </si>
  <si>
    <t>94c693c4503b1b012b10377ca9b8014f887ac6ff0763b6481d1ee49b408fe4cf8c7fe42e85ee0fb134e9f871d172784d</t>
  </si>
  <si>
    <t>106248</t>
  </si>
  <si>
    <t>05-02-2026 15:03:28</t>
  </si>
  <si>
    <t>6f33dee7169e6f94a0b2b0ae9ecea0b91523555422d5d3a061d4b89ffd3ba12c4bd11618affe3b4f57897bfc914c342b</t>
  </si>
  <si>
    <t>106249</t>
  </si>
  <si>
    <t>05-02-2026 15:18:34</t>
  </si>
  <si>
    <t>890333023</t>
  </si>
  <si>
    <t>Siderurgica Del Occidente SAS Sidoc SAS</t>
  </si>
  <si>
    <t>8fd2ab90f312dc3c598e20f6f8ecc5664b7730f09897905a75513974b77969beaaa86b1f4ca4d22300bb5a4f4248a4ef</t>
  </si>
  <si>
    <t>106250</t>
  </si>
  <si>
    <t>05-02-2026 15:18:39</t>
  </si>
  <si>
    <t>800201648</t>
  </si>
  <si>
    <t>Asesorias Servicios Ecologicos E Industriales SAS</t>
  </si>
  <si>
    <t>41383d2959f015a0f334052c3538531983966c6f78dfd448fa430a4b323ee9ab354c562b9e918d2af32e16d66ecefb74</t>
  </si>
  <si>
    <t>106251</t>
  </si>
  <si>
    <t>05-02-2026 15:18:43</t>
  </si>
  <si>
    <t>62c6a6fe899cba971e8288fe38cbcd9ad2304f26ec1d9df49060ab434992810e29548d6154a5954f8feb9d31668419d2</t>
  </si>
  <si>
    <t>106252</t>
  </si>
  <si>
    <t>05-02-2026 15:18:47</t>
  </si>
  <si>
    <t>900394791</t>
  </si>
  <si>
    <t xml:space="preserve">Masivo Capital SAS - En Reorganizacion </t>
  </si>
  <si>
    <t>a653d58711bb66d1be7ae6a36caa7a75fd8546640dd5cb1ab83014da0dce7f0570b3f30dd5709e9c4559ff5d9cb392ba</t>
  </si>
  <si>
    <t>106253</t>
  </si>
  <si>
    <t>05-02-2026 15:18:52</t>
  </si>
  <si>
    <t>900566941</t>
  </si>
  <si>
    <t>Buscalibre Colombia S A S</t>
  </si>
  <si>
    <t>PAGO 6/02/2026</t>
  </si>
  <si>
    <t>538c28f8fbc0c7a9811d09294216076894d6e51fc4dca5e58cfcecf02c08a3fbc3f5d4f776a3b4e665c26b73301634e8</t>
  </si>
  <si>
    <t>106254</t>
  </si>
  <si>
    <t>05-02-2026 15:18:57</t>
  </si>
  <si>
    <t>a2037ae9f6c9ae4ab89237ca0bb8be522b0aba5c4bf924179afda837bd5e1fe15a103d7b5331310f5377b697318f312f</t>
  </si>
  <si>
    <t>106255</t>
  </si>
  <si>
    <t>05-02-2026 15:34:04</t>
  </si>
  <si>
    <t>830018214</t>
  </si>
  <si>
    <t>MPS Mayorista De Colombia SA</t>
  </si>
  <si>
    <t>b4d222d9cc8e41f022290849d3918476faef207123826c6b789534f83002248edafe9e0aa20b7174283157038a3467b9</t>
  </si>
  <si>
    <t>106256</t>
  </si>
  <si>
    <t>05-02-2026 15:49:09</t>
  </si>
  <si>
    <t>057735e8a272bd15d3d1548e9b4d0670ae224712a1076cdb368af8c87afa3cd520826dd5380016c640bcba18594f790c</t>
  </si>
  <si>
    <t>106257</t>
  </si>
  <si>
    <t>05-02-2026 15:49:14</t>
  </si>
  <si>
    <t>e89ecc9933d188979048e7c2934952dc999ee51362982738d4a42bad034d3eadb19ade06f4c8cddfa19588374c527464</t>
  </si>
  <si>
    <t>106258</t>
  </si>
  <si>
    <t>05-02-2026 15:49:18</t>
  </si>
  <si>
    <t>ab09e70bea533bcdde6f4efad612ef8dda36b38aa31ed1eb8a2a18050bf1d3f2189eefc228ff84d83ed3c6b0ae10a8d8</t>
  </si>
  <si>
    <t>106259</t>
  </si>
  <si>
    <t>05-02-2026 16:04:25</t>
  </si>
  <si>
    <t>900195138</t>
  </si>
  <si>
    <t>Epam Systems Colombia SAS</t>
  </si>
  <si>
    <t>FACTURA PAGA EN EL SISTEMA 24/02/2026</t>
  </si>
  <si>
    <t>4ff951a082b2612fac1d267ab50db104f26e3b1e9917f09666ca3956d91da252b64c318f1cef42d1de7748ffcf5f12e1</t>
  </si>
  <si>
    <t>106260</t>
  </si>
  <si>
    <t>05-02-2026 16:04:30</t>
  </si>
  <si>
    <t>caa0135b3d4f5c3d9af7f3c15aca45def3d9c3cf1c5b6993b511be2cdce972efd9e913384a2774553c0f0fc5c5a65367</t>
  </si>
  <si>
    <t>106261</t>
  </si>
  <si>
    <t>06-02-2026</t>
  </si>
  <si>
    <t>06-02-2026 06:50:51</t>
  </si>
  <si>
    <t>3b7e8384829766bc4fc434340ba4cb69e79508f7c08ad23161c9dd22e5adbbe99e93afe152c8167cd9aba2addaf6b652</t>
  </si>
  <si>
    <t>106262</t>
  </si>
  <si>
    <t>06-02-2026 06:50:56</t>
  </si>
  <si>
    <t>f9e8c04ab865b6d5ff8f83b976a6a2aa2a126c4f8163db92de3cd00caac567e6b20709a28d954337af600415c3621571</t>
  </si>
  <si>
    <t>106263</t>
  </si>
  <si>
    <t>06-02-2026 07:06:23</t>
  </si>
  <si>
    <t>49c3e8b423eec85dbe43c2c9886096f6db6b0b02e66bcade715d8a79dd5e41cae4c7ca90d2a2b106baad7ca7dc209073</t>
  </si>
  <si>
    <t>106264</t>
  </si>
  <si>
    <t>06-02-2026 07:21:08</t>
  </si>
  <si>
    <t>899999002</t>
  </si>
  <si>
    <t>Empresa Colombiana De Productos Veterinarios SA Vecol SA</t>
  </si>
  <si>
    <t>ca98caea6e160268a04f909ea62aa51f881eed00a3c421031e3337d578107a357d2cc1a48cf28a2ef769fc6e82079a1b</t>
  </si>
  <si>
    <t>106265</t>
  </si>
  <si>
    <t>06-02-2026 07:21:13</t>
  </si>
  <si>
    <t>800210556</t>
  </si>
  <si>
    <t>Pasar Express SAS</t>
  </si>
  <si>
    <t>8197caacdfd9e0d575779b83d1c7bac94d239def35e4b4f5b007063fed16b039ffbf759a7af6593c30a009f5c2b96256</t>
  </si>
  <si>
    <t>106266</t>
  </si>
  <si>
    <t>06-02-2026 07:21:18</t>
  </si>
  <si>
    <t>79f50d464b2c0d36a31e0a0e5146fb57890723aecbff518b68f75975c0fd724212bbf78fcd2dfed48c9ce680b6ecf7cb</t>
  </si>
  <si>
    <t>106267</t>
  </si>
  <si>
    <t>06-02-2026 07:36:23</t>
  </si>
  <si>
    <t>860016695</t>
  </si>
  <si>
    <t>Philaac SAS</t>
  </si>
  <si>
    <t>4a645f1596b31441faf2505219c5816a46b686f5b445756e775f8b9dcda3a10bf09226a5ee6241c365941f09719dd847</t>
  </si>
  <si>
    <t>106268</t>
  </si>
  <si>
    <t>06-02-2026 07:36:28</t>
  </si>
  <si>
    <t>830083714</t>
  </si>
  <si>
    <t>Novomatic Gaming Colombia SAS</t>
  </si>
  <si>
    <t>931cbdca24f4f94f8acb48417e30c7f8b93da674f1a086ce9985e5507f587e604b63cfc48a9cde2fd9c55fd1e88769e7</t>
  </si>
  <si>
    <t>106269</t>
  </si>
  <si>
    <t>06-02-2026 07:36:33</t>
  </si>
  <si>
    <t>3d412fce284815ea95f4fba99cf99310083e9ee09069363e1f3d8a038f3efd6332aa2f9473914d92930b3cf8f48fa853</t>
  </si>
  <si>
    <t>106270</t>
  </si>
  <si>
    <t>06-02-2026 07:36:37</t>
  </si>
  <si>
    <t>bf200f582e6a50bbced192c143179b0c3980a09a1e893978cf7e490370bbfaa05149393d83b85a290af5c942999fbba8</t>
  </si>
  <si>
    <t>106271</t>
  </si>
  <si>
    <t>06-02-2026 07:36:42</t>
  </si>
  <si>
    <t>d036317e68b9de94209977d28f3f1ab31a01a745a5fc6d287f03bd03614122d5baaefeece7333a9a8a5bbfc078d54321</t>
  </si>
  <si>
    <t>106272</t>
  </si>
  <si>
    <t>06-02-2026 07:51:48</t>
  </si>
  <si>
    <t>900610518</t>
  </si>
  <si>
    <t>Despegar Colombia S A S</t>
  </si>
  <si>
    <t>54e343c4ad1176959fc3a7c02e218a00fd8556950fb40073b5e42c45570fb6f9e6a898d39ca0d2de18e66a3dee828bcc</t>
  </si>
  <si>
    <t>106273</t>
  </si>
  <si>
    <t>06-02-2026 08:21:56</t>
  </si>
  <si>
    <t>860003709</t>
  </si>
  <si>
    <t>Cuellar Serrano Gomez SA</t>
  </si>
  <si>
    <t>7f52a5a6d20d8508481a55e3cfcc491a0fd60c9627431c6b50d109a43eacb06a24c6b110f127230cb924e55f1aed3f43</t>
  </si>
  <si>
    <t>106274</t>
  </si>
  <si>
    <t>06-02-2026 08:37:03</t>
  </si>
  <si>
    <t>860400204</t>
  </si>
  <si>
    <t>Saenz Fety S A S</t>
  </si>
  <si>
    <t>6b76a73d1c139c78b299c94b8245e17537f2def874fbb03e8ece407243e2bb26360aa222ea3d22e821cd6dcd4d81c390</t>
  </si>
  <si>
    <t>106275</t>
  </si>
  <si>
    <t>06-02-2026 08:37:08</t>
  </si>
  <si>
    <t>a9e06f4dcb5378c38549be95a634649574c8f3c0d9e0318cd6dcda71d6d0c12b3860655a957537f07ff61de447985297</t>
  </si>
  <si>
    <t>106276</t>
  </si>
  <si>
    <t>06-02-2026 08:37:13</t>
  </si>
  <si>
    <t>20e95c0a6319a0ccd8b8997e7601066bd0d55ca43735fb770ba03f67267ded4c26f5dafcfc4129e10d9e43892587f801</t>
  </si>
  <si>
    <t>106277</t>
  </si>
  <si>
    <t>06-02-2026 08:52:18</t>
  </si>
  <si>
    <t>901371316</t>
  </si>
  <si>
    <t>Onboard Logistics Colombia SAS</t>
  </si>
  <si>
    <t>84d3b01cb45f72b8aa772d760ffc748abf28947ed58f945fa57134d6e38ddbf97e7fe2314b87ddd2449e0734ed37fc22</t>
  </si>
  <si>
    <t>106278</t>
  </si>
  <si>
    <t>06-02-2026 08:52:24</t>
  </si>
  <si>
    <t>906e4475c65189b4c5c313da97372141168db110fe77f38e4df5ce1215080c18315dc24b3bd231850fd958292db8a970</t>
  </si>
  <si>
    <t>106279</t>
  </si>
  <si>
    <t>06-02-2026 08:52:32</t>
  </si>
  <si>
    <t>900469230</t>
  </si>
  <si>
    <t>Bigfoot Colombia SAS</t>
  </si>
  <si>
    <t>2fad257c6e41b7d8992ffb8c76c0fe7ae62768bd0f821a1b58ba247e98560a6edfbfef3b32485459b6eea0705cf5c202</t>
  </si>
  <si>
    <t>106280</t>
  </si>
  <si>
    <t>06-02-2026 08:52:34</t>
  </si>
  <si>
    <t>860000656</t>
  </si>
  <si>
    <t>Hmv Ingenieros Ltda</t>
  </si>
  <si>
    <t>3cad9b27ec6aff5d6a8a659f18dd745aa1fcc3dc30ebc34f84f41626761c1e581591542c0aba553d898807f6a7d240ab</t>
  </si>
  <si>
    <t>106281</t>
  </si>
  <si>
    <t>06-02-2026 08:52:39</t>
  </si>
  <si>
    <t>1cd3787368888b6a22210ff457c26ee01515d48822aabcac46b5fcc7c9a394f6e2131b6d0c9aba7853e4aed5b964fc20</t>
  </si>
  <si>
    <t>106282</t>
  </si>
  <si>
    <t>06-02-2026 09:08:37</t>
  </si>
  <si>
    <t>21cfab6b69349ebfbccedf9340970fb59379ea532ad15cb89ffaad0324eacdafb33b04c06edfe360eec3ae41cd7175e0</t>
  </si>
  <si>
    <t>106283</t>
  </si>
  <si>
    <t>06-02-2026 09:08:31</t>
  </si>
  <si>
    <t>1d68aa180d57594293885458da2fcd878864c879c3d3e5b124ae2f9bf1d8e021e07df5b04ea2e315816c09870cde919a</t>
  </si>
  <si>
    <t>106284</t>
  </si>
  <si>
    <t>06-02-2026 09:08:33</t>
  </si>
  <si>
    <t>4ce4bcacba19f6f166c4fa2ca9d419a9f9ff0fc46642204e1163b8a9598711ca4a9bc985d8ba315bf7b0ed3ac5ab3f92</t>
  </si>
  <si>
    <t>106285</t>
  </si>
  <si>
    <t>06-02-2026 09:08:34</t>
  </si>
  <si>
    <t>901180401</t>
  </si>
  <si>
    <t>Solvo SAS</t>
  </si>
  <si>
    <t>f5686585715ea3e307cd79fb521ba4e818d888eb97560911cb090ba0fa75d13a0f46f2ce298f2edb0e65031c948708ea</t>
  </si>
  <si>
    <t>106286</t>
  </si>
  <si>
    <t>06-02-2026 09:08:38</t>
  </si>
  <si>
    <t>a7fb94562a06e917be7ba2051534de05f16c34411e6dbe5f08a89221fb47621108af8f7efa1fc519bd78368ac5389015</t>
  </si>
  <si>
    <t>106287</t>
  </si>
  <si>
    <t>06-02-2026 09:08:42</t>
  </si>
  <si>
    <t>9744892f0545230eb719a3717a8f10d00e8978347250967f3c4264e21c3ee109c53fbc83352db85d45bf393bbc165591</t>
  </si>
  <si>
    <t>106288</t>
  </si>
  <si>
    <t>06-02-2026 09:08:50</t>
  </si>
  <si>
    <t>675517f1c71971f43a47b977654ecb0a93201e7a25f0ab80f9c3fef1f15d19779d6be503fcf61c301d5755da69619d32</t>
  </si>
  <si>
    <t>106289</t>
  </si>
  <si>
    <t>06-02-2026 09:08:51</t>
  </si>
  <si>
    <t>0928c0a51718b4464a0910bb03c291886a52ea7bb0d299b2f9afbafe276afe17f5cddfd8eb05364319af5415085f058b</t>
  </si>
  <si>
    <t>106290</t>
  </si>
  <si>
    <t>06-02-2026 09:23:26</t>
  </si>
  <si>
    <t>15dcd6507d984031c7cee970ea761053182df28b4660b75be4fb51aa4ecdcf6630a8efb9fa5b0c19432cd4442b774d3d</t>
  </si>
  <si>
    <t>106291</t>
  </si>
  <si>
    <t>06-02-2026 09:23:29</t>
  </si>
  <si>
    <t>4ae880f59b9e31f14f865dbd53b9e693f1063f339c0a44ecd72cadb87d2d1eebd95476e26803add8b136045698e0f5a2</t>
  </si>
  <si>
    <t>106292</t>
  </si>
  <si>
    <t>06-02-2026 09:23:34</t>
  </si>
  <si>
    <t>NC 5902</t>
  </si>
  <si>
    <t>ebc7a8003f94c352cfb4d7320ed64f73c790b105c6a99ff1396325ccdadd090ca3baef987f68d01e2c30d674c8cd902c</t>
  </si>
  <si>
    <t>106293</t>
  </si>
  <si>
    <t>06-02-2026 09:38:40</t>
  </si>
  <si>
    <t>199452dfb999f57f9a56e87d62ba0bb610b90fe41b40757f3ca7e00f74025885dd9258278c01b0a367bf206afd87019e</t>
  </si>
  <si>
    <t>106294</t>
  </si>
  <si>
    <t>06-02-2026 09:38:45</t>
  </si>
  <si>
    <t>901041691</t>
  </si>
  <si>
    <t>Centros Medicos Colsanitas S A S</t>
  </si>
  <si>
    <t>81dbd546b87703b4b92584be8fd7f8aff21118806023bb8ad6b331173c9a682a021d5079d1cf71daef6cb42b88e2473e</t>
  </si>
  <si>
    <t>106295</t>
  </si>
  <si>
    <t>06-02-2026 09:38:49</t>
  </si>
  <si>
    <t>5915ead7d6350abfe6a560ed7b84d219ec73b046b3fada18522e0553ed4d57b9ed6bbc35a83b790ce30ab94441840157</t>
  </si>
  <si>
    <t>106296</t>
  </si>
  <si>
    <t>06-02-2026 09:53:56</t>
  </si>
  <si>
    <t>a2f237890bb35a60bebbcea059ef4d51c753f5002325216b6a6845f759f5bab632c69a7e2d6de755199f110c83e90433</t>
  </si>
  <si>
    <t>106297</t>
  </si>
  <si>
    <t>06-02-2026 10:09:06</t>
  </si>
  <si>
    <t>3eed7c09bbb5e33a607cb8f2b3f0914dad71938fb7db5b3079de9cf5363754bb96c23864528aa53d96628171cff13d5d</t>
  </si>
  <si>
    <t>106298</t>
  </si>
  <si>
    <t>06-02-2026 10:09:11</t>
  </si>
  <si>
    <t>900090006</t>
  </si>
  <si>
    <t>SAS Auditores &amp; Consultores SAS</t>
  </si>
  <si>
    <t>f297bf149ff574e3cfd77c48e5368da5313bebc3cf4cb42bac74b3d81ba1d6478289fe1854fa5bd56b5f7b3741ecb7f2</t>
  </si>
  <si>
    <t>106299</t>
  </si>
  <si>
    <t>06-02-2026 10:09:16</t>
  </si>
  <si>
    <t>cd4312775b0d908d14546167f0ba5e9b1dc0bd0663ca8dc48b6a786e3d7dc972a4f16fd53a943e5315f0ec0f04425831</t>
  </si>
  <si>
    <t>106300</t>
  </si>
  <si>
    <t>06-02-2026 10:09:22</t>
  </si>
  <si>
    <t>900297009</t>
  </si>
  <si>
    <t>Fresenius Medical Care Andina SAS</t>
  </si>
  <si>
    <t>87a069d13497dc81521afabfe365ab8211243775cb3fb24e132d6a6b38746cf5bcf8fc873d629c1b47494aa3af0cbe4c</t>
  </si>
  <si>
    <t>106301</t>
  </si>
  <si>
    <t>06-02-2026 10:24:26</t>
  </si>
  <si>
    <t>12d07ac7fe53b0f4915490a7a6cfba99b00c773993feed81e1a3862edb460811dc726073d6c218c48aa2fbacdabffd98</t>
  </si>
  <si>
    <t>106302</t>
  </si>
  <si>
    <t>06-02-2026 10:24:32</t>
  </si>
  <si>
    <t>d8d548e0c5cefcb8ed5985799c1530894c6538d2cf94895ad31681ce131d3d31ff613995fe51e94055dfccb74bde98f8</t>
  </si>
  <si>
    <t>106303</t>
  </si>
  <si>
    <t>06-02-2026 10:24:35</t>
  </si>
  <si>
    <t>f9cf2bf8c6e22746fdace730cd551d32b894deacb13a63a1cc83a1648d4a72a15131cc956fea6f3ee68cd4e6cd0a8306</t>
  </si>
  <si>
    <t>106304</t>
  </si>
  <si>
    <t>06-02-2026 10:24:40</t>
  </si>
  <si>
    <t>c981d0a083efc22279f3120da425025c10b26d8edb8b5746a94553eb318e72f8c8b33f6ca4f04032c6523f3d7124fde4</t>
  </si>
  <si>
    <t>106305</t>
  </si>
  <si>
    <t>06-02-2026 10:25:31</t>
  </si>
  <si>
    <t>901133874</t>
  </si>
  <si>
    <t>U Fit SAS</t>
  </si>
  <si>
    <t>352300861b55c72a9f8d12e6716de791af594992e078489271d0b8f41e2c3167a2416c0b458ef438cb5378b9d584745d</t>
  </si>
  <si>
    <t>106306</t>
  </si>
  <si>
    <t>901811099</t>
  </si>
  <si>
    <t>Consultec Offshore Zona Franca SAS</t>
  </si>
  <si>
    <t>1998fffe9a606c91d452ed972337ac8e2516bfab2302436a900813f8a872cc70da2ac0e077d823ed3f8e739702841878</t>
  </si>
  <si>
    <t>106307</t>
  </si>
  <si>
    <t>06-02-2026 10:46:08</t>
  </si>
  <si>
    <t>900324784</t>
  </si>
  <si>
    <t xml:space="preserve">Consultec International Sucursal Colombia </t>
  </si>
  <si>
    <t>3225d54a63c09ba614483ed7e1aac15baa3b94c11233f8d0dfbe2ef2cb08738a5c6e0c4d248e7d1d157429bc41963231</t>
  </si>
  <si>
    <t>106308</t>
  </si>
  <si>
    <t>06-02-2026 10:46:10</t>
  </si>
  <si>
    <t>830076044</t>
  </si>
  <si>
    <t xml:space="preserve">Pidamos Marketing Total S A S </t>
  </si>
  <si>
    <t>90bdeebcee75ce653cb21a7f7d14573c91a9b99af7af944c627125f3c6c189598d4beffac38eb64ce2e65296457ad898</t>
  </si>
  <si>
    <t>106309</t>
  </si>
  <si>
    <t>06-02-2026 17:46:33</t>
  </si>
  <si>
    <t>800228200</t>
  </si>
  <si>
    <t>Inti Red SAS</t>
  </si>
  <si>
    <t>fe9a93f57c367bc095b51e1e7c0029f3bb7507bd92560b8376d9b7b416e78c6e1106a92b962f7faa5bafed9390e48915</t>
  </si>
  <si>
    <t>106310</t>
  </si>
  <si>
    <t>06-02-2026 10:46:15</t>
  </si>
  <si>
    <t>1016036846</t>
  </si>
  <si>
    <t>Maria Alejandra Zambrano Suarez</t>
  </si>
  <si>
    <t>802b7737ca0c272107402a26e9c948b52afc4dd6ad7e1082f18671c9fc379d49438d9bf3e46c151587114506a5833908</t>
  </si>
  <si>
    <t>106311</t>
  </si>
  <si>
    <t>1012389982</t>
  </si>
  <si>
    <t>Karent Yescenia Carrillo Marin</t>
  </si>
  <si>
    <t>PAGA 2/03/2027</t>
  </si>
  <si>
    <t>1264767a5865316a36a18e5c7e9fc1723f9077d51e31f940f53009e745129f47a3efcac38a6ce9354db2be457a2ece5d</t>
  </si>
  <si>
    <t>106312</t>
  </si>
  <si>
    <t>06-02-2026 10:46:17</t>
  </si>
  <si>
    <t>52386706</t>
  </si>
  <si>
    <t>Doris Jeannet Urrego Amortegui</t>
  </si>
  <si>
    <t>PAGA 2/03/2028</t>
  </si>
  <si>
    <t>8bd9b95a538d003e978f76933680320ccb69fec912ebb9e696dba7a7ccb69d64208f9df7b35c91e97b134c66566c2e07</t>
  </si>
  <si>
    <t>106313</t>
  </si>
  <si>
    <t>06-02-2026 10:46:18</t>
  </si>
  <si>
    <t>1063561549</t>
  </si>
  <si>
    <t>Benjamin  Herrera</t>
  </si>
  <si>
    <t>PAGA 2/03/2029</t>
  </si>
  <si>
    <t>cb71bf1766b6d7154e218185385f5cc2fc2e25f6bab34f28de40d323a54b0e0ee2c8e3e9d0250b6295956f00deb926fe</t>
  </si>
  <si>
    <t>106314</t>
  </si>
  <si>
    <t>06-02-2026 10:56:07</t>
  </si>
  <si>
    <t>830061776</t>
  </si>
  <si>
    <t>Vehitotal SAS</t>
  </si>
  <si>
    <t>8bbd3a01cf8be495de55a0b6760cf95ac6dfe1cdf65bba51676b684d746a25b4e9b2b7727276512be3ef5d8e11fad7ff</t>
  </si>
  <si>
    <t>106315</t>
  </si>
  <si>
    <t>06-02-2026 10:56:09</t>
  </si>
  <si>
    <t>830000324</t>
  </si>
  <si>
    <t>Teleset SAS</t>
  </si>
  <si>
    <t>02160c483fdf5131f5f7fdee501c5bdc30522414041addd4ec80f9c52f04e8410b44ab0ff90f9c6c451180b3740d3b1b</t>
  </si>
  <si>
    <t>106316</t>
  </si>
  <si>
    <t>06-02-2026 10:56:11</t>
  </si>
  <si>
    <t>4c5d655dd070124cbaa542bc06da7a4916c5be5d58a412199c6406fa886ff9e3835a607f0ae76a544826301704699506</t>
  </si>
  <si>
    <t>106317</t>
  </si>
  <si>
    <t>06-02-2026 10:56:13</t>
  </si>
  <si>
    <t>dbfd6ad04e0ce725317be32d2fc71b41cc89006952b5c4054e521c5658b80341540e82b752768985ed0f6d35419fe09f</t>
  </si>
  <si>
    <t>106318</t>
  </si>
  <si>
    <t>06-02-2026 11:10:47</t>
  </si>
  <si>
    <t>89afbd0f0dec0ee3654e47680831059e0d6f27bbfc13fd9757d671b18f7b036ce93f55b0a532baf85c4facf6afd59301</t>
  </si>
  <si>
    <t>106319</t>
  </si>
  <si>
    <t>06-02-2026 11:10:52</t>
  </si>
  <si>
    <t>c2b62426fe9aece4cc445b155d425f18c65830c58d31b2011b0aa496898f8fc9e864bcb21b4ac01bad6387a9eab3708f</t>
  </si>
  <si>
    <t>106320</t>
  </si>
  <si>
    <t>06-02-2026 11:10:58</t>
  </si>
  <si>
    <t>a6867e0f3a1d870a1d1db81ea2e804d4328ea6c5035c4a9ddc19b80718c782d940c9f09960b87acd22839aecc4048276</t>
  </si>
  <si>
    <t>106321</t>
  </si>
  <si>
    <t>06-02-2026 11:11:04</t>
  </si>
  <si>
    <t>4ca4b7c7b4edab18c18932df3be88d3b0b01348c04bb96bfad0c3c711d40b2da040644cb39f190d8192cd24c02b377da</t>
  </si>
  <si>
    <t>106322</t>
  </si>
  <si>
    <t>06-02-2026 11:56:27</t>
  </si>
  <si>
    <t>8b51cf837691f4006275100f530ef4a41fccb0557197d4b934679e9a942606e0eb659c7251404847620b9ab957e507a9</t>
  </si>
  <si>
    <t>106323</t>
  </si>
  <si>
    <t>06-02-2026 11:56:31</t>
  </si>
  <si>
    <t>1ff796f3b77b096c432539bc03228ee3c1797e8b350ecafb5c5fbc4f92217160bcc5870164cd3287414c179931fa0ee6</t>
  </si>
  <si>
    <t>106324</t>
  </si>
  <si>
    <t>06-02-2026 11:56:35</t>
  </si>
  <si>
    <t>860020342</t>
  </si>
  <si>
    <t xml:space="preserve">Comunidad Franciscana Provincia De La Santa Fe </t>
  </si>
  <si>
    <t>ddbedc123825574a4bf683dd15ce37cfe78b53cb6551645b2c811f3a944a6ec82cacbe1b7fbd626e0795738e466c189d</t>
  </si>
  <si>
    <t>106325</t>
  </si>
  <si>
    <t>06-02-2026 12:11:28</t>
  </si>
  <si>
    <t>8612285334f860551ae425c22e6efbaaf18a219f85629cbf2991adc4c6ed22a6f434eee2cfce3cfbde0ffea3b082f465</t>
  </si>
  <si>
    <t>106326</t>
  </si>
  <si>
    <t>06-02-2026 12:11:34</t>
  </si>
  <si>
    <t>815004859</t>
  </si>
  <si>
    <t>Multipagas SAS</t>
  </si>
  <si>
    <t>0e29609276e0526704d99c6c31b45ff665ba0061deafa195bb4c8ecdc065f910fe433476a5bc61575689d3cbcbc74628</t>
  </si>
  <si>
    <t>106327</t>
  </si>
  <si>
    <t>06-02-2026 12:11:39</t>
  </si>
  <si>
    <t>900081694</t>
  </si>
  <si>
    <t>Cameleco SAS</t>
  </si>
  <si>
    <t>a287e5cf0b3a6d37778cc0f55cd3a89206ed1ba880a3ee3f9275771368d838a1d839a10b40d18ab217d9f0163f5bb184</t>
  </si>
  <si>
    <t>106328</t>
  </si>
  <si>
    <t>06-02-2026 12:11:42</t>
  </si>
  <si>
    <t>f4078c4ed1fc83f6bb8804c71caf6f228bd2d45a31738aca9ba0a83e8ca08f2488b4fc4a76a73432da76aa3acda98e98</t>
  </si>
  <si>
    <t>106329</t>
  </si>
  <si>
    <t>06-02-2026 12:26:48</t>
  </si>
  <si>
    <t>800143577</t>
  </si>
  <si>
    <t>Productos Doña Dicha SAS</t>
  </si>
  <si>
    <t>dd0e828b3c66c6a798cb6dc8a104a76d86149e52e3172519bcaaba3d1caf80efd78ed202dff1c63d911e0f600db8c437</t>
  </si>
  <si>
    <t>106330</t>
  </si>
  <si>
    <t>06-02-2026 12:26:54</t>
  </si>
  <si>
    <t>fe5ec7f5448cdf71db13f02a6025c44c165463b670a7d415fc277261800be7cce1a8febabf60b19e89b009a99c9314c5</t>
  </si>
  <si>
    <t>106331</t>
  </si>
  <si>
    <t>06-02-2026 12:26:58</t>
  </si>
  <si>
    <t>113f844da9e765f09d265c538ba4f97a5b101e95feeab9c0b09643c822212ecc6aebc3d42c7f4d00c8fdf86ef261c9f2</t>
  </si>
  <si>
    <t>106332</t>
  </si>
  <si>
    <t>06-02-2026 12:27:02</t>
  </si>
  <si>
    <t>800149149</t>
  </si>
  <si>
    <t>Alimentos Balanceados Tequendama SA Albateq SA</t>
  </si>
  <si>
    <t>19b63d213ed80fc4d18e9720a6824a55534f355424f992c9f1f4b5d8227f94bc700933a8887a1537ca572a14364ec74b</t>
  </si>
  <si>
    <t>106333</t>
  </si>
  <si>
    <t>06-02-2026 12:27:07</t>
  </si>
  <si>
    <t>5450b4754638fa391171c5b6ab6e564592fb891569aa17d165a630f8368cc9b1785f00659f2b56a9953c8f93677d59b6</t>
  </si>
  <si>
    <t>106334</t>
  </si>
  <si>
    <t>06-02-2026 12:42:14</t>
  </si>
  <si>
    <t>42d32c73a0572407b7f9ae9ac415d9c32bd923e8e50a6daa2efbec63099a9e1f2a384e135072bb79713849341ef5cbe7</t>
  </si>
  <si>
    <t>106335</t>
  </si>
  <si>
    <t>06-02-2026 12:42:19</t>
  </si>
  <si>
    <t>fcbdbbf8943a416a0a147a7bd02957eb44f79267289eb9de5f907f5c6071cf9e985eeaf389e4f9897df1e3c4a6e1298f</t>
  </si>
  <si>
    <t>106336</t>
  </si>
  <si>
    <t>06-02-2026 13:12:25</t>
  </si>
  <si>
    <t>800149453</t>
  </si>
  <si>
    <t>CPO SA</t>
  </si>
  <si>
    <t>9edb4a7632d80e8683d81e496c9faa15cfd5bf785ba58b20d86d78adfb122f9876a578335c2cd66b0088237edf317fff</t>
  </si>
  <si>
    <t>106337</t>
  </si>
  <si>
    <t>06-02-2026 13:12:30</t>
  </si>
  <si>
    <t>900418860</t>
  </si>
  <si>
    <t>Marketing Oil Company SAS</t>
  </si>
  <si>
    <t>ab675ee109a58f6c327b021e346bfa1d394047292e48a520fa186546ae0cf99ff484741b844eec91a36e9aa88a2ce287</t>
  </si>
  <si>
    <t>106338</t>
  </si>
  <si>
    <t>06-02-2026 13:12:36</t>
  </si>
  <si>
    <t>b31479bac8b83b2e6e9f0880fc3135d69fce27461282da70eae5dd5196070c976a52e21cd2a7af4dc9a65dd163c7aa96</t>
  </si>
  <si>
    <t>106339</t>
  </si>
  <si>
    <t>06-02-2026 13:12:40</t>
  </si>
  <si>
    <t>79805167</t>
  </si>
  <si>
    <t>Ramon Elias Betancourt Rojas</t>
  </si>
  <si>
    <t>b7bd60630e80e3b0549d9ca79f73fe07b5b77ef9800828d14f051cde85bd81f00616c787e0838667ac696bdd606ff675</t>
  </si>
  <si>
    <t>106340</t>
  </si>
  <si>
    <t>06-02-2026 13:12:45</t>
  </si>
  <si>
    <t>1074416780</t>
  </si>
  <si>
    <t>Ana Milena Gonzalez Bonilla</t>
  </si>
  <si>
    <t>566e53837fce00c5c7ad01ac3656db80f89452ec0e5b24ab75321e6edc78a630609e8a464a03bfcd486bc2c0e4a7a4a7</t>
  </si>
  <si>
    <t>106341</t>
  </si>
  <si>
    <t>06-02-2026 14:27:57</t>
  </si>
  <si>
    <t>830112250</t>
  </si>
  <si>
    <t>Rio Technology S.A.S</t>
  </si>
  <si>
    <t>77ac3475ab400bd2c39528f24a967889eed1e5134b51c03526ec34827e14ae1a33292f0d32983ffb278f2b21fc136ad6</t>
  </si>
  <si>
    <t>106342</t>
  </si>
  <si>
    <t>06-02-2026 14:58:04</t>
  </si>
  <si>
    <t>901469580</t>
  </si>
  <si>
    <t>Compañia De Seguros Colsanitas SA</t>
  </si>
  <si>
    <t>7280f661a2816f613f7f20b7c5de83e1a0806c972e18c06f89f116644ee206e945ab56b35fa46a89119000541afaf014</t>
  </si>
  <si>
    <t>106343</t>
  </si>
  <si>
    <t>06-02-2026 14:58:10</t>
  </si>
  <si>
    <t>1e74ef19919ea0fcb49959e1e8be9cccf0ba4ecb344e50bf1ba34feb8cfeacddc93971f9fbb3f4edc33169afe4c8197d</t>
  </si>
  <si>
    <t>106344</t>
  </si>
  <si>
    <t>06-02-2026 14:58:14</t>
  </si>
  <si>
    <t>a08642b4cc4f00979a3d0e5486a54a18e99211995c5d05cba1858ede57d35713ecb1cd29529b34c691dc9cfc9792ddec</t>
  </si>
  <si>
    <t>106345</t>
  </si>
  <si>
    <t>06-02-2026 14:58:19</t>
  </si>
  <si>
    <t>2f86eb951a4d5f50a0a5f38bab72f90d71e6adf43582e481e7ffd006aeb5976acb69939b9773a2b0dc6a2f1af23af81c</t>
  </si>
  <si>
    <t>106346</t>
  </si>
  <si>
    <t>06-02-2026 14:58:24</t>
  </si>
  <si>
    <t>1d70db9900ef3118e29071bab551a64c1f2079c9b4630127676724aff9cf6c868b00844c497a99cdf7c96f7611cb08fe</t>
  </si>
  <si>
    <t>106347</t>
  </si>
  <si>
    <t>06-02-2026 14:58:29</t>
  </si>
  <si>
    <t>d332e46d8a16e3bd4200ce92c53bd1149cc511dac3a5289c855ffab1b19c40720571c70059c1600b52af376175405647</t>
  </si>
  <si>
    <t>106348</t>
  </si>
  <si>
    <t>06-02-2026 14:58:40</t>
  </si>
  <si>
    <t>800125872</t>
  </si>
  <si>
    <t xml:space="preserve">Keralty SAS </t>
  </si>
  <si>
    <t>ff7e40f8bf5abab80ea744a0aea58f81236753d6b0c1bfd8cc27f9380905a63e24d10b997b998d866b12602fb092709a</t>
  </si>
  <si>
    <t>106349</t>
  </si>
  <si>
    <t>06-02-2026 14:58:42</t>
  </si>
  <si>
    <t>fa6b93f5bee54b6c396240f1d9f05ba02c8a164bff6c608259776c96b173d418a2b0033a2b3df7eb21628c2d52085469</t>
  </si>
  <si>
    <t>106350</t>
  </si>
  <si>
    <t>06-02-2026 14:58:45</t>
  </si>
  <si>
    <t>0417c5ccddcfaeaf3b44510fc6010469efa52816a2d16b937c2f96dcc4fc8a50dbcd3e094e344e59f5ac1919909224ad</t>
  </si>
  <si>
    <t>106351</t>
  </si>
  <si>
    <t>06-02-2026 14:58:49</t>
  </si>
  <si>
    <t>4965800abb3f7978096553354de9992e1043f19d3cb1f11f95498fb1da3dae69e4fd4b30aff675e7a4e7936e2fd254f2</t>
  </si>
  <si>
    <t>106352</t>
  </si>
  <si>
    <t>06-02-2026 14:58:53</t>
  </si>
  <si>
    <t>294acb84769fd2130e5fc716e04616056fe42388c327011e21eccd716e754c0c33b83275304592d5abfa740f80f4df74</t>
  </si>
  <si>
    <t>106353</t>
  </si>
  <si>
    <t>06-02-2026 14:58:58</t>
  </si>
  <si>
    <t>47223439f4afdda7bd43a22fa0c3715c0d9e52b1b9affdacb8555ee528996a3aab6daa5e7bd02ba4625f1710c30b1d35</t>
  </si>
  <si>
    <t>106354</t>
  </si>
  <si>
    <t>06-02-2026 14:59:02</t>
  </si>
  <si>
    <t>5b7196920638a1b64d62efc5d555588bf3f52bfc415594025ff4cb1248759ec45fd6515e95513a36c1f4f781a2478153</t>
  </si>
  <si>
    <t>106355</t>
  </si>
  <si>
    <t>06-02-2026 14:59:07</t>
  </si>
  <si>
    <t>3f0f5e312d859d8dd19d80f5aa73ba1d9e332b1771d027e1fffcb9e7063f624d95da3e6e400916dc126aa3927afdc20b</t>
  </si>
  <si>
    <t>106356</t>
  </si>
  <si>
    <t>06-02-2026 15:14:13</t>
  </si>
  <si>
    <t>679f3dc60dc52e78fb93f46a611c195b25abbc547632a3cb4aedf3469647134b5b0b94b3c2fe2d16397cdeff8dbf373a</t>
  </si>
  <si>
    <t>106357</t>
  </si>
  <si>
    <t>06-02-2026 15:14:17</t>
  </si>
  <si>
    <t>902010784</t>
  </si>
  <si>
    <t>Consorcio Gd Joyco Damaso</t>
  </si>
  <si>
    <t>b8c17e7136ea59dbbf685f7504fe7696b573d8dd33c722d4f932234259c160eb90affee212b254bb948d75bc93316fdb</t>
  </si>
  <si>
    <t>106358</t>
  </si>
  <si>
    <t>06-02-2026 15:14:23</t>
  </si>
  <si>
    <t>0ade63b13e81594eed391ff55e7c137940f996521291da419e19b09edcd199891a172ebb8c872cae8e56528f19503e62</t>
  </si>
  <si>
    <t>106359</t>
  </si>
  <si>
    <t>06-02-2026 15:14:31</t>
  </si>
  <si>
    <t>900562460</t>
  </si>
  <si>
    <t>Logan Valuacion Sociedad Por Acciones Simplificada</t>
  </si>
  <si>
    <t>541b208509b1cc461d7ecf4aeefd828639707d960534545c037a154a3f29c8b5450d16c94a46de5dd1027197e2787510</t>
  </si>
  <si>
    <t>106360</t>
  </si>
  <si>
    <t>06-02-2026 15:14:35</t>
  </si>
  <si>
    <t>6271bcfe294c29a0197af2cdd8d2a1e173310fb294a377ee3f6acb000c33d577ac3695b7d1bbaa14bbedf3661f3a7bc6</t>
  </si>
  <si>
    <t>106361</t>
  </si>
  <si>
    <t>06-02-2026 15:14:40</t>
  </si>
  <si>
    <t>9b1738400b345cedb87df400cbccc080168dd93c39f9bdcce51d5bae86844a3346eb155d2763a05ee327e4c111fbaa37</t>
  </si>
  <si>
    <t>106362</t>
  </si>
  <si>
    <t>06-02-2026 15:14:45</t>
  </si>
  <si>
    <t>49dec19792359e920a97de51100d611884a2f6b07fc554b940ea0a9ae2a79d655d5aa70b50c9dc72867f07bd97bc1c0b</t>
  </si>
  <si>
    <t>106363</t>
  </si>
  <si>
    <t>06-02-2026 15:14:49</t>
  </si>
  <si>
    <t>1032409357</t>
  </si>
  <si>
    <t>Lina Mara Gaviria Gaviria</t>
  </si>
  <si>
    <t>6680fa27bbcf18c2f0fb9d4d6f574a339e25586750cc8aba5467e1906eb2de54953fba589df35b2e261bbafa16a8bb05</t>
  </si>
  <si>
    <t>106364</t>
  </si>
  <si>
    <t>06-02-2026 15:14:54</t>
  </si>
  <si>
    <t>900228543</t>
  </si>
  <si>
    <t>Biotechnis SAS</t>
  </si>
  <si>
    <t>e7382ecb8cfa6967171c993a352796c066dde8a402d3d4c223a8453ab56cf381181edb2652f2d6441cdbaecfea55afb1</t>
  </si>
  <si>
    <t>106365</t>
  </si>
  <si>
    <t>06-02-2026 15:30:06</t>
  </si>
  <si>
    <t>01b1bd6f52c2751a3ff916eb67f9b074b52653db759f1373b53cb7c2a330118a8e1535e5f632c9bb5209c5a747c6bf2b</t>
  </si>
  <si>
    <t>106366</t>
  </si>
  <si>
    <t>06-02-2026 15:30:11</t>
  </si>
  <si>
    <t>860504410</t>
  </si>
  <si>
    <t>Industria Comercial De Alimentos Nutrix SAS</t>
  </si>
  <si>
    <t>8e078107aba88be42b610c65234de4a6330ff4d1ac8b2c700a420f7fc2d915976525863e4c1e42fbc8bebbdc5289060e</t>
  </si>
  <si>
    <t>106367</t>
  </si>
  <si>
    <t>06-02-2026 15:30:17</t>
  </si>
  <si>
    <t>8b2a70552064d097fe6cc818a387956c925dc3a59f9459621fbf40a69eb1e95b729acd6ffeca54b1d513c9549dfee027</t>
  </si>
  <si>
    <t>106368</t>
  </si>
  <si>
    <t>06-02-2026 15:54:00</t>
  </si>
  <si>
    <t>336768f75d468107f73bd5452300853296d7d5efe76309e9208c3d7d4e4c1cb81dbddf45a674a888fbcbcb08453b6dbf</t>
  </si>
  <si>
    <t>106369</t>
  </si>
  <si>
    <t>06-02-2026 15:54:27</t>
  </si>
  <si>
    <t>900081559</t>
  </si>
  <si>
    <t>Reditos Empresariales SA</t>
  </si>
  <si>
    <t>e52dae784e4c4c672a8db1f15f8950cd0ded4e0d04e4af2fb9fbc47d4f69407279ba6e1ba90c22891a9c09c0450cb3a4</t>
  </si>
  <si>
    <t>106370</t>
  </si>
  <si>
    <t>06-02-2026 16:15:06</t>
  </si>
  <si>
    <t>2873d009f00dc61831f491e88309c66ccf1ef5f6b5f4d6f7f2ff45f1184f66b517dbd757f08901d3eba10108a50fe963</t>
  </si>
  <si>
    <t>106371</t>
  </si>
  <si>
    <t>06-02-2026 16:15:11</t>
  </si>
  <si>
    <t>9148524833358396424d87291136a3556d1b2ef3c0dfe310346a14c4d23590ca97c6ad8f0ed3f8d9fb9d91e646f864c4</t>
  </si>
  <si>
    <t>106372</t>
  </si>
  <si>
    <t>06-02-2026 16:15:12</t>
  </si>
  <si>
    <t>860003020</t>
  </si>
  <si>
    <t>Banco Bilbao Vizcaya Argentaria Colombia SA</t>
  </si>
  <si>
    <t>dd3921dba8f76df33015e2de714f403a32356b1e0708a3504b261c6542126b52cbb30aa4b77f24dfb0de0b9846559a4f</t>
  </si>
  <si>
    <t>106373</t>
  </si>
  <si>
    <t>06-02-2026 16:34:52</t>
  </si>
  <si>
    <t>42f4cd77ec59de26ef4abf5bc84014960f9ae67eefe3c8ade50db4e3f69b3a33e2e25c9ce5bd4de243696c7a4a848d3f</t>
  </si>
  <si>
    <t>106374</t>
  </si>
  <si>
    <t>06-02-2026 16:34:51</t>
  </si>
  <si>
    <t>d44313fb9dfba66571e73eb7b115f37c0b201ab25a54cc1d1e4c4eeff9f13f8a275b4b8cfd4d762add14de0eb3d51a44</t>
  </si>
  <si>
    <t>106375</t>
  </si>
  <si>
    <t>06-02-2026 16:35:27</t>
  </si>
  <si>
    <t>f70c563924d15df002200f83a5bf4bfefe1644b5946b045b5c46d89411b04f9b976cefff924bcc9ff598fd4f5230cc4d</t>
  </si>
  <si>
    <t>106376</t>
  </si>
  <si>
    <t>06-02-2026 16:35:02</t>
  </si>
  <si>
    <t>900143055</t>
  </si>
  <si>
    <t>Copyandes E U</t>
  </si>
  <si>
    <t>f0097a078e8fc3085d22befad4a416851b4085ec4b399c1f79b1eba40f4be701b7790110e895162681a175506de76803</t>
  </si>
  <si>
    <t>106377</t>
  </si>
  <si>
    <t>06-02-2026 16:35:06</t>
  </si>
  <si>
    <t>830135173</t>
  </si>
  <si>
    <t>Manufacturas Reymon SA</t>
  </si>
  <si>
    <t>13ebc5ab196d87bdc646d4efb91c8be29a8dfee40d6fa94ccaa7d631544d55da737dbb93acb3f13449371700bb114703</t>
  </si>
  <si>
    <t>106378</t>
  </si>
  <si>
    <t>09-02-2026</t>
  </si>
  <si>
    <t>09-02-2026 08:07:07</t>
  </si>
  <si>
    <t>1fea9c47dec83f84bec3936055025b3bb1ec58c15d271949203a3140ae6044faadc3fdbc97d1eb7c1a656ab91751e343</t>
  </si>
  <si>
    <t>106379</t>
  </si>
  <si>
    <t>09-02-2026 08:07:10</t>
  </si>
  <si>
    <t>800251760</t>
  </si>
  <si>
    <t>Biotoscana Farma SA</t>
  </si>
  <si>
    <t>54c960ae61684ba096e70ce6a8d08ed28129a9cc443f6740e58e678fc7b34019e390abbcd26e9ad5155e43b9b9feb853</t>
  </si>
  <si>
    <t>106380</t>
  </si>
  <si>
    <t>09-02-2026 08:22:16</t>
  </si>
  <si>
    <t>7f67102ba652bccca876617d8be5956f7e6a801ca2267fe60880b75cef540e88cc65816937d0c9571e2b5f6214436a29</t>
  </si>
  <si>
    <t>106381</t>
  </si>
  <si>
    <t>09-02-2026 08:22:21</t>
  </si>
  <si>
    <t>db86ab066111ab140a4072105248ab6594f0ec9e239905756670c9ced74ac072ca36d7cc69f0ac85151646c985c13862</t>
  </si>
  <si>
    <t>106382</t>
  </si>
  <si>
    <t>09-02-2026 08:22:26</t>
  </si>
  <si>
    <t>901192317</t>
  </si>
  <si>
    <t>Syscom Colombia SAS</t>
  </si>
  <si>
    <t>bed699ced69bf25c4996a7393010f1bb7881fd80ecd4f40aec0ad2037a7b265114d3f5b28ed1e8bf4ba79e1fe60c598c</t>
  </si>
  <si>
    <t>106383</t>
  </si>
  <si>
    <t>09-02-2026 08:22:31</t>
  </si>
  <si>
    <t>6a982006198fdf98ca9d6152da670460444db8b1e02b62db01cba09d58efac6a54ea362703336e7d4a564334c151b85f</t>
  </si>
  <si>
    <t>106384</t>
  </si>
  <si>
    <t>09-02-2026 08:38:56</t>
  </si>
  <si>
    <t>51e28e3f675082bc50e11a4b95759fce357e627eac98d8e3342ce0b5774aec69271d027bebf218c7e54cbc0452e86bc3</t>
  </si>
  <si>
    <t>106385</t>
  </si>
  <si>
    <t>09-02-2026 09:22:48</t>
  </si>
  <si>
    <t>b7dbcf149f1c17e8c4dd7d3f911349f07bb8cb59063d28a4e64a5c7035e5bbe89399830addf8463b374b8b71f57af80b</t>
  </si>
  <si>
    <t>106386</t>
  </si>
  <si>
    <t>09-02-2026 09:22:52</t>
  </si>
  <si>
    <t>860021666</t>
  </si>
  <si>
    <t>Asociacion Colombiana De Criadores De Ganado Cebu</t>
  </si>
  <si>
    <t>ba7d23ec9e8c43be5c693efa83f4f7e3ba5140bed5f2ee16d3ed6e3d09460254bea75aef25f9983a04a2a55e97492bd3</t>
  </si>
  <si>
    <t>106387</t>
  </si>
  <si>
    <t>09-02-2026 09:22:55</t>
  </si>
  <si>
    <t>3de6076025fe8a4505a00b9e6cc5d23a12e7ec630f6dcd2ecc7d9d03336473a78822375fc8343be883b52800f1134d3a</t>
  </si>
  <si>
    <t>106388</t>
  </si>
  <si>
    <t>09-02-2026 09:23:03</t>
  </si>
  <si>
    <t>3a41131f99055c8b489d6d242c84f985f7c686adbeb664d182efa0a96022594e8f75700ed8b533940b44f86c8c6bd7c7</t>
  </si>
  <si>
    <t>106389</t>
  </si>
  <si>
    <t>09-02-2026 09:23:06</t>
  </si>
  <si>
    <t>eccc842efa4a92140ea78754525f644ed37d75c023e8a05240a72716926641595c3fe4cbe435d086afa8975933f12c64</t>
  </si>
  <si>
    <t>106390</t>
  </si>
  <si>
    <t>09-02-2026 09:23:09</t>
  </si>
  <si>
    <t>900326523</t>
  </si>
  <si>
    <t>Precisagro SAS</t>
  </si>
  <si>
    <t>9b9a06af748eac886c2db5552f3c76a4ceaa2e5ac6ef4cf2d94d31b7a6a9dc9baecae4db1e2a85906d7a36b67157b3cb</t>
  </si>
  <si>
    <t>106391</t>
  </si>
  <si>
    <t>09-02-2026 09:23:14</t>
  </si>
  <si>
    <t>860503565</t>
  </si>
  <si>
    <t>La Instrumentadora  SAS</t>
  </si>
  <si>
    <t>091b82a39463330b18bf8716f288f64abe2235b3059e490aa1cca238a389e939125f27d12dfef336a95a89ea28a6562f</t>
  </si>
  <si>
    <t>106392</t>
  </si>
  <si>
    <t>09-02-2026 09:38:30</t>
  </si>
  <si>
    <t>79886d0027187a1b29b76c6a492af8de4937f932d80456a9f676a90a5aae59a8d1e5fa0920fb0ebf93277dba0bcaa583</t>
  </si>
  <si>
    <t>106393</t>
  </si>
  <si>
    <t>09-02-2026 09:38:34</t>
  </si>
  <si>
    <t>900348766</t>
  </si>
  <si>
    <t>Edificio Centro De Negocios 77 - Propiedad Horizontal</t>
  </si>
  <si>
    <t>332cb3464205ad346251a7ca4be7145400d4cba3a81c3328bd3b1e854ae8277de85cf85a19d23d534282817a74c947fa</t>
  </si>
  <si>
    <t>106394</t>
  </si>
  <si>
    <t>09-02-2026 09:54:03</t>
  </si>
  <si>
    <t>901239345</t>
  </si>
  <si>
    <t>Alimentos Thearion Suqa SAS</t>
  </si>
  <si>
    <t>4217375cea7131d989a06c2736232a948ac8893ae2d67726482ac5c94c93924f9ae551b7fc3b2dabfbb7cfac9e5f1ec9</t>
  </si>
  <si>
    <t>106395</t>
  </si>
  <si>
    <t>09-02-2026 10:08:48</t>
  </si>
  <si>
    <t>900533680</t>
  </si>
  <si>
    <t>Fundacion Colombiana Para El Desarrollo Sigla Fucolde</t>
  </si>
  <si>
    <t>e21caecca4a2a777e76fc385190c8ea29e40ac97ecf91379130e1283ac1af86959eeb641f6cee51ffb9240e732deafdd</t>
  </si>
  <si>
    <t>106396</t>
  </si>
  <si>
    <t>09-02-2026 10:23:53</t>
  </si>
  <si>
    <t>67744b880cf3233d29c738207c11c60c601fc2ca700661018d5a83de7529d357278fd9bad0e93404ddf5e7f3736aef69</t>
  </si>
  <si>
    <t>106397</t>
  </si>
  <si>
    <t>09-02-2026 10:23:58</t>
  </si>
  <si>
    <t>860510627</t>
  </si>
  <si>
    <t>Corporacion Universitaria Unitec</t>
  </si>
  <si>
    <t>2a75b5e7171ebef7455b7d970918fdfd2a24c357c9c86515327062787c772e677b666e7c2e6ca894b0c5b276c449276b</t>
  </si>
  <si>
    <t>106398</t>
  </si>
  <si>
    <t>09-02-2026 10:24:03</t>
  </si>
  <si>
    <t>900833971</t>
  </si>
  <si>
    <t>Ricova SAS</t>
  </si>
  <si>
    <t>82654bc405fb82726c2c26d3b5d467cc76b9f87ada368af0facd0863e4a92a1a83ceb42743f3bc975b84192218912ac9</t>
  </si>
  <si>
    <t>106399</t>
  </si>
  <si>
    <t>09-02-2026 10:24:08</t>
  </si>
  <si>
    <t>901454191</t>
  </si>
  <si>
    <t>Urban Colombia SAS</t>
  </si>
  <si>
    <t>d6ec8e11b30b4a1be89da77bd0f120452c6401c38dce257a04d1f685bdcd62e4ffad5cadb0f9f9856fa7209cc38aeb5c</t>
  </si>
  <si>
    <t>106400</t>
  </si>
  <si>
    <t>09-02-2026 10:39:14</t>
  </si>
  <si>
    <t>901681272</t>
  </si>
  <si>
    <t>Hire Horatio Co S A S</t>
  </si>
  <si>
    <t>PAGA 11/02/2027</t>
  </si>
  <si>
    <t>d1094e04d4c53d91d60e18655d228b27f020af697e731c57344d0b3dfe55abf304a0df5dd6433f7d95ee801efa51e17f</t>
  </si>
  <si>
    <t>106401</t>
  </si>
  <si>
    <t>09-02-2026 10:54:44</t>
  </si>
  <si>
    <t>9ae17468467453481c0bce5378fe6b12a7badaffe46a0dcffdce8c46e4de8b0d330c0b00f4b8f64be08acb6a1c52c23f</t>
  </si>
  <si>
    <t>106402</t>
  </si>
  <si>
    <t>09-02-2026 10:54:50</t>
  </si>
  <si>
    <t>860059851</t>
  </si>
  <si>
    <t>ACI Proyectos SAS</t>
  </si>
  <si>
    <t>e735219c051e3f384c0e14951d12fff4b8fd8612f9f3be14ad020c87b43ff07f017a91ce49f558d4f984faca124b4288</t>
  </si>
  <si>
    <t>106403</t>
  </si>
  <si>
    <t>09-02-2026 10:55:04</t>
  </si>
  <si>
    <t>19ae5fb9a1f98ea2b77951271a40ff73ef8bc8f1c05ad2fce509e6670933f4fa50abd69dca0a9bbba6129707d0fe0593</t>
  </si>
  <si>
    <t>106404</t>
  </si>
  <si>
    <t>09-02-2026 11:13:29</t>
  </si>
  <si>
    <t>860512249</t>
  </si>
  <si>
    <t>Yanbal De Colombia SAS</t>
  </si>
  <si>
    <t>f1d4a7a3e66919c73b7481b2477f46b3467dab0b588690de132f4a7cd2aa81aff0a1f437a65642ccf4e178425bed24c8</t>
  </si>
  <si>
    <t>106405</t>
  </si>
  <si>
    <t>830021150</t>
  </si>
  <si>
    <t>Gamboa &amp; Chalela SAS</t>
  </si>
  <si>
    <t>f3ce8988029e281fbe76a97da906262deddb7323a3d617e9197ca0b952d915819958acbebebc76d0cdab6eac863e75a0</t>
  </si>
  <si>
    <t>106406</t>
  </si>
  <si>
    <t>09-02-2026 11:13:31</t>
  </si>
  <si>
    <t>900114676</t>
  </si>
  <si>
    <t>Minex Compañia Internacional Sociedad Por Acciones Simplificada C I</t>
  </si>
  <si>
    <t>f1cda261a48ed724a4cd3b3e181fbd5541ba528dbb8eda960f383a14b6347b19c9c0b51a5477f582b9a2ba449f2610a4</t>
  </si>
  <si>
    <t>106407</t>
  </si>
  <si>
    <t>ff6d666ee6ad5cb773c22f0c49d7e1aae11964e7c39314e8045b01c6ebae04ca5d393d5e7e74c7ce1bd9482fd30bea19</t>
  </si>
  <si>
    <t>106408</t>
  </si>
  <si>
    <t>09-02-2026 11:13:09</t>
  </si>
  <si>
    <t>860039333</t>
  </si>
  <si>
    <t>Procibernetica SA</t>
  </si>
  <si>
    <t>2377dea18f33a5fb12ab09441df1ec032d066b51d6d0146d22490af0fd8d0e067ec2097890ab74bcf76898e6d619c64b</t>
  </si>
  <si>
    <t>106409</t>
  </si>
  <si>
    <t>860055557</t>
  </si>
  <si>
    <t>Palmar Del Oriente SAS</t>
  </si>
  <si>
    <t>c1aed83e7adfde1bb25233e5a8063734bc479e50fa195581900649dcfcd74c9e2a35e8eb5969326cf4cebaa0a8533f1b</t>
  </si>
  <si>
    <t>106410</t>
  </si>
  <si>
    <t>09-02-2026 11:34:38</t>
  </si>
  <si>
    <t>bc1211e1426566eca0e5767bf97fd2566ebadb44f24c7fefc786e4b3bca29a9c70beb9b183a4497867d037a5e3cd358e</t>
  </si>
  <si>
    <t>106411</t>
  </si>
  <si>
    <t>09-02-2026 11:34:40</t>
  </si>
  <si>
    <t>4cb8fdd0abe605fde30d47bc1eb14bd3249fb1f461a7e2543618fa03c2241f450bfc9770e9303ec8693dbdfa11614e00</t>
  </si>
  <si>
    <t>106412</t>
  </si>
  <si>
    <t>c08c2c906e3f6fed36c2d49c7c01b615137d8b3aa8e74d88c8470e8003f638d3f450a3085927350f73a97f95b36d5a90</t>
  </si>
  <si>
    <t>106413</t>
  </si>
  <si>
    <t>09-02-2026 11:50:01</t>
  </si>
  <si>
    <t>1b580061f7c0fae0738b38f24825405514ca99b9039be23a4e10eb3f34546cb261aca0d9d4338db6213f043b9c80595e</t>
  </si>
  <si>
    <t>106414</t>
  </si>
  <si>
    <t>09-02-2026 11:50:06</t>
  </si>
  <si>
    <t>4127291cb507507e80af4501c01e5b21e8b66c2106cea67dfdd00e03c8e12259eedf81f1a686dce10a30d70436a96de2</t>
  </si>
  <si>
    <t>106415</t>
  </si>
  <si>
    <t>09-02-2026 11:50:33</t>
  </si>
  <si>
    <t>a317bc9ee8add75d13883f9feeb517f05bf08cb4966e420a1c9c86e6c939c615559b475ed94cd99a58dd9677e973115f</t>
  </si>
  <si>
    <t>106416</t>
  </si>
  <si>
    <t>09-02-2026 11:50:39</t>
  </si>
  <si>
    <t>93a88257c6a23905f7616ce8054b6d555cf2a81d5765aea94359d0f0974978d8288157c58ad102927f88fe2cf094197c</t>
  </si>
  <si>
    <t>106417</t>
  </si>
  <si>
    <t>09-02-2026 12:09:21</t>
  </si>
  <si>
    <t>800032071</t>
  </si>
  <si>
    <t>Embotelladora Capri Ltda</t>
  </si>
  <si>
    <t>6fd52c450fb51ba6a399254b1e1bedf3af35b3bc653f5aca7a1e405a358acb876cbfba678f1a6eb6c72dec16f419fc32</t>
  </si>
  <si>
    <t>106418</t>
  </si>
  <si>
    <t>09-02-2026 12:09:28</t>
  </si>
  <si>
    <t>9b3ae3f87009b54dd02ad28ee7566b24c5d7174b2f896451698cdf31267d4713b12a33a42c0375f070caf83624ea7036</t>
  </si>
  <si>
    <t>106419</t>
  </si>
  <si>
    <t>09-02-2026 12:09:35</t>
  </si>
  <si>
    <t>ecea0634b877e49e560eb966e1ce74d83e716c6469aa06dc4176c5285096c4fe70e08eed9380903ef415a0d85d1f7ea9</t>
  </si>
  <si>
    <t>106420</t>
  </si>
  <si>
    <t>09-02-2026 12:10:01</t>
  </si>
  <si>
    <t>3249214d0ac8d7ef8e4c4f955a1f16b53ae43d84305d0e449bd1f9365e2749c81e03445b117f9ee5628940d92de9981e</t>
  </si>
  <si>
    <t>106421</t>
  </si>
  <si>
    <t>09-02-2026 12:28:06</t>
  </si>
  <si>
    <t>800092198</t>
  </si>
  <si>
    <t>Universidad Mariana</t>
  </si>
  <si>
    <t>6217219f82a8fe3fc96ed3e8d90ab25cbb6da16b5c368728363cc0c27e68ef8775701784ce444c821fb3211e3ab00e8c</t>
  </si>
  <si>
    <t>106422</t>
  </si>
  <si>
    <t>09-02-2026 12:41:03</t>
  </si>
  <si>
    <t>900103457</t>
  </si>
  <si>
    <t>Tcs Uruguay SA Sucursal Colombia</t>
  </si>
  <si>
    <t>8bdfa0ddcbfa3ba2a5e55558e47759d447d982fe934df64eb184e07fdeb306da14fba0a8e4daf174dd5143bc1c730e4f</t>
  </si>
  <si>
    <t>106423</t>
  </si>
  <si>
    <t>09-02-2026 12:41:05</t>
  </si>
  <si>
    <t>0447746b3e8250792c2f2c51c67a074d2a1d2555a93515cb5aeacd694e0c1487ed1eeb34b56636edbe02d6ea425bf8b3</t>
  </si>
  <si>
    <t>106424</t>
  </si>
  <si>
    <t>09-02-2026 12:41:08</t>
  </si>
  <si>
    <t>901841535</t>
  </si>
  <si>
    <t>Gi-In Positiva 2024</t>
  </si>
  <si>
    <t>69fce39a205bbae953cb8392c90f50bcdd6b77402948dda5305d04759ff823d0583655f2a7cfc2e498ea8a627c935520</t>
  </si>
  <si>
    <t>106425</t>
  </si>
  <si>
    <t>09-02-2026 12:54:06</t>
  </si>
  <si>
    <t>a51dd410304de04ab166cd71210bfb4c227a6681079f702cf38cf87c18d29f9a2c4d52637d2b6e16fe040aab042a30f8</t>
  </si>
  <si>
    <t>106426</t>
  </si>
  <si>
    <t>09-02-2026 12:54:09</t>
  </si>
  <si>
    <t>39856af6dc871d43c1d2c69ea76e6888766b42f2d74626b3749b421c42705146f1464b14d7c4623cf9bb85c2d298f9b6</t>
  </si>
  <si>
    <t>106427</t>
  </si>
  <si>
    <t>09-02-2026 12:54:14</t>
  </si>
  <si>
    <t>900947292</t>
  </si>
  <si>
    <t>Script Soluciones Informaticas SAS</t>
  </si>
  <si>
    <t>0dbadbbfd63f11499eefd61bb80dc9224f4f738ae0bb22a82d8c9b68f73b8a0c4960789e938b0560883e6798699acfd5</t>
  </si>
  <si>
    <t>106428</t>
  </si>
  <si>
    <t>09-02-2026 12:54:13</t>
  </si>
  <si>
    <t>08316181813a0462b441e8d3522a05561ab9af88dd0745c877245828f4fd7182e6aeb80b51e0208fc2d41e30a2d07e6b</t>
  </si>
  <si>
    <t>106429</t>
  </si>
  <si>
    <t>09-02-2026 12:54:36</t>
  </si>
  <si>
    <t>830000687</t>
  </si>
  <si>
    <t>Sew Eurodrive Colombia Ltda</t>
  </si>
  <si>
    <t>0d48e71a9465b141476a18d3aafacc2d078806ad7df05e008cd5860cf8a3e455ae8d35f705e494e3c520abf47c5c337a</t>
  </si>
  <si>
    <t>106430</t>
  </si>
  <si>
    <t>09-02-2026 12:54:19</t>
  </si>
  <si>
    <t>800018165</t>
  </si>
  <si>
    <t>Jargu SA Corredores De Seguros</t>
  </si>
  <si>
    <t>8d5ddcaf619f938492eb32e0267ea544731d940bdc241a526adce877d1022dce671578a0b20a65c8f60a949dbb3f4c9e</t>
  </si>
  <si>
    <t>106431</t>
  </si>
  <si>
    <t>09-02-2026 13:04:41</t>
  </si>
  <si>
    <t>5220fd6723944aa6531df290c8efd70dd80462f1f07aac6ec9959e375e5e29fb0574cdc9fc92758fb266192a424f35e3</t>
  </si>
  <si>
    <t>106432</t>
  </si>
  <si>
    <t>ed1cfc0f5bd32d01392b844cf91e9495dc9360ffd12b3f58e8a4187298ab1325af4e680c52426ad39aadfb1430e6393b</t>
  </si>
  <si>
    <t>106433</t>
  </si>
  <si>
    <t>09-02-2026 13:04:44</t>
  </si>
  <si>
    <t>900777099</t>
  </si>
  <si>
    <t>Monterra Productora Y Comercializadora Agroindustrial Colombiana SAS</t>
  </si>
  <si>
    <t>ddca5daefa5dafb757c400dd519a34439686c2fb88473c2f08fe45334ef49d020041c25fe3496e51d0a6955db17fa245</t>
  </si>
  <si>
    <t>106434</t>
  </si>
  <si>
    <t>09-02-2026 13:04:47</t>
  </si>
  <si>
    <t>3f4649a8dc57f8348b25a4a8366407b2f603603e0d2c7e68e881ee69918e45a59d40c72cdf56f785f5a252273bbe1420</t>
  </si>
  <si>
    <t>106435</t>
  </si>
  <si>
    <t>09-02-2026 13:04:48</t>
  </si>
  <si>
    <t>874f874c2cdc9eb0c9d85d833ef3ac0c8337ebe1852dea6ff1fdbe060f418934d78ddb4bb7e0a3e780d7c18b334b8773</t>
  </si>
  <si>
    <t>106436</t>
  </si>
  <si>
    <t>09-02-2026 13:04:51</t>
  </si>
  <si>
    <t>830129823</t>
  </si>
  <si>
    <t>Eliseo Urrego E Hijos SAS</t>
  </si>
  <si>
    <t>f4bdf9780bcb20330816b84faf6d1611aa54ba2788f6b3cb44e72786e0aa034983b61738c421a2433dff0cf44cc7862f</t>
  </si>
  <si>
    <t>106437</t>
  </si>
  <si>
    <t>09-02-2026 13:05:17</t>
  </si>
  <si>
    <t>8b69b118856715a24498138278e3e04fc00f9e1e27d0c2560a1baa1418d563716e678cb06998bba0e5d3b5f443a7801f</t>
  </si>
  <si>
    <t>106438</t>
  </si>
  <si>
    <t>09-02-2026 14:24:18</t>
  </si>
  <si>
    <t>PAGA 11/06/2026</t>
  </si>
  <si>
    <t>658203c874b534ee1b218374e0f6bb999046354510d73efe65df2f591ff0ed55da6cb36722f6871542de154739d18818</t>
  </si>
  <si>
    <t>106439</t>
  </si>
  <si>
    <t>09-02-2026 14:24:20</t>
  </si>
  <si>
    <t>830033825</t>
  </si>
  <si>
    <t>Smart Training Society SAS</t>
  </si>
  <si>
    <t>f10bb2d550a54ae153d76245101e112035810e6fbe7dcfd66d2b5d55b212968fd7b4d64c4f0fdb7da2d9f950a2db7363</t>
  </si>
  <si>
    <t>106440</t>
  </si>
  <si>
    <t>09-02-2026 14:24:37</t>
  </si>
  <si>
    <t>661ebc29e8571db2bc6ebb747634da9b3334d91a95cb2c5df6a5a1523fe492ae8853df019c3987e3449cb760dd063730</t>
  </si>
  <si>
    <t>106441</t>
  </si>
  <si>
    <t>09-02-2026 14:44:50</t>
  </si>
  <si>
    <t>830012595</t>
  </si>
  <si>
    <t>Bawer Company SAS</t>
  </si>
  <si>
    <t>53c384cbae9bd42587e1191e8b782b8dca34980429eaae16fe1962118fee26410e12d845d6d18cd17f5c1187f8c36247</t>
  </si>
  <si>
    <t>106442</t>
  </si>
  <si>
    <t>09-02-2026 14:45:50</t>
  </si>
  <si>
    <t>830051928</t>
  </si>
  <si>
    <t>Don Maiz SAS</t>
  </si>
  <si>
    <t>681a368d3e7500f3370c8c9b0516e8b787c5d5a732ad3e26eb4890bcad35038a36540453cb0fff43c86dbcd59c53a46f</t>
  </si>
  <si>
    <t>106443</t>
  </si>
  <si>
    <t>09-02-2026 14:45:28</t>
  </si>
  <si>
    <t>901424652</t>
  </si>
  <si>
    <t>Consorcio Mahfer</t>
  </si>
  <si>
    <t>5e22eb055d9a620100cad0d91cc1c8b86ac0b4db0846c8336ace84746e353ff6db4db800d189a4a50880398a7c49e17e</t>
  </si>
  <si>
    <t>106444</t>
  </si>
  <si>
    <t>09-02-2026 15:03:42</t>
  </si>
  <si>
    <t>Vco SAS</t>
  </si>
  <si>
    <t>472d83e7751fb309dde7a2ff0b4d0d90f9075f9d292ffa5318d29e6e6138704b97d0520600253e835df2f6b1781ac18b</t>
  </si>
  <si>
    <t>106445</t>
  </si>
  <si>
    <t>09-02-2026 15:03:45</t>
  </si>
  <si>
    <t>eda9b5114e5aeeba93571ff612acc58fb366e28e5fca4a11081b6ef6feabf9c6d477bd3d5ffd6ec316128362ba60df78</t>
  </si>
  <si>
    <t>106446</t>
  </si>
  <si>
    <t>09-02-2026 15:03:50</t>
  </si>
  <si>
    <t>1192fb7ea1b4c20d52be91a2047464aa201ff3db7b091b512ece3919ca7e3b9bd07232851a18fd9926d5bf663360aca2</t>
  </si>
  <si>
    <t>106447</t>
  </si>
  <si>
    <t>09-02-2026 15:03:47</t>
  </si>
  <si>
    <t>e5808cd43ebaefcbfb642c365319c9b1fb7af72c1304db635531d62d965d518aa20f7258fc6ca32970cf5380258ea02b</t>
  </si>
  <si>
    <t>106448</t>
  </si>
  <si>
    <t>09-02-2026 15:24:21</t>
  </si>
  <si>
    <t>830000135</t>
  </si>
  <si>
    <t>Constructora Experta SAS</t>
  </si>
  <si>
    <t>6d2adb166daa02813393e61aea0e2b8ad51c79931272415b39631fac821cdea4bd0e96c2425973c1dda13ecd85906870</t>
  </si>
  <si>
    <t>106449</t>
  </si>
  <si>
    <t>09-02-2026 15:24:25</t>
  </si>
  <si>
    <t>830020109</t>
  </si>
  <si>
    <t>Varichem De Colombia G Environmental Proteccion Service SAS</t>
  </si>
  <si>
    <t>4286a3311d7b25f21e93637321bc20b1e4f25c9008610fb6494ef962e61d3cdc83fe73653468c1f2a4d1876afc0e3777</t>
  </si>
  <si>
    <t>106450</t>
  </si>
  <si>
    <t>09-02-2026 15:24:28</t>
  </si>
  <si>
    <t>901747641</t>
  </si>
  <si>
    <t>Colpatria Capital SAS</t>
  </si>
  <si>
    <t>2ae9f0ca641ec47fb0f07793456ce64cf020954214e4c331949bf2cf35da90e753acf78fc362701a5d87aa628c252350</t>
  </si>
  <si>
    <t>106451</t>
  </si>
  <si>
    <t>09-02-2026 15:24:35</t>
  </si>
  <si>
    <t>860090721</t>
  </si>
  <si>
    <t>Colviseg Colombiana De Vigilancia Y Seguridad Ltda</t>
  </si>
  <si>
    <t>bcec8e29f29ee576d17f00456420874cf0db9125f6863961d0a84ec548a1f2cc0f9a57934f7002718e9fc5e6c539c44c</t>
  </si>
  <si>
    <t>106452</t>
  </si>
  <si>
    <t>09-02-2026 15:25:45</t>
  </si>
  <si>
    <t>e733347a9c05967c7a34cbd71f1664d911c63d9bdede3868f0f083d96a0cad8674f4b20faeda6cf5de8b1f79ab49e071</t>
  </si>
  <si>
    <t>106453</t>
  </si>
  <si>
    <t>09-02-2026 15:24:37</t>
  </si>
  <si>
    <t>830515294</t>
  </si>
  <si>
    <t>Godoy Cordoba Abogados SAS</t>
  </si>
  <si>
    <t>57862b67873f66b989b2c87b2f094a0a6e1b3188b95d955f0e31ba18fd0401b59f01785c70478cefc97863d7e322c72d</t>
  </si>
  <si>
    <t>106454</t>
  </si>
  <si>
    <t>09-02-2026 15:24:42</t>
  </si>
  <si>
    <t>e2eebe05f9cebd445a98144b0aee05fbbbd69fbf58322bd76f0c9aabc5e7327c7afae1e3d638a662f1b63b3352602827</t>
  </si>
  <si>
    <t>106455</t>
  </si>
  <si>
    <t>09-02-2026 15:24:50</t>
  </si>
  <si>
    <t>901494846</t>
  </si>
  <si>
    <t>Overnia S A S</t>
  </si>
  <si>
    <t>a6613dbcc314052c3b430567bf8c4c4cb78701bd4a98f86e52ad89b08d788331eeb70dd6d2429abaa2bfaec62b96409f</t>
  </si>
  <si>
    <t>106456</t>
  </si>
  <si>
    <t>09-02-2026 15:25:27</t>
  </si>
  <si>
    <t>3501874b6ad74635c86b8a25d887da3ce7360eb337dff0ee45bbfd6da07f96dabf137e96e7327f2e5f565d68248d19fd</t>
  </si>
  <si>
    <t>106457</t>
  </si>
  <si>
    <t>09-02-2026 15:25:40</t>
  </si>
  <si>
    <t>900591676</t>
  </si>
  <si>
    <t>Avenida Colombia Management Company SAS</t>
  </si>
  <si>
    <t>40a3b8a5a679e0c245cd20fc8f0139693c60c9dbe48eaa95b9bc47298d995075d9b50feac2a25cb70d9a194b94359731</t>
  </si>
  <si>
    <t>106458</t>
  </si>
  <si>
    <t>09-02-2026 15:25:48</t>
  </si>
  <si>
    <t>4bf1f9789e37e7a2fdf6d742808847a13cca8e33fc542b1e6e7585c57cc4d7b96b1b41b24f61f4035e8397cd2d35fb6a</t>
  </si>
  <si>
    <t>106459</t>
  </si>
  <si>
    <t>09-02-2026 15:25:57</t>
  </si>
  <si>
    <t>ffa3fa64d931db95044a9d855250ca0a8073d1cbee04814b6f4ea841e1db03dd961ee4710710f00f53ee37de6e223b86</t>
  </si>
  <si>
    <t>106460</t>
  </si>
  <si>
    <t>09-02-2026 15:25:55</t>
  </si>
  <si>
    <t>901696299</t>
  </si>
  <si>
    <t>Gestor Capital Infra SAS</t>
  </si>
  <si>
    <t>1513a23491a20ea78a0503d6e1edac1b9870972a39f993c0b66f4602181b0a137731cb36853cba71d600c02517a82d2d</t>
  </si>
  <si>
    <t>106461</t>
  </si>
  <si>
    <t>09-02-2026 15:26:00</t>
  </si>
  <si>
    <t>813000008</t>
  </si>
  <si>
    <t>Atp Ingenieria SAS En Reorganizacion</t>
  </si>
  <si>
    <t>c0a121e000ecbbec882ea13d6f8e6f629b7537dd635d36bffaaf69bf827172b3602625e64a25bffc6ff2e9134703b5ae</t>
  </si>
  <si>
    <t>106462</t>
  </si>
  <si>
    <t>09-02-2026 15:26:13</t>
  </si>
  <si>
    <t>53a3198e310c56c74a587b50aa3407dbb061097d2981b280e6bd829e004c52501ba126e9b99fb504949cd65581b6be6b</t>
  </si>
  <si>
    <t>106463</t>
  </si>
  <si>
    <t>09-02-2026 15:40:17</t>
  </si>
  <si>
    <t>35631b64db25cab2fce97208ae8e1d4a49bf3555e3169a227881bd265e87028d7534b65d1ffef6e897b84311d69b8266</t>
  </si>
  <si>
    <t>106464</t>
  </si>
  <si>
    <t>09-02-2026 15:40:18</t>
  </si>
  <si>
    <t>830081407</t>
  </si>
  <si>
    <t>Ajecolombia SAS</t>
  </si>
  <si>
    <t>765130c29b4d5a79870ee5fe2d920506fbad3e144e39a336d534731f085cedd58494799a3f9540f629f007f1eabdfc9e</t>
  </si>
  <si>
    <t>106465</t>
  </si>
  <si>
    <t>09-02-2026 15:40:21</t>
  </si>
  <si>
    <t>901295344</t>
  </si>
  <si>
    <t>Industria Nacional De Agregados Reciclados SAS</t>
  </si>
  <si>
    <t>f819da445224826617968720cae84e8b23aa739947fd25d71a56746de33b5b950c0f1dee6f11cc187ad7f0f1234bb453</t>
  </si>
  <si>
    <t>106466</t>
  </si>
  <si>
    <t>343c095538b0d72239ff47eb8ba136a4a8bb6c27e0a8c9f0dc69f20c046ea91a3795a5913a9be66d82960bb14d3c88f7</t>
  </si>
  <si>
    <t>106467</t>
  </si>
  <si>
    <t>09-02-2026 15:41:20</t>
  </si>
  <si>
    <t>18177d134a3913d50a8e9ec85a33680defc4a3b682f9ba9fac709ef2d4b2cf5274df7e15a443ad482abfacdce09f74d3</t>
  </si>
  <si>
    <t>106468</t>
  </si>
  <si>
    <t>09-02-2026 15:40:25</t>
  </si>
  <si>
    <t>29ab255bf3f968b168a15fa95c2889aca0725612cdd832f7fee55b743fae7615e76cdb227bbedfcc5e1aa7a8e195c36b</t>
  </si>
  <si>
    <t>106469</t>
  </si>
  <si>
    <t>09-02-2026 15:57:16</t>
  </si>
  <si>
    <t>ba078a51d9f6bb5b757744985e473f846e19466d9a52bd317bd86ba8d9814e4e483e014e86bb9ec2a7f6ad373e3273a4</t>
  </si>
  <si>
    <t>106470</t>
  </si>
  <si>
    <t>09-02-2026 15:57:20</t>
  </si>
  <si>
    <t>1a8e50846b94eba66a6d1d049b1c80dafe95d6dde27d579fc7dcfef2d7ebd7432749f44d462756c231f5bd5ba3c55cc5</t>
  </si>
  <si>
    <t>106471</t>
  </si>
  <si>
    <t>09-02-2026 15:57:24</t>
  </si>
  <si>
    <t>860032909</t>
  </si>
  <si>
    <t>Credibanco SA</t>
  </si>
  <si>
    <t>15214067b7496fc1167d6889ec99d77f4c33907adf9490a49c563435ac03f3fe4131b49146420b1f2ac12b7c61600e7d</t>
  </si>
  <si>
    <t>106472</t>
  </si>
  <si>
    <t>09-02-2026 15:57:28</t>
  </si>
  <si>
    <t>e3661c997c8301f715fbf2415e606b588b7c4ffd34cc10bd4419b378343d3f200a406f05352b2b5156ecb02a49ed7598</t>
  </si>
  <si>
    <t>106473</t>
  </si>
  <si>
    <t>09-02-2026 16:13:18</t>
  </si>
  <si>
    <t>206dcc2531bcdc52547f254160b1ffc09bc7841d0e5d40e63596c0c76729dee3ec70981cb19a2d47d388c4f804c82a65</t>
  </si>
  <si>
    <t>106474</t>
  </si>
  <si>
    <t>09-02-2026 16:13:24</t>
  </si>
  <si>
    <t>675df527a11e64bdebdbcf056ec1341d8a1d359027f9355a8688810bab8a2b732f2ba5683c231ed9029b1ccb4889fe19</t>
  </si>
  <si>
    <t>106475</t>
  </si>
  <si>
    <t>09-02-2026 16:13:29</t>
  </si>
  <si>
    <t>8bc768b4f0e03588102e703fa703c26bf1e60af4f50d44716dab7e7db6ca47e7a35a24a6151fb957f62a1afebc86e42f</t>
  </si>
  <si>
    <t>106476</t>
  </si>
  <si>
    <t>09-02-2026 16:14:03</t>
  </si>
  <si>
    <t>900480172</t>
  </si>
  <si>
    <t>Operador Alia Sas</t>
  </si>
  <si>
    <t>24a1bbda095004b8ae678c361167640c6a37a571f6bfddabf9a06d6dfa18e80537d989ad56a5e6d3247456682ea80d1e</t>
  </si>
  <si>
    <t>106477</t>
  </si>
  <si>
    <t>09-02-2026 16:14:14</t>
  </si>
  <si>
    <t>800153832</t>
  </si>
  <si>
    <t>Evolution Fitness Corporation S.A.S</t>
  </si>
  <si>
    <t>5ffe4dd5ff1371cff9382836ba9d33d69bcd66240f94740f5f088d29eb7456433de2d9c4c745fa2c2594bb4bae5b8ffa</t>
  </si>
  <si>
    <t>106478</t>
  </si>
  <si>
    <t>09-02-2026 16:14:20</t>
  </si>
  <si>
    <t>62169637b6ba90813ebed23c2f22d57e34d83111c231076a5e95833219a7771e12f6a05a3b5a827cd6940cadd1a7b763</t>
  </si>
  <si>
    <t>106479</t>
  </si>
  <si>
    <t>09-02-2026 16:14:21</t>
  </si>
  <si>
    <t>c5c3ac1c91dd3ede747fc8d57a6624fff6bc0e8cf0f010932a7f754a2b1631cb4876887ec2c1eec1a2a03707b282bf58</t>
  </si>
  <si>
    <t>106480</t>
  </si>
  <si>
    <t>860534221</t>
  </si>
  <si>
    <t>Pan Pa Ya LTDA</t>
  </si>
  <si>
    <t>c16eca75d0a632ea9ee9813d5184bfe5025489898b2a1f80d4e0e17c1e8814766a170e0c7217d02d96bad2a50535d0b9</t>
  </si>
  <si>
    <t>106481</t>
  </si>
  <si>
    <t>09-02-2026 16:14:23</t>
  </si>
  <si>
    <t>860001697</t>
  </si>
  <si>
    <t>Gaseosas Lux SAS</t>
  </si>
  <si>
    <t>c071bc05dfdc3f43f4aa4a88d916ff45562647dcae3343d7609d1a9acfa6e369abc15bfb4af672fd203ef052e5c7cc16</t>
  </si>
  <si>
    <t>106482</t>
  </si>
  <si>
    <t>09-02-2026 16:14:27</t>
  </si>
  <si>
    <t>fc7c6052e1a2264c7f85d290f53f60a24b0ca972adf5cbb56ce75a792b76dcc5b9b6156f666d37584d80537812ab5a1d</t>
  </si>
  <si>
    <t>106483</t>
  </si>
  <si>
    <t>09-02-2026 16:14:29</t>
  </si>
  <si>
    <t>c91fbba3c41af93af4a249aaf1c73192c63507b54b22aa2d8d1f78a82779b41514f380f47323d06d33a19e898fc03d7f</t>
  </si>
  <si>
    <t>106484</t>
  </si>
  <si>
    <t>09-02-2026 16:14:32</t>
  </si>
  <si>
    <t>6be1eedbf2604c1579d7eb19731989d9d7d497f8d173c04b86493655f85041acf6d5a1c6ba04ab4e41c3783c582d722f</t>
  </si>
  <si>
    <t>106485</t>
  </si>
  <si>
    <t>09-02-2026 16:28:49</t>
  </si>
  <si>
    <t>900208029</t>
  </si>
  <si>
    <t>Logytech Mobile SAS</t>
  </si>
  <si>
    <t>6145842a3b076f03103b8c1d8944b426d2c92507370f35432d6daddb0733ded197019294bbb698b0a130b02d00249485</t>
  </si>
  <si>
    <t>106486</t>
  </si>
  <si>
    <t>09-02-2026 16:28:51</t>
  </si>
  <si>
    <t>56351c2780a7ac392f8a923977a2f6ca818b8d4dbea6bd8c15f3d80aa40747ce6505f49efa1093f61c7c78cc49c3df9f</t>
  </si>
  <si>
    <t>106487</t>
  </si>
  <si>
    <t>09-02-2026 16:28:54</t>
  </si>
  <si>
    <t>901116616</t>
  </si>
  <si>
    <t>Colombian Shared Services SAS</t>
  </si>
  <si>
    <t>1f1b5f5b52a6a51fd798d06abfac42d3f6c8d9cd9f125532e39c24629283783e5103f57ea1ef039eac8af00ede4d9508</t>
  </si>
  <si>
    <t>106488</t>
  </si>
  <si>
    <t>09-02-2026 16:40:48</t>
  </si>
  <si>
    <t>e2e1e8e75fc6ac225d9b28cfe7f5b4ddcbdd1f3569f9978b3084c7b549ede4bebf1f70571c3424ae47b07645368dbf16</t>
  </si>
  <si>
    <t>106489</t>
  </si>
  <si>
    <t>09-02-2026 16:48:30</t>
  </si>
  <si>
    <t>901630405</t>
  </si>
  <si>
    <t>Takai SAS</t>
  </si>
  <si>
    <t>b8c0051e565f7cfad71733be523aaf91d731b4dcacbfadaa607c5db7ffe19be6f2f1081b3f18a8703f9513e881fe7070</t>
  </si>
  <si>
    <t>106490</t>
  </si>
  <si>
    <t>10-02-2026</t>
  </si>
  <si>
    <t>10-02-2026 08:03:41</t>
  </si>
  <si>
    <t>9e354f51fef10e8a8a1d944f2f87f1814ef7648338abce45a0d8def9d746ffdabaccad68de9e898b6d400a99da99bfa9</t>
  </si>
  <si>
    <t>10-02-2026 08:33:52</t>
  </si>
  <si>
    <t>005f3ca9ba6c3e1e23d15ce389235bc0a3178bbcd1c9cdfb96a8ba4657828a88d7f7e5b26026b5c203db22fedd7b3907</t>
  </si>
  <si>
    <t>106492</t>
  </si>
  <si>
    <t>10-02-2026 09:03:57</t>
  </si>
  <si>
    <t>860501145</t>
  </si>
  <si>
    <t>Duquesa SAS BIC</t>
  </si>
  <si>
    <t>eb9e7068b6926a9a8e85a799d84ed4974edd05ed06af844e623caef2703212a88a4b0de68cc66082daba3cfe45767842</t>
  </si>
  <si>
    <t>106493</t>
  </si>
  <si>
    <t>10-02-2026 09:04:01</t>
  </si>
  <si>
    <t>7fb926bebfac3891413a9f0c6619cc05046dcce945356a692f986daaac635bfd7fc047b6f35b4b442bf255059bd7ee16</t>
  </si>
  <si>
    <t>106494</t>
  </si>
  <si>
    <t>10-02-2026 09:19:13</t>
  </si>
  <si>
    <t>860016322</t>
  </si>
  <si>
    <t>Cooperativa Multiactiva De Trabajadores Empleados Y Pensionados De Exxon</t>
  </si>
  <si>
    <t>b562fb3104c71964166b8a0b4960fe7417651bda9bd2bd4d35fd04f874a5480a1059015f383900b8fedcae638daa07c4</t>
  </si>
  <si>
    <t>106495</t>
  </si>
  <si>
    <t>10-02-2026 09:19:17</t>
  </si>
  <si>
    <t>900979184</t>
  </si>
  <si>
    <t>Atanza SAS</t>
  </si>
  <si>
    <t>640fff3bd40a65142c0ee5200da78398acdbc9aa9229f0a37d0ba89dd813eb94092b40ed7aaf9b7204c9d3928976acfb</t>
  </si>
  <si>
    <t>106496</t>
  </si>
  <si>
    <t>10-02-2026 09:19:24</t>
  </si>
  <si>
    <t>901443323</t>
  </si>
  <si>
    <t>Grupo Babel Colombia SAS</t>
  </si>
  <si>
    <t>02a5c42f1a7c4d91c9a546d3f4ba5e0e9376b02aec8ea50073b2c5f05b5b140be813fb383b12c0f39235c7511d0f152d</t>
  </si>
  <si>
    <t>106497</t>
  </si>
  <si>
    <t>10-02-2026 09:19:28</t>
  </si>
  <si>
    <t>fa7bec9e69b2aa3a1aa6e8c892df51209727fc67e785a620e920bbb25a1a41678640352e51b10b57fc81e5a431114892</t>
  </si>
  <si>
    <t>106498</t>
  </si>
  <si>
    <t>10-02-2026 09:19:33</t>
  </si>
  <si>
    <t>800201307</t>
  </si>
  <si>
    <t>Coala Arquitectura Y Construccion SAS</t>
  </si>
  <si>
    <t>b652fa1d2d9512f985c2453f91f1620c2a6d1dec10832eb7e1aaa1a0f53ac1762882bf40593976392fbe3565ddf9679b</t>
  </si>
  <si>
    <t>106499</t>
  </si>
  <si>
    <t>10-02-2026 09:19:38</t>
  </si>
  <si>
    <t>900555485</t>
  </si>
  <si>
    <t>Tecnologia Plastica Tecnosa SAS</t>
  </si>
  <si>
    <t>e253943c8fbd6c2fc55d51e8bdcb483d0f8051384bd334dbf95eb91f12b23f9e0f5bfc032c1231ba028212c4a3ed1a3c</t>
  </si>
  <si>
    <t>106500</t>
  </si>
  <si>
    <t>10-02-2026 09:19:43</t>
  </si>
  <si>
    <t>92a58224ed8a3fa2219bd62ca9493c63d00002ea1dc1bb84cc654d9b8f9202fe7e7e33ca517a6297855991cea4f4437d</t>
  </si>
  <si>
    <t>106501</t>
  </si>
  <si>
    <t>10-02-2026 09:19:48</t>
  </si>
  <si>
    <t>a3615bb45058548ff24e025f8f9032ca4e8144690dae6842f7ee20c6c463ae02e36c8df5b30c26d2431226a3b49a88e4</t>
  </si>
  <si>
    <t>106502</t>
  </si>
  <si>
    <t>10-02-2026 09:34:54</t>
  </si>
  <si>
    <t>017882d2dfce7bae6b1f374f33e3c6aa5ee833d31af597712aeee65ae8814e1445da19d76eac4980330647b0a0b9a320</t>
  </si>
  <si>
    <t>106503</t>
  </si>
  <si>
    <t>10-02-2026 09:34:59</t>
  </si>
  <si>
    <t>95dc9fda9fdebecd549f5afdb96adb2659824b6acd8bd1dcd669e6a6334511a3938282c09e33d51cb3ccf9af94f753de</t>
  </si>
  <si>
    <t>106504</t>
  </si>
  <si>
    <t>10-02-2026 10:05:11</t>
  </si>
  <si>
    <t>900686337</t>
  </si>
  <si>
    <t>TPL Colombia Tld Sucursal Colombia</t>
  </si>
  <si>
    <t>de189aa0509c20394edfd57ddb9d606f061ce1172b5213a9905908d11378424e6a6eb6305c0a9e7fcacf36cd04e1092c</t>
  </si>
  <si>
    <t>106505</t>
  </si>
  <si>
    <t>10-02-2026 10:05:16</t>
  </si>
  <si>
    <t>PAGP 20/02/2026</t>
  </si>
  <si>
    <t>358d73ffa7403b1090780ae50954b11f896447dcea11be26dce3cc4ea1ab4df74e83db0045f0cb4b9df73c3494b53dec</t>
  </si>
  <si>
    <t>106506</t>
  </si>
  <si>
    <t>10-02-2026 10:20:27</t>
  </si>
  <si>
    <t>PAGO 20/02/2026</t>
  </si>
  <si>
    <t>45eeaae2072f422bdae8bf475fb2cbc4afa9fc5e7974f139e57a0d210aa0e74d84ddfe07d97b715a2a8ae1a8a508f7d3</t>
  </si>
  <si>
    <t>106507</t>
  </si>
  <si>
    <t>10-02-2026 10:20:32</t>
  </si>
  <si>
    <t>b6d864b80da99e2dc162296049a57abc584de926506d9d46032105923177c8ee60b8cb3f8227c9caa466b9f1d61a7736</t>
  </si>
  <si>
    <t>106508</t>
  </si>
  <si>
    <t>10-02-2026 10:35:38</t>
  </si>
  <si>
    <t>800018359</t>
  </si>
  <si>
    <t>Bel Star SA</t>
  </si>
  <si>
    <t>243cc34b1a2e10d0693f80e0d9bb422aac3ec98f10fc2314adeaee7c69a82ac5d189d846cd6ff221df8435b99165bfc8</t>
  </si>
  <si>
    <t>106509</t>
  </si>
  <si>
    <t>10-02-2026 10:35:43</t>
  </si>
  <si>
    <t>9457eb11b31122b6603cb9b4f4de48d126b4db2b68edf9ffd0f5f05de89524bf2b0b91fbbce8805826ae661fc5d924bb</t>
  </si>
  <si>
    <t>106510</t>
  </si>
  <si>
    <t>10-02-2026 11:05:51</t>
  </si>
  <si>
    <t>805001632</t>
  </si>
  <si>
    <t>Agencia De Aduanas Valley Customs SAS Nivel 1</t>
  </si>
  <si>
    <t>956a3b9a1b9750d6a2c3786ac659475ec07fdb71331fdd6f1c87ad2806c412c933e3fd07692bfd73710cb35cf6d49a8d</t>
  </si>
  <si>
    <t>106511</t>
  </si>
  <si>
    <t>10-02-2026 11:05:56</t>
  </si>
  <si>
    <t>900822643</t>
  </si>
  <si>
    <t>Exlservice Colombia SAS</t>
  </si>
  <si>
    <t>514e4e5a9b89e3bf0ed3d99ed44e02ed00b7113f9398ce8f50f7e1c94eda80d84d63125af7cff918fcb9a967669d047f</t>
  </si>
  <si>
    <t>106512</t>
  </si>
  <si>
    <t>10-02-2026 11:06:02</t>
  </si>
  <si>
    <t>900483711</t>
  </si>
  <si>
    <t>Idom Consulting Engineering Architecture SAU</t>
  </si>
  <si>
    <t>aa44115b0650f1df5f3a71533b35bc2030d7aa2f05e694418cb003c1603eeb243dd377359d792e575db7317d5cad543a</t>
  </si>
  <si>
    <t>106513</t>
  </si>
  <si>
    <t>10-02-2026 11:21:06</t>
  </si>
  <si>
    <t>090f9306c9a3d807ebe9aeedfbed90c244db18909b6b38a36757616b9fe800357daa259ae8674bef0914c85da4c648c9</t>
  </si>
  <si>
    <t>106514</t>
  </si>
  <si>
    <t>10-02-2026 11:21:11</t>
  </si>
  <si>
    <t>adf5ce0e56cc2f89bd84371dce8f9744a2c7f5de4c4c20ffa8a3f290b8bcbc4a803d29cb0c0fa3077c71ab08f3ae1a24</t>
  </si>
  <si>
    <t>106515</t>
  </si>
  <si>
    <t>10-02-2026 11:21:15</t>
  </si>
  <si>
    <t>860529344</t>
  </si>
  <si>
    <t xml:space="preserve">Inter Servicios S A S </t>
  </si>
  <si>
    <t>6eb25a86ae62e44a35f091ccf3f2d98f6b40245c8caf4524d113dc2bb153f691e92998f93106228057cf7b240778379d</t>
  </si>
  <si>
    <t>106516</t>
  </si>
  <si>
    <t>10-02-2026 11:21:20</t>
  </si>
  <si>
    <t>830014567</t>
  </si>
  <si>
    <t>Interservice SA</t>
  </si>
  <si>
    <t>342fa23ccbf14a5e588691d396319b121b80c5f3dc02511a08e530c438c60d8531a7ce848e56d9a451f4882d578c1872</t>
  </si>
  <si>
    <t>106517</t>
  </si>
  <si>
    <t>10-02-2026 11:21:25</t>
  </si>
  <si>
    <t>800069554</t>
  </si>
  <si>
    <t>Intertek Colombia SA</t>
  </si>
  <si>
    <t>c084192055cb14e1a949ff49bc90ca19b88f7883a33d639f62595703119e483087bde8dc5f9b9183729e496dfc1da04f</t>
  </si>
  <si>
    <t>106518</t>
  </si>
  <si>
    <t>10-02-2026 11:21:29</t>
  </si>
  <si>
    <t>860007277</t>
  </si>
  <si>
    <t>Mexichem Resinas Colombia SAS</t>
  </si>
  <si>
    <t>51da7a87c7f44d4da04aa2546ef4c1587eb0640d9dfacab7af1b3d53392477c61509384146474b23c20547f664f860dc</t>
  </si>
  <si>
    <t>106519</t>
  </si>
  <si>
    <t>10-02-2026 11:21:34</t>
  </si>
  <si>
    <t>830101651</t>
  </si>
  <si>
    <t>Productos El Tomatico SAS</t>
  </si>
  <si>
    <t>8574781aece8e5464ecbe9251622c175b210a06672cb7b835f19ef3061eb931f8b2faac3b0a5ff3b9d3cc13a0ea7d414</t>
  </si>
  <si>
    <t>106520</t>
  </si>
  <si>
    <t>10-02-2026 11:37:02</t>
  </si>
  <si>
    <t>860040585</t>
  </si>
  <si>
    <t>Sunrise Cargo SAS</t>
  </si>
  <si>
    <t>07d392f145f9339132c10a82bf2c15dc17a651f240ab83c4544d8e51d2e1108163f178de09f9c6bdad663d7b6bda9e3e</t>
  </si>
  <si>
    <t>106521</t>
  </si>
  <si>
    <t>10-02-2026 11:37:03</t>
  </si>
  <si>
    <t>b7f8fb9f322ed8bb5a405bcb65c5bdb13d4942dfff8d5fa9a5aee96ff512cdc6eca2ca7d9a4d603adbc6b6f03cd3c7df</t>
  </si>
  <si>
    <t>106522</t>
  </si>
  <si>
    <t>10-02-2026 11:51:52</t>
  </si>
  <si>
    <t>830047444</t>
  </si>
  <si>
    <t>Servicios Especializados De Tecnologia E Informatica SETI SAS</t>
  </si>
  <si>
    <t>4c3f63503e1d7ebdda3b685d3c1ee9c30d37cd1897b7d55eb5bcb67a4b56cf352c830b33f60c3499365d0ca537fd3de4</t>
  </si>
  <si>
    <t>106523</t>
  </si>
  <si>
    <t>10-02-2026 11:51:56</t>
  </si>
  <si>
    <t>900302276</t>
  </si>
  <si>
    <t>Bymedia SAS</t>
  </si>
  <si>
    <t>e30d981a2d9d5889626d5b14ab26a62f1316234d26790703cd035a9e2acd5a6a2a0a0a948f21cb227c4c272d5a004d51</t>
  </si>
  <si>
    <t>106524</t>
  </si>
  <si>
    <t>10-02-2026 11:52:38</t>
  </si>
  <si>
    <t>2b3bb0aa7df79a7b54c1d29059d23bed98899fc9a6c75d3e4b1110d13e4afd4fed700031e4a1aef929e21e2e0c96bc36</t>
  </si>
  <si>
    <t>106525</t>
  </si>
  <si>
    <t>10-02-2026 11:52:40</t>
  </si>
  <si>
    <t>81e1f132e5cb6e18598cd8f7e9caa22a198c36b0ae0c286799c72b3a224404ae64f81c939679a52ca14d0d1e4d5962c0</t>
  </si>
  <si>
    <t>106526</t>
  </si>
  <si>
    <t>10-02-2026 11:52:21</t>
  </si>
  <si>
    <t>e104c7b6b4fea975034b3f10c971a23dbc44e36f1320011345335103c7c4816ae07cf9af26d47ce047278659fe6dded8</t>
  </si>
  <si>
    <t>106527</t>
  </si>
  <si>
    <t>10-02-2026 12:07:16</t>
  </si>
  <si>
    <t>c921a2c4af0db36a1d024908bc7cc051ab07a4780c4fffcc44eefaba1ea7fe7aa79f9d228e6074c2c3c830f0b6deba2e</t>
  </si>
  <si>
    <t>106528</t>
  </si>
  <si>
    <t>10-02-2026 12:07:21</t>
  </si>
  <si>
    <t>900509172</t>
  </si>
  <si>
    <t xml:space="preserve">Corporacion Universitaria De Asturias </t>
  </si>
  <si>
    <t>08e985aa0c3391daf8420f924209b407e2856440d0cadd51e8bea3f841e0c513594494d37e208e4ca77005cbdb5b08ef</t>
  </si>
  <si>
    <t>106529</t>
  </si>
  <si>
    <t>10-02-2026 12:07:25</t>
  </si>
  <si>
    <t>9c73cfb04c39ec598bf48e625d4311bf72d7c3d1cddfac38e184afcb29a7db2aa4022c39611ff1a664ac73abc29b89a5</t>
  </si>
  <si>
    <t>106530</t>
  </si>
  <si>
    <t>10-02-2026 12:22:32</t>
  </si>
  <si>
    <t>830034723</t>
  </si>
  <si>
    <t>Mercantil Colpatria SA</t>
  </si>
  <si>
    <t>02567e96685d4b83f21aa8137bb0dcd9b5bcc2188577d4b742a9f07986b41dd093a28e39f06338a630d71960d08524b4</t>
  </si>
  <si>
    <t>106531</t>
  </si>
  <si>
    <t>10-02-2026 12:22:36</t>
  </si>
  <si>
    <t>830013774</t>
  </si>
  <si>
    <t>Indra Colombia SAS</t>
  </si>
  <si>
    <t>71852322254effd3123984dc90cb29c06b5388e0ab044532fcb2ea7ddf0ed0465a9468dadb2e519844f8992251e94f32</t>
  </si>
  <si>
    <t>106532</t>
  </si>
  <si>
    <t>10-02-2026 12:22:41</t>
  </si>
  <si>
    <t>de7d7c95789228f1f5f68d42a1df193cc1311903b72cf80ee357c63de2215078343976daab50fce787b051723f66db7d</t>
  </si>
  <si>
    <t>106533</t>
  </si>
  <si>
    <t>10-02-2026 12:22:45</t>
  </si>
  <si>
    <t>a1761f8ad576897ea2b5265658425e139d57fa36e024f9b04d4026c36c4bf63ec71efe0717fc43a70e0eeddc639acfb9</t>
  </si>
  <si>
    <t>106534</t>
  </si>
  <si>
    <t>10-02-2026 12:37:52</t>
  </si>
  <si>
    <t>860020058</t>
  </si>
  <si>
    <t>Distribuidora Toyota SAS</t>
  </si>
  <si>
    <t>84415b14a4e48a9cf7036a558b42145a8ee4f663fc513910a4d288def34672600cc1aa74e89f6df7d3c3f911b264af36</t>
  </si>
  <si>
    <t>106535</t>
  </si>
  <si>
    <t>10-02-2026 12:37:57</t>
  </si>
  <si>
    <t>40542805bd9935bac667317c8164160b98d89c7a40f496334516688cf9ff3f8ecf9e4fb102a82180496c7f67abf2f774</t>
  </si>
  <si>
    <t>106536</t>
  </si>
  <si>
    <t>10-02-2026 12:38:01</t>
  </si>
  <si>
    <t>b611d45d02a3dcb334c550c6dc3225bc488d06e8490c51d81b3bf6bc79b0538716743c4517aa735ea628c9d1903cd5de</t>
  </si>
  <si>
    <t>106537</t>
  </si>
  <si>
    <t>10-02-2026 12:38:06</t>
  </si>
  <si>
    <t>b5929bcb4ad58f13d227e65a8b22cc1bdac977b866a81808a7ca2b6bc53544333871025d751771c0bd3f1034d986773f</t>
  </si>
  <si>
    <t>106538</t>
  </si>
  <si>
    <t>10-02-2026 12:38:11</t>
  </si>
  <si>
    <t>860037864</t>
  </si>
  <si>
    <t xml:space="preserve">Fondo De Empleados Al Servicio De Los Trabajadores Del Sector Empresarial Colombia </t>
  </si>
  <si>
    <t>5498eb01b82fe099a94cf3d2b143caabc98e9f476871c7028ddec5062c1f724addadd21730ec2e73380bbd79008d9d6a</t>
  </si>
  <si>
    <t>106539</t>
  </si>
  <si>
    <t>10-02-2026 13:14:45</t>
  </si>
  <si>
    <t>901290132</t>
  </si>
  <si>
    <t>Ix Comercio Colombia SAS</t>
  </si>
  <si>
    <t>c27c2a74a1a18128cffabd09690b9b3c4b8a99923e815f79c1c3cd98ba8da896af86db0058902d67d24477a5e6bfe91e</t>
  </si>
  <si>
    <t>106540</t>
  </si>
  <si>
    <t>10-02-2026 13:14:55</t>
  </si>
  <si>
    <t>37b0927a1fd0a23882b7167d601c0e8a54fa7578684048f9df2f0bc830e80cd906c37a7054bc24ff3c234327785086b7</t>
  </si>
  <si>
    <t>106541</t>
  </si>
  <si>
    <t>10-02-2026 13:44:15</t>
  </si>
  <si>
    <t>830502282</t>
  </si>
  <si>
    <t>Orthopraxis SAS</t>
  </si>
  <si>
    <t>ac028583baf701545e129f30bcc10d2b349abfea4f318a9b3487ec051384008058b5677d43a51ee74e74779ec342777c</t>
  </si>
  <si>
    <t>106542</t>
  </si>
  <si>
    <t>10-02-2026 13:42:28</t>
  </si>
  <si>
    <t>149c703c512067282302539530fa5e5f5963923186667b0056c75145ba503e690adf60bcea60434baca60631e223ceed</t>
  </si>
  <si>
    <t>106543</t>
  </si>
  <si>
    <t>830062005</t>
  </si>
  <si>
    <t>Inversiones Esteban Y Cia S En CS</t>
  </si>
  <si>
    <t>8ca27eb4d243a9189c5b79609af74605ae743eba0550dd13dc00636487a1e6d28b9d9acc0f00ff4ce1a5bb846923d2fb</t>
  </si>
  <si>
    <t>106544</t>
  </si>
  <si>
    <t>76d8d8dd40b296027d1c636931bd29124164a52976ee55fbb8122e3db534d2df10f162e9050161d477ba8a8f210541d7</t>
  </si>
  <si>
    <t>106545</t>
  </si>
  <si>
    <t>10-02-2026 13:42:23</t>
  </si>
  <si>
    <t>688ded2c6c8898bea5cca910e944de069c57547c23fa79074a9529b23a2ec798d898c629dddc7052653355e49183ef8b</t>
  </si>
  <si>
    <t>106546</t>
  </si>
  <si>
    <t>10-02-2026 14:31:29</t>
  </si>
  <si>
    <t>933faacbc83f2a9a85aa2a09054d32a0ffe13aa3e448e107ed5f0890ca8454eed17486878c8d45f5aed46dc10979f0d2</t>
  </si>
  <si>
    <t>106547</t>
  </si>
  <si>
    <t>10-02-2026 14:31:32</t>
  </si>
  <si>
    <t>632ee3d91babda9dd0b6c59532180e65e31e786f5fc631e4938eb3ad4405e6be40d52e7423a9d00b70c17e24a3e0e476</t>
  </si>
  <si>
    <t>106548</t>
  </si>
  <si>
    <t>10-02-2026 14:31:34</t>
  </si>
  <si>
    <t>901321010</t>
  </si>
  <si>
    <t>Impacta Btl S A S</t>
  </si>
  <si>
    <t>fad52f62a116dc267024731ab4d24986500607f91a606083be50026efe86864c4f0ad037ea20f1a147e8d24c09778045</t>
  </si>
  <si>
    <t>106549</t>
  </si>
  <si>
    <t>10-02-2026 14:31:37</t>
  </si>
  <si>
    <t>6d5f096d37dbf8b62e503362c646d8cc1a882bf58f04ade5e0f55b3d9151f1616c2e6a820a34d6ec6cc6e1a4c0c77f74</t>
  </si>
  <si>
    <t>106550</t>
  </si>
  <si>
    <t>10-02-2026 14:31:42</t>
  </si>
  <si>
    <t>08c5ab57ba8ec778faa84b8b49f19584fe350ff6a35c135c9d243b728e0e69143a37b0bc90b6d89fd57b4f2ccbd017ff</t>
  </si>
  <si>
    <t>106551</t>
  </si>
  <si>
    <t>10-02-2026 14:31:49</t>
  </si>
  <si>
    <t>860003437</t>
  </si>
  <si>
    <t>Central SAS</t>
  </si>
  <si>
    <t>521b615447698df92a1e6deaa2efec2c5ab9bf7ff2a670800e1b86a0a27b8cbb9b6f568a48d80b572b0d39c74565c9e7</t>
  </si>
  <si>
    <t>106552</t>
  </si>
  <si>
    <t>280a31874c7933e67ab0b7bf5b51bf9e3c1b70d08b95f2116d02f2f47af41146411d07997bc5fd36f87c60488ef60a43</t>
  </si>
  <si>
    <t>106553</t>
  </si>
  <si>
    <t>10-02-2026 14:40:25</t>
  </si>
  <si>
    <t>800200139</t>
  </si>
  <si>
    <t>Criya SAS</t>
  </si>
  <si>
    <t>f0ab820043454c35322b5a85d8f261d3ab8a561efdcb44bec1f5ecff461c693768299178769229ab3edd16d2807a5318</t>
  </si>
  <si>
    <t>106554</t>
  </si>
  <si>
    <t>10-02-2026 14:40:27</t>
  </si>
  <si>
    <t>830014193</t>
  </si>
  <si>
    <t>Thomas Seguridad Integral Ltda</t>
  </si>
  <si>
    <t>7c2864433a91023b3c81706595ce036eb97d392b470bb12930b55b8e836afc67f4c686444b8b1b165723340cc03cd952</t>
  </si>
  <si>
    <t>106555</t>
  </si>
  <si>
    <t>10-02-2026 14:54:45</t>
  </si>
  <si>
    <t>901137699</t>
  </si>
  <si>
    <t>Miniso Colombia SAS</t>
  </si>
  <si>
    <t>33ee623e0e85c76758858f27562573ce0ccd55ac721446d8883d4fab8736fc96393e243bace22d1871619f607d057fc1</t>
  </si>
  <si>
    <t>106556</t>
  </si>
  <si>
    <t>10-02-2026 14:54:50</t>
  </si>
  <si>
    <t>901122393</t>
  </si>
  <si>
    <t>Actual Colombia Inmobiliaria SAS</t>
  </si>
  <si>
    <t>0f20b2aae89d0deabdd71417c835cd739b00d5e1c2478dc22aaecce95dc6e397a136f820cb1c8977c07b9f6fd839f8ab</t>
  </si>
  <si>
    <t>106557</t>
  </si>
  <si>
    <t>10-02-2026 14:54:54</t>
  </si>
  <si>
    <t>74ace3223ad3c3df294a0dd2177cdd81205e70799a1fd7ad599f4be9754e648367dbef2fccbb27cc10d8a7d29c947a40</t>
  </si>
  <si>
    <t>106558</t>
  </si>
  <si>
    <t>10-02-2026 14:54:58</t>
  </si>
  <si>
    <t>830004748</t>
  </si>
  <si>
    <t>Pricewaterhousecoopers Information Services SAS</t>
  </si>
  <si>
    <t>882d348190d71e618f2753f64fe9bc1b21281cba35216236ffc4cd901b8bf9343e29e1f5f62336ef011934afff256f7b</t>
  </si>
  <si>
    <t>106559</t>
  </si>
  <si>
    <t>10-02-2026 14:55:04</t>
  </si>
  <si>
    <t>f276da7a076bc521c1a6bdfe9b18b440a9aab2ecf0ddc5183dadd5ba9308617eae021ca8c2132d6574ddde5e016bafeb</t>
  </si>
  <si>
    <t>106560</t>
  </si>
  <si>
    <t>10-02-2026 14:55:08</t>
  </si>
  <si>
    <t>d5c10a4b5871640ceec4faf76270379750d9a02772f11ed359ad836f73b8ac305c60cd669506bb85c8024af70e075fb4</t>
  </si>
  <si>
    <t>106561</t>
  </si>
  <si>
    <t>10-02-2026 14:55:13</t>
  </si>
  <si>
    <t>35c99a33cd6cd93b9299a3977e0336915938f872ee0b2bf4e90ea1ab7acff2681df066c5bdd9e560e560afe772cf0693</t>
  </si>
  <si>
    <t>106562</t>
  </si>
  <si>
    <t>10-02-2026 15:10:20</t>
  </si>
  <si>
    <t>ab83151992b27570daee755f7ad0343cc1d857a3e4684b3ee23e3d7cbc192c7faa1c3fd6f7a17f899c296346230935bf</t>
  </si>
  <si>
    <t>106563</t>
  </si>
  <si>
    <t>10-02-2026 15:10:25</t>
  </si>
  <si>
    <t>db8f6d1506ceaeacbe9f287a012a723e0a7f4bff217cd33b84804dd859f98d9a4c85eb0a4a9b3ed99b64457ccbfb032b</t>
  </si>
  <si>
    <t>106564</t>
  </si>
  <si>
    <t>10-02-2026 15:10:29</t>
  </si>
  <si>
    <t>4d90ddd0a08dfbc58d098430a1671ee2d1d9482600546aad375c9806f524f59482a29ab27f9c741d47b0f769d62e8561</t>
  </si>
  <si>
    <t>106565</t>
  </si>
  <si>
    <t>10-02-2026 15:10:34</t>
  </si>
  <si>
    <t>830033206</t>
  </si>
  <si>
    <t>Inversiones En Recreacion Deporte Y Salud SA</t>
  </si>
  <si>
    <t>3b55f6e961870347febee413f4edf7d13a1174d0f2aa539e79869aedfd32c5179582649b289799837b2a0bdbc98e42d4</t>
  </si>
  <si>
    <t>106566</t>
  </si>
  <si>
    <t>10-02-2026 15:25:41</t>
  </si>
  <si>
    <t>6887e5ca718d857b84b77ce13794990cc4d4a930655e78335db6b2c33a3c6c52ae66bbbb7ccea8b3d15181d3011f86fd</t>
  </si>
  <si>
    <t>106567</t>
  </si>
  <si>
    <t>10-02-2026 15:25:45</t>
  </si>
  <si>
    <t>870dc35e2d30b170d910aa2213afe6641bcb1252b908299bebd770f864f676fab7800857f5bb135683001b75141b37a1</t>
  </si>
  <si>
    <t>106568</t>
  </si>
  <si>
    <t>10-02-2026 15:25:51</t>
  </si>
  <si>
    <t>b48fc00a3643456a623ffe8d7018298d6ce10680c1335af87654190410b008a82f46d808d03b29164deed25d39032d80</t>
  </si>
  <si>
    <t>106569</t>
  </si>
  <si>
    <t>10-02-2026 15:25:55</t>
  </si>
  <si>
    <t>901108023</t>
  </si>
  <si>
    <t>Express Luck Colombia SAS</t>
  </si>
  <si>
    <t>d0b2523b27dc77bc52da959dfdae192769707d849ca074a214ab3c5470b9b4e6584bddafbcf953e4fafd6180339ca8d1</t>
  </si>
  <si>
    <t>106570</t>
  </si>
  <si>
    <t>10-02-2026 15:41:01</t>
  </si>
  <si>
    <t>890400246</t>
  </si>
  <si>
    <t>Industrias De Refrigeracion Comercial SA Indufrial SA Reorganizacion Empresarial</t>
  </si>
  <si>
    <t>a63c7a72f95ce9150768aaf48ccc8552cd5ecd6fc8758d9b83025c354c76edddc1c16d371d0abd35ed7e6e4d871a3187</t>
  </si>
  <si>
    <t>106571</t>
  </si>
  <si>
    <t>10-02-2026 15:41:05</t>
  </si>
  <si>
    <t>900159106</t>
  </si>
  <si>
    <t>People Contact SAS En Reestructuracion</t>
  </si>
  <si>
    <t>283624ed4da9f19347245f86080e6ca3d428e81ddcf569134778829f38c81c423b892e8ce29d2e9d057bad0af6e067af</t>
  </si>
  <si>
    <t>106572</t>
  </si>
  <si>
    <t>10-02-2026 15:41:10</t>
  </si>
  <si>
    <t>830097673</t>
  </si>
  <si>
    <t>Recaudos De Valores SAS</t>
  </si>
  <si>
    <t>e0bd63af78390d1a279538ff9e041e99b1bc17308a4c7a2bb051470d55c4744010cbd25db093c109f7df2541de76f5fb</t>
  </si>
  <si>
    <t>106573</t>
  </si>
  <si>
    <t>10-02-2026 15:41:15</t>
  </si>
  <si>
    <t>497c0cf08eab646e953d0d1ccbef0931d60804360cfe8a25e87fc4106a126f8e2162834b8537e566a76e96b271c8813f</t>
  </si>
  <si>
    <t>106574</t>
  </si>
  <si>
    <t>10-02-2026 15:41:20</t>
  </si>
  <si>
    <t>35f2493f290d371456f258a82335e2f2c807ecc968399b193ca2ba060d1fa35abe55589b2d3dea56c027d5ede4fd3814</t>
  </si>
  <si>
    <t>106575</t>
  </si>
  <si>
    <t>10-02-2026 15:41:25</t>
  </si>
  <si>
    <t>4547204e5bdb7a5d3f41f8ecad038659c58133390a960f746539f68b6a1d748c6ec0d808a363ccc006bb0c6480fdc5fe</t>
  </si>
  <si>
    <t>106576</t>
  </si>
  <si>
    <t>10-02-2026 15:41:29</t>
  </si>
  <si>
    <t>ff666333fd461f07e72eea3fc09039d0e2e2dd1279411fc14fb8aae44b597236f837119293bdb8e75055b5f14f7c153e</t>
  </si>
  <si>
    <t>106577</t>
  </si>
  <si>
    <t>10-02-2026 15:41:34</t>
  </si>
  <si>
    <t>62908e805eca764470ce757f743b08b4fa055867e72079c8cf170a08499255fe0f387d813d00013fa6a98a5264b01006</t>
  </si>
  <si>
    <t>106578</t>
  </si>
  <si>
    <t>10-02-2026 15:56:45</t>
  </si>
  <si>
    <t>f7cecb8f3b5dda9aad297ed3459f89bb60fed866c2d84935e74830640f4924788ef27223cede319591000e5a711b718c</t>
  </si>
  <si>
    <t>106579</t>
  </si>
  <si>
    <t>10-02-2026 15:56:49</t>
  </si>
  <si>
    <t>8e48e93bfc52c020b8738c6c5e5de6cb6d69f153737cf9b7ef1474408d24b117f3a8073a5934dcf10f69a41fa1ae669b</t>
  </si>
  <si>
    <t>106580</t>
  </si>
  <si>
    <t>10-02-2026 15:56:55</t>
  </si>
  <si>
    <t>facbc52173774810d188267406d3542e28326cd55f7c3c1e50a990dcad007b856de024969dd002d3e28a987ffe3461a4</t>
  </si>
  <si>
    <t>106581</t>
  </si>
  <si>
    <t>10-02-2026 15:57:00</t>
  </si>
  <si>
    <t>41dbd8c334269c5c6992d16356f12ea9240975ce1e21b7b7fc0b328e8651ce4f4407d37f1d6cbc9047e2598e3878ec78</t>
  </si>
  <si>
    <t>106582</t>
  </si>
  <si>
    <t>10-02-2026 15:57:05</t>
  </si>
  <si>
    <t>36d3e2e37119ae6a201b93766ccc0c6704e16c34e97663d6cf27b0bbed9699b04ec029498625fa0f4721389d433a340c</t>
  </si>
  <si>
    <t>106583</t>
  </si>
  <si>
    <t>10-02-2026 15:57:09</t>
  </si>
  <si>
    <t>29e2b4d4f5fccc76c8071396dedf33d797d65a85c4f9ccc7c00fa5eb4bcfd9f679320d2174563b4fe6abfef3b4d57e3a</t>
  </si>
  <si>
    <t>106584</t>
  </si>
  <si>
    <t>10-02-2026 15:57:14</t>
  </si>
  <si>
    <t>901225165</t>
  </si>
  <si>
    <t>Euro Marcali SAS</t>
  </si>
  <si>
    <t>58e89a8b98553382810ab71db764cf84c0f5b6c554f92ea5380bc09bb67298bcac664032be465c5764fafa965c2461b9</t>
  </si>
  <si>
    <t>106585</t>
  </si>
  <si>
    <t>10-02-2026 15:57:19</t>
  </si>
  <si>
    <t>900080177</t>
  </si>
  <si>
    <t>Marcali Sakura SAS</t>
  </si>
  <si>
    <t>90ee17970025371becdfbe8c11ec417c8f99760f3f5b519daf9b9afbb3fe069486d91f4f6fe7e121c293cab41d087866</t>
  </si>
  <si>
    <t>106586</t>
  </si>
  <si>
    <t>10-02-2026 15:57:23</t>
  </si>
  <si>
    <t>800215494</t>
  </si>
  <si>
    <t>Marcali Internacional SA</t>
  </si>
  <si>
    <t>59bdbbd6a1d284667ac4636ff129c564c1d980890fc1eed3cb7514304e96e9c2d596531fc025f6fdcb6525b9e860ad69</t>
  </si>
  <si>
    <t>106587</t>
  </si>
  <si>
    <t>10-02-2026 15:57:28</t>
  </si>
  <si>
    <t>860001576</t>
  </si>
  <si>
    <t>Marcali SA</t>
  </si>
  <si>
    <t>80531597f6c01305e72dae2f8d7761f33aa0d5a26da08de30ce9e3e18d415f92d9f4f3e41a854b58d8db6a04596be32d</t>
  </si>
  <si>
    <t>106588</t>
  </si>
  <si>
    <t>10-02-2026 16:12:39</t>
  </si>
  <si>
    <t>06afbf561be9ee559cee8fedf9178ae2aa4a966d9e643a28d92ccf2e1ed04419d9da4e0634c344a6ea6bed29e6d01043</t>
  </si>
  <si>
    <t>106589</t>
  </si>
  <si>
    <t>10-02-2026 16:12:44</t>
  </si>
  <si>
    <t>996c4bae7e90d79435b34b182c3f56183369a4d545e2545f22fb927162ee6e99f798217d99d2ce9a235fc9fd7a7b2c29</t>
  </si>
  <si>
    <t>106590</t>
  </si>
  <si>
    <t>10-02-2026 16:12:49</t>
  </si>
  <si>
    <t>860000794</t>
  </si>
  <si>
    <t>Industrias Spring SAS</t>
  </si>
  <si>
    <t>4f87cbe771f6e738c56558bbf3e91d278fa52ae8d0f6a8308aed1c85d3b633b8fe09cbcc12c1a883b8856b03b7b86052</t>
  </si>
  <si>
    <t>106591</t>
  </si>
  <si>
    <t>10-02-2026 16:12:54</t>
  </si>
  <si>
    <t>016d306d3500d6798a77c6d031dd0350528bb75a8c6299c8538862095c4b7badcdd38db64347ac60149ac5e88e33c01a</t>
  </si>
  <si>
    <t>106592</t>
  </si>
  <si>
    <t>10-02-2026 18:43:52</t>
  </si>
  <si>
    <t>900554592</t>
  </si>
  <si>
    <t>Boydorr SAS</t>
  </si>
  <si>
    <t>df9b812ef5238d4a9490128f7c566e57b65215d52e8fa1b5bca46c23864f8f0b1557cafcaea542056dc64c834f3eb11a</t>
  </si>
  <si>
    <t>106593</t>
  </si>
  <si>
    <t>10-02-2026 16:13:01</t>
  </si>
  <si>
    <t>4cf9d101fe0efa39d6cdd023aaa20e906af990483e897b6db75ee0af621cdb6a8ff31b63b0dde130b16e236824ab898c</t>
  </si>
  <si>
    <t>106594</t>
  </si>
  <si>
    <t>10-02-2026 16:13:07</t>
  </si>
  <si>
    <t>900171388</t>
  </si>
  <si>
    <t>Soluciones En Enfermeria Clinica SAS</t>
  </si>
  <si>
    <t>d0087f76f32091483511f525b2fe7ba412cd0360bef28c8877e89b7c19bdf8c09e408e7ac4f147f971671ac9a5398148</t>
  </si>
  <si>
    <t>106595</t>
  </si>
  <si>
    <t>10-02-2026 16:13:11</t>
  </si>
  <si>
    <t>72bb6ad6fd13d632a095564fee1f485eadd0bc8bcf0ea3acda3ad058c652a29d5263e78a41b7cdbf2b20cdfdfbcf1a80</t>
  </si>
  <si>
    <t>106596</t>
  </si>
  <si>
    <t>10-02-2026 16:13:15</t>
  </si>
  <si>
    <t>f55b8b649d6cd30285e3f46ebf6df859c7c952ad361f15500912ae075751c76b061122deb0f9123fbffd8b6e39cb4b0f</t>
  </si>
  <si>
    <t>106597</t>
  </si>
  <si>
    <t>10-02-2026 16:13:20</t>
  </si>
  <si>
    <t>10ea190b1ef3bfa72fe279e8617e702d3215b229f43888c6aa25243140e6bf5ee2f6b37813606a0f3b91d1ff532a3f63</t>
  </si>
  <si>
    <t>106598</t>
  </si>
  <si>
    <t>10-02-2026 16:13:25</t>
  </si>
  <si>
    <t>900474794</t>
  </si>
  <si>
    <t>Price Res SAS</t>
  </si>
  <si>
    <t>5e71e0cdc3592df6ac20d9875847b02ec7a9965672a86868c8d9c25089413ba0a483b8c07ca9c55f1f8d8d571d447334</t>
  </si>
  <si>
    <t>106599</t>
  </si>
  <si>
    <t>10-02-2026 16:28:36</t>
  </si>
  <si>
    <t>890912395</t>
  </si>
  <si>
    <t>Fundacion Amigos Del Teatro Mayor</t>
  </si>
  <si>
    <t>e8fca23ee88bf1b6096d8a40689bbe0470db9e5207bfe944e5bc6ac2137ae813967d4064e98775052b57cb6ce5b4528b</t>
  </si>
  <si>
    <t>106600</t>
  </si>
  <si>
    <t>11-02-2026</t>
  </si>
  <si>
    <t>11-02-2026 07:00:02</t>
  </si>
  <si>
    <t>0c6b0b155b46e028b443525f1a90308e56671e0f1801d23dcb5820b5bfeaf25eaeabe6f9b79627c5b544c7c30d5073f4</t>
  </si>
  <si>
    <t>106601</t>
  </si>
  <si>
    <t>11-02-2026 07:15:08</t>
  </si>
  <si>
    <t>900604590</t>
  </si>
  <si>
    <t xml:space="preserve">P&amp;P Systems Colombia SAS En Reorganizacion </t>
  </si>
  <si>
    <t>0cab19dedce17f20908c0ab000d807befdccb1737ca58c143beb1d4aa70317bcc673ae6929fd234c66ac86d037d2dba9</t>
  </si>
  <si>
    <t>106602</t>
  </si>
  <si>
    <t>11-02-2026 07:15:13</t>
  </si>
  <si>
    <t>900842071</t>
  </si>
  <si>
    <t xml:space="preserve">Supermastick SAS </t>
  </si>
  <si>
    <t>2a1b0c5a4b32210a28c578fc0f5300e8bcbafd3976b8c6a1bfd897bda43dc3b235895dbebf2c553b3427bc0c26ca8180</t>
  </si>
  <si>
    <t>106603</t>
  </si>
  <si>
    <t>11-02-2026 07:15:17</t>
  </si>
  <si>
    <t>901438401</t>
  </si>
  <si>
    <t>24K Global Logistics SAS</t>
  </si>
  <si>
    <t>276c41229beb10e16cabe79fa08d0d662e28df229435ca4f5e87c58aaec59a99288d5a7439d67186f19d4a9e944cac3a</t>
  </si>
  <si>
    <t>106604</t>
  </si>
  <si>
    <t>11-02-2026 07:15:23</t>
  </si>
  <si>
    <t>860005813</t>
  </si>
  <si>
    <t>Deloitte &amp; Touche SAS</t>
  </si>
  <si>
    <t>628725508fb799bf1969f8a66a0cd5613fdb151d4ce57717100dc0eb6e763c16e6c74b6010c72d165231f69359afc349</t>
  </si>
  <si>
    <t>106605</t>
  </si>
  <si>
    <t>11-02-2026 07:30:28</t>
  </si>
  <si>
    <t>7179414827bb5c526067566464610c8ef81f7b3ad6eeb27465054da36cc4f83c6f8d03dba963b32cbfbb0685dfa437fb</t>
  </si>
  <si>
    <t>106606</t>
  </si>
  <si>
    <t>11-02-2026 07:45:35</t>
  </si>
  <si>
    <t>860052872</t>
  </si>
  <si>
    <t>Parko Services S.A</t>
  </si>
  <si>
    <t>e0142ed930767ca0e681e0827a5c2428176cff6d29a148f7de86b5457bd0e21d6f77e7b855c3b2e7091b5e557357faaa</t>
  </si>
  <si>
    <t>106607</t>
  </si>
  <si>
    <t>11-02-2026 08:00:44</t>
  </si>
  <si>
    <t>52822678</t>
  </si>
  <si>
    <t>Leidy Astrid Jimenez Ossa</t>
  </si>
  <si>
    <t>PAGO EN EL SISTEMA 2/03/2026</t>
  </si>
  <si>
    <t>88b49f0a1079986d05db9eb404c9b4bd494d5eef0cd7aff7bb334a7407f5883a3d706d6ceb3af29c4433c56d09b7dfdd</t>
  </si>
  <si>
    <t>106608</t>
  </si>
  <si>
    <t>11-02-2026 08:00:47</t>
  </si>
  <si>
    <t>52375029</t>
  </si>
  <si>
    <t>Marsela  Lopez Ahumada</t>
  </si>
  <si>
    <t>654d14c232575244be310b7d8e727e9102eb53beca4a28d5ef2c3d0c145effea14f54b1de46a8fa7f72830e6a8918fba</t>
  </si>
  <si>
    <t>106609</t>
  </si>
  <si>
    <t>11-02-2026 08:00:51</t>
  </si>
  <si>
    <t>901448074</t>
  </si>
  <si>
    <t>Eleva Impacto Que Trasciende</t>
  </si>
  <si>
    <t>7f9d2d967d9345f4bddedb72a924b66af547fb59b0c3801baf8d05bd77e74ae9e76d581b2487662c4da7efe3c6b99ac1</t>
  </si>
  <si>
    <t>106610</t>
  </si>
  <si>
    <t>11-02-2026 08:00:56</t>
  </si>
  <si>
    <t>586cc1e315c9d0cc1fa11a5eee5c67083852ff6048374fc988dd2934bd6b29c2b069230965d88897ce94cfb3a7cca741</t>
  </si>
  <si>
    <t>106611</t>
  </si>
  <si>
    <t>11-02-2026 08:16:02</t>
  </si>
  <si>
    <t>901580303</t>
  </si>
  <si>
    <t>Mas Servicios Asistenciales Colombia SAS</t>
  </si>
  <si>
    <t>08a4977519375b30c11427955a72918df50eae7b5a802a72a4df67c22cb3e57edde0020a4073328af8c3d49897bf254e</t>
  </si>
  <si>
    <t>106612</t>
  </si>
  <si>
    <t>11-02-2026 08:16:07</t>
  </si>
  <si>
    <t>830105984</t>
  </si>
  <si>
    <t>Apicom SAS</t>
  </si>
  <si>
    <t>7db15009f55b194ddecc6f2907f6a40906bdfaf6c65e507d1de5b0cafbf36d838584e955883e5ba27cee4e4b801a30b5</t>
  </si>
  <si>
    <t>106613</t>
  </si>
  <si>
    <t>11-02-2026 08:16:11</t>
  </si>
  <si>
    <t>833fed5d847e3e296e51a5ff8cbf80c7a3e6ab57f2b6c8f5d634f34431c204e4e438467fa751fc6fbd8983a40452a6e9</t>
  </si>
  <si>
    <t>106614</t>
  </si>
  <si>
    <t>11-02-2026 08:16:16</t>
  </si>
  <si>
    <t>8e4d66cf7ea8afc72fe6485a2bbc279c59cbc575849812ef8d5723db0f29784908f115d3d24d0af6b3ada665c031d65a</t>
  </si>
  <si>
    <t>106615</t>
  </si>
  <si>
    <t>11-02-2026 08:46:24</t>
  </si>
  <si>
    <t>800034362</t>
  </si>
  <si>
    <t>Laboratorios De Especialidades Cosmeticas Esko Ltda</t>
  </si>
  <si>
    <t>3e02a86a641e8387f7159322ca7e910546831199e2831b649afb43749642d1ddc6c78a3f8bb568d70aaf2ec2b96f7194</t>
  </si>
  <si>
    <t>106616</t>
  </si>
  <si>
    <t>11-02-2026 09:01:34</t>
  </si>
  <si>
    <t>e2dc291256c1fcff2a7c02fac5c91ba277f719219ecc1b53191534f1106fdcc1abc7862a7d0990ce13342b04cbdbb200</t>
  </si>
  <si>
    <t>106617</t>
  </si>
  <si>
    <t>11-02-2026 09:01:39</t>
  </si>
  <si>
    <t>d977a237b9ff39a1442a2b7bd730bdfced9f4c1af9db7eb783e69542a604b92144c525f4167a54f3a7a8e0cb2142ee94</t>
  </si>
  <si>
    <t>106618</t>
  </si>
  <si>
    <t>11-02-2026 09:01:43</t>
  </si>
  <si>
    <t>75d7da54235d2e0821cf1d597aa2f35777af9115b852a94af91d04be236d9cd0c0a48189fb80504c6c03549efaa38fc9</t>
  </si>
  <si>
    <t>106619</t>
  </si>
  <si>
    <t>11-02-2026 09:01:49</t>
  </si>
  <si>
    <t>2abfc8d4cc030ad32706a312e6e0325da11226f263c0a7cdf79608425d84ff9e279aab92ca65b0f6efa084c3ed9fea1d</t>
  </si>
  <si>
    <t>106620</t>
  </si>
  <si>
    <t>11-02-2026 09:01:53</t>
  </si>
  <si>
    <t>9af37bc8eb04afbc1c989f5ba5a1de98ded7493932b7712eecd41179fce88bf47399e383babd02496adbc8aeb4bfac3f</t>
  </si>
  <si>
    <t>106621</t>
  </si>
  <si>
    <t>11-02-2026 09:01:59</t>
  </si>
  <si>
    <t>900418656</t>
  </si>
  <si>
    <t xml:space="preserve">Grupo Microsistemas Colombia SAS </t>
  </si>
  <si>
    <t>ebec37d6489aaec7302a6692736438e2734faf33dc266350248c025bd874741939e82ee5d608bc6197bea2399ebb6bcf</t>
  </si>
  <si>
    <t>106622</t>
  </si>
  <si>
    <t>11-02-2026 09:17:04</t>
  </si>
  <si>
    <t>830092675</t>
  </si>
  <si>
    <t>Axure Technologies SA</t>
  </si>
  <si>
    <t>1c1fb0fe6a9e8af8b748707f599a43113e9c8030eafd23c5f707b82f9080fa37ec40885f387752de36bd015474d25626</t>
  </si>
  <si>
    <t>106623</t>
  </si>
  <si>
    <t>11-02-2026 09:47:11</t>
  </si>
  <si>
    <t>ae3d66973fb4245b54b129972d1cedffa88a94a3b0e5e1047be8c804f16467289d25b1bcc5ff7ccdc56a55ea5286b812</t>
  </si>
  <si>
    <t>106624</t>
  </si>
  <si>
    <t>11-02-2026 09:47:16</t>
  </si>
  <si>
    <t>860006745</t>
  </si>
  <si>
    <t>Congregacion De Hermanas De Caridad Dominicas De La Representacion De La Santisima Virgen</t>
  </si>
  <si>
    <t>40729a1cc6d3e828c9144f20d937f58b6ad7f11fa959d78b10a60a6a20414aee3b697762e015a8e181d114a58026f130</t>
  </si>
  <si>
    <t>106625</t>
  </si>
  <si>
    <t>11-02-2026 10:17:23</t>
  </si>
  <si>
    <t>800134853</t>
  </si>
  <si>
    <t>Esenttia Masterbatch Ltda</t>
  </si>
  <si>
    <t>c075154c309725410c81372275f5ddb51a6c16cb6835a84ec57cd43f1ddca8ff9975cf0a96e854a0bc05db669985134c</t>
  </si>
  <si>
    <t>106626</t>
  </si>
  <si>
    <t>11-02-2026 10:33:40</t>
  </si>
  <si>
    <t>f769229a0aafb4b9f18628468d4fe533c6f3b8fce983795a9883de90697299d637b143bfa97751c83ca3535ed0a03818</t>
  </si>
  <si>
    <t>106627</t>
  </si>
  <si>
    <t>11-02-2026 10:55:54</t>
  </si>
  <si>
    <t>901191622</t>
  </si>
  <si>
    <t>Yunex SAS</t>
  </si>
  <si>
    <t>a7e6a21bd148ff5f1c635d159fef6c4cfde5908bf6ec36759ac41456793080172651382e16c735d27c4f6b7486f649c4</t>
  </si>
  <si>
    <t>106628</t>
  </si>
  <si>
    <t>11-02-2026 10:55:45</t>
  </si>
  <si>
    <t>900904162</t>
  </si>
  <si>
    <t>Esmeraldas De Los Andes SAS</t>
  </si>
  <si>
    <t>3066bddefc2c977965a2ea4eadc17cdc49757be1d45914a47ec6ba094bcda5b5dbbe9b41e0000fa8fa4c31c070d79d26</t>
  </si>
  <si>
    <t>106629</t>
  </si>
  <si>
    <t>11-02-2026 11:47:43</t>
  </si>
  <si>
    <t>d45ba3cac5ea3d581db9c7dd4ce2ef2b1725128efa039bb3ded4659aa576e85271246c7da49c34eb4726ada6f888cff2</t>
  </si>
  <si>
    <t>106630</t>
  </si>
  <si>
    <t>11-02-2026 11:47:00</t>
  </si>
  <si>
    <t>900652403</t>
  </si>
  <si>
    <t>Coopervision Colombia SAS</t>
  </si>
  <si>
    <t>d18a3682cccd522a28ff4c95bf9d86eb00f23bab5812b226d0d5d69099037033c0ec6bd2f3d12f64abcdf0804a979d07</t>
  </si>
  <si>
    <t>106631</t>
  </si>
  <si>
    <t>11-02-2026 11:49:00</t>
  </si>
  <si>
    <t>598cc61e6a303fed9d8214337b6b4e0ffb635eb3b1916a885036da929ac22a0537ca942cafcbc0f7ddbbf3f540f6f960</t>
  </si>
  <si>
    <t>106632</t>
  </si>
  <si>
    <t>11-02-2026 11:47:41</t>
  </si>
  <si>
    <t>1e6ed34de08f3cb707fb37916870c44d1c8ccc6b7cbd6c18fd138ec22a6c57db0332231fae06ff7b4276f70a09331b49</t>
  </si>
  <si>
    <t>106633</t>
  </si>
  <si>
    <t>11-02-2026 11:47:45</t>
  </si>
  <si>
    <t>2ec8302b2941383984db03cd146d0afa1ae339b0184d3c48e94b340380c5d4f5fa8cf3864836ffc1de56f54ec100ef89</t>
  </si>
  <si>
    <t>106634</t>
  </si>
  <si>
    <t>11-02-2026 11:47:48</t>
  </si>
  <si>
    <t>c7073bc26b8020e92c45734e0142a26a7b0b5b3c893fe0c1075d42037281f39e614d81fb970bd0e06f415d0f2780b079</t>
  </si>
  <si>
    <t>106635</t>
  </si>
  <si>
    <t>11-02-2026 11:49:01</t>
  </si>
  <si>
    <t>94cc48c50c53189d80b48c2ef69fc65b68142abd9a9697d89fe32c9ed47a2d7a655b38fd1676b6e701f81d26c6a96bbc</t>
  </si>
  <si>
    <t>106636</t>
  </si>
  <si>
    <t>11-02-2026 12:33:24</t>
  </si>
  <si>
    <t>e7b8a8b6ded244eb142f3b6728a278f135cfab007d26062425c3eae8bea09088a0a2ac50c0af6cf319021e95db58e7f6</t>
  </si>
  <si>
    <t>106637</t>
  </si>
  <si>
    <t>11-02-2026 12:34:55</t>
  </si>
  <si>
    <t>1f71eaf5242c7ed4a0adeff6ca4b2602016c0a6168b13c40275460f520f0ae9db992dadfd3b5f23fda3e78f79e094e01</t>
  </si>
  <si>
    <t>106638</t>
  </si>
  <si>
    <t>11-02-2026 13:02:16</t>
  </si>
  <si>
    <t>e2401ba6728b3668ae2ee1103d3957e655d4595b6b89632dd03e024bbef138022a0e059e31f8b78976c5af351f59a74b</t>
  </si>
  <si>
    <t>106639</t>
  </si>
  <si>
    <t>11-02-2026 13:02:18</t>
  </si>
  <si>
    <t>900091709</t>
  </si>
  <si>
    <t>Licencias On Line SAS</t>
  </si>
  <si>
    <t>b7ef1d8bccd507e2de899dcb2cf5da7dc6d47a475d049dd5bf2716632b1012169d57d886b280cb46c0792193f4ff6a12</t>
  </si>
  <si>
    <t>106640</t>
  </si>
  <si>
    <t>11-02-2026 13:02:21</t>
  </si>
  <si>
    <t>47962e7163fd1494371991980c2d46cc8f46f0971fdc2d4be4daae6344f35adbdac9533bc4bdf9a041d3aa43acfd676c</t>
  </si>
  <si>
    <t>106641</t>
  </si>
  <si>
    <t>11-02-2026 13:02:24</t>
  </si>
  <si>
    <t>3887ceda35abbfc5bbbf2487560170a1c7152bb0435b43c2ecd5bfba09fd46e73afb981153dc3dfe67d0413c0fbfd2eb</t>
  </si>
  <si>
    <t>106642</t>
  </si>
  <si>
    <t>11-02-2026 13:02:26</t>
  </si>
  <si>
    <t>43eb1bd19aae952798306fe2240e56e99e96546a4045e437d0ec92f81ec0dca1de8dbf5ad353681f8302b46a7ed337fd</t>
  </si>
  <si>
    <t>106643</t>
  </si>
  <si>
    <t>11-02-2026 13:13:41</t>
  </si>
  <si>
    <t>174f7495795ad5f26f317af160ec506a5b08ce29f8cf3aa41ba66ad63e28a598f011ac1d748a255a45abb6bcbbe937ef</t>
  </si>
  <si>
    <t>106644</t>
  </si>
  <si>
    <t>11-02-2026 13:13:43</t>
  </si>
  <si>
    <t>7bbccd8c43cc67d6037001da6753533dc2dbdddfd11848b32e13348cad3225fe59cca2f58903a98a1d58d69aba43907e</t>
  </si>
  <si>
    <t>106645</t>
  </si>
  <si>
    <t>11-02-2026 13:13:45</t>
  </si>
  <si>
    <t>cb77e6877551d46ac278768a69e360636691bddf1d1dbe860384a6dda18a32d871d59ed0e12b24145e821a664e71cf28</t>
  </si>
  <si>
    <t>106646</t>
  </si>
  <si>
    <t>11-02-2026 13:13:48</t>
  </si>
  <si>
    <t>18cafb7b0f3ce174933d3a3c4ebb9a5067995c85d0d6f028b9abf846f1c008484c695732d10f30bf8952e989de667143</t>
  </si>
  <si>
    <t>106647</t>
  </si>
  <si>
    <t>11-02-2026 13:13:49</t>
  </si>
  <si>
    <t>ec3aa13bc081519fa68dff10a753a775f5a644338a1decc9dcac62ea3528e73b375e340c0b52d8edeec5167425d146a1</t>
  </si>
  <si>
    <t>106648</t>
  </si>
  <si>
    <t>11-02-2026 13:13:51</t>
  </si>
  <si>
    <t>860074389</t>
  </si>
  <si>
    <t>Grupo Empresarial Oikos SAS</t>
  </si>
  <si>
    <t>73b662d64ce43759a46fa0d28f03e7c49b5a68b73c3c125c2ffbcf789368a36d88b5c202907fef5863338d9d2c23b3ea</t>
  </si>
  <si>
    <t>106649</t>
  </si>
  <si>
    <t>11-02-2026 13:13:53</t>
  </si>
  <si>
    <t>23d47f4e12fd001d46765db7eff33d2b792f1294df52d18b0c96e06919b3024ee8d15746c1db524b1a6d948f4fb91a7a</t>
  </si>
  <si>
    <t>106650</t>
  </si>
  <si>
    <t>11-02-2026 13:13:57</t>
  </si>
  <si>
    <t>901134016</t>
  </si>
  <si>
    <t>Beauty International Brands SAS</t>
  </si>
  <si>
    <t>2983ac0b96ac7af063729a84ee7a8eb2619dcca8d1e948b303073e5b701306e89b11da943c24ca4d7ba87764b611b42e</t>
  </si>
  <si>
    <t>106651</t>
  </si>
  <si>
    <t>11-02-2026 13:14:00</t>
  </si>
  <si>
    <t>c4ca4f636ac828f1c7d29f99166cd0077f49604722e8e010ec49bc3e599bcca5282bf47d068a77bceeab00b376318857</t>
  </si>
  <si>
    <t>106652</t>
  </si>
  <si>
    <t>11-02-2026 13:14:03</t>
  </si>
  <si>
    <t>901478504</t>
  </si>
  <si>
    <t>Nm Fire Latin America SAS</t>
  </si>
  <si>
    <t>83789d003544b58574729d22f145b165a3fbdbe31455386e7759bb9d8930b008d10739e016029dade66205fb5bc160cf</t>
  </si>
  <si>
    <t>106653</t>
  </si>
  <si>
    <t>11-02-2026 13:27:28</t>
  </si>
  <si>
    <t>830129327</t>
  </si>
  <si>
    <t>Farmatodo Colombia SAS</t>
  </si>
  <si>
    <t>afe213dcc739ab0c4d21c22f9aa5fba4dffc22cf7b68f192fd0dbd1b106af981d5ce1970cacab2638c8ad74061e26aeb</t>
  </si>
  <si>
    <t>106654</t>
  </si>
  <si>
    <t>11-02-2026 13:29:27</t>
  </si>
  <si>
    <t>8f8200f8e5d09a70ddc5ea9cd1d94d5a20bb424b4a75964b7a69a2b987786b8e5b04cc7bc2acfbd0e74d041867508ff5</t>
  </si>
  <si>
    <t>106655</t>
  </si>
  <si>
    <t>11-02-2026 13:41:06</t>
  </si>
  <si>
    <t>caabeb8ebec813c87c079b5f09ca01147bb3430fad3bc5a08ab59d5888bb678eba0107c38af2f521ea376879f711ec45</t>
  </si>
  <si>
    <t>106656</t>
  </si>
  <si>
    <t>11-02-2026 13:41:07</t>
  </si>
  <si>
    <t>2a030983b84167e4f0baeec535c79d11a8d496a7dc85b1697a950792a0f5d875a8671c3e0dcf1a2d47c705a2ab59099e</t>
  </si>
  <si>
    <t>106657</t>
  </si>
  <si>
    <t>11-02-2026 13:52:55</t>
  </si>
  <si>
    <t>80408233</t>
  </si>
  <si>
    <t>Mario  Reyes Gutierrez</t>
  </si>
  <si>
    <t>6120fbbf80a19ad78bd08313959977f3a3a271b523e6abc6e4792ecd4662b62b0cecd642aeac1707727b532a0b2e9e73</t>
  </si>
  <si>
    <t>106658</t>
  </si>
  <si>
    <t>11-02-2026 13:52:57</t>
  </si>
  <si>
    <t>ef53fdc75db6c360087c5f7e9b1c0a784b91beb56ee1745188d0f91d0a7b450030a14c372a292cca83f5682d9a8ee8ea</t>
  </si>
  <si>
    <t>106659</t>
  </si>
  <si>
    <t>11-02-2026 14:03:08</t>
  </si>
  <si>
    <t>24d9afe39248d6764127531ed40b8a72463c8448790e35167cf5a4651706541b88be428602d7fade6c3a7082e4f8cc12</t>
  </si>
  <si>
    <t>106660</t>
  </si>
  <si>
    <t>11-02-2026 14:52:30</t>
  </si>
  <si>
    <t>543dac82a6eaf1297a8a85177746d1eef32fd35a295fa7c5e7b4a2f137c89d273319d15ab7a83b2ff25e52db257aa9ec</t>
  </si>
  <si>
    <t>106661</t>
  </si>
  <si>
    <t>11-02-2026 14:52:31</t>
  </si>
  <si>
    <t>8aa0ff23aae8a052539ddcada497d538a3f07504e98b3d83cec57910234e4ac57208bf06b266f928ca2bcb8100fba241</t>
  </si>
  <si>
    <t>106662</t>
  </si>
  <si>
    <t>11-02-2026 14:52:32</t>
  </si>
  <si>
    <t>93cd19b59c53200c77dd9069d9ed32fc257236ae1b354f2f56b9a94ec5855cb1b4203aba4409395ed37d2e294780142b</t>
  </si>
  <si>
    <t>106663</t>
  </si>
  <si>
    <t>11-02-2026 14:59:18</t>
  </si>
  <si>
    <t>899999123</t>
  </si>
  <si>
    <t>Fundacion Hospital De La Misericordia</t>
  </si>
  <si>
    <t>5e978cd2b23080a516b2b54208d3aa1ef5094c7c9e1dee583d3ab0f10dba689a08bd34b6c6f658122c0c931f548f271c</t>
  </si>
  <si>
    <t>106664</t>
  </si>
  <si>
    <t>11-02-2026 14:59:19</t>
  </si>
  <si>
    <t>3e0b17395263c2205dac04a8f8a1142065ddbb48a78276dd282b265d2638dae2b80f23e06553c2df19eb5673ae4a8e0f</t>
  </si>
  <si>
    <t>106665</t>
  </si>
  <si>
    <t>11-02-2026 14:59:20</t>
  </si>
  <si>
    <t>d15f26b111d24587b1b00007111ab19f3401077d4a170ba455f2a279ea40547afd7d163aa4c73ccc4de03206036ccd3f</t>
  </si>
  <si>
    <t>106666</t>
  </si>
  <si>
    <t>11-02-2026 14:59:24</t>
  </si>
  <si>
    <t>f6fbafa016ea6587d42e8365a865f8f6dd52aa8ebc246a8c081df5ebfec3b54add4be616903a23d528ffca74cafb412f</t>
  </si>
  <si>
    <t>106667</t>
  </si>
  <si>
    <t>11-02-2026 15:10:16</t>
  </si>
  <si>
    <t>b436de870b60ca34fe03459699fffca6dd30c9bfcd364718746d78d97ded8544675f6c4a89cacb50217037b1bb0d4255</t>
  </si>
  <si>
    <t>106668</t>
  </si>
  <si>
    <t>11-02-2026 15:20:27</t>
  </si>
  <si>
    <t>800175574</t>
  </si>
  <si>
    <t>Plastinova SA</t>
  </si>
  <si>
    <t>96501e5d72f93e6fdef393eedc4a9fde791034216d0a23d54ba56f6056acdce616e96b7219ec4f72df821b2a9a1eac92</t>
  </si>
  <si>
    <t>106669</t>
  </si>
  <si>
    <t>11-02-2026 15:20:30</t>
  </si>
  <si>
    <t>4952f292a32701c0f2fd0c1473821eda9efa4a13eb5336905d48c3f5242c5ae0a11ff9dcc7d9b0f3507d47c4637ed90e</t>
  </si>
  <si>
    <t>106670</t>
  </si>
  <si>
    <t>11-02-2026 15:20:31</t>
  </si>
  <si>
    <t>830031886</t>
  </si>
  <si>
    <t>Creative Colors SA</t>
  </si>
  <si>
    <t>d0e701b02588151d3c2b55f284b57c2c07a306dc7db010973773c6dc16fa7485f529c461b1d7aa2566a28f12afaf58a0</t>
  </si>
  <si>
    <t>106671</t>
  </si>
  <si>
    <t>11-02-2026 15:28:08</t>
  </si>
  <si>
    <t>dbcdba49e1e72858dafc461a112feb7717bc7141fe9728d9aca5bff18d5185327216126ad7ed2a65e8a3514fc3c4e1fd</t>
  </si>
  <si>
    <t>106672</t>
  </si>
  <si>
    <t>11-02-2026 15:29:27</t>
  </si>
  <si>
    <t>901861678</t>
  </si>
  <si>
    <t>Consorcio Sisben SV 2024</t>
  </si>
  <si>
    <t>3b7dbf4034ba903199fc02195d65626d352f48df2e2df6e01732f6557b6563ab52261eaed0198138b44a32100082168d</t>
  </si>
  <si>
    <t>106673</t>
  </si>
  <si>
    <t>11-02-2026 15:28:17</t>
  </si>
  <si>
    <t>8e91bae53750355de350ea3c5a8c5bdd573a255479931c8c4da28c96037798fea8cb5fa76f917a2aec38036c4f364c6e</t>
  </si>
  <si>
    <t>106674</t>
  </si>
  <si>
    <t>11-02-2026 15:38:10</t>
  </si>
  <si>
    <t>PAGO 18/02/2026</t>
  </si>
  <si>
    <t>57b8a62aea4f62ceb72c7c01b32e50efa22a986de2987c53117661b7dadad255a2ae973a42de4d7e2b91dd1c2acb6c0c</t>
  </si>
  <si>
    <t>106675</t>
  </si>
  <si>
    <t>11-02-2026 15:38:11</t>
  </si>
  <si>
    <t>PAGA EN EL SISTEMA 18/02/2026</t>
  </si>
  <si>
    <t>4d984682f2c486ec45a44040405e36f22b2a614744aa3e7672f0fc43d17dee43512ad7215179fbc9f5416ee5f46a1630</t>
  </si>
  <si>
    <t>106676</t>
  </si>
  <si>
    <t>11-02-2026 15:38:14</t>
  </si>
  <si>
    <t>4af26fa8c7762e4abe82bab91cf01c763d4739664226d1bfd0dc71e1e2dc616b88358212e1a7378dc88466b86feb0547</t>
  </si>
  <si>
    <t>106677</t>
  </si>
  <si>
    <t>11-02-2026 15:39:03</t>
  </si>
  <si>
    <t>1073510389</t>
  </si>
  <si>
    <t>Angie Tatiana Parra Duran</t>
  </si>
  <si>
    <t>f5105dcdd107f0924b462e9458467130936d88c5c86a71fa70fd079b64615605f0657dec47e67fcb116cb341de3ccc1a</t>
  </si>
  <si>
    <t>106678</t>
  </si>
  <si>
    <t>11-02-2026 15:38:20</t>
  </si>
  <si>
    <t>f99c2dd240dcd0e9656a7c587892150c04eca2a8e301cf149c19781fcd8f96b98ca2cea7bc99871c38f72f7b4c20b5d0</t>
  </si>
  <si>
    <t>106679</t>
  </si>
  <si>
    <t>11-02-2026 15:38:23</t>
  </si>
  <si>
    <t>c24af6d07b9383800e87e25f07e60fa7147773018ebcbf229a888c439dc684019a3a4f9722b8bb62496cd41ebb8289d3</t>
  </si>
  <si>
    <t>106680</t>
  </si>
  <si>
    <t>11-02-2026 15:38:27</t>
  </si>
  <si>
    <t>1fc4172fe368e9be6f547c0c4ca22ea048725fa1e39896ac60cbe63d1482dd70ef855c6d8156b708132c384f4228750e</t>
  </si>
  <si>
    <t>106681</t>
  </si>
  <si>
    <t>11-02-2026 15:38:31</t>
  </si>
  <si>
    <t>901134176</t>
  </si>
  <si>
    <t>Cwt Ecenter Colombia SAS</t>
  </si>
  <si>
    <t>38fbc8cce1621e1e0ac47ec8aff93feff53c8c0cfd06eb3b4c931c915a77a607b8903987eb0d60ff5c55e17a37ff4552</t>
  </si>
  <si>
    <t>106682</t>
  </si>
  <si>
    <t>11-02-2026 15:52:41</t>
  </si>
  <si>
    <t>c3ce0ead3c4e98d087f83668653930a03cea68edc43c5ed019ff0e0fba850cd142fe0a083d129f15926cee1284333af8</t>
  </si>
  <si>
    <t>106683</t>
  </si>
  <si>
    <t>11-02-2026 15:52:46</t>
  </si>
  <si>
    <t>830121897</t>
  </si>
  <si>
    <t>Aquia SAS</t>
  </si>
  <si>
    <t>a1198765d9bcf577c729d66443585ea3531f20e4fa861b5c6103cf1050d5647b91d7a50ce5c5b57f35f51f10f9d072a3</t>
  </si>
  <si>
    <t>106684</t>
  </si>
  <si>
    <t>11-02-2026 15:52:51</t>
  </si>
  <si>
    <t>830081058</t>
  </si>
  <si>
    <t>Morand Servicios Legales Y De Impuestos SAS</t>
  </si>
  <si>
    <t>293b0c59114a9a02c3546bd297e2caf42e95e1240ef3b38ec09d112de357e6a0388101b0808f671526abb8f3b7631706</t>
  </si>
  <si>
    <t>106685</t>
  </si>
  <si>
    <t>11-02-2026 15:52:56</t>
  </si>
  <si>
    <t>830068110</t>
  </si>
  <si>
    <t>Astaf Auditores Y Consultores Contables SAS</t>
  </si>
  <si>
    <t>37fc15b2b7ac92ca8f19abfb9602d5bc530e57ac33767626b69a30f8c94acf6556f4bb24cec10c92187d96622dce081f</t>
  </si>
  <si>
    <t>106686</t>
  </si>
  <si>
    <t>11-02-2026 15:53:01</t>
  </si>
  <si>
    <t>be70f1b640cf027c1dee3939ab15272144d2cfc6b2612f51aff7f9e5517837b858d49f281763a27e96b4f4d70bdcfa76</t>
  </si>
  <si>
    <t>106687</t>
  </si>
  <si>
    <t>11-02-2026 15:53:06</t>
  </si>
  <si>
    <t>25e2ca7b59154efa243be21d772fd4274a2dde4c6b086182e157925618e3352673658bf1fd6cac02251457fbb9970954</t>
  </si>
  <si>
    <t>106688</t>
  </si>
  <si>
    <t>11-02-2026 15:53:10</t>
  </si>
  <si>
    <t>0224b2425c053e0a798b51364b0d7443ee24f414a4510a765091a08277a7943c7423ae94180c984203cf012d08311375</t>
  </si>
  <si>
    <t>106689</t>
  </si>
  <si>
    <t>11-02-2026 15:53:16</t>
  </si>
  <si>
    <t>38c68839e3a89e2c170e9f60af2c52e881b953f68bdb6a2736d74b6c199148d1471e822605806f966562b3c7c8ba93c2</t>
  </si>
  <si>
    <t>106690</t>
  </si>
  <si>
    <t>11-02-2026 15:53:21</t>
  </si>
  <si>
    <t>1ff88c8973c32dae8fec1dbc076d48424a6f8a5c9fbaf2c13618164c65792f9d6a676be610192aa4857804ccb58a71c8</t>
  </si>
  <si>
    <t>106691</t>
  </si>
  <si>
    <t>11-02-2026 16:08:30</t>
  </si>
  <si>
    <t>900356278</t>
  </si>
  <si>
    <t>Digital Copy Soluciones Digitales SAS</t>
  </si>
  <si>
    <t>PAGA 2/3/2026</t>
  </si>
  <si>
    <t>3fa062debee750abbdf81e719df03fe4b41210b35cdeb1ebde6dac32dede9de2e27ef59996f6c6c5fa9b18b92ed00c6e</t>
  </si>
  <si>
    <t>106692</t>
  </si>
  <si>
    <t>11-02-2026 16:08:35</t>
  </si>
  <si>
    <t>39b4af986df0959620418c747f8dc5e4d7abcd0548a4104339c92b41d69e147b71bfdea41c3dfe65410dfcdac12531a5</t>
  </si>
  <si>
    <t>106693</t>
  </si>
  <si>
    <t>11-02-2026 16:23:50</t>
  </si>
  <si>
    <t>830102932</t>
  </si>
  <si>
    <t>Centro Ocular Demiopia Dr Rincon Sociedad Por Acciones Simplificada SAS</t>
  </si>
  <si>
    <t>b4ab3b57902cf177d8492658dc4a4783bad33895a4c8b00d8f2914abecc850551e56cc0f60d052eeca4942e4094ca000</t>
  </si>
  <si>
    <t>106694</t>
  </si>
  <si>
    <t>11-02-2026 16:38:55</t>
  </si>
  <si>
    <t>830008300</t>
  </si>
  <si>
    <t>Centro De Control De Cancer SAS</t>
  </si>
  <si>
    <t>d20628292b42663403e98179c07369dcca55eb5be445604382632820aea743bac21628b71010b51b0653314d703e2389</t>
  </si>
  <si>
    <t>106695</t>
  </si>
  <si>
    <t>11-02-2026 16:39:00</t>
  </si>
  <si>
    <t>860074358</t>
  </si>
  <si>
    <t>Laboratorios Bussie SA</t>
  </si>
  <si>
    <t>0b2d32d91c37cdf70fe54069d48d1dcb7204930d40167d080391ebb313c6fda6dbabae5ef463aceaf6949865317d1dd8</t>
  </si>
  <si>
    <t>106696</t>
  </si>
  <si>
    <t>11-02-2026 16:39:04</t>
  </si>
  <si>
    <t>94dd31342b7ed430dba1756658f166fa0d8580538c9cf9ca91630d43a3f5bda3cb09236c39ac12e30347f9c944172e1d</t>
  </si>
  <si>
    <t>106697</t>
  </si>
  <si>
    <t>11-02-2026 16:39:09</t>
  </si>
  <si>
    <t>8cbf43b90bad5e41ed177ef62114d3de6072fb35dd328ea132e7d2b69d0cdffab462ecd654c51e35d3c32ee185ddb943</t>
  </si>
  <si>
    <t>106698</t>
  </si>
  <si>
    <t>12-02-2026</t>
  </si>
  <si>
    <t>12-02-2026 07:25:32</t>
  </si>
  <si>
    <t>9df4222c1da730dd83cc34f992a53632e578836ff6ab790af3b017d7bc2edd074d951f4f1bb87263be493cb86fc05e6a</t>
  </si>
  <si>
    <t>106699</t>
  </si>
  <si>
    <t>12-02-2026 07:55:40</t>
  </si>
  <si>
    <t>cf3f12284a969d0e415103a14e864d028ebcb31f970f173ecf136d2f0530b3c9b96699d0e0f9a113f8c02f85f1aac408</t>
  </si>
  <si>
    <t>106700</t>
  </si>
  <si>
    <t>12-02-2026 07:55:45</t>
  </si>
  <si>
    <t>4e6e67ee75528777721223bea9276dc698158a162a0de4ddb511c4f53de40ff82368e131243ac7f7095748bc3edb0b75</t>
  </si>
  <si>
    <t>106701</t>
  </si>
  <si>
    <t>12-02-2026 07:55:50</t>
  </si>
  <si>
    <t>4cb8d70239d064db091f6b090f3fd809ba65afaa25eda738937291db0ed958953c56112b81c3517d8c8bee940109f817</t>
  </si>
  <si>
    <t>106702</t>
  </si>
  <si>
    <t>12-02-2026 07:55:54</t>
  </si>
  <si>
    <t>830020599</t>
  </si>
  <si>
    <t>Servihosp LTDA</t>
  </si>
  <si>
    <t>8fa1123a32ba1b6602111f83d24705db8a1a19754ff87f50eac74b3beaffbfad81f5dd33b04cf4a1feed48d00a8738a2</t>
  </si>
  <si>
    <t>106703</t>
  </si>
  <si>
    <t>12-02-2026 08:11:02</t>
  </si>
  <si>
    <t>900682561</t>
  </si>
  <si>
    <t>Hidrocarburos Del Casanare SAS</t>
  </si>
  <si>
    <t>abd6be40cb1c3244cda735357ebc2589d089224f24d13d1cd4c6447e12c7db299512cb367486535c2b6c723d619cfb8d</t>
  </si>
  <si>
    <t>106704</t>
  </si>
  <si>
    <t>12-02-2026 09:13:28</t>
  </si>
  <si>
    <t>860015118</t>
  </si>
  <si>
    <t>Continautos SAS</t>
  </si>
  <si>
    <t>882442c4e15a93c7430fb7579d4bb60bb2db606d11e5fbbbb91ff6dde4d9c3ca8f5870b6fe7a32ae9c4ba7a99b000ce1</t>
  </si>
  <si>
    <t>106705</t>
  </si>
  <si>
    <t>12-02-2026 09:45:00</t>
  </si>
  <si>
    <t>860511458</t>
  </si>
  <si>
    <t>Agrointegral Andina SAS</t>
  </si>
  <si>
    <t>069e4efd4a58e2c1d13d202931ec7c62372f4b1ed581edb2bd34e9aaabde520e6bcb74f676f6e0dcde72fc012186bede</t>
  </si>
  <si>
    <t>106706</t>
  </si>
  <si>
    <t>12-02-2026 09:44:47</t>
  </si>
  <si>
    <t>464b5c40b0fca94f71c8f20f447551d1df8ca989b3fc1699919d9c036657aa7fb54f91831df127822f11bdae991d4583</t>
  </si>
  <si>
    <t>106707</t>
  </si>
  <si>
    <t>12-02-2026 09:44:45</t>
  </si>
  <si>
    <t>860046645</t>
  </si>
  <si>
    <t>Pricewaterhousecoopers Asesores Gerenciales SAS</t>
  </si>
  <si>
    <t>269dd2f12ce3f14d96402828ca33cc9f5cc82ae2ef3461ff39f33524401a2f41aae20bdd9e21b467e3207ab5e77dc240</t>
  </si>
  <si>
    <t>106708</t>
  </si>
  <si>
    <t>c02fcc7a82506dcd2b5dbcc64015fd851a45f8bf7fd469c50a52bde3eedbed9b3fbf9a5ed2d7a77455f8f79d4edeced5</t>
  </si>
  <si>
    <t>106709</t>
  </si>
  <si>
    <t>12-02-2026 10:04:27</t>
  </si>
  <si>
    <t>830040455</t>
  </si>
  <si>
    <t>Pricewaterhousecoopers Servicios Legales Y Tributarios SAS</t>
  </si>
  <si>
    <t>056651bb84cfdd8e4dc06ab9517cc52edd4dc29e4000f784e9c98a0e52a461a79e52581560d45137e1c347c8f040dc36</t>
  </si>
  <si>
    <t>106710</t>
  </si>
  <si>
    <t>a26c452dab00cfb7a3c57bbccf09f59d8237f14461aea140d1618a1fc3c7757c05459eaffea3d289db9dcc07842374ae</t>
  </si>
  <si>
    <t>106711</t>
  </si>
  <si>
    <t>12-02-2026 10:23:08</t>
  </si>
  <si>
    <t>a62c7f914fec421c88931628158473b71086c107cf2b2b42e8f89663ace950463c76dbc32bd7747aee720570509c589e</t>
  </si>
  <si>
    <t>106712</t>
  </si>
  <si>
    <t>12-02-2026 11:08:32</t>
  </si>
  <si>
    <t>3a9ed148584aec8b1d88cbf4d00828483598f122b21deb0672030cf1650717fb8ba7310042f1feaf2ad278acaf13ea1c</t>
  </si>
  <si>
    <t>106713</t>
  </si>
  <si>
    <t>12-02-2026 11:08:42</t>
  </si>
  <si>
    <t>fab39fc615a579645cafe4a18e95a6015bb7f68cc08ab3a574d3db91e2f3027455fbd65e49dcd30b4a2af7663a5e24a3</t>
  </si>
  <si>
    <t>106714</t>
  </si>
  <si>
    <t>5f400c94449ad6ecc1be222139377762632d947313a662d2586aa88c55f42ce7733c93dbbda7a5313d6f4c06fb186043</t>
  </si>
  <si>
    <t>106715</t>
  </si>
  <si>
    <t>12-02-2026 11:07:07</t>
  </si>
  <si>
    <t>860079024</t>
  </si>
  <si>
    <t>Representaciones Del Mundo SAS Repremundo</t>
  </si>
  <si>
    <t>82bb9183b000fd0c141a96175f2a60d9059df32f4a8a5584eac8dd0f58762021dd0912e03bbfb69071dfb4e83de6ed2c</t>
  </si>
  <si>
    <t>106716</t>
  </si>
  <si>
    <t>12-02-2026 11:29:25</t>
  </si>
  <si>
    <t>54a0cbfab021c437af617fa370ce471b84e4196a834e2df7b88cffeed5b636b0c25af60c34ec545efeeb5f125f20f0f5</t>
  </si>
  <si>
    <t>106717</t>
  </si>
  <si>
    <t>12-02-2026 11:28:34</t>
  </si>
  <si>
    <t>3a10d622267b55817f00e36a916f0f54422aecf61e8dd9fa0c11a1d20767270c6c8dece8b21c2bee4f3fa65320ed5968</t>
  </si>
  <si>
    <t>106718</t>
  </si>
  <si>
    <t>12-02-2026 11:42:21</t>
  </si>
  <si>
    <t>330762869</t>
  </si>
  <si>
    <t>California Creative Solutions, Inc</t>
  </si>
  <si>
    <t>PAGO 17/02/2026</t>
  </si>
  <si>
    <t>29d96f2b0701511d45d06e41aff4dfea6e057c657f71c3bf36dd03aaf3e5848c153273913fb58041d08e0d05a861f629</t>
  </si>
  <si>
    <t>106719</t>
  </si>
  <si>
    <t>12-02-2026 11:42:24</t>
  </si>
  <si>
    <t>901230120</t>
  </si>
  <si>
    <t>Bogota Movil Operacion Sur SAS</t>
  </si>
  <si>
    <t>da7c8ed92e88a0fc994a03af0ad3c5bfb51a99202b8bddc3e7a43d5dcc58d38eb822ce29fdfb6ea57bb3c33d838e4b20</t>
  </si>
  <si>
    <t>106720</t>
  </si>
  <si>
    <t>12-02-2026 11:42:28</t>
  </si>
  <si>
    <t>901342093</t>
  </si>
  <si>
    <t>E-Somos Fontibon SAS</t>
  </si>
  <si>
    <t>abba35d56d431fb21c18eb00de966a4b83c5fbf809534b2155a13c709f85354e7787056c86ab3b07cbe4753cd6399203</t>
  </si>
  <si>
    <t>106721</t>
  </si>
  <si>
    <t>12-02-2026 11:52:04</t>
  </si>
  <si>
    <t>3b169e59b1be72e18dd905b90c246e7a8b1245a4fb1205d2609b828059770c3d93b53f3a13687ba0a67c42bb6b6737ef</t>
  </si>
  <si>
    <t>106722</t>
  </si>
  <si>
    <t>12-02-2026 12:02:30</t>
  </si>
  <si>
    <t>6da0f1668b9f33e88ddf62885dc24ead5899f775fe3074eb2cac7451cb885b241641310a514adc97a219b2a5ae0425c9</t>
  </si>
  <si>
    <t>106723</t>
  </si>
  <si>
    <t>12-02-2026 12:04:35</t>
  </si>
  <si>
    <t>891700037</t>
  </si>
  <si>
    <t>Mapfre Seguros Generales De Colombia SA</t>
  </si>
  <si>
    <t>1062a6be7e89fd0d6ab55a968d486f0ee7745201be1bca9ef93a0cbf65cefa9c27a3026ff580a4093c2e15187e01057c</t>
  </si>
  <si>
    <t>106724</t>
  </si>
  <si>
    <t>12-02-2026 12:02:32</t>
  </si>
  <si>
    <t>890301291</t>
  </si>
  <si>
    <t>Eli Lilly Interamerica Inc</t>
  </si>
  <si>
    <t>31783917d976b306a535052e628678007861a1d8761604fde44eb8111c6f823122e6928c23a465e315f1dfe9d89876b5</t>
  </si>
  <si>
    <t>106725</t>
  </si>
  <si>
    <t>12-02-2026 12:04:34</t>
  </si>
  <si>
    <t>6f906859a6983257b41df04518ae58cd46562edfa99eea51d1cd1199ad5524910244f68c4d8053d013ac14ade409562a</t>
  </si>
  <si>
    <t>106726</t>
  </si>
  <si>
    <t>12-02-2026 12:17:04</t>
  </si>
  <si>
    <t>900494141</t>
  </si>
  <si>
    <t>Ayesa Ingenieria Y Arquitectura S A U Sucursal Colombia</t>
  </si>
  <si>
    <t>2ecfac1de705f323e619797d1cdff848a56ad1073ab381b8cf916868050a645444616cb3f469ba67a8c02dc2f8892202</t>
  </si>
  <si>
    <t>106727</t>
  </si>
  <si>
    <t>12-02-2026 12:17:54</t>
  </si>
  <si>
    <t>830139031</t>
  </si>
  <si>
    <t>Salud, Riesgos Y Recursos Humanos Consultores Ltda</t>
  </si>
  <si>
    <t>66998dbe4e60911015332be705201133ff1209b01d38732f86dcbd48a91316b3b0f208f8615efc5c21e694f1c4157acb</t>
  </si>
  <si>
    <t>106728</t>
  </si>
  <si>
    <t>12-02-2026 12:17:05</t>
  </si>
  <si>
    <t>860006754</t>
  </si>
  <si>
    <t>Corporacion Cultural Alexander Von Humboldt Deutscher Schulverein</t>
  </si>
  <si>
    <t>b711c31b2a3af59b49268988687df14ee0612af6bf824a256ed34323341b445b9e6cd8e4ad1e031b2205b4da8b4be251</t>
  </si>
  <si>
    <t>106729</t>
  </si>
  <si>
    <t>12-02-2026 12:17:06</t>
  </si>
  <si>
    <t>8f063eedcb7e13f9ed9fe46c41d4d3d0c984278134875209080c15e74ed761505c054fb79c64582cc94bc5817a8dfab5</t>
  </si>
  <si>
    <t>106730</t>
  </si>
  <si>
    <t>12-02-2026 12:17:50</t>
  </si>
  <si>
    <t>01e4ed1a4e1f5ab8bdd5bf52c1b964e2c6e11b9dacfdb26c87fd52dadfd7d930d76fdf5a79af6bcaa7fa51f045c6690f</t>
  </si>
  <si>
    <t>106731</t>
  </si>
  <si>
    <t>12-02-2026 12:28:41</t>
  </si>
  <si>
    <t>dbd9081597475e7f41b5e9c0855fe078679d711aa75c5cbe5d6945f63b70fb9ea0598176e24c2835dc65916e20b333ea</t>
  </si>
  <si>
    <t>106732</t>
  </si>
  <si>
    <t>12-02-2026 12:30:08</t>
  </si>
  <si>
    <t>184a651925b04dc6ef5eabff64f646a9f338978ba344a2978ca3b7c967aa416b57e3f9899aa9cf46ca17b5e26080c52d</t>
  </si>
  <si>
    <t>106733</t>
  </si>
  <si>
    <t>12-02-2026 12:28:44</t>
  </si>
  <si>
    <t>e89846050a6e195d9f9f6bf2288e00dba0e4ccec8ab5619c87545ada56ff593cdccc2df686abe88d9ac97e588883c45b</t>
  </si>
  <si>
    <t>106734</t>
  </si>
  <si>
    <t>12-02-2026 12:42:04</t>
  </si>
  <si>
    <t>699a2c58f8910e38bc3d43004c7b252bb5816b9e37c326d26696a706b0fef115dfec0f779ad18e394219cf9d38779829</t>
  </si>
  <si>
    <t>106735</t>
  </si>
  <si>
    <t>12-02-2026 13:08:19</t>
  </si>
  <si>
    <t>fdfcf6df9e90124e7b0569e0d1a562600a3f7c3fc7f6434f7e9ca71bdb9b961d63c276b2ea0e2f7fcd853f95b3a9a3bd</t>
  </si>
  <si>
    <t>106736</t>
  </si>
  <si>
    <t>12-02-2026 13:26:26</t>
  </si>
  <si>
    <t>900339803</t>
  </si>
  <si>
    <t>Extractora La Gloria SAS</t>
  </si>
  <si>
    <t>1040f3fe0e859e5b522ab764fefd1a63db0b831ee04ecb980718bbc318ddd23ca1ecd74f7b09555f9029e7ede3bdf47d</t>
  </si>
  <si>
    <t>106737</t>
  </si>
  <si>
    <t>12-02-2026 13:25:58</t>
  </si>
  <si>
    <t>bae2eacb6e50baa3e1850ec5b943cd642402c2dbf111b55ddba23e16b96978c3c06f08ceed9e622a466654895ab2b1a5</t>
  </si>
  <si>
    <t>106738</t>
  </si>
  <si>
    <t>900283577</t>
  </si>
  <si>
    <t>Sinnetic SAS</t>
  </si>
  <si>
    <t>516cad3bef008392e4390aefd3b567fc9f1acc747c45bd596e60c6f6d412365548623d42433021dd972c932904d568be</t>
  </si>
  <si>
    <t>106739</t>
  </si>
  <si>
    <t>12-02-2026 13:48:34</t>
  </si>
  <si>
    <t>830016145</t>
  </si>
  <si>
    <t>Corpoeducacion</t>
  </si>
  <si>
    <t>3b623b9b8d77b4eefd2f84ce9fb275f9304783bf858adf0984263a10ade4122fec111814ba67eb262d0aa5380c9a3a6f</t>
  </si>
  <si>
    <t>106740</t>
  </si>
  <si>
    <t>12-02-2026 13:48:37</t>
  </si>
  <si>
    <t>425f7ad5e91290ddf73a3e9afd7f24ad6a53ee38a96d6b82263d3382564b65bfaca9fec5db7f53a7374b65d8764181e6</t>
  </si>
  <si>
    <t>106741</t>
  </si>
  <si>
    <t>12-02-2026 13:48:45</t>
  </si>
  <si>
    <t>804007055</t>
  </si>
  <si>
    <t>K2 Ingenieria SAS</t>
  </si>
  <si>
    <t>3b15833569e66f926365defec9401920e506fa1db0b03fd2e4cf49106fa011fe9590290fe1808e5c30ca5474af78609d</t>
  </si>
  <si>
    <t>106742</t>
  </si>
  <si>
    <t>12-02-2026 13:51:34</t>
  </si>
  <si>
    <t>74b01ee38b17bfa9a173253d655138770339d2676dbc51df262738a0ad6af691aa5fb13328bdbb37452d1a9b3c84c0da</t>
  </si>
  <si>
    <t>106743</t>
  </si>
  <si>
    <t>12-02-2026 14:51:01</t>
  </si>
  <si>
    <t>1979ff7dcc31041c3dc97ffdb5400a04481c7b76ea695287a3718e4b403fee994d24e2ca7b3701470161a96f7ffcae7d</t>
  </si>
  <si>
    <t>106744</t>
  </si>
  <si>
    <t>12-02-2026 14:50:50</t>
  </si>
  <si>
    <t>4564342cfb6ffab3a9c6a095359627d89b72c86b0f2cd5decfe2799de9e844753f28f8bde6d9e2ec8fa411c18cf62294</t>
  </si>
  <si>
    <t>106745</t>
  </si>
  <si>
    <t>12-02-2026 15:00:54</t>
  </si>
  <si>
    <t>900542743</t>
  </si>
  <si>
    <t>Prosegur Gestion De Activos Colombia SAS</t>
  </si>
  <si>
    <t>0c327dd517155987835178b2323a3ba47402fdf6b15eb285a5c71503e721d8b9cbb589b39df4a9e3df6e76ee305d7e52</t>
  </si>
  <si>
    <t>106746</t>
  </si>
  <si>
    <t>12-02-2026 15:14:54</t>
  </si>
  <si>
    <t>76c4bf25857592cf740955278311b7b2c97d2b5c4e5c0fe7d12331a8722516fe85dcf7a21fb148ff49147b076fe182c5</t>
  </si>
  <si>
    <t>106747</t>
  </si>
  <si>
    <t>12-02-2026 15:16:41</t>
  </si>
  <si>
    <t>1235c60a670ccd072ea87c6df7c5bf85304d96ea410f51eac410a1a4d6788ea16c4c9544c1f15e52821468726e02cf9f</t>
  </si>
  <si>
    <t>106748</t>
  </si>
  <si>
    <t>12-02-2026 15:16:35</t>
  </si>
  <si>
    <t>027ca186649a79fe28d76622f1cc6d892d8b7568d67c7e2259e714b379dfa03bb1954927125f024fdfd84d6a9165149f</t>
  </si>
  <si>
    <t>106749</t>
  </si>
  <si>
    <t>12-02-2026 15:15:00</t>
  </si>
  <si>
    <t>e9891f5b4caca9203812b6de0395f5829f44844043bf2e8647f6da37bfe289913755a2b77305ecdf08c013463c7aa5c0</t>
  </si>
  <si>
    <t>106750</t>
  </si>
  <si>
    <t>12-02-2026 15:30:57</t>
  </si>
  <si>
    <t>0e68873d8e578b34a0596eba57a972a0bc4f6b217555dd29908ab78378e32b0502c25bacfdc8a08481e58d67f943941b</t>
  </si>
  <si>
    <t>106751</t>
  </si>
  <si>
    <t>12-02-2026 15:31:12</t>
  </si>
  <si>
    <t>ac3256efcfeb820f73dfb5185156d63d202095bcda2a6150dbd063c21fcc2e234d64e24e73be9c3863f456762cab20f7</t>
  </si>
  <si>
    <t>106752</t>
  </si>
  <si>
    <t>12-02-2026 15:32:32</t>
  </si>
  <si>
    <t>900335275</t>
  </si>
  <si>
    <t>Ingenieria Y Servicios Tecnicos Seringtec SAS</t>
  </si>
  <si>
    <t>d3745a18cd947ee468fdb79f28a5b5a16e7317f2c3d64455e71542afed0924d22353a727f913f41c0b8a73d21bf05647</t>
  </si>
  <si>
    <t>106753</t>
  </si>
  <si>
    <t>12-02-2026 15:32:22</t>
  </si>
  <si>
    <t>553c88384ca271f163271de4f2a0a2457b928ddd74a2ab1ee0b299a2546c1f285829d58b084ff3519be5fb2a7ad1b893</t>
  </si>
  <si>
    <t>106754</t>
  </si>
  <si>
    <t>12-02-2026 15:31:15</t>
  </si>
  <si>
    <t>0933c0255d981b3d7aa2b8d55fa02c505bd923f05913369e09a9ff0b2b841c8663504275da95f9c4f4e6215977d08624</t>
  </si>
  <si>
    <t>106755</t>
  </si>
  <si>
    <t>12-02-2026 15:31:20</t>
  </si>
  <si>
    <t>800170118</t>
  </si>
  <si>
    <t>Promotora De Gases Del Sur S A ESP</t>
  </si>
  <si>
    <t>2a6b4a5dc84fae16e4ca3bd8856565cdb893b23a90f4bc41132716c072cd0e7ffb762fb8ef18c51bec674701b4b47c13</t>
  </si>
  <si>
    <t>106756</t>
  </si>
  <si>
    <t>12-02-2026 15:31:24</t>
  </si>
  <si>
    <t>553332550ee2fdc33e3913cd4b6ac8ddb4c0d844f39c3b31dc2f6c4cad6e897565179d1824a2553a3020d84664e8674f</t>
  </si>
  <si>
    <t>106757</t>
  </si>
  <si>
    <t>12-02-2026 15:31:31</t>
  </si>
  <si>
    <t>5e2f43d770d711251523880dae3a4099b8fcf25e35cad2e633edae4e463b0e96b3fbbf0176f2d0b176affd4aaabab7a3</t>
  </si>
  <si>
    <t>106758</t>
  </si>
  <si>
    <t>12-02-2026 15:31:38</t>
  </si>
  <si>
    <t>3cbf4c931bd7e20b53906ae0502f5e649f9a4ad600d726c0f473387fe2705460aaf727a26c6b660c2c31c0ab6c0aa0b5</t>
  </si>
  <si>
    <t>106759</t>
  </si>
  <si>
    <t>12-02-2026 15:45:23</t>
  </si>
  <si>
    <t>407866a110058159e54a228468cb8553c562416151727e5be56c1f9f908d5a803ccf26b7aef18f6f410b1d32f11a28a9</t>
  </si>
  <si>
    <t>106760</t>
  </si>
  <si>
    <t>12-02-2026 15:43:49</t>
  </si>
  <si>
    <t>7bdfbfa8594aa0f0d292814e5de02e289a30a5a5e2bc64b11fef5d1e34c3c594e3f27ab5e1d65f2e7088e9832156fa0e</t>
  </si>
  <si>
    <t>106761</t>
  </si>
  <si>
    <t>12-02-2026 15:43:51</t>
  </si>
  <si>
    <t>3c8b12e22815eb9096577a151b10c9366a77a5e5f9f1fc5b6dd178ee1ab0404fe1539fea3cd0717cb498dacd33a91cca</t>
  </si>
  <si>
    <t>106762</t>
  </si>
  <si>
    <t>12-02-2026 15:43:52</t>
  </si>
  <si>
    <t>86fa91d38478d8c6796b47f8aa2b2469cf09564d437cea394cbb7ea56f8c49f4e94496ba3109873bbc0496eb86d738aa</t>
  </si>
  <si>
    <t>106763</t>
  </si>
  <si>
    <t>12-02-2026 15:43:54</t>
  </si>
  <si>
    <t>901751651</t>
  </si>
  <si>
    <t>Rocket Multiservices SAS</t>
  </si>
  <si>
    <t>5a2e49298b437b454e92726dc9410d857f69c5121d96ce52b9b2e9b9e6208bd62762fb9cc55527efcf443945a2087019</t>
  </si>
  <si>
    <t>106764</t>
  </si>
  <si>
    <t>12-02-2026 15:45:24</t>
  </si>
  <si>
    <t>ff82810845fdc0694a7bacb991dd083b097be0d22eac05db5b93fcc6eca5902e318df5da9f3eacef5799a10b3465eb3d</t>
  </si>
  <si>
    <t>106765</t>
  </si>
  <si>
    <t>12-02-2026 15:43:58</t>
  </si>
  <si>
    <t>901442422</t>
  </si>
  <si>
    <t>Consorcio Intervial Andino</t>
  </si>
  <si>
    <t>404edc810e5ef5533207b36f956a6c2d9d00f500588fbdd7dde1b1f950a2804f734184daba1d8dfab3684700b07f3be9</t>
  </si>
  <si>
    <t>106766</t>
  </si>
  <si>
    <t>12-02-2026 15:44:02</t>
  </si>
  <si>
    <t>901552668</t>
  </si>
  <si>
    <t>Consorcio Vial 2030</t>
  </si>
  <si>
    <t>6ae94d4ad6a74fc4db747e7cc06fd8cec39a8cfbe4a983ace109246bdb65fad15065afb8f3308cc4ac386ff4322c5d8e</t>
  </si>
  <si>
    <t>106767</t>
  </si>
  <si>
    <t>12-02-2026 15:58:46</t>
  </si>
  <si>
    <t>c8c5ad431de0a853ffb0e733029b6632686ea4d4321e53771055940034bfe2ccfbcafe3a68bc2e7c14f097520997f28f</t>
  </si>
  <si>
    <t>106768</t>
  </si>
  <si>
    <t>12-02-2026 15:58:48</t>
  </si>
  <si>
    <t>901442421</t>
  </si>
  <si>
    <t>Consorcio Intervial Sur</t>
  </si>
  <si>
    <t>e63f4e2c9ccec982fdeffd499a6b4deaf2918554d5bb808d62e19cbe42a4e304c3c95298af5f82706468c5763980b4d9</t>
  </si>
  <si>
    <t>106769</t>
  </si>
  <si>
    <t>12-02-2026 15:58:52</t>
  </si>
  <si>
    <t>901774386</t>
  </si>
  <si>
    <t>Consorcio Red Ferrea Ij</t>
  </si>
  <si>
    <t>5431fec783ca4449e3311d20d1c39fe224c85d3d236462110096185b505ce8106664036f3d7bbd4533bf07f1c777d7e7</t>
  </si>
  <si>
    <t>106770</t>
  </si>
  <si>
    <t>12-02-2026 16:00:22</t>
  </si>
  <si>
    <t>5d675c464797e1948726d5987e23400b1af57525a12c6ad767f550a784c0a960441500ed4d7f8751e101eeca497b5287</t>
  </si>
  <si>
    <t>106771</t>
  </si>
  <si>
    <t>12-02-2026 15:59:14</t>
  </si>
  <si>
    <t>901898439</t>
  </si>
  <si>
    <t>Consorcio Consultecnicos - Joyco</t>
  </si>
  <si>
    <t>5e054581d3fa9ec42bca0f44e635cfbad0f1030ff05b5b9fb2ee3cfbbb3f7df9a94174ade34a2b64acf72adb1313ff31</t>
  </si>
  <si>
    <t>106772</t>
  </si>
  <si>
    <t>12-02-2026 15:59:54</t>
  </si>
  <si>
    <t>901373695</t>
  </si>
  <si>
    <t>Consorcio Cj 2020</t>
  </si>
  <si>
    <t>32e241312dfac0b04f89819efd38ed82e114df39701130ecfdfede2beffcbf35021646d84a0b401065edb3112230f194</t>
  </si>
  <si>
    <t>106773</t>
  </si>
  <si>
    <t>12-02-2026 16:00:03</t>
  </si>
  <si>
    <t>860067561</t>
  </si>
  <si>
    <t>Joyco SAS</t>
  </si>
  <si>
    <t>430c3b5678571e73504a17bde7e7218dc06004a219483c8d5b22f9ca9b8e0a982c88045fbb44e090cc88fc5451cefce4</t>
  </si>
  <si>
    <t>106774</t>
  </si>
  <si>
    <t>12-02-2026 16:00:06</t>
  </si>
  <si>
    <t>b3876ba57d3352d0484c1052de9fe83f0d02dd8716a6c102fff6ef48f49e8c92e4969a5a2f482b8067ae3bc3c9a20f97</t>
  </si>
  <si>
    <t>106775</t>
  </si>
  <si>
    <t>12-02-2026 16:00:10</t>
  </si>
  <si>
    <t>900815663</t>
  </si>
  <si>
    <t>Frosch Colombia SAS</t>
  </si>
  <si>
    <t>PAGA 02/03/2026</t>
  </si>
  <si>
    <t>ddcd72e677b9c2e4164e861e4b7b944d27163d20996fb90d2d2aae202e292f0ad69ceab345cc56e706ae2930e33cca88</t>
  </si>
  <si>
    <t>106776</t>
  </si>
  <si>
    <t>12-02-2026 16:00:17</t>
  </si>
  <si>
    <t>78f87b9b8efa5c59c41f7891b695b63eb879caad5f9244b347378ba43a2be17bd15c9658b3baa849f0c42eb1ef14e589</t>
  </si>
  <si>
    <t>106777</t>
  </si>
  <si>
    <t>12-02-2026 16:01:11</t>
  </si>
  <si>
    <t>536c9a0132cb064050ebd72d6e3bb42c15a7cccd9057d89e2c0b3df6ff56f7949537539ffebb253f3fddfedcbefebd88</t>
  </si>
  <si>
    <t>106778</t>
  </si>
  <si>
    <t>12-02-2026 16:14:20</t>
  </si>
  <si>
    <t>c3dbb8b846046d0aaad216fb0db585c691497307a4248187498b34e4f775201e007c3064ba65601cc27f912e1ce2ca65</t>
  </si>
  <si>
    <t>106779</t>
  </si>
  <si>
    <t>12-02-2026 16:12:43</t>
  </si>
  <si>
    <t>2be670a18736890a7dab18f00385154d29dde68db6a91cfa456b15caf7c4083103702f37185436f5d2ade2fed1d87d7b</t>
  </si>
  <si>
    <t>106780</t>
  </si>
  <si>
    <t>830092963</t>
  </si>
  <si>
    <t>Superpolo SAS</t>
  </si>
  <si>
    <t>40f77f33d099b3a62e0b7e1e9e639e8b5e69a7fcc0cd9f1bf7ab1b9d95f1f32598dc134ab0462b2c983f933953d1cfba</t>
  </si>
  <si>
    <t>106781</t>
  </si>
  <si>
    <t>12-02-2026 16:12:45</t>
  </si>
  <si>
    <t>14fa3be6e36f0516af3966a06e49a1cf3db0ed56f14c46cb77be852e738ea5016512ccf8c7cd1e69d886c0888102ffe3</t>
  </si>
  <si>
    <t>106782</t>
  </si>
  <si>
    <t>12-02-2026 16:12:50</t>
  </si>
  <si>
    <t>95b9bfb0d5613b928693db36deed00d833b54c405a0fbcec2bdcecb4b044c1be77551f36e4141e99c194de2595ca4b1b</t>
  </si>
  <si>
    <t>106783</t>
  </si>
  <si>
    <t>12-02-2026 16:27:37</t>
  </si>
  <si>
    <t>860076008</t>
  </si>
  <si>
    <t>Parque Industrial Malambo SA</t>
  </si>
  <si>
    <t>58eac5342a4ceeb7f48b5db389da216cdecf2e6bedfe6b6b5001f9f8632249ae6205caa5c2dc0a7bee47662736433632</t>
  </si>
  <si>
    <t>106784</t>
  </si>
  <si>
    <t>12-02-2026 16:29:15</t>
  </si>
  <si>
    <t>901043512</t>
  </si>
  <si>
    <t>Plasdecor SAS</t>
  </si>
  <si>
    <t>e8695b61b73a1b8eae3cb7f8854c889a97127e560fc1dbec8adafd0c66d1eafed42053740c8661dea0e5b7d2a847f65f</t>
  </si>
  <si>
    <t>106785</t>
  </si>
  <si>
    <t>12-02-2026 16:27:46</t>
  </si>
  <si>
    <t>f86c633baf580a604f3b6dac3db1fa9bcd7c2a306abc9b1794d5ca9c8acc740d9302ff5ec06ff2d1e778011acaae10f1</t>
  </si>
  <si>
    <t>106786</t>
  </si>
  <si>
    <t>12-02-2026 16:27:53</t>
  </si>
  <si>
    <t>b95d8b111dcceddac3aca5f6625dd0c1ab5a2c19dc6e1bb64739bbc4c43a98c2a8fd3a16d543ab56ab95ac84ac4146d5</t>
  </si>
  <si>
    <t>106787</t>
  </si>
  <si>
    <t>12-02-2026 16:40:51</t>
  </si>
  <si>
    <t>4bf64c07750ac6768f38822d36fdd5b0a6c0cce85059035e8b05481c127a5bf6a177e36740169d8a9449665940259649</t>
  </si>
  <si>
    <t>106788</t>
  </si>
  <si>
    <t>13-02-2026</t>
  </si>
  <si>
    <t>13-02-2026 09:50:22</t>
  </si>
  <si>
    <t>c1cee3d0dd5591468fec31ba4e5a16fe8001189bf8bd0fc44a5a9ad34122eb8713b9ac245f30f0532017d24a15499e6f</t>
  </si>
  <si>
    <t>106789</t>
  </si>
  <si>
    <t>13-02-2026 09:50:26</t>
  </si>
  <si>
    <t>f96f86556094a23b8f281adf718ffba0f84e6d2e0958e0925945f3b0450d0ce0f30184502db2bf197ebe81ee26ff51a1</t>
  </si>
  <si>
    <t>106790</t>
  </si>
  <si>
    <t>13-02-2026 09:50:30</t>
  </si>
  <si>
    <t>a49ed8bb73b46d2c1bb68ca1f12f98cb73277b1ac422f619df62d688f6d82072f3f4ce70b3ae4991894079d92895617e</t>
  </si>
  <si>
    <t>106791</t>
  </si>
  <si>
    <t>13-02-2026 10:05:41</t>
  </si>
  <si>
    <t>900450226</t>
  </si>
  <si>
    <t xml:space="preserve">Alkhorayef Petroleum Colombia </t>
  </si>
  <si>
    <t>cd24d0567147b109886213cc000085c0bc452aefcb906efe1dd3f4522158c98dbc63449dad9a3d63e95af82a9364f093</t>
  </si>
  <si>
    <t>106792</t>
  </si>
  <si>
    <t>13-02-2026 10:05:46</t>
  </si>
  <si>
    <t>bf88447255daaa045a5180ba975ac611e1b74be6a679c4c0ce46d047f1cd9eb2ec35031b060afd8199bae00cef2d5d60</t>
  </si>
  <si>
    <t>106793</t>
  </si>
  <si>
    <t>13-02-2026 10:20:52</t>
  </si>
  <si>
    <t>900237022</t>
  </si>
  <si>
    <t>Servicios Petroleros Y Electronicos SAS</t>
  </si>
  <si>
    <t>2ab36b8fc8efc9de6d9888d7669f8ae4c900cf73eb7205e09d7a8b3f5b3230b07951ef7f933e9c47c97ac8c2e763c075</t>
  </si>
  <si>
    <t>106794</t>
  </si>
  <si>
    <t>13-02-2026 10:22:48</t>
  </si>
  <si>
    <t>ef37fe819a45358b06d9057db33bfd3e3c6c3f12c2c1e4ebe386619a6457fab51d463058b61b0aa5ea1e13865a0d7bbc</t>
  </si>
  <si>
    <t>106795</t>
  </si>
  <si>
    <t>13-02-2026 10:21:25</t>
  </si>
  <si>
    <t>89ae6771b2deb40b3d8eb19b6975b0c727cb3be3c7e65ff01315197796b270cf4260d2f3cc6ccc1d7ac8dbdc9edb50af</t>
  </si>
  <si>
    <t>106796</t>
  </si>
  <si>
    <t>13-02-2026 16:28:41</t>
  </si>
  <si>
    <t>901476079</t>
  </si>
  <si>
    <t>Atech Bpo Slu Sucursal Colombia</t>
  </si>
  <si>
    <t>86d833b5e5fb752efb5b66cb30fb93ea9049ed039ee6c9737f49f4e3a83aedf1431e2ba9954d298a0b18d48030622a44</t>
  </si>
  <si>
    <t>106797</t>
  </si>
  <si>
    <t>13-02-2026 10:21:16</t>
  </si>
  <si>
    <t>800164874</t>
  </si>
  <si>
    <t>Ball Colombia Limitada</t>
  </si>
  <si>
    <t>4a65d99df1c5f8024835364f4df548ae0d02766246d684f2861c71054e72861dc0ce029203c01d854d6a05e334e45562</t>
  </si>
  <si>
    <t>106798</t>
  </si>
  <si>
    <t>13-02-2026 10:36:21</t>
  </si>
  <si>
    <t>e1913bce16f85da979adb309b9ea1cce92e55ff558996e6ff51395a7487fd0b9eece86d0ac55e16c437f837dece27ed6</t>
  </si>
  <si>
    <t>106799</t>
  </si>
  <si>
    <t>13-02-2026 10:37:59</t>
  </si>
  <si>
    <t>68692e2b24a00faa061015c2f2796836bb09becedc6dc2cb8f2a05e93d38a7649f8080c351d09496af0175807ccf6b36</t>
  </si>
  <si>
    <t>106800</t>
  </si>
  <si>
    <t>13-02-2026 10:37:58</t>
  </si>
  <si>
    <t>860053716</t>
  </si>
  <si>
    <t>Thermoform SAS</t>
  </si>
  <si>
    <t>7fb4aa1714f6c8970c5353b0dba173c8459e062a3d7fe761576216e6008d6a73fabca025174fc6ea3af04ccdde5fa911</t>
  </si>
  <si>
    <t>106801</t>
  </si>
  <si>
    <t>13-02-2026 10:36:34</t>
  </si>
  <si>
    <t>800114672</t>
  </si>
  <si>
    <t>Stefanini Colombia SAS</t>
  </si>
  <si>
    <t>dd77c2657184f66bd9ae2e72469a36fc413e885ce2af9b9a40124934d3968c298ba17337455da2409e0d407ecb370d91</t>
  </si>
  <si>
    <t>106802</t>
  </si>
  <si>
    <t>13-02-2026 10:36:41</t>
  </si>
  <si>
    <t>900706422</t>
  </si>
  <si>
    <t>Buentipo Anchor Worldwide SAS</t>
  </si>
  <si>
    <t>b6e362ae104020b3261928810b3e53a60500cd63a443b6316b23c89a0e0a96a6d9dc3f5ec7377aa264ea100c7641b914</t>
  </si>
  <si>
    <t>106803</t>
  </si>
  <si>
    <t>13-02-2026 10:36:44</t>
  </si>
  <si>
    <t>900502435</t>
  </si>
  <si>
    <t>Holland &amp; Knight Colombia SAS</t>
  </si>
  <si>
    <t>b044c847a1cff0c718c3fdf4d3e926ba21ad6cc54c4291ba5429764bccd56b284017dfb989f4fb81ae1742e9c65f0418</t>
  </si>
  <si>
    <t>106804</t>
  </si>
  <si>
    <t>13-02-2026 10:36:57</t>
  </si>
  <si>
    <t>dc85177d15b5c19f9f9f015b2594680c68b1d48fc7e9ea6a9842abac0a2b293f152f1f3e2fb9feb3e896a63152b6ed4c</t>
  </si>
  <si>
    <t>106805</t>
  </si>
  <si>
    <t>13-02-2026 10:37:05</t>
  </si>
  <si>
    <t>135c8513c42205bde5932f9599cbc494da0033dd52819e6c920a7ff331b1f1478c3c22b01dbc40c2c780fcbe0f2d6429</t>
  </si>
  <si>
    <t>106806</t>
  </si>
  <si>
    <t>13-02-2026 10:53:45</t>
  </si>
  <si>
    <t>9769dfb80a114dc178d682c72f387c129e2ee8a1fbbff26094b2220d4be72cda12a599a43f8cb59598f6249eb3465407</t>
  </si>
  <si>
    <t>106807</t>
  </si>
  <si>
    <t>900860858</t>
  </si>
  <si>
    <t>L&amp;D Equipos Y Fundaciones SAS</t>
  </si>
  <si>
    <t>a8185e97e7a5280a621fe2d750808924865824b901c640291e1935bc32ba990be98285d5aa02a4ed817161a2e2fb6152</t>
  </si>
  <si>
    <t>106808</t>
  </si>
  <si>
    <t>13-02-2026 10:54:58</t>
  </si>
  <si>
    <t>890903858</t>
  </si>
  <si>
    <t>Industria Nacional De Gaseosas SA</t>
  </si>
  <si>
    <t>003d475de821e28f9b266fede828f7244c411eee6cddebb0a4ec08866be8c4201d8bbba10bec584502cb329c4ede72ea</t>
  </si>
  <si>
    <t>106809</t>
  </si>
  <si>
    <t>9e2adb5fd7f63d685d93d2e509c22f9043208c5814df8cb83c928f4ebdfcb586c39dd3232807bf34ce9fafe0d1724290</t>
  </si>
  <si>
    <t>106810</t>
  </si>
  <si>
    <t>13-02-2026 10:53:48</t>
  </si>
  <si>
    <t>890204496</t>
  </si>
  <si>
    <t>BP Constructores SA</t>
  </si>
  <si>
    <t>cef6205f663b77c9c293339989651aee124b40bcbe7310fbf192b1924a240d03e0b9d0df43bd936372909abc3c37eddd</t>
  </si>
  <si>
    <t>106811</t>
  </si>
  <si>
    <t>13-02-2026 10:54:40</t>
  </si>
  <si>
    <t>900215394</t>
  </si>
  <si>
    <t>Dromos Pavimentos SAS</t>
  </si>
  <si>
    <t>1898e1cd7bc9c87067487296f8589259ef621429b320aa4202a4261987762bf137ece4322430184afc8e17c996b9ad4a</t>
  </si>
  <si>
    <t>106812</t>
  </si>
  <si>
    <t>13-02-2026 10:53:54</t>
  </si>
  <si>
    <t>7ccc1d12a7529ced945834849a1a18c54b03da5c4fc59b4a2a0e1729448756caddddaf9d709a2a5e74fd276b19177395</t>
  </si>
  <si>
    <t>106813</t>
  </si>
  <si>
    <t>13-02-2026 10:53:57</t>
  </si>
  <si>
    <t>a95d3bc54c91901c552305fb03f16eef890b3face15fec179fffaf4617ca8ad1fd52d446a1e2a472e8f35cfd2a92fc91</t>
  </si>
  <si>
    <t>106814</t>
  </si>
  <si>
    <t>13-02-2026 11:21:46</t>
  </si>
  <si>
    <t>901137873</t>
  </si>
  <si>
    <t>Ch Mac Abogados  SAS</t>
  </si>
  <si>
    <t>0e74ccd54eedaeb0ea123365c3d7dc53280f1aca72b2c157089edd690526b3ad5ba9c444fb00b83bdbd11a948cf27b1d</t>
  </si>
  <si>
    <t>106815</t>
  </si>
  <si>
    <t>13-02-2026 11:21:47</t>
  </si>
  <si>
    <t>36884915c224701c42ba84972a0f0b4ec736f3f1eb23142dcb2b6dcb381fb39a51d20b89936d5ada197a049b66b8c263</t>
  </si>
  <si>
    <t>106816</t>
  </si>
  <si>
    <t>13-02-2026 11:52:05</t>
  </si>
  <si>
    <t>57ca68925bc8b5c60b9d5f877b04a3561d11eca385f4a5158fa9c44646199fa94efc07cd9a2adad4298e2554f7eb62f8</t>
  </si>
  <si>
    <t>106817</t>
  </si>
  <si>
    <t>3e1dd53790b3622c234771b1ce727509a1e29b7e418009828d65b08904bfd7d57029ae495f6e6b6793ffafad75608454</t>
  </si>
  <si>
    <t>106818</t>
  </si>
  <si>
    <t>b72d6fc5e96633002d22769a8da4c0ac46819195b1e0bb81b659386f5332ee488ceb82f694e69838f398efaf9b6bb3d9</t>
  </si>
  <si>
    <t>106819</t>
  </si>
  <si>
    <t>13-02-2026 11:52:12</t>
  </si>
  <si>
    <t>cc363204bb7af38eb69363c6019b301308b2d043acc9de37895e75195aa8a87701289a474f4b7329a5cff634b78bf08a</t>
  </si>
  <si>
    <t>106820</t>
  </si>
  <si>
    <t>13-02-2026 11:52:58</t>
  </si>
  <si>
    <t>860005289</t>
  </si>
  <si>
    <t>Ascensores Schindler De Colombia SAS</t>
  </si>
  <si>
    <t>fad3025ec75f34207f63ef7fdc18055d4fb2568477b0f72eda7fa332b08dcb52a61bca60677e0a508c92115fa47231f7</t>
  </si>
  <si>
    <t>106821</t>
  </si>
  <si>
    <t>cab6aff840636386ccb6037456d0d6f356059c5a8836527ee105bf0e048793fc16894745b1484f5c8f3f5e836d0f7c6a</t>
  </si>
  <si>
    <t>106822</t>
  </si>
  <si>
    <t>13-02-2026 12:16:27</t>
  </si>
  <si>
    <t>59e3be656bc6d61fd81f7cc9482cdc6c066e23d971c48faf167630d59fa72e9e87bd86ee11c55c1ac1d6c07ef8b039ca</t>
  </si>
  <si>
    <t>106823</t>
  </si>
  <si>
    <t>13-02-2026 12:16:32</t>
  </si>
  <si>
    <t>06a3c10ea557d9f97f1586ca285b25223facba2f605b41bafd665c58609c410711c3c86bb0ece8c098aa0d2b1e7557bc</t>
  </si>
  <si>
    <t>106824</t>
  </si>
  <si>
    <t>13-02-2026 12:16:37</t>
  </si>
  <si>
    <t>Weg Colombia SAS</t>
  </si>
  <si>
    <t>97021a91c2930213ecf60ba7ac69ed300253a0474023cd1ad92b513f99465eb80e76a03570ab3541cf77819087d795ee</t>
  </si>
  <si>
    <t>106825</t>
  </si>
  <si>
    <t>13-02-2026 12:16:41</t>
  </si>
  <si>
    <t>860053976</t>
  </si>
  <si>
    <t>Algranel SA</t>
  </si>
  <si>
    <t>ae234916c1acd4a3798fe4ecb48b81a1621789dd8d3ffee6b5f00f65953dfc9e87c2a2a9b3638825aa10ddba637e6026</t>
  </si>
  <si>
    <t>106826</t>
  </si>
  <si>
    <t>13-02-2026 12:16:54</t>
  </si>
  <si>
    <t>900824185</t>
  </si>
  <si>
    <t>Hp Colombia SAS</t>
  </si>
  <si>
    <t>95a6de8e9e04ff28ece3e388de072993a086a2f229a53918b9f474c7911cf365fa2f6939f30e088752e93c02b3781261</t>
  </si>
  <si>
    <t>106827</t>
  </si>
  <si>
    <t>13-02-2026 12:28:05</t>
  </si>
  <si>
    <t>901938866</t>
  </si>
  <si>
    <t>Consorcio Vial JJ-ACI</t>
  </si>
  <si>
    <t>b3dd3b5e9995da79cf1b55468f5245e1f4af34d85d0cb4cdcab08adfe365850074b03501e71c25ee3799cdb53459b214</t>
  </si>
  <si>
    <t>106828</t>
  </si>
  <si>
    <t>13-02-2026 12:28:06</t>
  </si>
  <si>
    <t>f7f4e1734980e3063eb797c32bc806948aa7ef35f8e0d1f3cea19c1c01f259bb85ecfce2677dd64aa4ee0f19759f4acf</t>
  </si>
  <si>
    <t>106829</t>
  </si>
  <si>
    <t>b4faad10df004cbecb1beb6b93cfd92746644e66cd7d6415e210e1cc75dd271b0f6063f4c09fd78110fe6feca7596583</t>
  </si>
  <si>
    <t>106830</t>
  </si>
  <si>
    <t>13-02-2026 12:28:09</t>
  </si>
  <si>
    <t>130a124959ef7ce51e95027cd225060b0bd01912f182cc07fb6a3c55fdb90e2e1bce0da611f27e9671239a2fecf293a4</t>
  </si>
  <si>
    <t>106831</t>
  </si>
  <si>
    <t>13-02-2026 12:39:22</t>
  </si>
  <si>
    <t>902018293</t>
  </si>
  <si>
    <t>Union Temporal Actores Electorales 2026</t>
  </si>
  <si>
    <t>1ae01876cd95c23982bb042bdabaa3f92de0d8ac8f84cec86fe43b45613d5d1a5bf285a825255d7a4128deee56eaf53a</t>
  </si>
  <si>
    <t>106832</t>
  </si>
  <si>
    <t>13-02-2026 12:39:23</t>
  </si>
  <si>
    <t>4b90dc3eb651e990662b28cca48b6777a2bbb1234e7b49a30ec6692da2bee5c6acbec5c842eebb2969c2f08668e7b646</t>
  </si>
  <si>
    <t>106833</t>
  </si>
  <si>
    <t>13-02-2026 12:39:24</t>
  </si>
  <si>
    <t>230516e96a8355f826272c47d22ac2ff4a2b06a500d37b42a99f4af50d7f7bf2cae6e017d3103618d46dc3b3ffc7315d</t>
  </si>
  <si>
    <t>106834</t>
  </si>
  <si>
    <t>13-02-2026 12:39:25</t>
  </si>
  <si>
    <t>bccc1168c0b8167e752707fe3f4daf578d144691d019fcbccd0709dd8687c14a656d96dc76627b669c348eaf5ea702cb</t>
  </si>
  <si>
    <t>106835</t>
  </si>
  <si>
    <t>13-02-2026 12:39:26</t>
  </si>
  <si>
    <t>6c5e166ed8768be874e62ca6d053dba14c207d864bcbcde9db44eff18b0fd3b5b7effdf58080f91d3fc65254edfc3cb9</t>
  </si>
  <si>
    <t>106836</t>
  </si>
  <si>
    <t>13-02-2026 12:39:27</t>
  </si>
  <si>
    <t>ccde736956d1d13aefedd4f487e73adc48b27ec256a0a74468e991a65b46fdd45c10d1e74584daece49339dd03aac6ff</t>
  </si>
  <si>
    <t>106837</t>
  </si>
  <si>
    <t>13-02-2026 12:39:28</t>
  </si>
  <si>
    <t>97aca7c8b0a82ede6a74036b93552d6a7d7ee544d90b282efb4a0be14120f329bf8a2b59176f09d0506bfd9953009495</t>
  </si>
  <si>
    <t>106838</t>
  </si>
  <si>
    <t>13-02-2026 12:39:29</t>
  </si>
  <si>
    <t>2d0b5c6ad14e7f7099165242adcb2cddad6a5a449c83e799479316b1ce6ecea84cebb67f71ef8e26f7567ed130bdee36</t>
  </si>
  <si>
    <t>106839</t>
  </si>
  <si>
    <t>13-02-2026 12:39:31</t>
  </si>
  <si>
    <t>6c8a6c0a603ea7ae7a7e56083d42d2c8f31a7834d1442ea73d5505fcb8098928a68aea50e360a870c3eea90cfe0219ca</t>
  </si>
  <si>
    <t>106840</t>
  </si>
  <si>
    <t>13-02-2026 12:39:34</t>
  </si>
  <si>
    <t>c8f17b9d65d5c632895f5a1333596d672fd80021fcc162a4e9b6bac759c7e71dbf2c504080363d4a69b61e6ceaf7b150</t>
  </si>
  <si>
    <t>106841</t>
  </si>
  <si>
    <t>13-02-2026 12:40:57</t>
  </si>
  <si>
    <t>c8af1aafb4c48ed19492735d41b6ce4f907ef54f85d85dba017a8149cf511326994c4a5ebdc0fb0f75f19dcf1cd5dda8</t>
  </si>
  <si>
    <t>106842</t>
  </si>
  <si>
    <t>13-02-2026 12:39:41</t>
  </si>
  <si>
    <t>db7fdb2b3086bc6d8fd17cd053e3c8bfc5a4f22862824ae7c46ccfb3233199edad1d30c7e75efe4928421679e193db26</t>
  </si>
  <si>
    <t>106843</t>
  </si>
  <si>
    <t>13-02-2026 12:39:45</t>
  </si>
  <si>
    <t>900975788</t>
  </si>
  <si>
    <t>Sky Industrial SAS</t>
  </si>
  <si>
    <t>5fc99333c96e7565cdf3f17801606f485eae2091e68b0d0de007d68591f620cdebcc0deecce571547698e09fc17ea04a</t>
  </si>
  <si>
    <t>106844</t>
  </si>
  <si>
    <t>13-02-2026 12:49:54</t>
  </si>
  <si>
    <t>f72d7c394c85f203c249b89b217d92c0fecfd4f349dca35e86645ef59ea2b3faecb5128e0b580252d81c7296fa563dc9</t>
  </si>
  <si>
    <t>106845</t>
  </si>
  <si>
    <t>13-02-2026 12:50:02</t>
  </si>
  <si>
    <t>0b6042047e28a6dde93af5c11abcc9653424302cbc8a2a73226d2ea9b5737ce05f57a6c3aa0179d6781d15bdac4d3ef6</t>
  </si>
  <si>
    <t>106846</t>
  </si>
  <si>
    <t>13-02-2026 12:50:03</t>
  </si>
  <si>
    <t>d79848edd5bd8871e1fb103de0c801255bc798664f84e25085acc09e3c0d1e11360aefb96971413a88ec13df288eb539</t>
  </si>
  <si>
    <t>106847</t>
  </si>
  <si>
    <t>13-02-2026 12:56:28</t>
  </si>
  <si>
    <t>800154155</t>
  </si>
  <si>
    <t>Centro Comercial Plaza De Las Americas-Propiedad Horizontal</t>
  </si>
  <si>
    <t>40d7e654d57f096875f940d2399bf18b628ead349d1d62762f19bccbf8822896fc664da9cb10e6be5f45a05ae56f2c4f</t>
  </si>
  <si>
    <t>106848</t>
  </si>
  <si>
    <t>13-02-2026 12:56:31</t>
  </si>
  <si>
    <t>704afe8b4cdce958857f94f6bf173de7fad2aabcbfe21466e859433b80cba42997e95a4f83ded595226a406e7173d10f</t>
  </si>
  <si>
    <t>106849</t>
  </si>
  <si>
    <t>13-02-2026 12:57:17</t>
  </si>
  <si>
    <t>860025614</t>
  </si>
  <si>
    <t>Confederacion Colombiana De Camaras De Comercio Confecamaras</t>
  </si>
  <si>
    <t>f4f84339711a949e3e4d016954875806f4ddd40da096ae1941c5c38dbfe39fcd4744c7228314e3d6162f0e010a1967e7</t>
  </si>
  <si>
    <t>106850</t>
  </si>
  <si>
    <t>13-02-2026 13:05:46</t>
  </si>
  <si>
    <t>890903938</t>
  </si>
  <si>
    <t>Bancolombia SA</t>
  </si>
  <si>
    <t>785a8b51a091b71116a2cb4520659bc9fd3a6d8e9f36bed35fe2a6652c2dd5f1154bffacbb88e19a94fe0107d83c9b72</t>
  </si>
  <si>
    <t>106851</t>
  </si>
  <si>
    <t>13-02-2026 13:06:04</t>
  </si>
  <si>
    <t>d05395e1d2298f68fc698103ec91608bf2a455a004705d7ba5939948aaf7ba0bc50c3d667b98b3b6a6b1ab1321208b69</t>
  </si>
  <si>
    <t>106852</t>
  </si>
  <si>
    <t>13-02-2026 13:06:11</t>
  </si>
  <si>
    <t>ce0446cfd51f59b49ad90e296d3995caff6c6c2f7c05dfbb3b08334556aa1eee226bb199c4b3f6b17e4b5d2cd1205933</t>
  </si>
  <si>
    <t>106853</t>
  </si>
  <si>
    <t>13-02-2026 13:06:16</t>
  </si>
  <si>
    <t>28a9e44caf2cc11a77868f61df473d147d4d69bb1a2bc2bbda39646e16c050e353ca2677dfee70387ac7e870f62e4556</t>
  </si>
  <si>
    <t>106854</t>
  </si>
  <si>
    <t>13-02-2026 13:06:28</t>
  </si>
  <si>
    <t>fd94cf997184e6b230ef745624165a8d10328220845d804421eecf752f646ba45f4334586d1736aee22e2f6b90224527</t>
  </si>
  <si>
    <t>106855</t>
  </si>
  <si>
    <t>13-02-2026 13:18:46</t>
  </si>
  <si>
    <t>08864050a82d5c5f0c2430b045135b24d5e59a8cc261f8113ac01fbb676dd85a641444c21fa392c5879d746437bbdf69</t>
  </si>
  <si>
    <t>106856</t>
  </si>
  <si>
    <t>13-02-2026 13:18:52</t>
  </si>
  <si>
    <t>0da064c2ec29fd1785ce3eb27f18d0673c0454e56f8936b7b1ae866d5cbff047dcdabbb72407af7e39bef3398eee349a</t>
  </si>
  <si>
    <t>106857</t>
  </si>
  <si>
    <t>13-02-2026 13:18:58</t>
  </si>
  <si>
    <t>3ea1d367b879ce8946091c1e4501ac2005584c5ed6f1288e5a6245d14f0eb93acbf7c4a13d0a8fc49af79412d5b46dc7</t>
  </si>
  <si>
    <t>106858</t>
  </si>
  <si>
    <t>13-02-2026 14:27:10</t>
  </si>
  <si>
    <t>900138425</t>
  </si>
  <si>
    <t>Laboratorios Sophia De Colombia Ltda</t>
  </si>
  <si>
    <t>e2ff8c47abab5216acf19b6fc731ad3937051243eaa7dc12c79b9220b588006c1e489110f8e6a6016a9e3a3687053063</t>
  </si>
  <si>
    <t>106859</t>
  </si>
  <si>
    <t>13-02-2026 14:27:33</t>
  </si>
  <si>
    <t>aaeca220763dfb51ef1c95a29475e4d07fc31e5cb8d1d6cae04f74457be982f22171046dbecb05ebac0c154193188a34</t>
  </si>
  <si>
    <t>106860</t>
  </si>
  <si>
    <t>13-02-2026 14:27:35</t>
  </si>
  <si>
    <t>de585c1ab5d8f9093b4fffaa15fb4fd23d564ffc3f07fc6053ed66664bf3cdd8b4e0ab644bc5b9f58b8f87ecefd50669</t>
  </si>
  <si>
    <t>106861</t>
  </si>
  <si>
    <t>13-02-2026 14:27:43</t>
  </si>
  <si>
    <t>1a7330b1a7723fdadcd63296cc20c0f6d4c7d1a28de4b3bc4f1da6112a8cabb272c6340a990668d50b44dfe129a166c4</t>
  </si>
  <si>
    <t>106862</t>
  </si>
  <si>
    <t>13-02-2026 14:27:45</t>
  </si>
  <si>
    <t>35f38236da9823e03a688019acfe4ba14dfe0e66f70ff9e4869ff5455ead75f37c3499f7835113d601e17443200b1fef</t>
  </si>
  <si>
    <t>106863</t>
  </si>
  <si>
    <t>13-02-2026 14:27:51</t>
  </si>
  <si>
    <t>d63810081a1c13b36c9a9d46ef3bcca2cd7dc03b7a87d51e054292052350e6daecf63f98cb9b53b920d84e84106ec33e</t>
  </si>
  <si>
    <t>106864</t>
  </si>
  <si>
    <t>17d811a9fa60a58a7d8fc6b2c331da1c40531dc6b62157c021464be3bff6466dff52cab58f0097a9375d043c6baf10e8</t>
  </si>
  <si>
    <t>106865</t>
  </si>
  <si>
    <t>13-02-2026 14:27:53</t>
  </si>
  <si>
    <t>e97c9b55f2cc550387e25ef84549303fbbbdb092f49b638762134986395437b404602a1f3a90d765e064cb935cc5d062</t>
  </si>
  <si>
    <t>106866</t>
  </si>
  <si>
    <t>13-02-2026 14:42:12</t>
  </si>
  <si>
    <t>830077866</t>
  </si>
  <si>
    <t>Fondo Para La Accion Ambiental Y La Niñez</t>
  </si>
  <si>
    <t>2b500bdf9a644f33fda7abd79f4d9907050baa5772c05ec918a8280117a6ecf399a3770379daf82052efaca7a9915495</t>
  </si>
  <si>
    <t>106867</t>
  </si>
  <si>
    <t>13-02-2026 14:42:17</t>
  </si>
  <si>
    <t>def2a1eb69ddf6beb79e85120f157ffef34f93adbfc7db3b8b188d236ab40da49c39296d8e70f8babee41baba32d0001</t>
  </si>
  <si>
    <t>106868</t>
  </si>
  <si>
    <t>13-02-2026 14:57:23</t>
  </si>
  <si>
    <t>b9147726a26f1e517d88ebda2ab6e781769702b72a88f1889d1e40d1a38d39ac175e768fee850fca9273d96f39ceddf1</t>
  </si>
  <si>
    <t>106869</t>
  </si>
  <si>
    <t>13-02-2026 14:57:28</t>
  </si>
  <si>
    <t>037d73ca94072a64d2b93aecd9a4129b230d853bd57d87909484fc2426bb18fd6b7711988f6fad34f7afbe5138207469</t>
  </si>
  <si>
    <t>106870</t>
  </si>
  <si>
    <t>13-02-2026 15:12:34</t>
  </si>
  <si>
    <t>dd23667a3967fae82d0bb5451526bdb5944098a0673126a3aa60fbe4a049f706f7e08a57d764db1bac93f81f6ecfe893</t>
  </si>
  <si>
    <t>106871</t>
  </si>
  <si>
    <t>13-02-2026 15:12:39</t>
  </si>
  <si>
    <t>7692809c5c8f50ce9c773b973a7a872f557f2e33d2a33a7698ad0d84e3381ba16e3dbd90e549b2d39e018928b25bc9d1</t>
  </si>
  <si>
    <t>106872</t>
  </si>
  <si>
    <t>13-02-2026 15:27:45</t>
  </si>
  <si>
    <t>866a88f58bf38106e58f26c40936fe2a6310eb6c172c45a4da1f546a307efc3a3075f51c4056de07b027c5cef05ff559</t>
  </si>
  <si>
    <t>106873</t>
  </si>
  <si>
    <t>13-02-2026 15:27:50</t>
  </si>
  <si>
    <t>d02de442e8bf3a36f1b0a9bd0cf74c03c96f8910b4e53ce366378bf3985db127850bf91380de5dba56d341c78435a425</t>
  </si>
  <si>
    <t>106874</t>
  </si>
  <si>
    <t>13-02-2026 15:27:55</t>
  </si>
  <si>
    <t>900194642</t>
  </si>
  <si>
    <t>Gesproyect SAS</t>
  </si>
  <si>
    <t>PAGA 17/02/2026</t>
  </si>
  <si>
    <t>c1a323c9f910a6cd55f984392dbf2423d6e34e1fcb5fd276d574bdd65e9c446aa146e280715bec7a4bd8bd48c9d26209</t>
  </si>
  <si>
    <t>106875</t>
  </si>
  <si>
    <t>13-02-2026 15:43:01</t>
  </si>
  <si>
    <t>b1a1dad6b3460b5f7d40bf4c6e25ce341986b9cee53949f9d34e4a01305ad6a4b106396bacdc454766c483ea9f1391b0</t>
  </si>
  <si>
    <t>106876</t>
  </si>
  <si>
    <t>13-02-2026 15:43:06</t>
  </si>
  <si>
    <t>18d8a71eabb82995bcc8e8d659893661df0793c9034c4e32b6eb45e11710ffdec8075df90f1537aff382f9918967a544</t>
  </si>
  <si>
    <t>106877</t>
  </si>
  <si>
    <t>13-02-2026 16:07:10</t>
  </si>
  <si>
    <t>e0062ceddeb8714c787efb18d26b0c447d0b9a3a095131916106bd6764b032924dc1376b5b62e379894d2dd48114d38a</t>
  </si>
  <si>
    <t>106878</t>
  </si>
  <si>
    <t>13-02-2026 15:58:22</t>
  </si>
  <si>
    <t>3c1a4533caae65446124a324072112155d1ec2630581f9b60077b23f8ccaea79952e133f86b8c743480781a9c534b9e2</t>
  </si>
  <si>
    <t>106879</t>
  </si>
  <si>
    <t>13-02-2026 15:58:34</t>
  </si>
  <si>
    <t>cd1f777ed97d741509e28dca3a76c22e21fbcc81c8911ab5def8136614c82b917fa1360eb6fa4196d80b62e532047ffe</t>
  </si>
  <si>
    <t>106880</t>
  </si>
  <si>
    <t>13-02-2026 15:59:33</t>
  </si>
  <si>
    <t>d10c09a8a6d6f9d7a99d1b005f886f62ee427a8bd09c9a20766c4f7b409f204edba62da0a9f07950307712f325c1c87a</t>
  </si>
  <si>
    <t>106881</t>
  </si>
  <si>
    <t>13-02-2026 15:59:36</t>
  </si>
  <si>
    <t>b2896fb13ae60c5ea56273815e71ca97aa10965976b5f16790845c20aae1ab8f2d6eb6c44c308cdcb57badc1200c23ef</t>
  </si>
  <si>
    <t>106882</t>
  </si>
  <si>
    <t>13-02-2026 16:43:48</t>
  </si>
  <si>
    <t>b464f26b14bf523e7b37c9918bc38c5906cedd9670d9ec3b4171fb9188bf2be9c3b6b961478a9b82d8998b904832ae3d</t>
  </si>
  <si>
    <t>106883</t>
  </si>
  <si>
    <t>16-02-2026</t>
  </si>
  <si>
    <t>16-02-2026 07:49:30</t>
  </si>
  <si>
    <t>800153970</t>
  </si>
  <si>
    <t>Vitral Textil SAS</t>
  </si>
  <si>
    <t>18661863edefc7f5175a99733a83968414fbc1f3fec09aae7f9821051fa61f43945ec37678bc802b9c7812cefb060aec</t>
  </si>
  <si>
    <t>106884</t>
  </si>
  <si>
    <t>16-02-2026 08:04:36</t>
  </si>
  <si>
    <t>860007759</t>
  </si>
  <si>
    <t>Colegio Mayor De Nuestra Señora Del Rosario</t>
  </si>
  <si>
    <t>d3b246eb3532bc2ad184334ac6830dd21429968279735dee479a1cce8a9bc970a4dd3f2987868b4b9150563ab4c84286</t>
  </si>
  <si>
    <t>106885</t>
  </si>
  <si>
    <t>16-02-2026 08:34:43</t>
  </si>
  <si>
    <t>3c30be5d60acde64902dd497c2a12e95a7f7386e8c60e68f78e65557da5893f9799ea17d0e3c020ccb7e15f6f4c8e8d1</t>
  </si>
  <si>
    <t>106886</t>
  </si>
  <si>
    <t>16-02-2026 08:34:49</t>
  </si>
  <si>
    <t>a889401ed960219d8f2e3f225bf430aa28fab50bc7aeb5e386fbba9c10f73cf9bfd70d134ffa3cc88bbe4a790434ef84</t>
  </si>
  <si>
    <t>106887</t>
  </si>
  <si>
    <t>16-02-2026 09:34:59</t>
  </si>
  <si>
    <t>dd5105528ddf087f58f1084334f98fbdeca906228b1326b7352516803e7c8386cd61a417f1c23e39a95cf0a087890ae4</t>
  </si>
  <si>
    <t>106888</t>
  </si>
  <si>
    <t>16-02-2026 09:35:59</t>
  </si>
  <si>
    <t>71471d77152efbd49ccfe2d8a68f97f8443d7d15d44441d98268f1c72cea81c9060383c29ed00272d635cb3bc5c58a4e</t>
  </si>
  <si>
    <t>106889</t>
  </si>
  <si>
    <t>16-02-2026 09:35:08</t>
  </si>
  <si>
    <t>7e38fdd54d642df0bb1bca768957c08e058eecd2ab83516d295c0487e4fba3af733e64c722965f58cfe2338dc53aef0b</t>
  </si>
  <si>
    <t>106890</t>
  </si>
  <si>
    <t>16-02-2026 09:35:14</t>
  </si>
  <si>
    <t>a6f64a8b5986e6e0dd369117ac86fc39286b5edbae1876f9cb8736f07d70e7696e0f42563cceee3d9c4ad42df6ff7336</t>
  </si>
  <si>
    <t>106891</t>
  </si>
  <si>
    <t>16-02-2026 09:50:30</t>
  </si>
  <si>
    <t>a8fb7d88d589d3f716d71bb8ac4398e24729a67cd60af584c8e84510563700da966d27c47197e6f9457db5c0bfc0a408</t>
  </si>
  <si>
    <t>106892</t>
  </si>
  <si>
    <t>16-02-2026 09:50:29</t>
  </si>
  <si>
    <t>eb5335fa2175c99e1350d5424a3ec56339903cfc8bc03b66e01b4a465f823be4122fdf3300dd34b5c53776676271b2fa</t>
  </si>
  <si>
    <t>106893</t>
  </si>
  <si>
    <t>16-02-2026 09:50:33</t>
  </si>
  <si>
    <t>c61b36f977ce339d1ffec3d33d7d327013698ea6d1681dce2804343771fa234bbe87a98747817fa1d4196ca3d10c0a9b</t>
  </si>
  <si>
    <t>106894</t>
  </si>
  <si>
    <t>16-02-2026 10:05:52</t>
  </si>
  <si>
    <t>900354637</t>
  </si>
  <si>
    <t>Casahidalgo Constructores SAS</t>
  </si>
  <si>
    <t>db3c1534c2d2dd5c2b03043f7396e995ec701c19c43eb43feaf6890d663149b966bdf5aa5c3936570f9c53c84d13bf43</t>
  </si>
  <si>
    <t>106895</t>
  </si>
  <si>
    <t>16-02-2026 10:06:04</t>
  </si>
  <si>
    <t>6d0ba4ba7cd232fc0246d442e52c2115449dcf79e6757905d914515c9d3470511ef4940e365953dd1669445a97e47130</t>
  </si>
  <si>
    <t>106896</t>
  </si>
  <si>
    <t>16-02-2026 10:06:06</t>
  </si>
  <si>
    <t>830003900</t>
  </si>
  <si>
    <t>Incosoft SAS Ingenieria</t>
  </si>
  <si>
    <t>69e04e0434a37d7001e2b1b52977d611c257ff558d4950c00bb4ee5189910891cb3f3e0b288907ec58d6724cc594a401</t>
  </si>
  <si>
    <t>106897</t>
  </si>
  <si>
    <t>16-02-2026 10:20:56</t>
  </si>
  <si>
    <t>089d2c17388ddb42061ee4292ef1231ebb4b34d670695351df014c8237cef5e2615fd71b4de9e82b14791688fdcfb52e</t>
  </si>
  <si>
    <t>106898</t>
  </si>
  <si>
    <t>16-02-2026 10:54:57</t>
  </si>
  <si>
    <t>900241101</t>
  </si>
  <si>
    <t>Acf Technologies Colombia SAS</t>
  </si>
  <si>
    <t>86abedebda5f1b2f0a68618854594b029a76baf29b871426a99e3b10b11a919787de559ddec87df989228e685e1aa218</t>
  </si>
  <si>
    <t>106899</t>
  </si>
  <si>
    <t>16-02-2026 11:39:09</t>
  </si>
  <si>
    <t>107c828e361c04a2df6d4904a7f70d0ed09f3e4a9a22d0fee91c1e6965f4d4b87ec8d56d42c6fc80aa5857a0e5d0f061</t>
  </si>
  <si>
    <t>106900</t>
  </si>
  <si>
    <t>16-02-2026 11:39:16</t>
  </si>
  <si>
    <t>312bd33e2e06ac0f7a84bb9e4859e2fa8ad860b48ac17beac3a70db23f2e89860ae0d8e3ef786f8bbc3219ebb03e3d66</t>
  </si>
  <si>
    <t>106901</t>
  </si>
  <si>
    <t>16-02-2026 11:39:23</t>
  </si>
  <si>
    <t>900977303</t>
  </si>
  <si>
    <t>Modum SAS</t>
  </si>
  <si>
    <t>205667ffb9bde07c3503aa28ae782abffdac847fb06ed5ac806f486c3a18cba2cf6646c49f7f7eaa55100739b84b05ea</t>
  </si>
  <si>
    <t>106902</t>
  </si>
  <si>
    <t>16-02-2026 11:39:10</t>
  </si>
  <si>
    <t>79f47566c32b35c9da650fc15002665c5f753e3bb015d9d070b8fe17766820a53f2be883ed6c7353c9f8f04b2b5a49fb</t>
  </si>
  <si>
    <t>106903</t>
  </si>
  <si>
    <t>16-02-2026 11:39:11</t>
  </si>
  <si>
    <t>cc7f34eb32acd57831a9bf6ebdcabdce40bc83f9c797c031705846bc0779f08d2d416989e52525abc4a734343f71ad2d</t>
  </si>
  <si>
    <t>106904</t>
  </si>
  <si>
    <t>16-02-2026 11:39:57</t>
  </si>
  <si>
    <t>ef00357a5f2c759e672ce41530acb5b9e5277f90dcf3593c9f9c5a1a3ce95e28fafa9c3974d33d9b7d08c60af837c6dc</t>
  </si>
  <si>
    <t>106905</t>
  </si>
  <si>
    <t>9c9e59e76b47fb7e48e7ec21a27f8ef3c2a6da4a6cd485ad8b79d2a00943955b39fd12f265a7a134c2bd66bb83d5a253</t>
  </si>
  <si>
    <t>106906</t>
  </si>
  <si>
    <t>e6281ab7167fbd1acc88f0e881df248f4fc65bc36eac9b8c0b3cd3cecdd8fc83cf7d566c7b7750b53969eb71fe445383</t>
  </si>
  <si>
    <t>106907</t>
  </si>
  <si>
    <t>f04cf8d7ac54eca98555fe6af4af9c377deb12a4a77413122442f6db8dbebf223cb0896536458be112b80400881bcea4</t>
  </si>
  <si>
    <t>106908</t>
  </si>
  <si>
    <t>16-02-2026 12:30:32</t>
  </si>
  <si>
    <t>901685370</t>
  </si>
  <si>
    <t>Ingeurbe Gestora De Proyectos SAS</t>
  </si>
  <si>
    <t>87f75b5c01c6341456154be2bc171ac392cf7b75a11687b046fd20fdbe0c55a7c37a8a0b3987d3dc27d2bc6f0ee73335</t>
  </si>
  <si>
    <t>106909</t>
  </si>
  <si>
    <t>16-02-2026 12:29:40</t>
  </si>
  <si>
    <t>901817892</t>
  </si>
  <si>
    <t>Inversiones Viale 26 SAS</t>
  </si>
  <si>
    <t>5d349018590fb1cee54766468b55cf28f31c5c3b64e99a9909b653f44a15aec7febda5ce40ac31771c1d18a2ec01f639</t>
  </si>
  <si>
    <t>106910</t>
  </si>
  <si>
    <t>16-02-2026 12:29:48</t>
  </si>
  <si>
    <t>7121871046475ea3191b71ce5493d0ce224e292ee4c898fa80aedf4b2c7ae75d33e8dccd0bff314fdaa170189bff53c5</t>
  </si>
  <si>
    <t>106911</t>
  </si>
  <si>
    <t>16-02-2026 12:29:49</t>
  </si>
  <si>
    <t>29dc375e677dd40cf42f4351ea39da9ab9ee597674fa5832a68c0bc301440cd6ad774388cf00cec97ff729654815cf9c</t>
  </si>
  <si>
    <t>106912</t>
  </si>
  <si>
    <t>16-02-2026 12:29:58</t>
  </si>
  <si>
    <t>d3f1edb04280d76d30f21e116cac8cdefe40b40ce03a0b3619898ed082bd8a3dcabe1157b582c6fa2c1a6c19b3ee450b</t>
  </si>
  <si>
    <t>106913</t>
  </si>
  <si>
    <t>16-02-2026 12:30:00</t>
  </si>
  <si>
    <t>85daf04fcd7c3afe094f5c8d530d8ae30dcb7aefae154aa3d588a75f17275cf45fbe08e230bc4680ce8fbee68394ad79</t>
  </si>
  <si>
    <t>106914</t>
  </si>
  <si>
    <t>16-02-2026 12:30:04</t>
  </si>
  <si>
    <t>cd445cf8bab73862cac54887ec38a3f700a8dc482dd3a65e919890e807d29e4988553f3600828404d4369bb8c0c79785</t>
  </si>
  <si>
    <t>106915</t>
  </si>
  <si>
    <t>16-02-2026 12:30:16</t>
  </si>
  <si>
    <t>900749690</t>
  </si>
  <si>
    <t>Motored De Colombia SAS</t>
  </si>
  <si>
    <t>d8099e21530480468dd912ae3ba89641afb2e1d07de24166a8c25dfcffce51ee95d3929a172128e576dcfdbc5414e86b</t>
  </si>
  <si>
    <t>106916</t>
  </si>
  <si>
    <t>16-02-2026 12:52:10</t>
  </si>
  <si>
    <t>900207085</t>
  </si>
  <si>
    <t>Texart SAS</t>
  </si>
  <si>
    <t>030fcc547e0653f1e07b54358db4cd5eecd6f9b24504b56dfad0f1e43dcdc60f6e92c0b3393ed728fc1e48f1ceaa713d</t>
  </si>
  <si>
    <t>106917</t>
  </si>
  <si>
    <t>16-02-2026 12:54:34</t>
  </si>
  <si>
    <t>800158149</t>
  </si>
  <si>
    <t>Flores De Britania SAS</t>
  </si>
  <si>
    <t>cfc97ab9e561b2e137a5416b2432a70ac0c6aa18439696564a4c19287c5174b32381625b4511a175a01d30bd812a1ed0</t>
  </si>
  <si>
    <t>106918</t>
  </si>
  <si>
    <t>16-02-2026 12:52:21</t>
  </si>
  <si>
    <t>c421639ea072a6b2cced388cc33e6f23a3c44f407663608587d6d17178f75858058f8b2a8a13d5de128ab40e7d9e7b21</t>
  </si>
  <si>
    <t>106919</t>
  </si>
  <si>
    <t>16-02-2026 13:05:06</t>
  </si>
  <si>
    <t>900161454</t>
  </si>
  <si>
    <t>Corporacion Social Medica Sanitas</t>
  </si>
  <si>
    <t>3be7d63000572469b9b96a8d56b0dbf478ddfc9b410a13096ccffffe23721ab1b36f0e4e153aa3a9bfccdbd2d035a3a9</t>
  </si>
  <si>
    <t>106920</t>
  </si>
  <si>
    <t>16-02-2026 13:05:08</t>
  </si>
  <si>
    <t>5adeecac3e3555fdb067dcdc2aaef54e61f2a8897b8abbbda3bc0d132e9359c1eefee1b9efa6e34bdfa98efbe58d87cb</t>
  </si>
  <si>
    <t>106921</t>
  </si>
  <si>
    <t>16-02-2026 13:05:10</t>
  </si>
  <si>
    <t>3e8bb332f2e944a1c0e20dd10b6075dbe418fe87539473ac77b040751f47f1aeb4e156e9ad4065adf9b0589b57f96adc</t>
  </si>
  <si>
    <t>106922</t>
  </si>
  <si>
    <t>16-02-2026 13:05:16</t>
  </si>
  <si>
    <t>3fed00c88cdfa48e4ea334b98338ebc4d918ae076604d52ab24011cc3b94e934e951ef4be006e0a1def03ae0ad0f4dbd</t>
  </si>
  <si>
    <t>106923</t>
  </si>
  <si>
    <t>16-02-2026 13:05:18</t>
  </si>
  <si>
    <t>830001445</t>
  </si>
  <si>
    <t>Agroinsumos Alfa SAS</t>
  </si>
  <si>
    <t>ee582a1beddba51b8ab9b1159a1aece78760955b2a63ca5b27ef9814301d58737cb4465561149f6c13a7802b0292f819</t>
  </si>
  <si>
    <t>106924</t>
  </si>
  <si>
    <t>16-02-2026 13:05:23</t>
  </si>
  <si>
    <t>670d3794ddc7d5983ca0766b3d5f2c2701fb7832902f628c33c4c6ad62897a2dcca15f42fdf3f16bb7f685cc9e16677f</t>
  </si>
  <si>
    <t>106925</t>
  </si>
  <si>
    <t>16-02-2026 13:05:34</t>
  </si>
  <si>
    <t>900497906</t>
  </si>
  <si>
    <t>Puma Energy Colombia Combustibles SAS</t>
  </si>
  <si>
    <t>98b246336c514bea2aeb5a2da8aef8b19181e051da337bc9ebcf097bdc8714b2170a9ec34d07a1b42b4f341120f3a0be</t>
  </si>
  <si>
    <t>106926</t>
  </si>
  <si>
    <t>16-02-2026 13:05:49</t>
  </si>
  <si>
    <t>66b8cff59f88de7efda1617e1142aca84daa9490fa2df706efec38e7a669f5ab10a2d40e45b4ae2f73766636a042dd7b</t>
  </si>
  <si>
    <t>106927</t>
  </si>
  <si>
    <t>16-02-2026 13:16:45</t>
  </si>
  <si>
    <t>df17f8951c648a50ff03cf987c1ff280c370e07ec4d2b376b83ee95e2cda5bed25ba292274883e8afdf96555014e795b</t>
  </si>
  <si>
    <t>106928</t>
  </si>
  <si>
    <t>16-02-2026 13:16:46</t>
  </si>
  <si>
    <t>2cf70f08639e54b58932bdcd6105ae5005d745d48327c264974c208910097d2019d7c73b8d8659e1abeeda7294909690</t>
  </si>
  <si>
    <t>106929</t>
  </si>
  <si>
    <t>16-02-2026 13:16:48</t>
  </si>
  <si>
    <t>3528b2701df8fcb3ed8cb332833216932f2c9fb8b283ba74b382c0e8da74d6f49d1f991504cc72440ccc66b46b13cf6e</t>
  </si>
  <si>
    <t>106930</t>
  </si>
  <si>
    <t>16-02-2026 13:28:56</t>
  </si>
  <si>
    <t>aff77f474264026694750ba897f9ba35c4639242a43320354f2856d0b3462d73f0a46dc4020066ba507a8c1210729332</t>
  </si>
  <si>
    <t>106931</t>
  </si>
  <si>
    <t>16-02-2026 13:36:25</t>
  </si>
  <si>
    <t>830004861</t>
  </si>
  <si>
    <t>Mct SAS</t>
  </si>
  <si>
    <t>90c2daaebaa1d43c264e4cc31d124ff4c696df3b04ab58325cabc17e71c3b52ce54aaf54acfea33a4d3df9bcad4966f4</t>
  </si>
  <si>
    <t>106932</t>
  </si>
  <si>
    <t>16-02-2026 13:47:27</t>
  </si>
  <si>
    <t>860067697</t>
  </si>
  <si>
    <t>Arpro Arquitectos Ingenieros SAS</t>
  </si>
  <si>
    <t>135da1ad734ca28cd8e28f62e0a674ef86ac3a9059a49997ee92168a03d879ee8d88796535a99efda3e3600cfefc127a</t>
  </si>
  <si>
    <t>106933</t>
  </si>
  <si>
    <t>16-02-2026 13:48:37</t>
  </si>
  <si>
    <t>d34dca99370cab4ba4566f4c2c725f4c45a738111a46c4c2fccae6c612f769736636a290040880b8595b915fb75abff8</t>
  </si>
  <si>
    <t>106934</t>
  </si>
  <si>
    <t>16-02-2026 13:49:00</t>
  </si>
  <si>
    <t>fcfb7ab227bbcdad033c92679fe383994fa0af3f23fe653d59f2dda85360fd2f3890d4df848a82748fec78e50cebc740</t>
  </si>
  <si>
    <t>106935</t>
  </si>
  <si>
    <t>16-02-2026 13:47:36</t>
  </si>
  <si>
    <t>72c0ed426cee773d9ee3d397e9b88aca93d4f4025cc7dd50e6e25bf650f374a602f7ad917ae340d14431968d0e1ad747</t>
  </si>
  <si>
    <t>106936</t>
  </si>
  <si>
    <t>16-02-2026 13:47:40</t>
  </si>
  <si>
    <t>bd747f7cc00b23acecf50ba2680988d0a6cbfa736e1be13b4cf90b4b81cc7b4c32a22a714368227bb010b06ba03d658b</t>
  </si>
  <si>
    <t>106937</t>
  </si>
  <si>
    <t>16-02-2026 13:47:41</t>
  </si>
  <si>
    <t>a34aab612ab82a25082cb507db642651d61afde1dfa36a2a553a0db5680342317bc4999d1356b720660b541316e765e5</t>
  </si>
  <si>
    <t>106938</t>
  </si>
  <si>
    <t>16-02-2026 13:58:46</t>
  </si>
  <si>
    <t>db475866148edd052c860882ff625b7c81c3d92532034c461d3238d05979306a73f75b00e4f887324c7ce14fca17a0af</t>
  </si>
  <si>
    <t>106939</t>
  </si>
  <si>
    <t>710491be750f8e5b23b2087701615863c0d98ee93f9c6b0f7e1e7ae1cd6cd8b0fb1d5deedae323cd0630ed86466af867</t>
  </si>
  <si>
    <t>106940</t>
  </si>
  <si>
    <t>16-02-2026 14:44:11</t>
  </si>
  <si>
    <t>936afa7fbf8afb18b2f78e30dab992f488d97dda4467d723e5829bb2deaaf961afb81ad5c5db6a0d1af1ffe0047ba8de</t>
  </si>
  <si>
    <t>106941</t>
  </si>
  <si>
    <t>16-02-2026 14:43:12</t>
  </si>
  <si>
    <t>860024041</t>
  </si>
  <si>
    <t>Aldeas Infantiles SOS Colombia</t>
  </si>
  <si>
    <t>a37f60aa0f4bec0c6a3ad5b04876e8c9d351e74e45248ca7e06e209c7c9246681ecb9875cf1194d9c6b22e63740cc151</t>
  </si>
  <si>
    <t>106942</t>
  </si>
  <si>
    <t>16-02-2026 14:53:21</t>
  </si>
  <si>
    <t>901345524</t>
  </si>
  <si>
    <t xml:space="preserve">Corporacion Colombia Crea Talento </t>
  </si>
  <si>
    <t>ec54f280afa89de6b7a761a0863e7314b33f6d319b6e0c4ffc02d4d10b9d20aaa7d2d07043f52c0485756bb6c2ddb695</t>
  </si>
  <si>
    <t>106943</t>
  </si>
  <si>
    <t>16-02-2026 14:53:23</t>
  </si>
  <si>
    <t>b2427839cfd4a6ee5f9279203286da6902d94c74aec89b2456599d775ca429873240ef25de9467eb0ccbe33ca12a519a</t>
  </si>
  <si>
    <t>106944</t>
  </si>
  <si>
    <t>16-02-2026 14:53:27</t>
  </si>
  <si>
    <t>2440e33ffcce339925168e97e919a378fbd042def8d195f933d101cc8bb4834651989858f6b094cda0738a336e07c526</t>
  </si>
  <si>
    <t>106945</t>
  </si>
  <si>
    <t>16-02-2026 14:55:12</t>
  </si>
  <si>
    <t>a9aa392e57b9ec628b219b77dcde22e2238ac7b13b8bd6a0767c16d2895177e5dea520f8128a9c487b35b19eec4bba2b</t>
  </si>
  <si>
    <t>106946</t>
  </si>
  <si>
    <t>16-02-2026 14:53:42</t>
  </si>
  <si>
    <t>ba2a200673be7e0bb3d74ff12c47eacf0a121bc0b40ec1c5d2ba8fd4213b30d10a53d47dfae153600f13b37fbb3ed3dd</t>
  </si>
  <si>
    <t>106947</t>
  </si>
  <si>
    <t>16-02-2026 14:53:57</t>
  </si>
  <si>
    <t>7918294e8bb380500fa32133da6b355f8cc8f3c01b4c08d030240899d8431e6151decd4809fe312170f4437280f782d3</t>
  </si>
  <si>
    <t>106948</t>
  </si>
  <si>
    <t>16-02-2026 14:54:00</t>
  </si>
  <si>
    <t>cca8ede0705ffaea8a43b9e524f01322163e9958d309b502d5b51a5e3a36fe779ce2f27f8bae90fa1a66e71e3677843b</t>
  </si>
  <si>
    <t>106949</t>
  </si>
  <si>
    <t>16-02-2026 14:55:11</t>
  </si>
  <si>
    <t>33594b108e5ce7d257430490738d1367fa4176136fbb0b6d99f0518eb78af79c68ef21451dd8837d1d8be67d14d74c3b</t>
  </si>
  <si>
    <t>106950</t>
  </si>
  <si>
    <t>f747f0a6883edac7ac31eaf07f02b3bba46287d21aed2ad8e386a6ef56a7d174a3f8329387e9fa83deebf924b03ec49c</t>
  </si>
  <si>
    <t>106951</t>
  </si>
  <si>
    <t>16-02-2026 14:54:16</t>
  </si>
  <si>
    <t>373991ec7b6067561a26584c1e1eb08b4088d5bc83ffc9f267d61cef90a48fd27f0dd14dfae1b17329cec52824e2c027</t>
  </si>
  <si>
    <t>106952</t>
  </si>
  <si>
    <t>16-02-2026 15:05:51</t>
  </si>
  <si>
    <t>bccaa83aba225035e2227959b5d4c5fbbc0d1b7a6f9a37437cbd7d3d1bd1a6045f98487b2362d9bae7f3e907abbc95dd</t>
  </si>
  <si>
    <t>106953</t>
  </si>
  <si>
    <t>16-02-2026 15:05:54</t>
  </si>
  <si>
    <t>18c8b211041a6020f52bbca071318d9e052d5d81fbfd9505323005363d2699684a1dfc4300a42c8e042f5ee6e613a4a2</t>
  </si>
  <si>
    <t>106954</t>
  </si>
  <si>
    <t>16-02-2026 15:07:32</t>
  </si>
  <si>
    <t>a95da1cbe737d0c7b9a73eca3a1bbc985f83b450ec0d130a8b88b041e102f3aa2ce35183990aa91d8dc45cfb0afc00d5</t>
  </si>
  <si>
    <t>106955</t>
  </si>
  <si>
    <t>16-02-2026 15:17:16</t>
  </si>
  <si>
    <t>800208834</t>
  </si>
  <si>
    <t>Valley Cargo SAS</t>
  </si>
  <si>
    <t>b7da4675523b2205b3fbca523dfc3b1b94b051c48be7bff2ea586f32767690a7e749ab5707a7f410aee800a956182c18</t>
  </si>
  <si>
    <t>106956</t>
  </si>
  <si>
    <t>16-02-2026 15:18:18</t>
  </si>
  <si>
    <t>805011478</t>
  </si>
  <si>
    <t>Valley Logistic SA</t>
  </si>
  <si>
    <t>83e64d96b1137c29486807d2515530c4541564846361ffebcc9d121fbf2649df64230ceda53e112f98d2a9a6ac41645b</t>
  </si>
  <si>
    <t>106957</t>
  </si>
  <si>
    <t>16-02-2026 15:17:22</t>
  </si>
  <si>
    <t>465a75f798a7abf9805f307925daa81222fd15cabe155266979342d87abbffc985e8d75a5ad4e8a7bda79d5e2c7be240</t>
  </si>
  <si>
    <t>106958</t>
  </si>
  <si>
    <t>16-02-2026 15:17:24</t>
  </si>
  <si>
    <t>860030551</t>
  </si>
  <si>
    <t>Asesores De Servicios Y Proteccion Asep Limitada</t>
  </si>
  <si>
    <t>5a2a002dd0dc478d047e3ede6888840f7ef87df8df535696469245d94ffb45da90436e0f3ea1a55689120611836e91d6</t>
  </si>
  <si>
    <t>106959</t>
  </si>
  <si>
    <t>16-02-2026 15:17:29</t>
  </si>
  <si>
    <t>5eb171545d04fa50326110ba7ed5fa9be652c36ed3fc5aedc3f823fa875cf32c4b3174cf7b66197718c370778f715ade</t>
  </si>
  <si>
    <t>106960</t>
  </si>
  <si>
    <t>16-02-2026 15:30:26</t>
  </si>
  <si>
    <t>860005050</t>
  </si>
  <si>
    <t>Mexichem Colombia SAS</t>
  </si>
  <si>
    <t>4aa390f36a16a916d894f1593e287d6a9b4bc05000429c2452b7fad9004a8ac8e4df2ea104f216245aa62eb545e95035</t>
  </si>
  <si>
    <t>106961</t>
  </si>
  <si>
    <t>16-02-2026 15:30:31</t>
  </si>
  <si>
    <t>813008120</t>
  </si>
  <si>
    <t>Pa Colombia SAS</t>
  </si>
  <si>
    <t>e71db96395af87675bfb872b163c56986635a77e770f845b5b5d8e8ce8337cc490a559c161450ddebaa568e325e54c05</t>
  </si>
  <si>
    <t>106962</t>
  </si>
  <si>
    <t>16-02-2026 15:41:46</t>
  </si>
  <si>
    <t>901999619</t>
  </si>
  <si>
    <t>Consorcio La Inmaculada XXI</t>
  </si>
  <si>
    <t>acd7f381a7fbe38eaa976c9f686fcf0596f288fc946a1a5fc6355e0df7a8ac6f8fdbcd34dfd20cdc14a5fb499d307d2f</t>
  </si>
  <si>
    <t>106963</t>
  </si>
  <si>
    <t>16-02-2026 15:41:49</t>
  </si>
  <si>
    <t>902017521</t>
  </si>
  <si>
    <t>Consorcio Nazaret</t>
  </si>
  <si>
    <t>bc82a742465e3a0baa28d455a94e48ff48210d7066c46dad9a66be6c0a98555ba1f6b610374bf78e64b013592f82ed21</t>
  </si>
  <si>
    <t>106964</t>
  </si>
  <si>
    <t>16-02-2026 15:41:52</t>
  </si>
  <si>
    <t>3fd2d2ede1dd7326b5f53be26b7209653539c4e6f22f4ec167670f325bb3d524f0694a0aba42a633e867620309c236dc</t>
  </si>
  <si>
    <t>106965</t>
  </si>
  <si>
    <t>16-02-2026 15:44:09</t>
  </si>
  <si>
    <t>817001528</t>
  </si>
  <si>
    <t>Pavco De Occidente SAS</t>
  </si>
  <si>
    <t>391a80c1fbd94d1157fcd015182dd673cf3b1767e90ca15863c546eb801b7b3656e77ffd123fdb2886e7a8f4d2ece1c8</t>
  </si>
  <si>
    <t>106966</t>
  </si>
  <si>
    <t>16-02-2026 15:54:07</t>
  </si>
  <si>
    <t>2831dd098b9cccfbe6d3fc57efd4e51b6678548d2c49f479be759af045c17eea536ba080231d4f39d88b82b9a1b8ac11</t>
  </si>
  <si>
    <t>106967</t>
  </si>
  <si>
    <t>16-02-2026 15:54:08</t>
  </si>
  <si>
    <t>860001074</t>
  </si>
  <si>
    <t>Wsp Ingenieria Colombia SAS</t>
  </si>
  <si>
    <t>9e0fa63f0a63664c7fbafc319769c2e0eb5b6512deceeedc9230b3b09cb295196ac588a179c18ecddffeb5d9451fab05</t>
  </si>
  <si>
    <t>106968</t>
  </si>
  <si>
    <t>16-02-2026 15:54:09</t>
  </si>
  <si>
    <t>901273335</t>
  </si>
  <si>
    <t xml:space="preserve">Healthy Servicios De Catering S A S </t>
  </si>
  <si>
    <t>cb14913dce0e9964b276b9ff908b8cf3ad50a5577ae7f9e0a461c12c46119a3f1b4c99e538a8e0174432a90984f69a04</t>
  </si>
  <si>
    <t>106969</t>
  </si>
  <si>
    <t>830511597</t>
  </si>
  <si>
    <t>Kantar Worldpanel Peru SA Sucursal Colombia</t>
  </si>
  <si>
    <t>81b13b4b04bce4cbf8a754cfe29675d4ac1f9eb4a1a09f395d95b07d68b4e1c0909a05c1a9f8218ad3466c18ee5fbf5e</t>
  </si>
  <si>
    <t>106970</t>
  </si>
  <si>
    <t>16-02-2026 15:54:12</t>
  </si>
  <si>
    <t>811033238</t>
  </si>
  <si>
    <t>Provenzal SAS</t>
  </si>
  <si>
    <t>bf49ef9fa7c0a8c39b533252dd057c357e331c438b4c9ec8077d6025c7151053fc7cb69ac24fbb8bff5001a217f93e99</t>
  </si>
  <si>
    <t>106971</t>
  </si>
  <si>
    <t>16-02-2026 15:54:14</t>
  </si>
  <si>
    <t>830123869</t>
  </si>
  <si>
    <t>Saufer Soluciones SAS</t>
  </si>
  <si>
    <t>4726fedf128d596d50bbd656b8e5ed51ff518c6c08931260c7a77915642cbd615c0e828f028626a1bbd25ebbde375964</t>
  </si>
  <si>
    <t>106972</t>
  </si>
  <si>
    <t>16-02-2026 15:54:17</t>
  </si>
  <si>
    <t>2c5882f1e80e9a7034762a86c3ebdb24d82ed67c16db025b401860ae1e8602706f63d06739369119fd5527ef71408cc6</t>
  </si>
  <si>
    <t>900353873</t>
  </si>
  <si>
    <t>Scania Colombia SAS</t>
  </si>
  <si>
    <t>1faf35f672ebb725a786c2b9c1a2ba1e97563e956128149db10cefe311f30c8a64e1430bf01f77f4665f29b59aaeca0e</t>
  </si>
  <si>
    <t>106974</t>
  </si>
  <si>
    <t>16-02-2026 16:06:14</t>
  </si>
  <si>
    <t>5d693a3b821bdb9a7f9e3aa8deb67834b1cde3f173e7d7268b88fd425edda52d05a152bc472c6e48c976d362c7863024</t>
  </si>
  <si>
    <t>106975</t>
  </si>
  <si>
    <t>16-02-2026 16:06:20</t>
  </si>
  <si>
    <t>PAGA 26/02/2026</t>
  </si>
  <si>
    <t>185506fc7f30b57612cf072c75a6cbb9b4b12eeb4817fd96556e8cabaaa2943dac4f462ec990f64c5d48df54a65966bf</t>
  </si>
  <si>
    <t>106976</t>
  </si>
  <si>
    <t>16-02-2026 16:06:28</t>
  </si>
  <si>
    <t>6df63b45861767aaa5457cd02569f8d07d46fcc4b5d64e444c64740f902b4dd4abb5e25d5d2a64c67843d970c8cd812f</t>
  </si>
  <si>
    <t>106977</t>
  </si>
  <si>
    <t>16-02-2026 16:06:36</t>
  </si>
  <si>
    <t>830073329</t>
  </si>
  <si>
    <t>Ikusi Redes Colombia SAS</t>
  </si>
  <si>
    <t>7316c0269fb62da3223f73ad5a787b6cf1cc1c7b845072fe5b6523186f110f5859b32e6470ba7fdf3fc85a7cc85d5348</t>
  </si>
  <si>
    <t>106978</t>
  </si>
  <si>
    <t>16-02-2026 16:06:42</t>
  </si>
  <si>
    <t>860063830</t>
  </si>
  <si>
    <t>Estilo Ingenieria SA</t>
  </si>
  <si>
    <t>a365faa25e7df64c3f53c7f06736fec7f9b92a5449131d9f012ae89e3ea59f990857cc9c9bc5d5ac3f379f9a6bd2aa7d</t>
  </si>
  <si>
    <t>106979</t>
  </si>
  <si>
    <t>16-02-2026 16:21:15</t>
  </si>
  <si>
    <t>900459737</t>
  </si>
  <si>
    <t>Grupo Eds Autogas SAS</t>
  </si>
  <si>
    <t>8d28f94b6a63d303f3cf559d0560ec2c25fe125f35cd65b0917bd318f0eea128c2157dd790b8d698ba4f3be125b074d7</t>
  </si>
  <si>
    <t>106980</t>
  </si>
  <si>
    <t>16-02-2026 16:20:15</t>
  </si>
  <si>
    <t>8563d5a0038b9ce10336295bb6aba31a4a9d9c64bb5734ec96ae18b2de029a31867c690b0cd472666dd837b293d79793</t>
  </si>
  <si>
    <t>106981</t>
  </si>
  <si>
    <t>16-02-2026 16:20:19</t>
  </si>
  <si>
    <t>800129465</t>
  </si>
  <si>
    <t>Inverfas SA</t>
  </si>
  <si>
    <t>04594fe2f1ad2bffa388e63dba38d8a501b1bf4370e40a7a6b6e808909c4318658fe97bf1cb4e889ba620383b067d6e6</t>
  </si>
  <si>
    <t>106982</t>
  </si>
  <si>
    <t>16-02-2026 16:34:02</t>
  </si>
  <si>
    <t>900301478</t>
  </si>
  <si>
    <t>Soldepye Soluciones De Potencia E Ingenieria SAS</t>
  </si>
  <si>
    <t>7f3bd3f512423b6ccf3c0488cc87d2d76be016150d1da9b790d7d0588625362981b396024da71e08c767deaa690c1f5a</t>
  </si>
  <si>
    <t>106983</t>
  </si>
  <si>
    <t>16-02-2026 16:34:08</t>
  </si>
  <si>
    <t>891856718</t>
  </si>
  <si>
    <t>Duflo Servicios Integrales SAS</t>
  </si>
  <si>
    <t>0734f3f0ec86f4f09d530ac6de23a1f6db4266f2451c8bbe255d44d34999e4083c553937e9010a3254175ce5fa1b7ca0</t>
  </si>
  <si>
    <t>106984</t>
  </si>
  <si>
    <t>17-02-2026</t>
  </si>
  <si>
    <t>17-02-2026 08:30:23</t>
  </si>
  <si>
    <t>860066942</t>
  </si>
  <si>
    <t>Caja De Compensacion Familiar Compensar</t>
  </si>
  <si>
    <t>8ff2c3a0c9aafa2f159ee0a5987f01a7ca34e3b0bf73306720ccb2ab2470713269dc9db66ce7ba127a1a26cc2b77461c</t>
  </si>
  <si>
    <t>106985</t>
  </si>
  <si>
    <t>17-02-2026 08:30:28</t>
  </si>
  <si>
    <t>2c559e5778129ca9c211fada4e2e5f52802ea9ca74a1bf3253e4611e1afa46c34394d074c40a60ace59911b0957ea971</t>
  </si>
  <si>
    <t>106986</t>
  </si>
  <si>
    <t>17-02-2026 08:30:32</t>
  </si>
  <si>
    <t>69e64ee475ee037521166e0b3f37fc576f828e88578aa4a5815b8062b868d25b41cec0071d438cdb7c6711e342b266ca</t>
  </si>
  <si>
    <t>106987</t>
  </si>
  <si>
    <t>17-02-2026 09:15:46</t>
  </si>
  <si>
    <t>0f2d5eb4cda865454b0c6d698b1dd8c2d5e1f6e17edee056a65ada47a8503ecf0cfc0f3165d4bf142a03852783bea7f9</t>
  </si>
  <si>
    <t>106988</t>
  </si>
  <si>
    <t>17-02-2026 09:15:51</t>
  </si>
  <si>
    <t>9540c8caff2d8f9b75c9a3169d1bc337a6245939270fe9a36988ebdda38586e49bc887456881fe4e962c1f9faa931d12</t>
  </si>
  <si>
    <t>106989</t>
  </si>
  <si>
    <t>17-02-2026 09:30:57</t>
  </si>
  <si>
    <t>901186367</t>
  </si>
  <si>
    <t>Elanco Colombia SAS</t>
  </si>
  <si>
    <t>84a607f5387af931ef7d6a778b954934e0d244293aeff2611df627d73f6e8e5b6111d7681d9c92c88cce3e9220d9cccc</t>
  </si>
  <si>
    <t>106990</t>
  </si>
  <si>
    <t>17-02-2026 09:31:02</t>
  </si>
  <si>
    <t>fc1ecb4aa70a32b378180379fc1978303703628e68f6e312b637262db41a4538955dba2df7db6338d66dfa7e241069a8</t>
  </si>
  <si>
    <t>106991</t>
  </si>
  <si>
    <t>17-02-2026 09:31:06</t>
  </si>
  <si>
    <t>bd55ebbe773eb1929a025700ab7d62894122e2e0af52898e29c1c70fa67497acd8bba079499d37c98a4f3b78974c7a83</t>
  </si>
  <si>
    <t>106992</t>
  </si>
  <si>
    <t>17-02-2026 09:46:15</t>
  </si>
  <si>
    <t>860028238</t>
  </si>
  <si>
    <t>Fabrica De Especias Y Productos El Rey SA</t>
  </si>
  <si>
    <t>f252d76d4a525ed3f5d6d20b224d3510cd1190cd7e0b62f0699cd6424850b7038d1d779b1b6fe278c48d60b40a840ffd</t>
  </si>
  <si>
    <t>106993</t>
  </si>
  <si>
    <t>17-02-2026 09:46:19</t>
  </si>
  <si>
    <t>177dbba8f5eba6d44e8415f0638eaf4e040be5ef8fa4b1d8f886d969ffe4b6b6be84be92084eb0a4143155d595cb3b2f</t>
  </si>
  <si>
    <t>106994</t>
  </si>
  <si>
    <t>17-02-2026 10:01:26</t>
  </si>
  <si>
    <t>860024586</t>
  </si>
  <si>
    <t>Pavimentos Colombia SAS</t>
  </si>
  <si>
    <t>FACTURA PAGA 27/02/2026</t>
  </si>
  <si>
    <t>aa3720963356068425b5a66edeac846ea49d8875ec99d3ce4359d6f59b54d01eaa0062c622c49c212b89c3e7bc7eceb9</t>
  </si>
  <si>
    <t>106995</t>
  </si>
  <si>
    <t>17-02-2026 10:16:32</t>
  </si>
  <si>
    <t>ed99f1bd0119220e7cc1e8a2d8b342643dc17d0314135b55151991661e1cb709ce0ce2a8f105429e74cf2f43ecd7c1f5</t>
  </si>
  <si>
    <t>106996</t>
  </si>
  <si>
    <t>17-02-2026 10:16:36</t>
  </si>
  <si>
    <t>900825795</t>
  </si>
  <si>
    <t>Proteccion Agropecuaria De Colombia SAS</t>
  </si>
  <si>
    <t>71fd183363d7269381e1a9c91624f87d1044b3793ae981e312445f677c11498fa2efe21fe2b86f1e54f509e08c18d7f9</t>
  </si>
  <si>
    <t>106997</t>
  </si>
  <si>
    <t>17-02-2026 10:16:41</t>
  </si>
  <si>
    <t>830103661</t>
  </si>
  <si>
    <t>A &amp; S Computadores SA Alquiler Y Servicio</t>
  </si>
  <si>
    <t>871ccf32f4604b498551da913a6a2ce536d4846fc8bf79e7372906aca6e229110a8047d6eb5e9c4fbd6cfad67fa9453e</t>
  </si>
  <si>
    <t>106998</t>
  </si>
  <si>
    <t>17-02-2026 10:46:49</t>
  </si>
  <si>
    <t>4d9736f7e7343e60ae7133758e9b0fb36dc6cc83d5372de93a093ae0368b34ce4c9d9d07b74479506ad2001bd6a77744</t>
  </si>
  <si>
    <t>106999</t>
  </si>
  <si>
    <t>17-02-2026 10:46:53</t>
  </si>
  <si>
    <t>b23520cac7c6287de12ae8828e207ca10365d9c38add7b4bb7d3f494d75ed12525d88d4170a1d040899b355b76413282</t>
  </si>
  <si>
    <t>107000</t>
  </si>
  <si>
    <t>17-02-2026 10:46:58</t>
  </si>
  <si>
    <t>6fec7122fc7020c034b04920325e02fb26670ce0816368a801b9e54972309ea1ef5c1af3014f692787405304484ea51b</t>
  </si>
  <si>
    <t>107001</t>
  </si>
  <si>
    <t>17-02-2026 10:47:03</t>
  </si>
  <si>
    <t>cd316184734a254c224c154aa0cfc60f1ae531d9a2e996f2d03acebc9949202ecb6f8333dee1d103fa25a9ce85e08d17</t>
  </si>
  <si>
    <t>107002</t>
  </si>
  <si>
    <t>17-02-2026 11:03:20</t>
  </si>
  <si>
    <t>4bae5f4030c814dbfa4abf82c0a318dc33ea11864ab3c9a264b5b37962c35b8e13f6dbcc460d840cdc36a69be5ab8bf1</t>
  </si>
  <si>
    <t>107003</t>
  </si>
  <si>
    <t>17-02-2026 11:03:34</t>
  </si>
  <si>
    <t>571fcd2d3e3a56039d1dc7ed2e03a3f0df3cd84b00dba3311495ce4d45623d6a8d9e9c165d4bcfe902d602fb28cad5b8</t>
  </si>
  <si>
    <t>107004</t>
  </si>
  <si>
    <t>17-02-2026 11:03:33</t>
  </si>
  <si>
    <t>cc79578f9d86f65d9ea8c8f2492c5ebd8c41632a148efb8f08568fe97e3aebb0d056117940bf43406f1069c38c5280fc</t>
  </si>
  <si>
    <t>107005</t>
  </si>
  <si>
    <t>17-02-2026 11:03:41</t>
  </si>
  <si>
    <t>901038007</t>
  </si>
  <si>
    <t>Itmcol SAS</t>
  </si>
  <si>
    <t>8110037d40a608523d4b441b6fb35591417a9789351b3ee84c2f9a9d32c5b6f1f36ab805fa687db221c7ee57c541c0d0</t>
  </si>
  <si>
    <t>107006</t>
  </si>
  <si>
    <t>17-02-2026 11:03:44</t>
  </si>
  <si>
    <t>800202909</t>
  </si>
  <si>
    <t>Longport Colombia Ltda</t>
  </si>
  <si>
    <t>f8a91ecdc09e35c8f3ed279e3173add9cfc29ae8a13b7847767b3fe07c0b6681e5ef408fcf313005b37938c375f6f086</t>
  </si>
  <si>
    <t>107007</t>
  </si>
  <si>
    <t>17-02-2026 11:03:46</t>
  </si>
  <si>
    <t>900320056</t>
  </si>
  <si>
    <t>Pamacol Technologies SAS</t>
  </si>
  <si>
    <t>e3944bf604d7479943515715dadba78e5247dede9f6118c081b50481e9c91591d65aada1b333767c41135ce88e6bb27a</t>
  </si>
  <si>
    <t>107008</t>
  </si>
  <si>
    <t>b4b03faa6c4f80b1555de5b213682bf88ec283023749c28d93a3d548974374d5b91fec900818bf0421e2bf5268f2a8cc</t>
  </si>
  <si>
    <t>107009</t>
  </si>
  <si>
    <t>637e12efa2607d80607e3ab1b12bed6cd72f0adbdc4dd0218708b1fb794abf6efeba557ee63cf645adeb83772e314655</t>
  </si>
  <si>
    <t>107010</t>
  </si>
  <si>
    <t>17-02-2026 11:03:42</t>
  </si>
  <si>
    <t>0c3a44991b4585f029a382aa219e42ba914483ea7d6f8efd5388862e5a1a6d9c10f415a2b02dbab809591daff6afbbdc</t>
  </si>
  <si>
    <t>107011</t>
  </si>
  <si>
    <t>17-02-2026 11:03:51</t>
  </si>
  <si>
    <t>14070379d7081c119e1586ff3517cdcb32bf4b296690bd286975b2b0e4a4fc3bcc9a89fbe65eefe0f50e40c1c5d9b8c5</t>
  </si>
  <si>
    <t>107012</t>
  </si>
  <si>
    <t>17-02-2026 11:03:56</t>
  </si>
  <si>
    <t>84bcacea24604d8d729cb9b77cb45499ad36e893c2423596ad59829ccabbe797a8dabcdbcae78c157beaca62b2d95c95</t>
  </si>
  <si>
    <t>107013</t>
  </si>
  <si>
    <t>17-02-2026 11:03:53</t>
  </si>
  <si>
    <t>4939b28c9a773fa8593ac3a308f0c04582335cee80c8f21c6ab5ed34d4880785c1b7427251f3f9a21277b18cb7f63181</t>
  </si>
  <si>
    <t>107014</t>
  </si>
  <si>
    <t>17-02-2026 11:04:04</t>
  </si>
  <si>
    <t>77dfdbdd1e5f4102f0b1ef958172d5de489808cbbc34044c6d640d0c02574e03ee949ca10c09e80fccdb8f4be5f6f5ed</t>
  </si>
  <si>
    <t>107015</t>
  </si>
  <si>
    <t>17-02-2026 11:04:06</t>
  </si>
  <si>
    <t>f904d00d6f7ed16277ca16bfd14f00cc0332cd129cd0c2a6a9cb17b3aa2476e18b769e83e4bf6c51bd27441cca92a7b1</t>
  </si>
  <si>
    <t>107016</t>
  </si>
  <si>
    <t>17-02-2026 11:18:17</t>
  </si>
  <si>
    <t>a640d0276def98649fc11099feeffc212e7e9bc0bd1934e3225e01b3c66127754262b5380ef596153d48f993884c54ba</t>
  </si>
  <si>
    <t>107017</t>
  </si>
  <si>
    <t>17-02-2026 11:18:22</t>
  </si>
  <si>
    <t>860062703</t>
  </si>
  <si>
    <t>Texsa De Colombia SA</t>
  </si>
  <si>
    <t>ec852b530c7efafd96b4974c8d1a65883f5d332f24e3953eb9df2a493e9b48b528b36d50439da40e3889e745529df428</t>
  </si>
  <si>
    <t>107018</t>
  </si>
  <si>
    <t>17-02-2026 11:18:27</t>
  </si>
  <si>
    <t>8be27d661a80cef59520d2cbc81484b56658bf82600b01c86b1f6ca6c9627fc8402a1b9feb15773b318895f3e65fe8e5</t>
  </si>
  <si>
    <t>107019</t>
  </si>
  <si>
    <t>17-02-2026 11:18:31</t>
  </si>
  <si>
    <t>830115738</t>
  </si>
  <si>
    <t>Sec Latam Comunicaciones Estrategicas SAS</t>
  </si>
  <si>
    <t>014c6e1c891e974f31e20ebdb1a7f2579cb65883c422a6e4da36592977bbca7ab07459155ca7cc0a2787ffc6755b68be</t>
  </si>
  <si>
    <t>107020</t>
  </si>
  <si>
    <t>17-02-2026 11:18:36</t>
  </si>
  <si>
    <t>5ae8cc3d33629d6e227afd282906f763bb26a653490f87900f92e6ae6eac7619498fb98b693501b4e5d9eb745fcbba26</t>
  </si>
  <si>
    <t>107021</t>
  </si>
  <si>
    <t>17-02-2026 11:18:41</t>
  </si>
  <si>
    <t>593974f36f75208358c1296dabedf63a461886855cdf012301199a45a5dd4a29e988a9ffe703d806a749b56afce7df14</t>
  </si>
  <si>
    <t>107022</t>
  </si>
  <si>
    <t>17-02-2026 11:18:46</t>
  </si>
  <si>
    <t>860050262</t>
  </si>
  <si>
    <t>Club El Rincon De Cajica</t>
  </si>
  <si>
    <t>d8cc8feaa34c1d9e2bc903b87fa51e0ac1dda61507ff476bda2a3380c9df457c2e7f1bf130f1f62ba0f45d3237a5bac5</t>
  </si>
  <si>
    <t>107023</t>
  </si>
  <si>
    <t>17-02-2026 11:18:51</t>
  </si>
  <si>
    <t>860012340</t>
  </si>
  <si>
    <t>Fraco Fabrica Colombiana De Repuestos Automotores SA Fraco SA</t>
  </si>
  <si>
    <t>3881079f7e9e988ce50d76bd5d6e1f72fc7b41a9012e8e8c83797216af216463fd5304671610051e4f398fa379d4b0b2</t>
  </si>
  <si>
    <t>107024</t>
  </si>
  <si>
    <t>17-02-2026 11:18:56</t>
  </si>
  <si>
    <t>a2ee9f704087e0261733715947ec9414d6fb2fb13b06bd7b3a3c8fe016ca7bad0e0e68a3177a95d9dca9298c7db89b9d</t>
  </si>
  <si>
    <t>107025</t>
  </si>
  <si>
    <t>17-02-2026 11:19:00</t>
  </si>
  <si>
    <t>a136747c4791c432a782a67569adcb1b29c14f7c20f2b35edafcab1a5f2309d405b3bc8406488bc52d93fc4bcb094a81</t>
  </si>
  <si>
    <t>107026</t>
  </si>
  <si>
    <t>17-02-2026 11:34:06</t>
  </si>
  <si>
    <t>e30c643796ac395cc11a3b057f50f6d5ccf75ff9e45b8d9eafa3194fe20f901d023146c3d253ecfd51630384f170f1a3</t>
  </si>
  <si>
    <t>107027</t>
  </si>
  <si>
    <t>17-02-2026 11:34:11</t>
  </si>
  <si>
    <t>29130db3a972f16acb99dd8344d57e783a59789c6bdb35e3aa6d889d93d6df04ec8cca6ad130414c8ed5168c906586c6</t>
  </si>
  <si>
    <t>107028</t>
  </si>
  <si>
    <t>17-02-2026 11:34:16</t>
  </si>
  <si>
    <t>8f0e6b9730fcb680ae513dada17ae46d527c715fae9e1ca1f2593b3c49dfb6b7fe76205f2b509b31b8f52e75922b644f</t>
  </si>
  <si>
    <t>107029</t>
  </si>
  <si>
    <t>17-02-2026 11:34:21</t>
  </si>
  <si>
    <t>ae8cb70e39aeb5a2d4386a135dac4220d0e2fcf6edac9f5974c37146292f0fa31411955e0be534331be181e7b916e2ff</t>
  </si>
  <si>
    <t>107030</t>
  </si>
  <si>
    <t>17-02-2026 11:34:25</t>
  </si>
  <si>
    <t>48c32e0003f42480ece5560ad19e435dcee5c7a154c878f3cd51eb5f282549e6edf2a9c5e217ee733ca13af6dd177382</t>
  </si>
  <si>
    <t>107031</t>
  </si>
  <si>
    <t>17-02-2026 11:49:32</t>
  </si>
  <si>
    <t>b44ac9b8bf352cbfec3bac071c1515c3a6464abb7b554de6bc6fef4cb8036330bb2121c8142559830ed570a9ed5a6bd3</t>
  </si>
  <si>
    <t>107032</t>
  </si>
  <si>
    <t>17-02-2026 11:49:36</t>
  </si>
  <si>
    <t>8ed2f105889e2fd52df68641368df26f0c57002e97569ec620292f8abb00a487de06bc0833204a89557978302edca678</t>
  </si>
  <si>
    <t>107033</t>
  </si>
  <si>
    <t>17-02-2026 11:49:41</t>
  </si>
  <si>
    <t>fbb7b708ebd5e9539e91a1d9254fbd379441a953f69f64d4c1b469a63b2f62825a675bdcdd287ae30860c440753aa0da</t>
  </si>
  <si>
    <t>107034</t>
  </si>
  <si>
    <t>17-02-2026 11:49:46</t>
  </si>
  <si>
    <t>36f323dcbad6e6512bd19fad8f7336bc496f66be02c6f4cdb47518f3fec70604ac3d4f85415e67bb1636ee2f5b2c5976</t>
  </si>
  <si>
    <t>107035</t>
  </si>
  <si>
    <t>17-02-2026 12:04:52</t>
  </si>
  <si>
    <t>805017818</t>
  </si>
  <si>
    <t>Grivan Ingenieria SA</t>
  </si>
  <si>
    <t>3db5304a19c3186e8b848ea0cb1c39ecf56bcc88c64676648c709d90d414244c25cce414849fc59897344ca75e291d12</t>
  </si>
  <si>
    <t>107036</t>
  </si>
  <si>
    <t>17-02-2026 12:04:57</t>
  </si>
  <si>
    <t>900407987</t>
  </si>
  <si>
    <t>Guacamaya Energy Services S A S</t>
  </si>
  <si>
    <t>a8d7c23af7248ba5fe59c216fd5343888f7a523faa964f892e70dea7b186c12733f5cd026c9e43c5ca4adc74fdbb8f86</t>
  </si>
  <si>
    <t>107037</t>
  </si>
  <si>
    <t>17-02-2026 12:05:02</t>
  </si>
  <si>
    <t>c585133832b300512d8ab26c72b54da2bc565edfbd91befaacec3c7786a6c22bb6a6df17948a9aa867428bb314aee098</t>
  </si>
  <si>
    <t>107038</t>
  </si>
  <si>
    <t>17-02-2026 12:05:06</t>
  </si>
  <si>
    <t>b74629ca788eb44ef3d7bdfb3433c8b318393aad2d8667eb80cd92a43e507150edf73915276868d6b3a769fe88410419</t>
  </si>
  <si>
    <t>107039</t>
  </si>
  <si>
    <t>17-02-2026 12:05:11</t>
  </si>
  <si>
    <t>219085917a8d16ba5412ab5c1dccf0dc4d50bcd85527503b471575f8bb79fdda5dd98072629ee1e017aa9ee4dd61381d</t>
  </si>
  <si>
    <t>107040</t>
  </si>
  <si>
    <t>17-02-2026 12:05:16</t>
  </si>
  <si>
    <t>900184924</t>
  </si>
  <si>
    <t>Robert Bosch Ltda</t>
  </si>
  <si>
    <t>ca0fd232a3ca4a0bf23bf1e65cb6b8d3831815fdc8fe8eb6dd526237709048c1e91ff2f740ac93eee942e44e65abf857</t>
  </si>
  <si>
    <t>107041</t>
  </si>
  <si>
    <t>17-02-2026 12:05:21</t>
  </si>
  <si>
    <t>105f4a6d9fc88f1fa11cf7a5a9399ec63a72badd80e1230979158781b9fe144e03cf704caaca5ed6b781be715364e569</t>
  </si>
  <si>
    <t>107042</t>
  </si>
  <si>
    <t>17-02-2026 12:20:29</t>
  </si>
  <si>
    <t>b055c3d7b7e201fe0d8216c3dedd5a5eeebba401a5f78ad9dcb04936afff54049e990065f82a72e07aaa4fecc44f20ca</t>
  </si>
  <si>
    <t>107043</t>
  </si>
  <si>
    <t>17-02-2026 12:20:34</t>
  </si>
  <si>
    <t>900323811</t>
  </si>
  <si>
    <t>Worley Colombia SAS</t>
  </si>
  <si>
    <t>6ab68ff6739b92ab64634d943f52d6b4e5fc1d767adc90a99ea890bd8441778182138f6da5c77386b173ef4114cf66e9</t>
  </si>
  <si>
    <t>107044</t>
  </si>
  <si>
    <t>17-02-2026 12:35:40</t>
  </si>
  <si>
    <t>800127780</t>
  </si>
  <si>
    <t>Arcelor Mittal International Colombia SAS</t>
  </si>
  <si>
    <t>7b316bc30ed6577516785a43007856dab2c25e786319ab9d32bbe672456cf49bf893c75668691cba638df0644f794550</t>
  </si>
  <si>
    <t>107045</t>
  </si>
  <si>
    <t>17-02-2026 13:05:48</t>
  </si>
  <si>
    <t>900720758</t>
  </si>
  <si>
    <t>Cheil Colombia</t>
  </si>
  <si>
    <t>3e44ce7d4f072c3ddff1c917a8862d3cda9821b6aba0ff25a6fe526f3e6c753b11118ec1fb19bb0efd44a82b3a39550d</t>
  </si>
  <si>
    <t>107046</t>
  </si>
  <si>
    <t>17-02-2026 13:05:53</t>
  </si>
  <si>
    <t>900774333</t>
  </si>
  <si>
    <t>Patria Investments Colombia SAS</t>
  </si>
  <si>
    <t>e9c7c81b58094d2df701bf56f3a6e5e47539743601ac6f965da7d499c0b1700f3b3644c6262a77a8ef8d02357d0674ba</t>
  </si>
  <si>
    <t>107047</t>
  </si>
  <si>
    <t>17-02-2026 14:21:05</t>
  </si>
  <si>
    <t>9d609fe994888e642a076658fa1f659887b2923422844311caeac2b11132601ea326dd251b5507c41bf43e1fea58ebf5</t>
  </si>
  <si>
    <t>107048</t>
  </si>
  <si>
    <t>17-02-2026 14:21:10</t>
  </si>
  <si>
    <t>3306fc3b32206533dfb30e3032df0fa77c663c17830c465b2d5399a6e9aa8d591b4b32ca64b7a06b804439e277ac1d65</t>
  </si>
  <si>
    <t>107049</t>
  </si>
  <si>
    <t>17-02-2026 14:36:16</t>
  </si>
  <si>
    <t>508defab3c93c9458e94f4c97b195dfe53c5e8c59f5796c53a234c734be7c63639bb6fc07aae29960bbf8a75ffef585a</t>
  </si>
  <si>
    <t>107050</t>
  </si>
  <si>
    <t>17-02-2026 14:36:20</t>
  </si>
  <si>
    <t>2ce93e639c998999561335820cee3b32e9070451d5f638d99f36d1d58b4b35db2c08a8b81dc14ccb803b36f7c44d3a0f</t>
  </si>
  <si>
    <t>107051</t>
  </si>
  <si>
    <t>17-02-2026 14:36:27</t>
  </si>
  <si>
    <t>a48cd8fbdcfbd53a4b60648effabd268f0fb22f1ab9774c89eb3bd0ef6c066d9979125d2a828752f06c91d0aa1e7f2f3</t>
  </si>
  <si>
    <t>107052</t>
  </si>
  <si>
    <t>17-02-2026 14:36:32</t>
  </si>
  <si>
    <t>081970291f957a67a5d85a3292e7806e4bc9f9b0caa40a2b757f0014e7bab66f1dbbe85274407d1a2987c9932c5f33a3</t>
  </si>
  <si>
    <t>107053</t>
  </si>
  <si>
    <t>17-02-2026 14:36:36</t>
  </si>
  <si>
    <t>48c7b77593ac0b06af16fa1ae18e989b3c612436b52c8a95b740adb7c5df640fcdaac08dad4111aa98162049a127aef1</t>
  </si>
  <si>
    <t>107054</t>
  </si>
  <si>
    <t>17-02-2026 14:52:18</t>
  </si>
  <si>
    <t>4a9d4ffb950fe9e65c131d666b059b77f6480052781864055734d943385697ab1e435ddfa568f318401683efab07e9c9</t>
  </si>
  <si>
    <t>107055</t>
  </si>
  <si>
    <t>17-02-2026 14:52:19</t>
  </si>
  <si>
    <t>83c0bb8e277c70a5fc57bb99359c638253fb1cf461ba07ec1a4fd7bbdf97c317f177d339acea11f06948986bce4fa36b</t>
  </si>
  <si>
    <t>107056</t>
  </si>
  <si>
    <t>17-02-2026 14:52:20</t>
  </si>
  <si>
    <t>a744d2aa50b9c4fc8226ac4c5873be0495087da7394fcb40ec713841eaf3492899440038941379f162df4c781c7ed32a</t>
  </si>
  <si>
    <t>107057</t>
  </si>
  <si>
    <t>17-02-2026 14:52:26</t>
  </si>
  <si>
    <t>900556186</t>
  </si>
  <si>
    <t>Cfd Ingenieria SAS</t>
  </si>
  <si>
    <t>fe403f7ec4e80dd065eb3b3196d09a35ea9cc64454379420394f941bd94e49dfb581206468c8d65a4adb1a40cfd6bd96</t>
  </si>
  <si>
    <t>107058</t>
  </si>
  <si>
    <t>17-02-2026 14:52:27</t>
  </si>
  <si>
    <t>800148312</t>
  </si>
  <si>
    <t>Condor Specialty Coffee SAS</t>
  </si>
  <si>
    <t>b59aead1c19091a35dd385dbc3ae1253967d639b8fbbaadd441beb75161758ce6ed2772505eb2bd273af86060ebc8640</t>
  </si>
  <si>
    <t>107059</t>
  </si>
  <si>
    <t>17-02-2026 15:14:40</t>
  </si>
  <si>
    <t>9932decf2013d1b8f4d97f5fe4fc1beb7d6081511cc442bbb13d108dfcaa96198867d528a1b0230e7ed157aa5b09a45e</t>
  </si>
  <si>
    <t>107060</t>
  </si>
  <si>
    <t>17-02-2026 15:13:02</t>
  </si>
  <si>
    <t>a6777f0fedb91c004fd1236d577443f9ee940ef6a73047b1380f88de30fbfbead9aa505fe0eb3b068de7e3ca4d6ab6f7</t>
  </si>
  <si>
    <t>107061</t>
  </si>
  <si>
    <t>1055272690</t>
  </si>
  <si>
    <t>Doris Helena Angarita Puentes</t>
  </si>
  <si>
    <t>3b111e1b23cb44a1e769375c647cde6236d1806034aa51cf2a4599c23f7074ec06fd355b442f4c3307a6ce82c04bc960</t>
  </si>
  <si>
    <t>107062</t>
  </si>
  <si>
    <t>17-02-2026 15:13:06</t>
  </si>
  <si>
    <t>860028462</t>
  </si>
  <si>
    <t xml:space="preserve">Covinoc S A </t>
  </si>
  <si>
    <t>e6f4ee6c0fd3bfc17e46dab280d3bc0adfe8b926b51d4c0eee82343b2ee77a13285fa6c71ae05df3cebef4037266bb33</t>
  </si>
  <si>
    <t>107063</t>
  </si>
  <si>
    <t>17-02-2026 15:14:47</t>
  </si>
  <si>
    <t>1fd9bb5a02125b47ce458109451578792677ebd733762d12d016a00bb440241a4fd588f3db37d1e8cbf9a52a4211a29f</t>
  </si>
  <si>
    <t>107064</t>
  </si>
  <si>
    <t>17-02-2026 15:14:38</t>
  </si>
  <si>
    <t>901874052</t>
  </si>
  <si>
    <t xml:space="preserve">Zona Franca Malambo SAS Usuario Operador De Zona Franca </t>
  </si>
  <si>
    <t>8964d103bee850b9d846ec32d50893ec16e9885aabc7922b7ad84035b099d1bb353efe5bfd5dd392593e9179628d8342</t>
  </si>
  <si>
    <t>107065</t>
  </si>
  <si>
    <t>17-02-2026 15:14:52</t>
  </si>
  <si>
    <t>901144843</t>
  </si>
  <si>
    <t>Bogota Limpia SAS ESP</t>
  </si>
  <si>
    <t>096c91037fe378f086d0ed548e021f5b8e386672e343d87d80e4718501e59a86a4b7db9ef7bc1eb44c049492f55e47c1</t>
  </si>
  <si>
    <t>107066</t>
  </si>
  <si>
    <t>17-02-2026 15:37:46</t>
  </si>
  <si>
    <t>900725066</t>
  </si>
  <si>
    <t xml:space="preserve">Uni2 Microcredito S A S </t>
  </si>
  <si>
    <t>082a7a94d0c693b42d0ad970a052dbe2d913209397de21a74aa81e8e92090d0f838c9bf89ef9fbd0f537162c7636623e</t>
  </si>
  <si>
    <t>107067</t>
  </si>
  <si>
    <t>17-02-2026 15:37:51</t>
  </si>
  <si>
    <t>9e3c41af9ec905e54807256518aca611de68ef68c43da0638173eee3676a13e063af59d278ab463abafa9a71502af56f</t>
  </si>
  <si>
    <t>107068</t>
  </si>
  <si>
    <t>17-02-2026 15:37:56</t>
  </si>
  <si>
    <t>e098aa463569d6818a93c2384acf8ebff957d4ddc868cd5af0bf64e420ab46d73ce03f1bb68a76ce71859c06fea696ae</t>
  </si>
  <si>
    <t>107069</t>
  </si>
  <si>
    <t>17-02-2026 15:53:03</t>
  </si>
  <si>
    <t>e4dc3314f5c03a2f0a04e7d9c681686c37b57fdc4ebd8d7988409f10e0bc00ea85ab1020560e3b26700cec3261eb4264</t>
  </si>
  <si>
    <t>107070</t>
  </si>
  <si>
    <t>17-02-2026 15:53:07</t>
  </si>
  <si>
    <t>860048182</t>
  </si>
  <si>
    <t>Inversiones Libra SA</t>
  </si>
  <si>
    <t>d0f645d6de0276f8fda0061d1f7718c620803293753261bc89e9564e9dc42817b5abeb54aabe31af9260fb2eff15023b</t>
  </si>
  <si>
    <t>107071</t>
  </si>
  <si>
    <t>17-02-2026 15:53:12</t>
  </si>
  <si>
    <t>2a4673fd0a5effbb792f220edebe71188c6613198d71f8ebad5685f6f124498737ac4fbf92e6f860723a1078f1b7ce52</t>
  </si>
  <si>
    <t>107072</t>
  </si>
  <si>
    <t>17-02-2026 15:53:16</t>
  </si>
  <si>
    <t>860020089</t>
  </si>
  <si>
    <t>Sociedad Colombiana De Pediatria</t>
  </si>
  <si>
    <t>aa3799a24bfcc6002e213689da18edeec00650a38d8fb24fa666169241471d3e1e03b48bff8720e76166c85e2016afe6</t>
  </si>
  <si>
    <t>107073</t>
  </si>
  <si>
    <t>17-02-2026 16:08:23</t>
  </si>
  <si>
    <t>15e59df5a193cdc7e25a3facf0be2047e27bd2c104da83ded7e8545281141592be53616d34fc21fcd65390e83d168def</t>
  </si>
  <si>
    <t>107074</t>
  </si>
  <si>
    <t>17-02-2026 16:08:27</t>
  </si>
  <si>
    <t>900620832</t>
  </si>
  <si>
    <t>Sofka Technologies SAS</t>
  </si>
  <si>
    <t>b3581bd15c19531509599594592ee6b7eb9702da2cdbc805ad733b8d716c200b06fdf03c81b299e0299b4990ab10129a</t>
  </si>
  <si>
    <t>107075</t>
  </si>
  <si>
    <t>17-02-2026 16:08:33</t>
  </si>
  <si>
    <t>a1fe1b08a4150888fd6398b30d356d0c55baab321725a4be5e3fe6a599b1838abfe0344b52eb0eae8c3c6108e7517b59</t>
  </si>
  <si>
    <t>107076</t>
  </si>
  <si>
    <t>17-02-2026 16:08:37</t>
  </si>
  <si>
    <t>860046192</t>
  </si>
  <si>
    <t>Hoteles Bogota Plaza SAS</t>
  </si>
  <si>
    <t>f45164030924484a9339fb779c7b97272d3b487f9c05bb372965c3fd10d298a8119476a118c84236ddee291e2663902c</t>
  </si>
  <si>
    <t>107077</t>
  </si>
  <si>
    <t>17-02-2026 16:08:42</t>
  </si>
  <si>
    <t>4592d810ca7891cef27d5fc60ed19cb298dd3e77c89bac93747667b4c05eb9adb4810e6b70039beebcfc3dc7f634eab0</t>
  </si>
  <si>
    <t>107078</t>
  </si>
  <si>
    <t>17-02-2026 16:23:48</t>
  </si>
  <si>
    <t>67dca4309a3a173b342ff8a68ff640170bda68facbeb0d76ecb10cf6b25ae58398095f7fd063ac570fba2f0889f287b5</t>
  </si>
  <si>
    <t>107079</t>
  </si>
  <si>
    <t>18-02-2026</t>
  </si>
  <si>
    <t>18-02-2026 07:25:18</t>
  </si>
  <si>
    <t>901066786</t>
  </si>
  <si>
    <t>Deceuninck SAS</t>
  </si>
  <si>
    <t>a0cdd11cb61f3e7e34fa04c7221ae81c8fa58aa6f0a92c171042b76cac19a27004147b4263395c2ab1e04ef796d31707</t>
  </si>
  <si>
    <t>107080</t>
  </si>
  <si>
    <t>18-02-2026 07:40:24</t>
  </si>
  <si>
    <t>ea6c92922d81ffa35b0a4ddb3dfde41b352cd02ff34554c2a5ae1a802b942208498ab13964946da2e1cf85330631d66d</t>
  </si>
  <si>
    <t>107081</t>
  </si>
  <si>
    <t>18-02-2026 07:40:28</t>
  </si>
  <si>
    <t>9f90a78e753110320d40240ccbc40e563c9d1f4198c641d387e794db87776c9b06e31e0136d4f499b677f114ec083bc4</t>
  </si>
  <si>
    <t>107082</t>
  </si>
  <si>
    <t>18-02-2026 07:55:35</t>
  </si>
  <si>
    <t>0e0f08e63f92f2cc10db8e4ffda70bed0a6fb9948ef98feae3eb6d638c7177d6faf32251f129721497865af557d6928e</t>
  </si>
  <si>
    <t>107083</t>
  </si>
  <si>
    <t>18-02-2026 07:55:40</t>
  </si>
  <si>
    <t>274d2a629bac272af394c0eb13f3c79350ec409165e7728c590c15e7f2d7f0c50a30f58f1a7e0eafd3f704454d10a3c7</t>
  </si>
  <si>
    <t>107084</t>
  </si>
  <si>
    <t>18-02-2026 07:55:44</t>
  </si>
  <si>
    <t>29e118d08ea9fde96b371d9a8cf42b1149bb13f62f1b7a11456f73161a3c6106443ff795ba110e02a71f1d2463a04245</t>
  </si>
  <si>
    <t>107085</t>
  </si>
  <si>
    <t>18-02-2026 08:10:50</t>
  </si>
  <si>
    <t>900412189</t>
  </si>
  <si>
    <t>Novatecnica SAS</t>
  </si>
  <si>
    <t>330f26b33dfd6d271fbacb65a745366ba2261ca8d93d4103b7730ffac014a6bac51876e5fa50ad92e6e41cc485ddaae9</t>
  </si>
  <si>
    <t>107086</t>
  </si>
  <si>
    <t>18-02-2026 08:10:55</t>
  </si>
  <si>
    <t>800014656</t>
  </si>
  <si>
    <t>Fundacion Uniban</t>
  </si>
  <si>
    <t>c0e9ef8fb112fe9b67489c224fbb0a1e688ef9f36dde078bd1103b31b4093dfd8e321e64daeb357301ba4de1952dc50c</t>
  </si>
  <si>
    <t>107087</t>
  </si>
  <si>
    <t>18-02-2026 08:11:01</t>
  </si>
  <si>
    <t>8d604788d4c18e5fada26bdc82122d44dc8bf2a0831a873370c4a071e0ce52a5afdca680f4fd73f2d9e7822bfccf9615</t>
  </si>
  <si>
    <t>107088</t>
  </si>
  <si>
    <t>18-02-2026 08:42:11</t>
  </si>
  <si>
    <t>efce7bf0e90587de0481b0a1249056a8b64ffeed2b7cda6a8a3055b231638f2458a3ba195116c425b58e66e614e1d015</t>
  </si>
  <si>
    <t>107089</t>
  </si>
  <si>
    <t>18-02-2026 08:42:06</t>
  </si>
  <si>
    <t>901255563</t>
  </si>
  <si>
    <t>Unitoys Colombia SAS</t>
  </si>
  <si>
    <t>31378e49d3143df011e07e2288fe0bbfe74698773e5487c9a142b6c6d3cfdcbdf830a9c3007237cd2e25bbc2571f2d30</t>
  </si>
  <si>
    <t>107090</t>
  </si>
  <si>
    <t>5e7015b869162053d2afe1dfa6ce398b582b5c6ee0beb95e56fb31f96266d0f2c28a7891687ea6f8f869d60d8e27cddd</t>
  </si>
  <si>
    <t>107091</t>
  </si>
  <si>
    <t>18-02-2026 08:56:27</t>
  </si>
  <si>
    <t>901924401</t>
  </si>
  <si>
    <t>MDV Distribuidora SAS</t>
  </si>
  <si>
    <t>41d25431665110bcaff339f7a02945f07a41d81ab10027711f36c802f0df02b64616564be341ee1ce26a07a2013da6ee</t>
  </si>
  <si>
    <t>107092</t>
  </si>
  <si>
    <t>18-02-2026 08:57:35</t>
  </si>
  <si>
    <t>2b52c6ea38b35dbf083e153850c3882cccaa8468140c03f7e54d0e89ef8816dbbe8a34a2edc5e6ee2b602ea443b9cfc5</t>
  </si>
  <si>
    <t>107093</t>
  </si>
  <si>
    <t>18-02-2026 08:57:22</t>
  </si>
  <si>
    <t>dac87421e287fe8b0d3231ab47102712753b4f70f870f060b98e317891f4777a7e093aa396feb4dd25813290a7356635</t>
  </si>
  <si>
    <t>107094</t>
  </si>
  <si>
    <t>18-02-2026 09:11:42</t>
  </si>
  <si>
    <t>0d523c65d02979ed1850ae3dc9fe4fa7b46394b6e18428b5d53e3727e078766da01de031f5e464a456bcefdd55d41652</t>
  </si>
  <si>
    <t>107095</t>
  </si>
  <si>
    <t>18-02-2026 09:11:48</t>
  </si>
  <si>
    <t>a20c10cf96ad3fb95411d5e1144f255e29ea4f2fd3943ff0d102f20ba82a4f7e0e7ee943903b40c89f39c4a0963c7c77</t>
  </si>
  <si>
    <t>107096</t>
  </si>
  <si>
    <t>18-02-2026 09:11:52</t>
  </si>
  <si>
    <t>32e3090a44fec5c55dd85c0b70be27c827b0203b87213a18a5c8588e8d4dda3a375be3e9ff2cefaea234f1864352e9b3</t>
  </si>
  <si>
    <t>107097</t>
  </si>
  <si>
    <t>18-02-2026 09:26:58</t>
  </si>
  <si>
    <t>830055897</t>
  </si>
  <si>
    <t>Patrimonios Autonomos Fiduciaria Bogota SA</t>
  </si>
  <si>
    <t>89b41b08d9634fd5d3082c10d08fe932042f719aecff188462fba75027f142fb184dc88fd72cd696f60c50407fe3de2d</t>
  </si>
  <si>
    <t>107098</t>
  </si>
  <si>
    <t>18-02-2026 09:27:03</t>
  </si>
  <si>
    <t>b891cb2e1aa80eebb0a7c9d08bc2968c0337009b612461715b287678d40d29c71bd5ade76a78e98ad868d276b75120c6</t>
  </si>
  <si>
    <t>107099</t>
  </si>
  <si>
    <t>18-02-2026 09:28:57</t>
  </si>
  <si>
    <t>9e5af9fddb21ddcc2934d93b695411b5c919bc8dc2faa03726be7146aeed75f5824625238aaa91f678206b23a76e60a6</t>
  </si>
  <si>
    <t>107100</t>
  </si>
  <si>
    <t>18-02-2026 09:27:14</t>
  </si>
  <si>
    <t>2a313acf8988483bad2f62ea1588b9a28d1eeac2f90a9e7c4af65179595a599edde27b85231822d15219a7fd870e3752</t>
  </si>
  <si>
    <t>107101</t>
  </si>
  <si>
    <t>18-02-2026 09:27:24</t>
  </si>
  <si>
    <t>78ab219c9ecf7f16a2943f64534b24a6565b6c0d7d7019275b5dee4ce32e0ae56a3ceb52170c3c303bbb925118510b41</t>
  </si>
  <si>
    <t>107102</t>
  </si>
  <si>
    <t>18-02-2026 09:43:38</t>
  </si>
  <si>
    <t>800155413</t>
  </si>
  <si>
    <t>Accion Sociedad Fiduciaria SA</t>
  </si>
  <si>
    <t>f1b388f802378d5d27057ea9090c395588486d3958f5f17b95957cf01b2f1d24cb7e10459b07527c1b9abf2b044df5af</t>
  </si>
  <si>
    <t>107103</t>
  </si>
  <si>
    <t>128e8302fba21ad08709f148b2aea0944dbb0dd48aa90021c73af312a2daa0304cb4d96dfe3109c6db8e1f1392d6f1e9</t>
  </si>
  <si>
    <t>107104</t>
  </si>
  <si>
    <t>18-02-2026 09:44:38</t>
  </si>
  <si>
    <t>830137844</t>
  </si>
  <si>
    <t>CI Ozi International SAS</t>
  </si>
  <si>
    <t>4d66b14b2c240084f538b52160afa2a080166bb950eaefe2ac64f4d685627e16db704d062872fa90f7cbdee85d04cc30</t>
  </si>
  <si>
    <t>107105</t>
  </si>
  <si>
    <t>18-02-2026 09:43:37</t>
  </si>
  <si>
    <t>860012357</t>
  </si>
  <si>
    <t>Universidad Santo Tomas</t>
  </si>
  <si>
    <t>cbad30f3f18bde8cd40091f72c987c2b2c5dd8e183471ea992d16f7e9bb8f8d9c9dd8dcf55a64fa75c758fa8ee02b1b3</t>
  </si>
  <si>
    <t>107106</t>
  </si>
  <si>
    <t>18-02-2026 09:43:36</t>
  </si>
  <si>
    <t>73ee66d621c1f0c06cee1cfb821b6ab92e6cbc23eedd300bd915ad9c3d073985f25cc2a962d9e25152973f43932114ab</t>
  </si>
  <si>
    <t>107107</t>
  </si>
  <si>
    <t>18-02-2026 09:44:37</t>
  </si>
  <si>
    <t>901487659</t>
  </si>
  <si>
    <t>Rua Group CIB SAS</t>
  </si>
  <si>
    <t>1e29a7d4ee61d407bee5a89eb66ee64c30670c6414a024743badffe95b0344a32b2e0df0747f169bf483a6b5a29f8347</t>
  </si>
  <si>
    <t>107108</t>
  </si>
  <si>
    <t>18-02-2026 09:57:55</t>
  </si>
  <si>
    <t>5f26779e27a9703192f891f10e355adf1697a54faef8ab64c48ea61ec562098482b8969e6b89d0a16f43a4af940b887a</t>
  </si>
  <si>
    <t>107109</t>
  </si>
  <si>
    <t>18-02-2026 09:58:00</t>
  </si>
  <si>
    <t>c2c692b01133316f014e2ee06e9963d762ad3f2783fc381c71c467cd07d3a9e1277f0595dfa00b304d3ae0ef20416b22</t>
  </si>
  <si>
    <t>107110</t>
  </si>
  <si>
    <t>18-02-2026 09:58:05</t>
  </si>
  <si>
    <t>3a1d47bb5ed5083bd983dd1967377e904622049eb4f831570bdbcea2361b71fa92d279e8854921c6f4969cd46af50403</t>
  </si>
  <si>
    <t>107111</t>
  </si>
  <si>
    <t>18-02-2026 09:58:10</t>
  </si>
  <si>
    <t>860509514</t>
  </si>
  <si>
    <t>Autogermana SAS</t>
  </si>
  <si>
    <t>ea1f79045c8f25bf0f3611c8eb5711c313df635965cc69473242cae87088d20196ed76dd1fa54f6651ef8a77299a0e07</t>
  </si>
  <si>
    <t>107112</t>
  </si>
  <si>
    <t>18-02-2026 09:58:19</t>
  </si>
  <si>
    <t>453c4db52b6c5410facd93b3f50b9fc56a00e21f4741590ceda954f149036369261561ee0018bb0fb2e7794412e7b2c6</t>
  </si>
  <si>
    <t>107113</t>
  </si>
  <si>
    <t>18-02-2026 09:59:32</t>
  </si>
  <si>
    <t>805020771</t>
  </si>
  <si>
    <t>Agricultura Y Servicios S A S</t>
  </si>
  <si>
    <t>a98522a66e3c5c1efa37c2c77cf630dcb972816a7ee533ded40ad86e16db09bcf7ca4fed96641e7397ac9016a3d652db</t>
  </si>
  <si>
    <t>107114</t>
  </si>
  <si>
    <t>18-02-2026 09:58:24</t>
  </si>
  <si>
    <t>6952dd79cc86d8c2d92c60e5027ae317bb76dfadd11c7a35ea5f7ae7eada4c2cc45aa154674ffe03957cedaefeb2b297</t>
  </si>
  <si>
    <t>107115</t>
  </si>
  <si>
    <t>18-02-2026 10:28:46</t>
  </si>
  <si>
    <t>044da8f9d915f08e1d09f26bbb7bfb72ba4e4b964757e93a7980f91174ad9726baa18e0192896187d646c8c675192bcb</t>
  </si>
  <si>
    <t>107116</t>
  </si>
  <si>
    <t>18-02-2026 10:30:46</t>
  </si>
  <si>
    <t>900383203</t>
  </si>
  <si>
    <t>Centro De Gerenciamiento De Residuos Doña Juana SA ESP</t>
  </si>
  <si>
    <t>b380f09e6ae55fdab2bcf00aeaf092ee68bfe2a47a705b3157513821678f495decaf12cc0f1b1d0867718ea618496988</t>
  </si>
  <si>
    <t>107117</t>
  </si>
  <si>
    <t>18-02-2026 10:44:39</t>
  </si>
  <si>
    <t>8ea8c4a40d3bbda463eb4e3d9ff682b614003115713be374793cd4687f919a9255d43dd5885f4e977b4c6ddc525345d0</t>
  </si>
  <si>
    <t>107118</t>
  </si>
  <si>
    <t>18-02-2026 10:58:53</t>
  </si>
  <si>
    <t>08e1f13920f2ab39a554ebb3b81b2a005a98f8aaac7d0246ab5af601ebe6f830f0cc458fe6a0956ad7323b2da1ed6fcf</t>
  </si>
  <si>
    <t>107119</t>
  </si>
  <si>
    <t>18-02-2026 11:14:00</t>
  </si>
  <si>
    <t>830126784</t>
  </si>
  <si>
    <t>Madeformas SAS</t>
  </si>
  <si>
    <t>7d8ca0ac2c871d02ee2046f103c2564eb3bae973f90627ffed70845f417a583bda24538a76a014796a72b07b8949a856</t>
  </si>
  <si>
    <t>107120</t>
  </si>
  <si>
    <t>18-02-2026 11:14:04</t>
  </si>
  <si>
    <t>d04b756218f1c0c6009e8e93374d1760ad6931dd015bf89dcf98758219f0985761a30c7d0dfd099174ae12c9ed25852e</t>
  </si>
  <si>
    <t>107121</t>
  </si>
  <si>
    <t>18-02-2026 11:14:09</t>
  </si>
  <si>
    <t>800145882</t>
  </si>
  <si>
    <t>Corporacion Centro De Investigacion En Palma De Aceite Cenipalma</t>
  </si>
  <si>
    <t>fbff7129ba819051a5e8373e690bbd9af98f6dabfd9a538841fdab468596d2b849eb9e2d7651d6199d4af2d3d6944040</t>
  </si>
  <si>
    <t>107122</t>
  </si>
  <si>
    <t>18-02-2026 11:14:14</t>
  </si>
  <si>
    <t>830120157</t>
  </si>
  <si>
    <t>Colombiana De Trasplantes SAS</t>
  </si>
  <si>
    <t>a0acf93b61cc741b739f5ca1dc3f6c2023cd395ff8f97908fcb59657e81b0a39055cf51cb1b5fc59b6ea81c232ffbe74</t>
  </si>
  <si>
    <t>107123</t>
  </si>
  <si>
    <t>18-02-2026 11:29:20</t>
  </si>
  <si>
    <t>36e16a274e25e9f4b5bf8b6d9e34d065789a6132e3f4e014f0e28d294b264afac9e04d0531299a434c1780356060ba8a</t>
  </si>
  <si>
    <t>107124</t>
  </si>
  <si>
    <t>18-02-2026 11:29:28</t>
  </si>
  <si>
    <t>450338059b98a57bde96746ec80fb470656c215e900d23d03c5d753144476db51f9bb34044aa1790ee95ea87b6cbb342</t>
  </si>
  <si>
    <t>107125</t>
  </si>
  <si>
    <t>18-02-2026 11:29:31</t>
  </si>
  <si>
    <t>901532834</t>
  </si>
  <si>
    <t>Corecard Colombia SAS</t>
  </si>
  <si>
    <t>c4072b7a6e53fc3ab6e343255366a4bcab24d70390d0b8417e129250866bf4d881f227fbd93a819447f45dfc56cec650</t>
  </si>
  <si>
    <t>107126</t>
  </si>
  <si>
    <t>18-02-2026 11:31:03</t>
  </si>
  <si>
    <t>4da27dadf1a03a4b1da67920690bb4babf27c5753d0221ef089cfce314c93344106237b3b180c5584a046ec145f4d6e8</t>
  </si>
  <si>
    <t>107127</t>
  </si>
  <si>
    <t>18-02-2026 11:29:39</t>
  </si>
  <si>
    <t>949b53bd9aaa5bc7faa3ff6bf391fbbf26592e97f634c6823eb1bd6ef2ea2478e7741e78b9d8ac85b7f6a2ada4eb58ff</t>
  </si>
  <si>
    <t>107128</t>
  </si>
  <si>
    <t>18-02-2026 11:44:46</t>
  </si>
  <si>
    <t>aa46d4c025d7dde9b12232b5f8980748cb883cc35adb41cdb6204d09b55c088e19180edcc48f689ed63cdb4127139000</t>
  </si>
  <si>
    <t>107129</t>
  </si>
  <si>
    <t>18-02-2026 11:44:50</t>
  </si>
  <si>
    <t>4dc0ba9a3b50955b75afe7895422c224f5d37dadba281aa489990ee4110b05ef880d996cd10223f407b7e9ac3e4f4a53</t>
  </si>
  <si>
    <t>107130</t>
  </si>
  <si>
    <t>18-02-2026 11:44:55</t>
  </si>
  <si>
    <t>b5b0257dcb5ca0c2b10f1be7e9694b2f3145a2dcef30fc589f8f02d6243fae5471338d48b80f0589d7d531a69e9305f0</t>
  </si>
  <si>
    <t>107131</t>
  </si>
  <si>
    <t>18-02-2026 11:45:00</t>
  </si>
  <si>
    <t>ba391fc2e7c7f5ec29e69e8717bcec203c0f88fde720c31856baeb6717878966556edbed372cbb1e8ab4fb125fb74778</t>
  </si>
  <si>
    <t>107132</t>
  </si>
  <si>
    <t>18-02-2026 12:00:06</t>
  </si>
  <si>
    <t>7745ab7a4cf5045949d57db83e0a14f7439373219bdaeeb88b3e3278f087cda23a0e687eccd011be37949e5f3b1197a3</t>
  </si>
  <si>
    <t>107133</t>
  </si>
  <si>
    <t>18-02-2026 12:15:18</t>
  </si>
  <si>
    <t>cbaa1b2eec39e8d60180e8deafca3bf4ce27390bcc57a5abd007f887997b59bcc19a70174e8eefb3cc3051e219312cc1</t>
  </si>
  <si>
    <t>107134</t>
  </si>
  <si>
    <t>18-02-2026 12:15:22</t>
  </si>
  <si>
    <t>830137348</t>
  </si>
  <si>
    <t>Samercol SA</t>
  </si>
  <si>
    <t>ca978de1ee75165bf47d75de68455823ec4f95c34eff5f55586442cc18afddca4306fa78192737574514b1795ddf30e9</t>
  </si>
  <si>
    <t>107135</t>
  </si>
  <si>
    <t>18-02-2026 12:30:29</t>
  </si>
  <si>
    <t>900158685</t>
  </si>
  <si>
    <t>Century Sports SAS</t>
  </si>
  <si>
    <t>e0ae1cd013f224e3cf04210d1532f795b2699978f15aa6c534d9e097e2d1d5b33c16679fe30645daefdd3aa5be465ca8</t>
  </si>
  <si>
    <t>107136</t>
  </si>
  <si>
    <t>18-02-2026 12:30:33</t>
  </si>
  <si>
    <t>85b5fcfdae161d1c493743ef81a0ed2f9d6ef13d2ddc35103b0d71559f9c2a3eefa4823102221ac823f9be32f9d7ff14</t>
  </si>
  <si>
    <t>107137</t>
  </si>
  <si>
    <t>18-02-2026 12:30:38</t>
  </si>
  <si>
    <t>969083ac421c059af3df8eccb0a5fa0fd14db53920df66a9cf80c8a454b1770d1b767361b2a9fc5d8e7c23644a16cdd1</t>
  </si>
  <si>
    <t>107138</t>
  </si>
  <si>
    <t>18-02-2026 12:30:43</t>
  </si>
  <si>
    <t>860002459</t>
  </si>
  <si>
    <t>Consorcio Metalurgico Nacional SAS</t>
  </si>
  <si>
    <t>8ab5d4eef00c1e80595180ea4b7bb2f1233e492a4fe66110718cf952608fb06f059662d3f7e729a3b9f233cc8b078814</t>
  </si>
  <si>
    <t>107139</t>
  </si>
  <si>
    <t>18-02-2026 12:45:54</t>
  </si>
  <si>
    <t>800239928</t>
  </si>
  <si>
    <t>Promotora Inmobiliaria R &amp; G SAS</t>
  </si>
  <si>
    <t>b84407831e90b5c4ba2670f91486c031fa947ee07abbd082ec427e9a9b592ec24351b17ae7e81ef0d71e6efa86be110e</t>
  </si>
  <si>
    <t>107140</t>
  </si>
  <si>
    <t>18-02-2026 14:17:00</t>
  </si>
  <si>
    <t>900647719</t>
  </si>
  <si>
    <t>Educactiva Ediciones SAS</t>
  </si>
  <si>
    <t>5dcf042b2c7262dd9b47288286807a8c5efaec00df5c00fb987b7be062003de9127252d29ffe8979d8d3a94ada9f4c7c</t>
  </si>
  <si>
    <t>107141</t>
  </si>
  <si>
    <t>18-02-2026 14:32:27</t>
  </si>
  <si>
    <t>a7faeafe682011c6728ca72581256f2f7be4a913ac144b31c4ee08a34deff00e189956f1be73d44b32ab38f52bd94abe</t>
  </si>
  <si>
    <t>107142</t>
  </si>
  <si>
    <t>18-02-2026 14:32:30</t>
  </si>
  <si>
    <t>4395387a613248888be5c39632962ea29587c80fb835f64e196f4a2f8afbbe5ff73940f579fa49541555ff33cc0a524c</t>
  </si>
  <si>
    <t>107143</t>
  </si>
  <si>
    <t>18-02-2026 14:32:29</t>
  </si>
  <si>
    <t>bd0ccc3b95cb0827686a538e52cd7fad1d754ca4e35f8866f62e8c9d99311a7f2c16d94dbc634ec7179a0b2c8c33c4aa</t>
  </si>
  <si>
    <t>107144</t>
  </si>
  <si>
    <t>18-02-2026 14:32:33</t>
  </si>
  <si>
    <t>2cc30e53e8c0de900aa1eebe4f5c9cbe1b639c678e7f2b6203096f6aa2f65553efbc02a50b9cec3a7f0cbb1a70603c66</t>
  </si>
  <si>
    <t>107145</t>
  </si>
  <si>
    <t>18-02-2026 14:48:52</t>
  </si>
  <si>
    <t>59b01c816c09a389a1f74deb3980f73fbbe75f97e7a1b97403c0b36046239f5961cfc1d337ba0b408cc5c0d95361e23a</t>
  </si>
  <si>
    <t>107146</t>
  </si>
  <si>
    <t>18-02-2026 14:48:47</t>
  </si>
  <si>
    <t>900647720</t>
  </si>
  <si>
    <t>Arturo Calle Zona Franca SAS</t>
  </si>
  <si>
    <t>87c3a06897ddd227ce813654c5dab934d981b226ca9374b7a97aa75209fd913c5df8143d6c075752bf3bb74397885c06</t>
  </si>
  <si>
    <t>107147</t>
  </si>
  <si>
    <t>18-02-2026 14:48:50</t>
  </si>
  <si>
    <t>b043bef0a3a4cf6f722a6d18dd49b626a623b7dd873cf1a8a50de2e2a9305ac40e88b3f034688366177f0071f822fd2c</t>
  </si>
  <si>
    <t>107148</t>
  </si>
  <si>
    <t>18-02-2026 14:48:43</t>
  </si>
  <si>
    <t>900527898</t>
  </si>
  <si>
    <t>Sikorsky Material Services LLC Sucursal Colombia</t>
  </si>
  <si>
    <t>e5b85723d885a53c9a27f63454136f3efc99658415c5b85a45139b033e8776dff6d25eebd5c038c6ab49830f90420e5f</t>
  </si>
  <si>
    <t>107149</t>
  </si>
  <si>
    <t>18-02-2026 14:48:49</t>
  </si>
  <si>
    <t>da189230572d036c6249b596a4c4ff6e60789f469b4701e87b11a8a424a13ea1ac97d92e57cea0f18fc3c22900dd81b7</t>
  </si>
  <si>
    <t>107150</t>
  </si>
  <si>
    <t>18-02-2026 14:48:48</t>
  </si>
  <si>
    <t>860523795</t>
  </si>
  <si>
    <t>Suministros E Impresos SAS</t>
  </si>
  <si>
    <t>5aadf3b36426e5e015c46fed4a454e76dea1d11b27461d8f418024221e3196a560fe4d43919179990a0ff37b5b47f68d</t>
  </si>
  <si>
    <t>107151</t>
  </si>
  <si>
    <t>18-02-2026 15:03:40</t>
  </si>
  <si>
    <t>900182389</t>
  </si>
  <si>
    <t>Camara De Riesgo Central De Contraparte De Colombia S A</t>
  </si>
  <si>
    <t>4b9c519d4598c7400ac20e4fd5ba256f2cfe05cb3cd05b1e346b577ad11b4cc50062ec20a29ecfa83f2cc018f875f78a</t>
  </si>
  <si>
    <t>107152</t>
  </si>
  <si>
    <t>18-02-2026 15:04:57</t>
  </si>
  <si>
    <t>40c4eb12b32e00c3e91cca89183ba0b936b60829ab03b63a363e71655608ea8f3754473679966472609824c5fc3d14eb</t>
  </si>
  <si>
    <t>107153</t>
  </si>
  <si>
    <t>18-02-2026 15:03:51</t>
  </si>
  <si>
    <t>900134877</t>
  </si>
  <si>
    <t>Fundacion De Copidrogas Para La Educacion Y La Asesoria Tecnica</t>
  </si>
  <si>
    <t>9a681a83062f2dcddbe89c8f9faeb288798a766d44bd69e87550a2751b8808321110086baa0c80711d9620d2ea364fe8</t>
  </si>
  <si>
    <t>107154</t>
  </si>
  <si>
    <t>18-02-2026 15:03:56</t>
  </si>
  <si>
    <t>35df67fa3824bf51c55d47247ffd00b4e1278fea0909233b04283cd54204fba6e64430c0f5a29ee9517664f1b53453c4</t>
  </si>
  <si>
    <t>107155</t>
  </si>
  <si>
    <t>18-02-2026 15:04:00</t>
  </si>
  <si>
    <t>777b31e8278eb22a73446733991a428e9362185064a104e94fbdb6f53ef2562406b0dbac7773a19fa881af98e0a7a117</t>
  </si>
  <si>
    <t>107156</t>
  </si>
  <si>
    <t>18-02-2026 15:19:15</t>
  </si>
  <si>
    <t>901882241</t>
  </si>
  <si>
    <t>Dalog Americas SAS</t>
  </si>
  <si>
    <t>ebd5392a1f600e18eb5a19d8f21bd5ab9b7c273dd3c6402a1b7fd6b91cc5de5678e86c4daccf03638acb3973fb055178</t>
  </si>
  <si>
    <t>107157</t>
  </si>
  <si>
    <t>18-02-2026 15:19:11</t>
  </si>
  <si>
    <t>1f3ed3ece22d2f7bb5797e64922206e38133d471fd92dfac60bf5b0ba2afe0e485bc8e9cd36d9f145158e1d03761cca7</t>
  </si>
  <si>
    <t>107158</t>
  </si>
  <si>
    <t>18-02-2026 15:19:19</t>
  </si>
  <si>
    <t>799fbdec21c9152071afcf45f08e987ddd0e5402005ed63671f6539de44bd7b0bd6fd5dbb478ae3df8f7afbcb9399c96</t>
  </si>
  <si>
    <t>107159</t>
  </si>
  <si>
    <t>18-02-2026 15:34:23</t>
  </si>
  <si>
    <t>901580139</t>
  </si>
  <si>
    <t>Operadora Habitel S A S</t>
  </si>
  <si>
    <t>3c24d0f1c1c761cec195ed5699d71f4970160266db9ef609ef2bc08448f46e9eb9ac65a0e6fe49a6103562800c9e1d22</t>
  </si>
  <si>
    <t>107160</t>
  </si>
  <si>
    <t>18-02-2026 15:34:26</t>
  </si>
  <si>
    <t>830133183</t>
  </si>
  <si>
    <t>S L Research Colombia SAS</t>
  </si>
  <si>
    <t>6ad5ef9af29728e74e0e94128baf5a0e2eca2f248c47456e373e4487b18e3bff85117cf1434707f8c069a1ab5259277d</t>
  </si>
  <si>
    <t>107161</t>
  </si>
  <si>
    <t>18-02-2026 15:34:32</t>
  </si>
  <si>
    <t>891101577</t>
  </si>
  <si>
    <t>Alcanos De Colombia SA ESP</t>
  </si>
  <si>
    <t>a5879e6794dbfe5a0e794697ec2f389a455b0525e0898ea3398bee3c1a75b1b51682db71965a199c50fefef3623d9757</t>
  </si>
  <si>
    <t>107162</t>
  </si>
  <si>
    <t>18-02-2026 15:34:37</t>
  </si>
  <si>
    <t>2c5e3294c8fe22b71a3f7877c81ac58cd7b347bcb05658882216917c546ff314390a2323cf3c8920dea2dfdde5fe1ee1</t>
  </si>
  <si>
    <t>107163</t>
  </si>
  <si>
    <t>18-02-2026 15:34:41</t>
  </si>
  <si>
    <t>24735641815229</t>
  </si>
  <si>
    <t>Instituto Panameño De Investigaciones Clinicas Ipic SA</t>
  </si>
  <si>
    <t>fcf2087770a1fb5a26053b26242ef0bbe36f34ad230688ef602bad59d0ec925bc7d6d0ea6226ac5a0e1a569bdbb99586</t>
  </si>
  <si>
    <t>107164</t>
  </si>
  <si>
    <t>18-02-2026 15:34:46</t>
  </si>
  <si>
    <t>54b4ab78e59b7ba6f4f397a9da64eea3cacc89693cee929e043450a1263651525b6a2a7c6bf5d4492febd19f1a00b05e</t>
  </si>
  <si>
    <t>107165</t>
  </si>
  <si>
    <t>18-02-2026 15:34:51</t>
  </si>
  <si>
    <t>a10fb04892ba5acc3faf66ba7fc7f20e7e3f141813ab0b83b6fab5525da18c5a465b80e60868bcc22e5d48951c25744a</t>
  </si>
  <si>
    <t>107166</t>
  </si>
  <si>
    <t>18-02-2026 15:49:56</t>
  </si>
  <si>
    <t>fea08dd5263591a5def8773374c0f073b61c492d4c171ff6aa9813e5dc2c24d45db1344b4dfd59d5a55005e533e59778</t>
  </si>
  <si>
    <t>107167</t>
  </si>
  <si>
    <t>18-02-2026 15:50:01</t>
  </si>
  <si>
    <t>a73af1dd01e3e59f984d431434ceaafa20c3c5213a3185a9d8e3725454dffb22004b06f5b62f7940d7377ef7aa0780da</t>
  </si>
  <si>
    <t>107168</t>
  </si>
  <si>
    <t>18-02-2026 15:50:06</t>
  </si>
  <si>
    <t>96130a4228677a47a475e8ed9ec3b3e9a33c9325d7f99b32fb3e4d9e9af4fe7ee5556b9d0ef36eae951eba3217f850fe</t>
  </si>
  <si>
    <t>107169</t>
  </si>
  <si>
    <t>18-02-2026 15:50:10</t>
  </si>
  <si>
    <t>7235dde00bc43445a8f8261393ca071a7915177eb2a301467fb0db37415d7f9d052b73ee8d155938a0f949e678740be5</t>
  </si>
  <si>
    <t>107170</t>
  </si>
  <si>
    <t>18-02-2026 16:06:17</t>
  </si>
  <si>
    <t>d087025366ac3ee1ecc84b75ff03edef0cdb669fb2e7fda86de96c3a893d3a13a24635f1c876ffd854cec05e608e0a1a</t>
  </si>
  <si>
    <t>107171</t>
  </si>
  <si>
    <t>18-02-2026 16:20:28</t>
  </si>
  <si>
    <t>900095054</t>
  </si>
  <si>
    <t>Interoc S A Sucursal Colombia</t>
  </si>
  <si>
    <t>1386e1aef93be53a3be312bbe2173dafa751281cb3ba857569caa3a112a32823d1cad1e99246a98dab4aab73bd5a322e</t>
  </si>
  <si>
    <t>107172</t>
  </si>
  <si>
    <t>19-02-2026</t>
  </si>
  <si>
    <t>19-02-2026 07:06:51</t>
  </si>
  <si>
    <t>ca7903d8f0d561b8addb415a905c6955e383a855658f70e31ea1fd70e2dda9a71ed45cacaf90d039aa68c936e24e4d3f</t>
  </si>
  <si>
    <t>107173</t>
  </si>
  <si>
    <t>19-02-2026 07:06:55</t>
  </si>
  <si>
    <t>4a439417a754a2117696eae2a158a1c833a9ca11ad16884558c77c042df38af2088ef6e64aba1ba4426cfa3dc4382e49</t>
  </si>
  <si>
    <t>107174</t>
  </si>
  <si>
    <t>19-02-2026 07:07:00</t>
  </si>
  <si>
    <t>8ecaac3f43044d78658fb18a9942a89ffa877492e6a02347e9379d826db9066f784ba73e8ddb00630fefa8d0efcb43e9</t>
  </si>
  <si>
    <t>107175</t>
  </si>
  <si>
    <t>19-02-2026 07:07:05</t>
  </si>
  <si>
    <t>0537fc222d00d18e3c124973fc7856eacf434b5502a1baece74856bc4f66acfaba7765e6cbfe64eeccdd7c72e9a54e21</t>
  </si>
  <si>
    <t>107176</t>
  </si>
  <si>
    <t>19-02-2026 07:22:11</t>
  </si>
  <si>
    <t>890921972</t>
  </si>
  <si>
    <t>Carbe SAS</t>
  </si>
  <si>
    <t>78f830e2bbab6133871bb92d345955550a282a51a878b8276a700c11af72db058bd891f55db02bea30ecba659381f07f</t>
  </si>
  <si>
    <t>107177</t>
  </si>
  <si>
    <t>19-02-2026 08:22:23</t>
  </si>
  <si>
    <t>a15be3b285d3c2a158d1286fd3cc689e2dff2408ce777278c695041b7b78aab23112efdf919adc00ddd00627785220b5</t>
  </si>
  <si>
    <t>107178</t>
  </si>
  <si>
    <t>19-02-2026 08:22:27</t>
  </si>
  <si>
    <t>860017005</t>
  </si>
  <si>
    <t>Challenger SAS</t>
  </si>
  <si>
    <t>55d28e034138a902510b002631071e99ad407b85e10b2e64ec2633fc2612a49bea42887db92b3537e89147486e122f6a</t>
  </si>
  <si>
    <t>107179</t>
  </si>
  <si>
    <t>19-02-2026 08:37:33</t>
  </si>
  <si>
    <t>900268896</t>
  </si>
  <si>
    <t>Axon Group Limitada</t>
  </si>
  <si>
    <t>83a9945448ca3f7611998507c0fa8e887f47d446e981478065e8f268994005b498cfd71acb858af3dcbab62a58b38463</t>
  </si>
  <si>
    <t>107180</t>
  </si>
  <si>
    <t>19-02-2026 08:37:38</t>
  </si>
  <si>
    <t>dd8ea3e4a220d0d8194a6e0a4217d5e459a540bc940622fcfccf95de032b23bda658ed08836609cf92903562fc382ccc</t>
  </si>
  <si>
    <t>107181</t>
  </si>
  <si>
    <t>19-02-2026 09:09:11</t>
  </si>
  <si>
    <t>900200435</t>
  </si>
  <si>
    <t>Cardif Colombia Seguros Generales SA</t>
  </si>
  <si>
    <t>paga 2/032026</t>
  </si>
  <si>
    <t>6405204362566f6d9e282cf5e12d4594650b47d725148b7a45965b7d913696cda1673e498b74b1d6b4b97f02d66b237a</t>
  </si>
  <si>
    <t>107182</t>
  </si>
  <si>
    <t>19-02-2026 09:08:16</t>
  </si>
  <si>
    <t>830093443</t>
  </si>
  <si>
    <t>Extractora Del Sur De Casanare SAS</t>
  </si>
  <si>
    <t>90e0fd8daee73bb151d84ef8dc524e448f6c7ab71b05a9365b0cdada228b7074ec0ec0787f7935f02ae71b3a48c9844a</t>
  </si>
  <si>
    <t>107183</t>
  </si>
  <si>
    <t>19-02-2026 09:25:20</t>
  </si>
  <si>
    <t>901318397</t>
  </si>
  <si>
    <t>Atomy Colombia SAS</t>
  </si>
  <si>
    <t>paga 26/02/2026</t>
  </si>
  <si>
    <t>fec584f02c4b6de77f8a6619f4bb2f971dce664a3363983ea58a79bc541218530b763465cad98dcf3928ad9101ac1d47</t>
  </si>
  <si>
    <t>107184</t>
  </si>
  <si>
    <t>19-02-2026 09:53:19</t>
  </si>
  <si>
    <t>860517606</t>
  </si>
  <si>
    <t>Cooperativa Especializada De Servicios De Vigilancia Cooservi CTA</t>
  </si>
  <si>
    <t>6d06491a0c1c597f10ceaf2e3b1f0a8a52ba182d2034bef88bac90b40c1beb20c0161f441bd6f794b615a5467f8ab461</t>
  </si>
  <si>
    <t>107185</t>
  </si>
  <si>
    <t>19-02-2026 09:53:23</t>
  </si>
  <si>
    <t>860030839</t>
  </si>
  <si>
    <t>Dorfan SAS</t>
  </si>
  <si>
    <t>6a467c1239397acff3fa11f9770be3dc4d1b79544126da3f4e49c6609b86c920e80d0b1ca13193dd3460a53109181093</t>
  </si>
  <si>
    <t>107186</t>
  </si>
  <si>
    <t>19-02-2026 09:53:28</t>
  </si>
  <si>
    <t>9da7dc525fea1fed52c12a0f640f4c6d6248f34cd3fa9c6a0df74d1049a227f2cc7cf498f3f3a420568a648e14147ca2</t>
  </si>
  <si>
    <t>107187</t>
  </si>
  <si>
    <t>19-02-2026 09:53:32</t>
  </si>
  <si>
    <t>59921c7b7c9e872454dc000b26410c5aa2c7521b27227b103a6945d2fa49975b29162d99def6ecf97ced1ac645fd83ed</t>
  </si>
  <si>
    <t>107188</t>
  </si>
  <si>
    <t>19-02-2026 09:53:37</t>
  </si>
  <si>
    <t>860049363</t>
  </si>
  <si>
    <t>Cooperativa De Empleados de Cafam</t>
  </si>
  <si>
    <t>eb25f4faf1e9f52237af033a483a8d575046e171b6f4d2e4816536c742225abdd7c09c7e022df6b6cd768dd9eb30dd4b</t>
  </si>
  <si>
    <t>107189</t>
  </si>
  <si>
    <t>19-02-2026 09:53:42</t>
  </si>
  <si>
    <t>830094312</t>
  </si>
  <si>
    <t>Visual Point SAS</t>
  </si>
  <si>
    <t>9cc0e1d1d3744053eaa016cdd025ebbdb8dfe6a5005088fe6276e55fb564de2713df2f6eddf973809d4223ea7f72bba6</t>
  </si>
  <si>
    <t>107190</t>
  </si>
  <si>
    <t>19-02-2026 10:09:05</t>
  </si>
  <si>
    <t>900948028</t>
  </si>
  <si>
    <t>Electronic For You Security And Entertainment SAS</t>
  </si>
  <si>
    <t>391baf23b2cf9aa341560523359b217e5b5a29191f073199ee98cabdb1eea0979ee88652cb806e6a3c53cdd8e214d3f7</t>
  </si>
  <si>
    <t>107191</t>
  </si>
  <si>
    <t>19-02-2026 10:09:10</t>
  </si>
  <si>
    <t>860403251</t>
  </si>
  <si>
    <t>Exportaciones Internacionales De Cargas  S A S</t>
  </si>
  <si>
    <t>0a1645e504e497ff6ed488a786f69688e092010b6647c66d69b04c13142dc1301edb14de11fa61b2cc38151c442abd65</t>
  </si>
  <si>
    <t>107192</t>
  </si>
  <si>
    <t>19-02-2026 10:09:15</t>
  </si>
  <si>
    <t>51103a0837527403d74afa9e3279ce387dbbdd6370993fa674355129422f28f449d21e86284178eaf7bfc5589850e89b</t>
  </si>
  <si>
    <t>107193</t>
  </si>
  <si>
    <t>19-02-2026 10:09:19</t>
  </si>
  <si>
    <t>afe827d61e7803689569dd8fb0dda37a4ca212b868577b649da0fd7e30ac9de234118ec0375c5bdde3df24dc3f266d0a</t>
  </si>
  <si>
    <t>107194</t>
  </si>
  <si>
    <t>19-02-2026 10:09:24</t>
  </si>
  <si>
    <t>68717f9ac0ec49ec447c8c412d222f97bdb6c1dcf9a9a9421df9ea42ae4f001c42cf6c82efef5bac32fc3836de610cfe</t>
  </si>
  <si>
    <t>107195</t>
  </si>
  <si>
    <t>19-02-2026 10:09:29</t>
  </si>
  <si>
    <t>860023053</t>
  </si>
  <si>
    <t>Howden Corredores De Seguros SA</t>
  </si>
  <si>
    <t>f1ae887381789dc487ec53569a3c311cc0d7f0bc50b6cf5f9d97ccc97f2b6d47d39cb111152205ec12dbfb8b55b016d8</t>
  </si>
  <si>
    <t>107196</t>
  </si>
  <si>
    <t>19-02-2026 10:24:44</t>
  </si>
  <si>
    <t>830513769</t>
  </si>
  <si>
    <t>Imc Cargo International S A S</t>
  </si>
  <si>
    <t>6d2af8a0feb8ab73003046ccf8c352619f8421956f1a7ad91bb3d841d6e50c1d02b83215d29a6353d49334bf271467dc</t>
  </si>
  <si>
    <t>107197</t>
  </si>
  <si>
    <t>19-02-2026 10:24:50</t>
  </si>
  <si>
    <t>03b6e0106f6004ee780fd02c7ec31393bea205e274da7cea2ff26ff26676dc772a26681cd7f381c7859d01b8b290e8df</t>
  </si>
  <si>
    <t>107198</t>
  </si>
  <si>
    <t>19-02-2026 10:24:54</t>
  </si>
  <si>
    <t>900218578</t>
  </si>
  <si>
    <t>Sistemas Colombia SAS</t>
  </si>
  <si>
    <t>6016384e656918238518694b5dd059183798de9f2d9ec6fa3adcdb5868386de4d44114d061cb0d0a96edfbc077c25e4b</t>
  </si>
  <si>
    <t>107199</t>
  </si>
  <si>
    <t>19-02-2026 10:24:59</t>
  </si>
  <si>
    <t>d86fa54f5e93e4565e7b7848b6c7ef8e501d48997a59c2c0a0a71c81fb460374c8d312c65226c8eb5cf1fec5044b2896</t>
  </si>
  <si>
    <t>107200</t>
  </si>
  <si>
    <t>19-02-2026 10:25:03</t>
  </si>
  <si>
    <t>991f0f1acfa9f8cb563ec6cce34bd2d06fff29237629baf376c510531a5083a7fd1f55d21cda3dacce041f9c15f7a9b2</t>
  </si>
  <si>
    <t>107201</t>
  </si>
  <si>
    <t>19-02-2026 10:40:10</t>
  </si>
  <si>
    <t>3f8ff4f798b447979eaed44e4715dd510fff54945767528a5d8ae28327194d6b8c86efe9197d3166d69e8b4f541f35a0</t>
  </si>
  <si>
    <t>107202</t>
  </si>
  <si>
    <t>19-02-2026 10:40:14</t>
  </si>
  <si>
    <t>1e670551ef484fe63ed786cd50f54734f89d8f8fdee963302eaed8e276844e3b0011250cd102d75f3d2fadd18eac40eb</t>
  </si>
  <si>
    <t>107203</t>
  </si>
  <si>
    <t>19-02-2026 10:40:19</t>
  </si>
  <si>
    <t>830103877</t>
  </si>
  <si>
    <t>Logimat S A S</t>
  </si>
  <si>
    <t>030de30fdf297f533d898d9ed8c6443622080b5668af9fe42157850f517a0e53411fb798134d37803ff1f65175cd4b69</t>
  </si>
  <si>
    <t>107204</t>
  </si>
  <si>
    <t>19-02-2026 10:40:24</t>
  </si>
  <si>
    <t>86141f39ef2b09af81e42745942794ef116bf20dc01cb168e8285ead3d0a512816e329c80e375f9a12512279e8b5dffd</t>
  </si>
  <si>
    <t>107205</t>
  </si>
  <si>
    <t>19-02-2026 10:40:29</t>
  </si>
  <si>
    <t>c621a97a83de020b039f65eb12b3747295075a089d183ae5bee62d11c646154352f0fafc9a8449160d348cbe61274e69</t>
  </si>
  <si>
    <t>107206</t>
  </si>
  <si>
    <t>19-02-2026 10:55:40</t>
  </si>
  <si>
    <t>606e6a08966e786387f9e6932e9bf4e83d0ea68aa87a3bc2563780652e37a673a8518c50bc44a76ba3dd614cf2f6168f</t>
  </si>
  <si>
    <t>107207</t>
  </si>
  <si>
    <t>19-02-2026 10:55:44</t>
  </si>
  <si>
    <t>800156354</t>
  </si>
  <si>
    <t>National Oilwell Varco De Colombia</t>
  </si>
  <si>
    <t>313d9d2e55731867f4d410b20bded2360e2d13f4766177a4dad644223301252d841f59ac6dd6b20fda20ec5b8a98e5d1</t>
  </si>
  <si>
    <t>107208</t>
  </si>
  <si>
    <t>19-02-2026 10:55:49</t>
  </si>
  <si>
    <t>Indigo Park Colombia SAS</t>
  </si>
  <si>
    <t>0f058b866c9d1051768e6adf7d9b3c415073e1a4ecac449165d74441aeb344e871f0d795385d2f198525f251be315b1e</t>
  </si>
  <si>
    <t>107209</t>
  </si>
  <si>
    <t>19-02-2026 10:55:54</t>
  </si>
  <si>
    <t>a81dc7b9fed1128131696c2c0c3d57ba451ff879ddede910b844985370aea3c47623d5d2acc05e0e87078c5fa675faf3</t>
  </si>
  <si>
    <t>107210</t>
  </si>
  <si>
    <t>19-02-2026 10:55:59</t>
  </si>
  <si>
    <t>c44ffd3d550b65fe471d16648f0bf06792c0131bea98a75c0fbf03fb47dd9b80d0cab8bc993bfb3065d635ce892fd943</t>
  </si>
  <si>
    <t>107211</t>
  </si>
  <si>
    <t>19-02-2026 10:56:03</t>
  </si>
  <si>
    <t>1dd4c28c7cdad2df527f5359c5812b78c7ab94d354643be263d07b208d87491a8456dfdc0b33494422cbd55809fa0f8d</t>
  </si>
  <si>
    <t>107212</t>
  </si>
  <si>
    <t>19-02-2026 10:56:08</t>
  </si>
  <si>
    <t>94061dd02a497b87e09c4d571f367d05e69948eba08415fb5e8a5d7571325d99a95fd02d6fedce8ffeac9c4cff0bcc46</t>
  </si>
  <si>
    <t>107213</t>
  </si>
  <si>
    <t>19-02-2026 10:56:13</t>
  </si>
  <si>
    <t>403234a0fa51ae7ee803217e6704add86160ddda62a0cad99ab2a9b1d97d3106581a60ce2b182955f229b7192642f317</t>
  </si>
  <si>
    <t>107214</t>
  </si>
  <si>
    <t>19-02-2026 11:12:42</t>
  </si>
  <si>
    <t>860511911</t>
  </si>
  <si>
    <t>Series SAS</t>
  </si>
  <si>
    <t>e4550ee44df2e6df0ab4125bcfdb0739a4b6ef573f271950f6406dd47a39509c460121cc16ba153331d157dd8fc1c78e</t>
  </si>
  <si>
    <t>107215</t>
  </si>
  <si>
    <t>19-02-2026 11:11:24</t>
  </si>
  <si>
    <t>900521357</t>
  </si>
  <si>
    <t>Jmv Construktora SAS</t>
  </si>
  <si>
    <t>e3334b0c2d6e1a00e501cec26b451882917b22f6fe2545d579c26ca40b50fffa6f79042f5b14a55f3a2d60bf5fbddd12</t>
  </si>
  <si>
    <t>107216</t>
  </si>
  <si>
    <t>19-02-2026 11:11:30</t>
  </si>
  <si>
    <t>e8520daa526f662c7c6f4839500a225afb665221b648bf49faa4e5ff307679de8077de445505bbc5f6b809a3ef633df6</t>
  </si>
  <si>
    <t>107217</t>
  </si>
  <si>
    <t>19-02-2026 11:11:34</t>
  </si>
  <si>
    <t>d9f1f25597ca618eaee0189b067f6b8a9da05c721e685b4cba5fc77110ea074733bd454901cd9be1e317d5bffa79a2e5</t>
  </si>
  <si>
    <t>107218</t>
  </si>
  <si>
    <t>19-02-2026 11:12:54</t>
  </si>
  <si>
    <t>9d1f4675ad4b38a7bfa931c51483a48ccfc569faf79b2ecbde3a864c3c0bd34560c5a87ecf1847209e12e9350700777f</t>
  </si>
  <si>
    <t>107219</t>
  </si>
  <si>
    <t>19-02-2026 11:11:43</t>
  </si>
  <si>
    <t>992addf76d7390f4813e806423eeda52bfc408a5d3260e9b4707463ccb73f927a87f85a7574df9e83e241be2462b58b6</t>
  </si>
  <si>
    <t>107220</t>
  </si>
  <si>
    <t>19-02-2026 11:26:51</t>
  </si>
  <si>
    <t>93367bf08755bee24630ca10a210dca6e346a299ecdcf5ca6265862d0f2c09bd395ba835e5e320061b4c79c241e4ff26</t>
  </si>
  <si>
    <t>107221</t>
  </si>
  <si>
    <t>19-02-2026 11:26:55</t>
  </si>
  <si>
    <t>901152286</t>
  </si>
  <si>
    <t>Castillo Y Asociados Ingenieria SAS</t>
  </si>
  <si>
    <t>b21afed811fe84fab68dce7db5f80681439c98484f4680f48b54852e9406b5c9d0fbe7d69d020d8f18b6e0f69d4eb399</t>
  </si>
  <si>
    <t>107222</t>
  </si>
  <si>
    <t>19-02-2026 11:27:00</t>
  </si>
  <si>
    <t>901042801</t>
  </si>
  <si>
    <t>Inversiones Globales Ns SAS</t>
  </si>
  <si>
    <t>121da6f6c6790c9d90d495af8e13c45c95db3e42b20d45e4a494c1d1767517a55b79b044480739f76bfdc171579ef408</t>
  </si>
  <si>
    <t>107223</t>
  </si>
  <si>
    <t>19-02-2026 11:27:05</t>
  </si>
  <si>
    <t>7fb6023e450b9abae0fb0f0d51a7e1f23d7dadb782d4f9fc377db2aa1664e52199360bff0549668c2ea4cfbabf80c757</t>
  </si>
  <si>
    <t>107224</t>
  </si>
  <si>
    <t>19-02-2026 11:43:08</t>
  </si>
  <si>
    <t>b363e1c51cc31edda54a513daf5b03cde5d1b775991e8187c244724d5139b73ee384a1192108ccd65cbe135f1c6ac34e</t>
  </si>
  <si>
    <t>107225</t>
  </si>
  <si>
    <t>19-02-2026 11:43:11</t>
  </si>
  <si>
    <t>cae7d4197e3686b1d8c02457570858d5b9b8a8b6a101bc1baa8ce476569db720fa813d0ce6b31781b81f4ef18607bdf5</t>
  </si>
  <si>
    <t>107226</t>
  </si>
  <si>
    <t>19-02-2026 11:43:16</t>
  </si>
  <si>
    <t>860001093</t>
  </si>
  <si>
    <t>Grupo Y SAS</t>
  </si>
  <si>
    <t>cef62e309814dee6290236db6cc3b1928fb7dbe4e583f9769d82ba890a5875f5532056b2e862b183c14a63337791f1be</t>
  </si>
  <si>
    <t>107227</t>
  </si>
  <si>
    <t>19-02-2026 11:43:19</t>
  </si>
  <si>
    <t>c68666dec2f01b686b18ac1a161b8d4ba9f5330121c7094a2cd7d88cafb925dab24e665b2deba77ed6cefd12345463c1</t>
  </si>
  <si>
    <t>107228</t>
  </si>
  <si>
    <t>19-02-2026 11:43:22</t>
  </si>
  <si>
    <t>830090773</t>
  </si>
  <si>
    <t>Massy Energy Colombia SAS</t>
  </si>
  <si>
    <t>7de7fe6a3a63fac00c6cc7195991a829eb57538d5cb698e41c1cea97b694f6ba0385028e0f331467a216b1a60b04dfde</t>
  </si>
  <si>
    <t>107229</t>
  </si>
  <si>
    <t>19-02-2026 11:57:37</t>
  </si>
  <si>
    <t>05b389c1235a73b430905dcdaa62e995166f5fa95a84496b5edaa2da64338690298bee69a3f463833a5755c2a88d1e9b</t>
  </si>
  <si>
    <t>107230</t>
  </si>
  <si>
    <t>19-02-2026 11:57:42</t>
  </si>
  <si>
    <t>67c4f8466febcb5fb969789a05b2432bc494b8a881fea28b164177fdb17c74200cc0f0a104d7d0349c34a47a2644c33b</t>
  </si>
  <si>
    <t>107231</t>
  </si>
  <si>
    <t>19-02-2026 11:57:47</t>
  </si>
  <si>
    <t>f582a89fb0899d4e6ee0c94bbf216c425fdc5aeafff3b123ed1cae619add77176ecb33fb2bc7c7f9fc36e04aa5a231c6</t>
  </si>
  <si>
    <t>107232</t>
  </si>
  <si>
    <t>19-02-2026 11:57:52</t>
  </si>
  <si>
    <t>ff41d39d593329bc1434668002d4d0a2236d07aa6322ce1b84770b4e0ea4bbdcd1bf3b8d12d06c6f5db6dfcf50f7b2e6</t>
  </si>
  <si>
    <t>107233</t>
  </si>
  <si>
    <t>19-02-2026 11:57:56</t>
  </si>
  <si>
    <t>2bef15f040f9c025bf0abd48ad520244f660fcdf71f20f4d3fd772f69d5ccd0adbf1b45bad3dfff3e421cc7ebf2ab1f7</t>
  </si>
  <si>
    <t>107234</t>
  </si>
  <si>
    <t>19-02-2026 11:58:01</t>
  </si>
  <si>
    <t>900457412</t>
  </si>
  <si>
    <t>Trans Rubiales SAS</t>
  </si>
  <si>
    <t>05943fd0fbdb424bb64db318416909d1960858263f42f3690c200af936c40c5fc1922f31760dba41bb1eeb5293cf0cb6</t>
  </si>
  <si>
    <t>107235</t>
  </si>
  <si>
    <t>19-02-2026 11:58:06</t>
  </si>
  <si>
    <t>900425918</t>
  </si>
  <si>
    <t>Totalenergies Marketing Colombia SAS</t>
  </si>
  <si>
    <t>be82efed54801a5b7f4263a9567c10d96858cabde97c11b04a457a243fe75e413b35d2a08467005331bc1142d14d2749</t>
  </si>
  <si>
    <t>107236</t>
  </si>
  <si>
    <t>19-02-2026 12:13:12</t>
  </si>
  <si>
    <t>ceb3fe4e732fae7269ca56933cb88fa5489c95ccbd67ead3b8522c0b2f81497ff6d115b4b4a862225758caac28115562</t>
  </si>
  <si>
    <t>107237</t>
  </si>
  <si>
    <t>19-02-2026 12:13:17</t>
  </si>
  <si>
    <t>2f1f044cc32c6f599edb3ffff3a1686f150e8a434c99fb256b385a167031e6243c1eff99aa6d48587ee1a8ae64f13704</t>
  </si>
  <si>
    <t>107238</t>
  </si>
  <si>
    <t>19-02-2026 12:13:22</t>
  </si>
  <si>
    <t>353a3c5fd25baf528a207584eb7c094563d7664a2cb7d52bba91c81b126fc417c0909f51404c2695ad26eca52c4da212</t>
  </si>
  <si>
    <t>107239</t>
  </si>
  <si>
    <t>19-02-2026 12:13:27</t>
  </si>
  <si>
    <t>3acd6785b81cfc1376af92ebf15730641ff06cdf546649b302a9093d45ebc72de6e0ce74c9953a1786c3665dcfc4418a</t>
  </si>
  <si>
    <t>107240</t>
  </si>
  <si>
    <t>19-02-2026 12:13:31</t>
  </si>
  <si>
    <t>901485933</t>
  </si>
  <si>
    <t>Versania Primera Infancia SAS</t>
  </si>
  <si>
    <t>a77938a62317d730aff0589e5c8b4ff6f9a10e75bbb84e7a10ec127714debbf50d3f8b890c276e796b571141290fb752</t>
  </si>
  <si>
    <t>107241</t>
  </si>
  <si>
    <t>19-02-2026 12:13:36</t>
  </si>
  <si>
    <t>a33ec8eeb6916aade0375be1c4fad353ea834284b1a3a4705ec7eed5c9d9f0c2f2fb7f62b02c7db989992841c77285d8</t>
  </si>
  <si>
    <t>107242</t>
  </si>
  <si>
    <t>19-02-2026 12:13:41</t>
  </si>
  <si>
    <t>6f434b4541467f1e692e515bed7a9adc7aa932718db49a056057004fc3d6969ae10bef10ea3ea7cd47a96a2b4fb48b11</t>
  </si>
  <si>
    <t>107243</t>
  </si>
  <si>
    <t>19-02-2026 12:13:45</t>
  </si>
  <si>
    <t>db137eae99abc9ad6a3ba438d0af192b52ac77648933ad16763405fbb5a891a1ea68b369d91d988136f1c92a96247828</t>
  </si>
  <si>
    <t>107244</t>
  </si>
  <si>
    <t>19-02-2026 12:28:56</t>
  </si>
  <si>
    <t>ff5c2c5b6e81c0075499543cfd691fc34df670b5c6036a1ec8665f1252e2781d31bfe5e51f4eea55eaf883ec17c188ec</t>
  </si>
  <si>
    <t>107245</t>
  </si>
  <si>
    <t>19-02-2026 12:29:00</t>
  </si>
  <si>
    <t>901449584</t>
  </si>
  <si>
    <t>Clinica Dental Keralty SAS</t>
  </si>
  <si>
    <t>9e0b35f5dfa9ab624588a76a8195cd3cc73c09ee39466b33fbaa98e4829c7c3cff5084f126d126de4bb6e428bdea3d19</t>
  </si>
  <si>
    <t>107246</t>
  </si>
  <si>
    <t>19-02-2026 12:29:05</t>
  </si>
  <si>
    <t>b2f69d21b80c359fd38551759cf894c829ae88221bf1a712b4247484aff61a565361b3d2cf582d7efad4b6a8e276e8e0</t>
  </si>
  <si>
    <t>107247</t>
  </si>
  <si>
    <t>19-02-2026 12:29:10</t>
  </si>
  <si>
    <t>860069265</t>
  </si>
  <si>
    <t>Aon Risk Services Colombia S A Corredores De Seguros Pero Podra Girar Bajo La Sigla Aon Colombia S A</t>
  </si>
  <si>
    <t>38ef06f096e9c2c298f96ac9b261292ddc855ab0f189e183d18a9c2ea36d4579b7aaa1db90dad92feacbc2b39a36e83f</t>
  </si>
  <si>
    <t>107248</t>
  </si>
  <si>
    <t>19-02-2026 12:29:15</t>
  </si>
  <si>
    <t>b5ede1bf7d8e224dac87785a3fbfbb8702f59c6739cbe6e43cb17869dfd18ae43df6d1ccda15739acafafd764d770fb5</t>
  </si>
  <si>
    <t>107249</t>
  </si>
  <si>
    <t>19-02-2026 12:59:22</t>
  </si>
  <si>
    <t>900154405</t>
  </si>
  <si>
    <t xml:space="preserve">Covisian Colombia S A S </t>
  </si>
  <si>
    <t>e1f703d6a98f77e03c8e6c4fdb50a098ec527da7e185f73a9e2fb8591d3db058493a369a9a08f52312abe02007aef72a</t>
  </si>
  <si>
    <t>107250</t>
  </si>
  <si>
    <t>19-02-2026 13:14:29</t>
  </si>
  <si>
    <t>ba324aba86142da47f6b492f6ba52fafcdbfc7d3c2dc5532539aeca1dd62eccea220bd4c01c44b3ee7c6ae56e0c7852b</t>
  </si>
  <si>
    <t>107251</t>
  </si>
  <si>
    <t>19-02-2026 13:14:34</t>
  </si>
  <si>
    <t>adc8e435d579d94db2a60c3fb77ccc890a372a70a373b11c163715daa0513b68af6fe0384ea13f283207fddf2aa3ce60</t>
  </si>
  <si>
    <t>107252</t>
  </si>
  <si>
    <t>19-02-2026 13:14:38</t>
  </si>
  <si>
    <t>901754811</t>
  </si>
  <si>
    <t>Jupi Jump San Rafael SAS</t>
  </si>
  <si>
    <t>98b8ea14d9fb8e4abe2d4b7fa830d20b85e8d7b14581b08bc32005a6c47b88f6f2ce96fc5334346af2e2dd6aff62c67c</t>
  </si>
  <si>
    <t>107253</t>
  </si>
  <si>
    <t>19-02-2026 13:14:43</t>
  </si>
  <si>
    <t>b2aec9484184b91ebefd12925c337a51d1831a345a41137e332f6b59c1e9be179ee03dee702f189a78aa547c4884a9e1</t>
  </si>
  <si>
    <t>107254</t>
  </si>
  <si>
    <t>19-02-2026 13:14:49</t>
  </si>
  <si>
    <t>f15f696f3dc241f0465255f48d5b23f7a1f95a6d394dd4a812b575caae0bf887566a9eb1ed1c5036b7572a010c9c838c</t>
  </si>
  <si>
    <t>107255</t>
  </si>
  <si>
    <t>19-02-2026 13:14:52</t>
  </si>
  <si>
    <t>900558342</t>
  </si>
  <si>
    <t>Concremack SAS</t>
  </si>
  <si>
    <t>89407ce08eaff215f3f1528a8214e1b5526ceea62057d8c60cca625f613bc9793401c514b7d34672ff61eaccab86e026</t>
  </si>
  <si>
    <t>107256</t>
  </si>
  <si>
    <t>19-02-2026 13:14:57</t>
  </si>
  <si>
    <t>83b57e32063158e7e0385b2cf861a1869dd78268d426be83338eecb1287ac151043ce806a5d1aa45168c502e5028c7bb</t>
  </si>
  <si>
    <t>107257</t>
  </si>
  <si>
    <t>19-02-2026 14:15:08</t>
  </si>
  <si>
    <t>800016635</t>
  </si>
  <si>
    <t>Corporacion San Isidro</t>
  </si>
  <si>
    <t>06017d4e6659dbb77f49e7152b1a87f510a137d08bb1331251be388c2655f849521b1cea564b2dd2bad05a6bfa0cde7a</t>
  </si>
  <si>
    <t>107258</t>
  </si>
  <si>
    <t>19-02-2026 14:15:11</t>
  </si>
  <si>
    <t>09522c631a7c39efba7b3891dc9b60a8e07f8acfff044622dd3132885098a935bac9baff1be1e0a738213c3f0b2442b9</t>
  </si>
  <si>
    <t>107259</t>
  </si>
  <si>
    <t>19-02-2026 14:15:18</t>
  </si>
  <si>
    <t>38a254066f54dfa6dfd3be14a546896078cfd6738d79d7997dc972cd8530f570a856a7a4095f42655dbbff8843a7b1f7</t>
  </si>
  <si>
    <t>107260</t>
  </si>
  <si>
    <t>19-02-2026 14:32:21</t>
  </si>
  <si>
    <t>8580bed3e2a1096968f0041ff41064c826cc3b3c7975eac07d81746db04a72414c166f91b088e8fa85f313d62ab64a6e</t>
  </si>
  <si>
    <t>107261</t>
  </si>
  <si>
    <t>19-02-2026 14:33:52</t>
  </si>
  <si>
    <t>190525fa50509776b434bb12606ee387416addc42945c759f0e20b971bbc5c99447b6d56a903151c5c9ac04684a0f317</t>
  </si>
  <si>
    <t>107262</t>
  </si>
  <si>
    <t>19-02-2026 14:32:26</t>
  </si>
  <si>
    <t>fcd77b4789e1203f327e70cf085679b76b1f409c5ecc7066794401fe8c4d5a76d8a410e7d8c9e3021c0cdb9ba90d883f</t>
  </si>
  <si>
    <t>107263</t>
  </si>
  <si>
    <t>19-02-2026 14:45:37</t>
  </si>
  <si>
    <t>800204652</t>
  </si>
  <si>
    <t>Agp Representaciones SAS</t>
  </si>
  <si>
    <t>7f5a548ec474f5090a19ccf059bbdfc22bbbdad27667ce3cf4692ecafd53b462bf038df33613255d3182a47bcae3502a</t>
  </si>
  <si>
    <t>107264</t>
  </si>
  <si>
    <t>19-02-2026 14:45:42</t>
  </si>
  <si>
    <t>2b28812282f263025f3de9b2fc32c94ba86429f2d62352481c15ac1f4b459aa82359071a49159e6730b305b5c7e40c85</t>
  </si>
  <si>
    <t>107265</t>
  </si>
  <si>
    <t>19-02-2026 14:45:47</t>
  </si>
  <si>
    <t>860065666</t>
  </si>
  <si>
    <t>Soto Sinisterra SAS</t>
  </si>
  <si>
    <t>74720d959da7480a4b68f1aa139b6155fb18d0be5a9eb4c5a1c9a1763211bcd010a5bd7f4a9cef4e4601e920912b4c53</t>
  </si>
  <si>
    <t>107266</t>
  </si>
  <si>
    <t>19-02-2026 14:45:51</t>
  </si>
  <si>
    <t>b82ae4a6c46c1a71efc4443867e6d77a8609c441400acaa8a85048f9b7630d05a6649761ade0b9a4a612f78ef38e32db</t>
  </si>
  <si>
    <t>107267</t>
  </si>
  <si>
    <t>19-02-2026 14:45:56</t>
  </si>
  <si>
    <t>2c8ff8e19f941da7cbf7b0cf519945e3b4c60b032bfa0b00bdef51c3775707bf48707cdb5874e5c39fd6e740b894ac8e</t>
  </si>
  <si>
    <t>107268</t>
  </si>
  <si>
    <t>19-02-2026 14:46:00</t>
  </si>
  <si>
    <t>901037870</t>
  </si>
  <si>
    <t>Aliat Servicios SAS Esp</t>
  </si>
  <si>
    <t>30169fbabbd79771822dc4244d9907c37f26287874177feffd63b79dad9a04d793eff43da3ad7e06e2ab98baedc4f346</t>
  </si>
  <si>
    <t>107269</t>
  </si>
  <si>
    <t>19-02-2026 14:46:05</t>
  </si>
  <si>
    <t>078fb5f0c0c1b9da52ef3abe9ad8e478fe29c3795e93a833e7d9b3fe4cc595da16e2b48b1ad714d1403e9fdc961c9b81</t>
  </si>
  <si>
    <t>107270</t>
  </si>
  <si>
    <t>19-02-2026 14:46:10</t>
  </si>
  <si>
    <t>d47a12b68d33fa097d784982bed07d8b7a699730a902879bc6fd161fe111ae509fd2d4cc0bd3b1123e9097c01a2f13c9</t>
  </si>
  <si>
    <t>107271</t>
  </si>
  <si>
    <t>19-02-2026 15:01:23</t>
  </si>
  <si>
    <t>87562777dbcff5a51b0a62c885ed4f34fe0d35ee24d2ce5814170b0bee86234fa6aff9bbb7d71c1d86c1337ecf5f6fe2</t>
  </si>
  <si>
    <t>107272</t>
  </si>
  <si>
    <t>19-02-2026 15:01:28</t>
  </si>
  <si>
    <t>231f1b06534e3e74cd6cc41b2a2e7afb764a3fbf11e7af915412c9b95b852c75371f1ffb0a2728c2e7dda6a5682e6d10</t>
  </si>
  <si>
    <t>107273</t>
  </si>
  <si>
    <t>19-02-2026 15:01:33</t>
  </si>
  <si>
    <t>349edb1d8f85f0306529687083b1cef9c6b310b07c1b818769d19fc75a6f4ef6cc9ca39bae5f45450ffdd0842f3383a2</t>
  </si>
  <si>
    <t>107274</t>
  </si>
  <si>
    <t>19-02-2026 15:01:37</t>
  </si>
  <si>
    <t>a43149f0935f1e182e4a2742af6da7d15199265eb269b0f036fe7dbe920d607af6c1aa996bd2ff3138de512a9d172df5</t>
  </si>
  <si>
    <t>107275</t>
  </si>
  <si>
    <t>19-02-2026 15:16:43</t>
  </si>
  <si>
    <t>283264c0972ed71b7ac7a0f75460f478ce3b1615d2590ab8dea7f75ab7f896c93945bbf4a39af95fddfd81e6001d8f16</t>
  </si>
  <si>
    <t>107276</t>
  </si>
  <si>
    <t>19-02-2026 15:31:49</t>
  </si>
  <si>
    <t>6d3b739f90ef4514c26d98acf1a874a7540a81db308e36cae16298239fb249b8710a1f4e5cad3998da20a769941fab74</t>
  </si>
  <si>
    <t>107277</t>
  </si>
  <si>
    <t>19-02-2026 15:47:00</t>
  </si>
  <si>
    <t>a6bf3415019c0cacdbdb3487f6b1ce7c6f391a85bcc86d5dfe2b91fefcb99a08062751270bc25b6d3146c91d93fa0120</t>
  </si>
  <si>
    <t>107278</t>
  </si>
  <si>
    <t>19-02-2026 15:47:05</t>
  </si>
  <si>
    <t>7540cac9b479bcd39c32a3517f3a84c17520172019fc17e836db8aa2df7b27557c68fd609cce4750cc5ded4293defa05</t>
  </si>
  <si>
    <t>107279</t>
  </si>
  <si>
    <t>19-02-2026 15:47:10</t>
  </si>
  <si>
    <t>9d7998b398d0241e8706ef910c6e42e47e057d60edfb9213f716f0b7fb5393c39ea38adea8a88d2b04b28bcd8f9ba155</t>
  </si>
  <si>
    <t>107280</t>
  </si>
  <si>
    <t>19-02-2026 15:47:14</t>
  </si>
  <si>
    <t>860031699</t>
  </si>
  <si>
    <t>Vitro Colombia SAS</t>
  </si>
  <si>
    <t>dedd8d8aab5825cab67c3f9646d09a72c0cbe4991c5b8366e09705cdd724eb6cbed35ba5ba657716959d6706e6c55922</t>
  </si>
  <si>
    <t>107281</t>
  </si>
  <si>
    <t>19-02-2026 15:47:19</t>
  </si>
  <si>
    <t>0a9fedb4d5b1eb3495c3a101a36479a5afd4b87eb81cfe92ee1bcda561787870ce96c5827e8cf9989c867ced989ccdaf</t>
  </si>
  <si>
    <t>107282</t>
  </si>
  <si>
    <t>19-02-2026 15:47:24</t>
  </si>
  <si>
    <t>5d0bda07859d1e3ba6861ee0bd989de7b5478e64d084b1b93b591544cad60a5102d51117c96a62231a0cbdebebd21705</t>
  </si>
  <si>
    <t>107283</t>
  </si>
  <si>
    <t>19-02-2026 16:02:33</t>
  </si>
  <si>
    <t>3d57eca156d3881ee4b2f81d0044284124c148150bacf8a10242a53ad8ca0476f851d66e5c5aff3a67d3cf1b6abbe083</t>
  </si>
  <si>
    <t>107284</t>
  </si>
  <si>
    <t>19-02-2026 16:02:37</t>
  </si>
  <si>
    <t>3d5d888bd7c1469ef3995f530e310f4c9bfd490beae9c95ac7b28924c672e5be7838b4c2fa900e50ea260630d788c55e</t>
  </si>
  <si>
    <t>107285</t>
  </si>
  <si>
    <t>19-02-2026 16:02:42</t>
  </si>
  <si>
    <t>832000957</t>
  </si>
  <si>
    <t>Iglesia Cristiana De Los Testigos De Jehova</t>
  </si>
  <si>
    <t>PAGA EN EL SISTEMA 2/03/2026</t>
  </si>
  <si>
    <t>2510ea88d642cb78219c77f2c98abc769b1fba085dc942ccb9b6e430eb98768252b2db1b2cddf13060853e05214b5694</t>
  </si>
  <si>
    <t>107286</t>
  </si>
  <si>
    <t>19-02-2026 16:02:47</t>
  </si>
  <si>
    <t>800185039</t>
  </si>
  <si>
    <t>Honor Servicios De Seguridad Limitada</t>
  </si>
  <si>
    <t>8dc8f710ea9fcceccbf4eafebaf8f1e98992b46c43bde64079366b60e8947e83b8ea2f873a42e6a84f6f22a8220c4150</t>
  </si>
  <si>
    <t>107287</t>
  </si>
  <si>
    <t>19-02-2026 16:02:51</t>
  </si>
  <si>
    <t>413deb0201ec483b9923f28f19d40b96e793d101e63372dfdd8ffbf11ef4ecd893f057aa4e23f7c4068e1d5fa309ad16</t>
  </si>
  <si>
    <t>107288</t>
  </si>
  <si>
    <t>19-02-2026 16:18:05</t>
  </si>
  <si>
    <t>860517438</t>
  </si>
  <si>
    <t>Bandas Y Elasticos Bandel SAS</t>
  </si>
  <si>
    <t>f2ce80f1c087523ba0b0e756a1d8b0f61a629fd3d3c56302dfdbab01a230310761bace07084d16b642510144ee02c913</t>
  </si>
  <si>
    <t>107289</t>
  </si>
  <si>
    <t>19-02-2026 16:19:22</t>
  </si>
  <si>
    <t>901146434</t>
  </si>
  <si>
    <t>Area Limpia Distrito Capital SAS E.S.P</t>
  </si>
  <si>
    <t>8a53668f77dfb6a3da0a4f2b14edfef585b35fa73ac3f363cd07f63a1e3eda923e2ead9f0c2859a7c49aaec0ab75038d</t>
  </si>
  <si>
    <t>107290</t>
  </si>
  <si>
    <t>19-02-2026 16:18:11</t>
  </si>
  <si>
    <t>b4bfc8eb62832b4bd48e2098683aeff32a527a8f89cce18271a65927a85f41a621c5637e85ffdc332e9e04c74521a280</t>
  </si>
  <si>
    <t>107291</t>
  </si>
  <si>
    <t>19-02-2026 16:18:15</t>
  </si>
  <si>
    <t>46a702959c5d651e88bf044454e2752d5e182515832bc29b130ba0a020c3b6618211202c7143ed2237359e36d382963a</t>
  </si>
  <si>
    <t>107292</t>
  </si>
  <si>
    <t>901154681</t>
  </si>
  <si>
    <t>Vmc Cloud S A S</t>
  </si>
  <si>
    <t>fa99a145c57a4f246717b58e32e2e44c0a13b3c12e4ab66c12922abea2a2b234580e1568c67ce6faa86be56743dbea57</t>
  </si>
  <si>
    <t>107293</t>
  </si>
  <si>
    <t>19-02-2026 16:33:58</t>
  </si>
  <si>
    <t>901044854</t>
  </si>
  <si>
    <t>Plus Ambiente SAS ESP</t>
  </si>
  <si>
    <t>b34bb3e47362b0b0b2ba14d11ad15cf31c431a8ba629c1b69bc4e693de2f821e22f020da16d405c4775c8097c0feedd5</t>
  </si>
  <si>
    <t>107294</t>
  </si>
  <si>
    <t>19-02-2026 16:34:00</t>
  </si>
  <si>
    <t>901568020</t>
  </si>
  <si>
    <t>Once92 SAS</t>
  </si>
  <si>
    <t>09b64cced8f32ba2e04241fdeda1806a00e33a27cb2a1eaad0aea35f1f417543a2200014b0d93f1039b5ff71293e3d1f</t>
  </si>
  <si>
    <t>107295</t>
  </si>
  <si>
    <t>19-02-2026 16:35:37</t>
  </si>
  <si>
    <t>176a8815ea0136817da197fb5c650d55b00fb02bf9d1f68a41a9f03d2bd168937f1ca5182661cd9c033180385f3b5b61</t>
  </si>
  <si>
    <t>107296</t>
  </si>
  <si>
    <t>19-02-2026 16:34:07</t>
  </si>
  <si>
    <t>92af18b10b570851cb3c4dacdf72c6407e58b18c6961fbb9daadd9583d39f514d22ea942bb68327eaedeee326b60cea7</t>
  </si>
  <si>
    <t>107297</t>
  </si>
  <si>
    <t>19-02-2026 16:34:11</t>
  </si>
  <si>
    <t>25890f13f1af062ac80ef888174b60d738e4fbd53a223b24cdf664d4017fd08c9fa6780ededc1fa2805bd782f18b210f</t>
  </si>
  <si>
    <t>107298</t>
  </si>
  <si>
    <t>19-02-2026 16:34:14</t>
  </si>
  <si>
    <t>85b5ad63303732e530ae2c973dd09feb3891984819a903b753399112ae4ac2deb7b2879cac2db36e49a64ca356f37087</t>
  </si>
  <si>
    <t>107299</t>
  </si>
  <si>
    <t>19-02-2026 16:34:18</t>
  </si>
  <si>
    <t>c900115997454807c76abdaa4ddc9e860e11d0d32c8a5eb1115e0b92dd8aa7d97c7920ee16200c314bc4b0be97ba9e0b</t>
  </si>
  <si>
    <t>107300</t>
  </si>
  <si>
    <t>19-02-2026 16:34:26</t>
  </si>
  <si>
    <t>38e9734b18775a7b8766e7ac12a05cb610e667a1b970ec01049500d3988f33fce207389b78d81eb9644ac49e99761441</t>
  </si>
  <si>
    <t>107301</t>
  </si>
  <si>
    <t>19-02-2026 16:34:32</t>
  </si>
  <si>
    <t>4696af38d31f8a6f8207def97de3b67cc9bb1f244d8e5ff5cc73410a0e02d4a36ca512b91d1e65f01bd599754434ca96</t>
  </si>
  <si>
    <t>107302</t>
  </si>
  <si>
    <t>19-02-2026 16:34:40</t>
  </si>
  <si>
    <t>23df27d69c2bd4d211b603d7d76becba794f7aa3921e0cfe31606cfae0f5edd9b287f7da10cf56bae9c2d4eeb0d7d836</t>
  </si>
  <si>
    <t>107303</t>
  </si>
  <si>
    <t>19-02-2026 16:35:02</t>
  </si>
  <si>
    <t>eebef87ee59cb8bb03ef085f0d8fe949fea543271ea126cfdc8a3ffcff8f0fb985edb7fda8231a967c03c07566dc1994</t>
  </si>
  <si>
    <t>107304</t>
  </si>
  <si>
    <t>19-02-2026 16:35:24</t>
  </si>
  <si>
    <t>5333488605f9a057979216cb6af7e680289b919c2f6ea3946a9c694dc07fde81c797dbeb43bbcd26d930a9c62380698a</t>
  </si>
  <si>
    <t>107305</t>
  </si>
  <si>
    <t>19-02-2026 16:35:28</t>
  </si>
  <si>
    <t>48029b57c53afe8ffdb6d7cdd3ce59947a26f948d8f6b640a0759a3dc88154d13b3ddc429e2cbaba0a65063c10338d40</t>
  </si>
  <si>
    <t>107306</t>
  </si>
  <si>
    <t>19-02-2026 16:35:32</t>
  </si>
  <si>
    <t>900030829</t>
  </si>
  <si>
    <t>Promotora Caledonia SAS</t>
  </si>
  <si>
    <t>b60110d96ffd20b6b3ae5adf7772eb78f2036aca5716c1021d11a2eeee86f05b5b3cde0360596736c90d2bfc293784ee</t>
  </si>
  <si>
    <t>107307</t>
  </si>
  <si>
    <t>19-02-2026 16:35:34</t>
  </si>
  <si>
    <t>f3086842f3b39efabe71dba87ff2c9240dbdec960057aaf5890788eab3aa737462bf7738d80598169c0be65ee519e396</t>
  </si>
  <si>
    <t>107308</t>
  </si>
  <si>
    <t>19-02-2026 16:35:36</t>
  </si>
  <si>
    <t>10629d1c2865fe577633788bdef04baeafc701f10ea0591bcecd7bd15360082dcdc453bd8f399ab689ac395c6f4010ce</t>
  </si>
  <si>
    <t>107309</t>
  </si>
  <si>
    <t>19-02-2026 16:36:49</t>
  </si>
  <si>
    <t>03c881ce3e9d81789eca22f6d3e3e035bb3d2d22212cf9a5dc6e7bdd99675d68393b7b1d3e268d43f7722c4ffa73b303</t>
  </si>
  <si>
    <t>107310</t>
  </si>
  <si>
    <t>19-02-2026 16:49:48</t>
  </si>
  <si>
    <t>606e1e39c77c59c388890a2b31a0f51c03faa0808d4884022781dd8db1bee66cf7c642b1c15734f1016e2d2d521eb545</t>
  </si>
  <si>
    <t>107311</t>
  </si>
  <si>
    <t>20-02-2026</t>
  </si>
  <si>
    <t>20-02-2026 07:36:12</t>
  </si>
  <si>
    <t>9316f327a650f970538dada058af2aac177ae3d4d8a26f0118d5d2d4785914caa966fd5d0f6efb415676b3dc6752580e</t>
  </si>
  <si>
    <t>107312</t>
  </si>
  <si>
    <t>20-02-2026 07:36:16</t>
  </si>
  <si>
    <t>901031225</t>
  </si>
  <si>
    <t>Fundacion Apoyo Social Integral Colombia</t>
  </si>
  <si>
    <t>f57784e81f6b4c4c201ddb0d0015f2714643c913a27e65c1824a8f0ffe5b061dc5a699ad390cc1886e85dc2b9437932a</t>
  </si>
  <si>
    <t>107313</t>
  </si>
  <si>
    <t>20-02-2026 09:21:51</t>
  </si>
  <si>
    <t>1307a832990065fa87d38f4e47657c0a7c10a2dc054a9ee3f305028149db00e77e700b9ef7c69b891b080509e17dc81c</t>
  </si>
  <si>
    <t>107314</t>
  </si>
  <si>
    <t>20-02-2026 09:39:01</t>
  </si>
  <si>
    <t>dbacc41697fa54d9f983bc50871976e948afea467cec97c0ff3b9c38715036d8896855348a7ec478458e4898cd018250</t>
  </si>
  <si>
    <t>107315</t>
  </si>
  <si>
    <t>20-02-2026 10:21:57</t>
  </si>
  <si>
    <t>5c9ca591147e14184025eb07ddffb123834f7a3841c2633c9df0610c0999de83b8b4690fe70001c87704b8fd2764f0b0</t>
  </si>
  <si>
    <t>107316</t>
  </si>
  <si>
    <t>20-02-2026 10:22:02</t>
  </si>
  <si>
    <t>860053966</t>
  </si>
  <si>
    <t>Flores Tiba SA</t>
  </si>
  <si>
    <t>ec3bf763e1d1d1fe88cd05bb925446191ccf2872033621eee77a49689f270bd8f92051041fd413e795faac7671913d69</t>
  </si>
  <si>
    <t>107317</t>
  </si>
  <si>
    <t>20-02-2026 11:10:15</t>
  </si>
  <si>
    <t>860006815</t>
  </si>
  <si>
    <t>Federacion Colombiana De Golf</t>
  </si>
  <si>
    <t>d2f2c1cbfc3e3f5d0c09eb40fd4a2c940837307b3bec77ca773c76de0310c814659b1e2d87a45639e55a5b48f4a6a422</t>
  </si>
  <si>
    <t>107318</t>
  </si>
  <si>
    <t>20-02-2026 11:38:15</t>
  </si>
  <si>
    <t>830076882</t>
  </si>
  <si>
    <t>Hpe Financial Services Colombia Llc Sucursal  Colombia</t>
  </si>
  <si>
    <t>95a6f44dd43f8ea3e7942f96b94666bd979c28fed98ccf3c238cdc6bdf63c4cbbdf57a3757cd3b88c600086c99285daf</t>
  </si>
  <si>
    <t>107319</t>
  </si>
  <si>
    <t>20-02-2026 11:38:19</t>
  </si>
  <si>
    <t>2e29bf91f90cb68ae07472f7f58aa725eed024972774025bd71febf42a9d7ce877961d9a3acc72fe5066f8e56d3280a9</t>
  </si>
  <si>
    <t>107320</t>
  </si>
  <si>
    <t>20-02-2026 11:38:24</t>
  </si>
  <si>
    <t>13bf68f103a4da33f0e18df9f1c0a539f4b72635096adc417ed2f8fe426e73ed115e58780a570f21e5786d78104acf8a</t>
  </si>
  <si>
    <t>107321</t>
  </si>
  <si>
    <t>20-02-2026 11:38:29</t>
  </si>
  <si>
    <t>835000149</t>
  </si>
  <si>
    <t>Sociedad Puerto Industrial Aguadulce SA</t>
  </si>
  <si>
    <t>f6febd86af3ffe56ccae6a913b14e761c1bf9e61d81837de6de01bac8627cc8be7e4e0c5e4497c1d8ce21014e64634cb</t>
  </si>
  <si>
    <t>107322</t>
  </si>
  <si>
    <t>20-02-2026 11:38:33</t>
  </si>
  <si>
    <t>8403f513cba89d2dec29e9de64545a78a4569cdbf9bf337caeed3be22791578cbe76e996ec588cc24887de55651a4d04</t>
  </si>
  <si>
    <t>107323</t>
  </si>
  <si>
    <t>20-02-2026 11:53:54</t>
  </si>
  <si>
    <t>56e55f8e89370aed013ff412e67d45af8d7b1a3a9a66c5aa34771aa35a89a6b1dc487eb6d29385b9393193d6a1823562</t>
  </si>
  <si>
    <t>107324</t>
  </si>
  <si>
    <t>20-02-2026 11:53:58</t>
  </si>
  <si>
    <t>c05cff9c429f2563a5862879fa75268dcf464a82b1043a6eaaa9846350914f5a68544a0007181197e1e6ba0d8125390b</t>
  </si>
  <si>
    <t>107325</t>
  </si>
  <si>
    <t>20-02-2026 11:54:02</t>
  </si>
  <si>
    <t>f6f9a73376a913cef1a02e021dcfcbe7143798976dc6a021ac9c9d7e360c1d95fd78f217e506fed9f2ac2a675107c379</t>
  </si>
  <si>
    <t>107326</t>
  </si>
  <si>
    <t>20-02-2026 12:09:09</t>
  </si>
  <si>
    <t>4314fa2af59af2c4007245af6aaf13efb72e348360229b804fcaf27e25d43e964d7a552b17c9b83f9f341bf40e17bfa3</t>
  </si>
  <si>
    <t>107327</t>
  </si>
  <si>
    <t>20-02-2026 12:09:14</t>
  </si>
  <si>
    <t>d778a6e517a861097b6920e0b030f827ddb6db7bc66c9cec872ae1a9c8bae638d5e156fc6a0f1a859ca637f4b2896709</t>
  </si>
  <si>
    <t>107328</t>
  </si>
  <si>
    <t>20-02-2026 12:09:19</t>
  </si>
  <si>
    <t>70f55e390778f5a9b737f3e8b3df3682a7772ac53ca1adcbe2163fe9bd9d1938fd9506b12c9ee872da33e8f63f8b8f2d</t>
  </si>
  <si>
    <t>107329</t>
  </si>
  <si>
    <t>20-02-2026 12:09:24</t>
  </si>
  <si>
    <t>860078643</t>
  </si>
  <si>
    <t>Politecnico Grancolombiano</t>
  </si>
  <si>
    <t>88b2e1ed0f17150765b1c552918bafe0c7469272afd48dff36e050577e7904cde4a25b81837679de43df201b2d57fe86</t>
  </si>
  <si>
    <t>107330</t>
  </si>
  <si>
    <t>20-02-2026 12:24:39</t>
  </si>
  <si>
    <t>830037893</t>
  </si>
  <si>
    <t xml:space="preserve">Inversiones Rueda Angel Limitada </t>
  </si>
  <si>
    <t>c5b3b3b2161e52cbe43e2150a02ad93f70973c2ce2c4836cd8d37d95f1337c960cd6ad01bc16e3e78fb0d628d52feccf</t>
  </si>
  <si>
    <t>107331</t>
  </si>
  <si>
    <t>20-02-2026 12:24:43</t>
  </si>
  <si>
    <t>PAGA 2/02/2026</t>
  </si>
  <si>
    <t>03235a73b94d9de0edc3c07a18c5cd559f7a2d82ab5aa9edf19b79bccbb8f352147d6f04241596596a4d068d9a1deffc</t>
  </si>
  <si>
    <t>107332</t>
  </si>
  <si>
    <t>20-02-2026 12:24:48</t>
  </si>
  <si>
    <t>2303c6f3a51163dd766d7c660677752d10b5ca0c13085fc71233b0fee68e3a728ccffdabfb77d4fa9969623042d11a0a</t>
  </si>
  <si>
    <t>107333</t>
  </si>
  <si>
    <t>20-02-2026 12:24:53</t>
  </si>
  <si>
    <t>b9803d997590438c2ed912cfaedba41ede84ac17859d59046462b6af5485ef4fe97ff0ec2b70d03a36462db181d6c694</t>
  </si>
  <si>
    <t>107334</t>
  </si>
  <si>
    <t>20-02-2026 12:39:59</t>
  </si>
  <si>
    <t>9279d0eb7977dacd6c363b64e3c86233228482919f6a0ce79f3fbc7119c1417429170f5f59d6d9c0c5da83d37c1af47d</t>
  </si>
  <si>
    <t>107335</t>
  </si>
  <si>
    <t>20-02-2026 12:40:03</t>
  </si>
  <si>
    <t>830125837</t>
  </si>
  <si>
    <t>Mass Digital SAS</t>
  </si>
  <si>
    <t>0211d0f3e72069205f9e2f3be09dd427b41bb1423646ee653945c10df234d45fb492c32ff621e596f55281dc39377b88</t>
  </si>
  <si>
    <t>107336</t>
  </si>
  <si>
    <t>20-02-2026 12:40:08</t>
  </si>
  <si>
    <t>2072c1e73eaf9d36784bb6ff4914d8b2a8485be4295b7e7fde408c55ad2b19cb34b9e1d3ed008fb79a141aa0e8cbcd2a</t>
  </si>
  <si>
    <t>107337</t>
  </si>
  <si>
    <t>20-02-2026 12:40:13</t>
  </si>
  <si>
    <t>d186079364f03eac37d3cc87d7885dc8216f416b3bb379b45ea826d114c3a02371cb18ef3ef5d99b0cd2af63f0d28a52</t>
  </si>
  <si>
    <t>107338</t>
  </si>
  <si>
    <t>20-02-2026 12:40:17</t>
  </si>
  <si>
    <t>299de488bd760ce430b677e13691f0d1aac3cb77392b56e9d7dc2d594fa54918c89e4c2560c015c6a1d8217f9dd97f76</t>
  </si>
  <si>
    <t>107339</t>
  </si>
  <si>
    <t>20-02-2026 12:40:22</t>
  </si>
  <si>
    <t>860524513</t>
  </si>
  <si>
    <t>Mullen Lowe Ssp3 SAS</t>
  </si>
  <si>
    <t>48050bee446ccd7aac8692d605ffdfe162e28c2510d317ad3e6cc9da5fa98cdead0800939d94496b69c53bf2676c6efe</t>
  </si>
  <si>
    <t>107340</t>
  </si>
  <si>
    <t>20-02-2026 12:40:27</t>
  </si>
  <si>
    <t>411c3f8f81715f00a3ce59369a015be708054ca5099f4f995d06cb05d01ac980c8455e707ed4c53812ffc30b46a78c7d</t>
  </si>
  <si>
    <t>107341</t>
  </si>
  <si>
    <t>20-02-2026 12:55:33</t>
  </si>
  <si>
    <t>04dcf88de0acd14ce1df4923d0b26968ec30caab60bddb68ae5c563ce890ed1e858974ab4eaac54f4c7f3b055d29354e</t>
  </si>
  <si>
    <t>107342</t>
  </si>
  <si>
    <t>20-02-2026 12:55:37</t>
  </si>
  <si>
    <t>52e807ec253df47fffd521e47c307ece655223c65a3bbdae95351e9f58322da4f83cff9de9c86a2eb42b08169e6afba1</t>
  </si>
  <si>
    <t>107343</t>
  </si>
  <si>
    <t>20-02-2026 12:55:42</t>
  </si>
  <si>
    <t>ad78e09d569d11d66e75dd7ad0ce0b937f4372d7f2ba5dcbd20aaaa24bc92e78132c10bdb53ffd3e1b2a21d1b55afeea</t>
  </si>
  <si>
    <t>107344</t>
  </si>
  <si>
    <t>20-02-2026 12:55:47</t>
  </si>
  <si>
    <t>c6db8343293e22c24285c9c2f10a87193c475a56a904a9ee0a7234ad210c7b06fcba5bc3694b0af0bd442d37b5cd8ea4</t>
  </si>
  <si>
    <t>107345</t>
  </si>
  <si>
    <t>20-02-2026 13:10:53</t>
  </si>
  <si>
    <t>860517423</t>
  </si>
  <si>
    <t>Castro Y Rincon SAS</t>
  </si>
  <si>
    <t>6459e5dd14722df087959f8bc2c335eb8cbe65242904cc285fddf3894b315a5b399e208107d0e6786896b3f04bb99123</t>
  </si>
  <si>
    <t>107346</t>
  </si>
  <si>
    <t>20-02-2026 14:11:04</t>
  </si>
  <si>
    <t>f2e9ef33b9ecc01362d62032d475c71088353c4e8d7dfaf3bbc518e723b1c05e1285e12d6678fdeaa6a5fc285b8e3b92</t>
  </si>
  <si>
    <t>107347</t>
  </si>
  <si>
    <t>20-02-2026 14:26:09</t>
  </si>
  <si>
    <t>273719ae1536a5f7ed68af5ffcb7335e39b1306c766b98b2538db1e3c65b88f4daa71a76525d2b96dd04ae2507f7b4fd</t>
  </si>
  <si>
    <t>107348</t>
  </si>
  <si>
    <t>20-02-2026 14:26:14</t>
  </si>
  <si>
    <t>860029924</t>
  </si>
  <si>
    <t>Universidad Cooperativa De Colombia</t>
  </si>
  <si>
    <t>03f8a7c556b72ebbad9117089a15bc1bd3ba786dfe9a605b24d9ca857cc77767136312340965c8db29b9199879100b42</t>
  </si>
  <si>
    <t>107349</t>
  </si>
  <si>
    <t>20-02-2026 14:41:20</t>
  </si>
  <si>
    <t>5b2806f906ed6fd3c8cfa380193ce86b194edc253527cfa2d28361185e0ced391cc6075ecbda25d27624cf256c9b8c36</t>
  </si>
  <si>
    <t>107350</t>
  </si>
  <si>
    <t>20-02-2026 14:41:25</t>
  </si>
  <si>
    <t>04db089f985355fe739aa2dccde6b0c8e909338bef420f6ed3975c5ad4f91a7d2d6abe5008721a5e4e8249ae7d7e4023</t>
  </si>
  <si>
    <t>107351</t>
  </si>
  <si>
    <t>20-02-2026 14:56:30</t>
  </si>
  <si>
    <t>8e6a312aff9835d6595c81b02c0379ab8942a204e29be876ff7ce15e958697d0be6a997a663f64620d5e9b5a6f0913ca</t>
  </si>
  <si>
    <t>107352</t>
  </si>
  <si>
    <t>20-02-2026 14:56:35</t>
  </si>
  <si>
    <t>ea4257e7a527f7e48bf2c66a763d5c789acf911bb3bf1215af48e4d55b5389da448fff0163da03a2c8f439ca32866935</t>
  </si>
  <si>
    <t>107353</t>
  </si>
  <si>
    <t>20-02-2026 14:56:39</t>
  </si>
  <si>
    <t>ff301b20bf0a000100f3f7f5b10345c89bb7d54a0a96c5d42e1abf6fd028b84b2f472ffd89db105eb484a5867ee83ef6</t>
  </si>
  <si>
    <t>107354</t>
  </si>
  <si>
    <t>20-02-2026 15:11:45</t>
  </si>
  <si>
    <t>860002503</t>
  </si>
  <si>
    <t>Compañia De Seguros Bolivar SA</t>
  </si>
  <si>
    <t>ead05899b20c9a146daf8843a68be54b0c99f75cb60819d25543b9d0d0923294bc1d4b32cf7fd8edc191a72a2c67a6ff</t>
  </si>
  <si>
    <t>107355</t>
  </si>
  <si>
    <t>20-02-2026 15:11:51</t>
  </si>
  <si>
    <t>5e05c13f8b08b93d40ad9fb800ebc8abd0c0659cb74e263d82ae73b854f8257167940449729b6406ab0ab0bb60e5f0c7</t>
  </si>
  <si>
    <t>107356</t>
  </si>
  <si>
    <t>20-02-2026 15:11:55</t>
  </si>
  <si>
    <t>68e260835a62c212be862f84f803cab9ea43163826a3ff8e1c76f073a4bec216d743cfcabf0cff488a75a48df4795428</t>
  </si>
  <si>
    <t>107357</t>
  </si>
  <si>
    <t>20-02-2026 15:11:59</t>
  </si>
  <si>
    <t>860508392</t>
  </si>
  <si>
    <t>Servioptica SAS</t>
  </si>
  <si>
    <t>7588dcf5da1f2c7e5f158fa625a0bef178633df846c99d259e32eaf061f1819ebcfc46b29c45bbc5748bb075439fb55b</t>
  </si>
  <si>
    <t>107358</t>
  </si>
  <si>
    <t>20-02-2026 15:12:05</t>
  </si>
  <si>
    <t>6f8c7f9aabfd1c226b1a1a8f39fef60e43b8204ce0f44b5b19c19b96aa826b7eda67ebb8a49aa609bb277ac746aee7f8</t>
  </si>
  <si>
    <t>107359</t>
  </si>
  <si>
    <t>20-02-2026 15:12:09</t>
  </si>
  <si>
    <t>af7857360047ae1f331065c529eafc05360bac64cf6062b5f5fdf0a1cd0e59cf5ce641db22406ac4c397e59d3a512b34</t>
  </si>
  <si>
    <t>107360</t>
  </si>
  <si>
    <t>20-02-2026 15:12:13</t>
  </si>
  <si>
    <t>c9c86fb579320beb280e1925fa0abf5462583d11593cdd126e5e5e3596122764d2686eadc69d5493c9646d9d48c670ad</t>
  </si>
  <si>
    <t>107361</t>
  </si>
  <si>
    <t>20-02-2026 15:12:18</t>
  </si>
  <si>
    <t>890106278</t>
  </si>
  <si>
    <t>Casa De La Valvula SAS</t>
  </si>
  <si>
    <t>15bd4b4ad0ad38c24ef9045e6e93da9efe9cf54fd34e79f2d65e20aa69ea5741acc47a44c64955e0b2addd123bae4a7c</t>
  </si>
  <si>
    <t>107362</t>
  </si>
  <si>
    <t>20-02-2026 15:12:23</t>
  </si>
  <si>
    <t>010d68d161ba71453aac66cb4bd829a9869f31eb15e561e78bf71d558db3483320e3626115ed736253756e2256c544c8</t>
  </si>
  <si>
    <t>107363</t>
  </si>
  <si>
    <t>20-02-2026 15:12:27</t>
  </si>
  <si>
    <t>800013879</t>
  </si>
  <si>
    <t>Ecomarket SAS</t>
  </si>
  <si>
    <t>b4c84a4538fef1e8c110105fd77a86b1998809a51bc7d266c7b270f7c37171b4822efaa86133b317c43cf037e5a5aa51</t>
  </si>
  <si>
    <t>107364</t>
  </si>
  <si>
    <t>20-02-2026 15:27:33</t>
  </si>
  <si>
    <t>6c098576b2784785e3f958d1d673a572dff10cce98634c2b00fd49aa3e3e0cbe737233b667001fc5679bb927187b2402</t>
  </si>
  <si>
    <t>107365</t>
  </si>
  <si>
    <t>20-02-2026 15:27:38</t>
  </si>
  <si>
    <t>860015542</t>
  </si>
  <si>
    <t>Universidad De La Salle</t>
  </si>
  <si>
    <t>43420093a8f6a2345985e8530bfed9b7778a2c792cb9ceb2452c97de513a43ac53f2d98a801473b51c3250e77785adfc</t>
  </si>
  <si>
    <t>107366</t>
  </si>
  <si>
    <t>20-02-2026 15:42:53</t>
  </si>
  <si>
    <t>830513366</t>
  </si>
  <si>
    <t>Newsat SAS</t>
  </si>
  <si>
    <t>0b3919a4f526bdeaceff12bdee5e0a491942b613f4ca8f380eae2fc82ce0b6bce9837a59ded8cd26b8e047b8a95d12c4</t>
  </si>
  <si>
    <t>107367</t>
  </si>
  <si>
    <t>20-02-2026 15:42:58</t>
  </si>
  <si>
    <t>5820694358775c8374ed60e5cfeadf4908fb9f8e9b55c8d53e711b5764f801d9857bd2e377c9e2c4b6da1590453ae4da</t>
  </si>
  <si>
    <t>107368</t>
  </si>
  <si>
    <t>20-02-2026 15:43:03</t>
  </si>
  <si>
    <t>35476985</t>
  </si>
  <si>
    <t>Maria Diocelina Turriago Padilla</t>
  </si>
  <si>
    <t>0bafec3095b19103f07a1c4e00922c7496f13c40e3b9600c9feb6d8f1c4e2390fb61bd0fd3cdf18e60cb57bfbe687692</t>
  </si>
  <si>
    <t>107369</t>
  </si>
  <si>
    <t>20-02-2026 15:43:07</t>
  </si>
  <si>
    <t>860401826</t>
  </si>
  <si>
    <t>Productos Alimenticios El Recreo SAS</t>
  </si>
  <si>
    <t>96d4055ad3ca241d869d1f5e76b1d7870370c0e8db2059905667c5c4e2b7f18cb28d0d554013069e06d6f06b81e59b76</t>
  </si>
  <si>
    <t>107370</t>
  </si>
  <si>
    <t>20-02-2026 15:43:11</t>
  </si>
  <si>
    <t>901819545</t>
  </si>
  <si>
    <t>Vado Combustibles SAS</t>
  </si>
  <si>
    <t>82ddc008ff6412fc83d60cc38eff59fad96711df49f5d1b5e19d73c4daea112cb959d973901de4f2ea23c594f039af00</t>
  </si>
  <si>
    <t>107371</t>
  </si>
  <si>
    <t>20-02-2026 15:43:16</t>
  </si>
  <si>
    <t>e3c378682bd636ba09cc76682f66f41192a0073a068e30d018594319b8e3288ab55039b774d98e97181614fb95367ea0</t>
  </si>
  <si>
    <t>107372</t>
  </si>
  <si>
    <t>20-02-2026 15:58:22</t>
  </si>
  <si>
    <t>24bcc5462368eaf02f7ce46ce7b1f7b3febf7822a53caa4100f7b75751e7aaee87e94b86740353d80f5394ec0f2b87dd</t>
  </si>
  <si>
    <t>107373</t>
  </si>
  <si>
    <t>20-02-2026 16:14:22</t>
  </si>
  <si>
    <t>40aaf5e65a12e32388640e5a7599f27fde542eee85f0511ab689a95b9db4dee96bcd0114156416f0181eefb900b00c9c</t>
  </si>
  <si>
    <t>107374</t>
  </si>
  <si>
    <t>20-02-2026 16:14:25</t>
  </si>
  <si>
    <t>a5cf6215c265317ae4e837f64c0653488cbcde53be0f41efee53ce2afc7b2a6927840d097e781707855608cab8c16cd5</t>
  </si>
  <si>
    <t>107375</t>
  </si>
  <si>
    <t>20-02-2026 16:14:29</t>
  </si>
  <si>
    <t>58d2d35eaa29fb71b631f60ae6a11dabffa39e580794a89674aa8f44202befdd751c8b2345d3fbeb41ebb8b4d3a66a17</t>
  </si>
  <si>
    <t>107376</t>
  </si>
  <si>
    <t>20-02-2026 16:14:34</t>
  </si>
  <si>
    <t>9a8247ca75e9c6c7bb7bc9572b8fd1540ea89ccc66d4f4edcdf2479739798afe69698d6ff4f22d88f20c6980d4512f23</t>
  </si>
  <si>
    <t>107377</t>
  </si>
  <si>
    <t>20-02-2026 16:14:38</t>
  </si>
  <si>
    <t>900423222</t>
  </si>
  <si>
    <t>Atcg De Colombia SAS</t>
  </si>
  <si>
    <t>ee2b487f00247be936ac782e0471bfed4d0f9359c221cfe8552d75aa658579b1f76ec9ddc30c124283db88d2fcf5a8a4</t>
  </si>
  <si>
    <t>107378</t>
  </si>
  <si>
    <t>20-02-2026 16:15:38</t>
  </si>
  <si>
    <t>e55a643560887e8e063c0812c8c30f78835ab2231cb01743ac69254d5d7a492c7ac325d4901de0b5002f7e804ca92e43</t>
  </si>
  <si>
    <t>107379</t>
  </si>
  <si>
    <t>20-02-2026 16:15:36</t>
  </si>
  <si>
    <t>860052601</t>
  </si>
  <si>
    <t>Exro SAS</t>
  </si>
  <si>
    <t>c1eb1a289aa42dd2ee0a26f7f28f27b8d37c05703dbdcfe4c513c6ae12fc97a9d394b73760cf07346d169e8ae40102ec</t>
  </si>
  <si>
    <t>107380</t>
  </si>
  <si>
    <t>20-02-2026 16:14:57</t>
  </si>
  <si>
    <t>900577604</t>
  </si>
  <si>
    <t>Quimexcol Zona Franca SAS</t>
  </si>
  <si>
    <t>6d1041b784c16b0b9a8f5d18c5714deb4050bee51b88ae664f4b3fbab769073e5eb855443496a7e6986edba173992f28</t>
  </si>
  <si>
    <t>107381</t>
  </si>
  <si>
    <t>20-02-2026 16:15:10</t>
  </si>
  <si>
    <t>8a277f508023df71be70f08d31553286906293d744614683713f4ff7dbaf4c4aa214241df851712e14efa3e8450643cb</t>
  </si>
  <si>
    <t>107382</t>
  </si>
  <si>
    <t>20-02-2026 16:29:12</t>
  </si>
  <si>
    <t>34d8bbce0351ca2b4a1d72351e5da68737e35995a339a5044b40914048c72c71dfcb8b3c9e9c095ab0fc2c9859dee203</t>
  </si>
  <si>
    <t>107383</t>
  </si>
  <si>
    <t>20-02-2026 16:29:16</t>
  </si>
  <si>
    <t>84ab719d8d840caff4fa25ae645cb2b9056c7a13ed563df69543829b09a301f4aa78b6523daae3ebdbaaaa001e36024e</t>
  </si>
  <si>
    <t>107384</t>
  </si>
  <si>
    <t>23-02-2026</t>
  </si>
  <si>
    <t>23-02-2026 07:35:00</t>
  </si>
  <si>
    <t>b6e9ac2d87060abd1da5ae1316ed6f266d64c0acec692920533e2afdd9fe0c0215e61214e994b5976a72ecd7b2a71a7c</t>
  </si>
  <si>
    <t>107385</t>
  </si>
  <si>
    <t>23-02-2026 07:35:04</t>
  </si>
  <si>
    <t>d4912e9307fefc23af639f43ba87f39aab04067efd490c51924069a7202b474ead6ec0b638cbf70c8fd3858f3f2572c8</t>
  </si>
  <si>
    <t>107386</t>
  </si>
  <si>
    <t>23-02-2026 07:35:09</t>
  </si>
  <si>
    <t>e011140eff5cfe77d197bd9efb9e398dbe2ce0afe47836bd3f7fc2357a9db4597654a94b68c84975e7d57de095038ecb</t>
  </si>
  <si>
    <t>107387</t>
  </si>
  <si>
    <t>23-02-2026 08:35:19</t>
  </si>
  <si>
    <t>800161633</t>
  </si>
  <si>
    <t>Constructora Las Galias S A S</t>
  </si>
  <si>
    <t>37442e7a3d19f9d8994ffd790bb5d0083637f4cf677245bb82432a93f0b0ee2af0916a72667725cf01430f160af9ca9c</t>
  </si>
  <si>
    <t>107388</t>
  </si>
  <si>
    <t>23-02-2026 08:35:24</t>
  </si>
  <si>
    <t>bc8906ba06dbf990422d3ec8a355445f493198b7c32e557d9225c53d25e3a262f37d8861919e271fbf370ac981c50bda</t>
  </si>
  <si>
    <t>107389</t>
  </si>
  <si>
    <t>23-02-2026 08:50:30</t>
  </si>
  <si>
    <t>14807e9032ef45ae606d84f215f7e4a9d897e59ddb3632324a25709eb9c207d38afe8770bf6ec1c313dc9eaa19c7bf55</t>
  </si>
  <si>
    <t>107390</t>
  </si>
  <si>
    <t>23-02-2026 09:05:42</t>
  </si>
  <si>
    <t>860503634</t>
  </si>
  <si>
    <t>Fundacion Universitaria San Martin</t>
  </si>
  <si>
    <t>0c78fdc515b6d4d36e6b6b8237ee1c08f62a25c27439fabc4d77b05b98da957a189bbc5dbed189c426ce054d5486789a</t>
  </si>
  <si>
    <t>107391</t>
  </si>
  <si>
    <t>23-02-2026 10:06:06</t>
  </si>
  <si>
    <t>860007590</t>
  </si>
  <si>
    <t>Comunican SA</t>
  </si>
  <si>
    <t>8944c1f5bb413dccdda8add2df577674b57917086d66ca7867b2da19516cd6f0a27cd51375154c73f4ef556638955f9f</t>
  </si>
  <si>
    <t>107392</t>
  </si>
  <si>
    <t>23-02-2026 10:21:22</t>
  </si>
  <si>
    <t>5f393ca53c09d577728ddbef9449697313a2a6ea760161f936e25a98e9edb010f580937f55064b21d5c4ac8f36c3ee96</t>
  </si>
  <si>
    <t>107393</t>
  </si>
  <si>
    <t>23-02-2026 10:36:28</t>
  </si>
  <si>
    <t>99c42f9cdb31c918e4bba75a84c9a56d5cb82ca7d0e4c8da229335b89b3184700510e9daed03173270cd3680b307071e</t>
  </si>
  <si>
    <t>107394</t>
  </si>
  <si>
    <t>23-02-2026 10:36:33</t>
  </si>
  <si>
    <t>c2efbec6a038789f114550ddebdbb6b15fbb17075b87d6723c1fac74c1531a8ce07f2b16393d08231aa3b429e2907019</t>
  </si>
  <si>
    <t>107395</t>
  </si>
  <si>
    <t>23-02-2026 10:51:39</t>
  </si>
  <si>
    <t>18f4b3df7acbbd7d454ac8b7fbc13bdb77cf6840870a18c989a3ea73061dd6d0f4383d43234c506129f777bedf3e995f</t>
  </si>
  <si>
    <t>107396</t>
  </si>
  <si>
    <t>23-02-2026 11:06:47</t>
  </si>
  <si>
    <t>1022437877</t>
  </si>
  <si>
    <t>Julian Eduardo Rodriguez Posso</t>
  </si>
  <si>
    <t>3a6d1780ed2f16470e07d232f9ce2c76a22ca224e63f1ca90e77e3be9556193b4c1206d5fe24e9c76de2c1962787c027</t>
  </si>
  <si>
    <t>107397</t>
  </si>
  <si>
    <t>23-02-2026 11:06:52</t>
  </si>
  <si>
    <t>809012325</t>
  </si>
  <si>
    <t>Corporacion Parala Gestion Del Desarrollo Humano Filantropos</t>
  </si>
  <si>
    <t>paga 27/02/2026</t>
  </si>
  <si>
    <t>a730aabef7ac0d8653ae3668c74e9b5c925220009fcc02026fea994f658a5bbc6e3091dcf80005850f8c97a285203acf</t>
  </si>
  <si>
    <t>107398</t>
  </si>
  <si>
    <t>23-02-2026 11:37:04</t>
  </si>
  <si>
    <t>800174633</t>
  </si>
  <si>
    <t>Laboratorio Internacional De Colombia SAS</t>
  </si>
  <si>
    <t>a74a82afa7011594954427cae472fff83a298dd4467fe4e047de2d8ae9b07dc87478e1f15d7cc9962e202f9a68502b3b</t>
  </si>
  <si>
    <t>107399</t>
  </si>
  <si>
    <t>23-02-2026 11:52:10</t>
  </si>
  <si>
    <t>ebf3a6f16758fdfe57419235dc81140fd4b6c744467029ae8d09ff521f1cdc9df492146cedeafae2987ccdf6cd0df671</t>
  </si>
  <si>
    <t>107400</t>
  </si>
  <si>
    <t>23-02-2026 12:07:31</t>
  </si>
  <si>
    <t>41c67388872788a0d2a6f7f0e5f6be07460119bc075f1f962c1b08768558a09e340082cbff78a9bd957f7379d4489957</t>
  </si>
  <si>
    <t>107401</t>
  </si>
  <si>
    <t>23-02-2026 12:26:07</t>
  </si>
  <si>
    <t>800165377</t>
  </si>
  <si>
    <t>Grupo Decor SAS</t>
  </si>
  <si>
    <t>2a24a4e713456b47f190426911fef9826b74efbec00e9c356dd4f1635d123faaf905e5a479b6a177e6f295390a2e35ee</t>
  </si>
  <si>
    <t>107402</t>
  </si>
  <si>
    <t>901784106</t>
  </si>
  <si>
    <t>Consorcio Metro 2023</t>
  </si>
  <si>
    <t>b1733c23411f0ca9181612c6f53f39218928a41de391115115deb08518a72c6b23c8877ce4aad33161cdf14fc5ac6530</t>
  </si>
  <si>
    <t>107403</t>
  </si>
  <si>
    <t>23-02-2026 12:26:08</t>
  </si>
  <si>
    <t>e5102743885844d901a81e08ae29dd9a2afff1686880a967ebf02eb33e05606fc1089d77cd5f5cf94e5fa679c23ea069</t>
  </si>
  <si>
    <t>107404</t>
  </si>
  <si>
    <t>23-02-2026 12:26:15</t>
  </si>
  <si>
    <t>800151175</t>
  </si>
  <si>
    <t>GI Group Servicios SAS</t>
  </si>
  <si>
    <t>a85641c9805c6d30afa91614f97c0a1218d885445a4ff5b121f463d9192823037f6c6b659c69fdb8d549bb7b0998dda4</t>
  </si>
  <si>
    <t>107405</t>
  </si>
  <si>
    <t>23-02-2026 12:37:57</t>
  </si>
  <si>
    <t>67971b9aafc1c2695b916bd0d40f795b44bde3d05fecc7508510d9b9acdc8c569377c7173c807515a50788cf68800fa0</t>
  </si>
  <si>
    <t>107406</t>
  </si>
  <si>
    <t>23-02-2026 12:38:02</t>
  </si>
  <si>
    <t>f90aee2d8d3aa958392ea92ed26ca0a3d7e5653d919dfe8658a0c06dd6ed3523b0c9cd304e128cba6f938c6f8c119875</t>
  </si>
  <si>
    <t>107407</t>
  </si>
  <si>
    <t>23-02-2026 12:38:06</t>
  </si>
  <si>
    <t>f2d01dc3c1a9da27dd63ff5f81701ca44139e07ed31b67819ad2270d18627dfbda73ad5f7c2d01bdbdeedef1f549f4e8</t>
  </si>
  <si>
    <t>107408</t>
  </si>
  <si>
    <t>23-02-2026 12:38:11</t>
  </si>
  <si>
    <t>2a79b097069223ad3a32443cbc814e0fbbdbdd9115ced87e1e045ce04604585ff5814ac84514c96a8464999597aaf9f2</t>
  </si>
  <si>
    <t>107409</t>
  </si>
  <si>
    <t>23-02-2026 12:38:15</t>
  </si>
  <si>
    <t>28bdce054c7bff75269a28e89a8ad63a596966e896542beeb37ac76f5732523c6e439483900e424933b4cd6b0a0a8bd6</t>
  </si>
  <si>
    <t>107410</t>
  </si>
  <si>
    <t>23-02-2026 12:38:20</t>
  </si>
  <si>
    <t>c425e1ef2274416f7cb80ad06bcbe22c554811ef67aadb47a6e51cdbc4b9d09310832c4f1bfc9554393f2fbb0d76a08e</t>
  </si>
  <si>
    <t>107411</t>
  </si>
  <si>
    <t>23-02-2026 12:38:24</t>
  </si>
  <si>
    <t>860509265</t>
  </si>
  <si>
    <t>Publicaciones Semana SA</t>
  </si>
  <si>
    <t>501444245877173a33b19ea7ed5538311aa9f81ce840eef2b651e4e04faec3c009180596e2cc90987fcbbe75855ffcd9</t>
  </si>
  <si>
    <t>107412</t>
  </si>
  <si>
    <t>23-02-2026 12:38:29</t>
  </si>
  <si>
    <t>aefbf7a7f26a6e1c971e4b581e3d62d02e6c28a6ae1ee686c16ac821ca762dbc209fc457ce54e18f9428bd0989af0756</t>
  </si>
  <si>
    <t>107413</t>
  </si>
  <si>
    <t>23-02-2026 12:38:33</t>
  </si>
  <si>
    <t>860025111</t>
  </si>
  <si>
    <t>Fondo De Empleados Fedeaa</t>
  </si>
  <si>
    <t>73061d667b61ddd2996737fa15b107216cb4569254f39b9f74189116ecdd2cc2b92ee160e9066fa5aae4470d83d52175</t>
  </si>
  <si>
    <t>107414</t>
  </si>
  <si>
    <t>23-02-2026 12:38:38</t>
  </si>
  <si>
    <t>c18aab901278c0798c0b3c2bbf64da58a1c259699e85128d59af5b700ff9f7c036a227d9260d5bbee610829825e87880</t>
  </si>
  <si>
    <t>107415</t>
  </si>
  <si>
    <t>23-02-2026 12:53:44</t>
  </si>
  <si>
    <t>2900223368c08dba5d56be0a0f259676cd26ab635eafdfefb6b315c28190ce1f99c4b83235798ede9cf932e06ce15106</t>
  </si>
  <si>
    <t>107416</t>
  </si>
  <si>
    <t>23-02-2026 12:53:48</t>
  </si>
  <si>
    <t>31b32c9167e65183bee8e0db13f385010b4d4fc76f855fb375da6cae199c14d61e5d3c6c81a82b104c6fa5a502771883</t>
  </si>
  <si>
    <t>107417</t>
  </si>
  <si>
    <t>23-02-2026 12:53:53</t>
  </si>
  <si>
    <t>3db37a43b958b491716ba255c66fde835d05ebce766fac52cd70c57e378617a2458aae9caa2fb76416f7b63d2eb7f79d</t>
  </si>
  <si>
    <t>107418</t>
  </si>
  <si>
    <t>23-02-2026 12:53:58</t>
  </si>
  <si>
    <t>22f15dc41f8bc0e355966776c687efdb18379ceba939ece91977a5b5d2e6d5650543ce2a48c2593eb277b7cb9998596f</t>
  </si>
  <si>
    <t>107419</t>
  </si>
  <si>
    <t>23-02-2026 12:54:02</t>
  </si>
  <si>
    <t>b8bb9e02a1a35f5b9b34b9f7bb5ea1d740791db713504ba287c874ccf613c06cc5bf5a8c7a77b3c4c563d0bb69932da0</t>
  </si>
  <si>
    <t>107420</t>
  </si>
  <si>
    <t>23-02-2026 12:54:07</t>
  </si>
  <si>
    <t>900192835</t>
  </si>
  <si>
    <t>Pantoglot LTDA</t>
  </si>
  <si>
    <t>f987f7dcba66c68b8321cf9016655a87314360c560d63a56dea067cfa1acab177a9295c5f4667a226d1e9bd384f9ad40</t>
  </si>
  <si>
    <t>107421</t>
  </si>
  <si>
    <t>23-02-2026 13:09:13</t>
  </si>
  <si>
    <t>830059718</t>
  </si>
  <si>
    <t>Aecsa SAS</t>
  </si>
  <si>
    <t>54b368bacd457e6da84cd786e60c08cc7e59783ccf13a8ef4c18e6546bfe1582058b3b6628b526cc2ae48a4297a5be7e</t>
  </si>
  <si>
    <t>107422</t>
  </si>
  <si>
    <t>23-02-2026 14:09:24</t>
  </si>
  <si>
    <t>69a96ae34337309a1f063a3bf38d546e97cc4454bef9cb2bf7865eec014b436484a61a1438b084c511abd7da0bb9fe2b</t>
  </si>
  <si>
    <t>107423</t>
  </si>
  <si>
    <t>23-02-2026 14:39:32</t>
  </si>
  <si>
    <t>830513729</t>
  </si>
  <si>
    <t>Combustibles De Colombia SA</t>
  </si>
  <si>
    <t>e27309ff251074a75f1a7fe4565eb29e7fada5508215839a21a72bb836f24b18093a23df82b68fa3635b9ed1b15637e2</t>
  </si>
  <si>
    <t>107424</t>
  </si>
  <si>
    <t>23-02-2026 14:39:36</t>
  </si>
  <si>
    <t>860010799</t>
  </si>
  <si>
    <t>Istituzione Leonardo Da Vinci</t>
  </si>
  <si>
    <t>f654ee5225d2e9a247219684a0f4545f03e171b718b206549d0a7eefb3b5302d3ed8ba556680c2d0a452af2c082863a4</t>
  </si>
  <si>
    <t>107425</t>
  </si>
  <si>
    <t>23-02-2026 14:39:41</t>
  </si>
  <si>
    <t>539109b7cb14f698bd89d34fa1d5f514f3918572ef6a58cac527f74684204f950cd8de6d73ddecd965b3952eebbdcdc0</t>
  </si>
  <si>
    <t>107426</t>
  </si>
  <si>
    <t>23-02-2026 14:39:45</t>
  </si>
  <si>
    <t>4180031</t>
  </si>
  <si>
    <t>Edwin Alonso Pirazan Rativa</t>
  </si>
  <si>
    <t>8e871954f0f239ff692c0e642fe7082ae46faa26855b6766358ff10deddd2da595d9d066374786702fc8a5f650b6cc65</t>
  </si>
  <si>
    <t>107427</t>
  </si>
  <si>
    <t>23-02-2026 14:39:50</t>
  </si>
  <si>
    <t>e334804e7f2fa23e64ae8d03bce8ab58bafdb8fb9d72d6f35d056609aec1cdca6d20870ede9648249ed5b44d4ff03145</t>
  </si>
  <si>
    <t>107428</t>
  </si>
  <si>
    <t>23-02-2026 14:39:55</t>
  </si>
  <si>
    <t>1c367aceba22f64fb17500d195468425d562934d045d117f7aef313cd226c657c3311fe8d840fda0bb2271d5f7a9cd43</t>
  </si>
  <si>
    <t>107429</t>
  </si>
  <si>
    <t>23-02-2026 14:39:59</t>
  </si>
  <si>
    <t>df1e8ae4f2f2fd7b334316563af6d3b3a86cc6e1841fca3cb2817da649393e1c0183765af3ecace826559bdd44027348</t>
  </si>
  <si>
    <t>107430</t>
  </si>
  <si>
    <t>23-02-2026 14:55:06</t>
  </si>
  <si>
    <t>800250918</t>
  </si>
  <si>
    <t>Acuameunier SAS</t>
  </si>
  <si>
    <t>f7d8b5867661ab36123848f4fd3222eecfe1bbd1bef2eed1d01b9dd75dd1069b3d876022e987d52572b6d27eda9ada09</t>
  </si>
  <si>
    <t>107431</t>
  </si>
  <si>
    <t>23-02-2026 14:55:11</t>
  </si>
  <si>
    <t>37b6683ea4432734875f87910c1da81a74b2a7128dffa145725b3c7f3bf4f82060d2fd68f4ae4b9c71fe1adbe05985fb</t>
  </si>
  <si>
    <t>107432</t>
  </si>
  <si>
    <t>23-02-2026 14:55:15</t>
  </si>
  <si>
    <t>b94aa123e70489cd133d531cc7fb70920ee454ea065bb38284ae04701bff6bc789ff539f990d1f415c9c46f6e04385fc</t>
  </si>
  <si>
    <t>107433</t>
  </si>
  <si>
    <t>23-02-2026 14:55:20</t>
  </si>
  <si>
    <t>76104d3c6dc9eca0af654fb3fe86d89e228992261cf0e0dc38ffb2974a37ed5819feb645b46ac5e0051a01af9375d0d9</t>
  </si>
  <si>
    <t>107434</t>
  </si>
  <si>
    <t>23-02-2026 15:11:39</t>
  </si>
  <si>
    <t>e7021a5c38986620b3d0915fe5b85ff2c9cb3c29eb719eb40aa71065ca3cf3904492be9c67779231712878382633160d</t>
  </si>
  <si>
    <t>107435</t>
  </si>
  <si>
    <t>23-02-2026 15:11:49</t>
  </si>
  <si>
    <t>901303824</t>
  </si>
  <si>
    <t>Inversiones Mcn SAS</t>
  </si>
  <si>
    <t>c5b2dd171dc01f7a7028c6c9d9fbfbc624f05acdfab647551b7cacb41214d2e87508faa3695e656c3e892e40decb0b2d</t>
  </si>
  <si>
    <t>107436</t>
  </si>
  <si>
    <t>23-02-2026 15:11:50</t>
  </si>
  <si>
    <t>fe2debf24906feb1c5aa39a07d4d7b92476121f889579438ae50ea65ab9b569fefb9fbcfbaf59937637df7dea1a1f16d</t>
  </si>
  <si>
    <t>107437</t>
  </si>
  <si>
    <t>23-02-2026 15:25:42</t>
  </si>
  <si>
    <t>5d7dee7efce43d6d24417f1179d87154bbfd42130bcfef6b4bb4758e6cd9f6a251e3c70c74f26d20acafe5952ba96575</t>
  </si>
  <si>
    <t>107438</t>
  </si>
  <si>
    <t>23-02-2026 15:55:50</t>
  </si>
  <si>
    <t>5487e198e4ea56b7de1621ef3e87993c3d5354d0b7a885e67586e269e2bead221726724407efdaf47af3ec3f614fb5fe</t>
  </si>
  <si>
    <t>107439</t>
  </si>
  <si>
    <t>23-02-2026 15:55:55</t>
  </si>
  <si>
    <t>7ae480dccafad9f8f4bafb54d5561338bba46d74ab38b644bb154d59aa31a05b0bec1509225596ee7f883a99470ef9b1</t>
  </si>
  <si>
    <t>107440</t>
  </si>
  <si>
    <t>23-02-2026 15:55:59</t>
  </si>
  <si>
    <t>df9d3b0666509f742aeddcd0f5a297c93b6a075abdc4d8e6c0f8d8a59ea4db7ab91a9e4ef128206640806ab8e920ade4</t>
  </si>
  <si>
    <t>107441</t>
  </si>
  <si>
    <t>23-02-2026 15:56:03</t>
  </si>
  <si>
    <t>c0626561f12adf3002331e07881c28957fa9fae0a2e9d9374a4999af8f0d48dc7e6e8a2d52ccce34fa60602a4a27a050</t>
  </si>
  <si>
    <t>107442</t>
  </si>
  <si>
    <t>23-02-2026 15:56:08</t>
  </si>
  <si>
    <t>830068502</t>
  </si>
  <si>
    <t>Correcaminos De Colombia</t>
  </si>
  <si>
    <t>FACTURA PAGA 2/02/2026</t>
  </si>
  <si>
    <t>61f56594eb2967828e0c0b7f74353f65e581bc180ed8a92aef59cf685c7bd69eef43e569d035158604311dc715e472a1</t>
  </si>
  <si>
    <t>107443</t>
  </si>
  <si>
    <t>23-02-2026 16:11:19</t>
  </si>
  <si>
    <t>7c53381dbe3a96799ace150f2e4afce221776436c2d36c9021a586b9a8129bc747da9e664819be234b0328c1d26d8936</t>
  </si>
  <si>
    <t>107444</t>
  </si>
  <si>
    <t>23-02-2026 16:11:24</t>
  </si>
  <si>
    <t>900204158</t>
  </si>
  <si>
    <t>Sigma Gestion De Proyectos SAS</t>
  </si>
  <si>
    <t>4f49f090b8fef757b13488d1429c87279c3e5477e4331cb6ee18ffdd9aafd723560fc6cb7e0355a44602ead97e2de01d</t>
  </si>
  <si>
    <t>107445</t>
  </si>
  <si>
    <t>23-02-2026 16:11:28</t>
  </si>
  <si>
    <t>890300279</t>
  </si>
  <si>
    <t>Banco De Occidente</t>
  </si>
  <si>
    <t>2a6b07ad1a5dc270dacc8e6bcf63aab5c5c7df5ded0d5856a531a018b72bbbba87907f08c86e0288223522d5a90c4083</t>
  </si>
  <si>
    <t>107446</t>
  </si>
  <si>
    <t>23-02-2026 16:11:33</t>
  </si>
  <si>
    <t>900270083</t>
  </si>
  <si>
    <t>Grupo Agroindustrial Hacienda La Gloria SA Sucursal Colombia</t>
  </si>
  <si>
    <t>253de591e3f2a842bbf4f0596fdd93e808d9b39fc072395ae0d9b88fa91bf8b090b61b1fe4fb6f8ce2287eac72df8bfc</t>
  </si>
  <si>
    <t>107447</t>
  </si>
  <si>
    <t>23-02-2026 16:11:38</t>
  </si>
  <si>
    <t>5591f14995e76dca34cbcf021c40fe2ae2310a7fca5f74fc1f22290a4dcb7e799d77df24e3d5c6056f841c32d77799f1</t>
  </si>
  <si>
    <t>107448</t>
  </si>
  <si>
    <t>23-02-2026 16:11:42</t>
  </si>
  <si>
    <t>900419840</t>
  </si>
  <si>
    <t>Expertos En Cafe SAS</t>
  </si>
  <si>
    <t>6e97e6dc612588e4f61a40ec52fc9807afda0d26cf9733d97697448e26581a9536e8a9bd6923cbd77715156931709e8b</t>
  </si>
  <si>
    <t>107449</t>
  </si>
  <si>
    <t>23-02-2026 16:26:51</t>
  </si>
  <si>
    <t>64380fe15edd8416e53395c6691430416ec60d17d3a092def8918bbd1893f62be8d207e88923a1e4953da340bd94b1be</t>
  </si>
  <si>
    <t>107450</t>
  </si>
  <si>
    <t>23-02-2026 16:26:57</t>
  </si>
  <si>
    <t>901648017</t>
  </si>
  <si>
    <t>Consorcio Estanzula - Bronx</t>
  </si>
  <si>
    <t>1d81de7a2ab3abf2132f9eb00ceee1b155c6bd8ef0096ef18f92585e7650be1aeba30ef77ee1fb58290b40efb501f250</t>
  </si>
  <si>
    <t>107451</t>
  </si>
  <si>
    <t>23-02-2026 16:27:01</t>
  </si>
  <si>
    <t>b5f332820610cb876cd1f71c8f691671d04cff84636272e021ea25e35eb0c73113a42e81ff6ab9dd0e9686e3efb21507</t>
  </si>
  <si>
    <t>107452</t>
  </si>
  <si>
    <t>24-02-2026</t>
  </si>
  <si>
    <t>24-02-2026 08:43:46</t>
  </si>
  <si>
    <t>860006626</t>
  </si>
  <si>
    <t>Oftalmos SA</t>
  </si>
  <si>
    <t>f63ff8731e1f3dc32da95648ca82894a59c7c57ee843bf6c65b55673252dac7e256d4e0d756083aa50111ac2507cf98a</t>
  </si>
  <si>
    <t>107453</t>
  </si>
  <si>
    <t>24-02-2026 08:58:53</t>
  </si>
  <si>
    <t>bd3226daee77d773b9b41e2566584bf2f573f2b237539968f790032a60e4c7df6c0bc3fb34605c5f14a4e6902a15e572</t>
  </si>
  <si>
    <t>107454</t>
  </si>
  <si>
    <t>24-02-2026 09:59:08</t>
  </si>
  <si>
    <t>900750483</t>
  </si>
  <si>
    <t>Selecta Compañia De Cereales SAS</t>
  </si>
  <si>
    <t>1274c92304a8ec1fcd20a25895f308f216455ddb972b1c9a1f02f21c50bad2a12dc66b41ca5051e11fd2260ed6133c53</t>
  </si>
  <si>
    <t>107455</t>
  </si>
  <si>
    <t>24-02-2026 09:59:09</t>
  </si>
  <si>
    <t>900027833</t>
  </si>
  <si>
    <t>Mathiesen Colombia SAS</t>
  </si>
  <si>
    <t>5fc282842b79fc00dc6a0ba7b104d7e4e57270a2530b2324b819df490fcc110b6a5a3b68e53bd057f6f4da03e0e81d89</t>
  </si>
  <si>
    <t>107456</t>
  </si>
  <si>
    <t>24-02-2026 09:59:12</t>
  </si>
  <si>
    <t>b46f84e552918ed04f2de027b3677376c23d7044da3f336b61248bd95aba6830ee1e1310085320441d8cab4ea14686e3</t>
  </si>
  <si>
    <t>107457</t>
  </si>
  <si>
    <t>24-02-2026 09:59:16</t>
  </si>
  <si>
    <t>800216181</t>
  </si>
  <si>
    <t>Grupo Aval Acciones Y Valores SA</t>
  </si>
  <si>
    <t>25abbe6dfb91bd796ee9cee248a850872b469baca9f1f940527b9302d63ce1c8d1532bba4aa6df6cb88b22339d89a986</t>
  </si>
  <si>
    <t>107458</t>
  </si>
  <si>
    <t>24-02-2026 10:14:32</t>
  </si>
  <si>
    <t>800194600</t>
  </si>
  <si>
    <t>La Corporacion Colombiana De Investigacion Agropecuaria Agrosavia</t>
  </si>
  <si>
    <t>21f3de494b08950fb7e6fe2a431d1ef4379e5faffe1c2b385282320262f85ebaccd0841b14652adf72ed422f541e5a8e</t>
  </si>
  <si>
    <t>107459</t>
  </si>
  <si>
    <t>24-02-2026 10:14:37</t>
  </si>
  <si>
    <t>900355936</t>
  </si>
  <si>
    <t>Inversiones Proxima Centauri SAS</t>
  </si>
  <si>
    <t>b3d29e561069ff398befcbeb53461a2dfe379059bb273298ce0143abdc731ec749fcf4e962e115302a75f7b2d0050ac6</t>
  </si>
  <si>
    <t>107460</t>
  </si>
  <si>
    <t>24-02-2026 10:29:44</t>
  </si>
  <si>
    <t>37fa0affa8c6c30cc384da3f2353ef12c6d711be2d4d6804c0ac71840bed1c4341e5ae0b06de40a27808d67c7da9eea7</t>
  </si>
  <si>
    <t>107461</t>
  </si>
  <si>
    <t>24-02-2026 10:44:59</t>
  </si>
  <si>
    <t>2994b2caf36596a28c7673dff4cdb27443b8d920d3bc4d02f84e85a699e06f7e7d82c6ed21f1d8b564d999375ad57dfc</t>
  </si>
  <si>
    <t>107462</t>
  </si>
  <si>
    <t>800171338</t>
  </si>
  <si>
    <t>Soplascol SAS</t>
  </si>
  <si>
    <t>b139e4d8d5829f29d946576de3a971ecfdc8f9aba4a5284cce5985d2650974fce116adce0dc72d30336f2dbdc102d67b</t>
  </si>
  <si>
    <t>107463</t>
  </si>
  <si>
    <t>24-02-2026 10:45:00</t>
  </si>
  <si>
    <t>53569d2f1a8eeb3e1d2a110e3b363efb11ce079d466c7a93753217abcfd2cada0d67bfee37653a11d0d0fb323fdec00d</t>
  </si>
  <si>
    <t>107464</t>
  </si>
  <si>
    <t>24-02-2026 12:16:20</t>
  </si>
  <si>
    <t>2936433f4bbec6adb435a4a32ac0085c830b2fa851eade94233c9f482bbe20b8d7255ff50c726e2392c5a2536dbe38a6</t>
  </si>
  <si>
    <t>107465</t>
  </si>
  <si>
    <t>24-02-2026 10:45:06</t>
  </si>
  <si>
    <t>838000257</t>
  </si>
  <si>
    <t>Fundacion Hematologica Colombia</t>
  </si>
  <si>
    <t>c272ea56a26a7ce525c32a7e8f6aed7cead7a3e6865154f9ca4c4324d3c1ed3814ac7e7563d468a0b4b7d7afa9a029da</t>
  </si>
  <si>
    <t>107466</t>
  </si>
  <si>
    <t>24-02-2026 10:45:11</t>
  </si>
  <si>
    <t>3b3f7870e0c3ccf01068d27990b4e65f31a1d347d906cb6487375e553e47cec37209eb07d197513aa2f391fca495bc3b</t>
  </si>
  <si>
    <t>107467</t>
  </si>
  <si>
    <t>24-02-2026 10:45:15</t>
  </si>
  <si>
    <t>460b116cdde2d040f3b361391e7c788b66bedc361f509c86c73f1887a950ad043b3f31a2dfd0648f586e75ad30475353</t>
  </si>
  <si>
    <t>107468</t>
  </si>
  <si>
    <t>24-02-2026 10:45:20</t>
  </si>
  <si>
    <t>cb65b49b2b54266ac15bcd9fd59b85cc8002d38e5a294845d2e6e2a424673cb99341e39b1e360b84663ab1953ee7a8c9</t>
  </si>
  <si>
    <t>107469</t>
  </si>
  <si>
    <t>24-02-2026 11:00:27</t>
  </si>
  <si>
    <t>c6ac4c8b0b3defea92fc3910fbe589651349f50b0bf681608c408696239b0b7e76ec957dabba0ea2bf40c44402139373</t>
  </si>
  <si>
    <t>107470</t>
  </si>
  <si>
    <t>24-02-2026 11:00:31</t>
  </si>
  <si>
    <t>8c5d5c4878f1d36e7ac5b086e8e5e0db4e09f49d0e6262c3e8946596ef68ed313eb578644285aab24c38941cd6135919</t>
  </si>
  <si>
    <t>107471</t>
  </si>
  <si>
    <t>24-02-2026 11:00:36</t>
  </si>
  <si>
    <t>d6c113790d013da99b206c2e4253cedbe2a5adea2bfb706eeda92b193fcce2ed542809e097dbc59e105418d1af2c11d3</t>
  </si>
  <si>
    <t>107472</t>
  </si>
  <si>
    <t>24-02-2026 11:30:44</t>
  </si>
  <si>
    <t>6bcb518778ad9399dfea0891f57d8dfa4c4bc109f73c83db4f08eafca33dd30a9f732c2c5c2e3a3092de2b26277e785a</t>
  </si>
  <si>
    <t>107473</t>
  </si>
  <si>
    <t>24-02-2026 11:30:49</t>
  </si>
  <si>
    <t>fe994688be52d761ff8f3c6ef4ba69a2bc9113468f47a49b8f70a3c2f8c8de7fae9fb569c885c2a2058021dca1de9005</t>
  </si>
  <si>
    <t>107474</t>
  </si>
  <si>
    <t>24-02-2026 11:30:54</t>
  </si>
  <si>
    <t>b9e4d8a7fb5cb3d50c24f3d27ff59070a3ff4dd5feb74a14da4bb3e858a70656979b729d9a2d751af17e82944a69f7fa</t>
  </si>
  <si>
    <t>107475</t>
  </si>
  <si>
    <t>24-02-2026 11:30:58</t>
  </si>
  <si>
    <t>1556972022015</t>
  </si>
  <si>
    <t>Compañia Ganadera Del Oeste SA</t>
  </si>
  <si>
    <t>ea8d1c8af1f70d3f6b8c92f9080ca9d69a4f6a534485d0e2115d086671377c5447b84b4b77677e54bcd644be3abedd68</t>
  </si>
  <si>
    <t>107476</t>
  </si>
  <si>
    <t>24-02-2026 11:31:03</t>
  </si>
  <si>
    <t>4f5d9396dd2abdd2aa86e048cccb85e3e5f8edc013d592b9757fe4f84aa8f128038adeaaba004bcf19d2b28bd8d16032</t>
  </si>
  <si>
    <t>107477</t>
  </si>
  <si>
    <t>24-02-2026 11:46:12</t>
  </si>
  <si>
    <t>fef24f426afc147fad6ebfca19dbf8aa210bb5d33d651c430d2d2f7e21e38dd3f8aded7f1b55cdfe3c959f58b7aff0b5</t>
  </si>
  <si>
    <t>107478</t>
  </si>
  <si>
    <t>24-02-2026 12:31:25</t>
  </si>
  <si>
    <t>830110734</t>
  </si>
  <si>
    <t>Servicio De Ingenieria Transito Y Tecnologia SAS Sitt Y Cia SAS</t>
  </si>
  <si>
    <t>3695fa67600e610614bf36c0cf0f8a2733464a23266b4f18d7871668111c8c4e9f7495687e7d01d5ba3eb0e2a1ffd6d2</t>
  </si>
  <si>
    <t>107479</t>
  </si>
  <si>
    <t>24-02-2026 12:31:30</t>
  </si>
  <si>
    <t>751868dcc57a029d873114bad37d46a8af814ac7dfc512d14824f7828caffedbef612d8dadf6dd36711549b5d773407f</t>
  </si>
  <si>
    <t>107480</t>
  </si>
  <si>
    <t>24-02-2026 12:46:37</t>
  </si>
  <si>
    <t>c7de2fb69d9ba8a45adec1a3a3454c908d3a799471d16df4cef915de76b431810e76ca6b090153f5208e29183cc9b454</t>
  </si>
  <si>
    <t>107481</t>
  </si>
  <si>
    <t>24-02-2026 12:46:41</t>
  </si>
  <si>
    <t>830051740</t>
  </si>
  <si>
    <t>Protex SAS</t>
  </si>
  <si>
    <t>864434e5ccadf22bb49db90ec4e337e31b3f6dae2c302b39a7266becbe14678ea9a2447fbd4daa5c2548a4de8353d722</t>
  </si>
  <si>
    <t>107482</t>
  </si>
  <si>
    <t>24-02-2026 13:01:48</t>
  </si>
  <si>
    <t>901485363</t>
  </si>
  <si>
    <t>Persea Colombia SAS</t>
  </si>
  <si>
    <t>282ae19e0985c344c5abe3aee7e1f3e764d0e8fa91c42890da4f41aa2fc46c168ee62c28fa3bd007da94716178b743d3</t>
  </si>
  <si>
    <t>107483</t>
  </si>
  <si>
    <t>24-02-2026 14:17:21</t>
  </si>
  <si>
    <t>9004fa107c6f714fed5297b8b73fd081088b8ad19d82f65eb97bee2c6c1f79b996813740699b1b387544a8939f0b8256</t>
  </si>
  <si>
    <t>107484</t>
  </si>
  <si>
    <t>24-02-2026 14:32:24</t>
  </si>
  <si>
    <t>a4475322211a28db272b1d7e262e6fb462b3fcfcb2554b3ef9dbd6b97cfb747b43faa6994006123656304b312d514a36</t>
  </si>
  <si>
    <t>107485</t>
  </si>
  <si>
    <t>24-02-2026 14:32:29</t>
  </si>
  <si>
    <t>258df16a6379e9be1bf1336271d8138ed741cb0b000f020f1caa5a9707d4a5060dc9711997e2536dd870c4d2a4f0c0fe</t>
  </si>
  <si>
    <t>107486</t>
  </si>
  <si>
    <t>24-02-2026 14:32:33</t>
  </si>
  <si>
    <t>2d63f3e784f3e48969579091c4bd759a0ed02a7895e968c9d736cb984bbada6ec5da539bab6efe67b05a635874cc1359</t>
  </si>
  <si>
    <t>107487</t>
  </si>
  <si>
    <t>24-02-2026 14:32:38</t>
  </si>
  <si>
    <t>fd01d2774779e798393214bfc6e7b9f929e97a69f3301c5045f9c103dda324ab82e9445ce859aa08544b59681064d0a5</t>
  </si>
  <si>
    <t>107488</t>
  </si>
  <si>
    <t>24-02-2026 14:47:44</t>
  </si>
  <si>
    <t>901766222</t>
  </si>
  <si>
    <t>Fundacion Sand Box</t>
  </si>
  <si>
    <t>0ba3f0b2f3cb7331829ec5cfe15af2f654a1ae2231c9dad18b46f9997f7bb8e255f66036c349b7892243e0d4085b7e3d</t>
  </si>
  <si>
    <t>107489</t>
  </si>
  <si>
    <t>24-02-2026 15:02:50</t>
  </si>
  <si>
    <t>901577842</t>
  </si>
  <si>
    <t>Consorcio R&amp;J Joyco</t>
  </si>
  <si>
    <t>3453439eea38d73ef6d7299ba84aa80bfff90198275f70e69a6dc94b9d6625eac714764d16cde08ed2dad889e51bdeef</t>
  </si>
  <si>
    <t>107490</t>
  </si>
  <si>
    <t>24-02-2026 15:18:02</t>
  </si>
  <si>
    <t>f9195fee51d34cd36640c7d76f372e7414d9e04528fa4eb0d3eb28371e9d2369028e972085e4a07815dd7be2b96ae1ff</t>
  </si>
  <si>
    <t>107491</t>
  </si>
  <si>
    <t>24-02-2026 15:18:06</t>
  </si>
  <si>
    <t>3a9ae56b7330cb04ab76ac7ec0f84ce7695a7ddbe6ca52ddca5dfb35a320f3282f50ff80d38d88cfaeebeed27a46b7a4</t>
  </si>
  <si>
    <t>107492</t>
  </si>
  <si>
    <t>24-02-2026 15:18:10</t>
  </si>
  <si>
    <t>b67f7830b78d158bbedf4338f11dd68285d725c462ef01c74936a7dd1428e8731391188b7f635c00c58a75e2be70a13a</t>
  </si>
  <si>
    <t>107493</t>
  </si>
  <si>
    <t>24-02-2026 15:18:15</t>
  </si>
  <si>
    <t>7f214df78bd141abeea9b7777bbbd2b240f1e19ec120fa72dca08c68bc6003006d058c8df0f957f719b824c1f8c46697</t>
  </si>
  <si>
    <t>107494</t>
  </si>
  <si>
    <t>24-02-2026 15:33:21</t>
  </si>
  <si>
    <t>2e3734eabfa723e6c582b60f81563d4cdcef616e6a13208c6c2f0f1656cb813cfd4e5bd9c11f2fb1ddcd41978459d8e7</t>
  </si>
  <si>
    <t>107495</t>
  </si>
  <si>
    <t>24-02-2026 15:33:31</t>
  </si>
  <si>
    <t>765d05d7246a4937114771269051f8bca017e9b43bf0210b8a6dba4814a6d98a6c0c0c1dcff6fb6af7fd2cac694542f3</t>
  </si>
  <si>
    <t>107496</t>
  </si>
  <si>
    <t>24-02-2026 15:33:37</t>
  </si>
  <si>
    <t>900884741</t>
  </si>
  <si>
    <t>Tinello Capital SAS</t>
  </si>
  <si>
    <t>2f80a9871146a0cf0b44ac0c7089acfcb514cec334b19984e68ffd54451ea91fa4695f5d4fc3ba17331040e7c098fb35</t>
  </si>
  <si>
    <t>107497</t>
  </si>
  <si>
    <t>24-02-2026 15:33:41</t>
  </si>
  <si>
    <t>abb9f91bf50cf8777662dcd746a446eae94c2dfa5c2af9d2c3e3cbae2a9bf19366865ce2e4827da362a0522108188a52</t>
  </si>
  <si>
    <t>107498</t>
  </si>
  <si>
    <t>24-02-2026 15:33:45</t>
  </si>
  <si>
    <t>4992aeb5b3ba86754d5fb9f60200aec1383ac57161831b54080ff1c5d6e295e752aa4fea1ca22bb477220eec85a77725</t>
  </si>
  <si>
    <t>107499</t>
  </si>
  <si>
    <t>24-02-2026 15:48:52</t>
  </si>
  <si>
    <t>ac5a6343f7ba1d055dfef05f299bc1ee573ac69dfad6538efd8ff4427202dd521269a3d7feeda84cc868e683f4f1d0df</t>
  </si>
  <si>
    <t>107500</t>
  </si>
  <si>
    <t>24-02-2026 16:04:08</t>
  </si>
  <si>
    <t>33b3367c463a350de5aae36f19432d3f330d0f776d51366e1214887f51c50319b737ef1ab5c6e546dbdd5bbbb3a01e7e</t>
  </si>
  <si>
    <t>107501</t>
  </si>
  <si>
    <t>25-02-2026</t>
  </si>
  <si>
    <t>25-02-2026 10:21:07</t>
  </si>
  <si>
    <t>85c02891c4314dc68855999decd128e0ed2fb382045a64e9e129518080c2269f67c36b93a60b1d01e2a7cf9f0457582b</t>
  </si>
  <si>
    <t>107502</t>
  </si>
  <si>
    <t>25-02-2026 10:21:11</t>
  </si>
  <si>
    <t>9978cda5a8ade03657fcd9963aaf8dff710c72cbd609983ac0ca612deec575afeed21d0f11c0ecabf665b6a9295e3caa</t>
  </si>
  <si>
    <t>107503</t>
  </si>
  <si>
    <t>25-02-2026 10:21:17</t>
  </si>
  <si>
    <t>b25191e9f2c31c4c476cc0edfe4747f1b1ec0086ac107070303525890de076a81252464eb7ace4a2b4badce2aa0cc1fe</t>
  </si>
  <si>
    <t>107504</t>
  </si>
  <si>
    <t>25-02-2026 10:21:21</t>
  </si>
  <si>
    <t>5ba65f37161895d375c5ff0724b34c8cdd2b320b94d7927a25f0cc3354a427d797c03366f4c2e75f100d722bce3f6f5b</t>
  </si>
  <si>
    <t>107505</t>
  </si>
  <si>
    <t>25-02-2026 11:22:42</t>
  </si>
  <si>
    <t>6f0efbbba2433102a293afe59c882421487dd2c0d650740ba70ffb8d197ab2bf9ceb412aab15e73ed530f1a9466ea0e4</t>
  </si>
  <si>
    <t>107506</t>
  </si>
  <si>
    <t>25-02-2026 11:51:51</t>
  </si>
  <si>
    <t>f5e56fcc47e1e8e636116bd838418104a40c651b5e352b7e5f16c1e99910140bfaefe829e6245e89f5e342700cd5ae5a</t>
  </si>
  <si>
    <t>107507</t>
  </si>
  <si>
    <t>25-02-2026 11:51:55</t>
  </si>
  <si>
    <t>7a08d04102e4151302db3c330390bccd1bbde1ee3181d6f334016c8825ac52301cf8a12f60ddc805f81e0ec4af8670f5</t>
  </si>
  <si>
    <t>107508</t>
  </si>
  <si>
    <t>25-02-2026 11:52:00</t>
  </si>
  <si>
    <t>0e688b69352a99c91a4f99e782627a7f4d3441c1254b5b487076cb9191a2e4e54b8d8144a9701946288626e77f2b102c</t>
  </si>
  <si>
    <t>107509</t>
  </si>
  <si>
    <t>25-02-2026 12:22:07</t>
  </si>
  <si>
    <t>901029016</t>
  </si>
  <si>
    <t>Grupo Cenagro SAS</t>
  </si>
  <si>
    <t>61dca1a58c30da862cbe4848ca075884f4dc13d952728332945bbfdd0c6073f181c51cb0577d931c61b768c954ce4204</t>
  </si>
  <si>
    <t>107510</t>
  </si>
  <si>
    <t>25-02-2026 13:07:17</t>
  </si>
  <si>
    <t>52fdb39b9a6b474d1ec5b36b48379ad9e467c9302d7a4ff146cb84cb1b08548592839345ea29ae2b4892f9579c28acf6</t>
  </si>
  <si>
    <t>107511</t>
  </si>
  <si>
    <t>25-02-2026 13:07:21</t>
  </si>
  <si>
    <t>00cd1d864fa670e2c33af342d242c199d1a1857c1f57df981b78fc68b2ef3ad80bc2c460b1f609348452538eae7d2c00</t>
  </si>
  <si>
    <t>107512</t>
  </si>
  <si>
    <t>25-02-2026 13:22:27</t>
  </si>
  <si>
    <t>5e12c438831103faa537460d3a5f91e84c3bc24a9c4c6d7141c46f07596f5abee86cdda693ff8f1edc84d23453973d8d</t>
  </si>
  <si>
    <t>107513</t>
  </si>
  <si>
    <t>25-02-2026 14:32:35</t>
  </si>
  <si>
    <t>eb6a601e2422442c7730e95bcabc56dabe187b4e8297254822cb45c614b14cc1c66fd360086f071fc6087180b390cde6</t>
  </si>
  <si>
    <t>107514</t>
  </si>
  <si>
    <t>25-02-2026 17:18:48</t>
  </si>
  <si>
    <t>0e3beed40cd78566d830fcab799b5be9ea7b8398e71864b825d264eb7b7811fc7b4a576af2ea8fffe8018dda01b6861a</t>
  </si>
  <si>
    <t>107515</t>
  </si>
  <si>
    <t>25-02-2026 14:34:56</t>
  </si>
  <si>
    <t>830115054</t>
  </si>
  <si>
    <t>Set Icap Fx SA</t>
  </si>
  <si>
    <t>92883abd9ed5f1649dee5e9d96f07054504aebd250f56c6ea5f8eaf13e7f6dcbb1c97a8f3edd377a5860a6da032ee542</t>
  </si>
  <si>
    <t>107516</t>
  </si>
  <si>
    <t>25-02-2026 14:35:46</t>
  </si>
  <si>
    <t>9e1a327c784eabcb17d9c3b8856db56f37ddf0cafd2d18bf34b6ec0f8d675f5ceaa9faa75e81d703b37c73f46d30e638</t>
  </si>
  <si>
    <t>107517</t>
  </si>
  <si>
    <t>25-02-2026 14:37:58</t>
  </si>
  <si>
    <t>cdfbc5472bd770864bc3fb571128712636defe7dd3b48f18f6b78ba702ffd04fa161517f4fbcbf80bdaabd9a68070831</t>
  </si>
  <si>
    <t>107518</t>
  </si>
  <si>
    <t>25-02-2026 14:37:18</t>
  </si>
  <si>
    <t>3541289a674339be867d2df3719d449a97e2d1e26172a2a315ae208dd3d22a92232d16c825eee2914bdc7d79503fb6ff</t>
  </si>
  <si>
    <t>107519</t>
  </si>
  <si>
    <t>25-02-2026 14:37:10</t>
  </si>
  <si>
    <t>72c0afa15b156699828e401de738671c81d261b27d8b104121f476834677c2debe57a8e99485cc088c86f21f41055dbf</t>
  </si>
  <si>
    <t>107520</t>
  </si>
  <si>
    <t>25-02-2026 14:37:30</t>
  </si>
  <si>
    <t>23346dec4e38c2f7b034a8be363c48448cccdf72c0aaa89821914e3508e4a4c2daad722428cc29011a59ea9d0c9d8834</t>
  </si>
  <si>
    <t>107521</t>
  </si>
  <si>
    <t>25-02-2026 15:07:24</t>
  </si>
  <si>
    <t>afe928f543f15d5097d99a4a3d83d5b7085478009a5ce616f7d9cb445206f7751c4a0903221c62521a3460a68d0b5cb0</t>
  </si>
  <si>
    <t>107522</t>
  </si>
  <si>
    <t>25-02-2026 14:53:26</t>
  </si>
  <si>
    <t>900407729</t>
  </si>
  <si>
    <t>Agroinversiones Bananeras Del Caribe SAS</t>
  </si>
  <si>
    <t>b03700715fa223d9607b9482d62721780d8326a77e88168dfe0893bc0ff61d5845eb6407a6e0f02c64be6e162d369d9b</t>
  </si>
  <si>
    <t>107523</t>
  </si>
  <si>
    <t>25-02-2026 14:53:28</t>
  </si>
  <si>
    <t>860013798</t>
  </si>
  <si>
    <t>Universidad Libre</t>
  </si>
  <si>
    <t>ad840cd4a497b67335780ff8d8a265350c92febbc33dab0b460f734d62486681442fdfb04b22f3d82f026e5edbd98505</t>
  </si>
  <si>
    <t>107524</t>
  </si>
  <si>
    <t>25-02-2026 14:53:33</t>
  </si>
  <si>
    <t>b4ce7d2db1bfc4c67e2ebe934a8adce32ca16cb492b4fde4f089a459c6e0eb0173e9eb990fb6d8b8f6f3b00749a52f43</t>
  </si>
  <si>
    <t>107525</t>
  </si>
  <si>
    <t>25-02-2026 14:53:38</t>
  </si>
  <si>
    <t>830116746</t>
  </si>
  <si>
    <t>Merquimia Colombia SAS</t>
  </si>
  <si>
    <t>99a71019b9dfe103fedd342f59baf0344a1394eb1535c28797e829e066076ae45c16cba5d87235a662785cf8a113bab9</t>
  </si>
  <si>
    <t>107526</t>
  </si>
  <si>
    <t>25-02-2026 14:53:46</t>
  </si>
  <si>
    <t>423069b73b808d1e17c6ae75f49ebb26abd1bad9f3542414687bf46624aba42e4a16e7fe56e47077dbb45fc6cc39de52</t>
  </si>
  <si>
    <t>107527</t>
  </si>
  <si>
    <t>25-02-2026 15:10:20</t>
  </si>
  <si>
    <t>af0c1f6a60ddc3d807f2ad794691e74fd7228b5039d175571b75de07b7731cebeec04f372b9f650fb5914f3fb88e4460</t>
  </si>
  <si>
    <t>107528</t>
  </si>
  <si>
    <t>25-02-2026 15:12:19</t>
  </si>
  <si>
    <t>f0b21d7ed9cc14db21ebaf07b91ccd4afd862ca702dd2ec409d19d3edb8e54eb199fa33435b758bc77e9981d282ecdb9</t>
  </si>
  <si>
    <t>107529</t>
  </si>
  <si>
    <t>25-02-2026 15:12:17</t>
  </si>
  <si>
    <t>860007335</t>
  </si>
  <si>
    <t>Banco Caja Social SA</t>
  </si>
  <si>
    <t>08a85024e0f2da3c3ff19f5094c442cf932bb9c498fbadf954ce0b2203da635cb0c673bfbffac34a155644b0ae3b795f</t>
  </si>
  <si>
    <t>107530</t>
  </si>
  <si>
    <t>25-02-2026 15:11:17</t>
  </si>
  <si>
    <t>830037843</t>
  </si>
  <si>
    <t>Winner Group SA</t>
  </si>
  <si>
    <t>4dee5eb2a6e5704f20918eb5e53edf33e3f9c7d83d84654031d9bc2f184dc5f95226873d485e1faff553f12dbc5cb720</t>
  </si>
  <si>
    <t>107531</t>
  </si>
  <si>
    <t>25-02-2026 15:30:22</t>
  </si>
  <si>
    <t>900677304</t>
  </si>
  <si>
    <t>Fundacion National Center For State Courts-Ncsc Colombia</t>
  </si>
  <si>
    <t>1e224d0533f1035d4c8cf957d05545d3942a5dafb4b7328e33cfe9997ac14a49de6d9a4127a0391a34bd3d0cd8b00d25</t>
  </si>
  <si>
    <t>107532</t>
  </si>
  <si>
    <t>25-02-2026 15:30:23</t>
  </si>
  <si>
    <t>863642da3030b60ed3d944c767c2695beebcd5432e47760debe99f7d66796f2c5d1e44b6ddaeff12fad9ae0223a446b8</t>
  </si>
  <si>
    <t>107533</t>
  </si>
  <si>
    <t>25-02-2026 15:30:34</t>
  </si>
  <si>
    <t>900894892</t>
  </si>
  <si>
    <t>Recordati Rare Diseases Colombia SAS</t>
  </si>
  <si>
    <t>PAGA EL 26/02/2026</t>
  </si>
  <si>
    <t>2f7ae9a852494fcb44835770aff162af4364a0557154378e853dbf2c3c11e1f835ae435b2011664fcb43adc07896387a</t>
  </si>
  <si>
    <t>107534</t>
  </si>
  <si>
    <t>25-02-2026 15:30:36</t>
  </si>
  <si>
    <t>d9013c1c21309849ccf7383d88ddb111a790b1cf9af8e11b488cd8c4798e3ebb3b176957ae46347e8b1cdce3ee7ff248</t>
  </si>
  <si>
    <t>107535</t>
  </si>
  <si>
    <t>25-02-2026 15:30:27</t>
  </si>
  <si>
    <t>384d64c9c7053a0cc8ce4c500bd978120a41036c185a570740d0943d84eb60376f8ebd64d9693f8753ab0ad3c66a637b</t>
  </si>
  <si>
    <t>107536</t>
  </si>
  <si>
    <t>25-02-2026 15:43:55</t>
  </si>
  <si>
    <t>1bf18e333f7cf1ddc1c4360718fdf4b39880ca094268d91b13f753ae81492b694874da965934ebb5835686a61bf04287</t>
  </si>
  <si>
    <t>107537</t>
  </si>
  <si>
    <t>25-02-2026 15:44:00</t>
  </si>
  <si>
    <t>616eed04e0a27b617d1d972b8b0247a30e6e0604afdefd8e0ac162245d0bafa1d4143fac53feb3ca7d01648aa94f52a4</t>
  </si>
  <si>
    <t>107538</t>
  </si>
  <si>
    <t>25-02-2026 15:44:02</t>
  </si>
  <si>
    <t>5f23d50b009825a6cb0fb87da082c1b1aa40decfb12b8ae0e098d8d42749f77a31ce8e11769b7c3131e003f9d11bc503</t>
  </si>
  <si>
    <t>107539</t>
  </si>
  <si>
    <t>25-02-2026 17:18:50</t>
  </si>
  <si>
    <t>53167944</t>
  </si>
  <si>
    <t>Maria Yesmi Fierro Jimenez</t>
  </si>
  <si>
    <t>00aaac4788b961571672ad355f7e449f3a03d5fdd2098da26cfc8b13def36a24f163294aaded176ff925bd79fc848415</t>
  </si>
  <si>
    <t>107540</t>
  </si>
  <si>
    <t>25-02-2026 15:54:13</t>
  </si>
  <si>
    <t>a697022bba363ec5ff3912bf52f441e599de2368cba96fa8244b10508d9ac2339806853afabb3fb6343b4020f9c45e21</t>
  </si>
  <si>
    <t>107541</t>
  </si>
  <si>
    <t>25-02-2026 15:54:17</t>
  </si>
  <si>
    <t>2d7da1c35d802bbbdaa0f6dbd4e22cc33993f42263f10bcdde89785fb1a73dba8c5fe5f2ba839f0c9b328d0797096e24</t>
  </si>
  <si>
    <t>107542</t>
  </si>
  <si>
    <t>25-02-2026 15:54:21</t>
  </si>
  <si>
    <t>c557bc08a94c180d1e56154db4d65a870a459a50b0ad28cc821ee5b7aadcf31b5d9b518ab74cf9a2144f589b34c1cf0c</t>
  </si>
  <si>
    <t>107543</t>
  </si>
  <si>
    <t>25-02-2026 15:54:24</t>
  </si>
  <si>
    <t>901098332</t>
  </si>
  <si>
    <t>Grupo Dos Ene SAS</t>
  </si>
  <si>
    <t>4d480faf0e9bcca3ffbd4912d81e00405c6874132c8be3fa8f0ea40fead6a24191f1efe7e369e80ae82089423d2f7db9</t>
  </si>
  <si>
    <t>107544</t>
  </si>
  <si>
    <t>25-02-2026 15:54:27</t>
  </si>
  <si>
    <t>ba3290ce3de2bd301c7adf18372025ab494c637c25fc52ad9366c9247f6ccc1f43708d6f47e09ebccc9f3a9c5dc323d0</t>
  </si>
  <si>
    <t>107545</t>
  </si>
  <si>
    <t>25-02-2026 16:03:23</t>
  </si>
  <si>
    <t>f299b882575dda1daa0b5ac96829d13a4b80cf72ca0aa941416594dffae8d670b0967c80e322d1790b360f18ce36f870</t>
  </si>
  <si>
    <t>107546</t>
  </si>
  <si>
    <t>25-02-2026 16:03:25</t>
  </si>
  <si>
    <t>890206354</t>
  </si>
  <si>
    <t>Ortizo SAS</t>
  </si>
  <si>
    <t>12f9ec884816040c64eab718cc6b25ad81649722073a5e6b33026d05a869015e334bc23128b1e9f488addced500ce8f9</t>
  </si>
  <si>
    <t>107547</t>
  </si>
  <si>
    <t>25-02-2026 16:03:27</t>
  </si>
  <si>
    <t>900414969</t>
  </si>
  <si>
    <t>Be Academy SAS</t>
  </si>
  <si>
    <t>885f898ced2f23ebc7b3ab77efde804d01e360e35b7f94fb6f3f99a6407cca22208fedf359e69c12f346d9847067eb42</t>
  </si>
  <si>
    <t>107548</t>
  </si>
  <si>
    <t>25-02-2026 16:03:31</t>
  </si>
  <si>
    <t>800176959</t>
  </si>
  <si>
    <t>Comite Internacional De La Cruz Roja</t>
  </si>
  <si>
    <t>b4c7ee30d112d08c43ade67225a33f486e0534a260667894fd42d579591ee5445da90a2113c8cbb4a4e6511b5d270838</t>
  </si>
  <si>
    <t>107549</t>
  </si>
  <si>
    <t>25-02-2026 16:18:07</t>
  </si>
  <si>
    <t>901289668</t>
  </si>
  <si>
    <t>Regional Business Colombia SAS</t>
  </si>
  <si>
    <t>9447dfeba81edfafefa8ba36d0b7189ca98797cecf1f18860fa27efeb4989cd62a90b9586bafad5c0152bfa9b0aa5e10</t>
  </si>
  <si>
    <t>107550</t>
  </si>
  <si>
    <t>25-02-2026 16:33:13</t>
  </si>
  <si>
    <t>29765cc7eafa11e3b3864d307fd522ecb17a2360e762976c668857956a8ddc93d0a1fc5b3135ee0f0c68cf6cea0c859f</t>
  </si>
  <si>
    <t>107551</t>
  </si>
  <si>
    <t>25-02-2026 16:33:18</t>
  </si>
  <si>
    <t>901380663</t>
  </si>
  <si>
    <t>Pasarex SAS</t>
  </si>
  <si>
    <t>4cc4ff78e452061aec29e02253d48b87850174eff8968164db3f2bd18899751bfaac3779667334d5a2d8bd810106399c</t>
  </si>
  <si>
    <t>107552</t>
  </si>
  <si>
    <t>25-02-2026 16:33:23</t>
  </si>
  <si>
    <t>cb618f2888ca99d1798b9a05939934d0f98f46d50670ca4500aa8df46795c5c1b0b967db030fd4525de7310df727d178</t>
  </si>
  <si>
    <t>107553</t>
  </si>
  <si>
    <t>26-02-2026</t>
  </si>
  <si>
    <t>26-02-2026 08:35:13</t>
  </si>
  <si>
    <t>860352419</t>
  </si>
  <si>
    <t>Vetra Exploracion Y Produccion Colombia SAS</t>
  </si>
  <si>
    <t>c776bfead87dda3f386e931d1d6f8f1bfcf9a8df919439c378d2a09f41658fe36eaa824f878c467337fff5bc3c782584</t>
  </si>
  <si>
    <t>107554</t>
  </si>
  <si>
    <t>26-02-2026 09:05:21</t>
  </si>
  <si>
    <t>830100134</t>
  </si>
  <si>
    <t xml:space="preserve">Inversiones Famoso SAS </t>
  </si>
  <si>
    <t>92fb83cb7d5b43b4057684ce6e2d3572e03d4a8de8b83b7576ce41e140ae148cdcfbc7cb956bbfb1155f4353c1a8d186</t>
  </si>
  <si>
    <t>107555</t>
  </si>
  <si>
    <t>26-02-2026 09:35:29</t>
  </si>
  <si>
    <t>830046757</t>
  </si>
  <si>
    <t>Compañia Internacional De Alimentos Agropecuarios Cialta SAS</t>
  </si>
  <si>
    <t>7bbf1f78fe36d3668676a3684323acb585c8d5ce43316155fe5ad4f562e1752b439079a30e3b795ee47924597f5bddc9</t>
  </si>
  <si>
    <t>107556</t>
  </si>
  <si>
    <t>26-02-2026 09:35:37</t>
  </si>
  <si>
    <t>871f886fbdb88f2c8063709ef7a9e02c14170ccd458e07daaaa401a1a4554399ef3f5ccc83856a74d0a9bf079877587f</t>
  </si>
  <si>
    <t>107557</t>
  </si>
  <si>
    <t>26-02-2026 09:35:42</t>
  </si>
  <si>
    <t>0491055ed89f81365ea1685bc4a6d5409c3895724d5a390c708610352d141f8b460fb8ec1313b14a8b7b9258015adbb2</t>
  </si>
  <si>
    <t>107558</t>
  </si>
  <si>
    <t>26-02-2026 11:35:54</t>
  </si>
  <si>
    <t>860516431</t>
  </si>
  <si>
    <t>Gran Tierra Energy Colombia Gmbh Sucursal Colombia</t>
  </si>
  <si>
    <t>276053081accb2c49a49d9578a14ee66cf131b633788804d765442b86e357ce92208925d740da42943cb5f42370dd3b4</t>
  </si>
  <si>
    <t>107559</t>
  </si>
  <si>
    <t>26-02-2026 11:51:00</t>
  </si>
  <si>
    <t>830009573</t>
  </si>
  <si>
    <t>Colnotex SAS</t>
  </si>
  <si>
    <t>320d6698440b86d04a27caf60f13ea2875bfb52c027a84d62da967689878fc70b1bf781f35d516c8404efafed38eab06</t>
  </si>
  <si>
    <t>107560</t>
  </si>
  <si>
    <t>26-02-2026 12:21:17</t>
  </si>
  <si>
    <t>860056070</t>
  </si>
  <si>
    <t>Universidad Antonio Nariño</t>
  </si>
  <si>
    <t>48fbb21816b98e33bad3a08a74b82d95ba192ed00bd76013d942f9ad83d8af7cfb08d53043a2cdac3e365df3667f984f</t>
  </si>
  <si>
    <t>107561</t>
  </si>
  <si>
    <t>26-02-2026 12:21:16</t>
  </si>
  <si>
    <t>26b03ea697d6975349c21fb2df2f80481711d283e8caab4dc1e8809fd973a7c709d951cb898e56ab72e8528954ea2385</t>
  </si>
  <si>
    <t>107562</t>
  </si>
  <si>
    <t>26-02-2026 12:21:22</t>
  </si>
  <si>
    <t>3057c017911dc9b3610bb9bf1c3b2c165f4fb8cff557fe114d76f673fde69db4379ce721932371bd91cdf53fbac55f0c</t>
  </si>
  <si>
    <t>107563</t>
  </si>
  <si>
    <t>26-02-2026 12:36:32</t>
  </si>
  <si>
    <t>4dd0cf6b6aa4a85c780595baae8aefcbd3e1fe567b54b6bb92b3efbc58ec2f02c1ef7ec13419778c6df069b79806c32e</t>
  </si>
  <si>
    <t>107564</t>
  </si>
  <si>
    <t>26-02-2026 12:36:37</t>
  </si>
  <si>
    <t>4ea5a52767559ea3502a23205a443b743f98c9f30cce3daa2ea0a7cd1c18010f4a195cbcc9a46a484a8d08ae7ea70ce1</t>
  </si>
  <si>
    <t>107565</t>
  </si>
  <si>
    <t>26-02-2026 12:36:41</t>
  </si>
  <si>
    <t>96edeb537eee2831ca828fee3dde30b15f5d737f705de21ffe05b164fcdbbda63f679e4249e470d3c34f7b4c4de3dd1f</t>
  </si>
  <si>
    <t>107566</t>
  </si>
  <si>
    <t>26-02-2026 13:06:49</t>
  </si>
  <si>
    <t>4934b88b39995ce787c802409966777a218aa52e1ace409a64de812d1dfeeb43e95dca0ecb0ab2aff10b15fb776ed847</t>
  </si>
  <si>
    <t>107567</t>
  </si>
  <si>
    <t>26-02-2026 14:22:01</t>
  </si>
  <si>
    <t>a3ef7a450076a03e7c8c1d687a63a39fc3142f6cc3733322ffe91082558320985b46ee7370e3f15bcd32e363a7b2e77c</t>
  </si>
  <si>
    <t>107568</t>
  </si>
  <si>
    <t>26-02-2026 14:22:06</t>
  </si>
  <si>
    <t>1048847378</t>
  </si>
  <si>
    <t>Dilma Constanza Cuesta Rubiano</t>
  </si>
  <si>
    <t>7a568b0fa689bdac8c3bc3ba09ba6d8e33a87cd047261d19f338fdaa90069253475e3448e744dab97d752216cc6aa288</t>
  </si>
  <si>
    <t>107569</t>
  </si>
  <si>
    <t>26-02-2026 14:22:10</t>
  </si>
  <si>
    <t>830020915</t>
  </si>
  <si>
    <t>Informa Colombia SA</t>
  </si>
  <si>
    <t>b779221ea10dd702f467a799bcba00afab3e4ec2073071ff1a71393e1b321abb36ffda4a1693adb8a69c0263c3d233ec</t>
  </si>
  <si>
    <t>107570</t>
  </si>
  <si>
    <t>26-02-2026 14:22:15</t>
  </si>
  <si>
    <t>207fc4d1b2f54f47cc2bbd379f8ca09629ee2bfe23deec569cf1b86a55a6fb19cdd3b7669831988cddf2cd1b16f58c10</t>
  </si>
  <si>
    <t>107571</t>
  </si>
  <si>
    <t>26-02-2026 14:22:20</t>
  </si>
  <si>
    <t>900422533</t>
  </si>
  <si>
    <t>Nutrabiotics SAS</t>
  </si>
  <si>
    <t>3607daccd767d6c8a378e83bad4e965424f910893a78670ea6c98f5ea51ee2d95328d746a1b5b7e35f7f9b183f133693</t>
  </si>
  <si>
    <t>107572</t>
  </si>
  <si>
    <t>26-02-2026 14:37:28</t>
  </si>
  <si>
    <t>900958413</t>
  </si>
  <si>
    <t>Centro Recreacional De Oficiales Bogota</t>
  </si>
  <si>
    <t>c49fe53c62e1ebc3be300d0a0ffef4d7a22cc878133e71db9f510cafcd1c0e5773fa075da41f707842afb36a6f7e8366</t>
  </si>
  <si>
    <t>107573</t>
  </si>
  <si>
    <t>26-02-2026 14:37:35</t>
  </si>
  <si>
    <t>29ed0cc1ac684899a17969b7df6f38244c7ca8ef9ba47951071463dc6e2902a0c3b6dbf31fcb1a182b82dfbcb44f9d56</t>
  </si>
  <si>
    <t>107574</t>
  </si>
  <si>
    <t>26-02-2026 15:00:34</t>
  </si>
  <si>
    <t>b51c349cfd5002a8c348ff2162244914b6d595f1aa5f9c5002d3b2da912cf7c2d5172a7cca75cccd885d98b1149e8935</t>
  </si>
  <si>
    <t>107575</t>
  </si>
  <si>
    <t>26-02-2026 15:03:04</t>
  </si>
  <si>
    <t>900300055</t>
  </si>
  <si>
    <t>Gestion De Activos Tecni SAS</t>
  </si>
  <si>
    <t>e7d1086496793b1e78ca45e2f4f7a57185b39d5860e415241e1e0ad2131f80eb7ec8cb57dd0ec55997919b73e88a12e4</t>
  </si>
  <si>
    <t>107576</t>
  </si>
  <si>
    <t>26-02-2026 15:40:17</t>
  </si>
  <si>
    <t>ab7e7c6015f7cfb358a80644d7cd3c5ce5a76bfd139efe79514591ec7d31daf590ba7df5fc44b658e3a896d726d450f5</t>
  </si>
  <si>
    <t>107577</t>
  </si>
  <si>
    <t>26-02-2026 16:39:46</t>
  </si>
  <si>
    <t>af5409fde9d12851db42abd8560dfb52a8d404c46b03e41e72e330e389e94946fbd33885831ba9e3633d036a47f86b7b</t>
  </si>
  <si>
    <t>107578</t>
  </si>
  <si>
    <t>26-02-2026 16:39:48</t>
  </si>
  <si>
    <t>256bc00995296cf3ab8b3397e06a9e71d7e4845abd190aeecdadc794270cce55b1b29f901ab308000dbad435d6ee226a</t>
  </si>
  <si>
    <t>107579</t>
  </si>
  <si>
    <t>26-02-2026 16:39:55</t>
  </si>
  <si>
    <t>cf2244bc219b03a65b87bb5ec3a09e5bdab809b65f392ea47fb4b22b922d0ae498ab80b21a888204fb59d8a4563f8d72</t>
  </si>
  <si>
    <t>107580</t>
  </si>
  <si>
    <t>26-02-2026 17:19:38</t>
  </si>
  <si>
    <t>d6be299beaabe682ad8cc296f3a88710b3479fa9d93b749f7866694b126aa9960fda3ee6322f33e23ea9797e4f2f0b9b</t>
  </si>
  <si>
    <t>107581</t>
  </si>
  <si>
    <t>27-02-2026</t>
  </si>
  <si>
    <t>27-02-2026 08:09:56</t>
  </si>
  <si>
    <t>9f697648bfeb7e75e3071da777d17319c33959d1c0ab151811db5ec6e4072aaaf4d3abb837e179e68597ebcd4db7be9c</t>
  </si>
  <si>
    <t>107582</t>
  </si>
  <si>
    <t>27-02-2026 10:40:21</t>
  </si>
  <si>
    <t>800250763</t>
  </si>
  <si>
    <t>Seaboard De Colombia SAS</t>
  </si>
  <si>
    <t>1afb62842750835cdfcefb3e940965985751a5eabaae4b73b8d3296695b716147a094151c643f42e818c4bace3607f2e</t>
  </si>
  <si>
    <t>107583</t>
  </si>
  <si>
    <t>27-02-2026 10:40:25</t>
  </si>
  <si>
    <t>830033177</t>
  </si>
  <si>
    <t>Flexon Estructuras Y Herrajes SAS</t>
  </si>
  <si>
    <t>654db66066b024693a71b3c79fbcd8523e431d343bcedfec27bf84e4eb6ee5e5126b6bf9e1fde6c8d134587e0187b96e</t>
  </si>
  <si>
    <t>107584</t>
  </si>
  <si>
    <t>27-02-2026 10:40:30</t>
  </si>
  <si>
    <t>860073087</t>
  </si>
  <si>
    <t>La Font SAS</t>
  </si>
  <si>
    <t>d472f1edf7d790af484251adeec38cb694dcc6a33068fb255881149fd7589694fc7571a8a1b9131eaa05c68149975071</t>
  </si>
  <si>
    <t>107585</t>
  </si>
  <si>
    <t>27-02-2026 10:40:34</t>
  </si>
  <si>
    <t>98fc113b53536a84ba0a750206218df01cbf47792f5b5f4f7f1d0a6c43f5f79818cdf39daf01342c986aaf15c1181fdd</t>
  </si>
  <si>
    <t>107586</t>
  </si>
  <si>
    <t>27-02-2026 10:40:39</t>
  </si>
  <si>
    <t>debbaa1a90351797d8425a38cef2e7b5d591a1187f3f451a98e808d5c8fdf82409707c503aa22502eac5dc76c85eec90</t>
  </si>
  <si>
    <t>107587</t>
  </si>
  <si>
    <t>27-02-2026 10:40:44</t>
  </si>
  <si>
    <t>489df78b623f377b69c0f8184660c51f26ae16119adb69032c0d7d0102113b1b4cb6187371d94d77c20f54c4b34f5ead</t>
  </si>
  <si>
    <t>107588</t>
  </si>
  <si>
    <t>27-02-2026 10:55:50</t>
  </si>
  <si>
    <t>830014588</t>
  </si>
  <si>
    <t>Brillo Institucional SAS</t>
  </si>
  <si>
    <t>aa5a3172a25d1cc56994b0a83725d87f54f980ca9f985c0dc693a2e3c33e329497dbdfbe2c440fb380cd77c38298d641</t>
  </si>
  <si>
    <t>107589</t>
  </si>
  <si>
    <t>27-02-2026 10:55:55</t>
  </si>
  <si>
    <t>832000464</t>
  </si>
  <si>
    <t>Visionamos Salud Centro De Diagnostico Clinico SAS</t>
  </si>
  <si>
    <t>aee90a39a9b7852f2e5c6781a5cb771073546d862458ad39f15f4d0bea4ff3ab7475f95a65e062892e0a701068ea1403</t>
  </si>
  <si>
    <t>107590</t>
  </si>
  <si>
    <t>27-02-2026 10:55:59</t>
  </si>
  <si>
    <t>814d218d981302db9413878e89591267382b7d62cac25f3bf9db38b97232a427c1f3a4c012841636cb65f08a0c985fc2</t>
  </si>
  <si>
    <t>107591</t>
  </si>
  <si>
    <t>27-02-2026 12:12:52</t>
  </si>
  <si>
    <t>830015820</t>
  </si>
  <si>
    <t>Dental 83 SAS</t>
  </si>
  <si>
    <t>11e97aa13f669f614e776694eceada9d35130b00f6a101453b50d23dd4c331f24caaf34db2d6416c56a3f27e22cb6a83</t>
  </si>
  <si>
    <t>107592</t>
  </si>
  <si>
    <t>27-02-2026 12:41:33</t>
  </si>
  <si>
    <t>PAGO EN EL SISTEMA  2/03/2026</t>
  </si>
  <si>
    <t>af329642101ae8d84b86ed7803abaa200a7eddd348cf68db4c662537c5bcf7bba2de5413925f3d405024673c43a26025</t>
  </si>
  <si>
    <t>107593</t>
  </si>
  <si>
    <t>27-02-2026 14:26:48</t>
  </si>
  <si>
    <t>89266b3eb3cd357c4f51b239849bae6fa99ac64339a14d4880aa92ec920c8fffeb5f43f920d2f7c15b8d475099f31c30</t>
  </si>
  <si>
    <t>107594</t>
  </si>
  <si>
    <t>27-02-2026 15:12:09</t>
  </si>
  <si>
    <t>900299947</t>
  </si>
  <si>
    <t>Silvher SAS</t>
  </si>
  <si>
    <t>a7ef979a9cd7d7b33845cda1ca7d0300742b7ddacb9c5ab3eb620531e1ce7d2bc10275fdb5b365acae35294a0f1752a2</t>
  </si>
  <si>
    <t>107595</t>
  </si>
  <si>
    <t>27-02-2026 15:27:15</t>
  </si>
  <si>
    <t>830079015</t>
  </si>
  <si>
    <t>Meltec Comunicaciones SAS</t>
  </si>
  <si>
    <t>1ccd4e75f2e1a0a6647b6d9b03bdf54800cc76100c0830b4243c279e69def51461b7aefd5aa0c8c9f9ce343868952158</t>
  </si>
  <si>
    <t>107596</t>
  </si>
  <si>
    <t>27-02-2026 15:42:27</t>
  </si>
  <si>
    <t>Detalles para Cuenta de 1 ACUSE - Nombre Receptor: Aon Risk Services Colombia S A Corredores De Seguros Pero Podra Girar Bajo La Sigla Aon Colombia S A, 1 ACUSE: X</t>
  </si>
  <si>
    <t>(Varios elementos)</t>
  </si>
  <si>
    <t>Cuenta de 1 ACUSE</t>
  </si>
  <si>
    <t>Suma de Total</t>
  </si>
  <si>
    <t>Total Adecco Colombia S A</t>
  </si>
  <si>
    <t>Total Adecco Servicios Colombia S A</t>
  </si>
  <si>
    <t>Total Aecsa SAS</t>
  </si>
  <si>
    <t>Total Aon Risk Services Colombia S A Corredores De Seguros Pero Podra Girar Bajo La Sigla Aon Colombia S A</t>
  </si>
  <si>
    <t>Total Applus Norcontrol Colombia Limitada</t>
  </si>
  <si>
    <t>Total Asociacion De Egresados De La Universidad De Los Andes Uniandinos</t>
  </si>
  <si>
    <t>Total Autogermana SAS</t>
  </si>
  <si>
    <t>Total Automundial SA</t>
  </si>
  <si>
    <t>Total Banco Gnb Sudameris S A</t>
  </si>
  <si>
    <t>Total Boticario Colombia S A S</t>
  </si>
  <si>
    <t>Total Carbe SAS</t>
  </si>
  <si>
    <t>Total Carboinsa SAS</t>
  </si>
  <si>
    <t>Total Centros Medicos Colsanitas S A S</t>
  </si>
  <si>
    <t>Total Ceramica San Lorenzo Industrial De Colombia SA</t>
  </si>
  <si>
    <t>Total Challenger SAS</t>
  </si>
  <si>
    <t>Total Clinica Colsanitas SA</t>
  </si>
  <si>
    <t>Total Clinica Dental Keralty SAS</t>
  </si>
  <si>
    <t>Total Club Campestre El Rancho</t>
  </si>
  <si>
    <t>Total Coala Arquitectura Y Construccion SAS</t>
  </si>
  <si>
    <t>Total Comercializadora Internacional Milpa SA</t>
  </si>
  <si>
    <t>Total Compañia De Medicina Prepagada Colsanitas SA</t>
  </si>
  <si>
    <t>Total Confederacion Colombiana De Camaras De Comercio Confecamaras</t>
  </si>
  <si>
    <t>Total Creative Colors SA</t>
  </si>
  <si>
    <t>Total CYC Trading SAS</t>
  </si>
  <si>
    <t>Total Distribuidora Y Editora Richmond SAS</t>
  </si>
  <si>
    <t>Total Doble A Ingenieria SAS</t>
  </si>
  <si>
    <t>Total Don Maiz SAS</t>
  </si>
  <si>
    <t>Total Editorial Santillana SAS</t>
  </si>
  <si>
    <t>Total Educactiva SAS</t>
  </si>
  <si>
    <t>Total Efectimedios SAS</t>
  </si>
  <si>
    <t>Total Endress+Hauser Colombia SAS</t>
  </si>
  <si>
    <t>Total Enfragen Colombia SAS</t>
  </si>
  <si>
    <t>Total Esenttia Masterbatch Ltda</t>
  </si>
  <si>
    <t>Total Federacion Colombiana De Golf</t>
  </si>
  <si>
    <t>Total Finanzauto SA BIC</t>
  </si>
  <si>
    <t>Total Flota La Macarena SA</t>
  </si>
  <si>
    <t>Total Fresenius Medical Care Andina SAS</t>
  </si>
  <si>
    <t xml:space="preserve">Total Fundacion Colegio Anglo Colombiano </t>
  </si>
  <si>
    <t>Total Grupo Babel Colombia SAS</t>
  </si>
  <si>
    <t>Total Grupo Empresarial Oikos SAS</t>
  </si>
  <si>
    <t>Total Heel Colombia Ltda</t>
  </si>
  <si>
    <t>Total Howden Corredores De Seguros SA</t>
  </si>
  <si>
    <t>Total IA4 SAS</t>
  </si>
  <si>
    <t>Total Idom Consulting Engineering Architecture SAU</t>
  </si>
  <si>
    <t xml:space="preserve">Total Ifx Networks Colombia S A S </t>
  </si>
  <si>
    <t>Total Industrias De Refrigeracion Comercial SA Indufrial SA Reorganizacion Empresarial</t>
  </si>
  <si>
    <t>Total IRCC SAS Industria De Restaurantes Casuales SAS</t>
  </si>
  <si>
    <t>Total Kaeser Compresores De Colombia SAS</t>
  </si>
  <si>
    <t>Total Kantar Worldpanel Peru SA Sucursal Colombia</t>
  </si>
  <si>
    <t>Total Kata SAS</t>
  </si>
  <si>
    <t xml:space="preserve">Total Keralty SAS </t>
  </si>
  <si>
    <t>Total Lamitech SAS</t>
  </si>
  <si>
    <t>Total Lineas Tecnicas De Cargamentos SAS</t>
  </si>
  <si>
    <t>Total Lipesa Colombia SAS</t>
  </si>
  <si>
    <t>Total Manufacturas Eliot SAS</t>
  </si>
  <si>
    <t>Total Mapfre Seguros Generales De Colombia SA</t>
  </si>
  <si>
    <t>Total Mondi Cartagena SAS</t>
  </si>
  <si>
    <t>Total Mullen Lowe Ssp3 SAS</t>
  </si>
  <si>
    <t>Total Novomatic Gaming Colombia SAS</t>
  </si>
  <si>
    <t>Total Otis Elevator Company Colombia SAS</t>
  </si>
  <si>
    <t>Total Pa Colombia SAS</t>
  </si>
  <si>
    <t>Total Palmar Del Oriente SAS</t>
  </si>
  <si>
    <t>Total Panamericana Outsourcing SA</t>
  </si>
  <si>
    <t>Total Paneltec SAS</t>
  </si>
  <si>
    <t>Total Patrimonios Autonomos Fiduciaria Bancolombia SA Sociedad Fiduciaria</t>
  </si>
  <si>
    <t>Total Permoda Ltda</t>
  </si>
  <si>
    <t>Total Pinturas Tito Pabon SAS</t>
  </si>
  <si>
    <t>Total Pricewaterhousecoopers Asesores Gerenciales SAS</t>
  </si>
  <si>
    <t>Total Pricewaterhousecoopers Information Services SAS</t>
  </si>
  <si>
    <t>Total Pricewaterhousecoopers Servicios Legales Y Tributarios SAS</t>
  </si>
  <si>
    <t>Total Promotora Caledonia SAS</t>
  </si>
  <si>
    <t>Total Prosegur Vigilancia Y Seguridad Privada LTDA</t>
  </si>
  <si>
    <t>Total Puerto Pimsa SA</t>
  </si>
  <si>
    <t>Total Pwc Contadores Y Auditores SAS</t>
  </si>
  <si>
    <t>Total Racafe &amp; Cia SCA</t>
  </si>
  <si>
    <t>Total Robert Bosch Ltda</t>
  </si>
  <si>
    <t>Total SAS Auditores &amp; Consultores SAS</t>
  </si>
  <si>
    <t>106973</t>
  </si>
  <si>
    <t>Total Scania Colombia SAS</t>
  </si>
  <si>
    <t>Total Securitas Colombia SA</t>
  </si>
  <si>
    <t>Total Siderurgica Del Occidente SAS Sidoc SAS</t>
  </si>
  <si>
    <t>Total Sistemas Colombia SAS</t>
  </si>
  <si>
    <t>Total Soberana SAS</t>
  </si>
  <si>
    <t>Total Solvo SAS</t>
  </si>
  <si>
    <t>Total Somos Bogota Usme SAS</t>
  </si>
  <si>
    <t>Total Teleset SAS</t>
  </si>
  <si>
    <t>Total Thomas Processing &amp; System SAS</t>
  </si>
  <si>
    <t>Total Transportes Humadea SAS</t>
  </si>
  <si>
    <t>Total Universidad Santo Tomas</t>
  </si>
  <si>
    <t>Total Fresenius Medical Care SAS</t>
  </si>
  <si>
    <t>Total Inversiones En Recreacion Deporte Y Salud SA</t>
  </si>
  <si>
    <t>Total Plasticos Tecnicos SAS Pero Podra Emplear El Nombre Plastitec SAS</t>
  </si>
  <si>
    <t>Total Corporacion San Isidro</t>
  </si>
  <si>
    <t>Total Schneider Electric De Colombia S A S</t>
  </si>
  <si>
    <t>Total Saufer Soluciones SAS</t>
  </si>
  <si>
    <t>Total Cas Colombo American School SAS</t>
  </si>
  <si>
    <t>Total Acciones Y Valores SA Comisionista De Bolsa</t>
  </si>
  <si>
    <t>Total Actual Colombia Inmobiliaria SAS</t>
  </si>
  <si>
    <t>Total Quimicos Integrales SAS</t>
  </si>
  <si>
    <t>Total Fundacion Universidad De Bogota Jorge Tadeo Lozano</t>
  </si>
  <si>
    <t>Total Sed International De Colombia S.A.S</t>
  </si>
  <si>
    <t>Total Medios Y Servicios Integrados  M I S Ltda</t>
  </si>
  <si>
    <t>Total Fundacion Amigos Del Teatro Mayor</t>
  </si>
  <si>
    <t>Total Compañia De Seguros Bolivar SA</t>
  </si>
  <si>
    <t>Total Hp Colombia SAS</t>
  </si>
  <si>
    <t>Total Texsa De Colombia SA</t>
  </si>
  <si>
    <t>Total Dromos Pavimentos SAS</t>
  </si>
  <si>
    <t xml:space="preserve">Total Supermastick SAS </t>
  </si>
  <si>
    <t>Total Logytech Mobile SAS</t>
  </si>
  <si>
    <t>Total Nicomar Electronics SAS</t>
  </si>
  <si>
    <t>Total Valrex SAS</t>
  </si>
  <si>
    <t>Total Centak Export Zf SAS</t>
  </si>
  <si>
    <t>Total Ingram Micro S.A.S</t>
  </si>
  <si>
    <t>Total Correcol Corredores Colombianos De Seguros Corredores De Seguros SA</t>
  </si>
  <si>
    <t>Total Esenttia SA</t>
  </si>
  <si>
    <t>Total Industrias Ivor SA Casa Inglesa</t>
  </si>
  <si>
    <t xml:space="preserve">Total Fundacion Universitaria Compensar </t>
  </si>
  <si>
    <t>Total Ingeniería Y Tecnología De Servicios SAS</t>
  </si>
  <si>
    <t>Total GYJ Ferreterias S A</t>
  </si>
  <si>
    <t>Total ByD Motor Colombia SAS</t>
  </si>
  <si>
    <t>Total Universidad EAN</t>
  </si>
  <si>
    <t>Total Asistencias Y Servicios Automatizados Ya SAS</t>
  </si>
  <si>
    <t>Total Ci Energia Solar SAS Es Windows</t>
  </si>
  <si>
    <t>Total Qmax Solutions Colombia</t>
  </si>
  <si>
    <t>Total Vicpar SA</t>
  </si>
  <si>
    <t>Total Natura Cosmeticos LTDA</t>
  </si>
  <si>
    <t>Total Sky Logistica Integral S A S</t>
  </si>
  <si>
    <t>Total Esmeraldas Mining Services SAS</t>
  </si>
  <si>
    <t>Total Preflex SAS</t>
  </si>
  <si>
    <t>Total Equipos Y Controles Industriales SA</t>
  </si>
  <si>
    <t>Total Gas Zipa SAS ESP</t>
  </si>
  <si>
    <t>Total Dynamo Producciones SAS</t>
  </si>
  <si>
    <t>Total NTT Data Colombia SAS</t>
  </si>
  <si>
    <t>Total Sabanalac SAS</t>
  </si>
  <si>
    <t>Total Axionlog SAS</t>
  </si>
  <si>
    <t xml:space="preserve">Total Hospital Universitario San Ignacio </t>
  </si>
  <si>
    <t>Total Road Track De Colombia SAS</t>
  </si>
  <si>
    <t>Total Asesorias Servicios Ecologicos E Industriales SAS</t>
  </si>
  <si>
    <t>Total Empresa Colombiana De Productos Veterinarios SA Vecol SA</t>
  </si>
  <si>
    <t>Total Philaac SAS</t>
  </si>
  <si>
    <t>Total Onboard Logistics Colombia SAS</t>
  </si>
  <si>
    <t>Total Biotoscana Farma SA</t>
  </si>
  <si>
    <t>Total Godoy Cordoba Abogados SAS</t>
  </si>
  <si>
    <t>Total Avenida Colombia Management Company SAS</t>
  </si>
  <si>
    <t>Total Ajecolombia SAS</t>
  </si>
  <si>
    <t>Total Pan Pa Ya LTDA</t>
  </si>
  <si>
    <t>Total Distribuidora Toyota SAS</t>
  </si>
  <si>
    <t>Total Miniso Colombia SAS</t>
  </si>
  <si>
    <t>Total Licencias On Line SAS</t>
  </si>
  <si>
    <t>Total Fundacion Hospital De La Misericordia</t>
  </si>
  <si>
    <t>Total Hidrocarburos Del Casanare SAS</t>
  </si>
  <si>
    <t>Total Bogota Movil Operacion Sur SAS</t>
  </si>
  <si>
    <t>Total E-Somos Fontibon SAS</t>
  </si>
  <si>
    <t>Total Salud, Riesgos Y Recursos Humanos Consultores Ltda</t>
  </si>
  <si>
    <t>Total Prosegur Gestion De Activos Colombia SAS</t>
  </si>
  <si>
    <t>Total Ingenieria Y Servicios Tecnicos Seringtec SAS</t>
  </si>
  <si>
    <t>Total Parque Industrial Malambo SA</t>
  </si>
  <si>
    <t>Total Sky Industrial SAS</t>
  </si>
  <si>
    <t>Total Bancolombia SA</t>
  </si>
  <si>
    <t>Total Texart SAS</t>
  </si>
  <si>
    <t>Total Corporacion Social Medica Sanitas</t>
  </si>
  <si>
    <t>Total Agroinsumos Alfa SAS</t>
  </si>
  <si>
    <t>Total Puma Energy Colombia Combustibles SAS</t>
  </si>
  <si>
    <t>Total Mexichem Colombia SAS</t>
  </si>
  <si>
    <t>Total Pavco De Occidente SAS</t>
  </si>
  <si>
    <t>Total Caja De Compensacion Familiar Compensar</t>
  </si>
  <si>
    <t>Total Fabrica De Especias Y Productos El Rey SA</t>
  </si>
  <si>
    <t>Total Inversiones Libra SA</t>
  </si>
  <si>
    <t>Total Corporacion Centro De Investigacion En Palma De Aceite Cenipalma</t>
  </si>
  <si>
    <t>Total Deceuninck SAS</t>
  </si>
  <si>
    <t>Total Consorcio Metalurgico Nacional SAS</t>
  </si>
  <si>
    <t>Total Arturo Calle Zona Franca SAS</t>
  </si>
  <si>
    <t>Total Operadora Habitel S A S</t>
  </si>
  <si>
    <t>Total Alcanos De Colombia SA ESP</t>
  </si>
  <si>
    <t>Total Agp Representaciones SAS</t>
  </si>
  <si>
    <t>Total Hpe Financial Services Colombia Llc Sucursal  Colombia</t>
  </si>
  <si>
    <t>Total Mass Digital SAS</t>
  </si>
  <si>
    <t>Total Universidad De La Salle</t>
  </si>
  <si>
    <t>Total Productos Alimenticios El Recreo SAS</t>
  </si>
  <si>
    <t>Total Laboratorio Internacional De Colombia SAS</t>
  </si>
  <si>
    <t>Total Grupo Decor SAS</t>
  </si>
  <si>
    <t>Total general</t>
  </si>
  <si>
    <t>Cuenta de 2 ACUSE</t>
  </si>
  <si>
    <t>Total Administradora Clinica La Colina S A S</t>
  </si>
  <si>
    <t>Total Administradora Country SAS</t>
  </si>
  <si>
    <t>Total Caja Colombiana De Subsidio Familiar Colsubsidio</t>
  </si>
  <si>
    <t>Total Colombian Shared Services SAS</t>
  </si>
  <si>
    <t>Total Congregacion De Hermanas De Caridad Dominicas De La Representacion De La Santisima Virgen</t>
  </si>
  <si>
    <t>Total Esmeraldas De Los Andes SAS</t>
  </si>
  <si>
    <t>Total Fitness24seven Colombia S A S</t>
  </si>
  <si>
    <t>Total Geodis Colombia LTDA</t>
  </si>
  <si>
    <t>Total Industria Nacional De Gaseosas SA</t>
  </si>
  <si>
    <t>Total Inverleoka SAS</t>
  </si>
  <si>
    <t xml:space="preserve">Total Salitre Plaza Centro Comercial Propiedad Horizontal </t>
  </si>
  <si>
    <t>Total Sofka Technologies SAS</t>
  </si>
  <si>
    <t>Total Universidad De La Sabana</t>
  </si>
  <si>
    <t>Total Banco Jpmorgan Colombia SA</t>
  </si>
  <si>
    <t>Total Prosegur Tecnologia SAS</t>
  </si>
  <si>
    <t>Total Fundacion Universidad Del Norte</t>
  </si>
  <si>
    <t>Total Amarey Nova Medical SA</t>
  </si>
  <si>
    <t>Total S3 Simple Smart Speedy SAS</t>
  </si>
  <si>
    <t>Total C I Importex SA</t>
  </si>
  <si>
    <t>Total Comercial Allan SAS</t>
  </si>
  <si>
    <t>Total Mccann Erickson Corporation SA</t>
  </si>
  <si>
    <t>Total Promotora Barlovento Del Mar SAS</t>
  </si>
  <si>
    <t>Total Takai SAS</t>
  </si>
  <si>
    <t>Total Servihosp LTDA</t>
  </si>
  <si>
    <t>Total Fraco Fabrica Colombiana De Repuestos Automotores SA Fraco SA</t>
  </si>
  <si>
    <t>Total Bogota Limpia SAS ESP</t>
  </si>
  <si>
    <t>Total Novatecnica SAS</t>
  </si>
  <si>
    <t>Total Soto Sinisterra SAS</t>
  </si>
  <si>
    <t>Cuenta de 3 ACUSE</t>
  </si>
  <si>
    <t>Total Accion Sociedad Fiduciaria SA</t>
  </si>
  <si>
    <t>Total Agrointegral Andina SAS</t>
  </si>
  <si>
    <t>Total Agunsa Colombia SAS</t>
  </si>
  <si>
    <t>Total Asociacion Para La Enseñanza Aspaen</t>
  </si>
  <si>
    <t>Total Atp Ingenieria SAS En Reorganizacion</t>
  </si>
  <si>
    <t>Total Bel Star SA</t>
  </si>
  <si>
    <t>Total Bigfoot Colombia SAS</t>
  </si>
  <si>
    <t>Total Bold Co SAS</t>
  </si>
  <si>
    <t>Total Boydorr SAS</t>
  </si>
  <si>
    <t>Total BR Group SA</t>
  </si>
  <si>
    <t>Total Casahidalgo Constructores SAS</t>
  </si>
  <si>
    <t>Total Centro Medico Oftalmologico Y Laboratorio Clinico Andrade Narvaez Sociedad Por Acciones Simplificada</t>
  </si>
  <si>
    <t>Total Clinicos Programas De Atencion Integral SAS IPS</t>
  </si>
  <si>
    <t>Total Colinagro SA</t>
  </si>
  <si>
    <t>Total Comercializadora Colombiana De Carbones Y Coques SAS C I</t>
  </si>
  <si>
    <t>Total Compañia De Seguros Colsanitas SA</t>
  </si>
  <si>
    <t xml:space="preserve">Total Consultec International Sucursal Colombia </t>
  </si>
  <si>
    <t>Total Cooperativa De Empleados de Cafam</t>
  </si>
  <si>
    <t>Total Coopervision Colombia SAS</t>
  </si>
  <si>
    <t>Total Data File SA</t>
  </si>
  <si>
    <t>Total Eli Lilly Interamerica Inc</t>
  </si>
  <si>
    <t>Total Empresa Colombiana De Clavos Emcoclavos SAS</t>
  </si>
  <si>
    <t>Total Epiroc Colombia SAS</t>
  </si>
  <si>
    <t>Total Eulen Colombia SA</t>
  </si>
  <si>
    <t>Total Flores De Serrezuela SAS</t>
  </si>
  <si>
    <t>Total Gate Gourmet Colombia SAS</t>
  </si>
  <si>
    <t>Total Gi-In Positiva 2024</t>
  </si>
  <si>
    <t>Total Grupo Empresarial En Linea S.A.</t>
  </si>
  <si>
    <t>Total Holland &amp; Knight Colombia SAS</t>
  </si>
  <si>
    <t>Total Impacta Btl S A S</t>
  </si>
  <si>
    <t>Total Indra Colombia SAS</t>
  </si>
  <si>
    <t>Total Inemec SAS</t>
  </si>
  <si>
    <t>Total Interasesores Asesores Empresariales Administrativos SA</t>
  </si>
  <si>
    <t>Total Inversiones Esteban Y Cia S En CS</t>
  </si>
  <si>
    <t>Total K2 Ingenieria SAS</t>
  </si>
  <si>
    <t>Total Kaizen Group Ingenieria SAS</t>
  </si>
  <si>
    <t>Total Knauf De Colombia SAS</t>
  </si>
  <si>
    <t>Total L&amp;D Equipos Y Fundaciones SAS</t>
  </si>
  <si>
    <t>Total LM Instruments SA</t>
  </si>
  <si>
    <t>Total Logiztik Alliance Group SAS</t>
  </si>
  <si>
    <t>Total Metaza SAS</t>
  </si>
  <si>
    <t>Total Nardiplast SAS</t>
  </si>
  <si>
    <t>Total Novasoft S A S</t>
  </si>
  <si>
    <t>Total Ortiz Construcciones Y Proyectos SA Sucursal Colombia</t>
  </si>
  <si>
    <t>Total Palmeras Del Llano SAS Bic</t>
  </si>
  <si>
    <t>Total Partequipos S A S</t>
  </si>
  <si>
    <t>Total Pear Solutions SA</t>
  </si>
  <si>
    <t>Total Procibernetica SA</t>
  </si>
  <si>
    <t>Total Quironprevencion Colombia SAS</t>
  </si>
  <si>
    <t>Total Saenz Fety S A S</t>
  </si>
  <si>
    <t>Total Servimeters SAS</t>
  </si>
  <si>
    <t>Total Servioptica SAS</t>
  </si>
  <si>
    <t>Total Sociedad Operadora 72 Gran Hotel SAS</t>
  </si>
  <si>
    <t>Total Sten Colombia Sistemas Tecnicos De Encofrados SAS</t>
  </si>
  <si>
    <t>Total Thermoform SAS</t>
  </si>
  <si>
    <t>Total Transborder SAS</t>
  </si>
  <si>
    <t>Total T-Vapan 500 S A S</t>
  </si>
  <si>
    <t>Total Yanbal De Colombia SAS</t>
  </si>
  <si>
    <t>Total Massy Energy Colombia SAS</t>
  </si>
  <si>
    <t>Total Duquesa SAS BIC</t>
  </si>
  <si>
    <t>Total Axure Technologies SA</t>
  </si>
  <si>
    <t>Total Excellence Logging Latin America Limited, Sucursal Colombiana</t>
  </si>
  <si>
    <t>Total Universidad El Bosque</t>
  </si>
  <si>
    <t>Total Clinica Nuestra Señora De La Paz</t>
  </si>
  <si>
    <t>Total Industria Ambiental SAS</t>
  </si>
  <si>
    <t>Total Alimentos Balanceados Tequendama SA Albateq SA</t>
  </si>
  <si>
    <t>Total Quad Graphics Colombia SAS</t>
  </si>
  <si>
    <t>Total Farmatodo Colombia SAS</t>
  </si>
  <si>
    <t>Total Levare Services Ltd Sucursal Colombia</t>
  </si>
  <si>
    <t>Total Business And Quality Services SAS</t>
  </si>
  <si>
    <t>Total Ferricentros SAS</t>
  </si>
  <si>
    <t>Total Vavilco SAS</t>
  </si>
  <si>
    <t>Total Constructora Obreval SA</t>
  </si>
  <si>
    <t>Total Imc Cargo International S A S</t>
  </si>
  <si>
    <t>Total Logimat S A S</t>
  </si>
  <si>
    <t>Total Consorcio Ruta 40</t>
  </si>
  <si>
    <t>Total Ecologistica SAS Empresa De Servicios Publicos Ecologistica SAS ESP</t>
  </si>
  <si>
    <t>Total Credicorp Capital Colombia SA</t>
  </si>
  <si>
    <t>Total Concentrix Cvg Customer Management Colombia SAS</t>
  </si>
  <si>
    <t>Total Comercializadora Arturo Calle SAS</t>
  </si>
  <si>
    <t>Total Sulzer Pumps Colombia SAS</t>
  </si>
  <si>
    <t>Total Central De Insumos Y Materias Primas Para La Industria Alimentaria SAS</t>
  </si>
  <si>
    <t xml:space="preserve">Total Xcb De Colombia Limited Sucursal Colombiana </t>
  </si>
  <si>
    <t>Total Distribuidora Mayorista De Automoviles Madiautos SAS</t>
  </si>
  <si>
    <t>Total G Barco SA</t>
  </si>
  <si>
    <t>Total Linktic SAS</t>
  </si>
  <si>
    <t>Total Soluciones Y Servicios De Procedimiento Y Operacion De Tecnologia SAS</t>
  </si>
  <si>
    <t>Total Aei Arquitectura E Interiores SAS</t>
  </si>
  <si>
    <t>Total Confipetrol SAS</t>
  </si>
  <si>
    <t>Total Marketing Services De Colombia SAS</t>
  </si>
  <si>
    <t>Total Pash SAS</t>
  </si>
  <si>
    <t xml:space="preserve">Total Syntofarma S A </t>
  </si>
  <si>
    <t xml:space="preserve">Total La Equidad Seguros Generales Organismo Cooperativo </t>
  </si>
  <si>
    <t>Total Ab Proyectos Propiedad Horizontal</t>
  </si>
  <si>
    <t>Total E-Somos Alimentacion SAS</t>
  </si>
  <si>
    <t>Total Entidad Promotora De Salud Sanitas SAS</t>
  </si>
  <si>
    <t>Total Oftalmosanitas SAS</t>
  </si>
  <si>
    <t>Total Aquamech System SAS</t>
  </si>
  <si>
    <t>Total Breakfast Tbl SAS</t>
  </si>
  <si>
    <t>Total Rentacomputo SAS</t>
  </si>
  <si>
    <t>Total Am Medical SAS</t>
  </si>
  <si>
    <t>Total Ambientti Constructora Inmobiliaria S A S</t>
  </si>
  <si>
    <t>Total Baterias Willard SA</t>
  </si>
  <si>
    <t>Total S Y Z Colombia SAS</t>
  </si>
  <si>
    <t>Total Ronda SAS</t>
  </si>
  <si>
    <t>Total Cameleco SAS</t>
  </si>
  <si>
    <t>Total Manufacturas Reymon SA</t>
  </si>
  <si>
    <t>Total Tcs Uruguay SA Sucursal Colombia</t>
  </si>
  <si>
    <t>Total Constructora Experta SAS</t>
  </si>
  <si>
    <t>Total Industria Nacional De Agregados Reciclados SAS</t>
  </si>
  <si>
    <t>Total Productos El Tomatico SAS</t>
  </si>
  <si>
    <t>Total Servicios Especializados De Tecnologia E Informatica SETI SAS</t>
  </si>
  <si>
    <t>Total Laboratorios De Especialidades Cosmeticas Esko Ltda</t>
  </si>
  <si>
    <t xml:space="preserve">Total Grupo Microsistemas Colombia SAS </t>
  </si>
  <si>
    <t>Total Yunex SAS</t>
  </si>
  <si>
    <t>Total Centro De Control De Cancer SAS</t>
  </si>
  <si>
    <t>Total Laboratorios Bussie SA</t>
  </si>
  <si>
    <t xml:space="preserve">Total Alkhorayef Petroleum Colombia </t>
  </si>
  <si>
    <t>Total Union Temporal Actores Electorales 2026</t>
  </si>
  <si>
    <t>Total Centro Comercial Plaza De Las Americas-Propiedad Horizontal</t>
  </si>
  <si>
    <t>Total Provenzal SAS</t>
  </si>
  <si>
    <t>Total Grupo Eds Autogas SAS</t>
  </si>
  <si>
    <t>Total Pamacol Technologies SAS</t>
  </si>
  <si>
    <t>Total Hoteles Bogota Plaza SAS</t>
  </si>
  <si>
    <t>Total Century Sports SAS</t>
  </si>
  <si>
    <t>Total Madeformas SAS</t>
  </si>
  <si>
    <t>Total Vitro Colombia SAS</t>
  </si>
  <si>
    <t>Total Honor Servicios De Seguridad Limitada</t>
  </si>
  <si>
    <t>Cuenta de SIN ACUSE</t>
  </si>
  <si>
    <t>Total 24K Global Logistics SAS</t>
  </si>
  <si>
    <t>Total ACI Proyectos SAS</t>
  </si>
  <si>
    <t>Total Agencia De Aduanas Abc Repecev SAS Nivel 1</t>
  </si>
  <si>
    <t>Total Agricultura Y Servicios S A S</t>
  </si>
  <si>
    <t>Total Algranel SA</t>
  </si>
  <si>
    <t>Total Alimentos Thearion Suqa SAS</t>
  </si>
  <si>
    <t>Total Aquia SAS</t>
  </si>
  <si>
    <t>Total Area Limpia Distrito Capital SAS E.S.P</t>
  </si>
  <si>
    <t>Total Astaf Auditores Y Consultores Contables SAS</t>
  </si>
  <si>
    <t>Total Banco Caja Social SA</t>
  </si>
  <si>
    <t>Total Bandas Y Elasticos Bandel SAS</t>
  </si>
  <si>
    <t>Total Bawer Company SAS</t>
  </si>
  <si>
    <t>Total Beauty International Brands SAS</t>
  </si>
  <si>
    <t>Total Belltech Colombia SA</t>
  </si>
  <si>
    <t>Total Bongo Analytics SAS</t>
  </si>
  <si>
    <t>Total Buk Col SAS</t>
  </si>
  <si>
    <t>Total Cabarria IQA SAS</t>
  </si>
  <si>
    <t>Total Castro Y Rincon SAS</t>
  </si>
  <si>
    <t>Total Centro Recreacional De Oficiales Bogota</t>
  </si>
  <si>
    <t>Total Cheil Colombia</t>
  </si>
  <si>
    <t>Total City Parking SAS</t>
  </si>
  <si>
    <t>Total Colnotex SAS</t>
  </si>
  <si>
    <t>Total Colombiana De Trasplantes SAS</t>
  </si>
  <si>
    <t>Total Comite Internacional De La Cruz Roja</t>
  </si>
  <si>
    <t>Total Compañia Internacional De Alimentos Agropecuarios Cialta SAS</t>
  </si>
  <si>
    <t>Total Comunican SA</t>
  </si>
  <si>
    <t>Total Conservation International Foundation</t>
  </si>
  <si>
    <t>Total Consorcio Intervial Andino</t>
  </si>
  <si>
    <t>Total Consorcio Mahfer</t>
  </si>
  <si>
    <t>Total Construcciones Arrecife SAS</t>
  </si>
  <si>
    <t>Total Cooperativa De Los Profesionales Coasmedas</t>
  </si>
  <si>
    <t>Total Cooperativa Del Magisterio Codema</t>
  </si>
  <si>
    <t>Total Cooperativa Especializada De Servicios De Vigilancia Cooservi CTA</t>
  </si>
  <si>
    <t xml:space="preserve">Total Cooperativa Nacional De Droguistas Detallistas </t>
  </si>
  <si>
    <t>Total Corpoeducacion</t>
  </si>
  <si>
    <t>Total Corporacion Cultural Alexander Von Humboldt Deutscher Schulverein</t>
  </si>
  <si>
    <t xml:space="preserve">Total Corporacion Universitaria De Asturias </t>
  </si>
  <si>
    <t xml:space="preserve">Total Covisian Colombia S A S </t>
  </si>
  <si>
    <t>Total CPO SA</t>
  </si>
  <si>
    <t>Total Criya SAS</t>
  </si>
  <si>
    <t>Total Croydon Colombia SA</t>
  </si>
  <si>
    <t>Total Cushman &amp; WaKefield Colombia SAS</t>
  </si>
  <si>
    <t>Total Deloitte &amp; Touche SAS</t>
  </si>
  <si>
    <t>Total Dental 83 SAS</t>
  </si>
  <si>
    <t>Total Dichter Neira Colombia SAS</t>
  </si>
  <si>
    <t>Total Duflo Servicios Integrales SAS</t>
  </si>
  <si>
    <t>Total Ecomarket SAS</t>
  </si>
  <si>
    <t>Total Elanco Colombia SAS</t>
  </si>
  <si>
    <t>Total Eliseo Urrego E Hijos SAS</t>
  </si>
  <si>
    <t>Total Embotelladora Capri Ltda</t>
  </si>
  <si>
    <t>Total Exportaciones Internacionales De Cargas  S A S</t>
  </si>
  <si>
    <t>Total Exro SAS</t>
  </si>
  <si>
    <t>Total Extractora Del Sur De Casanare SAS</t>
  </si>
  <si>
    <t>Total Fantasias Plasticas De Colombia Ltda</t>
  </si>
  <si>
    <t>Total Fondo De Empleados Fedeaa</t>
  </si>
  <si>
    <t>Total Fundacion De Copidrogas Para La Educacion Y La Asesoria Tecnica</t>
  </si>
  <si>
    <t>Total Fundacion Hematologica Colombia</t>
  </si>
  <si>
    <t>Total Gi Group Staffing SAS</t>
  </si>
  <si>
    <t>Total Goddard Catering Group Bogota SAS</t>
  </si>
  <si>
    <t>Total Goddard Catering Group Colombia SAS</t>
  </si>
  <si>
    <t>Total Gran Tierra Energy Colombia Gmbh Sucursal Colombia</t>
  </si>
  <si>
    <t>Total Grivan Ingenieria SA</t>
  </si>
  <si>
    <t>Total Grupo Aval Acciones Y Valores SA</t>
  </si>
  <si>
    <t>Total Grupo Mok Colombia SAS</t>
  </si>
  <si>
    <t>Total Guacamaya Energy Services S A S</t>
  </si>
  <si>
    <t>Total Hikvision Colombia SAS</t>
  </si>
  <si>
    <t>Total HY Cite Enterprises Colombia SAS</t>
  </si>
  <si>
    <t>Total Industria Comercial De Alimentos Nutrix SAS</t>
  </si>
  <si>
    <t>Total Industrias Spring SAS</t>
  </si>
  <si>
    <t>Total Inter Expo SA</t>
  </si>
  <si>
    <t>Total Inter Rapidisimo SA</t>
  </si>
  <si>
    <t>Total Intexus S A S</t>
  </si>
  <si>
    <t>Total Inversiones Mi Tierrita SAS</t>
  </si>
  <si>
    <t xml:space="preserve">Total Inversiones Rueda Angel Limitada </t>
  </si>
  <si>
    <t>Total Inzignia Construction SA</t>
  </si>
  <si>
    <t>Total Jmv Construktora SAS</t>
  </si>
  <si>
    <t>Total Joyco SAS</t>
  </si>
  <si>
    <t>Total Kala Colombia S A S</t>
  </si>
  <si>
    <t>Total Knauf Distribuidora SAS</t>
  </si>
  <si>
    <t>Total Labodigital Colombia SAS</t>
  </si>
  <si>
    <t>Total Lincoln Soldaduras De Colombia Ltda</t>
  </si>
  <si>
    <t>Total Marcali SA</t>
  </si>
  <si>
    <t>Total Marketing E Inversiones SAS</t>
  </si>
  <si>
    <t>Total Merquimia Colombia SAS</t>
  </si>
  <si>
    <t>Total Messer Colombia SA</t>
  </si>
  <si>
    <t>Total Morand Servicios Legales Y De Impuestos SAS</t>
  </si>
  <si>
    <t>Total National Oilwell Varco De Colombia</t>
  </si>
  <si>
    <t>Total Novatec Solutions Ltda</t>
  </si>
  <si>
    <t>Total Oftalmos SA</t>
  </si>
  <si>
    <t>Total Omnitempus Limitada</t>
  </si>
  <si>
    <t>Total Orthopraxis SAS</t>
  </si>
  <si>
    <t>Total Otto Bock Healthcare Andina SAS</t>
  </si>
  <si>
    <t>Total Overnia S A S</t>
  </si>
  <si>
    <t>Total Papeles Primavera S A S</t>
  </si>
  <si>
    <t>Total Parko Services S.A</t>
  </si>
  <si>
    <t>Total Pasar Express SAS</t>
  </si>
  <si>
    <t>Total Pavimentos Colombia SAS</t>
  </si>
  <si>
    <t>Total Persea Colombia SAS</t>
  </si>
  <si>
    <t xml:space="preserve">Total Pidamos Marketing Total S A S </t>
  </si>
  <si>
    <t>Total Plasdecor SAS</t>
  </si>
  <si>
    <t>Total Plastinova SA</t>
  </si>
  <si>
    <t>Total Plazoleta Bazzani SAS</t>
  </si>
  <si>
    <t>Total Politecnico Grancolombiano</t>
  </si>
  <si>
    <t>Total Precisagro SAS</t>
  </si>
  <si>
    <t>Total Protex SAS</t>
  </si>
  <si>
    <t>Total Publicaciones Semana SA</t>
  </si>
  <si>
    <t>Total Risk Consulting Colombia SAS</t>
  </si>
  <si>
    <t>Total Rms Diseños Y Construccion SAS</t>
  </si>
  <si>
    <t>Total Robertet Andina S A S</t>
  </si>
  <si>
    <t>Total Rocket Multiservices SAS</t>
  </si>
  <si>
    <t>Total Ropim SAS</t>
  </si>
  <si>
    <t>Total Samsonite Colombia SAS</t>
  </si>
  <si>
    <t>Total Santiago Velez &amp; Asociados Corredores De Seguros SA</t>
  </si>
  <si>
    <t>Total Sec Latam Comunicaciones Estrategicas SAS</t>
  </si>
  <si>
    <t>Total Selecta Compañia De Cereales SAS</t>
  </si>
  <si>
    <t>Total Series SAS</t>
  </si>
  <si>
    <t>Total Sew Eurodrive Colombia Ltda</t>
  </si>
  <si>
    <t>Total Sikorsky Material Services LLC Sucursal Colombia</t>
  </si>
  <si>
    <t>Total Sociedad Colombiana De Pediatria</t>
  </si>
  <si>
    <t>Total Soenergy International Colombia SAS</t>
  </si>
  <si>
    <t>Total Soluciones Directivas Estrategicas Y Logisticas SAS</t>
  </si>
  <si>
    <t>Total Tecnologia Plastica Tecnosa SAS</t>
  </si>
  <si>
    <t>Total Tinello Capital SAS</t>
  </si>
  <si>
    <t>Total Tivit Colombia Tercerizacion De Procesos Servicios Y Tecnologia SAS</t>
  </si>
  <si>
    <t>Total Totalenergies Marketing Colombia SAS</t>
  </si>
  <si>
    <t>Total Trans Rubiales SAS</t>
  </si>
  <si>
    <t>Total U Fit SAS</t>
  </si>
  <si>
    <t xml:space="preserve">Total Uni2 Microcredito S A S </t>
  </si>
  <si>
    <t>Total Universidad Antonio Nariño</t>
  </si>
  <si>
    <t>Total Urban Colombia SAS</t>
  </si>
  <si>
    <t>Total V&amp;S Comercial SAS</t>
  </si>
  <si>
    <t>Total Varichem De Colombia G Environmental Proteccion Service SAS</t>
  </si>
  <si>
    <t>Total Versania Primera Infancia SAS</t>
  </si>
  <si>
    <t>Total Visionamos Salud Centro De Diagnostico Clinico SAS</t>
  </si>
  <si>
    <t>Total Visual Point SAS</t>
  </si>
  <si>
    <t>Total Weg Colombia S A S</t>
  </si>
  <si>
    <t>Total Wsp Colombia SAS</t>
  </si>
  <si>
    <t>Total Wsp Ingenieria Colombia SAS</t>
  </si>
  <si>
    <t>Total Zeven Logistics SAS</t>
  </si>
  <si>
    <t>Total Plus Ambiente SAS ESP</t>
  </si>
  <si>
    <t>Total Be Academy SAS</t>
  </si>
  <si>
    <t>Total Suministros E Impresos SAS</t>
  </si>
  <si>
    <t>Total Quimexcol Zona Franca SAS</t>
  </si>
  <si>
    <t xml:space="preserve">Total Masivo Capital SAS - En Reorganizacion </t>
  </si>
  <si>
    <t>Total Agroindustrial De Palma Aceitera SA Sucursal Colombia</t>
  </si>
  <si>
    <t>Total Ascensores Schindler De Colombia SAS</t>
  </si>
  <si>
    <t>Total Motored De Colombia SAS</t>
  </si>
  <si>
    <t>Total Vco S.A</t>
  </si>
  <si>
    <t>Total Marcali Sakura SAS</t>
  </si>
  <si>
    <t>Total Marcali Internacional SA</t>
  </si>
  <si>
    <t>Total Euro Marcali SAS</t>
  </si>
  <si>
    <t>Total Geocol Consultores SA</t>
  </si>
  <si>
    <t>Total Nestle De Colombia SA</t>
  </si>
  <si>
    <t>Total Ingetec Ingenieria &amp; Diseños SAS</t>
  </si>
  <si>
    <t>Total Representaciones Del Mundo SAS Repremundo</t>
  </si>
  <si>
    <t>Total Touring &amp; Automovil Club De Colombia Acc</t>
  </si>
  <si>
    <t xml:space="preserve">Total Comunidad Franciscana Provincia De La Santa Fe </t>
  </si>
  <si>
    <t>Total Flexon Estructuras Y Herrajes SAS</t>
  </si>
  <si>
    <t>Total Agroinversiones Bananeras Del Caribe SAS</t>
  </si>
  <si>
    <t>Total Grupo Agroindustrial Hacienda La Gloria SA Sucursal Colombia</t>
  </si>
  <si>
    <t xml:space="preserve">Total Healthy Servicios De Catering S A S </t>
  </si>
  <si>
    <t>Total Ip Ingenieria De Produccion SAS</t>
  </si>
  <si>
    <t>Total Buentipo Anchor Worldwide SAS</t>
  </si>
  <si>
    <t>Total Laboratorios Sophia De Colombia Ltda</t>
  </si>
  <si>
    <t>Total Industrial Aceitera Del Casanare SA Sucursal Colombia</t>
  </si>
  <si>
    <t>Total Extractora La Gloria SAS</t>
  </si>
  <si>
    <t>Total Agp Services SAS</t>
  </si>
  <si>
    <t>Total Universidad Cooperativa De Colombia</t>
  </si>
  <si>
    <t xml:space="preserve">Total Covinoc S A </t>
  </si>
  <si>
    <t>Total La Corporacion Colombiana De Investigacion Agropecuaria Agrosavia</t>
  </si>
  <si>
    <t>Total Colviseg Colombiana De Vigilancia Y Seguridad Ltda</t>
  </si>
  <si>
    <t>Total Sinnetic SAS</t>
  </si>
  <si>
    <t>Total Superpolo SAS</t>
  </si>
  <si>
    <t>Total Patria Investments Colombia SAS</t>
  </si>
  <si>
    <t>Total Dorfan SAS</t>
  </si>
  <si>
    <t>Total Apicom SAS</t>
  </si>
  <si>
    <t>Total Agroinsumos WM SAS</t>
  </si>
  <si>
    <t>Total Nutrabiotics SAS</t>
  </si>
  <si>
    <t>Total Constructora Las Galias S A S</t>
  </si>
  <si>
    <t>Total Camara De Riesgo Central De Contraparte De Colombia S A</t>
  </si>
  <si>
    <t>Total Axon Group Limitada</t>
  </si>
  <si>
    <t>Total La Font SAS</t>
  </si>
  <si>
    <t>Total Consorcio Sisben SV 2024</t>
  </si>
  <si>
    <t>Total Edificio Cervantes IV Propiedad Horizontal</t>
  </si>
  <si>
    <t>Total Jargu SA Corredores De Seguros</t>
  </si>
  <si>
    <t>Total Istituzione Leonardo Da Vinci</t>
  </si>
  <si>
    <t>Total Palmas De Tumaco SAS</t>
  </si>
  <si>
    <t>Total Andetech SAS</t>
  </si>
  <si>
    <t>Total Merquimia Internacional SAS</t>
  </si>
  <si>
    <t>Total Transportes Iceberg De Colombia SA</t>
  </si>
  <si>
    <t>Total Cosco Shipping Lines Colombia SAS</t>
  </si>
  <si>
    <t>Total Cavelier Abogados S A S</t>
  </si>
  <si>
    <t>Total Logistica Repremundo SAS</t>
  </si>
  <si>
    <t xml:space="preserve">Total Tecses S A S </t>
  </si>
  <si>
    <t>Total Congregacion De Los Hermanos De Las Escuelas Cristianas</t>
  </si>
  <si>
    <t>Total Manuelhmoreno SAS</t>
  </si>
  <si>
    <t>Total Eminss SAS</t>
  </si>
  <si>
    <t>Total Maurel &amp; Prom Colombia Sociedad Limitada Sucursal En Colombia</t>
  </si>
  <si>
    <t>Total Integral Solutions Sd S A S</t>
  </si>
  <si>
    <t>Total Restart USA Inc</t>
  </si>
  <si>
    <t>Total Mb Tech De Colombia SAS</t>
  </si>
  <si>
    <t>Total Alttek Colombia SAS</t>
  </si>
  <si>
    <t>Total Consorcio Constructor Autovia Neiva Girardot</t>
  </si>
  <si>
    <t>Total Wsp Consultoria SA</t>
  </si>
  <si>
    <t>Total Graneles Del Caribe SA</t>
  </si>
  <si>
    <t>Total Grupo De Entretenimiento La Unica SAS</t>
  </si>
  <si>
    <t>Total Wesco SAS</t>
  </si>
  <si>
    <t>Total Datalaft SAS</t>
  </si>
  <si>
    <t>Total Agencia De Aduanas Siaco SAS Nivel 1</t>
  </si>
  <si>
    <t>Total Domat SAS</t>
  </si>
  <si>
    <t>Total Inetum España SA Sucursal Colombia</t>
  </si>
  <si>
    <t>Total Retcom SAS</t>
  </si>
  <si>
    <t>Total Consultores Arquitectura Y Construcciones SAS</t>
  </si>
  <si>
    <t>Total Dr Reddy S Laboratories SAS</t>
  </si>
  <si>
    <t>Total Distribuidora Kiramar SAS</t>
  </si>
  <si>
    <t xml:space="preserve">Total Centro Internacional De Estudios En Seguros </t>
  </si>
  <si>
    <t>Total Green Emerald Mining Services SAS</t>
  </si>
  <si>
    <t>Total Terminal Terrestre De Carga De Bogota Oikos Ok</t>
  </si>
  <si>
    <t>Total Surenergy SAS ESP</t>
  </si>
  <si>
    <t>Total PM&amp;F Fishing Oil Services SA</t>
  </si>
  <si>
    <t>Total Alpopular Almacen General De Depositos SA Alpopular SA</t>
  </si>
  <si>
    <t>Total Mc Assets SAS</t>
  </si>
  <si>
    <t>Total Consorcio Monitoreos Ituango</t>
  </si>
  <si>
    <t>Total Agencia De Aduanas Asociacion Aduanera Internacional SAS Nivel 2</t>
  </si>
  <si>
    <t>Total Abastecedor Colombiano De Tejas Y Drywall SAS</t>
  </si>
  <si>
    <t>Total Services World SAS</t>
  </si>
  <si>
    <t>Total Ferricar SAS</t>
  </si>
  <si>
    <t>Total Concay SA</t>
  </si>
  <si>
    <t>Total Puffer Colombia</t>
  </si>
  <si>
    <t xml:space="preserve">Total Gmh Colombia S A S </t>
  </si>
  <si>
    <t>Total Asociacion Nacional De Comercio Exterior</t>
  </si>
  <si>
    <t>Total Bip Colombia SAS</t>
  </si>
  <si>
    <t>Total Centro Agropecuario E Insumos Los Pinos SAS</t>
  </si>
  <si>
    <t>Total Transportes Y Servicios Transer SAS</t>
  </si>
  <si>
    <t>Total Power Systems Services Global SAS</t>
  </si>
  <si>
    <t>Total Phoenix Tower International Colombia Ltda</t>
  </si>
  <si>
    <t>Total Despegar Colombia S A S</t>
  </si>
  <si>
    <t>Total Cuellar Serrano Gomez SA</t>
  </si>
  <si>
    <t>Total Hmv Ingenieros Ltda</t>
  </si>
  <si>
    <t>Total Consultec Offshore Zona Franca SAS</t>
  </si>
  <si>
    <t>Total Inti Red SAS</t>
  </si>
  <si>
    <t>Total Benjamin  Herrera</t>
  </si>
  <si>
    <t>Total Marketing Oil Company SAS</t>
  </si>
  <si>
    <t>Total Ramon Elias Betancourt Rojas</t>
  </si>
  <si>
    <t>Total Ana Milena Gonzalez Bonilla</t>
  </si>
  <si>
    <t>Total Rio Technology S.A.S</t>
  </si>
  <si>
    <t>Total Consorcio Gd Joyco Damaso</t>
  </si>
  <si>
    <t>Total Reditos Empresariales SA</t>
  </si>
  <si>
    <t>Total Banco Bilbao Vizcaya Argentaria Colombia SA</t>
  </si>
  <si>
    <t>Total Syscom Colombia SAS</t>
  </si>
  <si>
    <t>Total La Instrumentadora  SAS</t>
  </si>
  <si>
    <t>Total Edificio Centro De Negocios 77 - Propiedad Horizontal</t>
  </si>
  <si>
    <t>Total Fundacion Colombiana Para El Desarrollo Sigla Fucolde</t>
  </si>
  <si>
    <t>Total Ricova SAS</t>
  </si>
  <si>
    <t>Total Minex Compañia Internacional Sociedad Por Acciones Simplificada C I</t>
  </si>
  <si>
    <t>Total Monterra Productora Y Comercializadora Agroindustrial Colombiana SAS</t>
  </si>
  <si>
    <t>Total Smart Training Society SAS</t>
  </si>
  <si>
    <t>Total Vco SAS</t>
  </si>
  <si>
    <t>Total Gestor Capital Infra SAS</t>
  </si>
  <si>
    <t>Total Credibanco SA</t>
  </si>
  <si>
    <t>Total Operador Alia Sas</t>
  </si>
  <si>
    <t>Total Evolution Fitness Corporation S.A.S</t>
  </si>
  <si>
    <t>Total Gaseosas Lux SAS</t>
  </si>
  <si>
    <t>Total Cooperativa Multiactiva De Trabajadores Empleados Y Pensionados De Exxon</t>
  </si>
  <si>
    <t>Total Atanza SAS</t>
  </si>
  <si>
    <t>Total TPL Colombia Tld Sucursal Colombia</t>
  </si>
  <si>
    <t>Total Agencia De Aduanas Valley Customs SAS Nivel 1</t>
  </si>
  <si>
    <t xml:space="preserve">Total Inter Servicios S A S </t>
  </si>
  <si>
    <t>Total Interservice SA</t>
  </si>
  <si>
    <t>Total Intertek Colombia SA</t>
  </si>
  <si>
    <t>Total Mexichem Resinas Colombia SAS</t>
  </si>
  <si>
    <t>Total Sunrise Cargo SAS</t>
  </si>
  <si>
    <t>Total Bymedia SAS</t>
  </si>
  <si>
    <t>Total Mercantil Colpatria SA</t>
  </si>
  <si>
    <t>Total Ix Comercio Colombia SAS</t>
  </si>
  <si>
    <t>Total Thomas Seguridad Integral Ltda</t>
  </si>
  <si>
    <t>Total Express Luck Colombia SAS</t>
  </si>
  <si>
    <t>Total People Contact SAS En Reestructuracion</t>
  </si>
  <si>
    <t>Total Soluciones En Enfermeria Clinica SAS</t>
  </si>
  <si>
    <t>Total Price Res SAS</t>
  </si>
  <si>
    <t xml:space="preserve">Total P&amp;P Systems Colombia SAS En Reorganizacion </t>
  </si>
  <si>
    <t>Total Marsela  Lopez Ahumada</t>
  </si>
  <si>
    <t>Total Nm Fire Latin America SAS</t>
  </si>
  <si>
    <t>Total Cwt Ecenter Colombia SAS</t>
  </si>
  <si>
    <t>Total Continautos SAS</t>
  </si>
  <si>
    <t>Total Ayesa Ingenieria Y Arquitectura S A U Sucursal Colombia</t>
  </si>
  <si>
    <t>Total Promotora De Gases Del Sur S A ESP</t>
  </si>
  <si>
    <t>Total Consorcio Vial 2030</t>
  </si>
  <si>
    <t>Total Consorcio Intervial Sur</t>
  </si>
  <si>
    <t>Total Consorcio Red Ferrea Ij</t>
  </si>
  <si>
    <t>Total Consorcio Consultecnicos - Joyco</t>
  </si>
  <si>
    <t>Total Consorcio Cj 2020</t>
  </si>
  <si>
    <t>Total Servicios Petroleros Y Electronicos SAS</t>
  </si>
  <si>
    <t>Total Atech Bpo Slu Sucursal Colombia</t>
  </si>
  <si>
    <t>Total Ball Colombia Limitada</t>
  </si>
  <si>
    <t>Total BP Constructores SA</t>
  </si>
  <si>
    <t>Total Weg Colombia SAS</t>
  </si>
  <si>
    <t>Total Consorcio Vial JJ-ACI</t>
  </si>
  <si>
    <t>Total Fondo Para La Accion Ambiental Y La Niñez</t>
  </si>
  <si>
    <t>Total Vitral Textil SAS</t>
  </si>
  <si>
    <t>Total Colegio Mayor De Nuestra Señora Del Rosario</t>
  </si>
  <si>
    <t>Total Incosoft SAS Ingenieria</t>
  </si>
  <si>
    <t>Total Modum SAS</t>
  </si>
  <si>
    <t>Total Ingeurbe Gestora De Proyectos SAS</t>
  </si>
  <si>
    <t>Total Inversiones Viale 26 SAS</t>
  </si>
  <si>
    <t>Total Flores De Britania SAS</t>
  </si>
  <si>
    <t>Total Arpro Arquitectos Ingenieros SAS</t>
  </si>
  <si>
    <t>Total Aldeas Infantiles SOS Colombia</t>
  </si>
  <si>
    <t xml:space="preserve">Total Corporacion Colombia Crea Talento </t>
  </si>
  <si>
    <t>Total Valley Cargo SAS</t>
  </si>
  <si>
    <t>Total Valley Logistic SA</t>
  </si>
  <si>
    <t>Total Asesores De Servicios Y Proteccion Asep Limitada</t>
  </si>
  <si>
    <t>Total Consorcio La Inmaculada XXI</t>
  </si>
  <si>
    <t>Total Consorcio Nazaret</t>
  </si>
  <si>
    <t>Total Ikusi Redes Colombia SAS</t>
  </si>
  <si>
    <t>Total Estilo Ingenieria SA</t>
  </si>
  <si>
    <t>Total Inverfas SA</t>
  </si>
  <si>
    <t>Total A &amp; S Computadores SA Alquiler Y Servicio</t>
  </si>
  <si>
    <t>Total Itmcol SAS</t>
  </si>
  <si>
    <t>Total Longport Colombia Ltda</t>
  </si>
  <si>
    <t>Total Club El Rincon De Cajica</t>
  </si>
  <si>
    <t>Total Worley Colombia SAS</t>
  </si>
  <si>
    <t>Total Condor Specialty Coffee SAS</t>
  </si>
  <si>
    <t xml:space="preserve">Total Zona Franca Malambo SAS Usuario Operador De Zona Franca </t>
  </si>
  <si>
    <t>Total Unitoys Colombia SAS</t>
  </si>
  <si>
    <t>Total Corecard Colombia SAS</t>
  </si>
  <si>
    <t>Total Samercol SA</t>
  </si>
  <si>
    <t>Total Promotora Inmobiliaria R &amp; G SAS</t>
  </si>
  <si>
    <t>Total Educactiva Ediciones SAS</t>
  </si>
  <si>
    <t>Total Fundacion Uniban</t>
  </si>
  <si>
    <t>Total MDV Distribuidora SAS</t>
  </si>
  <si>
    <t>Total Patrimonios Autonomos Fiduciaria Bogota SA</t>
  </si>
  <si>
    <t>Total Rua Group CIB SAS</t>
  </si>
  <si>
    <t>Total Centro De Gerenciamiento De Residuos Doña Juana SA ESP</t>
  </si>
  <si>
    <t>Total Dalog Americas SAS</t>
  </si>
  <si>
    <t>Total Instituto Panameño De Investigaciones Clinicas Ipic SA</t>
  </si>
  <si>
    <t>Total Interoc S A Sucursal Colombia</t>
  </si>
  <si>
    <t>Total Electronic For You Security And Entertainment SAS</t>
  </si>
  <si>
    <t>Total Indigo Park Colombia SAS</t>
  </si>
  <si>
    <t>Total Castillo Y Asociados Ingenieria SAS</t>
  </si>
  <si>
    <t>Total Grupo Y SAS</t>
  </si>
  <si>
    <t>Total Jupi Jump San Rafael SAS</t>
  </si>
  <si>
    <t>Total Aliat Servicios SAS Esp</t>
  </si>
  <si>
    <t>Total Vmc Cloud S A S</t>
  </si>
  <si>
    <t>Total Once92 SAS</t>
  </si>
  <si>
    <t>Total Fundacion Apoyo Social Integral Colombia</t>
  </si>
  <si>
    <t>Total Flores Tiba SA</t>
  </si>
  <si>
    <t>Total Sociedad Puerto Industrial Aguadulce SA</t>
  </si>
  <si>
    <t>Total Casa De La Valvula SAS</t>
  </si>
  <si>
    <t>Total Newsat SAS</t>
  </si>
  <si>
    <t>Total Maria Diocelina Turriago Padilla</t>
  </si>
  <si>
    <t>Total Vado Combustibles SAS</t>
  </si>
  <si>
    <t>Total Atcg De Colombia SAS</t>
  </si>
  <si>
    <t>Total Julian Eduardo Rodriguez Posso</t>
  </si>
  <si>
    <t>Total Consorcio Metro 2023</t>
  </si>
  <si>
    <t>Total GI Group Servicios SAS</t>
  </si>
  <si>
    <t>Total Pantoglot LTDA</t>
  </si>
  <si>
    <t>Total Combustibles De Colombia SA</t>
  </si>
  <si>
    <t>Total Inversiones Mcn SAS</t>
  </si>
  <si>
    <t>Total Sigma Gestion De Proyectos SAS</t>
  </si>
  <si>
    <t>Total Banco De Occidente</t>
  </si>
  <si>
    <t>Total Expertos En Cafe SAS</t>
  </si>
  <si>
    <t>Total Mathiesen Colombia SAS</t>
  </si>
  <si>
    <t>Total Inversiones Proxima Centauri SAS</t>
  </si>
  <si>
    <t>Total Soplascol SAS</t>
  </si>
  <si>
    <t>Total Compañia Ganadera Del Oeste SA</t>
  </si>
  <si>
    <t>Total Servicio De Ingenieria Transito Y Tecnologia SAS Sitt Y Cia SAS</t>
  </si>
  <si>
    <t>Total Consorcio R&amp;J Joyco</t>
  </si>
  <si>
    <t>Total Grupo Cenagro SAS</t>
  </si>
  <si>
    <t>Total Set Icap Fx SA</t>
  </si>
  <si>
    <t>Total Universidad Libre</t>
  </si>
  <si>
    <t>Total Winner Group SA</t>
  </si>
  <si>
    <t>Total Grupo Dos Ene SAS</t>
  </si>
  <si>
    <t>Total Regional Business Colombia SAS</t>
  </si>
  <si>
    <t>Total Pasarex SAS</t>
  </si>
  <si>
    <t>Total Vetra Exploracion Y Produccion Colombia SAS</t>
  </si>
  <si>
    <t xml:space="preserve">Total Inversiones Famoso SAS </t>
  </si>
  <si>
    <t>Total Dilma Constanza Cuesta Rubiano</t>
  </si>
  <si>
    <t>Total Informa Colombia SA</t>
  </si>
  <si>
    <t>Total Gestion De Activos Tecni SAS</t>
  </si>
  <si>
    <t>Total Seaboard De Colombia SAS</t>
  </si>
  <si>
    <t>Total Brillo Institucional SAS</t>
  </si>
  <si>
    <t>Total Silvher SAS</t>
  </si>
  <si>
    <t>Total Meltec Comunicaciones SAS</t>
  </si>
  <si>
    <t>Detalles para Cuenta de RECHAZADA - Folio: 106231, Nombre Receptor: City Parking SAS, RECHAZADA: X</t>
  </si>
  <si>
    <t>Cuenta de RECHAZADA</t>
  </si>
  <si>
    <t>Total Stefanini Colombia SAS</t>
  </si>
  <si>
    <t>Total Actual Constructora SAS</t>
  </si>
  <si>
    <t>Total Mct SAS</t>
  </si>
  <si>
    <t>Total MPS Mayorista De Colombia SA</t>
  </si>
  <si>
    <t>Total Soldepye Soluciones De Potencia E Ingenieria SAS</t>
  </si>
  <si>
    <t>Total Concremack SAS</t>
  </si>
  <si>
    <t>Total Fundacion Universitaria San Martin</t>
  </si>
  <si>
    <t>Cuenta de YA PAGA  EN SISTEMA</t>
  </si>
  <si>
    <t>Total Arcelor Mittal International Colombia SAS</t>
  </si>
  <si>
    <t>Total Axa Colpatria Seguros De Vida SA</t>
  </si>
  <si>
    <t>Total Bmi Colombia Compañia De Seguros De Vida SA</t>
  </si>
  <si>
    <t>Total Cardif Colombia Seguros Generales SA</t>
  </si>
  <si>
    <t>Total Consejo Profesional De Biologia</t>
  </si>
  <si>
    <t>Total Digital Copy Soluciones Digitales SAS</t>
  </si>
  <si>
    <t>Total Doris Jeannet Urrego Amortegui</t>
  </si>
  <si>
    <t>Total Embajada De La República Federal De Alemania</t>
  </si>
  <si>
    <t>Total Exlservice Colombia SAS</t>
  </si>
  <si>
    <t>Total FCL Impart SAS</t>
  </si>
  <si>
    <t>Total General Business Machines De Colombia SAS</t>
  </si>
  <si>
    <t>Total Hire Horatio Co S A S</t>
  </si>
  <si>
    <t>Total Iglesia Cristiana De Los Testigos De Jehova</t>
  </si>
  <si>
    <t>Total Isi Emerging Markets Colombia SAS</t>
  </si>
  <si>
    <t>Total Javier Antonio Cortes Murcia</t>
  </si>
  <si>
    <t>Total Leidy Astrid Jimenez Ossa</t>
  </si>
  <si>
    <t>Total Logysteel Operador Logistico SAS</t>
  </si>
  <si>
    <t>Total Mario  Reyes Gutierrez</t>
  </si>
  <si>
    <t>Total Multipagas SAS</t>
  </si>
  <si>
    <t xml:space="preserve">Total Pandalatina Huamei Internacional S A S </t>
  </si>
  <si>
    <t>Total Pcs For All SAS</t>
  </si>
  <si>
    <t>Total Quintero Y Quintero Asesores SA</t>
  </si>
  <si>
    <t>Total Recaudos De Valores SAS</t>
  </si>
  <si>
    <t>Total Proteccion Agropecuaria De Colombia SAS</t>
  </si>
  <si>
    <t>Total Epam Systems Colombia SAS</t>
  </si>
  <si>
    <t>Total Gamboa &amp; Chalela SAS</t>
  </si>
  <si>
    <t>Total Angie Tatiana Parra Duran</t>
  </si>
  <si>
    <t>Total Vigilancia Santafereña Y Cia Ltda</t>
  </si>
  <si>
    <t>Total Yipao S A S</t>
  </si>
  <si>
    <t>Total Invergran Sociedad Por Acciones Simplificada</t>
  </si>
  <si>
    <t>Total Vehitotal SAS</t>
  </si>
  <si>
    <t>Total Diseño Y Aplicaciones De Ingenieria Ltda</t>
  </si>
  <si>
    <t>Total Hilton Worldwide Manage Branchco Limited</t>
  </si>
  <si>
    <t>Total Global Motor SAS</t>
  </si>
  <si>
    <t>Total Nevada Media SAS</t>
  </si>
  <si>
    <t>Total Rosmira Rojas Puentes</t>
  </si>
  <si>
    <t>Total Maria Eugenia Cruz Herrera</t>
  </si>
  <si>
    <t>Total Pan American Life De Colombia Compañia De Seguros SA</t>
  </si>
  <si>
    <t>Total Global Training Aviation Colombia SAS</t>
  </si>
  <si>
    <t>Total Juan Gaviria Restrepo &amp; Cia SAS</t>
  </si>
  <si>
    <t>Total Meditrack SAS</t>
  </si>
  <si>
    <t>Total Auto Stok SAS</t>
  </si>
  <si>
    <t>Total Amadeus It Group Colombia SAS</t>
  </si>
  <si>
    <t>Total Buscalibre Colombia S A S</t>
  </si>
  <si>
    <t>Total Maria Alejandra Zambrano Suarez</t>
  </si>
  <si>
    <t>Total Karent Yescenia Carrillo Marin</t>
  </si>
  <si>
    <t>Total Productos Doña Dicha SAS</t>
  </si>
  <si>
    <t>Total Logan Valuacion Sociedad Por Acciones Simplificada</t>
  </si>
  <si>
    <t>Total Lina Mara Gaviria Gaviria</t>
  </si>
  <si>
    <t>Total Biotechnis SAS</t>
  </si>
  <si>
    <t>Total Copyandes E U</t>
  </si>
  <si>
    <t>Total Asociacion Colombiana De Criadores De Ganado Cebu</t>
  </si>
  <si>
    <t>Total Corporacion Universitaria Unitec</t>
  </si>
  <si>
    <t>Total Universidad Mariana</t>
  </si>
  <si>
    <t>Total Script Soluciones Informaticas SAS</t>
  </si>
  <si>
    <t>Total Colpatria Capital SAS</t>
  </si>
  <si>
    <t xml:space="preserve">Total Fondo De Empleados Al Servicio De Los Trabajadores Del Sector Empresarial Colombia </t>
  </si>
  <si>
    <t>Total Central SAS</t>
  </si>
  <si>
    <t>Total Eleva Impacto Que Trasciende</t>
  </si>
  <si>
    <t>Total Mas Servicios Asistenciales Colombia SAS</t>
  </si>
  <si>
    <t>Total Centro Ocular Demiopia Dr Rincon Sociedad Por Acciones Simplificada SAS</t>
  </si>
  <si>
    <t>Total California Creative Solutions, Inc</t>
  </si>
  <si>
    <t>Total Frosch Colombia SAS</t>
  </si>
  <si>
    <t>Total Ch Mac Abogados  SAS</t>
  </si>
  <si>
    <t>Total Gesproyect SAS</t>
  </si>
  <si>
    <t>Total Acf Technologies Colombia SAS</t>
  </si>
  <si>
    <t>Total Cfd Ingenieria SAS</t>
  </si>
  <si>
    <t>Total Doris Helena Angarita Puentes</t>
  </si>
  <si>
    <t>Total S L Research Colombia SAS</t>
  </si>
  <si>
    <t>Total CI Ozi International SAS</t>
  </si>
  <si>
    <t>Total Atomy Colombia SAS</t>
  </si>
  <si>
    <t>Total Inversiones Globales Ns SAS</t>
  </si>
  <si>
    <t>Total Corporacion Parala Gestion Del Desarrollo Humano Filantropos</t>
  </si>
  <si>
    <t>Total Edwin Alonso Pirazan Rativa</t>
  </si>
  <si>
    <t>Total Acuameunier SAS</t>
  </si>
  <si>
    <t>Total Correcaminos De Colombia</t>
  </si>
  <si>
    <t>Total Consorcio Estanzula - Bronx</t>
  </si>
  <si>
    <t>Total Fundacion Sand Box</t>
  </si>
  <si>
    <t>Total Fundacion National Center For State Courts-Ncsc Colombia</t>
  </si>
  <si>
    <t>Total Recordati Rare Diseases Colombia SAS</t>
  </si>
  <si>
    <t>Total Maria Yesmi Fierro Jimenez</t>
  </si>
  <si>
    <t>Total Ortizo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</si>
</sst>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_(&quot;$&quot;* #,##0.00_);_(&quot;$&quot;* \(#,##0.00\);_(&quot;$&quot;* &quot;-&quot;??_);_(@_)"/>
  </numFmts>
  <fonts count="13">
    <font>
      <sz val="11"/>
      <name val="Calibri"/>
    </font>
    <font>
      <sz val="10"/>
      <name val="Calibri"/>
      <family val="2"/>
    </font>
    <font>
      <b/>
      <sz val="10"/>
      <color rgb="FFFFFFFF"/>
      <name val="Calibri"/>
      <family val="2"/>
    </font>
    <font>
      <sz val="14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8"/>
      <name val="Calibri"/>
      <family val="2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348441"/>
      </patternFill>
    </fill>
    <fill>
      <patternFill patternType="solid">
        <fgColor rgb="FF34844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165" fontId="5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5" borderId="5" xfId="1" applyFont="1" applyFill="1" applyBorder="1"/>
    <xf numFmtId="0" fontId="6" fillId="5" borderId="6" xfId="1" applyFont="1" applyFill="1" applyBorder="1"/>
    <xf numFmtId="0" fontId="7" fillId="4" borderId="7" xfId="1" applyFont="1" applyFill="1" applyBorder="1"/>
    <xf numFmtId="0" fontId="7" fillId="0" borderId="3" xfId="1" applyFont="1" applyBorder="1"/>
    <xf numFmtId="165" fontId="7" fillId="0" borderId="3" xfId="1" applyNumberFormat="1" applyFont="1" applyBorder="1"/>
    <xf numFmtId="0" fontId="7" fillId="4" borderId="3" xfId="1" applyFont="1" applyFill="1" applyBorder="1"/>
    <xf numFmtId="165" fontId="7" fillId="4" borderId="3" xfId="1" applyNumberFormat="1" applyFont="1" applyFill="1" applyBorder="1"/>
    <xf numFmtId="0" fontId="7" fillId="4" borderId="4" xfId="1" applyFont="1" applyFill="1" applyBorder="1"/>
    <xf numFmtId="0" fontId="7" fillId="0" borderId="4" xfId="1" applyFont="1" applyBorder="1"/>
    <xf numFmtId="0" fontId="8" fillId="0" borderId="3" xfId="0" applyFont="1" applyBorder="1"/>
    <xf numFmtId="0" fontId="9" fillId="0" borderId="3" xfId="0" applyFont="1" applyBorder="1"/>
    <xf numFmtId="165" fontId="9" fillId="0" borderId="3" xfId="0" applyNumberFormat="1" applyFont="1" applyBorder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left"/>
    </xf>
    <xf numFmtId="0" fontId="0" fillId="0" borderId="0" xfId="0" applyAlignment="1">
      <alignment horizontal="left"/>
    </xf>
    <xf numFmtId="164" fontId="3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/>
    <xf numFmtId="0" fontId="1" fillId="0" borderId="3" xfId="0" applyFont="1" applyBorder="1"/>
    <xf numFmtId="0" fontId="1" fillId="0" borderId="3" xfId="0" applyFont="1" applyBorder="1" applyAlignment="1">
      <alignment horizontal="left" vertical="top"/>
    </xf>
    <xf numFmtId="14" fontId="1" fillId="0" borderId="3" xfId="0" applyNumberFormat="1" applyFont="1" applyBorder="1"/>
    <xf numFmtId="0" fontId="10" fillId="0" borderId="0" xfId="0" applyFont="1"/>
    <xf numFmtId="22" fontId="1" fillId="0" borderId="3" xfId="0" applyNumberFormat="1" applyFont="1" applyBorder="1"/>
    <xf numFmtId="0" fontId="1" fillId="9" borderId="3" xfId="0" applyFont="1" applyFill="1" applyBorder="1"/>
    <xf numFmtId="0" fontId="1" fillId="7" borderId="3" xfId="0" applyFont="1" applyFill="1" applyBorder="1"/>
    <xf numFmtId="0" fontId="1" fillId="8" borderId="3" xfId="0" applyFont="1" applyFill="1" applyBorder="1"/>
    <xf numFmtId="0" fontId="1" fillId="6" borderId="3" xfId="0" applyFont="1" applyFill="1" applyBorder="1"/>
    <xf numFmtId="0" fontId="1" fillId="10" borderId="3" xfId="0" applyFont="1" applyFill="1" applyBorder="1"/>
    <xf numFmtId="0" fontId="4" fillId="10" borderId="3" xfId="0" applyFont="1" applyFill="1" applyBorder="1"/>
    <xf numFmtId="165" fontId="7" fillId="4" borderId="7" xfId="2" applyFont="1" applyFill="1" applyBorder="1"/>
    <xf numFmtId="165" fontId="7" fillId="4" borderId="4" xfId="2" applyFont="1" applyFill="1" applyBorder="1"/>
    <xf numFmtId="165" fontId="7" fillId="0" borderId="4" xfId="2" applyFont="1" applyBorder="1"/>
    <xf numFmtId="0" fontId="12" fillId="0" borderId="0" xfId="0" applyFont="1"/>
  </cellXfs>
  <cellStyles count="3">
    <cellStyle name="Moneda 2" xfId="2" xr:uid="{65674B0D-7036-4091-85A5-2DBE8EF28F38}"/>
    <cellStyle name="Normal" xfId="0" builtinId="0"/>
    <cellStyle name="Normal 2" xfId="1" xr:uid="{B10A85E9-F87F-46A9-88CF-A63DAD9EA3A5}"/>
  </cellStyles>
  <dxfs count="460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$&quot;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top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348441"/>
        </patternFill>
      </fill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y Castillo" refreshedDate="46083.532325462962" createdVersion="8" refreshedVersion="8" minRefreshableVersion="3" recordCount="1946" xr:uid="{7514B1E2-3171-4612-A1F8-8C84D359526E}">
  <cacheSource type="worksheet">
    <worksheetSource name="Tabla1"/>
  </cacheSource>
  <cacheFields count="24">
    <cacheField name="Tipo de documento" numFmtId="0">
      <sharedItems containsBlank="1"/>
    </cacheField>
    <cacheField name="CUFE/CUDE" numFmtId="0">
      <sharedItems containsBlank="1"/>
    </cacheField>
    <cacheField name="Folio" numFmtId="0">
      <sharedItems containsBlank="1" containsMixedTypes="1" containsNumber="1" containsInteger="1" minValue="84015" maxValue="106491" count="3479">
        <s v="105658"/>
        <s v="105659"/>
        <s v="105660"/>
        <s v="105661"/>
        <s v="105662"/>
        <s v="105663"/>
        <s v="105664"/>
        <s v="105665"/>
        <s v="105666"/>
        <s v="105667"/>
        <s v="105668"/>
        <s v="105669"/>
        <s v="105670"/>
        <s v="105671"/>
        <s v="105672"/>
        <s v="105673"/>
        <s v="105674"/>
        <s v="105675"/>
        <s v="105676"/>
        <s v="105677"/>
        <s v="105678"/>
        <s v="105679"/>
        <s v="105680"/>
        <s v="105681"/>
        <s v="105682"/>
        <s v="105683"/>
        <s v="105684"/>
        <s v="105685"/>
        <s v="105686"/>
        <s v="105687"/>
        <s v="105688"/>
        <s v="105689"/>
        <s v="105690"/>
        <s v="105691"/>
        <s v="105692"/>
        <s v="105693"/>
        <s v="105694"/>
        <s v="105695"/>
        <s v="105696"/>
        <s v="105697"/>
        <s v="105698"/>
        <s v="105699"/>
        <s v="105700"/>
        <s v="105701"/>
        <s v="105702"/>
        <s v="105703"/>
        <s v="105704"/>
        <s v="105705"/>
        <s v="105706"/>
        <s v="105707"/>
        <s v="105708"/>
        <s v="105709"/>
        <s v="105710"/>
        <s v="105711"/>
        <s v="105712"/>
        <s v="105713"/>
        <s v="105714"/>
        <s v="105715"/>
        <s v="105716"/>
        <s v="105717"/>
        <s v="105718"/>
        <s v="105719"/>
        <s v="105720"/>
        <s v="105721"/>
        <s v="105722"/>
        <s v="105723"/>
        <s v="105724"/>
        <s v="105725"/>
        <s v="105726"/>
        <s v="105727"/>
        <s v="105728"/>
        <s v="105729"/>
        <s v="105730"/>
        <s v="105731"/>
        <s v="105732"/>
        <s v="105733"/>
        <s v="105734"/>
        <s v="105735"/>
        <s v="105736"/>
        <s v="105737"/>
        <s v="105738"/>
        <s v="105739"/>
        <s v="105740"/>
        <s v="105741"/>
        <s v="105742"/>
        <s v="105743"/>
        <s v="105744"/>
        <s v="105745"/>
        <s v="105746"/>
        <s v="105747"/>
        <s v="105748"/>
        <s v="105749"/>
        <s v="105750"/>
        <s v="105751"/>
        <s v="105752"/>
        <s v="105753"/>
        <s v="105754"/>
        <s v="105755"/>
        <s v="105756"/>
        <s v="105757"/>
        <s v="105758"/>
        <s v="105759"/>
        <s v="105760"/>
        <s v="105761"/>
        <s v="105762"/>
        <s v="105763"/>
        <s v="105764"/>
        <s v="105765"/>
        <s v="105766"/>
        <s v="105767"/>
        <s v="105768"/>
        <s v="105769"/>
        <s v="105770"/>
        <s v="105771"/>
        <s v="105772"/>
        <s v="105773"/>
        <s v="105774"/>
        <s v="105775"/>
        <s v="105776"/>
        <s v="105777"/>
        <s v="105778"/>
        <s v="105779"/>
        <s v="105780"/>
        <s v="105781"/>
        <s v="105782"/>
        <s v="105783"/>
        <s v="105784"/>
        <s v="105785"/>
        <s v="105786"/>
        <s v="105787"/>
        <s v="105788"/>
        <s v="105789"/>
        <s v="105790"/>
        <s v="105791"/>
        <s v="105792"/>
        <s v="105793"/>
        <s v="105794"/>
        <s v="105795"/>
        <s v="105796"/>
        <s v="105797"/>
        <s v="105798"/>
        <s v="105799"/>
        <s v="105800"/>
        <s v="105801"/>
        <s v="105802"/>
        <s v="105803"/>
        <s v="105804"/>
        <s v="105805"/>
        <s v="105806"/>
        <s v="105807"/>
        <s v="105808"/>
        <s v="105809"/>
        <s v="105810"/>
        <s v="105811"/>
        <s v="105812"/>
        <s v="105813"/>
        <s v="105814"/>
        <s v="105815"/>
        <s v="105816"/>
        <s v="105817"/>
        <s v="105818"/>
        <s v="105819"/>
        <s v="105820"/>
        <s v="105821"/>
        <s v="105822"/>
        <s v="105823"/>
        <s v="105824"/>
        <s v="105825"/>
        <s v="105826"/>
        <s v="105827"/>
        <s v="105828"/>
        <s v="105829"/>
        <s v="105830"/>
        <s v="105831"/>
        <s v="105832"/>
        <s v="105833"/>
        <s v="105834"/>
        <s v="105835"/>
        <s v="105836"/>
        <s v="105837"/>
        <s v="105838"/>
        <s v="105839"/>
        <s v="105840"/>
        <s v="105841"/>
        <s v="105842"/>
        <s v="105843"/>
        <s v="105844"/>
        <s v="105845"/>
        <s v="105846"/>
        <s v="105847"/>
        <s v="105848"/>
        <s v="105849"/>
        <s v="105850"/>
        <s v="105851"/>
        <s v="105852"/>
        <s v="105853"/>
        <s v="105854"/>
        <s v="105855"/>
        <s v="105856"/>
        <s v="105857"/>
        <s v="105858"/>
        <s v="105859"/>
        <s v="105860"/>
        <s v="105861"/>
        <s v="105862"/>
        <s v="105863"/>
        <s v="105864"/>
        <s v="105865"/>
        <s v="105866"/>
        <s v="105867"/>
        <s v="105868"/>
        <s v="105869"/>
        <s v="105870"/>
        <s v="105871"/>
        <s v="105872"/>
        <s v="105873"/>
        <s v="105874"/>
        <s v="105875"/>
        <s v="105876"/>
        <s v="105877"/>
        <s v="105878"/>
        <s v="105879"/>
        <s v="105880"/>
        <s v="105881"/>
        <s v="105882"/>
        <s v="105883"/>
        <s v="105884"/>
        <s v="105885"/>
        <s v="105886"/>
        <s v="105887"/>
        <s v="105888"/>
        <s v="105889"/>
        <s v="105890"/>
        <s v="105891"/>
        <s v="105892"/>
        <s v="105893"/>
        <s v="105894"/>
        <s v="105895"/>
        <s v="105896"/>
        <s v="105897"/>
        <s v="105898"/>
        <s v="105899"/>
        <s v="105900"/>
        <s v="105901"/>
        <s v="105902"/>
        <s v="105903"/>
        <s v="105904"/>
        <s v="105905"/>
        <s v="105906"/>
        <s v="105907"/>
        <s v="105908"/>
        <s v="105909"/>
        <s v="105910"/>
        <s v="105911"/>
        <s v="105912"/>
        <s v="105913"/>
        <s v="105914"/>
        <s v="105915"/>
        <s v="105916"/>
        <s v="105917"/>
        <s v="105918"/>
        <s v="105919"/>
        <s v="105920"/>
        <s v="105921"/>
        <s v="105922"/>
        <s v="105923"/>
        <s v="105924"/>
        <s v="105925"/>
        <s v="105926"/>
        <s v="105927"/>
        <s v="105928"/>
        <s v="105929"/>
        <s v="105930"/>
        <s v="105931"/>
        <s v="105932"/>
        <s v="105933"/>
        <s v="105934"/>
        <s v="105935"/>
        <s v="105936"/>
        <s v="105937"/>
        <s v="105938"/>
        <s v="105939"/>
        <s v="105940"/>
        <s v="105941"/>
        <s v="105942"/>
        <s v="105943"/>
        <s v="105944"/>
        <s v="105945"/>
        <s v="105946"/>
        <s v="105947"/>
        <s v="105948"/>
        <s v="105949"/>
        <s v="105950"/>
        <s v="105951"/>
        <s v="105952"/>
        <s v="105953"/>
        <s v="105954"/>
        <s v="105955"/>
        <s v="105956"/>
        <s v="105957"/>
        <s v="105958"/>
        <s v="105959"/>
        <s v="105960"/>
        <s v="105961"/>
        <s v="105962"/>
        <s v="105963"/>
        <s v="105964"/>
        <s v="105965"/>
        <s v="105966"/>
        <s v="105967"/>
        <s v="105968"/>
        <s v="105969"/>
        <s v="105970"/>
        <s v="105971"/>
        <s v="105972"/>
        <s v="105973"/>
        <s v="105974"/>
        <s v="105975"/>
        <s v="105976"/>
        <s v="105977"/>
        <s v="105978"/>
        <s v="105979"/>
        <s v="105980"/>
        <s v="105981"/>
        <s v="105982"/>
        <s v="105983"/>
        <s v="105984"/>
        <s v="105985"/>
        <s v="105986"/>
        <s v="105987"/>
        <s v="105988"/>
        <s v="105989"/>
        <s v="105990"/>
        <s v="105991"/>
        <s v="105992"/>
        <s v="105993"/>
        <s v="105994"/>
        <s v="105995"/>
        <s v="105996"/>
        <s v="105997"/>
        <s v="105998"/>
        <s v="105999"/>
        <s v="106000"/>
        <s v="106001"/>
        <s v="106002"/>
        <s v="106003"/>
        <s v="106004"/>
        <s v="106005"/>
        <s v="106006"/>
        <s v="106007"/>
        <s v="106008"/>
        <s v="106009"/>
        <s v="106010"/>
        <s v="106011"/>
        <s v="106012"/>
        <s v="106013"/>
        <s v="106014"/>
        <s v="106015"/>
        <s v="106016"/>
        <s v="106017"/>
        <s v="106018"/>
        <s v="106019"/>
        <s v="106020"/>
        <s v="106021"/>
        <s v="106022"/>
        <s v="106023"/>
        <s v="106024"/>
        <s v="106025"/>
        <s v="106026"/>
        <s v="106027"/>
        <s v="106028"/>
        <s v="106029"/>
        <s v="106030"/>
        <s v="106031"/>
        <s v="106032"/>
        <s v="106033"/>
        <s v="106034"/>
        <s v="106035"/>
        <s v="106036"/>
        <s v="106037"/>
        <s v="106038"/>
        <s v="106039"/>
        <s v="106040"/>
        <s v="106041"/>
        <s v="106042"/>
        <s v="106043"/>
        <s v="106044"/>
        <s v="106045"/>
        <s v="106046"/>
        <s v="106047"/>
        <s v="106048"/>
        <s v="106049"/>
        <s v="106050"/>
        <s v="106051"/>
        <s v="106052"/>
        <s v="106053"/>
        <s v="106054"/>
        <s v="106055"/>
        <s v="106056"/>
        <s v="106057"/>
        <s v="106058"/>
        <s v="106059"/>
        <s v="106060"/>
        <s v="106061"/>
        <s v="106062"/>
        <s v="106063"/>
        <s v="106064"/>
        <s v="106065"/>
        <s v="106066"/>
        <s v="106067"/>
        <s v="106068"/>
        <s v="106069"/>
        <s v="106070"/>
        <s v="106071"/>
        <s v="106072"/>
        <s v="106073"/>
        <s v="106074"/>
        <s v="106075"/>
        <s v="106076"/>
        <s v="106077"/>
        <s v="106078"/>
        <s v="106079"/>
        <s v="106080"/>
        <s v="106081"/>
        <s v="106082"/>
        <s v="106083"/>
        <s v="106084"/>
        <s v="106085"/>
        <s v="106086"/>
        <s v="106087"/>
        <s v="106088"/>
        <s v="106089"/>
        <s v="106090"/>
        <s v="106091"/>
        <s v="106092"/>
        <s v="106093"/>
        <s v="106094"/>
        <s v="106095"/>
        <s v="106096"/>
        <s v="106097"/>
        <s v="106098"/>
        <s v="106099"/>
        <s v="106100"/>
        <s v="106101"/>
        <s v="106102"/>
        <s v="106103"/>
        <s v="106104"/>
        <s v="106105"/>
        <s v="106106"/>
        <s v="106107"/>
        <s v="106108"/>
        <s v="106109"/>
        <s v="106110"/>
        <s v="106111"/>
        <s v="106112"/>
        <s v="106113"/>
        <s v="106114"/>
        <s v="106115"/>
        <s v="106116"/>
        <s v="106117"/>
        <s v="106118"/>
        <s v="106119"/>
        <s v="106120"/>
        <s v="106121"/>
        <s v="106122"/>
        <s v="106123"/>
        <s v="106124"/>
        <s v="106125"/>
        <s v="106126"/>
        <s v="106127"/>
        <s v="106128"/>
        <s v="106129"/>
        <s v="106130"/>
        <s v="106131"/>
        <s v="106132"/>
        <s v="106133"/>
        <s v="106134"/>
        <s v="106135"/>
        <s v="106136"/>
        <s v="106137"/>
        <s v="106138"/>
        <s v="106139"/>
        <s v="106140"/>
        <s v="106141"/>
        <s v="106142"/>
        <s v="106143"/>
        <s v="106144"/>
        <s v="106145"/>
        <s v="106146"/>
        <s v="106147"/>
        <s v="106148"/>
        <s v="106149"/>
        <s v="106150"/>
        <s v="106151"/>
        <s v="106152"/>
        <s v="106153"/>
        <s v="106154"/>
        <s v="106155"/>
        <s v="106156"/>
        <s v="106157"/>
        <s v="106158"/>
        <s v="106159"/>
        <s v="106160"/>
        <s v="106161"/>
        <s v="106162"/>
        <s v="106163"/>
        <s v="106164"/>
        <s v="106165"/>
        <s v="106166"/>
        <s v="106167"/>
        <s v="106168"/>
        <s v="106169"/>
        <s v="106170"/>
        <s v="106171"/>
        <s v="106172"/>
        <s v="106173"/>
        <s v="106174"/>
        <s v="106175"/>
        <s v="106176"/>
        <s v="106177"/>
        <s v="106178"/>
        <s v="106179"/>
        <s v="106180"/>
        <s v="106181"/>
        <s v="106182"/>
        <s v="106183"/>
        <s v="106184"/>
        <s v="106185"/>
        <s v="106186"/>
        <s v="106187"/>
        <s v="106188"/>
        <s v="106189"/>
        <s v="106190"/>
        <s v="106191"/>
        <s v="106192"/>
        <s v="106193"/>
        <s v="106194"/>
        <s v="106195"/>
        <s v="106196"/>
        <s v="106197"/>
        <s v="106198"/>
        <s v="106199"/>
        <s v="106200"/>
        <s v="106201"/>
        <s v="106202"/>
        <s v="106203"/>
        <s v="106204"/>
        <s v="106205"/>
        <s v="106206"/>
        <s v="106207"/>
        <s v="106208"/>
        <s v="106209"/>
        <s v="106210"/>
        <s v="106211"/>
        <s v="106212"/>
        <s v="106213"/>
        <s v="106214"/>
        <s v="106215"/>
        <s v="106216"/>
        <s v="106217"/>
        <s v="106218"/>
        <s v="106219"/>
        <s v="106220"/>
        <s v="106221"/>
        <s v="106222"/>
        <s v="106223"/>
        <s v="106224"/>
        <s v="106225"/>
        <s v="106226"/>
        <s v="106227"/>
        <s v="106228"/>
        <s v="106229"/>
        <s v="106230"/>
        <s v="106231"/>
        <s v="106232"/>
        <s v="106233"/>
        <s v="106234"/>
        <s v="106235"/>
        <s v="106236"/>
        <s v="106237"/>
        <s v="106238"/>
        <s v="106239"/>
        <s v="106240"/>
        <s v="106241"/>
        <s v="106242"/>
        <s v="106243"/>
        <s v="106244"/>
        <s v="106245"/>
        <s v="106246"/>
        <s v="106247"/>
        <s v="106248"/>
        <s v="106249"/>
        <s v="106250"/>
        <s v="106251"/>
        <s v="106252"/>
        <s v="106253"/>
        <s v="106254"/>
        <s v="106255"/>
        <s v="106256"/>
        <s v="106257"/>
        <s v="106258"/>
        <s v="106259"/>
        <s v="106260"/>
        <s v="106261"/>
        <s v="106262"/>
        <s v="106263"/>
        <s v="106264"/>
        <s v="106265"/>
        <s v="106266"/>
        <s v="106267"/>
        <s v="106268"/>
        <s v="106269"/>
        <s v="106270"/>
        <s v="106271"/>
        <s v="106272"/>
        <s v="106273"/>
        <s v="106274"/>
        <s v="106275"/>
        <s v="106276"/>
        <s v="106277"/>
        <s v="106278"/>
        <s v="106279"/>
        <s v="106280"/>
        <s v="106281"/>
        <s v="106282"/>
        <s v="106283"/>
        <s v="106284"/>
        <s v="106285"/>
        <s v="106286"/>
        <s v="106287"/>
        <s v="106288"/>
        <s v="106289"/>
        <s v="106290"/>
        <s v="106291"/>
        <s v="106292"/>
        <s v="106293"/>
        <s v="106294"/>
        <s v="106295"/>
        <s v="106296"/>
        <s v="106297"/>
        <s v="106298"/>
        <s v="106299"/>
        <s v="106300"/>
        <s v="106301"/>
        <s v="106302"/>
        <s v="106303"/>
        <s v="106304"/>
        <s v="106305"/>
        <s v="106306"/>
        <s v="106307"/>
        <s v="106308"/>
        <s v="106309"/>
        <s v="106310"/>
        <s v="106311"/>
        <s v="106312"/>
        <s v="106313"/>
        <s v="106314"/>
        <s v="106315"/>
        <s v="106316"/>
        <s v="106317"/>
        <s v="106318"/>
        <s v="106319"/>
        <s v="106320"/>
        <s v="106321"/>
        <s v="106322"/>
        <s v="106323"/>
        <s v="106324"/>
        <s v="106325"/>
        <s v="106326"/>
        <s v="106327"/>
        <s v="106328"/>
        <s v="106329"/>
        <s v="106330"/>
        <s v="106331"/>
        <s v="106332"/>
        <s v="106333"/>
        <s v="106334"/>
        <s v="106335"/>
        <s v="106336"/>
        <s v="106337"/>
        <s v="106338"/>
        <s v="106339"/>
        <s v="106340"/>
        <s v="106341"/>
        <s v="106342"/>
        <s v="106343"/>
        <s v="106344"/>
        <s v="106345"/>
        <s v="106346"/>
        <s v="106347"/>
        <s v="106348"/>
        <s v="106349"/>
        <s v="106350"/>
        <s v="106351"/>
        <s v="106352"/>
        <s v="106353"/>
        <s v="106354"/>
        <s v="106355"/>
        <s v="106356"/>
        <s v="106357"/>
        <s v="106358"/>
        <s v="106359"/>
        <s v="106360"/>
        <s v="106361"/>
        <s v="106362"/>
        <s v="106363"/>
        <s v="106364"/>
        <s v="106365"/>
        <s v="106366"/>
        <s v="106367"/>
        <s v="106368"/>
        <s v="106369"/>
        <s v="106370"/>
        <s v="106371"/>
        <s v="106372"/>
        <s v="106373"/>
        <s v="106374"/>
        <s v="106375"/>
        <s v="106376"/>
        <s v="106377"/>
        <s v="106378"/>
        <s v="106379"/>
        <s v="106380"/>
        <s v="106381"/>
        <s v="106382"/>
        <s v="106383"/>
        <s v="106384"/>
        <s v="106385"/>
        <s v="106386"/>
        <s v="106387"/>
        <s v="106388"/>
        <s v="106389"/>
        <s v="106390"/>
        <s v="106391"/>
        <s v="106392"/>
        <s v="106393"/>
        <s v="106394"/>
        <s v="106395"/>
        <s v="106396"/>
        <s v="106397"/>
        <s v="106398"/>
        <s v="106399"/>
        <s v="106400"/>
        <s v="106401"/>
        <s v="106402"/>
        <s v="106403"/>
        <s v="106404"/>
        <s v="106405"/>
        <s v="106406"/>
        <s v="106407"/>
        <s v="106408"/>
        <s v="106409"/>
        <s v="106410"/>
        <s v="106411"/>
        <s v="106412"/>
        <s v="106413"/>
        <s v="106414"/>
        <s v="106415"/>
        <s v="106416"/>
        <s v="106417"/>
        <s v="106418"/>
        <s v="106419"/>
        <s v="106420"/>
        <s v="106421"/>
        <s v="106422"/>
        <s v="106423"/>
        <s v="106424"/>
        <s v="106425"/>
        <s v="106426"/>
        <s v="106427"/>
        <s v="106428"/>
        <s v="106429"/>
        <s v="106430"/>
        <s v="106431"/>
        <s v="106432"/>
        <s v="106433"/>
        <s v="106434"/>
        <s v="106435"/>
        <s v="106436"/>
        <s v="106437"/>
        <s v="106438"/>
        <s v="106439"/>
        <s v="106440"/>
        <s v="106441"/>
        <s v="106442"/>
        <s v="106443"/>
        <s v="106444"/>
        <s v="106445"/>
        <s v="106446"/>
        <s v="106447"/>
        <s v="106448"/>
        <s v="106449"/>
        <s v="106450"/>
        <s v="106451"/>
        <s v="106452"/>
        <s v="106453"/>
        <s v="106454"/>
        <s v="106455"/>
        <s v="106456"/>
        <s v="106457"/>
        <s v="106458"/>
        <s v="106459"/>
        <s v="106460"/>
        <s v="106461"/>
        <s v="106462"/>
        <s v="106463"/>
        <s v="106464"/>
        <s v="106465"/>
        <s v="106466"/>
        <s v="106467"/>
        <s v="106468"/>
        <s v="106469"/>
        <s v="106470"/>
        <s v="106471"/>
        <s v="106472"/>
        <s v="106473"/>
        <s v="106474"/>
        <s v="106475"/>
        <s v="106476"/>
        <s v="106477"/>
        <s v="106478"/>
        <s v="106479"/>
        <s v="106480"/>
        <s v="106481"/>
        <s v="106482"/>
        <s v="106483"/>
        <s v="106484"/>
        <s v="106485"/>
        <s v="106486"/>
        <s v="106487"/>
        <s v="106488"/>
        <s v="106489"/>
        <s v="106490"/>
        <n v="106491"/>
        <s v="106492"/>
        <s v="106493"/>
        <s v="106494"/>
        <s v="106495"/>
        <s v="106496"/>
        <s v="106497"/>
        <s v="106498"/>
        <s v="106499"/>
        <s v="106500"/>
        <s v="106501"/>
        <s v="106502"/>
        <s v="106503"/>
        <s v="106504"/>
        <s v="106505"/>
        <s v="106506"/>
        <s v="106507"/>
        <s v="106508"/>
        <s v="106509"/>
        <s v="106510"/>
        <s v="106511"/>
        <s v="106512"/>
        <s v="106513"/>
        <s v="106514"/>
        <s v="106515"/>
        <s v="106516"/>
        <s v="106517"/>
        <s v="106518"/>
        <s v="106519"/>
        <s v="106520"/>
        <s v="106521"/>
        <s v="106522"/>
        <s v="106523"/>
        <s v="106524"/>
        <s v="106525"/>
        <s v="106526"/>
        <s v="106527"/>
        <s v="106528"/>
        <s v="106529"/>
        <s v="106530"/>
        <s v="106531"/>
        <s v="106532"/>
        <s v="106533"/>
        <s v="106534"/>
        <s v="106535"/>
        <s v="106536"/>
        <s v="106537"/>
        <s v="106538"/>
        <s v="106539"/>
        <s v="106540"/>
        <s v="106541"/>
        <s v="106542"/>
        <s v="106543"/>
        <s v="106544"/>
        <s v="106545"/>
        <s v="106546"/>
        <s v="106547"/>
        <s v="106548"/>
        <s v="106549"/>
        <s v="106550"/>
        <s v="106551"/>
        <s v="106552"/>
        <s v="106553"/>
        <s v="106554"/>
        <s v="106555"/>
        <s v="106556"/>
        <s v="106557"/>
        <s v="106558"/>
        <s v="106559"/>
        <s v="106560"/>
        <s v="106561"/>
        <s v="106562"/>
        <s v="106563"/>
        <s v="106564"/>
        <s v="106565"/>
        <s v="106566"/>
        <s v="106567"/>
        <s v="106568"/>
        <s v="106569"/>
        <s v="106570"/>
        <s v="106571"/>
        <s v="106572"/>
        <s v="106573"/>
        <s v="106574"/>
        <s v="106575"/>
        <s v="106576"/>
        <s v="106577"/>
        <s v="106578"/>
        <s v="106579"/>
        <s v="106580"/>
        <s v="106581"/>
        <s v="106582"/>
        <s v="106583"/>
        <s v="106584"/>
        <s v="106585"/>
        <s v="106586"/>
        <s v="106587"/>
        <s v="106588"/>
        <s v="106589"/>
        <s v="106590"/>
        <s v="106591"/>
        <s v="106592"/>
        <s v="106593"/>
        <s v="106594"/>
        <s v="106595"/>
        <s v="106596"/>
        <s v="106597"/>
        <s v="106598"/>
        <s v="106599"/>
        <s v="106600"/>
        <s v="106601"/>
        <s v="106602"/>
        <s v="106603"/>
        <s v="106604"/>
        <s v="106605"/>
        <s v="106606"/>
        <s v="106607"/>
        <s v="106608"/>
        <s v="106609"/>
        <s v="106610"/>
        <s v="106611"/>
        <s v="106612"/>
        <s v="106613"/>
        <s v="106614"/>
        <s v="106615"/>
        <s v="106616"/>
        <s v="106617"/>
        <s v="106618"/>
        <s v="106619"/>
        <s v="106620"/>
        <s v="106621"/>
        <s v="106622"/>
        <s v="106623"/>
        <s v="106624"/>
        <s v="106625"/>
        <s v="106626"/>
        <s v="106627"/>
        <s v="106628"/>
        <s v="106629"/>
        <s v="106630"/>
        <s v="106631"/>
        <s v="106632"/>
        <s v="106633"/>
        <s v="106634"/>
        <s v="106635"/>
        <s v="106636"/>
        <s v="106637"/>
        <s v="106638"/>
        <s v="106639"/>
        <s v="106640"/>
        <s v="106641"/>
        <s v="106642"/>
        <s v="106643"/>
        <s v="106644"/>
        <s v="106645"/>
        <s v="106646"/>
        <s v="106647"/>
        <s v="106648"/>
        <s v="106649"/>
        <s v="106650"/>
        <s v="106651"/>
        <s v="106652"/>
        <s v="106653"/>
        <s v="106654"/>
        <s v="106655"/>
        <s v="106656"/>
        <s v="106657"/>
        <s v="106658"/>
        <s v="106659"/>
        <s v="106660"/>
        <s v="106661"/>
        <s v="106662"/>
        <s v="106663"/>
        <s v="106664"/>
        <s v="106665"/>
        <s v="106666"/>
        <s v="106667"/>
        <s v="106668"/>
        <s v="106669"/>
        <s v="106670"/>
        <s v="106671"/>
        <s v="106672"/>
        <s v="106673"/>
        <s v="106674"/>
        <s v="106675"/>
        <s v="106676"/>
        <s v="106677"/>
        <s v="106678"/>
        <s v="106679"/>
        <s v="106680"/>
        <s v="106681"/>
        <s v="106682"/>
        <s v="106683"/>
        <s v="106684"/>
        <s v="106685"/>
        <s v="106686"/>
        <s v="106687"/>
        <s v="106688"/>
        <s v="106689"/>
        <s v="106690"/>
        <s v="106691"/>
        <s v="106692"/>
        <s v="106693"/>
        <s v="106694"/>
        <s v="106695"/>
        <s v="106696"/>
        <s v="106697"/>
        <s v="106698"/>
        <s v="106699"/>
        <s v="106700"/>
        <s v="106701"/>
        <s v="106702"/>
        <s v="106703"/>
        <s v="106704"/>
        <s v="106705"/>
        <s v="106706"/>
        <s v="106707"/>
        <s v="106708"/>
        <s v="106709"/>
        <s v="106710"/>
        <s v="106711"/>
        <s v="106712"/>
        <s v="106713"/>
        <s v="106714"/>
        <s v="106715"/>
        <s v="106716"/>
        <s v="106717"/>
        <s v="106718"/>
        <s v="106719"/>
        <s v="106720"/>
        <s v="106721"/>
        <s v="106722"/>
        <s v="106723"/>
        <s v="106724"/>
        <s v="106725"/>
        <s v="106726"/>
        <s v="106727"/>
        <s v="106728"/>
        <s v="106729"/>
        <s v="106730"/>
        <s v="106731"/>
        <s v="106732"/>
        <s v="106733"/>
        <s v="106734"/>
        <s v="106735"/>
        <s v="106736"/>
        <s v="106737"/>
        <s v="106738"/>
        <s v="106739"/>
        <s v="106740"/>
        <s v="106741"/>
        <s v="106742"/>
        <s v="106743"/>
        <s v="106744"/>
        <s v="106745"/>
        <s v="106746"/>
        <s v="106747"/>
        <s v="106748"/>
        <s v="106749"/>
        <s v="106750"/>
        <s v="106751"/>
        <s v="106752"/>
        <s v="106753"/>
        <s v="106754"/>
        <s v="106755"/>
        <s v="106756"/>
        <s v="106757"/>
        <s v="106758"/>
        <s v="106759"/>
        <s v="106760"/>
        <s v="106761"/>
        <s v="106762"/>
        <s v="106763"/>
        <s v="106764"/>
        <s v="106765"/>
        <s v="106766"/>
        <s v="106767"/>
        <s v="106768"/>
        <s v="106769"/>
        <s v="106770"/>
        <s v="106771"/>
        <s v="106772"/>
        <s v="106773"/>
        <s v="106774"/>
        <s v="106775"/>
        <s v="106776"/>
        <s v="106777"/>
        <s v="106778"/>
        <s v="106779"/>
        <s v="106780"/>
        <s v="106781"/>
        <s v="106782"/>
        <s v="106783"/>
        <s v="106784"/>
        <s v="106785"/>
        <s v="106786"/>
        <s v="106787"/>
        <s v="106788"/>
        <s v="106789"/>
        <s v="106790"/>
        <s v="106791"/>
        <s v="106792"/>
        <s v="106793"/>
        <s v="106794"/>
        <s v="106795"/>
        <s v="106796"/>
        <s v="106797"/>
        <s v="106798"/>
        <s v="106799"/>
        <s v="106800"/>
        <s v="106801"/>
        <s v="106802"/>
        <s v="106803"/>
        <s v="106804"/>
        <s v="106805"/>
        <s v="106806"/>
        <s v="106807"/>
        <s v="106808"/>
        <s v="106809"/>
        <s v="106810"/>
        <s v="106811"/>
        <s v="106812"/>
        <s v="106813"/>
        <s v="106814"/>
        <s v="106815"/>
        <s v="106816"/>
        <s v="106817"/>
        <s v="106818"/>
        <s v="106819"/>
        <s v="106820"/>
        <s v="106821"/>
        <s v="106822"/>
        <s v="106823"/>
        <s v="106824"/>
        <s v="106825"/>
        <s v="106826"/>
        <s v="106827"/>
        <s v="106828"/>
        <s v="106829"/>
        <s v="106830"/>
        <s v="106831"/>
        <s v="106832"/>
        <s v="106833"/>
        <s v="106834"/>
        <s v="106835"/>
        <s v="106836"/>
        <s v="106837"/>
        <s v="106838"/>
        <s v="106839"/>
        <s v="106840"/>
        <s v="106841"/>
        <s v="106842"/>
        <s v="106843"/>
        <s v="106844"/>
        <s v="106845"/>
        <s v="106846"/>
        <s v="106847"/>
        <s v="106848"/>
        <s v="106849"/>
        <s v="106850"/>
        <s v="106851"/>
        <s v="106852"/>
        <s v="106853"/>
        <s v="106854"/>
        <s v="106855"/>
        <s v="106856"/>
        <s v="106857"/>
        <s v="106858"/>
        <s v="106859"/>
        <s v="106860"/>
        <s v="106861"/>
        <s v="106862"/>
        <s v="106863"/>
        <s v="106864"/>
        <s v="106865"/>
        <s v="106866"/>
        <s v="106867"/>
        <s v="106868"/>
        <s v="106869"/>
        <s v="106870"/>
        <s v="106871"/>
        <s v="106872"/>
        <s v="106873"/>
        <s v="106874"/>
        <s v="106875"/>
        <s v="106876"/>
        <s v="106877"/>
        <s v="106878"/>
        <s v="106879"/>
        <s v="106880"/>
        <s v="106881"/>
        <s v="106882"/>
        <s v="106883"/>
        <s v="106884"/>
        <s v="106885"/>
        <s v="106886"/>
        <s v="106887"/>
        <s v="106888"/>
        <s v="106889"/>
        <s v="106890"/>
        <s v="106891"/>
        <s v="106892"/>
        <s v="106893"/>
        <s v="106894"/>
        <s v="106895"/>
        <s v="106896"/>
        <s v="106897"/>
        <s v="106898"/>
        <s v="106899"/>
        <s v="106900"/>
        <s v="106901"/>
        <s v="106902"/>
        <s v="106903"/>
        <s v="106904"/>
        <s v="106905"/>
        <s v="106906"/>
        <s v="106907"/>
        <s v="106908"/>
        <s v="106909"/>
        <s v="106910"/>
        <s v="106911"/>
        <s v="106912"/>
        <s v="106913"/>
        <s v="106914"/>
        <s v="106915"/>
        <s v="106916"/>
        <s v="106917"/>
        <s v="106918"/>
        <s v="106919"/>
        <s v="106920"/>
        <s v="106921"/>
        <s v="106922"/>
        <s v="106923"/>
        <s v="106924"/>
        <s v="106925"/>
        <s v="106926"/>
        <s v="106927"/>
        <s v="106928"/>
        <s v="106929"/>
        <s v="106930"/>
        <s v="106931"/>
        <s v="106932"/>
        <s v="106933"/>
        <s v="106934"/>
        <s v="106935"/>
        <s v="106936"/>
        <s v="106937"/>
        <s v="106938"/>
        <s v="106939"/>
        <s v="106940"/>
        <s v="106941"/>
        <s v="106942"/>
        <s v="106943"/>
        <s v="106944"/>
        <s v="106945"/>
        <s v="106946"/>
        <s v="106947"/>
        <s v="106948"/>
        <s v="106949"/>
        <s v="106950"/>
        <s v="106951"/>
        <s v="106952"/>
        <s v="106953"/>
        <s v="106954"/>
        <s v="106955"/>
        <s v="106956"/>
        <s v="106957"/>
        <s v="106958"/>
        <s v="106959"/>
        <s v="106960"/>
        <s v="106961"/>
        <s v="106962"/>
        <s v="106963"/>
        <s v="106964"/>
        <s v="106965"/>
        <s v="106966"/>
        <s v="106967"/>
        <s v="106968"/>
        <s v="106969"/>
        <s v="106970"/>
        <s v="106971"/>
        <s v="106972"/>
        <s v="106973"/>
        <s v="106974"/>
        <s v="106975"/>
        <s v="106976"/>
        <s v="106977"/>
        <s v="106978"/>
        <s v="106979"/>
        <s v="106980"/>
        <s v="106981"/>
        <s v="106982"/>
        <s v="106983"/>
        <s v="106984"/>
        <s v="106985"/>
        <s v="106986"/>
        <s v="106987"/>
        <s v="106988"/>
        <s v="106989"/>
        <s v="106990"/>
        <s v="106991"/>
        <s v="106992"/>
        <s v="106993"/>
        <s v="106994"/>
        <s v="106995"/>
        <s v="106996"/>
        <s v="106997"/>
        <s v="106998"/>
        <s v="106999"/>
        <s v="107000"/>
        <s v="107001"/>
        <s v="107002"/>
        <s v="107003"/>
        <s v="107004"/>
        <s v="107005"/>
        <s v="107006"/>
        <s v="107007"/>
        <s v="107008"/>
        <s v="107009"/>
        <s v="107010"/>
        <s v="107011"/>
        <s v="107012"/>
        <s v="107013"/>
        <s v="107014"/>
        <s v="107015"/>
        <s v="107016"/>
        <s v="107017"/>
        <s v="107018"/>
        <s v="107019"/>
        <s v="107020"/>
        <s v="107021"/>
        <s v="107022"/>
        <s v="107023"/>
        <s v="107024"/>
        <s v="107025"/>
        <s v="107026"/>
        <s v="107027"/>
        <s v="107028"/>
        <s v="107029"/>
        <s v="107030"/>
        <s v="107031"/>
        <s v="107032"/>
        <s v="107033"/>
        <s v="107034"/>
        <s v="107035"/>
        <s v="107036"/>
        <s v="107037"/>
        <s v="107038"/>
        <s v="107039"/>
        <s v="107040"/>
        <s v="107041"/>
        <s v="107042"/>
        <s v="107043"/>
        <s v="107044"/>
        <s v="107045"/>
        <s v="107046"/>
        <s v="107047"/>
        <s v="107048"/>
        <s v="107049"/>
        <s v="107050"/>
        <s v="107051"/>
        <s v="107052"/>
        <s v="107053"/>
        <s v="107054"/>
        <s v="107055"/>
        <s v="107056"/>
        <s v="107057"/>
        <s v="107058"/>
        <s v="107059"/>
        <s v="107060"/>
        <s v="107061"/>
        <s v="107062"/>
        <s v="107063"/>
        <s v="107064"/>
        <s v="107065"/>
        <s v="107066"/>
        <s v="107067"/>
        <s v="107068"/>
        <s v="107069"/>
        <s v="107070"/>
        <s v="107071"/>
        <s v="107072"/>
        <s v="107073"/>
        <s v="107074"/>
        <s v="107075"/>
        <s v="107076"/>
        <s v="107077"/>
        <s v="107078"/>
        <s v="107079"/>
        <s v="107080"/>
        <s v="107081"/>
        <s v="107082"/>
        <s v="107083"/>
        <s v="107084"/>
        <s v="107085"/>
        <s v="107086"/>
        <s v="107087"/>
        <s v="107088"/>
        <s v="107089"/>
        <s v="107090"/>
        <s v="107091"/>
        <s v="107092"/>
        <s v="107093"/>
        <s v="107094"/>
        <s v="107095"/>
        <s v="107096"/>
        <s v="107097"/>
        <s v="107098"/>
        <s v="107099"/>
        <s v="107100"/>
        <s v="107101"/>
        <s v="107102"/>
        <s v="107103"/>
        <s v="107104"/>
        <s v="107105"/>
        <s v="107106"/>
        <s v="107107"/>
        <s v="107108"/>
        <s v="107109"/>
        <s v="107110"/>
        <s v="107111"/>
        <s v="107112"/>
        <s v="107113"/>
        <s v="107114"/>
        <s v="107115"/>
        <s v="107116"/>
        <s v="107117"/>
        <s v="107118"/>
        <s v="107119"/>
        <s v="107120"/>
        <s v="107121"/>
        <s v="107122"/>
        <s v="107123"/>
        <s v="107124"/>
        <s v="107125"/>
        <s v="107126"/>
        <s v="107127"/>
        <s v="107128"/>
        <s v="107129"/>
        <s v="107130"/>
        <s v="107131"/>
        <s v="107132"/>
        <s v="107133"/>
        <s v="107134"/>
        <s v="107135"/>
        <s v="107136"/>
        <s v="107137"/>
        <s v="107138"/>
        <s v="107139"/>
        <s v="107140"/>
        <s v="107141"/>
        <s v="107142"/>
        <s v="107143"/>
        <s v="107144"/>
        <s v="107145"/>
        <s v="107146"/>
        <s v="107147"/>
        <s v="107148"/>
        <s v="107149"/>
        <s v="107150"/>
        <s v="107151"/>
        <s v="107152"/>
        <s v="107153"/>
        <s v="107154"/>
        <s v="107155"/>
        <s v="107156"/>
        <s v="107157"/>
        <s v="107158"/>
        <s v="107159"/>
        <s v="107160"/>
        <s v="107161"/>
        <s v="107162"/>
        <s v="107163"/>
        <s v="107164"/>
        <s v="107165"/>
        <s v="107166"/>
        <s v="107167"/>
        <s v="107168"/>
        <s v="107169"/>
        <s v="107170"/>
        <s v="107171"/>
        <s v="107172"/>
        <s v="107173"/>
        <s v="107174"/>
        <s v="107175"/>
        <s v="107176"/>
        <s v="107177"/>
        <s v="107178"/>
        <s v="107179"/>
        <s v="107180"/>
        <s v="107181"/>
        <s v="107182"/>
        <s v="107183"/>
        <s v="107184"/>
        <s v="107185"/>
        <s v="107186"/>
        <s v="107187"/>
        <s v="107188"/>
        <s v="107189"/>
        <s v="107190"/>
        <s v="107191"/>
        <s v="107192"/>
        <s v="107193"/>
        <s v="107194"/>
        <s v="107195"/>
        <s v="107196"/>
        <s v="107197"/>
        <s v="107198"/>
        <s v="107199"/>
        <s v="107200"/>
        <s v="107201"/>
        <s v="107202"/>
        <s v="107203"/>
        <s v="107204"/>
        <s v="107205"/>
        <s v="107206"/>
        <s v="107207"/>
        <s v="107208"/>
        <s v="107209"/>
        <s v="107210"/>
        <s v="107211"/>
        <s v="107212"/>
        <s v="107213"/>
        <s v="107214"/>
        <s v="107215"/>
        <s v="107216"/>
        <s v="107217"/>
        <s v="107218"/>
        <s v="107219"/>
        <s v="107220"/>
        <s v="107221"/>
        <s v="107222"/>
        <s v="107223"/>
        <s v="107224"/>
        <s v="107225"/>
        <s v="107226"/>
        <s v="107227"/>
        <s v="107228"/>
        <s v="107229"/>
        <s v="107230"/>
        <s v="107231"/>
        <s v="107232"/>
        <s v="107233"/>
        <s v="107234"/>
        <s v="107235"/>
        <s v="107236"/>
        <s v="107237"/>
        <s v="107238"/>
        <s v="107239"/>
        <s v="107240"/>
        <s v="107241"/>
        <s v="107242"/>
        <s v="107243"/>
        <s v="107244"/>
        <s v="107245"/>
        <s v="107246"/>
        <s v="107247"/>
        <s v="107248"/>
        <s v="107249"/>
        <s v="107250"/>
        <s v="107251"/>
        <s v="107252"/>
        <s v="107253"/>
        <s v="107254"/>
        <s v="107255"/>
        <s v="107256"/>
        <s v="107257"/>
        <s v="107258"/>
        <s v="107259"/>
        <s v="107260"/>
        <s v="107261"/>
        <s v="107262"/>
        <s v="107263"/>
        <s v="107264"/>
        <s v="107265"/>
        <s v="107266"/>
        <s v="107267"/>
        <s v="107268"/>
        <s v="107269"/>
        <s v="107270"/>
        <s v="107271"/>
        <s v="107272"/>
        <s v="107273"/>
        <s v="107274"/>
        <s v="107275"/>
        <s v="107276"/>
        <s v="107277"/>
        <s v="107278"/>
        <s v="107279"/>
        <s v="107280"/>
        <s v="107281"/>
        <s v="107282"/>
        <s v="107283"/>
        <s v="107284"/>
        <s v="107285"/>
        <s v="107286"/>
        <s v="107287"/>
        <s v="107288"/>
        <s v="107289"/>
        <s v="107290"/>
        <s v="107291"/>
        <s v="107292"/>
        <s v="107293"/>
        <s v="107294"/>
        <s v="107295"/>
        <s v="107296"/>
        <s v="107297"/>
        <s v="107298"/>
        <s v="107299"/>
        <s v="107300"/>
        <s v="107301"/>
        <s v="107302"/>
        <s v="107303"/>
        <s v="107304"/>
        <s v="107305"/>
        <s v="107306"/>
        <s v="107307"/>
        <s v="107308"/>
        <s v="107309"/>
        <s v="107310"/>
        <s v="107311"/>
        <s v="107312"/>
        <s v="107313"/>
        <s v="107314"/>
        <s v="107315"/>
        <s v="107316"/>
        <s v="107317"/>
        <s v="107318"/>
        <s v="107319"/>
        <s v="107320"/>
        <s v="107321"/>
        <s v="107322"/>
        <s v="107323"/>
        <s v="107324"/>
        <s v="107325"/>
        <s v="107326"/>
        <s v="107327"/>
        <s v="107328"/>
        <s v="107329"/>
        <s v="107330"/>
        <s v="107331"/>
        <s v="107332"/>
        <s v="107333"/>
        <s v="107334"/>
        <s v="107335"/>
        <s v="107336"/>
        <s v="107337"/>
        <s v="107338"/>
        <s v="107339"/>
        <s v="107340"/>
        <s v="107341"/>
        <s v="107342"/>
        <s v="107343"/>
        <s v="107344"/>
        <s v="107345"/>
        <s v="107346"/>
        <s v="107347"/>
        <s v="107348"/>
        <s v="107349"/>
        <s v="107350"/>
        <s v="107351"/>
        <s v="107352"/>
        <s v="107353"/>
        <s v="107354"/>
        <s v="107355"/>
        <s v="107356"/>
        <s v="107357"/>
        <s v="107358"/>
        <s v="107359"/>
        <s v="107360"/>
        <s v="107361"/>
        <s v="107362"/>
        <s v="107363"/>
        <s v="107364"/>
        <s v="107365"/>
        <s v="107366"/>
        <s v="107367"/>
        <s v="107368"/>
        <s v="107369"/>
        <s v="107370"/>
        <s v="107371"/>
        <s v="107372"/>
        <s v="107373"/>
        <s v="107374"/>
        <s v="107375"/>
        <s v="107376"/>
        <s v="107377"/>
        <s v="107378"/>
        <s v="107379"/>
        <s v="107380"/>
        <s v="107381"/>
        <s v="107382"/>
        <s v="107383"/>
        <s v="107384"/>
        <s v="107385"/>
        <s v="107386"/>
        <s v="107387"/>
        <s v="107388"/>
        <s v="107389"/>
        <s v="107390"/>
        <s v="107391"/>
        <s v="107392"/>
        <s v="107393"/>
        <s v="107394"/>
        <s v="107395"/>
        <s v="107396"/>
        <s v="107397"/>
        <s v="107398"/>
        <s v="107399"/>
        <s v="107400"/>
        <s v="107401"/>
        <s v="107402"/>
        <s v="107403"/>
        <s v="107404"/>
        <s v="107405"/>
        <s v="107406"/>
        <s v="107407"/>
        <s v="107408"/>
        <s v="107409"/>
        <s v="107410"/>
        <s v="107411"/>
        <s v="107412"/>
        <s v="107413"/>
        <s v="107414"/>
        <s v="107415"/>
        <s v="107416"/>
        <s v="107417"/>
        <s v="107418"/>
        <s v="107419"/>
        <s v="107420"/>
        <s v="107421"/>
        <s v="107422"/>
        <s v="107423"/>
        <s v="107424"/>
        <s v="107425"/>
        <s v="107426"/>
        <s v="107427"/>
        <s v="107428"/>
        <s v="107429"/>
        <s v="107430"/>
        <s v="107431"/>
        <s v="107432"/>
        <s v="107433"/>
        <s v="107434"/>
        <s v="107435"/>
        <s v="107436"/>
        <s v="107437"/>
        <s v="107438"/>
        <s v="107439"/>
        <s v="107440"/>
        <s v="107441"/>
        <s v="107442"/>
        <s v="107443"/>
        <s v="107444"/>
        <s v="107445"/>
        <s v="107446"/>
        <s v="107447"/>
        <s v="107448"/>
        <s v="107449"/>
        <s v="107450"/>
        <s v="107451"/>
        <s v="107452"/>
        <s v="107453"/>
        <s v="107454"/>
        <s v="107455"/>
        <s v="107456"/>
        <s v="107457"/>
        <s v="107458"/>
        <s v="107459"/>
        <s v="107460"/>
        <s v="107461"/>
        <s v="107462"/>
        <s v="107463"/>
        <s v="107464"/>
        <s v="107465"/>
        <s v="107466"/>
        <s v="107467"/>
        <s v="107468"/>
        <s v="107469"/>
        <s v="107470"/>
        <s v="107471"/>
        <s v="107472"/>
        <s v="107473"/>
        <s v="107474"/>
        <s v="107475"/>
        <s v="107476"/>
        <s v="107477"/>
        <s v="107478"/>
        <s v="107479"/>
        <s v="107480"/>
        <s v="107481"/>
        <s v="107482"/>
        <s v="107483"/>
        <s v="107484"/>
        <s v="107485"/>
        <s v="107486"/>
        <s v="107487"/>
        <s v="107488"/>
        <s v="107489"/>
        <s v="107490"/>
        <s v="107491"/>
        <s v="107492"/>
        <s v="107493"/>
        <s v="107494"/>
        <s v="107495"/>
        <s v="107496"/>
        <s v="107497"/>
        <s v="107498"/>
        <s v="107499"/>
        <s v="107500"/>
        <s v="107501"/>
        <s v="107502"/>
        <s v="107503"/>
        <s v="107504"/>
        <s v="107505"/>
        <s v="107506"/>
        <s v="107507"/>
        <s v="107508"/>
        <s v="107509"/>
        <s v="107510"/>
        <s v="107511"/>
        <s v="107512"/>
        <s v="107513"/>
        <s v="107514"/>
        <s v="107515"/>
        <s v="107516"/>
        <s v="107517"/>
        <s v="107518"/>
        <s v="107519"/>
        <s v="107520"/>
        <s v="107521"/>
        <s v="107522"/>
        <s v="107523"/>
        <s v="107524"/>
        <s v="107525"/>
        <s v="107526"/>
        <s v="107527"/>
        <s v="107528"/>
        <s v="107529"/>
        <s v="107530"/>
        <s v="107531"/>
        <s v="107532"/>
        <s v="107533"/>
        <s v="107534"/>
        <s v="107535"/>
        <s v="107536"/>
        <s v="107537"/>
        <s v="107538"/>
        <s v="107539"/>
        <s v="107540"/>
        <s v="107541"/>
        <s v="107542"/>
        <s v="107543"/>
        <s v="107544"/>
        <s v="107545"/>
        <s v="107546"/>
        <s v="107547"/>
        <s v="107548"/>
        <s v="107549"/>
        <s v="107550"/>
        <s v="107551"/>
        <s v="107552"/>
        <s v="107553"/>
        <s v="107554"/>
        <s v="107555"/>
        <s v="107556"/>
        <s v="107557"/>
        <s v="107558"/>
        <s v="107559"/>
        <s v="107560"/>
        <s v="107561"/>
        <s v="107562"/>
        <s v="107563"/>
        <s v="107564"/>
        <s v="107565"/>
        <s v="107566"/>
        <s v="107567"/>
        <s v="107568"/>
        <s v="107569"/>
        <s v="107570"/>
        <s v="107571"/>
        <s v="107572"/>
        <s v="107573"/>
        <s v="107574"/>
        <s v="107575"/>
        <s v="107576"/>
        <s v="107577"/>
        <s v="107578"/>
        <s v="107579"/>
        <s v="107580"/>
        <s v="107581"/>
        <s v="107582"/>
        <s v="107583"/>
        <s v="107584"/>
        <s v="107585"/>
        <s v="107586"/>
        <s v="107587"/>
        <s v="107588"/>
        <s v="107589"/>
        <s v="107590"/>
        <s v="107591"/>
        <s v="107592"/>
        <s v="107593"/>
        <s v="107594"/>
        <s v="107595"/>
        <s v="107596"/>
        <m/>
        <n v="84142" u="1"/>
        <n v="84256" u="1"/>
        <n v="84459" u="1"/>
        <n v="84460" u="1"/>
        <n v="84461" u="1"/>
        <n v="84462" u="1"/>
        <n v="84463" u="1"/>
        <n v="84465" u="1"/>
        <n v="84466" u="1"/>
        <n v="84467" u="1"/>
        <n v="84468" u="1"/>
        <n v="84469" u="1"/>
        <n v="84470" u="1"/>
        <n v="84471" u="1"/>
        <n v="84472" u="1"/>
        <n v="84473" u="1"/>
        <n v="84474" u="1"/>
        <n v="84475" u="1"/>
        <n v="84477" u="1"/>
        <n v="84478" u="1"/>
        <n v="84479" u="1"/>
        <n v="84480" u="1"/>
        <n v="84481" u="1"/>
        <n v="84482" u="1"/>
        <n v="84483" u="1"/>
        <n v="84484" u="1"/>
        <n v="84485" u="1"/>
        <n v="84486" u="1"/>
        <n v="84487" u="1"/>
        <n v="84488" u="1"/>
        <n v="84489" u="1"/>
        <n v="84490" u="1"/>
        <n v="84491" u="1"/>
        <n v="84492" u="1"/>
        <n v="84493" u="1"/>
        <n v="84494" u="1"/>
        <n v="84495" u="1"/>
        <n v="84496" u="1"/>
        <n v="84497" u="1"/>
        <n v="84498" u="1"/>
        <n v="84500" u="1"/>
        <n v="84501" u="1"/>
        <n v="84502" u="1"/>
        <n v="84503" u="1"/>
        <n v="84504" u="1"/>
        <n v="84505" u="1"/>
        <n v="84506" u="1"/>
        <n v="84507" u="1"/>
        <n v="84508" u="1"/>
        <n v="84509" u="1"/>
        <n v="84510" u="1"/>
        <n v="84511" u="1"/>
        <n v="84512" u="1"/>
        <n v="84513" u="1"/>
        <n v="84514" u="1"/>
        <n v="84515" u="1"/>
        <n v="84516" u="1"/>
        <n v="84517" u="1"/>
        <n v="84518" u="1"/>
        <n v="84519" u="1"/>
        <n v="84520" u="1"/>
        <n v="84521" u="1"/>
        <n v="84522" u="1"/>
        <n v="84523" u="1"/>
        <n v="84524" u="1"/>
        <n v="84525" u="1"/>
        <n v="84526" u="1"/>
        <n v="84528" u="1"/>
        <n v="84529" u="1"/>
        <n v="84530" u="1"/>
        <n v="84531" u="1"/>
        <n v="84532" u="1"/>
        <n v="84533" u="1"/>
        <n v="84534" u="1"/>
        <n v="84535" u="1"/>
        <n v="84536" u="1"/>
        <n v="84537" u="1"/>
        <n v="84538" u="1"/>
        <n v="84539" u="1"/>
        <n v="84540" u="1"/>
        <n v="84541" u="1"/>
        <n v="84542" u="1"/>
        <n v="84543" u="1"/>
        <n v="84544" u="1"/>
        <n v="84545" u="1"/>
        <n v="84546" u="1"/>
        <n v="84547" u="1"/>
        <n v="84548" u="1"/>
        <n v="84549" u="1"/>
        <n v="84550" u="1"/>
        <n v="84552" u="1"/>
        <n v="84553" u="1"/>
        <n v="84554" u="1"/>
        <n v="84555" u="1"/>
        <n v="84556" u="1"/>
        <n v="84557" u="1"/>
        <n v="84558" u="1"/>
        <n v="84559" u="1"/>
        <n v="84560" u="1"/>
        <n v="84561" u="1"/>
        <n v="84562" u="1"/>
        <n v="84563" u="1"/>
        <n v="84564" u="1"/>
        <n v="84565" u="1"/>
        <n v="84566" u="1"/>
        <n v="84567" u="1"/>
        <n v="84568" u="1"/>
        <n v="84569" u="1"/>
        <n v="84570" u="1"/>
        <n v="84571" u="1"/>
        <n v="84572" u="1"/>
        <n v="84573" u="1"/>
        <n v="84575" u="1"/>
        <n v="84576" u="1"/>
        <n v="84577" u="1"/>
        <n v="84578" u="1"/>
        <n v="84579" u="1"/>
        <n v="84580" u="1"/>
        <n v="84581" u="1"/>
        <n v="84582" u="1"/>
        <n v="84583" u="1"/>
        <n v="84584" u="1"/>
        <n v="84585" u="1"/>
        <n v="84586" u="1"/>
        <n v="84587" u="1"/>
        <n v="84588" u="1"/>
        <n v="84589" u="1"/>
        <n v="84590" u="1"/>
        <n v="84591" u="1"/>
        <n v="84592" u="1"/>
        <n v="84593" u="1"/>
        <n v="84594" u="1"/>
        <n v="84595" u="1"/>
        <n v="84596" u="1"/>
        <n v="84597" u="1"/>
        <n v="84598" u="1"/>
        <n v="84599" u="1"/>
        <n v="84600" u="1"/>
        <n v="84601" u="1"/>
        <n v="84602" u="1"/>
        <n v="84603" u="1"/>
        <n v="84604" u="1"/>
        <n v="84605" u="1"/>
        <n v="84606" u="1"/>
        <n v="84607" u="1"/>
        <n v="84608" u="1"/>
        <n v="84609" u="1"/>
        <n v="84610" u="1"/>
        <n v="84611" u="1"/>
        <n v="84612" u="1"/>
        <n v="84613" u="1"/>
        <n v="84614" u="1"/>
        <n v="84615" u="1"/>
        <n v="84616" u="1"/>
        <n v="84618" u="1"/>
        <n v="84619" u="1"/>
        <n v="84620" u="1"/>
        <n v="84621" u="1"/>
        <n v="84622" u="1"/>
        <n v="84623" u="1"/>
        <n v="84624" u="1"/>
        <n v="84625" u="1"/>
        <n v="84626" u="1"/>
        <n v="84627" u="1"/>
        <n v="84628" u="1"/>
        <n v="84629" u="1"/>
        <n v="84630" u="1"/>
        <n v="84631" u="1"/>
        <n v="84632" u="1"/>
        <n v="84633" u="1"/>
        <n v="84634" u="1"/>
        <n v="84635" u="1"/>
        <n v="84636" u="1"/>
        <n v="84637" u="1"/>
        <n v="84638" u="1"/>
        <n v="84639" u="1"/>
        <n v="84640" u="1"/>
        <n v="84641" u="1"/>
        <n v="84642" u="1"/>
        <n v="84643" u="1"/>
        <n v="84644" u="1"/>
        <n v="84645" u="1"/>
        <n v="84646" u="1"/>
        <n v="84647" u="1"/>
        <n v="84648" u="1"/>
        <n v="84649" u="1"/>
        <n v="84650" u="1"/>
        <n v="84651" u="1"/>
        <n v="84652" u="1"/>
        <n v="84653" u="1"/>
        <n v="84654" u="1"/>
        <n v="84655" u="1"/>
        <n v="84656" u="1"/>
        <n v="84657" u="1"/>
        <n v="84658" u="1"/>
        <n v="84659" u="1"/>
        <n v="84661" u="1"/>
        <n v="84662" u="1"/>
        <n v="84663" u="1"/>
        <n v="84664" u="1"/>
        <n v="84665" u="1"/>
        <n v="84666" u="1"/>
        <n v="84667" u="1"/>
        <n v="84668" u="1"/>
        <n v="84669" u="1"/>
        <n v="84670" u="1"/>
        <n v="84671" u="1"/>
        <n v="84672" u="1"/>
        <n v="84673" u="1"/>
        <n v="84674" u="1"/>
        <n v="84675" u="1"/>
        <n v="84676" u="1"/>
        <n v="84677" u="1"/>
        <n v="84678" u="1"/>
        <n v="84679" u="1"/>
        <n v="84680" u="1"/>
        <n v="84681" u="1"/>
        <n v="84682" u="1"/>
        <n v="84683" u="1"/>
        <n v="84684" u="1"/>
        <n v="84685" u="1"/>
        <n v="84686" u="1"/>
        <n v="84688" u="1"/>
        <n v="84689" u="1"/>
        <n v="84690" u="1"/>
        <n v="84691" u="1"/>
        <n v="84692" u="1"/>
        <n v="84693" u="1"/>
        <n v="84694" u="1"/>
        <n v="84695" u="1"/>
        <n v="84696" u="1"/>
        <n v="84697" u="1"/>
        <n v="84698" u="1"/>
        <n v="84699" u="1"/>
        <n v="84700" u="1"/>
        <n v="84701" u="1"/>
        <n v="84702" u="1"/>
        <n v="84703" u="1"/>
        <n v="84704" u="1"/>
        <n v="84705" u="1"/>
        <n v="84707" u="1"/>
        <n v="84708" u="1"/>
        <n v="84709" u="1"/>
        <n v="84710" u="1"/>
        <n v="84711" u="1"/>
        <n v="84712" u="1"/>
        <n v="84713" u="1"/>
        <n v="84714" u="1"/>
        <n v="84715" u="1"/>
        <n v="84716" u="1"/>
        <n v="84717" u="1"/>
        <n v="84718" u="1"/>
        <n v="84719" u="1"/>
        <n v="84720" u="1"/>
        <n v="84721" u="1"/>
        <n v="84722" u="1"/>
        <n v="84723" u="1"/>
        <n v="84724" u="1"/>
        <n v="84725" u="1"/>
        <n v="84726" u="1"/>
        <n v="84727" u="1"/>
        <n v="84728" u="1"/>
        <n v="84729" u="1"/>
        <n v="84730" u="1"/>
        <n v="84731" u="1"/>
        <n v="84732" u="1"/>
        <n v="84733" u="1"/>
        <n v="84734" u="1"/>
        <n v="84735" u="1"/>
        <n v="84736" u="1"/>
        <n v="84737" u="1"/>
        <n v="84738" u="1"/>
        <n v="84739" u="1"/>
        <n v="84740" u="1"/>
        <n v="84741" u="1"/>
        <n v="84742" u="1"/>
        <n v="84743" u="1"/>
        <n v="84744" u="1"/>
        <n v="84745" u="1"/>
        <n v="84747" u="1"/>
        <n v="84748" u="1"/>
        <n v="84749" u="1"/>
        <n v="84750" u="1"/>
        <n v="84751" u="1"/>
        <n v="84752" u="1"/>
        <n v="84753" u="1"/>
        <n v="84754" u="1"/>
        <n v="84755" u="1"/>
        <n v="84756" u="1"/>
        <n v="84757" u="1"/>
        <n v="84758" u="1"/>
        <n v="84759" u="1"/>
        <n v="84760" u="1"/>
        <n v="84761" u="1"/>
        <n v="84762" u="1"/>
        <n v="84763" u="1"/>
        <n v="84764" u="1"/>
        <n v="84765" u="1"/>
        <n v="84766" u="1"/>
        <n v="84767" u="1"/>
        <n v="84770" u="1"/>
        <n v="84771" u="1"/>
        <n v="84772" u="1"/>
        <n v="84773" u="1"/>
        <n v="84774" u="1"/>
        <n v="84775" u="1"/>
        <n v="84776" u="1"/>
        <n v="84777" u="1"/>
        <n v="84778" u="1"/>
        <n v="84779" u="1"/>
        <n v="84780" u="1"/>
        <n v="84781" u="1"/>
        <n v="84782" u="1"/>
        <n v="84783" u="1"/>
        <n v="84784" u="1"/>
        <n v="84785" u="1"/>
        <n v="84786" u="1"/>
        <n v="84787" u="1"/>
        <n v="84788" u="1"/>
        <n v="84789" u="1"/>
        <n v="84790" u="1"/>
        <n v="84792" u="1"/>
        <n v="84793" u="1"/>
        <n v="84794" u="1"/>
        <n v="84795" u="1"/>
        <n v="84796" u="1"/>
        <n v="84797" u="1"/>
        <n v="84798" u="1"/>
        <n v="84799" u="1"/>
        <n v="84800" u="1"/>
        <n v="84801" u="1"/>
        <n v="84802" u="1"/>
        <n v="84803" u="1"/>
        <n v="84804" u="1"/>
        <n v="84805" u="1"/>
        <n v="84806" u="1"/>
        <n v="84807" u="1"/>
        <n v="84808" u="1"/>
        <n v="84809" u="1"/>
        <n v="84810" u="1"/>
        <n v="84811" u="1"/>
        <n v="84812" u="1"/>
        <n v="84813" u="1"/>
        <n v="84815" u="1"/>
        <n v="84816" u="1"/>
        <n v="84817" u="1"/>
        <n v="84818" u="1"/>
        <n v="84819" u="1"/>
        <n v="84820" u="1"/>
        <n v="84821" u="1"/>
        <n v="84822" u="1"/>
        <n v="84823" u="1"/>
        <n v="84824" u="1"/>
        <n v="84825" u="1"/>
        <n v="84826" u="1"/>
        <n v="84827" u="1"/>
        <n v="84828" u="1"/>
        <n v="84829" u="1"/>
        <n v="84830" u="1"/>
        <n v="84831" u="1"/>
        <n v="84832" u="1"/>
        <n v="84833" u="1"/>
        <n v="84834" u="1"/>
        <n v="84835" u="1"/>
        <n v="84836" u="1"/>
        <n v="84837" u="1"/>
        <n v="84838" u="1"/>
        <n v="84839" u="1"/>
        <n v="84840" u="1"/>
        <n v="84841" u="1"/>
        <n v="84842" u="1"/>
        <n v="84843" u="1"/>
        <n v="84844" u="1"/>
        <n v="84845" u="1"/>
        <n v="84846" u="1"/>
        <n v="84847" u="1"/>
        <n v="84848" u="1"/>
        <n v="84849" u="1"/>
        <n v="84850" u="1"/>
        <n v="84851" u="1"/>
        <n v="84852" u="1"/>
        <n v="84853" u="1"/>
        <n v="84854" u="1"/>
        <n v="84855" u="1"/>
        <n v="84856" u="1"/>
        <n v="84857" u="1"/>
        <n v="84858" u="1"/>
        <n v="84859" u="1"/>
        <n v="84860" u="1"/>
        <n v="84861" u="1"/>
        <n v="84862" u="1"/>
        <n v="84863" u="1"/>
        <n v="84864" u="1"/>
        <n v="84865" u="1"/>
        <n v="84866" u="1"/>
        <n v="84867" u="1"/>
        <n v="84868" u="1"/>
        <n v="84869" u="1"/>
        <n v="84870" u="1"/>
        <n v="84872" u="1"/>
        <n v="84873" u="1"/>
        <n v="84874" u="1"/>
        <n v="84875" u="1"/>
        <n v="84876" u="1"/>
        <n v="84877" u="1"/>
        <n v="84878" u="1"/>
        <n v="84879" u="1"/>
        <n v="84880" u="1"/>
        <n v="84881" u="1"/>
        <n v="84882" u="1"/>
        <n v="84883" u="1"/>
        <n v="84884" u="1"/>
        <n v="84885" u="1"/>
        <n v="84887" u="1"/>
        <n v="84888" u="1"/>
        <n v="84889" u="1"/>
        <n v="84890" u="1"/>
        <n v="84891" u="1"/>
        <n v="84892" u="1"/>
        <n v="84893" u="1"/>
        <n v="84894" u="1"/>
        <n v="84895" u="1"/>
        <n v="84896" u="1"/>
        <n v="84897" u="1"/>
        <n v="84898" u="1"/>
        <n v="84899" u="1"/>
        <n v="84900" u="1"/>
        <n v="84901" u="1"/>
        <n v="84902" u="1"/>
        <n v="84904" u="1"/>
        <n v="84905" u="1"/>
        <n v="84906" u="1"/>
        <n v="84908" u="1"/>
        <n v="84909" u="1"/>
        <n v="84910" u="1"/>
        <n v="84911" u="1"/>
        <n v="84912" u="1"/>
        <n v="84913" u="1"/>
        <n v="84914" u="1"/>
        <n v="84915" u="1"/>
        <n v="84916" u="1"/>
        <n v="84917" u="1"/>
        <n v="84918" u="1"/>
        <n v="84919" u="1"/>
        <n v="84920" u="1"/>
        <n v="84921" u="1"/>
        <n v="84922" u="1"/>
        <n v="84923" u="1"/>
        <n v="84924" u="1"/>
        <n v="84925" u="1"/>
        <n v="84926" u="1"/>
        <n v="84927" u="1"/>
        <n v="84928" u="1"/>
        <n v="84929" u="1"/>
        <n v="84930" u="1"/>
        <n v="84931" u="1"/>
        <n v="84932" u="1"/>
        <n v="84933" u="1"/>
        <n v="84934" u="1"/>
        <n v="84935" u="1"/>
        <n v="84936" u="1"/>
        <n v="84937" u="1"/>
        <n v="84938" u="1"/>
        <n v="84939" u="1"/>
        <n v="84940" u="1"/>
        <n v="84941" u="1"/>
        <n v="84942" u="1"/>
        <n v="84943" u="1"/>
        <n v="84944" u="1"/>
        <n v="84946" u="1"/>
        <n v="84947" u="1"/>
        <n v="84948" u="1"/>
        <n v="84949" u="1"/>
        <n v="84950" u="1"/>
        <n v="84951" u="1"/>
        <n v="84952" u="1"/>
        <n v="84953" u="1"/>
        <n v="84954" u="1"/>
        <n v="84955" u="1"/>
        <n v="84956" u="1"/>
        <n v="84957" u="1"/>
        <n v="84958" u="1"/>
        <n v="84959" u="1"/>
        <n v="84960" u="1"/>
        <n v="84961" u="1"/>
        <n v="84962" u="1"/>
        <n v="84963" u="1"/>
        <n v="84964" u="1"/>
        <n v="84965" u="1"/>
        <n v="84966" u="1"/>
        <n v="84967" u="1"/>
        <n v="84968" u="1"/>
        <n v="84969" u="1"/>
        <n v="84970" u="1"/>
        <n v="84971" u="1"/>
        <n v="84972" u="1"/>
        <n v="84973" u="1"/>
        <n v="84974" u="1"/>
        <n v="84975" u="1"/>
        <n v="84976" u="1"/>
        <n v="84977" u="1"/>
        <n v="84978" u="1"/>
        <n v="84979" u="1"/>
        <n v="84980" u="1"/>
        <n v="84981" u="1"/>
        <n v="84982" u="1"/>
        <n v="84983" u="1"/>
        <n v="84984" u="1"/>
        <n v="84985" u="1"/>
        <n v="84987" u="1"/>
        <n v="84988" u="1"/>
        <n v="84989" u="1"/>
        <n v="84990" u="1"/>
        <n v="84991" u="1"/>
        <n v="84992" u="1"/>
        <n v="84993" u="1"/>
        <n v="84994" u="1"/>
        <n v="84995" u="1"/>
        <n v="84996" u="1"/>
        <n v="84997" u="1"/>
        <n v="84998" u="1"/>
        <n v="84999" u="1"/>
        <n v="85000" u="1"/>
        <n v="85001" u="1"/>
        <n v="85002" u="1"/>
        <n v="85003" u="1"/>
        <n v="85004" u="1"/>
        <n v="85005" u="1"/>
        <n v="85006" u="1"/>
        <n v="85007" u="1"/>
        <n v="85008" u="1"/>
        <n v="85009" u="1"/>
        <n v="85010" u="1"/>
        <n v="85011" u="1"/>
        <n v="85012" u="1"/>
        <n v="85013" u="1"/>
        <n v="85014" u="1"/>
        <n v="84015" u="1"/>
        <n v="85017" u="1"/>
        <n v="85018" u="1"/>
        <n v="85019" u="1"/>
        <n v="85020" u="1"/>
        <n v="85021" u="1"/>
        <n v="85022" u="1"/>
        <n v="85023" u="1"/>
        <n v="85024" u="1"/>
        <n v="85025" u="1"/>
        <n v="85026" u="1"/>
        <n v="85027" u="1"/>
        <n v="85028" u="1"/>
        <n v="85029" u="1"/>
        <n v="85030" u="1"/>
        <n v="85031" u="1"/>
        <n v="85032" u="1"/>
        <n v="85033" u="1"/>
        <n v="85034" u="1"/>
        <n v="85035" u="1"/>
        <n v="85036" u="1"/>
        <n v="85037" u="1"/>
        <n v="85038" u="1"/>
        <n v="85039" u="1"/>
        <n v="85040" u="1"/>
        <n v="85041" u="1"/>
        <n v="85042" u="1"/>
        <n v="85043" u="1"/>
        <n v="85044" u="1"/>
        <n v="85045" u="1"/>
        <n v="85046" u="1"/>
        <n v="85047" u="1"/>
        <n v="85048" u="1"/>
        <n v="85049" u="1"/>
        <n v="85050" u="1"/>
        <n v="85052" u="1"/>
        <n v="85053" u="1"/>
        <n v="85054" u="1"/>
        <n v="85055" u="1"/>
        <n v="85056" u="1"/>
        <n v="85057" u="1"/>
        <n v="85058" u="1"/>
        <n v="85059" u="1"/>
        <n v="85060" u="1"/>
        <n v="85061" u="1"/>
        <n v="85062" u="1"/>
        <n v="85063" u="1"/>
        <n v="85064" u="1"/>
        <n v="85065" u="1"/>
        <n v="85066" u="1"/>
        <n v="85067" u="1"/>
        <n v="85068" u="1"/>
        <n v="85069" u="1"/>
        <n v="85070" u="1"/>
        <n v="85071" u="1"/>
        <n v="85072" u="1"/>
        <n v="85073" u="1"/>
        <n v="85074" u="1"/>
        <n v="85075" u="1"/>
        <n v="85076" u="1"/>
        <n v="85077" u="1"/>
        <n v="85078" u="1"/>
        <n v="85079" u="1"/>
        <n v="85080" u="1"/>
        <n v="85081" u="1"/>
        <n v="85082" u="1"/>
        <n v="85083" u="1"/>
        <n v="85084" u="1"/>
        <n v="85085" u="1"/>
        <n v="85086" u="1"/>
        <n v="85087" u="1"/>
        <n v="85088" u="1"/>
        <n v="85089" u="1"/>
        <n v="85090" u="1"/>
        <n v="85091" u="1"/>
        <n v="85092" u="1"/>
        <n v="85093" u="1"/>
        <n v="85094" u="1"/>
        <n v="85095" u="1"/>
        <n v="85096" u="1"/>
        <n v="85097" u="1"/>
        <n v="85098" u="1"/>
        <n v="85099" u="1"/>
        <n v="85100" u="1"/>
        <n v="85101" u="1"/>
        <n v="85102" u="1"/>
        <n v="85103" u="1"/>
        <n v="85104" u="1"/>
        <n v="85105" u="1"/>
        <n v="85106" u="1"/>
        <n v="85107" u="1"/>
        <n v="85108" u="1"/>
        <n v="85109" u="1"/>
        <n v="85110" u="1"/>
        <n v="85111" u="1"/>
        <n v="85112" u="1"/>
        <n v="85113" u="1"/>
        <n v="85114" u="1"/>
        <n v="85115" u="1"/>
        <n v="85116" u="1"/>
        <n v="85117" u="1"/>
        <n v="85118" u="1"/>
        <n v="85119" u="1"/>
        <n v="85120" u="1"/>
        <n v="85121" u="1"/>
        <n v="85122" u="1"/>
        <n v="85123" u="1"/>
        <n v="85124" u="1"/>
        <n v="85125" u="1"/>
        <n v="85126" u="1"/>
        <n v="85127" u="1"/>
        <n v="85128" u="1"/>
        <n v="85129" u="1"/>
        <n v="85130" u="1"/>
        <n v="85131" u="1"/>
        <n v="85132" u="1"/>
        <n v="85133" u="1"/>
        <n v="85134" u="1"/>
        <n v="85135" u="1"/>
        <n v="85136" u="1"/>
        <n v="85137" u="1"/>
        <n v="85138" u="1"/>
        <n v="85139" u="1"/>
        <n v="85140" u="1"/>
        <n v="85141" u="1"/>
        <n v="85142" u="1"/>
        <n v="85143" u="1"/>
        <n v="85144" u="1"/>
        <n v="85145" u="1"/>
        <n v="85146" u="1"/>
        <n v="85147" u="1"/>
        <n v="85148" u="1"/>
        <n v="85149" u="1"/>
        <n v="85150" u="1"/>
        <n v="85151" u="1"/>
        <n v="85152" u="1"/>
        <n v="85153" u="1"/>
        <n v="85154" u="1"/>
        <n v="85155" u="1"/>
        <n v="85156" u="1"/>
        <n v="85157" u="1"/>
        <n v="85158" u="1"/>
        <n v="85159" u="1"/>
        <n v="85160" u="1"/>
        <n v="85161" u="1"/>
        <n v="85162" u="1"/>
        <n v="85163" u="1"/>
        <n v="85164" u="1"/>
        <n v="85165" u="1"/>
        <n v="85166" u="1"/>
        <n v="85167" u="1"/>
        <n v="85168" u="1"/>
        <n v="85170" u="1"/>
        <n v="85171" u="1"/>
        <n v="85172" u="1"/>
        <n v="85173" u="1"/>
        <n v="85174" u="1"/>
        <n v="85175" u="1"/>
        <n v="85176" u="1"/>
        <n v="85177" u="1"/>
        <n v="85179" u="1"/>
        <n v="85180" u="1"/>
        <n v="85181" u="1"/>
        <n v="85182" u="1"/>
        <n v="85183" u="1"/>
        <n v="85185" u="1"/>
        <n v="85186" u="1"/>
        <n v="85187" u="1"/>
        <n v="85188" u="1"/>
        <n v="85189" u="1"/>
        <n v="85190" u="1"/>
        <n v="85191" u="1"/>
        <n v="85192" u="1"/>
        <n v="85193" u="1"/>
        <n v="85194" u="1"/>
        <n v="85195" u="1"/>
        <n v="85196" u="1"/>
        <n v="85197" u="1"/>
        <n v="85198" u="1"/>
        <n v="85199" u="1"/>
        <n v="85200" u="1"/>
        <n v="85201" u="1"/>
        <n v="85202" u="1"/>
        <n v="85203" u="1"/>
        <n v="85204" u="1"/>
        <n v="85205" u="1"/>
        <n v="85206" u="1"/>
        <n v="85207" u="1"/>
        <n v="85208" u="1"/>
        <n v="85209" u="1"/>
        <n v="85210" u="1"/>
        <n v="85211" u="1"/>
        <n v="85212" u="1"/>
        <n v="85213" u="1"/>
        <n v="85214" u="1"/>
        <n v="85215" u="1"/>
        <n v="85216" u="1"/>
        <n v="85217" u="1"/>
        <n v="85218" u="1"/>
        <n v="85219" u="1"/>
        <n v="85220" u="1"/>
        <n v="85221" u="1"/>
        <n v="85222" u="1"/>
        <n v="85223" u="1"/>
        <n v="85224" u="1"/>
        <n v="85225" u="1"/>
        <n v="85226" u="1"/>
        <n v="85227" u="1"/>
        <n v="85228" u="1"/>
        <n v="85229" u="1"/>
        <n v="85230" u="1"/>
        <n v="85231" u="1"/>
        <n v="85232" u="1"/>
        <n v="85233" u="1"/>
        <n v="85234" u="1"/>
        <n v="85235" u="1"/>
        <n v="85236" u="1"/>
        <n v="85237" u="1"/>
        <n v="85238" u="1"/>
        <n v="85239" u="1"/>
        <n v="85240" u="1"/>
        <n v="85241" u="1"/>
        <n v="85242" u="1"/>
        <n v="85243" u="1"/>
        <n v="85244" u="1"/>
        <n v="85245" u="1"/>
        <n v="85246" u="1"/>
        <n v="85247" u="1"/>
        <n v="85248" u="1"/>
        <n v="85249" u="1"/>
        <n v="85250" u="1"/>
        <n v="85251" u="1"/>
        <n v="85252" u="1"/>
        <n v="85253" u="1"/>
        <n v="85254" u="1"/>
        <n v="85255" u="1"/>
        <n v="85256" u="1"/>
        <n v="85257" u="1"/>
        <n v="85258" u="1"/>
        <n v="85259" u="1"/>
        <n v="85260" u="1"/>
        <n v="85261" u="1"/>
        <n v="85262" u="1"/>
        <n v="85263" u="1"/>
        <n v="85264" u="1"/>
        <n v="85265" u="1"/>
        <n v="85266" u="1"/>
        <n v="85267" u="1"/>
        <n v="85268" u="1"/>
        <n v="85269" u="1"/>
        <n v="85270" u="1"/>
        <n v="85271" u="1"/>
        <n v="85272" u="1"/>
        <n v="85273" u="1"/>
        <n v="85274" u="1"/>
        <n v="85275" u="1"/>
        <n v="85276" u="1"/>
        <n v="85277" u="1"/>
        <n v="85278" u="1"/>
        <n v="85279" u="1"/>
        <n v="85280" u="1"/>
        <n v="85281" u="1"/>
        <n v="85282" u="1"/>
        <n v="85283" u="1"/>
        <n v="85284" u="1"/>
        <n v="85285" u="1"/>
        <n v="85286" u="1"/>
        <n v="85287" u="1"/>
        <n v="85288" u="1"/>
        <n v="85289" u="1"/>
        <n v="85290" u="1"/>
        <n v="85291" u="1"/>
        <n v="85292" u="1"/>
        <n v="85293" u="1"/>
        <n v="85294" u="1"/>
        <n v="85295" u="1"/>
        <n v="85296" u="1"/>
        <n v="85297" u="1"/>
        <n v="85298" u="1"/>
        <n v="85299" u="1"/>
        <n v="85300" u="1"/>
        <n v="85301" u="1"/>
        <n v="85303" u="1"/>
        <n v="85304" u="1"/>
        <n v="85305" u="1"/>
        <n v="85306" u="1"/>
        <n v="85307" u="1"/>
        <n v="85308" u="1"/>
        <n v="85309" u="1"/>
        <n v="85310" u="1"/>
        <n v="85311" u="1"/>
        <n v="85312" u="1"/>
        <n v="85313" u="1"/>
        <n v="85314" u="1"/>
        <n v="85315" u="1"/>
        <n v="85316" u="1"/>
        <n v="85317" u="1"/>
        <n v="85318" u="1"/>
        <n v="85319" u="1"/>
        <n v="85320" u="1"/>
        <n v="85321" u="1"/>
        <n v="85322" u="1"/>
        <n v="85323" u="1"/>
        <n v="85324" u="1"/>
        <n v="85325" u="1"/>
        <n v="85326" u="1"/>
        <n v="85327" u="1"/>
        <n v="85328" u="1"/>
        <n v="85329" u="1"/>
        <n v="85330" u="1"/>
        <n v="85331" u="1"/>
        <n v="85332" u="1"/>
        <n v="85333" u="1"/>
        <n v="85335" u="1"/>
        <n v="85336" u="1"/>
        <n v="85337" u="1"/>
        <n v="85338" u="1"/>
        <n v="85339" u="1"/>
        <n v="85340" u="1"/>
        <n v="85341" u="1"/>
        <n v="85342" u="1"/>
        <n v="85343" u="1"/>
        <n v="85344" u="1"/>
        <n v="85345" u="1"/>
        <n v="85346" u="1"/>
        <n v="85347" u="1"/>
        <n v="85348" u="1"/>
        <n v="85349" u="1"/>
        <n v="85350" u="1"/>
        <n v="85351" u="1"/>
        <n v="85352" u="1"/>
        <n v="85353" u="1"/>
        <n v="85354" u="1"/>
        <n v="85355" u="1"/>
        <n v="85357" u="1"/>
        <n v="85358" u="1"/>
        <n v="85360" u="1"/>
        <n v="85361" u="1"/>
        <n v="85362" u="1"/>
        <n v="85363" u="1"/>
        <n v="85364" u="1"/>
        <n v="85365" u="1"/>
        <n v="85366" u="1"/>
        <n v="85367" u="1"/>
        <n v="85368" u="1"/>
        <n v="85369" u="1"/>
        <n v="85370" u="1"/>
        <n v="85371" u="1"/>
        <n v="85372" u="1"/>
        <n v="85373" u="1"/>
        <n v="85374" u="1"/>
        <n v="85375" u="1"/>
        <n v="85376" u="1"/>
        <n v="85377" u="1"/>
        <n v="85378" u="1"/>
        <n v="85379" u="1"/>
        <n v="85380" u="1"/>
        <n v="85381" u="1"/>
        <n v="85382" u="1"/>
        <n v="85383" u="1"/>
        <n v="85384" u="1"/>
        <n v="85385" u="1"/>
        <n v="85386" u="1"/>
        <n v="85387" u="1"/>
        <n v="85388" u="1"/>
        <n v="85389" u="1"/>
        <n v="85390" u="1"/>
        <n v="85391" u="1"/>
        <n v="85392" u="1"/>
        <n v="85393" u="1"/>
        <n v="85394" u="1"/>
        <n v="85395" u="1"/>
        <n v="85396" u="1"/>
        <n v="85397" u="1"/>
        <n v="85398" u="1"/>
        <n v="85399" u="1"/>
        <n v="85400" u="1"/>
        <n v="85401" u="1"/>
        <n v="85402" u="1"/>
        <n v="85403" u="1"/>
        <n v="85404" u="1"/>
        <n v="85405" u="1"/>
        <n v="85406" u="1"/>
        <n v="85407" u="1"/>
        <n v="85408" u="1"/>
        <n v="85409" u="1"/>
        <n v="85410" u="1"/>
        <n v="85411" u="1"/>
        <n v="85412" u="1"/>
        <n v="85413" u="1"/>
        <n v="85414" u="1"/>
        <n v="85415" u="1"/>
        <n v="85416" u="1"/>
        <n v="85417" u="1"/>
        <n v="85418" u="1"/>
        <n v="85419" u="1"/>
        <n v="85420" u="1"/>
        <n v="85421" u="1"/>
        <n v="85423" u="1"/>
        <n v="85424" u="1"/>
        <n v="85425" u="1"/>
        <n v="85426" u="1"/>
        <n v="85427" u="1"/>
        <n v="85428" u="1"/>
        <n v="85429" u="1"/>
        <n v="85430" u="1"/>
        <n v="85431" u="1"/>
        <n v="85432" u="1"/>
        <n v="85434" u="1"/>
        <n v="85435" u="1"/>
        <n v="85436" u="1"/>
        <n v="85437" u="1"/>
        <n v="85438" u="1"/>
        <n v="85439" u="1"/>
        <n v="85440" u="1"/>
        <n v="85441" u="1"/>
        <n v="85442" u="1"/>
        <n v="85443" u="1"/>
        <n v="85444" u="1"/>
        <n v="85445" u="1"/>
        <n v="85446" u="1"/>
        <n v="85447" u="1"/>
        <n v="85448" u="1"/>
        <n v="85449" u="1"/>
        <n v="85450" u="1"/>
        <n v="85451" u="1"/>
        <n v="85452" u="1"/>
        <n v="85453" u="1"/>
        <n v="85454" u="1"/>
        <n v="85455" u="1"/>
        <n v="85456" u="1"/>
        <n v="85457" u="1"/>
        <n v="85458" u="1"/>
        <n v="85459" u="1"/>
        <n v="85460" u="1"/>
        <n v="85461" u="1"/>
        <n v="85462" u="1"/>
        <n v="85463" u="1"/>
        <n v="85464" u="1"/>
        <n v="85465" u="1"/>
        <n v="85466" u="1"/>
        <n v="85467" u="1"/>
        <n v="85468" u="1"/>
        <n v="85469" u="1"/>
        <n v="85470" u="1"/>
        <n v="85471" u="1"/>
        <n v="85472" u="1"/>
        <n v="85473" u="1"/>
        <n v="85474" u="1"/>
        <n v="85475" u="1"/>
        <n v="85476" u="1"/>
        <n v="85477" u="1"/>
        <n v="85478" u="1"/>
        <n v="85479" u="1"/>
        <n v="85480" u="1"/>
        <n v="85481" u="1"/>
        <n v="85482" u="1"/>
        <n v="85483" u="1"/>
        <n v="85484" u="1"/>
        <n v="85485" u="1"/>
        <n v="85486" u="1"/>
        <n v="85487" u="1"/>
        <n v="85488" u="1"/>
        <n v="85489" u="1"/>
        <n v="85490" u="1"/>
        <n v="85491" u="1"/>
        <n v="85492" u="1"/>
        <n v="85493" u="1"/>
        <n v="85494" u="1"/>
        <n v="85495" u="1"/>
        <n v="85496" u="1"/>
        <n v="85497" u="1"/>
        <n v="85498" u="1"/>
        <n v="85499" u="1"/>
        <n v="85500" u="1"/>
        <n v="85501" u="1"/>
        <n v="85502" u="1"/>
        <n v="85503" u="1"/>
        <n v="85504" u="1"/>
        <n v="85505" u="1"/>
        <n v="85506" u="1"/>
        <n v="85507" u="1"/>
        <n v="85508" u="1"/>
        <n v="85509" u="1"/>
        <n v="85510" u="1"/>
        <n v="85511" u="1"/>
        <n v="85512" u="1"/>
        <n v="85513" u="1"/>
        <n v="85514" u="1"/>
        <n v="85515" u="1"/>
        <n v="85516" u="1"/>
        <n v="85517" u="1"/>
        <n v="85518" u="1"/>
        <n v="85519" u="1"/>
        <n v="85520" u="1"/>
        <n v="85522" u="1"/>
        <n v="85523" u="1"/>
        <n v="85524" u="1"/>
        <n v="85525" u="1"/>
        <n v="85526" u="1"/>
        <n v="85527" u="1"/>
        <n v="85528" u="1"/>
        <n v="85529" u="1"/>
        <n v="85530" u="1"/>
        <n v="85531" u="1"/>
        <n v="85532" u="1"/>
        <n v="85533" u="1"/>
        <n v="85534" u="1"/>
        <n v="85535" u="1"/>
        <n v="85536" u="1"/>
        <n v="85537" u="1"/>
        <n v="85538" u="1"/>
        <n v="85539" u="1"/>
        <n v="85540" u="1"/>
        <n v="85541" u="1"/>
        <n v="85542" u="1"/>
        <n v="85543" u="1"/>
        <n v="85544" u="1"/>
        <n v="85545" u="1"/>
        <n v="85546" u="1"/>
        <n v="85547" u="1"/>
        <n v="85548" u="1"/>
        <n v="85549" u="1"/>
        <n v="85550" u="1"/>
        <n v="85551" u="1"/>
        <n v="85552" u="1"/>
        <n v="85553" u="1"/>
        <n v="85554" u="1"/>
        <n v="85555" u="1"/>
        <n v="85556" u="1"/>
        <n v="85557" u="1"/>
        <n v="85558" u="1"/>
        <n v="85559" u="1"/>
        <n v="85560" u="1"/>
        <n v="85561" u="1"/>
        <n v="85562" u="1"/>
        <n v="85563" u="1"/>
        <n v="85564" u="1"/>
        <n v="85565" u="1"/>
        <n v="85566" u="1"/>
        <n v="85567" u="1"/>
        <n v="85568" u="1"/>
        <n v="85569" u="1"/>
        <n v="85570" u="1"/>
        <n v="85571" u="1"/>
        <n v="85572" u="1"/>
        <n v="85573" u="1"/>
        <n v="85574" u="1"/>
        <n v="85575" u="1"/>
        <n v="85576" u="1"/>
        <n v="85577" u="1"/>
        <n v="85578" u="1"/>
        <n v="85579" u="1"/>
        <n v="85580" u="1"/>
        <n v="85581" u="1"/>
        <n v="85582" u="1"/>
        <n v="85583" u="1"/>
        <n v="85584" u="1"/>
        <n v="85585" u="1"/>
        <n v="85586" u="1"/>
        <n v="85587" u="1"/>
        <n v="85588" u="1"/>
        <n v="85589" u="1"/>
        <n v="85590" u="1"/>
        <n v="85591" u="1"/>
        <n v="85592" u="1"/>
        <n v="85593" u="1"/>
        <n v="85594" u="1"/>
        <n v="85595" u="1"/>
        <n v="85596" u="1"/>
        <n v="85597" u="1"/>
        <n v="85598" u="1"/>
        <n v="85600" u="1"/>
        <n v="85601" u="1"/>
        <n v="85602" u="1"/>
        <n v="85603" u="1"/>
        <n v="85604" u="1"/>
        <n v="85605" u="1"/>
        <n v="85606" u="1"/>
        <n v="85607" u="1"/>
        <n v="85608" u="1"/>
        <n v="85609" u="1"/>
        <n v="85610" u="1"/>
        <n v="85611" u="1"/>
        <n v="85612" u="1"/>
        <n v="85613" u="1"/>
        <n v="85614" u="1"/>
        <n v="85615" u="1"/>
        <n v="85616" u="1"/>
        <n v="85617" u="1"/>
        <n v="85618" u="1"/>
        <n v="85619" u="1"/>
        <n v="85620" u="1"/>
        <n v="85621" u="1"/>
        <n v="85622" u="1"/>
        <n v="85623" u="1"/>
        <n v="85624" u="1"/>
        <n v="85625" u="1"/>
        <n v="85626" u="1"/>
        <n v="85627" u="1"/>
        <n v="85628" u="1"/>
        <n v="85629" u="1"/>
        <n v="85631" u="1"/>
        <n v="85632" u="1"/>
        <n v="85633" u="1"/>
        <n v="85634" u="1"/>
        <n v="85635" u="1"/>
        <n v="85636" u="1"/>
        <n v="85639" u="1"/>
        <n v="85640" u="1"/>
        <n v="85641" u="1"/>
        <n v="85642" u="1"/>
        <n v="85643" u="1"/>
        <n v="85644" u="1"/>
        <n v="85645" u="1"/>
        <n v="85646" u="1"/>
        <n v="85647" u="1"/>
        <n v="85648" u="1"/>
        <n v="85649" u="1"/>
        <n v="85650" u="1"/>
        <n v="85651" u="1"/>
        <n v="85652" u="1"/>
        <n v="85653" u="1"/>
        <n v="85654" u="1"/>
        <n v="85655" u="1"/>
        <n v="85656" u="1"/>
        <n v="85657" u="1"/>
        <n v="85658" u="1"/>
        <n v="85659" u="1"/>
        <n v="85660" u="1"/>
        <n v="85661" u="1"/>
        <n v="85662" u="1"/>
        <n v="85663" u="1"/>
        <n v="85664" u="1"/>
        <n v="85665" u="1"/>
        <n v="85666" u="1"/>
        <n v="85667" u="1"/>
        <n v="85668" u="1"/>
        <n v="85669" u="1"/>
        <n v="85670" u="1"/>
        <n v="85671" u="1"/>
        <n v="85672" u="1"/>
        <n v="85673" u="1"/>
        <n v="85674" u="1"/>
        <n v="85675" u="1"/>
        <n v="85676" u="1"/>
        <n v="85677" u="1"/>
        <n v="85678" u="1"/>
        <n v="85679" u="1"/>
        <n v="85680" u="1"/>
        <n v="85682" u="1"/>
        <n v="85683" u="1"/>
        <n v="85684" u="1"/>
        <n v="85685" u="1"/>
        <n v="85686" u="1"/>
        <n v="85687" u="1"/>
        <n v="85688" u="1"/>
        <n v="85689" u="1"/>
        <n v="85691" u="1"/>
        <n v="85692" u="1"/>
        <n v="85693" u="1"/>
        <n v="85694" u="1"/>
        <n v="85695" u="1"/>
        <n v="85696" u="1"/>
        <n v="85697" u="1"/>
        <n v="85698" u="1"/>
        <n v="85699" u="1"/>
        <n v="85700" u="1"/>
        <n v="85701" u="1"/>
        <n v="85702" u="1"/>
        <n v="85703" u="1"/>
        <n v="85704" u="1"/>
        <n v="85705" u="1"/>
        <n v="85706" u="1"/>
        <n v="85707" u="1"/>
        <n v="85708" u="1"/>
        <n v="85709" u="1"/>
        <n v="85710" u="1"/>
        <n v="85711" u="1"/>
        <n v="85712" u="1"/>
        <n v="85713" u="1"/>
        <n v="85714" u="1"/>
        <n v="85715" u="1"/>
        <n v="85716" u="1"/>
        <n v="85717" u="1"/>
        <n v="85718" u="1"/>
        <n v="85719" u="1"/>
        <n v="85720" u="1"/>
        <n v="85721" u="1"/>
        <n v="85723" u="1"/>
        <n v="85724" u="1"/>
        <n v="85725" u="1"/>
        <n v="85726" u="1"/>
        <n v="85727" u="1"/>
        <n v="85728" u="1"/>
        <n v="85729" u="1"/>
        <n v="85730" u="1"/>
        <n v="85731" u="1"/>
        <n v="85732" u="1"/>
        <n v="85733" u="1"/>
        <n v="85734" u="1"/>
        <n v="85735" u="1"/>
        <n v="85736" u="1"/>
        <n v="85737" u="1"/>
        <n v="85738" u="1"/>
        <n v="85739" u="1"/>
        <n v="85740" u="1"/>
        <n v="85741" u="1"/>
        <n v="85742" u="1"/>
        <n v="85744" u="1"/>
        <n v="85745" u="1"/>
        <n v="85746" u="1"/>
        <n v="85747" u="1"/>
        <n v="85748" u="1"/>
        <n v="85749" u="1"/>
        <n v="85750" u="1"/>
        <n v="85751" u="1"/>
        <n v="85752" u="1"/>
        <n v="85753" u="1"/>
        <n v="85755" u="1"/>
        <n v="85756" u="1"/>
        <n v="85757" u="1"/>
        <n v="85758" u="1"/>
        <n v="85759" u="1"/>
        <n v="85760" u="1"/>
        <n v="85761" u="1"/>
        <n v="85762" u="1"/>
        <n v="85763" u="1"/>
        <n v="85764" u="1"/>
        <n v="85765" u="1"/>
        <n v="85766" u="1"/>
        <n v="85767" u="1"/>
        <n v="85768" u="1"/>
        <n v="85769" u="1"/>
        <n v="85770" u="1"/>
        <n v="85771" u="1"/>
        <n v="85772" u="1"/>
        <n v="85773" u="1"/>
        <n v="85774" u="1"/>
        <n v="85775" u="1"/>
        <n v="85776" u="1"/>
        <n v="85779" u="1"/>
        <n v="85780" u="1"/>
        <n v="85781" u="1"/>
        <n v="85782" u="1"/>
        <n v="85783" u="1"/>
        <n v="85784" u="1"/>
        <n v="85785" u="1"/>
        <n v="85786" u="1"/>
        <n v="85787" u="1"/>
        <n v="85788" u="1"/>
        <n v="85789" u="1"/>
        <n v="85790" u="1"/>
        <n v="85791" u="1"/>
        <n v="85793" u="1"/>
        <n v="85794" u="1"/>
        <n v="85795" u="1"/>
        <n v="85796" u="1"/>
        <n v="85797" u="1"/>
        <n v="85798" u="1"/>
        <n v="85799" u="1"/>
        <n v="85800" u="1"/>
        <n v="85801" u="1"/>
        <n v="85802" u="1"/>
        <n v="85803" u="1"/>
        <n v="85804" u="1"/>
        <n v="85805" u="1"/>
        <n v="85806" u="1"/>
        <n v="85807" u="1"/>
        <n v="85808" u="1"/>
        <n v="85809" u="1"/>
        <n v="85810" u="1"/>
        <n v="85811" u="1"/>
        <n v="85812" u="1"/>
        <n v="85813" u="1"/>
        <n v="85814" u="1"/>
        <n v="85815" u="1"/>
        <n v="85816" u="1"/>
        <n v="85817" u="1"/>
        <n v="85818" u="1"/>
        <n v="85819" u="1"/>
        <n v="85820" u="1"/>
        <n v="85821" u="1"/>
        <n v="85822" u="1"/>
        <n v="85823" u="1"/>
        <n v="85824" u="1"/>
        <n v="85825" u="1"/>
        <n v="85826" u="1"/>
        <n v="85827" u="1"/>
        <n v="85828" u="1"/>
        <n v="85829" u="1"/>
        <n v="85830" u="1"/>
        <n v="85831" u="1"/>
        <n v="85833" u="1"/>
        <n v="85834" u="1"/>
        <n v="85835" u="1"/>
        <n v="85836" u="1"/>
        <n v="85837" u="1"/>
        <n v="85838" u="1"/>
        <n v="85839" u="1"/>
        <n v="85841" u="1"/>
        <n v="85842" u="1"/>
        <n v="85843" u="1"/>
        <n v="85844" u="1"/>
        <n v="85845" u="1"/>
        <n v="85846" u="1"/>
        <n v="85847" u="1"/>
        <n v="85848" u="1"/>
        <n v="85849" u="1"/>
        <n v="85850" u="1"/>
        <n v="85851" u="1"/>
        <n v="85852" u="1"/>
        <n v="85853" u="1"/>
        <n v="85854" u="1"/>
        <n v="85855" u="1"/>
        <n v="85856" u="1"/>
        <n v="85857" u="1"/>
        <n v="85858" u="1"/>
        <n v="85859" u="1"/>
        <n v="85860" u="1"/>
        <n v="85861" u="1"/>
        <n v="85862" u="1"/>
        <n v="85863" u="1"/>
        <n v="85864" u="1"/>
        <n v="85865" u="1"/>
        <n v="85866" u="1"/>
        <n v="85867" u="1"/>
        <n v="85868" u="1"/>
        <n v="85869" u="1"/>
        <n v="85870" u="1"/>
        <n v="85871" u="1"/>
        <n v="85872" u="1"/>
        <n v="85873" u="1"/>
        <n v="85874" u="1"/>
        <n v="85875" u="1"/>
        <n v="85876" u="1"/>
        <n v="85877" u="1"/>
        <n v="85878" u="1"/>
        <n v="85879" u="1"/>
        <n v="85880" u="1"/>
        <n v="85881" u="1"/>
        <n v="85882" u="1"/>
        <n v="85883" u="1"/>
        <n v="85884" u="1"/>
        <n v="85885" u="1"/>
        <n v="85886" u="1"/>
        <n v="85887" u="1"/>
        <n v="85888" u="1"/>
        <n v="85889" u="1"/>
        <n v="85890" u="1"/>
        <n v="85891" u="1"/>
        <n v="85892" u="1"/>
        <n v="85893" u="1"/>
        <n v="85894" u="1"/>
        <n v="85895" u="1"/>
        <n v="85896" u="1"/>
        <n v="85897" u="1"/>
        <n v="85898" u="1"/>
        <n v="85899" u="1"/>
        <n v="85900" u="1"/>
        <n v="85901" u="1"/>
        <n v="85902" u="1"/>
        <n v="85903" u="1"/>
        <n v="85904" u="1"/>
        <n v="85905" u="1"/>
        <n v="85906" u="1"/>
        <n v="85916" u="1"/>
        <n v="85917" u="1"/>
        <n v="85918" u="1"/>
        <n v="85919" u="1"/>
        <n v="85920" u="1"/>
        <n v="85921" u="1"/>
        <n v="85922" u="1"/>
        <n v="85923" u="1"/>
        <n v="85924" u="1"/>
        <n v="85925" u="1"/>
        <n v="85926" u="1"/>
        <n v="85927" u="1"/>
        <n v="85928" u="1"/>
        <n v="85929" u="1"/>
        <n v="85930" u="1"/>
        <n v="85931" u="1"/>
        <n v="85932" u="1"/>
        <n v="85933" u="1"/>
        <n v="85934" u="1"/>
        <n v="85935" u="1"/>
        <n v="85936" u="1"/>
        <n v="85937" u="1"/>
        <n v="85938" u="1"/>
        <n v="85939" u="1"/>
        <n v="85940" u="1"/>
        <n v="85941" u="1"/>
        <n v="85942" u="1"/>
        <n v="85944" u="1"/>
        <n v="85945" u="1"/>
        <n v="85946" u="1"/>
        <n v="85947" u="1"/>
        <n v="85948" u="1"/>
        <n v="85949" u="1"/>
        <n v="85950" u="1"/>
        <n v="85951" u="1"/>
        <n v="85952" u="1"/>
        <n v="85954" u="1"/>
        <n v="85955" u="1"/>
        <n v="85956" u="1"/>
        <n v="85957" u="1"/>
        <n v="85958" u="1"/>
        <n v="85961" u="1"/>
        <n v="85962" u="1"/>
        <n v="85963" u="1"/>
        <n v="85964" u="1"/>
        <n v="85965" u="1"/>
        <n v="85966" u="1"/>
        <n v="85968" u="1"/>
        <n v="85969" u="1"/>
        <n v="85970" u="1"/>
        <n v="85971" u="1"/>
        <n v="85972" u="1"/>
        <n v="85973" u="1"/>
        <n v="85974" u="1"/>
        <n v="85975" u="1"/>
        <n v="85976" u="1"/>
        <n v="85977" u="1"/>
        <n v="85978" u="1"/>
        <n v="85979" u="1"/>
        <n v="85980" u="1"/>
        <n v="85981" u="1"/>
        <n v="85983" u="1"/>
        <n v="85984" u="1"/>
        <n v="85985" u="1"/>
        <n v="85986" u="1"/>
        <n v="85987" u="1"/>
        <n v="85988" u="1"/>
        <n v="85989" u="1"/>
        <n v="85991" u="1"/>
        <n v="85992" u="1"/>
        <n v="85993" u="1"/>
        <n v="84396" u="1"/>
        <n v="84464" u="1"/>
        <n v="84476" u="1"/>
        <n v="84499" u="1"/>
        <n v="84527" u="1"/>
        <n v="84551" u="1"/>
        <n v="84574" u="1"/>
        <n v="84617" u="1"/>
        <n v="84660" u="1"/>
        <n v="84687" u="1"/>
        <n v="84706" u="1"/>
        <n v="84746" u="1"/>
        <n v="84768" u="1"/>
        <n v="84769" u="1"/>
        <n v="84791" u="1"/>
        <n v="84814" u="1"/>
        <n v="84871" u="1"/>
        <n v="84886" u="1"/>
        <n v="84903" u="1"/>
        <n v="84907" u="1"/>
        <n v="84945" u="1"/>
        <n v="84986" u="1"/>
        <n v="85051" u="1"/>
        <n v="85169" u="1"/>
        <n v="85178" u="1"/>
        <n v="85184" u="1"/>
        <n v="85302" u="1"/>
        <n v="85334" u="1"/>
        <n v="85356" u="1"/>
        <n v="85359" u="1"/>
        <n v="85422" u="1"/>
        <n v="85433" u="1"/>
        <n v="85521" u="1"/>
        <n v="85599" u="1"/>
        <n v="85630" u="1"/>
        <n v="85637" u="1"/>
        <n v="85638" u="1"/>
        <n v="85681" u="1"/>
        <n v="85690" u="1"/>
        <n v="85722" u="1"/>
        <n v="85743" u="1"/>
        <n v="85754" u="1"/>
        <n v="85777" u="1"/>
        <n v="85778" u="1"/>
        <n v="85792" u="1"/>
        <n v="85832" u="1"/>
        <n v="85840" u="1"/>
        <n v="85907" u="1"/>
        <n v="85908" u="1"/>
        <n v="85909" u="1"/>
        <n v="85910" u="1"/>
        <n v="85911" u="1"/>
        <n v="85912" u="1"/>
        <n v="85913" u="1"/>
        <n v="85914" u="1"/>
        <n v="85915" u="1"/>
        <n v="85943" u="1"/>
        <n v="85953" u="1"/>
        <n v="85959" u="1"/>
        <n v="85960" u="1"/>
        <n v="85967" u="1"/>
        <n v="85982" u="1"/>
        <n v="85990" u="1"/>
        <n v="85015" u="1"/>
        <n v="85016" u="1"/>
      </sharedItems>
    </cacheField>
    <cacheField name="Columna1" numFmtId="0">
      <sharedItems containsString="0" containsBlank="1" containsNumber="1" containsInteger="1" minValue="-2" maxValue="107596"/>
    </cacheField>
    <cacheField name="Prefijo" numFmtId="0">
      <sharedItems containsBlank="1"/>
    </cacheField>
    <cacheField name="Fecha Emisión" numFmtId="0">
      <sharedItems containsBlank="1"/>
    </cacheField>
    <cacheField name="Fecha Recepción" numFmtId="0">
      <sharedItems containsBlank="1"/>
    </cacheField>
    <cacheField name="NIT Emisor" numFmtId="0">
      <sharedItems containsBlank="1"/>
    </cacheField>
    <cacheField name="Nombre Emisor" numFmtId="0">
      <sharedItems containsBlank="1"/>
    </cacheField>
    <cacheField name="NIT Receptor" numFmtId="0">
      <sharedItems containsBlank="1"/>
    </cacheField>
    <cacheField name="Nombre Receptor" numFmtId="0">
      <sharedItems containsBlank="1" count="1179">
        <s v="Centro Medico Oftalmologico Y Laboratorio Clinico Andrade Narvaez Sociedad Por Acciones Simplificada"/>
        <s v="Andetech SAS"/>
        <s v="Caja Colombiana De Subsidio Familiar Colsubsidio"/>
        <s v="IA4 SAS"/>
        <s v="Ecologistica SAS Empresa De Servicios Publicos Ecologistica SAS ESP"/>
        <s v="Industria Ambiental SAS"/>
        <s v="Valrex SAS"/>
        <s v="Credicorp Capital Colombia SA"/>
        <s v="Messer Colombia SA"/>
        <s v="Centak Export Zf SAS"/>
        <s v="Merquimia Internacional SAS"/>
        <s v="Concentrix Cvg Customer Management Colombia SAS"/>
        <s v="Clinica Colsanitas SA"/>
        <s v="Transportes Iceberg De Colombia SA"/>
        <s v="Axa Colpatria Seguros De Vida SA"/>
        <s v="Comercializadora Arturo Calle SAS"/>
        <s v="Permoda Ltda"/>
        <s v="Quimicos Integrales SAS"/>
        <s v="Sulzer Pumps Colombia SAS"/>
        <s v="Universidad El Bosque"/>
        <s v="Epiroc Colombia SAS"/>
        <s v="Diseño Y Aplicaciones De Ingenieria Ltda"/>
        <s v="Educactiva SAS"/>
        <s v="Distribuidora Y Editora Richmond SAS"/>
        <s v="Editorial Santillana SAS"/>
        <s v="General Business Machines De Colombia SAS"/>
        <s v="Ingram Micro S.A.S"/>
        <s v="Cosco Shipping Lines Colombia SAS"/>
        <s v="Logysteel Operador Logistico SAS"/>
        <s v="Empresa Colombiana De Clavos Emcoclavos SAS"/>
        <s v="IRCC SAS Industria De Restaurantes Casuales SAS"/>
        <s v="Banco Gnb Sudameris S A"/>
        <s v="Levare Services Ltd Sucursal Colombia"/>
        <s v="Gi Group Staffing SAS"/>
        <s v="Adecco Colombia S A"/>
        <s v="Central De Insumos Y Materias Primas Para La Industria Alimentaria SAS"/>
        <s v="Buk Col SAS"/>
        <s v="Efectimedios SAS"/>
        <s v="Mondi Cartagena SAS"/>
        <s v="Adecco Servicios Colombia S A"/>
        <s v="Prosegur Vigilancia Y Seguridad Privada LTDA"/>
        <s v="Prosegur Tecnologia SAS"/>
        <s v="Knauf De Colombia SAS"/>
        <s v="FCL Impart SAS"/>
        <s v="Robertet Andina S A S"/>
        <s v="Hilton Worldwide Manage Branchco Limited"/>
        <s v="Applus Norcontrol Colombia Limitada"/>
        <s v="Inverleoka SAS"/>
        <s v="Transborder SAS"/>
        <s v="Consejo Profesional De Biologia"/>
        <s v="Asociacion Para La Enseñanza Aspaen"/>
        <s v="Cavelier Abogados S A S"/>
        <s v="Administradora Country SAS"/>
        <s v="Correcol Corredores Colombianos De Seguros Corredores De Seguros SA"/>
        <s v="Flota La Macarena SA"/>
        <s v="Tivit Colombia Tercerizacion De Procesos Servicios Y Tecnologia SAS"/>
        <s v="Inter Expo SA"/>
        <s v="Hikvision Colombia SAS"/>
        <s v="Paneltec SAS"/>
        <s v="Esenttia SA"/>
        <s v="Xcb De Colombia Limited Sucursal Colombiana "/>
        <s v="Cabarria IQA SAS"/>
        <s v="Transportes Humadea SAS"/>
        <s v="Lineas Tecnicas De Cargamentos SAS"/>
        <s v="Colinagro SA"/>
        <s v="BR Group SA"/>
        <s v="Otto Bock Healthcare Andina SAS"/>
        <s v="Ceramica San Lorenzo Industrial De Colombia SA"/>
        <s v="Distribuidora Mayorista De Automoviles Madiautos SAS"/>
        <s v="Pear Solutions SA"/>
        <s v="Logistica Repremundo SAS"/>
        <s v="Global Motor SAS"/>
        <s v="Fundacion Universidad Del Norte"/>
        <s v="Boticario Colombia S A S"/>
        <s v="G Barco SA"/>
        <s v="Quironprevencion Colombia SAS"/>
        <s v="Linktic SAS"/>
        <s v="Tecses S A S "/>
        <s v="Industrias Ivor SA Casa Inglesa"/>
        <s v="Novasoft S A S"/>
        <s v="Labodigital Colombia SAS"/>
        <s v="Congregacion De Los Hermanos De Las Escuelas Cristianas"/>
        <s v="Intexus S A S"/>
        <s v="Soluciones Y Servicios De Procedimiento Y Operacion De Tecnologia SAS"/>
        <s v="Cas Colombo American School SAS"/>
        <s v="Lamitech SAS"/>
        <s v="Doble A Ingenieria SAS"/>
        <s v="Sociedad Operadora 72 Gran Hotel SAS"/>
        <s v="Medios Y Servicios Integrados  M I S Ltda"/>
        <s v="Lipesa Colombia SAS"/>
        <s v="Manuelhmoreno SAS"/>
        <s v="Aei Arquitectura E Interiores SAS"/>
        <s v="Amarey Nova Medical SA"/>
        <s v="Constructora Obreval SA"/>
        <s v="Soberana SAS"/>
        <s v="Eminss SAS"/>
        <s v="Maurel &amp; Prom Colombia Sociedad Limitada Sucursal En Colombia"/>
        <s v="S3 Simple Smart Speedy SAS"/>
        <s v="Actual Constructora SAS"/>
        <s v="Ifx Networks Colombia S A S "/>
        <s v="Confipetrol SAS"/>
        <s v="Marketing Services De Colombia SAS"/>
        <s v="Carboinsa SAS"/>
        <s v="Edificio Cervantes IV Propiedad Horizontal"/>
        <s v="Banco Jpmorgan Colombia SA"/>
        <s v="Ip Ingenieria De Produccion SAS"/>
        <s v="Ortiz Construcciones Y Proyectos SA Sucursal Colombia"/>
        <s v="Clinicos Programas De Atencion Integral SAS IPS"/>
        <s v="Pash SAS"/>
        <s v="Syntofarma S A "/>
        <s v="Partequipos S A S"/>
        <s v="T-Vapan 500 S A S"/>
        <s v="Integral Solutions Sd S A S"/>
        <s v="Kala Colombia S A S"/>
        <s v="Weg Colombia S A S"/>
        <s v="Restart USA Inc"/>
        <s v="Isi Emerging Markets Colombia SAS"/>
        <s v="Sed International De Colombia S.A.S"/>
        <s v="Manufacturas Eliot SAS"/>
        <s v="La Equidad Seguros Generales Organismo Cooperativo "/>
        <s v="Ab Proyectos Propiedad Horizontal"/>
        <s v="Geocol Consultores SA"/>
        <s v="Cushman &amp; WaKefield Colombia SAS"/>
        <s v="Mb Tech De Colombia SAS"/>
        <s v="Agunsa Colombia SAS"/>
        <s v="Thomas Processing &amp; System SAS"/>
        <s v="Pwc Contadores Y Auditores SAS"/>
        <s v="Enfragen Colombia SAS"/>
        <s v="Alttek Colombia SAS"/>
        <s v="Schneider Electric De Colombia S A S"/>
        <s v="Omnitempus Limitada"/>
        <s v="Excellence Logging Latin America Limited, Sucursal Colombiana"/>
        <s v="Fundacion Universitaria Compensar "/>
        <s v="Inzignia Construction SA"/>
        <s v="Ferricentros SAS"/>
        <s v="Ingeniería Y Tecnología De Servicios SAS"/>
        <s v="Palmeras Del Llano SAS Bic"/>
        <s v="Ropim SAS"/>
        <s v="Automundial SA"/>
        <s v="E-Somos Alimentacion SAS"/>
        <s v="Somos Bogota Usme SAS"/>
        <s v="Bold Co SAS"/>
        <s v="Cooperativa Nacional De Droguistas Detallistas "/>
        <s v="Quad Graphics Colombia SAS"/>
        <s v="Club Campestre El Rancho"/>
        <s v="Grupo Empresarial En Linea S.A."/>
        <s v="Consorcio Constructor Autovia Neiva Girardot"/>
        <s v="Wsp Consultoria SA"/>
        <s v="Wsp Colombia SAS"/>
        <s v="GYJ Ferreterias S A"/>
        <s v="Otis Elevator Company Colombia SAS"/>
        <s v="Graneles Del Caribe SA"/>
        <s v="ByD Motor Colombia SAS"/>
        <s v="Entidad Promotora De Salud Sanitas SAS"/>
        <s v="Compañia De Medicina Prepagada Colsanitas SA"/>
        <s v="Oftalmosanitas SAS"/>
        <s v="Vavilco SAS"/>
        <s v="Bmi Colombia Compañia De Seguros De Vida SA"/>
        <s v="Grupo De Entretenimiento La Unica SAS"/>
        <s v="Wesco SAS"/>
        <s v="Plazoleta Bazzani SAS"/>
        <s v="Datalaft SAS"/>
        <s v="Risk Consulting Colombia SAS"/>
        <s v="Goddard Catering Group Bogota SAS"/>
        <s v="Goddard Catering Group Colombia SAS"/>
        <s v="Kaizen Group Ingenieria SAS"/>
        <s v="Aquamech System SAS"/>
        <s v="Breakfast Tbl SAS"/>
        <s v="Business And Quality Services SAS"/>
        <s v="Cooperativa De Los Profesionales Coasmedas"/>
        <s v="Embajada De La República Federal De Alemania"/>
        <s v="Flores De Serrezuela SAS"/>
        <s v="Universidad EAN"/>
        <s v="Yipao S A S"/>
        <s v="Nevada Media SAS"/>
        <s v="Inter Rapidisimo SA"/>
        <s v="HY Cite Enterprises Colombia SAS"/>
        <s v="Asistencias Y Servicios Automatizados Ya SAS"/>
        <s v="Puerto Pimsa SA"/>
        <s v="Inemec SAS"/>
        <s v="Ci Energia Solar SAS Es Windows"/>
        <s v="Qmax Solutions Colombia"/>
        <s v="Croydon Colombia SA"/>
        <s v="Endress+Hauser Colombia SAS"/>
        <s v="Santiago Velez &amp; Asociados Corredores De Seguros SA"/>
        <s v="Rosmira Rojas Puentes"/>
        <s v="Panamericana Outsourcing SA"/>
        <s v="Vicpar SA"/>
        <s v="Rentacomputo SAS"/>
        <s v="Fundacion Colegio Anglo Colombiano "/>
        <s v="Finanzauto SA BIC"/>
        <s v="Agencia De Aduanas Siaco SAS Nivel 1"/>
        <s v="Data File SA"/>
        <s v="Agp Services SAS"/>
        <s v="Grupo Mok Colombia SAS"/>
        <s v="Samsonite Colombia SAS"/>
        <s v="Conservation International Foundation"/>
        <s v="Agroindustrial De Palma Aceitera SA Sucursal Colombia"/>
        <s v="Maria Eugenia Cruz Herrera"/>
        <s v="Patrimonios Autonomos Fiduciaria Bancolombia SA Sociedad Fiduciaria"/>
        <s v="Pan American Life De Colombia Compañia De Seguros SA"/>
        <s v="Gate Gourmet Colombia SAS"/>
        <s v="Logiztik Alliance Group SAS"/>
        <s v="Rms Diseños Y Construccion SAS"/>
        <s v="C I Importex SA"/>
        <s v="Am Medical SAS"/>
        <s v="Ambientti Constructora Inmobiliaria S A S"/>
        <s v="Touring &amp; Automovil Club De Colombia Acc"/>
        <s v="Domat SAS"/>
        <s v="Inetum España SA Sucursal Colombia"/>
        <s v="Global Training Aviation Colombia SAS"/>
        <s v="Kata SAS"/>
        <s v="Natura Cosmeticos LTDA"/>
        <s v="Quintero Y Quintero Asesores SA"/>
        <s v="Retcom SAS"/>
        <s v="Marketing E Inversiones SAS"/>
        <s v="Consultores Arquitectura Y Construcciones SAS"/>
        <s v="Dr Reddy S Laboratories SAS"/>
        <s v="Distribuidora Kiramar SAS"/>
        <s v="Ingetec Ingenieria &amp; Diseños SAS"/>
        <s v="Consorcio Ruta 40"/>
        <s v="Knauf Distribuidora SAS"/>
        <s v="Sky Logistica Integral S A S"/>
        <s v="Vigilancia Santafereña Y Cia Ltda"/>
        <s v="Comercializadora Internacional Milpa SA"/>
        <s v="Agencia De Aduanas Abc Repecev SAS Nivel 1"/>
        <s v="Centro Internacional De Estudios En Seguros "/>
        <s v="Construcciones Arrecife SAS"/>
        <s v="Green Emerald Mining Services SAS"/>
        <s v="Esmeraldas Mining Services SAS"/>
        <s v="Pinturas Tito Pabon SAS"/>
        <s v="Nicomar Electronics SAS"/>
        <s v="Geodis Colombia LTDA"/>
        <s v="Heel Colombia Ltda"/>
        <s v="LM Instruments SA"/>
        <s v="Baterias Willard SA"/>
        <s v="S Y Z Colombia SAS"/>
        <s v="Pandalatina Huamei Internacional S A S "/>
        <s v="Terminal Terrestre De Carga De Bogota Oikos Ok"/>
        <s v="Dichter Neira Colombia SAS"/>
        <s v="Preflex SAS"/>
        <s v="Inversiones Mi Tierrita SAS"/>
        <s v="Acciones Y Valores SA Comisionista De Bolsa"/>
        <s v="Novatec Solutions Ltda"/>
        <s v="Equipos Y Controles Industriales SA"/>
        <s v="Administradora Clinica La Colina S A S"/>
        <s v="Juan Gaviria Restrepo &amp; Cia SAS"/>
        <s v="Nestle De Colombia SA"/>
        <s v="Fitness24seven Colombia S A S"/>
        <s v="Gas Zipa SAS ESP"/>
        <s v="Surenergy SAS ESP"/>
        <s v="Metaza SAS"/>
        <s v="Asociacion De Egresados De La Universidad De Los Andes Uniandinos"/>
        <s v="Pcs For All SAS"/>
        <s v="Agroinsumos WM SAS"/>
        <s v="Cooperativa Del Magisterio Codema"/>
        <s v="Sten Colombia Sistemas Tecnicos De Encofrados SAS"/>
        <s v="Dynamo Producciones SAS"/>
        <s v="Zeven Logistics SAS"/>
        <s v="Bongo Analytics SAS"/>
        <s v="Universidad De La Sabana"/>
        <s v="Racafe &amp; Cia SCA"/>
        <s v="Palmas De Tumaco SAS"/>
        <s v="Servimeters SAS"/>
        <s v="Ronda SAS"/>
        <s v="PM&amp;F Fishing Oil Services SA"/>
        <s v="Alpopular Almacen General De Depositos SA Alpopular SA"/>
        <s v="Vco S.A"/>
        <s v="V&amp;S Comercial SAS"/>
        <s v="Comercial Allan SAS"/>
        <s v="NTT Data Colombia SAS"/>
        <s v="Interasesores Asesores Empresariales Administrativos SA"/>
        <s v="Mc Assets SAS"/>
        <s v="Mccann Erickson Corporation SA"/>
        <s v="Consorcio Monitoreos Ituango"/>
        <s v="Promotora Barlovento Del Mar SAS"/>
        <s v="Agencia De Aduanas Asociacion Aduanera Internacional SAS Nivel 2"/>
        <s v="Abastecedor Colombiano De Tejas Y Drywall SAS"/>
        <s v="Services World SAS"/>
        <s v="Securitas Colombia SA"/>
        <s v="Papeles Primavera S A S"/>
        <s v="Ferricar SAS"/>
        <s v="Sabanalac SAS"/>
        <s v="Concay SA"/>
        <s v="Fantasias Plasticas De Colombia Ltda"/>
        <s v="Belltech Colombia SA"/>
        <s v="Comercializadora Colombiana De Carbones Y Coques SAS C I"/>
        <s v="Nardiplast SAS"/>
        <s v="Meditrack SAS"/>
        <s v="Soenergy International Colombia SAS"/>
        <s v="Lincoln Soldaduras De Colombia Ltda"/>
        <s v="Auto Stok SAS"/>
        <s v="Industrial Aceitera Del Casanare SA Sucursal Colombia"/>
        <s v="Puffer Colombia"/>
        <s v="Gmh Colombia S A S "/>
        <s v="Asociacion Nacional De Comercio Exterior"/>
        <s v="Bip Colombia SAS"/>
        <s v="Salitre Plaza Centro Comercial Propiedad Horizontal "/>
        <s v="Plasticos Tecnicos SAS Pero Podra Emplear El Nombre Plastitec SAS"/>
        <s v="Centro Agropecuario E Insumos Los Pinos SAS"/>
        <s v="Transportes Y Servicios Transer SAS"/>
        <s v="Javier Antonio Cortes Murcia"/>
        <s v="Eulen Colombia SA"/>
        <s v="Axionlog SAS"/>
        <s v="Invergran Sociedad Por Acciones Simplificada"/>
        <s v="Hospital Universitario San Ignacio "/>
        <s v="CYC Trading SAS"/>
        <s v="Kaeser Compresores De Colombia SAS"/>
        <s v="Soluciones Directivas Estrategicas Y Logisticas SAS"/>
        <s v="Road Track De Colombia SAS"/>
        <s v="City Parking SAS"/>
        <s v="Amadeus It Group Colombia SAS"/>
        <s v="Fresenius Medical Care SAS"/>
        <s v="Power Systems Services Global SAS"/>
        <s v="Clinica Nuestra Señora De La Paz"/>
        <s v="Phoenix Tower International Colombia Ltda"/>
        <s v="Fundacion Universidad De Bogota Jorge Tadeo Lozano"/>
        <s v="Siderurgica Del Occidente SAS Sidoc SAS"/>
        <s v="Asesorias Servicios Ecologicos E Industriales SAS"/>
        <s v="Masivo Capital SAS - En Reorganizacion "/>
        <s v="Buscalibre Colombia S A S"/>
        <s v="MPS Mayorista De Colombia SA"/>
        <s v="Epam Systems Colombia SAS"/>
        <s v="Empresa Colombiana De Productos Veterinarios SA Vecol SA"/>
        <s v="Pasar Express SAS"/>
        <s v="Philaac SAS"/>
        <s v="Novomatic Gaming Colombia SAS"/>
        <s v="Despegar Colombia S A S"/>
        <s v="Cuellar Serrano Gomez SA"/>
        <s v="Saenz Fety S A S"/>
        <s v="Onboard Logistics Colombia SAS"/>
        <s v="Bigfoot Colombia SAS"/>
        <s v="Hmv Ingenieros Ltda"/>
        <s v="Solvo SAS"/>
        <s v="Centros Medicos Colsanitas S A S"/>
        <s v="SAS Auditores &amp; Consultores SAS"/>
        <s v="Fresenius Medical Care Andina SAS"/>
        <s v="U Fit SAS"/>
        <s v="Consultec Offshore Zona Franca SAS"/>
        <s v="Consultec International Sucursal Colombia "/>
        <s v="Pidamos Marketing Total S A S "/>
        <s v="Inti Red SAS"/>
        <s v="Maria Alejandra Zambrano Suarez"/>
        <s v="Karent Yescenia Carrillo Marin"/>
        <s v="Doris Jeannet Urrego Amortegui"/>
        <s v="Benjamin  Herrera"/>
        <s v="Vehitotal SAS"/>
        <s v="Teleset SAS"/>
        <s v="Comunidad Franciscana Provincia De La Santa Fe "/>
        <s v="Multipagas SAS"/>
        <s v="Cameleco SAS"/>
        <s v="Productos Doña Dicha SAS"/>
        <s v="Alimentos Balanceados Tequendama SA Albateq SA"/>
        <s v="CPO SA"/>
        <s v="Marketing Oil Company SAS"/>
        <s v="Ramon Elias Betancourt Rojas"/>
        <s v="Ana Milena Gonzalez Bonilla"/>
        <s v="Rio Technology S.A.S"/>
        <s v="Compañia De Seguros Colsanitas SA"/>
        <s v="Keralty SAS "/>
        <s v="Consorcio Gd Joyco Damaso"/>
        <s v="Logan Valuacion Sociedad Por Acciones Simplificada"/>
        <s v="Lina Mara Gaviria Gaviria"/>
        <s v="Biotechnis SAS"/>
        <s v="Industria Comercial De Alimentos Nutrix SAS"/>
        <s v="Reditos Empresariales SA"/>
        <s v="Banco Bilbao Vizcaya Argentaria Colombia SA"/>
        <s v="Copyandes E U"/>
        <s v="Manufacturas Reymon SA"/>
        <s v="Biotoscana Farma SA"/>
        <s v="Syscom Colombia SAS"/>
        <s v="Asociacion Colombiana De Criadores De Ganado Cebu"/>
        <s v="Precisagro SAS"/>
        <s v="La Instrumentadora  SAS"/>
        <s v="Edificio Centro De Negocios 77 - Propiedad Horizontal"/>
        <s v="Alimentos Thearion Suqa SAS"/>
        <s v="Fundacion Colombiana Para El Desarrollo Sigla Fucolde"/>
        <s v="Corporacion Universitaria Unitec"/>
        <s v="Ricova SAS"/>
        <s v="Urban Colombia SAS"/>
        <s v="Hire Horatio Co S A S"/>
        <s v="ACI Proyectos SAS"/>
        <s v="Yanbal De Colombia SAS"/>
        <s v="Gamboa &amp; Chalela SAS"/>
        <s v="Minex Compañia Internacional Sociedad Por Acciones Simplificada C I"/>
        <s v="Procibernetica SA"/>
        <s v="Palmar Del Oriente SAS"/>
        <s v="Embotelladora Capri Ltda"/>
        <s v="Universidad Mariana"/>
        <s v="Tcs Uruguay SA Sucursal Colombia"/>
        <s v="Gi-In Positiva 2024"/>
        <s v="Script Soluciones Informaticas SAS"/>
        <s v="Sew Eurodrive Colombia Ltda"/>
        <s v="Jargu SA Corredores De Seguros"/>
        <s v="Monterra Productora Y Comercializadora Agroindustrial Colombiana SAS"/>
        <s v="Eliseo Urrego E Hijos SAS"/>
        <s v="Smart Training Society SAS"/>
        <s v="Bawer Company SAS"/>
        <s v="Don Maiz SAS"/>
        <s v="Consorcio Mahfer"/>
        <s v="Vco SAS"/>
        <s v="Constructora Experta SAS"/>
        <s v="Varichem De Colombia G Environmental Proteccion Service SAS"/>
        <s v="Colpatria Capital SAS"/>
        <s v="Colviseg Colombiana De Vigilancia Y Seguridad Ltda"/>
        <s v="Godoy Cordoba Abogados SAS"/>
        <s v="Overnia S A S"/>
        <s v="Avenida Colombia Management Company SAS"/>
        <s v="Gestor Capital Infra SAS"/>
        <s v="Atp Ingenieria SAS En Reorganizacion"/>
        <s v="Ajecolombia SAS"/>
        <s v="Industria Nacional De Agregados Reciclados SAS"/>
        <s v="Credibanco SA"/>
        <s v="Operador Alia Sas"/>
        <s v="Evolution Fitness Corporation S.A.S"/>
        <s v="Pan Pa Ya LTDA"/>
        <s v="Gaseosas Lux SAS"/>
        <s v="Logytech Mobile SAS"/>
        <s v="Colombian Shared Services SAS"/>
        <s v="Takai SAS"/>
        <s v="Duquesa SAS BIC"/>
        <s v="Cooperativa Multiactiva De Trabajadores Empleados Y Pensionados De Exxon"/>
        <s v="Atanza SAS"/>
        <s v="Grupo Babel Colombia SAS"/>
        <s v="Coala Arquitectura Y Construccion SAS"/>
        <s v="Tecnologia Plastica Tecnosa SAS"/>
        <s v="TPL Colombia Tld Sucursal Colombia"/>
        <s v="Bel Star SA"/>
        <s v="Agencia De Aduanas Valley Customs SAS Nivel 1"/>
        <s v="Exlservice Colombia SAS"/>
        <s v="Idom Consulting Engineering Architecture SAU"/>
        <s v="Inter Servicios S A S "/>
        <s v="Interservice SA"/>
        <s v="Intertek Colombia SA"/>
        <s v="Mexichem Resinas Colombia SAS"/>
        <s v="Productos El Tomatico SAS"/>
        <s v="Sunrise Cargo SAS"/>
        <s v="Servicios Especializados De Tecnologia E Informatica SETI SAS"/>
        <s v="Bymedia SAS"/>
        <s v="Corporacion Universitaria De Asturias "/>
        <s v="Mercantil Colpatria SA"/>
        <s v="Indra Colombia SAS"/>
        <s v="Distribuidora Toyota SAS"/>
        <s v="Fondo De Empleados Al Servicio De Los Trabajadores Del Sector Empresarial Colombia "/>
        <s v="Ix Comercio Colombia SAS"/>
        <s v="Orthopraxis SAS"/>
        <s v="Inversiones Esteban Y Cia S En CS"/>
        <s v="Impacta Btl S A S"/>
        <s v="Central SAS"/>
        <s v="Criya SAS"/>
        <s v="Thomas Seguridad Integral Ltda"/>
        <s v="Miniso Colombia SAS"/>
        <s v="Actual Colombia Inmobiliaria SAS"/>
        <s v="Pricewaterhousecoopers Information Services SAS"/>
        <s v="Inversiones En Recreacion Deporte Y Salud SA"/>
        <s v="Express Luck Colombia SAS"/>
        <s v="Industrias De Refrigeracion Comercial SA Indufrial SA Reorganizacion Empresarial"/>
        <s v="People Contact SAS En Reestructuracion"/>
        <s v="Recaudos De Valores SAS"/>
        <s v="Euro Marcali SAS"/>
        <s v="Marcali Sakura SAS"/>
        <s v="Marcali Internacional SA"/>
        <s v="Marcali SA"/>
        <s v="Industrias Spring SAS"/>
        <s v="Boydorr SAS"/>
        <s v="Soluciones En Enfermeria Clinica SAS"/>
        <s v="Price Res SAS"/>
        <s v="Fundacion Amigos Del Teatro Mayor"/>
        <s v="P&amp;P Systems Colombia SAS En Reorganizacion "/>
        <s v="Supermastick SAS "/>
        <s v="24K Global Logistics SAS"/>
        <s v="Deloitte &amp; Touche SAS"/>
        <s v="Parko Services S.A"/>
        <s v="Leidy Astrid Jimenez Ossa"/>
        <s v="Marsela  Lopez Ahumada"/>
        <s v="Eleva Impacto Que Trasciende"/>
        <s v="Mas Servicios Asistenciales Colombia SAS"/>
        <s v="Apicom SAS"/>
        <s v="Laboratorios De Especialidades Cosmeticas Esko Ltda"/>
        <s v="Grupo Microsistemas Colombia SAS "/>
        <s v="Axure Technologies SA"/>
        <s v="Congregacion De Hermanas De Caridad Dominicas De La Representacion De La Santisima Virgen"/>
        <s v="Esenttia Masterbatch Ltda"/>
        <s v="Yunex SAS"/>
        <s v="Esmeraldas De Los Andes SAS"/>
        <s v="Coopervision Colombia SAS"/>
        <s v="Licencias On Line SAS"/>
        <s v="Grupo Empresarial Oikos SAS"/>
        <s v="Beauty International Brands SAS"/>
        <s v="Nm Fire Latin America SAS"/>
        <s v="Farmatodo Colombia SAS"/>
        <s v="Mario  Reyes Gutierrez"/>
        <s v="Fundacion Hospital De La Misericordia"/>
        <s v="Plastinova SA"/>
        <s v="Creative Colors SA"/>
        <s v="Consorcio Sisben SV 2024"/>
        <s v="Angie Tatiana Parra Duran"/>
        <s v="Cwt Ecenter Colombia SAS"/>
        <s v="Aquia SAS"/>
        <s v="Morand Servicios Legales Y De Impuestos SAS"/>
        <s v="Astaf Auditores Y Consultores Contables SAS"/>
        <s v="Digital Copy Soluciones Digitales SAS"/>
        <s v="Centro Ocular Demiopia Dr Rincon Sociedad Por Acciones Simplificada SAS"/>
        <s v="Centro De Control De Cancer SAS"/>
        <s v="Laboratorios Bussie SA"/>
        <s v="Servihosp LTDA"/>
        <s v="Hidrocarburos Del Casanare SAS"/>
        <s v="Continautos SAS"/>
        <s v="Agrointegral Andina SAS"/>
        <s v="Pricewaterhousecoopers Asesores Gerenciales SAS"/>
        <s v="Pricewaterhousecoopers Servicios Legales Y Tributarios SAS"/>
        <s v="Representaciones Del Mundo SAS Repremundo"/>
        <s v="California Creative Solutions, Inc"/>
        <s v="Bogota Movil Operacion Sur SAS"/>
        <s v="E-Somos Fontibon SAS"/>
        <s v="Mapfre Seguros Generales De Colombia SA"/>
        <s v="Eli Lilly Interamerica Inc"/>
        <s v="Ayesa Ingenieria Y Arquitectura S A U Sucursal Colombia"/>
        <s v="Salud, Riesgos Y Recursos Humanos Consultores Ltda"/>
        <s v="Corporacion Cultural Alexander Von Humboldt Deutscher Schulverein"/>
        <s v="Extractora La Gloria SAS"/>
        <s v="Sinnetic SAS"/>
        <s v="Corpoeducacion"/>
        <s v="K2 Ingenieria SAS"/>
        <s v="Prosegur Gestion De Activos Colombia SAS"/>
        <s v="Ingenieria Y Servicios Tecnicos Seringtec SAS"/>
        <s v="Promotora De Gases Del Sur S A ESP"/>
        <s v="Rocket Multiservices SAS"/>
        <s v="Consorcio Intervial Andino"/>
        <s v="Consorcio Vial 2030"/>
        <s v="Consorcio Intervial Sur"/>
        <s v="Consorcio Red Ferrea Ij"/>
        <s v="Consorcio Consultecnicos - Joyco"/>
        <s v="Consorcio Cj 2020"/>
        <s v="Joyco SAS"/>
        <s v="Frosch Colombia SAS"/>
        <s v="Superpolo SAS"/>
        <s v="Parque Industrial Malambo SA"/>
        <s v="Plasdecor SAS"/>
        <s v="Alkhorayef Petroleum Colombia "/>
        <s v="Servicios Petroleros Y Electronicos SAS"/>
        <s v="Atech Bpo Slu Sucursal Colombia"/>
        <s v="Ball Colombia Limitada"/>
        <s v="Thermoform SAS"/>
        <s v="Stefanini Colombia SAS"/>
        <s v="Buentipo Anchor Worldwide SAS"/>
        <s v="Holland &amp; Knight Colombia SAS"/>
        <s v="L&amp;D Equipos Y Fundaciones SAS"/>
        <s v="Industria Nacional De Gaseosas SA"/>
        <s v="BP Constructores SA"/>
        <s v="Dromos Pavimentos SAS"/>
        <s v="Ch Mac Abogados  SAS"/>
        <s v="Ascensores Schindler De Colombia SAS"/>
        <s v="Weg Colombia SAS"/>
        <s v="Algranel SA"/>
        <s v="Hp Colombia SAS"/>
        <s v="Consorcio Vial JJ-ACI"/>
        <s v="Union Temporal Actores Electorales 2026"/>
        <s v="Sky Industrial SAS"/>
        <s v="Centro Comercial Plaza De Las Americas-Propiedad Horizontal"/>
        <s v="Confederacion Colombiana De Camaras De Comercio Confecamaras"/>
        <s v="Bancolombia SA"/>
        <s v="Laboratorios Sophia De Colombia Ltda"/>
        <s v="Fondo Para La Accion Ambiental Y La Niñez"/>
        <s v="Gesproyect SAS"/>
        <s v="Vitral Textil SAS"/>
        <s v="Colegio Mayor De Nuestra Señora Del Rosario"/>
        <s v="Casahidalgo Constructores SAS"/>
        <s v="Incosoft SAS Ingenieria"/>
        <s v="Acf Technologies Colombia SAS"/>
        <s v="Modum SAS"/>
        <s v="Ingeurbe Gestora De Proyectos SAS"/>
        <s v="Inversiones Viale 26 SAS"/>
        <s v="Motored De Colombia SAS"/>
        <s v="Texart SAS"/>
        <s v="Flores De Britania SAS"/>
        <s v="Corporacion Social Medica Sanitas"/>
        <s v="Agroinsumos Alfa SAS"/>
        <s v="Puma Energy Colombia Combustibles SAS"/>
        <s v="Mct SAS"/>
        <s v="Arpro Arquitectos Ingenieros SAS"/>
        <s v="Aldeas Infantiles SOS Colombia"/>
        <s v="Corporacion Colombia Crea Talento "/>
        <s v="Valley Cargo SAS"/>
        <s v="Valley Logistic SA"/>
        <s v="Asesores De Servicios Y Proteccion Asep Limitada"/>
        <s v="Mexichem Colombia SAS"/>
        <s v="Pa Colombia SAS"/>
        <s v="Consorcio La Inmaculada XXI"/>
        <s v="Consorcio Nazaret"/>
        <s v="Pavco De Occidente SAS"/>
        <s v="Wsp Ingenieria Colombia SAS"/>
        <s v="Healthy Servicios De Catering S A S "/>
        <s v="Kantar Worldpanel Peru SA Sucursal Colombia"/>
        <s v="Provenzal SAS"/>
        <s v="Saufer Soluciones SAS"/>
        <s v="Scania Colombia SAS"/>
        <s v="Ikusi Redes Colombia SAS"/>
        <s v="Estilo Ingenieria SA"/>
        <s v="Grupo Eds Autogas SAS"/>
        <s v="Inverfas SA"/>
        <s v="Soldepye Soluciones De Potencia E Ingenieria SAS"/>
        <s v="Duflo Servicios Integrales SAS"/>
        <s v="Caja De Compensacion Familiar Compensar"/>
        <s v="Elanco Colombia SAS"/>
        <s v="Fabrica De Especias Y Productos El Rey SA"/>
        <s v="Pavimentos Colombia SAS"/>
        <s v="Proteccion Agropecuaria De Colombia SAS"/>
        <s v="A &amp; S Computadores SA Alquiler Y Servicio"/>
        <s v="Itmcol SAS"/>
        <s v="Longport Colombia Ltda"/>
        <s v="Pamacol Technologies SAS"/>
        <s v="Texsa De Colombia SA"/>
        <s v="Sec Latam Comunicaciones Estrategicas SAS"/>
        <s v="Club El Rincon De Cajica"/>
        <s v="Fraco Fabrica Colombiana De Repuestos Automotores SA Fraco SA"/>
        <s v="Grivan Ingenieria SA"/>
        <s v="Guacamaya Energy Services S A S"/>
        <s v="Robert Bosch Ltda"/>
        <s v="Worley Colombia SAS"/>
        <s v="Arcelor Mittal International Colombia SAS"/>
        <s v="Cheil Colombia"/>
        <s v="Patria Investments Colombia SAS"/>
        <s v="Cfd Ingenieria SAS"/>
        <s v="Condor Specialty Coffee SAS"/>
        <s v="Doris Helena Angarita Puentes"/>
        <s v="Covinoc S A "/>
        <s v="Zona Franca Malambo SAS Usuario Operador De Zona Franca "/>
        <s v="Bogota Limpia SAS ESP"/>
        <s v="Uni2 Microcredito S A S "/>
        <s v="Inversiones Libra SA"/>
        <s v="Sociedad Colombiana De Pediatria"/>
        <s v="Sofka Technologies SAS"/>
        <s v="Hoteles Bogota Plaza SAS"/>
        <s v="Deceuninck SAS"/>
        <s v="Novatecnica SAS"/>
        <s v="Fundacion Uniban"/>
        <s v="Unitoys Colombia SAS"/>
        <s v="MDV Distribuidora SAS"/>
        <s v="Patrimonios Autonomos Fiduciaria Bogota SA"/>
        <s v="Accion Sociedad Fiduciaria SA"/>
        <s v="CI Ozi International SAS"/>
        <s v="Universidad Santo Tomas"/>
        <s v="Rua Group CIB SAS"/>
        <s v="Autogermana SAS"/>
        <s v="Agricultura Y Servicios S A S"/>
        <s v="Centro De Gerenciamiento De Residuos Doña Juana SA ESP"/>
        <s v="Madeformas SAS"/>
        <s v="Corporacion Centro De Investigacion En Palma De Aceite Cenipalma"/>
        <s v="Colombiana De Trasplantes SAS"/>
        <s v="Corecard Colombia SAS"/>
        <s v="Samercol SA"/>
        <s v="Century Sports SAS"/>
        <s v="Consorcio Metalurgico Nacional SAS"/>
        <s v="Promotora Inmobiliaria R &amp; G SAS"/>
        <s v="Educactiva Ediciones SAS"/>
        <s v="Arturo Calle Zona Franca SAS"/>
        <s v="Sikorsky Material Services LLC Sucursal Colombia"/>
        <s v="Suministros E Impresos SAS"/>
        <s v="Camara De Riesgo Central De Contraparte De Colombia S A"/>
        <s v="Fundacion De Copidrogas Para La Educacion Y La Asesoria Tecnica"/>
        <s v="Dalog Americas SAS"/>
        <s v="Operadora Habitel S A S"/>
        <s v="S L Research Colombia SAS"/>
        <s v="Alcanos De Colombia SA ESP"/>
        <s v="Instituto Panameño De Investigaciones Clinicas Ipic SA"/>
        <s v="Interoc S A Sucursal Colombia"/>
        <s v="Carbe SAS"/>
        <s v="Challenger SAS"/>
        <s v="Axon Group Limitada"/>
        <s v="Cardif Colombia Seguros Generales SA"/>
        <s v="Extractora Del Sur De Casanare SAS"/>
        <s v="Atomy Colombia SAS"/>
        <s v="Cooperativa Especializada De Servicios De Vigilancia Cooservi CTA"/>
        <s v="Dorfan SAS"/>
        <s v="Cooperativa De Empleados de Cafam"/>
        <s v="Visual Point SAS"/>
        <s v="Electronic For You Security And Entertainment SAS"/>
        <s v="Exportaciones Internacionales De Cargas  S A S"/>
        <s v="Howden Corredores De Seguros SA"/>
        <s v="Imc Cargo International S A S"/>
        <s v="Sistemas Colombia SAS"/>
        <s v="Logimat S A S"/>
        <s v="National Oilwell Varco De Colombia"/>
        <s v="Indigo Park Colombia SAS"/>
        <s v="Series SAS"/>
        <s v="Jmv Construktora SAS"/>
        <s v="Castillo Y Asociados Ingenieria SAS"/>
        <s v="Inversiones Globales Ns SAS"/>
        <s v="Grupo Y SAS"/>
        <s v="Massy Energy Colombia SAS"/>
        <s v="Trans Rubiales SAS"/>
        <s v="Totalenergies Marketing Colombia SAS"/>
        <s v="Versania Primera Infancia SAS"/>
        <s v="Clinica Dental Keralty SAS"/>
        <s v="Aon Risk Services Colombia S A Corredores De Seguros Pero Podra Girar Bajo La Sigla Aon Colombia S A"/>
        <s v="Covisian Colombia S A S "/>
        <s v="Jupi Jump San Rafael SAS"/>
        <s v="Concremack SAS"/>
        <s v="Corporacion San Isidro"/>
        <s v="Agp Representaciones SAS"/>
        <s v="Soto Sinisterra SAS"/>
        <s v="Aliat Servicios SAS Esp"/>
        <s v="Vitro Colombia SAS"/>
        <s v="Iglesia Cristiana De Los Testigos De Jehova"/>
        <s v="Honor Servicios De Seguridad Limitada"/>
        <s v="Bandas Y Elasticos Bandel SAS"/>
        <s v="Area Limpia Distrito Capital SAS E.S.P"/>
        <s v="Vmc Cloud S A S"/>
        <s v="Plus Ambiente SAS ESP"/>
        <s v="Once92 SAS"/>
        <s v="Promotora Caledonia SAS"/>
        <s v="Fundacion Apoyo Social Integral Colombia"/>
        <s v="Flores Tiba SA"/>
        <s v="Federacion Colombiana De Golf"/>
        <s v="Hpe Financial Services Colombia Llc Sucursal  Colombia"/>
        <s v="Sociedad Puerto Industrial Aguadulce SA"/>
        <s v="Politecnico Grancolombiano"/>
        <s v="Inversiones Rueda Angel Limitada "/>
        <s v="Mass Digital SAS"/>
        <s v="Mullen Lowe Ssp3 SAS"/>
        <s v="Castro Y Rincon SAS"/>
        <s v="Universidad Cooperativa De Colombia"/>
        <s v="Compañia De Seguros Bolivar SA"/>
        <s v="Servioptica SAS"/>
        <s v="Casa De La Valvula SAS"/>
        <s v="Ecomarket SAS"/>
        <s v="Universidad De La Salle"/>
        <s v="Newsat SAS"/>
        <s v="Maria Diocelina Turriago Padilla"/>
        <s v="Productos Alimenticios El Recreo SAS"/>
        <s v="Vado Combustibles SAS"/>
        <s v="Atcg De Colombia SAS"/>
        <s v="Exro SAS"/>
        <s v="Quimexcol Zona Franca SAS"/>
        <s v="Constructora Las Galias S A S"/>
        <s v="Fundacion Universitaria San Martin"/>
        <s v="Comunican SA"/>
        <s v="Julian Eduardo Rodriguez Posso"/>
        <s v="Corporacion Parala Gestion Del Desarrollo Humano Filantropos"/>
        <s v="Laboratorio Internacional De Colombia SAS"/>
        <s v="Grupo Decor SAS"/>
        <s v="Consorcio Metro 2023"/>
        <s v="GI Group Servicios SAS"/>
        <s v="Publicaciones Semana SA"/>
        <s v="Fondo De Empleados Fedeaa"/>
        <s v="Pantoglot LTDA"/>
        <s v="Aecsa SAS"/>
        <s v="Combustibles De Colombia SA"/>
        <s v="Istituzione Leonardo Da Vinci"/>
        <s v="Edwin Alonso Pirazan Rativa"/>
        <s v="Acuameunier SAS"/>
        <s v="Inversiones Mcn SAS"/>
        <s v="Correcaminos De Colombia"/>
        <s v="Sigma Gestion De Proyectos SAS"/>
        <s v="Banco De Occidente"/>
        <s v="Grupo Agroindustrial Hacienda La Gloria SA Sucursal Colombia"/>
        <s v="Expertos En Cafe SAS"/>
        <s v="Consorcio Estanzula - Bronx"/>
        <s v="Oftalmos SA"/>
        <s v="Selecta Compañia De Cereales SAS"/>
        <s v="Mathiesen Colombia SAS"/>
        <s v="Grupo Aval Acciones Y Valores SA"/>
        <s v="La Corporacion Colombiana De Investigacion Agropecuaria Agrosavia"/>
        <s v="Inversiones Proxima Centauri SAS"/>
        <s v="Soplascol SAS"/>
        <s v="Fundacion Hematologica Colombia"/>
        <s v="Compañia Ganadera Del Oeste SA"/>
        <s v="Servicio De Ingenieria Transito Y Tecnologia SAS Sitt Y Cia SAS"/>
        <s v="Protex SAS"/>
        <s v="Persea Colombia SAS"/>
        <s v="Fundacion Sand Box"/>
        <s v="Consorcio R&amp;J Joyco"/>
        <s v="Tinello Capital SAS"/>
        <s v="Grupo Cenagro SAS"/>
        <s v="Set Icap Fx SA"/>
        <s v="Agroinversiones Bananeras Del Caribe SAS"/>
        <s v="Universidad Libre"/>
        <s v="Merquimia Colombia SAS"/>
        <s v="Banco Caja Social SA"/>
        <s v="Winner Group SA"/>
        <s v="Fundacion National Center For State Courts-Ncsc Colombia"/>
        <s v="Recordati Rare Diseases Colombia SAS"/>
        <s v="Maria Yesmi Fierro Jimenez"/>
        <s v="Grupo Dos Ene SAS"/>
        <s v="Ortizo SAS"/>
        <s v="Be Academy SAS"/>
        <s v="Comite Internacional De La Cruz Roja"/>
        <s v="Regional Business Colombia SAS"/>
        <s v="Pasarex SAS"/>
        <s v="Vetra Exploracion Y Produccion Colombia SAS"/>
        <s v="Inversiones Famoso SAS "/>
        <s v="Compañia Internacional De Alimentos Agropecuarios Cialta SAS"/>
        <s v="Gran Tierra Energy Colombia Gmbh Sucursal Colombia"/>
        <s v="Colnotex SAS"/>
        <s v="Universidad Antonio Nariño"/>
        <s v="Dilma Constanza Cuesta Rubiano"/>
        <s v="Informa Colombia SA"/>
        <s v="Nutrabiotics SAS"/>
        <s v="Centro Recreacional De Oficiales Bogota"/>
        <s v="Gestion De Activos Tecni SAS"/>
        <s v="Seaboard De Colombia SAS"/>
        <s v="Flexon Estructuras Y Herrajes SAS"/>
        <s v="La Font SAS"/>
        <s v="Brillo Institucional SAS"/>
        <s v="Visionamos Salud Centro De Diagnostico Clinico SAS"/>
        <s v="Dental 83 SAS"/>
        <s v="Silvher SAS"/>
        <s v="Meltec Comunicaciones SAS"/>
        <m/>
        <s v="Embajada De Brasil" u="1"/>
        <s v="Atlantic Quantum Innovations S A S" u="1"/>
        <s v="Opciones Administrativas S A S " u="1"/>
        <s v="Hellmann Worldwide Logistics SAS" u="1"/>
        <s v="Experts Colombia SAS" u="1"/>
        <s v="Millenium Bpo SA" u="1"/>
        <s v="Asociacion Escolar Helvetia" u="1"/>
        <s v="Proarca Colombia SAS" u="1"/>
        <s v="Operadores Y Administadores Internacionales De Vias SAS Opeinvias SAS" u="1"/>
        <s v="Fundacion Universitaria Sanitas" u="1"/>
        <s v="Salud Ocupacional Sanitas SAS" u="1"/>
        <s v="Entidad Promotora De Salud Sanitas SAS En Intervencion Bajo La Medida De Toma De Posesion" u="1"/>
        <s v="Groupm Trading Colombia SAS" u="1"/>
        <s v="Colegio Claretiano De Cucuta" u="1"/>
        <s v="Casalimpia SA" u="1"/>
        <s v="Duquesa SA. BIC" u="1"/>
        <s v="Ddb Worldwide Colombia SAS" u="1"/>
        <s v="Negratin Colombia S A S" u="1"/>
        <s v="Asociacion De Copropietarios De Celta Trade Park Uno" u="1"/>
        <s v="Biologicos Y Contaminados SAS Esp" u="1"/>
        <s v="Evertec Colombia SAS" u="1"/>
        <s v="Ceva Freight Management De Colombia SAS" u="1"/>
        <s v="Promoambiental Distrito SAS ESP" u="1"/>
        <s v="Domina SA" u="1"/>
        <s v="Ivesur Colombia SA" u="1"/>
        <s v="Administradora Pineda Arias S A S" u="1"/>
        <s v="Fondo De Empleados De Automundial" u="1"/>
        <s v="Milsen SAS" u="1"/>
        <s v="Orden Hospitalaria De San Juan De Dios" u="1"/>
        <s v="Falabella.com SAS" u="1"/>
        <s v="Solocauchos SAS" u="1"/>
        <s v="Pegsa LTDA" u="1"/>
        <s v="Centro Colombo Americano" u="1"/>
        <s v="Wood Engineering &amp; Consultancy Colombia SAS" u="1"/>
        <s v="Partequipos Maquinaria S A S" u="1"/>
        <s v="Embotelladora De La Sabana SAS" u="1"/>
        <s v="Improve Learning SAS" u="1"/>
        <s v="Centro De Abastos Agropecuarios SAS" u="1"/>
        <s v="Interval International De Colombia SAS" u="1"/>
        <s v="Sony Music Entertainment Colombia SA" u="1"/>
        <s v="Deutsche Gesellschaft Fur Internationale Zusammenarbeit GIZ GMBH" u="1"/>
        <s v="Valrex S A S " u="1"/>
        <s v="Sucesores De Jose Jesus Restrepo Y Cia S A Casa Luker S A " u="1"/>
        <s v="Transchiquinquira SA" u="1"/>
        <s v="Mercantil Colpatria SAS" u="1"/>
        <s v="Consultoria Colombiana SA" u="1"/>
        <s v="Donucol SA" u="1"/>
        <s v="Encajes SA Colombia" u="1"/>
        <s v="Universal Linc De Colombia SAS" u="1"/>
        <s v="Financiera Juriscoop SA Compañia De Financiamiento" u="1"/>
        <s v="Miniso Zf Colombia S A S" u="1"/>
        <s v="Almacontact SAS" u="1"/>
        <s v="Ecologicas Group Empresarial S A S" u="1"/>
        <s v="Fm Entretenimiento SAS" u="1"/>
        <s v="Operadora Colombiana De Cines SAS" u="1"/>
        <s v="Centak Andina SAS" u="1"/>
        <s v="Asesores De Sistemas Especializados En Software SAS Asesoftware SAS" u="1"/>
        <s v="Embajada De La India " u="1"/>
        <s v="Rtrc Colombia Ltda" u="1"/>
        <s v="Jmv Ingenieros SAS" u="1"/>
        <s v="Boydorr Nutrition SAS" u="1"/>
        <s v="Lubryesp SAS" u="1"/>
        <s v="Ihozi SAS" u="1"/>
        <s v="Consorcio Inemec PYC" u="1"/>
        <s v="Corporacion Educativa Los Nogales" u="1"/>
        <s v="UT Prepacol - 3T Capital" u="1"/>
        <s v="Perenco Colombia Limited" u="1"/>
        <s v="Electricos Importados SAS" u="1"/>
        <s v="Bulkmatic De Colombia SAS" u="1"/>
        <s v="Orica Colombia SAS" u="1"/>
        <s v="Corporacion Club El Nogal" u="1"/>
        <s v="Oscar Orlando Perez Mejia" u="1"/>
        <s v="Wilmer Andres Vargas Murcia" u="1"/>
        <s v="Rafael Eduardo Simbaqueba Rodriguez" u="1"/>
        <s v="Jose Vicente Rico Ortiz" u="1"/>
        <s v="Karen Johana Cagua Chaparro" u="1"/>
        <s v="Claudia Patricia Triana Olaya" u="1"/>
        <s v="Maria Lorenza Pastrana Ramos" u="1"/>
        <s v="Alejandro  Varon Colorado" u="1"/>
        <s v="Ambientti Constructora Inmobiliaria S A" u="1"/>
        <s v="Corporacion Organizacion El Minuto De Dios-OMD-" u="1"/>
        <s v="Unidossis SAS" u="1"/>
        <s v="Saexploration Inc Sucursal Colombia " u="1"/>
        <s v="Globo Cambio Foreign Exchange SAS" u="1"/>
        <s v="Corporacion Sin Animo De Lucro Pueblo Viejo Country Club" u="1"/>
        <s v="Digital Interactions SAS" u="1"/>
        <s v="Coopseguros Agencia De Seguros LTDA" u="1"/>
        <s v="Jose Lloreda Camacho &amp; CO SAS" u="1"/>
        <s v="Iglesia Evangelica Luterana De Colombia" u="1"/>
        <s v="Promotora Antique SAS" u="1"/>
        <s v="Viajes Iberoluna SAS" u="1"/>
        <s v="Patrimonios Autonomos Fiduciaria Corficolombiana SA" u="1"/>
        <s v="Proysolin SAS" u="1"/>
        <s v="Bludent Clinic SAS" u="1"/>
        <s v="Karcher SAS" u="1"/>
        <s v="Flores De Pueblo Viejo SAS" u="1"/>
        <s v="Ducamotocol SAS" u="1"/>
        <s v="Siigo SAS" u="1"/>
        <s v="Dell Colombia Inc" u="1"/>
        <s v="Helios Technology &amp; Innovation SAS" u="1"/>
        <s v="Colmena Seguros Riesgos Laborales SA Riesgos Laborales Colmena Compañia De Seguros De Vida" u="1"/>
        <s v="Axa Colpatria Seguros SA" u="1"/>
        <s v="Its Infocomunicacion S A S" u="1"/>
        <s v="Migmar Ltda Servicio Integral Empresarial" u="1"/>
        <s v="Idea Multimedia SAS" u="1"/>
        <s v="Agrocampo SAS" u="1"/>
        <s v="3Net Telecomunicaciones SAS" u="1"/>
        <s v="Unifianza SA" u="1"/>
        <s v="Grupo Cbc S A S " u="1"/>
        <s v="Logistica De Carga Especializada Multimodal ( LOGICEM) SAS" u="1"/>
        <s v="Mexichem Servicios Colombia SAS" u="1"/>
        <s v="Petroelectrica De Los Llanos Ltd Sucursal Colombia" u="1"/>
        <s v="Operacion Y Mantenimiento Integral De Activos Colombia SAS" u="1"/>
        <s v="Sutex SAS" u="1"/>
        <s v="Medplus Medicina Prepagada SA" u="1"/>
        <s v="Conferencia Episcopal De Colombia" u="1"/>
        <s v="Mobiliario Urbano A&amp;C S A S" u="1"/>
        <s v="Fundacion Guaicaramo" u="1"/>
        <s v="Sucafina Colombia SAS" u="1"/>
        <s v="Farmalogica SA" u="1"/>
        <s v="Fondo De Empleados Almacenes Exito" u="1"/>
        <s v="Lloreda &amp; Cia SAS" u="1"/>
        <s v="Ideplas SAS" u="1"/>
        <s v="Eimy Yaritza Cogollo Cubillos" u="1"/>
        <s v="Conjunto Residencial Castilla Imperial - Propiedad Horizontal" u="1"/>
        <s v="Trimco SAS" u="1"/>
        <s v="General Rigs Services SAS" u="1"/>
        <s v="Transportes Clavijo SAS" u="1"/>
        <s v="Industrias Colombianas Minerarias SAS- Incolmine SAS" u="1"/>
        <s v="Intercarbon Mining SAS" u="1"/>
        <s v="Soldaduras West Arco SAS" u="1"/>
        <s v="Colegio De Estudios Superiores De Administracion CESA" u="1"/>
        <s v="Molinos El Yopal SAS" u="1"/>
        <s v="Jpmorgan Chase Bank National Association" u="1"/>
        <s v="Allmark Comercial De Colombia SA" u="1"/>
        <s v="Lucho Hernando Ariza Ariza" u="1"/>
        <s v="Gehutemp SAS" u="1"/>
        <s v="Constructora GAP SAS" u="1"/>
        <s v="Embajada Del Reino De Los Paises Bajos " u="1"/>
        <s v="Idemia Colombia SAS" u="1"/>
        <s v="Business People Unlimited SAS" u="1"/>
        <s v="Ospinas Y Cia SA" u="1"/>
        <s v="Gavinco Ingenieros Consultores SAS" u="1"/>
        <s v="Cocinas Nicol SAS" u="1"/>
        <s v="Mawdy SAS" u="1"/>
        <s v="D1 SAS" u="1"/>
        <s v="95/24 Colombia SAS" u="1"/>
        <s v="Books And Books Ltda" u="1"/>
        <s v="Union Temporal Servicios Especializados De Registro Y Transito - Socha" u="1"/>
        <s v="Corporacion Programa Desarrollo Para La Paz Prodepaz" u="1"/>
        <s v="Sebastian Francisco Novoa Campos" u="1"/>
        <s v="Empresas AMP SAS" u="1"/>
        <s v="Consycom SAS" u="1"/>
        <s v="Metritha Capital Partners SAS" u="1"/>
        <s v="Liti Tax SAS" u="1"/>
        <s v="Comercializadora Internacional Flores De Aposentos SAS" u="1"/>
        <s v="Vital Autoservicios SAS" u="1"/>
        <s v="Tilata SAS" u="1"/>
        <s v="Grupo Manan SAS" u="1"/>
        <s v="Yazaki Ciemel SA" u="1"/>
        <s v="Confederacion Colombiana Del Algodon Conalgodon" u="1"/>
        <s v="Cifras Y Conceptos S A" u="1"/>
        <s v="Infraestructura Virtual SAS" u="1"/>
        <s v="Ronald  Villarraga Velandia" u="1"/>
        <s v="A3sec SAS" u="1"/>
        <s v="Parque Empresarial Y Comercial Rosalinda P H" u="1"/>
        <s v="Rafael Francisco Novoa Palladino" u="1"/>
        <s v="Hlf Colombia LTDA" u="1"/>
        <s v="Centro Logistico Faro S A S" u="1"/>
        <s v="Refoenergy Villanueva S A S E S P" u="1"/>
        <s v="Kenzo Jeans SAS" u="1"/>
        <s v="Fundacion Orientame" u="1"/>
        <s v="Pacific Sea Food SAS" u="1"/>
        <s v="Ensembleiq Inc" u="1"/>
        <s v="Soluciones Laborales Horizonte SAS" u="1"/>
        <s v="Congregacion De Dominicas De Santa Catalina De Sena " u="1"/>
        <s v="Tecniglobal De Colombia SAS" u="1"/>
        <s v="Transportes T E V SAS" u="1"/>
        <s v="Hoteles Bogota Plaza SA" u="1"/>
        <s v="Atlas Copco Colombia Ltda" u="1"/>
        <s v="Consorcio Salud" u="1"/>
        <s v="Ac Nielsen De Colombia Ltda" u="1"/>
        <s v="Soudal Colombia SAS" u="1"/>
        <s v="Top Medical Systems SA" u="1"/>
        <s v="Editorial Nomos SA" u="1"/>
        <s v="Axity Colombia Sociedad Por Acciones Simplificada" u="1"/>
        <s v="Financial &amp; Tax Consulting Ltda" u="1"/>
        <s v="Corporacion Para El Control Social" u="1"/>
        <s v="Morelco SAS" u="1"/>
        <s v="Brm SAS" u="1"/>
        <s v="Fondo De Empleados De Sierracol Energy Arauca LLC" u="1"/>
        <s v=" Novasoft S A S" u="1"/>
        <s v="Compass Group Services Colombia S A" u="1"/>
        <s v="Asociacion Colombiana De Droguistas Detallistas Asocoldro" u="1"/>
        <s v="Cruz Roja Colombiana Seccional Cundinamarca Y Bogota" u="1"/>
        <s v="AON Reinsurance Colombia Limitada Corredores De Reaseguros" u="1"/>
        <s v="Deloitte Asesores Y Consultores SAS" u="1"/>
        <s v="Vicsa Steelpro Colombia SAS" u="1"/>
        <s v="Centro Comercial Portal De La 80 - Propiedad Horizontal" u="1"/>
        <s v="Provecampos SAS" u="1"/>
        <s v="L&amp;C SAS" u="1"/>
        <s v="Industrias La Coruña SAS" u="1"/>
        <s v="Proseguros Corredores De Seguros SA" u="1"/>
        <s v="Howden Re Corredores De Reaseguros SA" u="1"/>
        <s v="Ultra Seguridad Limitada" u="1"/>
        <s v="Nicomar Electronics SA" u="1"/>
        <s v="Quasfar M &amp; F SAS" u="1"/>
        <s v="International Testing Inspection &amp; Certification Colombia SAS" u="1"/>
        <s v="Ingenieros Consultores Civiles Y Electricos SAS" u="1"/>
        <s v="Constructora Kovok SAS" u="1"/>
        <s v="Gigas Hosting Colombia SAS" u="1"/>
        <s v="Consorcio Interventor HS" u="1"/>
        <s v="Giesecke Y Devrient Sucursal Colombia" u="1"/>
        <s v="Decowraps Colombia SAS" u="1"/>
        <s v="Grupo Empresarial Crear De Colombia " u="1"/>
        <s v="Beauty Brands Sur America SAS" u="1"/>
        <s v="Mendebal SAS" u="1"/>
        <s v="Agora Centro De Servicios Compartidos SAS" u="1"/>
        <s v="Bps Service Consulting And Development SAS" u="1"/>
        <s v="Estyma Estudios Y  Manejos SA" u="1"/>
        <s v="Inversiones Y Soluciones HJBC SAS" u="1"/>
        <s v="Capital Salud Entidad Promotora De Salud Del Regimen Subsidiado S A S " u="1"/>
        <s v="Tru &amp; Go Importaciones SAS" u="1"/>
        <s v="E-Motion Global SAS" u="1"/>
        <s v="Altiva Inversiones SAS" u="1"/>
        <s v="Global Knowledge Colombia SAS" u="1"/>
        <s v="Markia SA" u="1"/>
        <s v="Acaire" u="1"/>
        <s v="Pro Desarrollo Para Bneneficio Social" u="1"/>
        <s v="Operadora Portuaria Del Caribe SAS" u="1"/>
        <s v="Thunder Production SAS" u="1"/>
        <s v="Serenus Asesores De Seguros Ltda" u="1"/>
        <s v="Centro De Diagnostico Y Tratamiento Cendiatra Sociedad Por Acciones Simplificada" u="1"/>
        <s v="Abc Cargo Logistic SAS" u="1"/>
        <s v="C3 Logistic Sociedad Por Acciones Simplificada" u="1"/>
        <s v="Compañia Nacional De Levaduras Levapan SA" u="1"/>
        <s v="Asociación Cristiana De Jovenes De Bogotá Y Cundinamarca ACJ Y MCA" u="1"/>
        <s v="Flare S A S" u="1"/>
        <s v="Alejandra Maria Forero Garzon" u="1"/>
        <s v="Multisoluport SAS" u="1"/>
        <s v="Organizacion 4 M S A S" u="1"/>
        <s v="Multilemas SAS" u="1"/>
        <s v="Brink´S Incorporated Sucursal Colombia" u="1"/>
        <s v="Fundacion Universitaria Del Area Andina" u="1"/>
        <s v="B - Energy SAS" u="1"/>
        <s v="Edf Colombia SAS" u="1"/>
        <s v="Disan Csc SAS" u="1"/>
        <s v="Editorial Libros Y Libros SAS" u="1"/>
        <s v="Armirene Colombia SAS" u="1"/>
        <s v="Hatogrande Golf &amp; Tennis Country Club" u="1"/>
        <s v="Ingenieria Master SAS" u="1"/>
        <s v="Compañia De Servicios De Vigilancia Privada Limitada Coservicrea Ltda" u="1"/>
        <s v="Ajover Darnel SAS" u="1"/>
        <s v="Titularizadora Colombiana SA Hitos" u="1"/>
        <s v="Agency Within LLC" u="1"/>
        <s v="Globallogic Colombia SAS" u="1"/>
        <s v="Tecnologia De Polietileno De Colombia TPC SAS" u="1"/>
        <s v="Acinco Ingenieria SAS" u="1"/>
        <s v="Grupo Asthec SA" u="1"/>
        <s v="Trafigura De Colombia PTY SAS" u="1"/>
        <s v="Colegio Ciedi SAS" u="1"/>
        <s v="Havas Media Colombia SAS" u="1"/>
        <s v="Arpro Arquitectos Ingenieros SA" u="1"/>
        <s v="Anasac Colombia Ltda" u="1"/>
        <s v="Comestibles Italo SA" u="1"/>
        <s v="Bbdo Colombia SAS" u="1"/>
        <s v="Sancho Bbdo Worldwide Inc SAS" u="1"/>
        <s v="Capitalbus SAS" u="1"/>
        <s v="57 Medical SAS" u="1"/>
        <s v="B i SAS" u="1"/>
        <s v="Naves SAS" u="1"/>
        <s v="Flores El Rebaño SAS" u="1"/>
        <s v="Comercializadora Internacional Bananeros Unidos De Santa Martha SAS" u="1"/>
        <s v="Global De Inversiones SAS" u="1"/>
        <s v="Ricardo  Uribe Arango" u="1"/>
        <s v="Corporacion Humanicemos DH" u="1"/>
        <s v="Plasticos Y Especialidades Quimicas S A S " u="1"/>
        <s v="Mayekawa Colombia SAS" u="1"/>
        <s v="Empacor SA" u="1"/>
        <s v="Nueva Empresa Promotora De Salud SA" u="1"/>
        <s v="Credicorp Negocios Digitales SAS" u="1"/>
        <s v="Cooperativa Multiactiva Nacional De Bienestar Familiar " u="1"/>
        <s v="Mediawise Solutions SAS" u="1"/>
        <s v="Phd Colombia SAS" u="1"/>
        <s v="Omd Colombia SAS" u="1"/>
        <s v="C.I. Sociedad Industrial De Grasas Vegetales Sigra SAS" u="1"/>
        <s v="Tareas Y Labores Servicios Temporales SAS" u="1"/>
        <s v="Cadena Comercial Oxxo Colombia SAS" u="1"/>
        <s v="Avidesa De Occidente SA" u="1"/>
        <s v="Nexsys De Colombia SAS" u="1"/>
        <s v="Evolutech Consulting SAS" u="1"/>
        <s v="Akila S A S" u="1"/>
        <s v="Maelectricos SAS" u="1"/>
        <s v="Trolley To Go Colombia SAS" u="1"/>
        <s v="Centennial Towers Colombia S A S" u="1"/>
        <s v="Learning Technologies Group Colombia SAS" u="1"/>
        <s v="Minex Industrial Services SAS CI" u="1"/>
        <s v="Distribuidora Los Coches La Sabana SAS" u="1"/>
        <s v="Salud Ocupacional De Los Andes Limitada" u="1"/>
        <s v="Biomax Biocombustibles SA" u="1"/>
        <s v="Clinica Santa Monica De Bogota SAS" u="1"/>
        <s v="Atton Bogota 93 SAS" u="1"/>
        <s v="Industria Colombiana De Llantas SA" u="1"/>
        <s v="Proquinal S A S" u="1"/>
        <s v="Mantenimiento Aseo Servicios SA Mas SA" u="1"/>
        <s v="Drummond Ltd" u="1"/>
        <s v="Drummond Energy INC" u="1"/>
        <s v="Nagasi SAS" u="1"/>
        <s v="Bolivar Salud Ips SAS" u="1"/>
        <s v="W Colombia SAS" u="1"/>
        <s v="Soluciones Verticales SAS" u="1"/>
        <s v="Curquin SAS" u="1"/>
        <s v="Atp Integridad Y Corrosion SAS" u="1"/>
        <s v="Consorcio Interviviendas " u="1"/>
        <s v="Consorcio Bienestar Comunitario" u="1"/>
        <s v="Cambridge LLC Sucursal Colombia" u="1"/>
        <s v="Comisión Fulbright" u="1"/>
        <s v="Scania Finance Colombia SAS" u="1"/>
        <s v="Infinitoo Services SAS" u="1"/>
        <s v="Codificacion &amp; Etiquetado SA" u="1"/>
        <s v="Incodepf SAS" u="1"/>
        <s v="Net Q&amp;R SAS" u="1"/>
        <s v="Inversiones Sostenibles SAS" u="1"/>
        <s v="Fundacion Suiza De Cooperacion Para El Desarrollo Tecnico Swisscontact" u="1"/>
        <s v="Instituto De Estudios Cientificios En Odontologia S A" u="1"/>
        <s v="Dbassico SAS" u="1"/>
        <s v="Fondo De Empleados Organizacion Ramo Sigla Feor" u="1"/>
        <s v="Agencia De Viajes Y Turismo Aviatur S A S " u="1"/>
        <s v="E C Cargo S A S" u="1"/>
        <s v="Smstar SAS" u="1"/>
        <s v="Comsistelco SAS" u="1"/>
        <s v="Improve Quality Reduce Cost Save Lifes Auditores SAS" u="1"/>
        <s v="Sanitex SAS" u="1"/>
        <s v="Grupo Oet S A S " u="1"/>
        <s v="Redplus Integral SAS" u="1"/>
        <s v="Profitline SAS" u="1"/>
        <s v="Pacaribe S A E S P" u="1"/>
        <s v="Fresenius Medical Care Colombia SA" u="1"/>
        <s v="Confia Control SAS" u="1"/>
        <s v="Fundacion Universidad De America" u="1"/>
        <s v="Invet SAS" u="1"/>
        <s v="Ecu Worldwide (Colombia) SAS" u="1"/>
        <s v="Proyecto Edificio Calle 96 S A S " u="1"/>
        <s v="Nalsani SAS" u="1"/>
        <s v="Consorcio Servicios Especializados De Transito Y Transporte De Itagui Seti" u="1"/>
        <s v="Zulma Catherine Vergara Lopez" u="1"/>
        <s v="Consultoria &amp; Estrategia Pùblica SAS" u="1"/>
        <s v="Carlos Nieto Y Cia SAS" u="1"/>
        <s v="Chevyplan SA Sociedad Administradora De Planes De Autofinanciamiento Comercial" u="1"/>
        <s v="4Life Research Colombia LLC" u="1"/>
        <s v="Suministros Industriales De Colombia SAS" u="1"/>
        <s v="Pinturas Every SAS" u="1"/>
        <s v="Blush-Bar SAS" u="1"/>
        <s v="Sdv Energia E Infraestructura SL" u="1"/>
        <s v="Egrid Colombia SAS" u="1"/>
        <s v="Ecologia Y Entorno SAS  E.S.P Ecoentorno" u="1"/>
        <s v="Logistica Y Distribucion Especializada L&amp;D SAS" u="1"/>
        <s v="Connecting Cargo SAS" u="1"/>
        <s v="Sick Spa Sucursal En Colombia" u="1"/>
        <s v="J25 SAS" u="1"/>
        <s v="Palacios Gutierrez S A S" u="1"/>
        <s v="Falabella De Colombia SA" u="1"/>
        <s v="Jonnathan Steven Niño Peña" u="1"/>
        <s v="Juan David Novoa Campos" u="1"/>
        <s v="Pwc Internal Firm Services SAS" u="1"/>
        <s v="..Alianza Sabana SAS" u="1"/>
        <s v="Atecno S A S " u="1"/>
        <s v="Zmo Fontibon V SAS" u="1"/>
        <s v="Seal Solucion De Integracion SAS" u="1"/>
      </sharedItems>
    </cacheField>
    <cacheField name="IVA" numFmtId="0">
      <sharedItems containsString="0" containsBlank="1" containsNumber="1" minValue="0" maxValue="163807461.46000001"/>
    </cacheField>
    <cacheField name="ICA" numFmtId="0">
      <sharedItems containsString="0" containsBlank="1" containsNumber="1" containsInteger="1" minValue="0" maxValue="0"/>
    </cacheField>
    <cacheField name="IPC" numFmtId="0">
      <sharedItems containsString="0" containsBlank="1" containsNumber="1" containsInteger="1" minValue="0" maxValue="0"/>
    </cacheField>
    <cacheField name="Total" numFmtId="0">
      <sharedItems containsString="0" containsBlank="1" containsNumber="1" minValue="6069" maxValue="1025951995.46"/>
    </cacheField>
    <cacheField name="Estado" numFmtId="0">
      <sharedItems containsBlank="1"/>
    </cacheField>
    <cacheField name="Grupo" numFmtId="0">
      <sharedItems containsBlank="1"/>
    </cacheField>
    <cacheField name="1 ACUSE" numFmtId="0">
      <sharedItems containsBlank="1" count="2">
        <m/>
        <s v="X"/>
      </sharedItems>
    </cacheField>
    <cacheField name="2 ACUSE" numFmtId="0">
      <sharedItems containsBlank="1" count="2">
        <m/>
        <s v="X"/>
      </sharedItems>
    </cacheField>
    <cacheField name="3 ACUSE" numFmtId="0">
      <sharedItems containsBlank="1" count="2">
        <s v="X"/>
        <m/>
      </sharedItems>
    </cacheField>
    <cacheField name="RECHAZADA" numFmtId="0">
      <sharedItems containsBlank="1" count="2">
        <m/>
        <s v="X"/>
      </sharedItems>
    </cacheField>
    <cacheField name="SIN ACUSE" numFmtId="0">
      <sharedItems containsBlank="1" count="2">
        <m/>
        <s v="X"/>
      </sharedItems>
    </cacheField>
    <cacheField name="YA PAGA  EN SISTEMA" numFmtId="0">
      <sharedItems containsBlank="1" count="2">
        <m/>
        <s v="X"/>
      </sharedItems>
    </cacheField>
    <cacheField name="OBSERVACIONES" numFmtId="0">
      <sharedItems containsDate="1" containsBlank="1" containsMixedTypes="1" minDate="2026-02-23T00:00:00" maxDate="2026-02-2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6">
  <r>
    <s v="Factura electrónica"/>
    <s v="9e8f28c8532435a346538ba8112c8e9068f13434c11d8c912887c24408c7f4329064f57b5ec8611e6d4110c3c9add36c"/>
    <x v="0"/>
    <n v="-1"/>
    <s v="FVE"/>
    <s v="02-02-2026"/>
    <s v="02-02-2026 10:36:58"/>
    <s v="900800595"/>
    <s v="Provexpress SAS"/>
    <s v="800066001"/>
    <x v="0"/>
    <n v="2997725"/>
    <n v="0"/>
    <n v="0"/>
    <n v="18775225"/>
    <s v="Aprobado con notificación"/>
    <s v="Emitido"/>
    <x v="0"/>
    <x v="0"/>
    <x v="0"/>
    <x v="0"/>
    <x v="0"/>
    <x v="0"/>
    <m/>
  </r>
  <r>
    <s v="Factura electrónica"/>
    <s v="707f3324c2985d0956872bed06d68c59cbbcc2638add454dd8e804470260abda9217c0fda5fab5326b848f047bdffde2"/>
    <x v="1"/>
    <n v="-1"/>
    <s v="FVE"/>
    <s v="02-02-2026"/>
    <s v="02-02-2026 10:37:00"/>
    <s v="900800595"/>
    <s v="Provexpress SAS"/>
    <s v="902022742"/>
    <x v="1"/>
    <n v="5455447.5800000001"/>
    <n v="0"/>
    <n v="0"/>
    <n v="34168329.579999998"/>
    <s v="Aprobado con notificación"/>
    <s v="Emitido"/>
    <x v="0"/>
    <x v="0"/>
    <x v="1"/>
    <x v="0"/>
    <x v="1"/>
    <x v="0"/>
    <m/>
  </r>
  <r>
    <s v="Factura electrónica"/>
    <s v="12c3102ff5193eebafe188694748ffe8ea776ea1d0c9c2f7727e5e3dfa2298822f03257462a42aee8c124014adfa3eb0"/>
    <x v="2"/>
    <n v="-1"/>
    <s v="FVE"/>
    <s v="02-02-2026"/>
    <s v="02-02-2026 10:37:04"/>
    <s v="900800595"/>
    <s v="Provexpress SAS"/>
    <s v="860007336"/>
    <x v="2"/>
    <n v="28044"/>
    <n v="0"/>
    <n v="0"/>
    <n v="175644"/>
    <s v="Aprobado con notificación"/>
    <s v="Emitido"/>
    <x v="0"/>
    <x v="1"/>
    <x v="1"/>
    <x v="0"/>
    <x v="0"/>
    <x v="0"/>
    <m/>
  </r>
  <r>
    <s v="Factura electrónica"/>
    <s v="1b08143f21a456ff1082112ede1063a3f7d8c3ea4907763df913c754ea8ec578f79e3e9b5388356277e4c1383fae6589"/>
    <x v="3"/>
    <n v="-1"/>
    <s v="FVE"/>
    <s v="02-02-2026"/>
    <s v="02-02-2026 10:37:08"/>
    <s v="900800595"/>
    <s v="Provexpress SAS"/>
    <s v="860007336"/>
    <x v="2"/>
    <n v="12312"/>
    <n v="0"/>
    <n v="0"/>
    <n v="77112"/>
    <s v="Aprobado con notificación"/>
    <s v="Emitido"/>
    <x v="0"/>
    <x v="1"/>
    <x v="1"/>
    <x v="0"/>
    <x v="0"/>
    <x v="0"/>
    <m/>
  </r>
  <r>
    <s v="Factura electrónica"/>
    <s v="63b9538b5e0159ebbd1ffa6e1e357cc1d29dac576871d6010504b8a05e121ca2658b020aea59dc17ac247ae82ef86a66"/>
    <x v="4"/>
    <n v="-1"/>
    <s v="FVE"/>
    <s v="02-02-2026"/>
    <s v="02-02-2026 10:52:04"/>
    <s v="900800595"/>
    <s v="Provexpress SAS"/>
    <s v="860007336"/>
    <x v="2"/>
    <n v="126817.02"/>
    <n v="0"/>
    <n v="0"/>
    <n v="794275.02"/>
    <s v="Aprobado con notificación"/>
    <s v="Emitido"/>
    <x v="0"/>
    <x v="0"/>
    <x v="0"/>
    <x v="0"/>
    <x v="0"/>
    <x v="0"/>
    <m/>
  </r>
  <r>
    <s v="Factura electrónica"/>
    <s v="6f60d7737f6aba19c01eb2d54215e6eeb490a59ee0e03fd6806319a0e5c7fda7449b71e51bc932bd52cec1da7fee1a72"/>
    <x v="5"/>
    <n v="-1"/>
    <s v="FVE"/>
    <s v="02-02-2026"/>
    <s v="02-02-2026 10:52:08"/>
    <s v="900800595"/>
    <s v="Provexpress SAS"/>
    <s v="860007336"/>
    <x v="2"/>
    <n v="264689.76"/>
    <n v="0"/>
    <n v="0"/>
    <n v="1657793.76"/>
    <s v="Aprobado con notificación"/>
    <s v="Emitido"/>
    <x v="0"/>
    <x v="0"/>
    <x v="0"/>
    <x v="0"/>
    <x v="0"/>
    <x v="0"/>
    <m/>
  </r>
  <r>
    <s v="Factura electrónica"/>
    <s v="e5f87f40776c53ce481b92ea82dc58f1ec8eead1822c293727d1b2f1e31cb4dff85f6352280730bf33387aadda0f535f"/>
    <x v="6"/>
    <n v="-1"/>
    <s v="FVE"/>
    <s v="02-02-2026"/>
    <s v="02-02-2026 10:52:16"/>
    <s v="900800595"/>
    <s v="Provexpress SAS"/>
    <s v="860007336"/>
    <x v="2"/>
    <n v="18667.5"/>
    <n v="0"/>
    <n v="0"/>
    <n v="116917.5"/>
    <s v="Aprobado con notificación"/>
    <s v="Emitido"/>
    <x v="0"/>
    <x v="0"/>
    <x v="0"/>
    <x v="0"/>
    <x v="0"/>
    <x v="0"/>
    <m/>
  </r>
  <r>
    <s v="Factura electrónica"/>
    <s v="638230dc821469761880ec6e47a52c85efec3f32e1331ef28129bed38a92e26a3ea0ed9d233c60bb2eb786deeb537bb3"/>
    <x v="7"/>
    <n v="-1"/>
    <s v="FVE"/>
    <s v="02-02-2026"/>
    <s v="02-02-2026 10:52:18"/>
    <s v="900800595"/>
    <s v="Provexpress SAS"/>
    <s v="901847883"/>
    <x v="3"/>
    <n v="242866.74"/>
    <n v="0"/>
    <n v="0"/>
    <n v="1521112.74"/>
    <s v="Aprobado con notificación"/>
    <s v="Emitido"/>
    <x v="0"/>
    <x v="0"/>
    <x v="0"/>
    <x v="0"/>
    <x v="0"/>
    <x v="0"/>
    <m/>
  </r>
  <r>
    <s v="Factura electrónica"/>
    <s v="d9d17494e29f3e4a96115842453834c51d6696c4b0465a2d0799d7b22eedf8e286403fd54eb786fa32b8f26d5db19d0a"/>
    <x v="8"/>
    <n v="-1"/>
    <s v="FVE"/>
    <s v="02-02-2026"/>
    <s v="02-02-2026 10:52:23"/>
    <s v="900800595"/>
    <s v="Provexpress SAS"/>
    <s v="901847883"/>
    <x v="3"/>
    <n v="59395.519999999997"/>
    <n v="0"/>
    <n v="0"/>
    <n v="372003.52"/>
    <s v="Aprobado con notificación"/>
    <s v="Emitido"/>
    <x v="0"/>
    <x v="0"/>
    <x v="0"/>
    <x v="0"/>
    <x v="0"/>
    <x v="0"/>
    <m/>
  </r>
  <r>
    <s v="Factura electrónica"/>
    <s v="24d00dded83330c157318855770d7f7e0ef64f063c7bf120b8e4ef2a27b3bd91eff26e3a5363aa4c4f793766ced0ba1a"/>
    <x v="9"/>
    <n v="-1"/>
    <s v="FVE"/>
    <s v="02-02-2026"/>
    <s v="02-02-2026 10:52:29"/>
    <s v="900800595"/>
    <s v="Provexpress SAS"/>
    <s v="901847883"/>
    <x v="3"/>
    <n v="122892"/>
    <n v="0"/>
    <n v="0"/>
    <n v="769692"/>
    <s v="Aprobado con notificación"/>
    <s v="Emitido"/>
    <x v="0"/>
    <x v="0"/>
    <x v="0"/>
    <x v="0"/>
    <x v="0"/>
    <x v="0"/>
    <m/>
  </r>
  <r>
    <s v="Factura electrónica"/>
    <s v="db47bd5edf1223fe8c65e9bf30fb984d67645639a792d0d5ab7a61bcb719ad28ad87c69d3126b3464535c3939f841da2"/>
    <x v="10"/>
    <n v="-1"/>
    <s v="FVE"/>
    <s v="02-02-2026"/>
    <s v="02-02-2026 10:52:32"/>
    <s v="900800595"/>
    <s v="Provexpress SAS"/>
    <s v="901847883"/>
    <x v="3"/>
    <n v="1139155.6399999999"/>
    <n v="0"/>
    <n v="0"/>
    <n v="7134711.6399999997"/>
    <s v="Aprobado con notificación"/>
    <s v="Emitido"/>
    <x v="0"/>
    <x v="0"/>
    <x v="0"/>
    <x v="0"/>
    <x v="0"/>
    <x v="0"/>
    <m/>
  </r>
  <r>
    <s v="Factura electrónica"/>
    <s v="8b1b5684580c86fcd3f2b01ce5f29672849fe794109e9086163afa03db77ae2a3e1e3041df9710f58b791aabf9930645"/>
    <x v="11"/>
    <n v="-1"/>
    <s v="FVE"/>
    <s v="02-02-2026"/>
    <s v="02-02-2026 10:52:38"/>
    <s v="900800595"/>
    <s v="Provexpress SAS"/>
    <s v="900024398"/>
    <x v="4"/>
    <n v="645400.17000000004"/>
    <n v="0"/>
    <n v="0"/>
    <n v="4042243.17"/>
    <s v="Aprobado con notificación"/>
    <s v="Emitido"/>
    <x v="0"/>
    <x v="0"/>
    <x v="0"/>
    <x v="0"/>
    <x v="0"/>
    <x v="0"/>
    <m/>
  </r>
  <r>
    <s v="Factura electrónica"/>
    <s v="3a78622c2995dc09ad913647615b08d5324b9c83768ff079309240371ae2deeeb21a41ee555d8e9895b3f2e3aa6852cf"/>
    <x v="12"/>
    <n v="-1"/>
    <s v="FVE"/>
    <s v="02-02-2026"/>
    <s v="02-02-2026 10:52:42"/>
    <s v="900800595"/>
    <s v="Provexpress SAS"/>
    <s v="900024398"/>
    <x v="4"/>
    <n v="84091.72"/>
    <n v="0"/>
    <n v="0"/>
    <n v="526679.72"/>
    <s v="Aprobado con notificación"/>
    <s v="Emitido"/>
    <x v="0"/>
    <x v="0"/>
    <x v="0"/>
    <x v="0"/>
    <x v="0"/>
    <x v="0"/>
    <m/>
  </r>
  <r>
    <s v="Factura electrónica"/>
    <s v="ed59b92615a0b014d73fea5d6de691107185efccb62ab2ed00e640e9826c49ea69395192c59d31840915cd0c81b51606"/>
    <x v="13"/>
    <n v="-1"/>
    <s v="FVE"/>
    <s v="02-02-2026"/>
    <s v="02-02-2026 10:52:48"/>
    <s v="900800595"/>
    <s v="Provexpress SAS"/>
    <s v="900916121"/>
    <x v="5"/>
    <n v="114001.52"/>
    <n v="0"/>
    <n v="0"/>
    <n v="714009.52"/>
    <s v="Aprobado con notificación"/>
    <s v="Emitido"/>
    <x v="0"/>
    <x v="0"/>
    <x v="0"/>
    <x v="0"/>
    <x v="0"/>
    <x v="0"/>
    <m/>
  </r>
  <r>
    <s v="Factura electrónica"/>
    <s v="0837e3626c0ea760f585b2852d6becb00f7bd7a3117bdbc0e8114a6088f0d7f9b0e75124cf0fe4a7e8e2be70c297a445"/>
    <x v="14"/>
    <n v="-1"/>
    <s v="FVE"/>
    <s v="02-02-2026"/>
    <s v="02-02-2026 10:52:53"/>
    <s v="900800595"/>
    <s v="Provexpress SAS"/>
    <s v="860525156"/>
    <x v="6"/>
    <n v="252995.45"/>
    <n v="0"/>
    <n v="0"/>
    <n v="1584550.45"/>
    <s v="Aprobado con notificación"/>
    <s v="Emitido"/>
    <x v="0"/>
    <x v="0"/>
    <x v="0"/>
    <x v="0"/>
    <x v="0"/>
    <x v="0"/>
    <m/>
  </r>
  <r>
    <s v="Factura electrónica"/>
    <s v="689557710e31241b29ff0b29810eb5e91ba7f4e86b4521ea1bb000450e71d10287452debcac678fa701146a37671be05"/>
    <x v="15"/>
    <n v="-1"/>
    <s v="FVE"/>
    <s v="02-02-2026"/>
    <s v="02-02-2026 10:52:57"/>
    <s v="900800595"/>
    <s v="Provexpress SAS"/>
    <s v="860068182"/>
    <x v="7"/>
    <n v="2656777.6"/>
    <n v="0"/>
    <n v="0"/>
    <n v="16639817.6"/>
    <s v="Aprobado con notificación"/>
    <s v="Emitido"/>
    <x v="0"/>
    <x v="0"/>
    <x v="0"/>
    <x v="0"/>
    <x v="0"/>
    <x v="0"/>
    <m/>
  </r>
  <r>
    <s v="Factura electrónica"/>
    <s v="840ead6acb50c9fdca1a66de9f36544e849caf077c067a0e0f590be01c86300a002f03259f0236f73a047d0d3ef79a7f"/>
    <x v="16"/>
    <n v="-1"/>
    <s v="FVE"/>
    <s v="02-02-2026"/>
    <s v="02-02-2026 10:53:02"/>
    <s v="900800595"/>
    <s v="Provexpress SAS"/>
    <s v="860005114"/>
    <x v="8"/>
    <n v="1039812.43"/>
    <n v="0"/>
    <n v="0"/>
    <n v="6512509.4299999997"/>
    <s v="Aprobado con notificación"/>
    <s v="Emitido"/>
    <x v="0"/>
    <x v="0"/>
    <x v="1"/>
    <x v="0"/>
    <x v="1"/>
    <x v="0"/>
    <m/>
  </r>
  <r>
    <s v="Factura electrónica"/>
    <s v="1546001ba61f10f718dd48045184e6b034610f9edbabf38cbc750495a97ef8d4d4d768dfdf2deb0eabe1880d66aac007"/>
    <x v="17"/>
    <n v="-1"/>
    <s v="FVE"/>
    <s v="02-02-2026"/>
    <s v="02-02-2026 10:53:08"/>
    <s v="900800595"/>
    <s v="Provexpress SAS"/>
    <s v="900478755"/>
    <x v="9"/>
    <n v="64899.06"/>
    <n v="0"/>
    <n v="0"/>
    <n v="406473.06"/>
    <s v="Aprobado con notificación"/>
    <s v="Emitido"/>
    <x v="1"/>
    <x v="0"/>
    <x v="1"/>
    <x v="0"/>
    <x v="0"/>
    <x v="0"/>
    <m/>
  </r>
  <r>
    <s v="Factura electrónica"/>
    <s v="6a0786df26cdfccae4892807c267eddf4dd74ca2b517df9d4c290650ce5c20fcf45c6368f5ca7e8a344cb29998494184"/>
    <x v="18"/>
    <n v="-1"/>
    <s v="FVE"/>
    <s v="02-02-2026"/>
    <s v="02-02-2026 11:08:15"/>
    <s v="900800595"/>
    <s v="Provexpress SAS"/>
    <s v="900396295"/>
    <x v="10"/>
    <n v="64940.1"/>
    <n v="0"/>
    <n v="0"/>
    <n v="406730.1"/>
    <s v="Aprobado con notificación"/>
    <s v="Emitido"/>
    <x v="0"/>
    <x v="0"/>
    <x v="1"/>
    <x v="0"/>
    <x v="1"/>
    <x v="0"/>
    <m/>
  </r>
  <r>
    <s v="Factura electrónica"/>
    <s v="407027706781adf9445faa615550f3fdfece7ea9f36e8f20c5a30a79285702a645b6d0513fbbd9fe67fdae7746a2a352"/>
    <x v="19"/>
    <n v="-1"/>
    <s v="FVE"/>
    <s v="02-02-2026"/>
    <s v="02-02-2026 11:08:24"/>
    <s v="900800595"/>
    <s v="Provexpress SAS"/>
    <s v="900319696"/>
    <x v="11"/>
    <n v="170240"/>
    <n v="0"/>
    <n v="0"/>
    <n v="1066240"/>
    <s v="Aprobado con notificación"/>
    <s v="Emitido"/>
    <x v="0"/>
    <x v="0"/>
    <x v="0"/>
    <x v="0"/>
    <x v="0"/>
    <x v="0"/>
    <m/>
  </r>
  <r>
    <s v="Factura electrónica"/>
    <s v="f3e26d4b1bcd0610159e712e6583bd00de33bb44b0f671daad83919f652c8bd2860d2a7cba15fb09408346a39c2a1a39"/>
    <x v="20"/>
    <n v="-1"/>
    <s v="FVE"/>
    <s v="02-02-2026"/>
    <s v="02-02-2026 11:23:32"/>
    <s v="900800595"/>
    <s v="Provexpress SAS"/>
    <s v="800149384"/>
    <x v="12"/>
    <n v="16546.72"/>
    <n v="0"/>
    <n v="0"/>
    <n v="103634.72"/>
    <s v="Aprobado con notificación"/>
    <s v="Emitido"/>
    <x v="0"/>
    <x v="0"/>
    <x v="0"/>
    <x v="0"/>
    <x v="0"/>
    <x v="0"/>
    <m/>
  </r>
  <r>
    <s v="Factura electrónica"/>
    <s v="5ff121deada184b911a539ad62e8d0068abb3808b64bb52a19f6c67ac7cc47b4539541180fb0953dd5833c3525d48915"/>
    <x v="21"/>
    <n v="-1"/>
    <s v="FVE"/>
    <s v="02-02-2026"/>
    <s v="02-02-2026 11:23:35"/>
    <s v="900800595"/>
    <s v="Provexpress SAS"/>
    <s v="800118776"/>
    <x v="13"/>
    <n v="160710.35999999999"/>
    <n v="0"/>
    <n v="0"/>
    <n v="1006554.36"/>
    <s v="Aprobado con notificación"/>
    <s v="Emitido"/>
    <x v="0"/>
    <x v="0"/>
    <x v="1"/>
    <x v="0"/>
    <x v="1"/>
    <x v="0"/>
    <m/>
  </r>
  <r>
    <s v="Factura electrónica"/>
    <s v="0dbd479dd23ff38de826215780052c0f076049d0d6ebd7eb0f7a96133845c7d1978268de0c6e65e70ca5219f14dc4792"/>
    <x v="22"/>
    <n v="-1"/>
    <s v="FVE"/>
    <s v="02-02-2026"/>
    <s v="02-02-2026 11:23:40"/>
    <s v="900800595"/>
    <s v="Provexpress SAS"/>
    <s v="860002183"/>
    <x v="14"/>
    <n v="0"/>
    <n v="0"/>
    <n v="0"/>
    <n v="7931301"/>
    <s v="Aprobado con notificación"/>
    <s v="Emitido"/>
    <x v="0"/>
    <x v="0"/>
    <x v="1"/>
    <x v="0"/>
    <x v="0"/>
    <x v="1"/>
    <s v="FACTURA PAGA EN EL SISTENMA 27/02/2026"/>
  </r>
  <r>
    <s v="Factura electrónica"/>
    <s v="27c22922283a71f64b1932e8bbad5362ed84cb6e1e0082b06411a8e47108253a6a5c2facf77962a18ab22ada84a5cfaa"/>
    <x v="23"/>
    <n v="-1"/>
    <s v="FVE"/>
    <s v="02-02-2026"/>
    <s v="02-02-2026 11:23:45"/>
    <s v="900800595"/>
    <s v="Provexpress SAS"/>
    <s v="900342297"/>
    <x v="15"/>
    <n v="133000"/>
    <n v="0"/>
    <n v="0"/>
    <n v="833000"/>
    <s v="Aprobado con notificación"/>
    <s v="Emitido"/>
    <x v="0"/>
    <x v="0"/>
    <x v="0"/>
    <x v="0"/>
    <x v="0"/>
    <x v="0"/>
    <m/>
  </r>
  <r>
    <s v="Factura electrónica"/>
    <s v="4ccc65bb341a2509401e409cc6d7b4ea22967beecc2ade9ee1a54a91a1f437cfb302a6783d4e57d33348856ce6065656"/>
    <x v="24"/>
    <n v="-1"/>
    <s v="FVE"/>
    <s v="02-02-2026"/>
    <s v="02-02-2026 11:23:50"/>
    <s v="900800595"/>
    <s v="Provexpress SAS"/>
    <s v="900342297"/>
    <x v="15"/>
    <n v="35351.019999999997"/>
    <n v="0"/>
    <n v="0"/>
    <n v="221409.02"/>
    <s v="Aprobado con notificación"/>
    <s v="Emitido"/>
    <x v="0"/>
    <x v="0"/>
    <x v="0"/>
    <x v="0"/>
    <x v="0"/>
    <x v="0"/>
    <m/>
  </r>
  <r>
    <s v="Factura electrónica"/>
    <s v="5d86c7299e6cc22ffd8decd615bd620cb197df3f264ea089ebab9206bc64fca5ef00d19746f7159aded148ae01cdde7d"/>
    <x v="25"/>
    <n v="-1"/>
    <s v="FVE"/>
    <s v="02-02-2026"/>
    <s v="02-02-2026 11:23:54"/>
    <s v="900800595"/>
    <s v="Provexpress SAS"/>
    <s v="860516806"/>
    <x v="16"/>
    <n v="232354.8"/>
    <n v="0"/>
    <n v="0"/>
    <n v="1455274.8"/>
    <s v="Aprobado con notificación"/>
    <s v="Emitido"/>
    <x v="1"/>
    <x v="0"/>
    <x v="1"/>
    <x v="0"/>
    <x v="0"/>
    <x v="0"/>
    <m/>
  </r>
  <r>
    <s v="Factura electrónica"/>
    <s v="592150ecd90e6b1eeb467f5112942a5232c144343d3d9c22c2f9f453732f5f736c4e52383acee7975912b1806bf07b26"/>
    <x v="26"/>
    <n v="-1"/>
    <s v="FVE"/>
    <s v="02-02-2026"/>
    <s v="02-02-2026 11:23:59"/>
    <s v="900800595"/>
    <s v="Provexpress SAS"/>
    <s v="900033883"/>
    <x v="17"/>
    <n v="104500"/>
    <n v="0"/>
    <n v="0"/>
    <n v="654500"/>
    <s v="Aprobado con notificación"/>
    <s v="Emitido"/>
    <x v="0"/>
    <x v="0"/>
    <x v="1"/>
    <x v="0"/>
    <x v="0"/>
    <x v="1"/>
    <s v="FACTURA PAGA EN EL SISTEMA 04/02/2026"/>
  </r>
  <r>
    <s v="Factura electrónica"/>
    <s v="6b5214da75c4751860b35d87ae01932dda62c351cfc9f3a28422c487ab35ca4a93ede5a495f16710a89cbad71cf34586"/>
    <x v="27"/>
    <n v="-1"/>
    <s v="FVE"/>
    <s v="02-02-2026"/>
    <s v="02-02-2026 11:24:03"/>
    <s v="900800595"/>
    <s v="Provexpress SAS"/>
    <s v="900475440"/>
    <x v="18"/>
    <n v="26600"/>
    <n v="0"/>
    <n v="0"/>
    <n v="166600"/>
    <s v="Aprobado con notificación"/>
    <s v="Emitido"/>
    <x v="0"/>
    <x v="0"/>
    <x v="0"/>
    <x v="0"/>
    <x v="0"/>
    <x v="0"/>
    <m/>
  </r>
  <r>
    <s v="Factura electrónica"/>
    <s v="1e13eb14028619fc90de9662e215f9ce12de5c8ce1e5b639541e568f58cf12633f2206e33eea93fa0eb94ccd8a2d49bd"/>
    <x v="28"/>
    <n v="-1"/>
    <s v="FVE"/>
    <s v="02-02-2026"/>
    <s v="02-02-2026 11:24:08"/>
    <s v="900800595"/>
    <s v="Provexpress SAS"/>
    <s v="860066789"/>
    <x v="19"/>
    <n v="1758450"/>
    <n v="0"/>
    <n v="0"/>
    <n v="11013450"/>
    <s v="Aprobado con notificación"/>
    <s v="Emitido"/>
    <x v="0"/>
    <x v="0"/>
    <x v="0"/>
    <x v="0"/>
    <x v="0"/>
    <x v="0"/>
    <m/>
  </r>
  <r>
    <s v="Factura electrónica"/>
    <s v="74b25a619e301ca2af617ba0077e0d2df371884fefcfd8750f86b2e812d4e8580083abcaca65c5c18107d69980fcaca8"/>
    <x v="29"/>
    <n v="-1"/>
    <s v="FVE"/>
    <s v="02-02-2026"/>
    <s v="02-02-2026 11:24:16"/>
    <s v="900800595"/>
    <s v="Provexpress SAS"/>
    <s v="901117560"/>
    <x v="20"/>
    <n v="81962.2"/>
    <n v="0"/>
    <n v="0"/>
    <n v="513342.2"/>
    <s v="Aprobado con notificación"/>
    <s v="Emitido"/>
    <x v="0"/>
    <x v="0"/>
    <x v="0"/>
    <x v="0"/>
    <x v="0"/>
    <x v="0"/>
    <m/>
  </r>
  <r>
    <s v="Factura electrónica"/>
    <s v="1201e487ebd2f98d4e1c72d96053e9f6f0b273e22b336244566e06bdf5d3997d2783e8cf1d6998c8f80f473333715013"/>
    <x v="30"/>
    <n v="-1"/>
    <s v="FVE"/>
    <s v="02-02-2026"/>
    <s v="02-02-2026 11:24:19"/>
    <s v="900800595"/>
    <s v="Provexpress SAS"/>
    <s v="901117560"/>
    <x v="20"/>
    <n v="155069.9"/>
    <n v="0"/>
    <n v="0"/>
    <n v="1349079.9"/>
    <s v="Aprobado con notificación"/>
    <s v="Emitido"/>
    <x v="0"/>
    <x v="0"/>
    <x v="0"/>
    <x v="0"/>
    <x v="0"/>
    <x v="0"/>
    <m/>
  </r>
  <r>
    <s v="Factura electrónica"/>
    <s v="e23c39840855391de9e9858ab8ac7800a4df58054bd581cd490203ba2c5893a4828e65fec205b2ff1fd56fd3207adc6b"/>
    <x v="31"/>
    <n v="-1"/>
    <s v="FVE"/>
    <s v="02-02-2026"/>
    <s v="02-02-2026 11:24:22"/>
    <s v="900800595"/>
    <s v="Provexpress SAS"/>
    <s v="830111156"/>
    <x v="21"/>
    <n v="42919.48"/>
    <n v="0"/>
    <n v="0"/>
    <n v="268811.48"/>
    <s v="Aprobado con notificación"/>
    <s v="Emitido"/>
    <x v="0"/>
    <x v="0"/>
    <x v="1"/>
    <x v="0"/>
    <x v="0"/>
    <x v="1"/>
    <s v="FACTURA PAGA EN EL SISTEMA 04/02/2026"/>
  </r>
  <r>
    <s v="Factura electrónica"/>
    <s v="69df6faf4b9f17e4c8c3def77eae62718df14a767b8c4ee7857d3b9f92864cf81e360274c52ec4d032f2e8bb36f5b01f"/>
    <x v="32"/>
    <n v="-1"/>
    <s v="FVE"/>
    <s v="02-02-2026"/>
    <s v="02-02-2026 11:24:26"/>
    <s v="900800595"/>
    <s v="Provexpress SAS"/>
    <s v="900682841"/>
    <x v="22"/>
    <n v="481788.89"/>
    <n v="0"/>
    <n v="0"/>
    <n v="3017519.89"/>
    <s v="Aprobado con notificación"/>
    <s v="Emitido"/>
    <x v="1"/>
    <x v="0"/>
    <x v="1"/>
    <x v="0"/>
    <x v="0"/>
    <x v="0"/>
    <m/>
  </r>
  <r>
    <s v="Factura electrónica"/>
    <s v="18a307d259606ed358ee3a996f6c34c17ee94a5549679f69f491946df2610dded02b2c0892bdd731e48a565de9fcf1ea"/>
    <x v="33"/>
    <n v="-1"/>
    <s v="FVE"/>
    <s v="02-02-2026"/>
    <s v="02-02-2026 11:24:31"/>
    <s v="900800595"/>
    <s v="Provexpress SAS"/>
    <s v="830095970"/>
    <x v="23"/>
    <n v="274708.27"/>
    <n v="0"/>
    <n v="0"/>
    <n v="1720541.27"/>
    <s v="Aprobado con notificación"/>
    <s v="Emitido"/>
    <x v="0"/>
    <x v="0"/>
    <x v="1"/>
    <x v="0"/>
    <x v="1"/>
    <x v="0"/>
    <m/>
  </r>
  <r>
    <s v="Factura electrónica"/>
    <s v="f746c7236a435b537639d20481902a39566d5be88f20d3ac263cc2c6acdea1482d1e10d6f03011e1712b2685bfc59097"/>
    <x v="34"/>
    <n v="-1"/>
    <s v="FVE"/>
    <s v="02-02-2026"/>
    <s v="02-02-2026 11:39:55"/>
    <s v="900800595"/>
    <s v="Provexpress SAS"/>
    <s v="800024265"/>
    <x v="24"/>
    <n v="1699241.63"/>
    <n v="0"/>
    <n v="0"/>
    <n v="10642618.630000001"/>
    <s v="Aprobado con notificación"/>
    <s v="Emitido"/>
    <x v="1"/>
    <x v="0"/>
    <x v="1"/>
    <x v="0"/>
    <x v="0"/>
    <x v="0"/>
    <m/>
  </r>
  <r>
    <s v="Factura electrónica"/>
    <s v="9cd87b991c3cd297c08a9bbf053ee5e1ca9133bb6f6c0712eb1f1c72ba3d0e40e34a2ac5c838a3aa834944f166b3c2ae"/>
    <x v="35"/>
    <n v="-1"/>
    <s v="FVE"/>
    <s v="02-02-2026"/>
    <s v="02-02-2026 11:39:55"/>
    <s v="900800595"/>
    <s v="Provexpress SAS"/>
    <s v="800024265"/>
    <x v="24"/>
    <n v="743268.6"/>
    <n v="0"/>
    <n v="0"/>
    <n v="6651505.5999999996"/>
    <s v="Aprobado con notificación"/>
    <s v="Emitido"/>
    <x v="0"/>
    <x v="0"/>
    <x v="1"/>
    <x v="1"/>
    <x v="0"/>
    <x v="0"/>
    <m/>
  </r>
  <r>
    <s v="Factura electrónica"/>
    <s v="a2f5f23b97db6066f2fdfa576eb86895522544fdd8de3254b3fb83ca13ddbb10a5bdc244e591b873a8efcf186cbea7e6"/>
    <x v="36"/>
    <n v="-1"/>
    <s v="FVE"/>
    <s v="02-02-2026"/>
    <s v="02-02-2026 11:39:57"/>
    <s v="900800595"/>
    <s v="Provexpress SAS"/>
    <s v="800024265"/>
    <x v="24"/>
    <n v="6296024.8700000001"/>
    <n v="0"/>
    <n v="0"/>
    <n v="39432997.869999997"/>
    <s v="Aprobado con notificación"/>
    <s v="Emitido"/>
    <x v="0"/>
    <x v="0"/>
    <x v="1"/>
    <x v="1"/>
    <x v="0"/>
    <x v="0"/>
    <s v="NC 5905"/>
  </r>
  <r>
    <s v="Factura electrónica"/>
    <s v="8a3a5ac4aca5e0e02c347e8fdba64faacd5bbbaea39f8b57a31cdaef31f2e3e2d3bf6cac5d29272cdfb9fa8c4132d59e"/>
    <x v="37"/>
    <n v="-1"/>
    <s v="FVE"/>
    <s v="02-02-2026"/>
    <s v="02-02-2026 11:39:59"/>
    <s v="900800595"/>
    <s v="Provexpress SAS"/>
    <s v="800024265"/>
    <x v="24"/>
    <n v="11865835.35"/>
    <n v="0"/>
    <n v="0"/>
    <n v="74317600.349999994"/>
    <s v="Aprobado con notificación"/>
    <s v="Emitido"/>
    <x v="0"/>
    <x v="0"/>
    <x v="1"/>
    <x v="1"/>
    <x v="0"/>
    <x v="0"/>
    <s v="NC 5904"/>
  </r>
  <r>
    <s v="Factura electrónica"/>
    <s v="3a778bb9c17182fccca781f338cb12fc98e3b54b2c3487040b798643c8ed247b60561d9f79d494f5a5870b76d6825607"/>
    <x v="38"/>
    <n v="-1"/>
    <s v="FVE"/>
    <s v="02-02-2026"/>
    <s v="02-02-2026 11:40:01"/>
    <s v="900800595"/>
    <s v="Provexpress SAS"/>
    <s v="800024265"/>
    <x v="24"/>
    <n v="7081318.6200000001"/>
    <n v="0"/>
    <n v="0"/>
    <n v="44351416.619999997"/>
    <s v="Aprobado con notificación"/>
    <s v="Emitido"/>
    <x v="0"/>
    <x v="0"/>
    <x v="1"/>
    <x v="1"/>
    <x v="0"/>
    <x v="0"/>
    <m/>
  </r>
  <r>
    <s v="Factura electrónica"/>
    <s v="5a0eb8f2e3cc78b5678333ae1e083bddbb09ef716e91e4d0541d15f832b8aec2fedeb7e6d910fb4ea44eec5da4832a99"/>
    <x v="39"/>
    <n v="-1"/>
    <s v="FVE"/>
    <s v="02-02-2026"/>
    <s v="02-02-2026 11:40:04"/>
    <s v="900800595"/>
    <s v="Provexpress SAS"/>
    <s v="800024265"/>
    <x v="24"/>
    <n v="20751596.890000001"/>
    <n v="0"/>
    <n v="0"/>
    <n v="129970527.89"/>
    <s v="Aprobado con notificación"/>
    <s v="Emitido"/>
    <x v="0"/>
    <x v="0"/>
    <x v="1"/>
    <x v="1"/>
    <x v="0"/>
    <x v="0"/>
    <s v="NC 5906"/>
  </r>
  <r>
    <s v="Factura electrónica"/>
    <s v="694949ffbd6d6a7682474f4b2405b04102fea3db7a9dcb8b52e0fa4fdff2b94dc3d3b4faacfcd7bb734db893af1e9d35"/>
    <x v="40"/>
    <n v="-1"/>
    <s v="FVE"/>
    <s v="02-02-2026"/>
    <s v="02-02-2026 11:40:06"/>
    <s v="900800595"/>
    <s v="Provexpress SAS"/>
    <s v="800024265"/>
    <x v="24"/>
    <n v="0"/>
    <n v="0"/>
    <n v="0"/>
    <n v="7666668"/>
    <s v="Aprobado con notificación"/>
    <s v="Emitido"/>
    <x v="1"/>
    <x v="0"/>
    <x v="1"/>
    <x v="0"/>
    <x v="0"/>
    <x v="0"/>
    <m/>
  </r>
  <r>
    <s v="Factura electrónica"/>
    <s v="4faf9de62db2ee16b404320b0046cd52cb17dd1d9b1d29b74558e7dbebdb35c43bfd26f8a5f111ec7c353a1f71029bcd"/>
    <x v="41"/>
    <n v="-1"/>
    <s v="FVE"/>
    <s v="02-02-2026"/>
    <s v="02-02-2026 11:40:11"/>
    <s v="900800595"/>
    <s v="Provexpress SAS"/>
    <s v="800024265"/>
    <x v="24"/>
    <n v="369560.45"/>
    <n v="0"/>
    <n v="0"/>
    <n v="25314619.449999999"/>
    <s v="Aprobado con notificación"/>
    <s v="Emitido"/>
    <x v="1"/>
    <x v="0"/>
    <x v="1"/>
    <x v="0"/>
    <x v="0"/>
    <x v="0"/>
    <m/>
  </r>
  <r>
    <s v="Factura electrónica"/>
    <s v="cceff4bdc8c689150fc265afcf68b480a4b3ef9870d077694d025807b4b3b4fe052983a631aec93af4d0b59875bf4d0a"/>
    <x v="42"/>
    <n v="-1"/>
    <s v="FVE"/>
    <s v="02-02-2026"/>
    <s v="02-02-2026 11:40:16"/>
    <s v="900800595"/>
    <s v="Provexpress SAS"/>
    <s v="800024265"/>
    <x v="24"/>
    <n v="0"/>
    <n v="0"/>
    <n v="0"/>
    <n v="38333340"/>
    <s v="Aprobado con notificación"/>
    <s v="Emitido"/>
    <x v="1"/>
    <x v="0"/>
    <x v="1"/>
    <x v="0"/>
    <x v="0"/>
    <x v="0"/>
    <m/>
  </r>
  <r>
    <s v="Factura electrónica"/>
    <s v="ef237c433cc5268f65732e4aa0dd830772944b6b0b87397ec1975bfb1b8c5e6bba3807680069e62f647faac563229163"/>
    <x v="43"/>
    <n v="-1"/>
    <s v="FVE"/>
    <s v="02-02-2026"/>
    <s v="02-02-2026 11:40:20"/>
    <s v="900800595"/>
    <s v="Provexpress SAS"/>
    <s v="800024265"/>
    <x v="24"/>
    <n v="2956082.7"/>
    <n v="0"/>
    <n v="0"/>
    <n v="22876308.699999999"/>
    <s v="Aprobado con notificación"/>
    <s v="Emitido"/>
    <x v="0"/>
    <x v="0"/>
    <x v="1"/>
    <x v="1"/>
    <x v="0"/>
    <x v="0"/>
    <s v="NC 5900"/>
  </r>
  <r>
    <s v="Factura electrónica"/>
    <s v="bc274c8b1201d4c733653c8b18d2604227e18aca778803f06f02f0f3733b0a568c8ec8a341c8500aaa199c9020d1f268"/>
    <x v="44"/>
    <n v="-1"/>
    <s v="FVE"/>
    <s v="02-02-2026"/>
    <s v="02-02-2026 11:40:25"/>
    <s v="900800595"/>
    <s v="Provexpress SAS"/>
    <s v="800024265"/>
    <x v="24"/>
    <n v="1132238.5"/>
    <n v="0"/>
    <n v="0"/>
    <n v="37035843.5"/>
    <s v="Aprobado con notificación"/>
    <s v="Emitido"/>
    <x v="1"/>
    <x v="0"/>
    <x v="1"/>
    <x v="0"/>
    <x v="0"/>
    <x v="0"/>
    <m/>
  </r>
  <r>
    <s v="Factura electrónica"/>
    <s v="f889b915be5b6b2e00a1b3282a177ea3cdaadd6a63c6fa391298ca0df1b3f77f329dad236537ab296e05fba1ceefaa18"/>
    <x v="45"/>
    <n v="-1"/>
    <s v="FVE"/>
    <s v="02-02-2026"/>
    <s v="02-02-2026 11:55:31"/>
    <s v="900800595"/>
    <s v="Provexpress SAS"/>
    <s v="800024265"/>
    <x v="24"/>
    <n v="3175339.85"/>
    <n v="0"/>
    <n v="0"/>
    <n v="19887654.850000001"/>
    <s v="Aprobado con notificación"/>
    <s v="Emitido"/>
    <x v="0"/>
    <x v="0"/>
    <x v="1"/>
    <x v="1"/>
    <x v="0"/>
    <x v="0"/>
    <s v="NC 5892"/>
  </r>
  <r>
    <s v="Factura electrónica"/>
    <s v="27e769dc56e3b50f7133c8f99c9425d0c6e76f8ddbb4d2cd737b67faceae647d835a9c2750344e3627e02c463bc1f271"/>
    <x v="46"/>
    <n v="-1"/>
    <s v="FVE"/>
    <s v="02-02-2026"/>
    <s v="02-02-2026 11:55:36"/>
    <s v="900800595"/>
    <s v="Provexpress SAS"/>
    <s v="800024265"/>
    <x v="24"/>
    <n v="1342075.26"/>
    <n v="0"/>
    <n v="0"/>
    <n v="8405629.2599999998"/>
    <s v="Aprobado con notificación"/>
    <s v="Emitido"/>
    <x v="0"/>
    <x v="0"/>
    <x v="1"/>
    <x v="1"/>
    <x v="0"/>
    <x v="0"/>
    <s v="NC 5892"/>
  </r>
  <r>
    <s v="Factura electrónica"/>
    <s v="c82f8f700c8f4c89ed816fa95560069c98af11db89139e2829f16cf6bd91ff85d7a5a77e27962996cbeba5358a74dbc0"/>
    <x v="47"/>
    <n v="-1"/>
    <s v="FVE"/>
    <s v="02-02-2026"/>
    <s v="02-02-2026 11:55:41"/>
    <s v="900800595"/>
    <s v="Provexpress SAS"/>
    <s v="800024265"/>
    <x v="24"/>
    <n v="5543406.75"/>
    <n v="0"/>
    <n v="0"/>
    <n v="68656280.75"/>
    <s v="Aprobado con notificación"/>
    <s v="Emitido"/>
    <x v="1"/>
    <x v="0"/>
    <x v="1"/>
    <x v="0"/>
    <x v="0"/>
    <x v="0"/>
    <m/>
  </r>
  <r>
    <s v="Factura electrónica"/>
    <s v="ce0b1aab2ef595483b8ba05c0d4677bec26a365efdb498fd122b128a2b78b594a3af1b01c56dd1da68605db0a81f2b8b"/>
    <x v="48"/>
    <n v="-1"/>
    <s v="FVE"/>
    <s v="02-02-2026"/>
    <s v="02-02-2026 11:55:45"/>
    <s v="900800595"/>
    <s v="Provexpress SAS"/>
    <s v="800024265"/>
    <x v="24"/>
    <n v="9352987.6899999995"/>
    <n v="0"/>
    <n v="0"/>
    <n v="58579238.689999998"/>
    <s v="Aprobado con notificación"/>
    <s v="Emitido"/>
    <x v="0"/>
    <x v="0"/>
    <x v="1"/>
    <x v="1"/>
    <x v="0"/>
    <x v="0"/>
    <s v="NC 5896"/>
  </r>
  <r>
    <s v="Factura electrónica"/>
    <s v="568d22d35de471fc88a7003b7679f4b2509b320bbe4694d5c51acdc17b3b55c9e24f521e4a268d603109c30493877b39"/>
    <x v="49"/>
    <n v="-1"/>
    <s v="FVE"/>
    <s v="02-02-2026"/>
    <s v="02-02-2026 11:55:49"/>
    <s v="900800595"/>
    <s v="Provexpress SAS"/>
    <s v="800024265"/>
    <x v="24"/>
    <n v="42204916.789999999"/>
    <n v="0"/>
    <n v="0"/>
    <n v="264336057.78999999"/>
    <s v="Aprobado con notificación"/>
    <s v="Emitido"/>
    <x v="0"/>
    <x v="0"/>
    <x v="1"/>
    <x v="1"/>
    <x v="0"/>
    <x v="0"/>
    <s v="NC 5901"/>
  </r>
  <r>
    <s v="Factura electrónica"/>
    <s v="c71aa9dee736e81df490328fb18c7d1b6336ef4c8175a7229bf415ac09ea09f31d492fba41408a1a2cc6177b1fed2c48"/>
    <x v="50"/>
    <n v="-1"/>
    <s v="FVE"/>
    <s v="02-02-2026"/>
    <s v="02-02-2026 11:55:54"/>
    <s v="900800595"/>
    <s v="Provexpress SAS"/>
    <s v="800024265"/>
    <x v="24"/>
    <n v="5909989.9000000004"/>
    <n v="0"/>
    <n v="0"/>
    <n v="37015199.899999999"/>
    <s v="Aprobado con notificación"/>
    <s v="Emitido"/>
    <x v="0"/>
    <x v="0"/>
    <x v="1"/>
    <x v="1"/>
    <x v="0"/>
    <x v="0"/>
    <s v="NC 5897"/>
  </r>
  <r>
    <s v="Factura electrónica"/>
    <s v="7483bb1cd002aff890863c19cb83050dbf3a6ff43af59adec42d8a15bb7e18f9b1cd8c8454b4a18e374d4a07aa874464"/>
    <x v="51"/>
    <n v="-1"/>
    <s v="FVE"/>
    <s v="02-02-2026"/>
    <s v="02-02-2026 11:55:58"/>
    <s v="900800595"/>
    <s v="Provexpress SAS"/>
    <s v="800024265"/>
    <x v="24"/>
    <n v="1932806.16"/>
    <n v="0"/>
    <n v="0"/>
    <n v="12105470.16"/>
    <s v="Aprobado con notificación"/>
    <s v="Emitido"/>
    <x v="0"/>
    <x v="0"/>
    <x v="1"/>
    <x v="1"/>
    <x v="0"/>
    <x v="0"/>
    <s v="NC 5895"/>
  </r>
  <r>
    <s v="Factura electrónica"/>
    <s v="a19e3825e9d07716cbd64a24f839eb92bc970b8afec6728286aa81db6eee7e17acdb0eb59d8bac39aab482061b506b17"/>
    <x v="52"/>
    <n v="-1"/>
    <s v="FVE"/>
    <s v="02-02-2026"/>
    <s v="02-02-2026 11:56:03"/>
    <s v="900800595"/>
    <s v="Provexpress SAS"/>
    <s v="800024265"/>
    <x v="24"/>
    <n v="2161495.1"/>
    <n v="0"/>
    <n v="0"/>
    <n v="13537785.1"/>
    <s v="Aprobado con notificación"/>
    <s v="Emitido"/>
    <x v="0"/>
    <x v="0"/>
    <x v="1"/>
    <x v="1"/>
    <x v="0"/>
    <x v="0"/>
    <s v="NC 5898"/>
  </r>
  <r>
    <s v="Factura electrónica"/>
    <s v="addf70e1518f1b81490acb74680929c53ac1cc39dbb0dcd7f3de9d49abe93183128b80d6935751ffd12e919299f1e82d"/>
    <x v="53"/>
    <n v="-1"/>
    <s v="FVE"/>
    <s v="02-02-2026"/>
    <s v="02-02-2026 11:56:12"/>
    <s v="900800595"/>
    <s v="Provexpress SAS"/>
    <s v="800024265"/>
    <x v="24"/>
    <n v="3733100.43"/>
    <n v="0"/>
    <n v="0"/>
    <n v="47336561.43"/>
    <s v="Aprobado con notificación"/>
    <s v="Emitido"/>
    <x v="0"/>
    <x v="0"/>
    <x v="1"/>
    <x v="1"/>
    <x v="0"/>
    <x v="0"/>
    <s v="NC 5890"/>
  </r>
  <r>
    <s v="Factura electrónica"/>
    <s v="742c6fec88cf4a427ad6745ee806c8b6994a2ee57f5a6f83814622bcf590ebe8b34b414e8236f1cf8ebb5ca3a9442650"/>
    <x v="54"/>
    <n v="-1"/>
    <s v="FVE"/>
    <s v="02-02-2026"/>
    <s v="02-02-2026 11:56:13"/>
    <s v="900800595"/>
    <s v="Provexpress SAS"/>
    <s v="800024265"/>
    <x v="24"/>
    <n v="6484485.2999999998"/>
    <n v="0"/>
    <n v="0"/>
    <n v="40613355.299999997"/>
    <s v="Aprobado con notificación"/>
    <s v="Emitido"/>
    <x v="0"/>
    <x v="0"/>
    <x v="1"/>
    <x v="1"/>
    <x v="0"/>
    <x v="0"/>
    <s v="NC 5887"/>
  </r>
  <r>
    <s v="Factura electrónica"/>
    <s v="c1574c4df020f8b14c278f0a12a77925ae0d300e82645cf0da1dbf4fe81c49842c45038298897455d8b0a08e1294d998"/>
    <x v="55"/>
    <n v="-1"/>
    <s v="FVE"/>
    <s v="02-02-2026"/>
    <s v="02-02-2026 11:56:20"/>
    <s v="900800595"/>
    <s v="Provexpress SAS"/>
    <s v="800024265"/>
    <x v="24"/>
    <n v="7819042.0700000003"/>
    <n v="0"/>
    <n v="0"/>
    <n v="48971895.07"/>
    <s v="Aprobado con notificación"/>
    <s v="Emitido"/>
    <x v="0"/>
    <x v="0"/>
    <x v="1"/>
    <x v="1"/>
    <x v="0"/>
    <x v="0"/>
    <s v="NC 5889"/>
  </r>
  <r>
    <s v="Factura electrónica"/>
    <s v="9b9affb9cbb84b0cf9dc4b2fa1f6ddde16777701fdc9330a35d7d2623f2957c05a7dff5f0cc8e334167a28f390bf7972"/>
    <x v="56"/>
    <n v="-1"/>
    <s v="FVE"/>
    <s v="02-02-2026"/>
    <s v="02-02-2026 11:56:37"/>
    <s v="900800595"/>
    <s v="Provexpress SAS"/>
    <s v="800024265"/>
    <x v="24"/>
    <n v="6912482.1500000004"/>
    <n v="0"/>
    <n v="0"/>
    <n v="43293967.149999999"/>
    <s v="Aprobado con notificación"/>
    <s v="Emitido"/>
    <x v="0"/>
    <x v="0"/>
    <x v="1"/>
    <x v="1"/>
    <x v="0"/>
    <x v="0"/>
    <s v="NC 5888"/>
  </r>
  <r>
    <s v="Factura electrónica"/>
    <s v="f6f526bb0d71cc25ff94c9ede5a767d35e019038e48fa1dc327f9529fc0b85ac068eb618d28308ad224159e2cbb76a65"/>
    <x v="57"/>
    <n v="-1"/>
    <s v="FVE"/>
    <s v="02-02-2026"/>
    <s v="02-02-2026 12:11:28"/>
    <s v="900800595"/>
    <s v="Provexpress SAS"/>
    <s v="800024265"/>
    <x v="24"/>
    <n v="1543810.04"/>
    <n v="0"/>
    <n v="0"/>
    <n v="9669126.0399999991"/>
    <s v="Aprobado con notificación"/>
    <s v="Emitido"/>
    <x v="0"/>
    <x v="0"/>
    <x v="1"/>
    <x v="1"/>
    <x v="0"/>
    <x v="0"/>
    <s v="NC 5899"/>
  </r>
  <r>
    <s v="Factura electrónica"/>
    <s v="17f7a2f5952d1c6c1a3b085f3afe7e8e6e47c5db882bec2e50e2a55b2fd5ffefc72019d6aeea478de244a05073c56f48"/>
    <x v="58"/>
    <n v="-1"/>
    <s v="FVE"/>
    <s v="02-02-2026"/>
    <s v="02-02-2026 12:11:33"/>
    <s v="900800595"/>
    <s v="Provexpress SAS"/>
    <s v="800024265"/>
    <x v="24"/>
    <n v="2902088.5"/>
    <n v="0"/>
    <n v="0"/>
    <n v="29080978.5"/>
    <s v="Aprobado con notificación"/>
    <s v="Emitido"/>
    <x v="0"/>
    <x v="0"/>
    <x v="1"/>
    <x v="1"/>
    <x v="0"/>
    <x v="0"/>
    <s v="NC 5903"/>
  </r>
  <r>
    <s v="Factura electrónica"/>
    <s v="edfd0dd919fb7b437ffe8f1649288d81b9386d870f326d9531a0845ca9e0031f24f121fd13aae0f886e2028d00fe935a"/>
    <x v="59"/>
    <n v="-1"/>
    <s v="FVE"/>
    <s v="02-02-2026"/>
    <s v="02-02-2026 12:11:38"/>
    <s v="900800595"/>
    <s v="Provexpress SAS"/>
    <s v="800024265"/>
    <x v="24"/>
    <n v="0"/>
    <n v="0"/>
    <n v="0"/>
    <n v="4361896"/>
    <s v="Aprobado con notificación"/>
    <s v="Emitido"/>
    <x v="1"/>
    <x v="0"/>
    <x v="1"/>
    <x v="0"/>
    <x v="0"/>
    <x v="0"/>
    <m/>
  </r>
  <r>
    <s v="Factura electrónica"/>
    <s v="33822f3f7463d082e2787abdff3b43854255f6e88f97c9b1caa0559a9f9b8a094db7178ba07dfc63c9027b1500d51a70"/>
    <x v="60"/>
    <n v="-1"/>
    <s v="FVE"/>
    <s v="02-02-2026"/>
    <s v="02-02-2026 12:11:42"/>
    <s v="900800595"/>
    <s v="Provexpress SAS"/>
    <s v="800024265"/>
    <x v="24"/>
    <n v="369560.45"/>
    <n v="0"/>
    <n v="0"/>
    <n v="2314615.4500000002"/>
    <s v="Aprobado con notificación"/>
    <s v="Emitido"/>
    <x v="1"/>
    <x v="0"/>
    <x v="1"/>
    <x v="0"/>
    <x v="0"/>
    <x v="0"/>
    <m/>
  </r>
  <r>
    <s v="Factura electrónica"/>
    <s v="7f3cece727f36d4f0eec73e128bef71e91ea8653c0ecc29d390a10a77ef19ebd75db767b84db8cf09352829f66f25390"/>
    <x v="61"/>
    <n v="-1"/>
    <s v="FVE"/>
    <s v="02-02-2026"/>
    <s v="02-02-2026 12:11:47"/>
    <s v="900800595"/>
    <s v="Provexpress SAS"/>
    <s v="800024265"/>
    <x v="24"/>
    <n v="0"/>
    <n v="0"/>
    <n v="0"/>
    <n v="37076116"/>
    <s v="Aprobado con notificación"/>
    <s v="Emitido"/>
    <x v="1"/>
    <x v="0"/>
    <x v="1"/>
    <x v="0"/>
    <x v="0"/>
    <x v="0"/>
    <m/>
  </r>
  <r>
    <s v="Factura electrónica"/>
    <s v="f88ae37c21a83c2c5ab85d5eb7009c952c95461d2de467e974e944dadcf2c3bcb35bb5739f6ce00ff4652af779c86bb6"/>
    <x v="62"/>
    <n v="-1"/>
    <s v="FVE"/>
    <s v="02-02-2026"/>
    <s v="02-02-2026 12:11:51"/>
    <s v="900800595"/>
    <s v="Provexpress SAS"/>
    <s v="900935262"/>
    <x v="25"/>
    <n v="68868.87"/>
    <n v="0"/>
    <n v="0"/>
    <n v="431336.58"/>
    <s v="Aprobado con notificación"/>
    <s v="Emitido"/>
    <x v="0"/>
    <x v="0"/>
    <x v="1"/>
    <x v="0"/>
    <x v="0"/>
    <x v="1"/>
    <s v="FACTURA PAGA EN EL SISTEMA 3/02/2026"/>
  </r>
  <r>
    <s v="Factura electrónica"/>
    <s v="d61072dacdf8ecdf9d7a9b23ea547a47b049204f70fa530031e33674bdaaacc7312229d39e328486d6b216a41e0dc242"/>
    <x v="63"/>
    <n v="-1"/>
    <s v="FVE"/>
    <s v="02-02-2026"/>
    <s v="02-02-2026 16:22:43"/>
    <s v="900800595"/>
    <s v="Provexpress SAS"/>
    <s v="900561761"/>
    <x v="26"/>
    <n v="300960"/>
    <n v="0"/>
    <n v="0"/>
    <n v="1884960"/>
    <s v="Aprobado con notificación"/>
    <s v="Emitido"/>
    <x v="1"/>
    <x v="0"/>
    <x v="1"/>
    <x v="0"/>
    <x v="0"/>
    <x v="0"/>
    <m/>
  </r>
  <r>
    <s v="Factura electrónica"/>
    <s v="aaca6d52be0e23d8c40b0ba399b4a4c1f2eb1c1f1bb02062f70d4b78a7f4f948355f1b4522ce3e298dfbaf12862bc856"/>
    <x v="64"/>
    <n v="-1"/>
    <s v="FVE"/>
    <s v="02-02-2026"/>
    <s v="02-02-2026 12:12:00"/>
    <s v="900800595"/>
    <s v="Provexpress SAS"/>
    <s v="901295223"/>
    <x v="27"/>
    <n v="411730"/>
    <n v="0"/>
    <n v="0"/>
    <n v="2578730"/>
    <s v="Aprobado con notificación"/>
    <s v="Emitido"/>
    <x v="0"/>
    <x v="0"/>
    <x v="1"/>
    <x v="0"/>
    <x v="1"/>
    <x v="0"/>
    <m/>
  </r>
  <r>
    <s v="Factura electrónica"/>
    <s v="390e296437c459e3309f45b749cf66baacccfc90a27bb53661bd100dd9fc0e7aea8558cfe62918b452534dda234bc4ee"/>
    <x v="65"/>
    <n v="-1"/>
    <s v="FVE"/>
    <s v="02-02-2026"/>
    <s v="02-02-2026 12:12:04"/>
    <s v="900800595"/>
    <s v="Provexpress SAS"/>
    <s v="900430265"/>
    <x v="28"/>
    <n v="0"/>
    <n v="0"/>
    <n v="0"/>
    <n v="2494500"/>
    <s v="Aprobado con notificación"/>
    <s v="Emitido"/>
    <x v="0"/>
    <x v="0"/>
    <x v="1"/>
    <x v="0"/>
    <x v="0"/>
    <x v="1"/>
    <s v="FACTURA PAGA EN EL SISTEMA 13/02/2026"/>
  </r>
  <r>
    <s v="Factura electrónica"/>
    <s v="c84b230a53be95bf9b9cfad19fcb5535a1a07c22273c9d9151e5a7b7686d589de280140f747c58dbc110610ac344f18c"/>
    <x v="66"/>
    <n v="-1"/>
    <s v="FVE"/>
    <s v="02-02-2026"/>
    <s v="02-02-2026 12:12:09"/>
    <s v="900800595"/>
    <s v="Provexpress SAS"/>
    <s v="860029415"/>
    <x v="29"/>
    <n v="1219415.82"/>
    <n v="0"/>
    <n v="0"/>
    <n v="7637393.8200000003"/>
    <s v="Aprobado con notificación"/>
    <s v="Emitido"/>
    <x v="0"/>
    <x v="0"/>
    <x v="0"/>
    <x v="0"/>
    <x v="0"/>
    <x v="0"/>
    <m/>
  </r>
  <r>
    <s v="Factura electrónica"/>
    <s v="af380d11a984c5fce59b56725bfcf7857d539ce60e3f642117fe00c4a99a4766815724a411c20e835f973ea6b50fab90"/>
    <x v="67"/>
    <n v="-1"/>
    <s v="FVE"/>
    <s v="02-02-2026"/>
    <s v="02-02-2026 12:12:13"/>
    <s v="900800595"/>
    <s v="Provexpress SAS"/>
    <s v="860533413"/>
    <x v="30"/>
    <n v="186200"/>
    <n v="0"/>
    <n v="0"/>
    <n v="1166200"/>
    <s v="Aprobado con notificación"/>
    <s v="Emitido"/>
    <x v="1"/>
    <x v="0"/>
    <x v="1"/>
    <x v="0"/>
    <x v="0"/>
    <x v="0"/>
    <m/>
  </r>
  <r>
    <s v="Factura electrónica"/>
    <s v="25d0becf9a447183246e5b649600d33dbc1a07f2d0224535e65445fba9054055754de33a5c6d2089da0ba43494930607"/>
    <x v="68"/>
    <n v="-1"/>
    <s v="FVE"/>
    <s v="02-02-2026"/>
    <s v="02-02-2026 12:12:19"/>
    <s v="900800595"/>
    <s v="Provexpress SAS"/>
    <s v="860050750"/>
    <x v="31"/>
    <n v="85500"/>
    <n v="0"/>
    <n v="0"/>
    <n v="535500"/>
    <s v="Aprobado con notificación"/>
    <s v="Emitido"/>
    <x v="1"/>
    <x v="0"/>
    <x v="1"/>
    <x v="0"/>
    <x v="0"/>
    <x v="0"/>
    <m/>
  </r>
  <r>
    <s v="Factura electrónica"/>
    <s v="a127aea6e58cbbf0b5d466972d97a8cb5c97ef8738eba634e3f7db990db67549777b4e78f19c6fea1e8fbaae71bf0694"/>
    <x v="69"/>
    <n v="-1"/>
    <s v="FVE"/>
    <s v="02-02-2026"/>
    <s v="02-02-2026 12:12:22"/>
    <s v="900800595"/>
    <s v="Provexpress SAS"/>
    <s v="900451379"/>
    <x v="32"/>
    <n v="23560"/>
    <n v="0"/>
    <n v="0"/>
    <n v="147560"/>
    <s v="Aprobado con notificación"/>
    <s v="Emitido"/>
    <x v="0"/>
    <x v="0"/>
    <x v="0"/>
    <x v="0"/>
    <x v="0"/>
    <x v="0"/>
    <m/>
  </r>
  <r>
    <s v="Factura electrónica"/>
    <s v="2c3ec62f4c8040d88e6e7a1f7fcb3ea601d413f563dec7a51e36983371e4a9b493261dfc1055b21363c154c74c5c86c8"/>
    <x v="70"/>
    <n v="-1"/>
    <s v="FVE"/>
    <s v="02-02-2026"/>
    <s v="02-02-2026 12:12:28"/>
    <s v="900800595"/>
    <s v="Provexpress SAS"/>
    <s v="800066123"/>
    <x v="33"/>
    <n v="148200"/>
    <n v="0"/>
    <n v="0"/>
    <n v="928200"/>
    <s v="Aprobado con notificación"/>
    <s v="Emitido"/>
    <x v="0"/>
    <x v="0"/>
    <x v="1"/>
    <x v="0"/>
    <x v="1"/>
    <x v="0"/>
    <m/>
  </r>
  <r>
    <s v="Factura electrónica"/>
    <s v="7a83f02aeee9539957a89270e797d51e5ae988595ffdf828bd2d7badf04f44e7e701946e5568976c59f35a5519ba28a0"/>
    <x v="71"/>
    <n v="-1"/>
    <s v="FVE"/>
    <s v="02-02-2026"/>
    <s v="02-02-2026 12:27:35"/>
    <s v="900800595"/>
    <s v="Provexpress SAS"/>
    <s v="860050906"/>
    <x v="34"/>
    <n v="103360"/>
    <n v="0"/>
    <n v="0"/>
    <n v="647360"/>
    <s v="Aprobado con notificación"/>
    <s v="Emitido"/>
    <x v="0"/>
    <x v="0"/>
    <x v="0"/>
    <x v="0"/>
    <x v="0"/>
    <x v="0"/>
    <m/>
  </r>
  <r>
    <s v="Factura electrónica"/>
    <s v="5b113308845a32926d39761515dc67651465ac9bcf6f6d054b2733ac3f1290c969d7d1c2b791f2e828c133f286ba2432"/>
    <x v="72"/>
    <n v="-1"/>
    <s v="FVE"/>
    <s v="02-02-2026"/>
    <s v="02-02-2026 12:27:39"/>
    <s v="900800595"/>
    <s v="Provexpress SAS"/>
    <s v="860050906"/>
    <x v="34"/>
    <n v="10260"/>
    <n v="0"/>
    <n v="0"/>
    <n v="64260"/>
    <s v="Aprobado con notificación"/>
    <s v="Emitido"/>
    <x v="0"/>
    <x v="0"/>
    <x v="0"/>
    <x v="0"/>
    <x v="0"/>
    <x v="0"/>
    <m/>
  </r>
  <r>
    <s v="Factura electrónica"/>
    <s v="33d8e47ffd24df7387af41fa33af49f737a113e8b8ce3557e66bb42676037f80ebba811d0a7723356498a09c58eae841"/>
    <x v="73"/>
    <n v="-1"/>
    <s v="FVE"/>
    <s v="02-02-2026"/>
    <s v="02-02-2026 12:27:43"/>
    <s v="900800595"/>
    <s v="Provexpress SAS"/>
    <s v="860050906"/>
    <x v="34"/>
    <n v="17290"/>
    <n v="0"/>
    <n v="0"/>
    <n v="108290"/>
    <s v="Aprobado con notificación"/>
    <s v="Emitido"/>
    <x v="0"/>
    <x v="0"/>
    <x v="0"/>
    <x v="0"/>
    <x v="0"/>
    <x v="0"/>
    <m/>
  </r>
  <r>
    <s v="Factura electrónica"/>
    <s v="aa634563b5acc2a07606e60f7bf1eca1f3a15873f952a92cc0754bd6b2c6266a53808b4f044f6188c2272a0a6732c3e3"/>
    <x v="74"/>
    <n v="-1"/>
    <s v="FVE"/>
    <s v="02-02-2026"/>
    <s v="02-02-2026 12:27:48"/>
    <s v="900800595"/>
    <s v="Provexpress SAS"/>
    <s v="800237608"/>
    <x v="35"/>
    <n v="95000"/>
    <n v="0"/>
    <n v="0"/>
    <n v="595000"/>
    <s v="Aprobado con notificación"/>
    <s v="Emitido"/>
    <x v="0"/>
    <x v="0"/>
    <x v="0"/>
    <x v="0"/>
    <x v="0"/>
    <x v="0"/>
    <m/>
  </r>
  <r>
    <s v="Factura electrónica"/>
    <s v="5cfefd84a8fe1834c99263cefd4756abf5bfb1fac93105f48976e238ad3eb0f9e96fe899e47f89e8b9c02c012225fd04"/>
    <x v="75"/>
    <n v="-1"/>
    <s v="FVE"/>
    <s v="02-02-2026"/>
    <s v="02-02-2026 12:27:52"/>
    <s v="900800595"/>
    <s v="Provexpress SAS"/>
    <s v="901380344"/>
    <x v="36"/>
    <n v="1729000"/>
    <n v="0"/>
    <n v="0"/>
    <n v="10829000"/>
    <s v="Aprobado con notificación"/>
    <s v="Emitido"/>
    <x v="0"/>
    <x v="0"/>
    <x v="1"/>
    <x v="0"/>
    <x v="0"/>
    <x v="1"/>
    <s v="FACTURA PAGA EN EL SISTEMA  20/02/2026"/>
  </r>
  <r>
    <s v="Factura electrónica"/>
    <s v="b01ba36f568ec034af4bfa43dd2f104504d56f18b5a31b80569b5321c335a6f8474b765b3971929b606c29afebbfb205"/>
    <x v="76"/>
    <n v="-1"/>
    <s v="FVE"/>
    <s v="02-02-2026"/>
    <s v="02-02-2026 12:27:58"/>
    <s v="900800595"/>
    <s v="Provexpress SAS"/>
    <s v="901380344"/>
    <x v="36"/>
    <n v="444600"/>
    <n v="0"/>
    <n v="0"/>
    <n v="2784600"/>
    <s v="Aprobado con notificación"/>
    <s v="Emitido"/>
    <x v="0"/>
    <x v="0"/>
    <x v="1"/>
    <x v="0"/>
    <x v="1"/>
    <x v="0"/>
    <m/>
  </r>
  <r>
    <s v="Factura electrónica"/>
    <s v="e5f500062e105cf3b708db56d63aa25aeb39e6228daa69fe36d08d034bf0ef83396584ec1f9c26b3aff7d4c7fc136f3e"/>
    <x v="77"/>
    <n v="-1"/>
    <s v="FVE"/>
    <s v="02-02-2026"/>
    <s v="02-02-2026 12:28:02"/>
    <s v="900800595"/>
    <s v="Provexpress SAS"/>
    <s v="860504772"/>
    <x v="37"/>
    <n v="507110"/>
    <n v="0"/>
    <n v="0"/>
    <n v="3176110"/>
    <s v="Aprobado con notificación"/>
    <s v="Emitido"/>
    <x v="1"/>
    <x v="0"/>
    <x v="1"/>
    <x v="0"/>
    <x v="0"/>
    <x v="0"/>
    <m/>
  </r>
  <r>
    <s v="Factura electrónica"/>
    <s v="203d752c3abb1719cb87dbac3601825bdcafc4a47744e94dbf17c907e6cf7750e16b34631d5c4fc54bcd9c88bf38ae2c"/>
    <x v="78"/>
    <n v="-1"/>
    <s v="FVE"/>
    <s v="02-02-2026"/>
    <s v="02-02-2026 12:28:06"/>
    <s v="900800595"/>
    <s v="Provexpress SAS"/>
    <s v="860504772"/>
    <x v="37"/>
    <n v="451250"/>
    <n v="0"/>
    <n v="0"/>
    <n v="2826250"/>
    <s v="Aprobado con notificación"/>
    <s v="Emitido"/>
    <x v="1"/>
    <x v="0"/>
    <x v="1"/>
    <x v="0"/>
    <x v="0"/>
    <x v="0"/>
    <m/>
  </r>
  <r>
    <s v="Factura electrónica"/>
    <s v="6f12bd8e8e332a14faa985f917b4bd58a5880af1ab4f7306f61cbb2ce225592b19e2d6be5c5129bb6c6bb6c4519a9b7b"/>
    <x v="79"/>
    <n v="-1"/>
    <s v="FVE"/>
    <s v="02-02-2026"/>
    <s v="02-02-2026 12:28:11"/>
    <s v="900800595"/>
    <s v="Provexpress SAS"/>
    <s v="901383974"/>
    <x v="38"/>
    <n v="269800"/>
    <n v="0"/>
    <n v="0"/>
    <n v="1689800"/>
    <s v="Aprobado con notificación"/>
    <s v="Emitido"/>
    <x v="1"/>
    <x v="0"/>
    <x v="1"/>
    <x v="0"/>
    <x v="0"/>
    <x v="0"/>
    <m/>
  </r>
  <r>
    <s v="Factura electrónica"/>
    <s v="1471b77215a82bf54c2fcbf00e9bc062c165d9aaa5648d02993e07da96c5eda7766bdd0c23b54a9b4a243395fec63650"/>
    <x v="80"/>
    <n v="-1"/>
    <s v="FVE"/>
    <s v="02-02-2026"/>
    <s v="02-02-2026 12:28:16"/>
    <s v="900800595"/>
    <s v="Provexpress SAS"/>
    <s v="901383974"/>
    <x v="38"/>
    <n v="1197583.8700000001"/>
    <n v="0"/>
    <n v="0"/>
    <n v="7500656.8700000001"/>
    <s v="Aprobado con notificación"/>
    <s v="Emitido"/>
    <x v="1"/>
    <x v="0"/>
    <x v="1"/>
    <x v="0"/>
    <x v="0"/>
    <x v="0"/>
    <m/>
  </r>
  <r>
    <s v="Factura electrónica"/>
    <s v="9cf2d24fba1c3ffd6e9284e01161c1d33347b6b045a08df4db867be4769bbc682f14a1c79274eec1d08fada53a5de286"/>
    <x v="81"/>
    <n v="-1"/>
    <s v="FVE"/>
    <s v="02-02-2026"/>
    <s v="02-02-2026 12:28:21"/>
    <s v="900800595"/>
    <s v="Provexpress SAS"/>
    <s v="830050228"/>
    <x v="39"/>
    <n v="59850"/>
    <n v="0"/>
    <n v="0"/>
    <n v="374850"/>
    <s v="Aprobado con notificación"/>
    <s v="Emitido"/>
    <x v="0"/>
    <x v="0"/>
    <x v="0"/>
    <x v="0"/>
    <x v="0"/>
    <x v="0"/>
    <m/>
  </r>
  <r>
    <s v="Factura electrónica"/>
    <s v="749f55ce4f37ca82bbc7dcb697659aa740b40eb3a5daa86bb7284a437462d43ed56b0d74443c6bf5c6f868f7f665f637"/>
    <x v="82"/>
    <n v="-1"/>
    <s v="FVE"/>
    <s v="02-02-2026"/>
    <s v="02-02-2026 12:43:27"/>
    <s v="900800595"/>
    <s v="Provexpress SAS"/>
    <s v="901383974"/>
    <x v="38"/>
    <n v="866229"/>
    <n v="0"/>
    <n v="0"/>
    <n v="5425329"/>
    <s v="Aprobado con notificación"/>
    <s v="Emitido"/>
    <x v="1"/>
    <x v="0"/>
    <x v="1"/>
    <x v="0"/>
    <x v="0"/>
    <x v="0"/>
    <m/>
  </r>
  <r>
    <s v="Factura electrónica"/>
    <s v="b4a8de5057442bb67d7ccfe31246432059d0550dbaf264d5fa0fd9d1f459d7a1e01a14f53ffb1df36daaac180d0abd9c"/>
    <x v="83"/>
    <n v="-1"/>
    <s v="FVE"/>
    <s v="02-02-2026"/>
    <s v="02-02-2026 12:43:31"/>
    <s v="900800595"/>
    <s v="Provexpress SAS"/>
    <s v="901383974"/>
    <x v="38"/>
    <n v="148200"/>
    <n v="0"/>
    <n v="0"/>
    <n v="928200"/>
    <s v="Aprobado con notificación"/>
    <s v="Emitido"/>
    <x v="1"/>
    <x v="0"/>
    <x v="1"/>
    <x v="0"/>
    <x v="0"/>
    <x v="0"/>
    <m/>
  </r>
  <r>
    <s v="Factura electrónica"/>
    <s v="2e1763bd4723ef6d7fc980aaf78fb8c12149a0e799c8b1736113637bf6225b6e4bd2bbdeac5d911bfd37d5d666ae921e"/>
    <x v="84"/>
    <n v="-1"/>
    <s v="FVE"/>
    <s v="02-02-2026"/>
    <s v="02-02-2026 12:43:37"/>
    <s v="900800595"/>
    <s v="Provexpress SAS"/>
    <s v="890401802"/>
    <x v="40"/>
    <n v="80750"/>
    <n v="0"/>
    <n v="0"/>
    <n v="505750"/>
    <s v="Aprobado con notificación"/>
    <s v="Emitido"/>
    <x v="1"/>
    <x v="0"/>
    <x v="1"/>
    <x v="0"/>
    <x v="0"/>
    <x v="0"/>
    <m/>
  </r>
  <r>
    <s v="Factura electrónica"/>
    <s v="4f79cc366c8c0ff4693c110cf1f66f8172e21df21fd8e74c77c690084bbef60cb857732b1b5a5f5a836c59942041aefa"/>
    <x v="85"/>
    <n v="-1"/>
    <s v="FVE"/>
    <s v="02-02-2026"/>
    <s v="02-02-2026 12:43:41"/>
    <s v="900800595"/>
    <s v="Provexpress SAS"/>
    <s v="890401802"/>
    <x v="40"/>
    <n v="505400"/>
    <n v="0"/>
    <n v="0"/>
    <n v="3165400"/>
    <s v="Aprobado con notificación"/>
    <s v="Emitido"/>
    <x v="0"/>
    <x v="1"/>
    <x v="1"/>
    <x v="0"/>
    <x v="0"/>
    <x v="0"/>
    <m/>
  </r>
  <r>
    <s v="Factura electrónica"/>
    <s v="e92f9bc6b81387671ec867f50f66faf4fd75fc5fd91d76409d194e1e9a9812720139a021c13aa3e4c5e4942a1a7c616e"/>
    <x v="86"/>
    <n v="-1"/>
    <s v="FVE"/>
    <s v="02-02-2026"/>
    <s v="02-02-2026 12:43:46"/>
    <s v="900800595"/>
    <s v="Provexpress SAS"/>
    <s v="890401802"/>
    <x v="40"/>
    <n v="182400"/>
    <n v="0"/>
    <n v="0"/>
    <n v="1142400"/>
    <s v="Aprobado con notificación"/>
    <s v="Emitido"/>
    <x v="0"/>
    <x v="1"/>
    <x v="1"/>
    <x v="0"/>
    <x v="0"/>
    <x v="0"/>
    <m/>
  </r>
  <r>
    <s v="Factura electrónica"/>
    <s v="dc5c4ee659e745b3979eb78c0b715c6299a04cd49e79aa2b053b46a1b86ff029909e9b6097434167f54790d9c338cb59"/>
    <x v="87"/>
    <n v="-1"/>
    <s v="FVE"/>
    <s v="02-02-2026"/>
    <s v="02-02-2026 12:43:50"/>
    <s v="900800595"/>
    <s v="Provexpress SAS"/>
    <s v="890401802"/>
    <x v="40"/>
    <n v="235600"/>
    <n v="0"/>
    <n v="0"/>
    <n v="1475600"/>
    <s v="Aprobado con notificación"/>
    <s v="Emitido"/>
    <x v="0"/>
    <x v="1"/>
    <x v="1"/>
    <x v="0"/>
    <x v="0"/>
    <x v="0"/>
    <m/>
  </r>
  <r>
    <s v="Factura electrónica"/>
    <s v="67914a89671ddc422fc5fd2e5207660a9ff1714675eb517a2590d65882d870bfa13ec323f41af539f384e4dea6553d66"/>
    <x v="88"/>
    <n v="-1"/>
    <s v="FVE"/>
    <s v="02-02-2026"/>
    <s v="02-02-2026 12:43:55"/>
    <s v="900800595"/>
    <s v="Provexpress SAS"/>
    <s v="890401802"/>
    <x v="40"/>
    <n v="646000"/>
    <n v="0"/>
    <n v="0"/>
    <n v="4046000"/>
    <s v="Aprobado con notificación"/>
    <s v="Emitido"/>
    <x v="0"/>
    <x v="1"/>
    <x v="1"/>
    <x v="0"/>
    <x v="0"/>
    <x v="0"/>
    <m/>
  </r>
  <r>
    <s v="Factura electrónica"/>
    <s v="64ec7f7caa4f9e3c3d1cc6b187fadd164b9a3f542bd181f3570e91143ab8cc70a6fbe0c1ec3ebb130604e17d5afe1e7f"/>
    <x v="89"/>
    <n v="-1"/>
    <s v="FVE"/>
    <s v="02-02-2026"/>
    <s v="02-02-2026 12:43:59"/>
    <s v="900800595"/>
    <s v="Provexpress SAS"/>
    <s v="890401802"/>
    <x v="40"/>
    <n v="473100"/>
    <n v="0"/>
    <n v="0"/>
    <n v="2963100"/>
    <s v="Aprobado con notificación"/>
    <s v="Emitido"/>
    <x v="0"/>
    <x v="1"/>
    <x v="1"/>
    <x v="0"/>
    <x v="0"/>
    <x v="0"/>
    <m/>
  </r>
  <r>
    <s v="Factura electrónica"/>
    <s v="a0dd3ac5678121152bf74f8ff804cc83dc06390f514b7ebf05b77a676966b536a42bdbd46783fdfb2dca2ba8f77a2586"/>
    <x v="90"/>
    <n v="-1"/>
    <s v="FVE"/>
    <s v="02-02-2026"/>
    <s v="02-02-2026 12:44:04"/>
    <s v="900800595"/>
    <s v="Provexpress SAS"/>
    <s v="890401802"/>
    <x v="40"/>
    <n v="50350"/>
    <n v="0"/>
    <n v="0"/>
    <n v="315350"/>
    <s v="Aprobado con notificación"/>
    <s v="Emitido"/>
    <x v="0"/>
    <x v="1"/>
    <x v="1"/>
    <x v="0"/>
    <x v="0"/>
    <x v="0"/>
    <m/>
  </r>
  <r>
    <s v="Factura electrónica"/>
    <s v="b5c563e9f53a7cd577e505c5112cf7e886cf862eb4dc9f93dbf6e8eede0bebf606f137149778edd1ac3d2d5fd9d686e6"/>
    <x v="91"/>
    <n v="-1"/>
    <s v="FVE"/>
    <s v="02-02-2026"/>
    <s v="02-02-2026 12:44:09"/>
    <s v="900800595"/>
    <s v="Provexpress SAS"/>
    <s v="890401802"/>
    <x v="40"/>
    <n v="415150"/>
    <n v="0"/>
    <n v="0"/>
    <n v="2600150"/>
    <s v="Aprobado con notificación"/>
    <s v="Emitido"/>
    <x v="0"/>
    <x v="1"/>
    <x v="1"/>
    <x v="0"/>
    <x v="0"/>
    <x v="0"/>
    <m/>
  </r>
  <r>
    <s v="Factura electrónica"/>
    <s v="40d9236b2b9d075ad196e96593a80cc08d301df423d4bd3bc8026e54e15d6daf1e569a8fd2f22a8cc9b8e9b8c438ed30"/>
    <x v="92"/>
    <n v="-1"/>
    <s v="FVE"/>
    <s v="02-02-2026"/>
    <s v="02-02-2026 12:44:14"/>
    <s v="900800595"/>
    <s v="Provexpress SAS"/>
    <s v="890401802"/>
    <x v="40"/>
    <n v="46550"/>
    <n v="0"/>
    <n v="0"/>
    <n v="291550"/>
    <s v="Aprobado con notificación"/>
    <s v="Emitido"/>
    <x v="0"/>
    <x v="1"/>
    <x v="1"/>
    <x v="0"/>
    <x v="0"/>
    <x v="0"/>
    <m/>
  </r>
  <r>
    <s v="Factura electrónica"/>
    <s v="4a3d559e46ff9e6b4e1c0a07835390dbecff537a38bb19bde89f48505faee09345bcfd1f2e8ae51062416d47e2c31c52"/>
    <x v="93"/>
    <n v="-1"/>
    <s v="FVE"/>
    <s v="02-02-2026"/>
    <s v="02-02-2026 12:44:18"/>
    <s v="900800595"/>
    <s v="Provexpress SAS"/>
    <s v="890401802"/>
    <x v="40"/>
    <n v="25650"/>
    <n v="0"/>
    <n v="0"/>
    <n v="160650"/>
    <s v="Aprobado con notificación"/>
    <s v="Emitido"/>
    <x v="0"/>
    <x v="1"/>
    <x v="1"/>
    <x v="0"/>
    <x v="0"/>
    <x v="0"/>
    <m/>
  </r>
  <r>
    <s v="Factura electrónica"/>
    <s v="825207e8540b2099f06d389bea36aeb1e9461b1d8b36002368d71dfbf6751c30260c683cf5bf95a6ec79e953db1dad31"/>
    <x v="94"/>
    <n v="-1"/>
    <s v="FVE"/>
    <s v="02-02-2026"/>
    <s v="02-02-2026 12:44:22"/>
    <s v="900800595"/>
    <s v="Provexpress SAS"/>
    <s v="830025104"/>
    <x v="41"/>
    <n v="368600"/>
    <n v="0"/>
    <n v="0"/>
    <n v="2308600"/>
    <s v="Aprobado con notificación"/>
    <s v="Emitido"/>
    <x v="0"/>
    <x v="1"/>
    <x v="1"/>
    <x v="0"/>
    <x v="0"/>
    <x v="0"/>
    <m/>
  </r>
  <r>
    <s v="Factura electrónica"/>
    <s v="43190e8940e93d118fb4f5c393bc75cf66d64f571eecef0d298df7823f0e8098166be48908d39c6494da3fb53d58ce47"/>
    <x v="95"/>
    <n v="-1"/>
    <s v="FVE"/>
    <s v="02-02-2026"/>
    <s v="02-02-2026 12:59:29"/>
    <s v="900800595"/>
    <s v="Provexpress SAS"/>
    <s v="900488297"/>
    <x v="42"/>
    <n v="193990"/>
    <n v="0"/>
    <n v="0"/>
    <n v="1214990"/>
    <s v="Aprobado con notificación"/>
    <s v="Emitido"/>
    <x v="0"/>
    <x v="0"/>
    <x v="0"/>
    <x v="0"/>
    <x v="0"/>
    <x v="0"/>
    <m/>
  </r>
  <r>
    <s v="Factura electrónica"/>
    <s v="f9623a9ccf56fd8cd52d4f702ce6a46648ff03614ab29ce81deb0bb1727a8a89ffb5548d05beb5a29fd23f782f59d11b"/>
    <x v="96"/>
    <n v="-1"/>
    <s v="FVE"/>
    <s v="02-02-2026"/>
    <s v="02-02-2026 12:59:34"/>
    <s v="900800595"/>
    <s v="Provexpress SAS"/>
    <s v="901179692"/>
    <x v="43"/>
    <n v="1741920"/>
    <n v="0"/>
    <n v="0"/>
    <n v="10909920"/>
    <s v="Aprobado con notificación"/>
    <s v="Emitido"/>
    <x v="0"/>
    <x v="0"/>
    <x v="1"/>
    <x v="0"/>
    <x v="0"/>
    <x v="1"/>
    <s v="FACTURA PAGA EN EL SISTEMA 9/02/2026"/>
  </r>
  <r>
    <s v="Factura electrónica"/>
    <s v="1a415d43cbe5ac0e81c1810e02c454a2b4ef4a9d1e12a2b5b0acf845c9e42163507b6aa69c8baa89a803236c9bc8f82b"/>
    <x v="97"/>
    <n v="-1"/>
    <s v="FVE"/>
    <s v="02-02-2026"/>
    <s v="02-02-2026 12:59:38"/>
    <s v="900800595"/>
    <s v="Provexpress SAS"/>
    <s v="900794325"/>
    <x v="44"/>
    <n v="722000"/>
    <n v="0"/>
    <n v="0"/>
    <n v="4522000"/>
    <s v="Aprobado con notificación"/>
    <s v="Emitido"/>
    <x v="0"/>
    <x v="0"/>
    <x v="1"/>
    <x v="0"/>
    <x v="1"/>
    <x v="0"/>
    <m/>
  </r>
  <r>
    <s v="Factura electrónica"/>
    <s v="26f011a7b5a56dfc51f3ab3d495e0f8283370c4b60b5b2e53adba8c2e5933a60196a672c5588c58f959e31d41271ec9f"/>
    <x v="98"/>
    <n v="-1"/>
    <s v="FVE"/>
    <s v="02-02-2026"/>
    <s v="02-02-2026 12:59:43"/>
    <s v="900800595"/>
    <s v="Provexpress SAS"/>
    <s v="900488297"/>
    <x v="42"/>
    <n v="375250"/>
    <n v="0"/>
    <n v="0"/>
    <n v="2350250"/>
    <s v="Aprobado con notificación"/>
    <s v="Emitido"/>
    <x v="0"/>
    <x v="0"/>
    <x v="0"/>
    <x v="0"/>
    <x v="0"/>
    <x v="0"/>
    <m/>
  </r>
  <r>
    <s v="Factura electrónica"/>
    <s v="655c2c46798b0494d60afdf88f796f705c2e2b8194407c4daf3d7170706afe06893f81f6c60cf7740d67b6d63577fb15"/>
    <x v="99"/>
    <n v="-1"/>
    <s v="FVE"/>
    <s v="02-02-2026"/>
    <s v="02-02-2026 12:59:49"/>
    <s v="900800595"/>
    <s v="Provexpress SAS"/>
    <s v="900488297"/>
    <x v="42"/>
    <n v="163400"/>
    <n v="0"/>
    <n v="0"/>
    <n v="1023400"/>
    <s v="Aprobado con notificación"/>
    <s v="Emitido"/>
    <x v="0"/>
    <x v="0"/>
    <x v="0"/>
    <x v="0"/>
    <x v="0"/>
    <x v="0"/>
    <m/>
  </r>
  <r>
    <s v="Factura electrónica"/>
    <s v="6d6774159532dbb45ac4fcde952c84efb181102de4ed5d6f9103ad2d6d114fcb4b425ccddf885cef551a96e1821da7bd"/>
    <x v="100"/>
    <n v="-1"/>
    <s v="FVE"/>
    <s v="02-02-2026"/>
    <s v="02-02-2026 12:59:53"/>
    <s v="900800595"/>
    <s v="Provexpress SAS"/>
    <s v="900488297"/>
    <x v="42"/>
    <n v="322810"/>
    <n v="0"/>
    <n v="0"/>
    <n v="2021810"/>
    <s v="Aprobado con notificación"/>
    <s v="Emitido"/>
    <x v="0"/>
    <x v="0"/>
    <x v="0"/>
    <x v="0"/>
    <x v="0"/>
    <x v="0"/>
    <m/>
  </r>
  <r>
    <s v="Factura electrónica"/>
    <s v="4037400e86685a85938ac2cadad4c688337bdbeff3de225df97f33b5bb246602d14065696209b1d89f4507221043f620"/>
    <x v="101"/>
    <n v="-1"/>
    <s v="FVE"/>
    <s v="02-02-2026"/>
    <s v="02-02-2026 12:59:58"/>
    <s v="900800595"/>
    <s v="Provexpress SAS"/>
    <s v="900771900"/>
    <x v="45"/>
    <n v="1131260"/>
    <n v="0"/>
    <n v="0"/>
    <n v="7085260"/>
    <s v="Aprobado con notificación"/>
    <s v="Emitido"/>
    <x v="0"/>
    <x v="0"/>
    <x v="1"/>
    <x v="0"/>
    <x v="0"/>
    <x v="1"/>
    <s v="PAGA EL 20/02/2026"/>
  </r>
  <r>
    <s v="Factura electrónica"/>
    <s v="93ca90b626f438df3b6478e74d352e33aef1418cb8be2cb7c594ae832cfb07ccd86b9359c9cadfdaa8d1d806aed81419"/>
    <x v="102"/>
    <n v="-1"/>
    <s v="FVE"/>
    <s v="02-02-2026"/>
    <s v="02-02-2026 13:00:04"/>
    <s v="900800595"/>
    <s v="Provexpress SAS"/>
    <s v="830050228"/>
    <x v="39"/>
    <n v="86450"/>
    <n v="0"/>
    <n v="0"/>
    <n v="541450"/>
    <s v="Aprobado con notificación"/>
    <s v="Emitido"/>
    <x v="0"/>
    <x v="0"/>
    <x v="0"/>
    <x v="0"/>
    <x v="0"/>
    <x v="0"/>
    <m/>
  </r>
  <r>
    <s v="Factura electrónica"/>
    <s v="9d86538b4d11dedf09a66f9beb0b90896aa8433b29468cf31375057101c0b2ed565c254b9dad3cd1056ff708e892485a"/>
    <x v="103"/>
    <n v="-1"/>
    <s v="FVE"/>
    <s v="02-02-2026"/>
    <s v="02-02-2026 13:00:09"/>
    <s v="900800595"/>
    <s v="Provexpress SAS"/>
    <s v="830050228"/>
    <x v="39"/>
    <n v="14250"/>
    <n v="0"/>
    <n v="0"/>
    <n v="89250"/>
    <s v="Aprobado con notificación"/>
    <s v="Emitido"/>
    <x v="0"/>
    <x v="0"/>
    <x v="0"/>
    <x v="0"/>
    <x v="0"/>
    <x v="0"/>
    <m/>
  </r>
  <r>
    <s v="Factura electrónica"/>
    <s v="10c80a0ad9c19bc8826fc93a7899f39ea9f2466d8502c50463328aa3e8ac3e01295cf7a2b4be416b7bd97d4eb9988d81"/>
    <x v="104"/>
    <n v="-1"/>
    <s v="FVE"/>
    <s v="02-02-2026"/>
    <s v="02-02-2026 13:00:12"/>
    <s v="900800595"/>
    <s v="Provexpress SAS"/>
    <s v="830050228"/>
    <x v="39"/>
    <n v="4647970"/>
    <n v="0"/>
    <n v="0"/>
    <n v="29110970"/>
    <s v="Aprobado con notificación"/>
    <s v="Emitido"/>
    <x v="0"/>
    <x v="0"/>
    <x v="0"/>
    <x v="0"/>
    <x v="0"/>
    <x v="0"/>
    <m/>
  </r>
  <r>
    <s v="Factura electrónica"/>
    <s v="604da40ec6f20fd4d866fa161e984d8abf9456f000c8450b4a63ceab8297b9e6bdb7fe4d8c6783d3e112aee9cbd82959"/>
    <x v="105"/>
    <n v="-1"/>
    <s v="FVE"/>
    <s v="02-02-2026"/>
    <s v="02-02-2026 13:00:18"/>
    <s v="900800595"/>
    <s v="Provexpress SAS"/>
    <s v="830513773"/>
    <x v="46"/>
    <n v="107320.93"/>
    <n v="0"/>
    <n v="0"/>
    <n v="709047.93"/>
    <s v="Aprobado con notificación"/>
    <s v="Emitido"/>
    <x v="0"/>
    <x v="0"/>
    <x v="1"/>
    <x v="0"/>
    <x v="1"/>
    <x v="0"/>
    <m/>
  </r>
  <r>
    <s v="Factura electrónica"/>
    <s v="babc5a358ff098d7831a91bcc6a5014b2cf8e4c107dca4ff8f5b968d3e2877d353a43999ad268bce6bdbe7726f299799"/>
    <x v="106"/>
    <n v="-1"/>
    <s v="FVE"/>
    <s v="02-02-2026"/>
    <s v="02-02-2026 13:15:24"/>
    <s v="900800595"/>
    <s v="Provexpress SAS"/>
    <s v="830513773"/>
    <x v="46"/>
    <n v="463609.5"/>
    <n v="0"/>
    <n v="0"/>
    <n v="2903659.5"/>
    <s v="Aprobado con notificación"/>
    <s v="Emitido"/>
    <x v="0"/>
    <x v="0"/>
    <x v="1"/>
    <x v="0"/>
    <x v="1"/>
    <x v="0"/>
    <m/>
  </r>
  <r>
    <s v="Factura electrónica"/>
    <s v="ef3b425595935115822a43094a2cf7b503eac64a841dfef01843fb8c918c26728821a6ff93b1fa22bf357816322b497c"/>
    <x v="107"/>
    <n v="-1"/>
    <s v="FVE"/>
    <s v="02-02-2026"/>
    <s v="02-02-2026 13:15:28"/>
    <s v="900800595"/>
    <s v="Provexpress SAS"/>
    <s v="830513773"/>
    <x v="46"/>
    <n v="206752.3"/>
    <n v="0"/>
    <n v="0"/>
    <n v="1294922.3"/>
    <s v="Aprobado con notificación"/>
    <s v="Emitido"/>
    <x v="0"/>
    <x v="0"/>
    <x v="1"/>
    <x v="0"/>
    <x v="1"/>
    <x v="0"/>
    <m/>
  </r>
  <r>
    <s v="Factura electrónica"/>
    <s v="b241625c88858e0bc110ce0f57ba4c76d7d910a30aeaf538530bcac1bc714b0e74cd92a1b9d5d609a1c140b5a8537010"/>
    <x v="108"/>
    <n v="-1"/>
    <s v="FVE"/>
    <s v="02-02-2026"/>
    <s v="02-02-2026 13:15:33"/>
    <s v="900800595"/>
    <s v="Provexpress SAS"/>
    <s v="830513773"/>
    <x v="46"/>
    <n v="11991.66"/>
    <n v="0"/>
    <n v="0"/>
    <n v="75105.66"/>
    <s v="Aprobado con notificación"/>
    <s v="Emitido"/>
    <x v="0"/>
    <x v="0"/>
    <x v="1"/>
    <x v="0"/>
    <x v="1"/>
    <x v="0"/>
    <m/>
  </r>
  <r>
    <s v="Factura electrónica"/>
    <s v="53813ecbea74c3bf9d88898e9f2e799e4abb84c7a8f6c4cdd5cf73245cade606495423589064cd6fa2199ad961832a8f"/>
    <x v="109"/>
    <n v="-1"/>
    <s v="FVE"/>
    <s v="02-02-2026"/>
    <s v="02-02-2026 13:15:38"/>
    <s v="900800595"/>
    <s v="Provexpress SAS"/>
    <s v="830513773"/>
    <x v="46"/>
    <n v="58190.16"/>
    <n v="0"/>
    <n v="0"/>
    <n v="364454.16"/>
    <s v="Aprobado con notificación"/>
    <s v="Emitido"/>
    <x v="0"/>
    <x v="0"/>
    <x v="1"/>
    <x v="0"/>
    <x v="1"/>
    <x v="0"/>
    <m/>
  </r>
  <r>
    <s v="Factura electrónica"/>
    <s v="6d092ac9a2d2099923977dd5e520fd0d771842bc5a201fb40afcc658285a2a9bfacda838d760c146ec99e7e5ab58baee"/>
    <x v="110"/>
    <n v="-1"/>
    <s v="FVE"/>
    <s v="02-02-2026"/>
    <s v="02-02-2026 13:15:43"/>
    <s v="900800595"/>
    <s v="Provexpress SAS"/>
    <s v="830513773"/>
    <x v="46"/>
    <n v="182349.65"/>
    <n v="0"/>
    <n v="0"/>
    <n v="1142084.6499999999"/>
    <s v="Aprobado con notificación"/>
    <s v="Emitido"/>
    <x v="0"/>
    <x v="0"/>
    <x v="1"/>
    <x v="0"/>
    <x v="1"/>
    <x v="0"/>
    <m/>
  </r>
  <r>
    <s v="Factura electrónica"/>
    <s v="efc3a2b91e78eeb6dcdd36ae39d9a2acbb579de77d381cc417da613db74395f2692a948c590b8c80281c626c113f416d"/>
    <x v="111"/>
    <n v="-1"/>
    <s v="FVE"/>
    <s v="02-02-2026"/>
    <s v="02-02-2026 13:15:46"/>
    <s v="900800595"/>
    <s v="Provexpress SAS"/>
    <s v="830513773"/>
    <x v="46"/>
    <n v="66500"/>
    <n v="0"/>
    <n v="0"/>
    <n v="416500"/>
    <s v="Aprobado con notificación"/>
    <s v="Emitido"/>
    <x v="0"/>
    <x v="0"/>
    <x v="1"/>
    <x v="0"/>
    <x v="1"/>
    <x v="0"/>
    <m/>
  </r>
  <r>
    <s v="Factura electrónica"/>
    <s v="abb18a01d58e6944092fca85da9764858fdf69690ba06f4f9d122b0866c73ddc0f42cdbcdd0cf02ff71400cc81f825d5"/>
    <x v="112"/>
    <n v="-1"/>
    <s v="FVE"/>
    <s v="02-02-2026"/>
    <s v="02-02-2026 14:15:58"/>
    <s v="900800595"/>
    <s v="Provexpress SAS"/>
    <s v="860510863"/>
    <x v="47"/>
    <n v="20634"/>
    <n v="0"/>
    <n v="0"/>
    <n v="129234"/>
    <s v="Aprobado con notificación"/>
    <s v="Emitido"/>
    <x v="0"/>
    <x v="1"/>
    <x v="1"/>
    <x v="0"/>
    <x v="0"/>
    <x v="0"/>
    <m/>
  </r>
  <r>
    <s v="Factura electrónica"/>
    <s v="662281b698bdd899240a8da06689e784ad427053496b42e16b3e94d1be7d9f0576e2892244187854ae5fe7d476dad313"/>
    <x v="113"/>
    <n v="-1"/>
    <s v="FVE"/>
    <s v="02-02-2026"/>
    <s v="02-02-2026 14:16:03"/>
    <s v="900800595"/>
    <s v="Provexpress SAS"/>
    <s v="800241469"/>
    <x v="48"/>
    <n v="152000"/>
    <n v="0"/>
    <n v="0"/>
    <n v="952000"/>
    <s v="Aprobado con notificación"/>
    <s v="Emitido"/>
    <x v="0"/>
    <x v="0"/>
    <x v="1"/>
    <x v="0"/>
    <x v="0"/>
    <x v="1"/>
    <s v="PAGA 2/03/2026"/>
  </r>
  <r>
    <s v="Factura electrónica"/>
    <s v="dbb1c32fc1d9b8b25a33af9e5b0e594395ec62c8ed3895699147e922e90151509b6d9ccb415e99a89327058b85cb1b45"/>
    <x v="114"/>
    <n v="-1"/>
    <s v="FVE"/>
    <s v="02-02-2026"/>
    <s v="02-02-2026 14:16:07"/>
    <s v="900800595"/>
    <s v="Provexpress SAS"/>
    <s v="800040410"/>
    <x v="49"/>
    <n v="50882"/>
    <n v="0"/>
    <n v="0"/>
    <n v="318682"/>
    <s v="Aprobado con notificación"/>
    <s v="Emitido"/>
    <x v="0"/>
    <x v="0"/>
    <x v="1"/>
    <x v="0"/>
    <x v="0"/>
    <x v="1"/>
    <s v="PAGA EL 20/02/2026"/>
  </r>
  <r>
    <s v="Factura electrónica"/>
    <s v="ff94b7748307aad544dcd8155c0d40e23b9b00d6eaa2bbd2d33c6d1b606366abed3bb897affa9972941bf7a7a79009b3"/>
    <x v="115"/>
    <n v="-1"/>
    <s v="FVE"/>
    <s v="02-02-2026"/>
    <s v="02-02-2026 14:16:12"/>
    <s v="900800595"/>
    <s v="Provexpress SAS"/>
    <s v="860019021"/>
    <x v="50"/>
    <n v="62764.98"/>
    <n v="0"/>
    <n v="0"/>
    <n v="393106.98"/>
    <s v="Aprobado con notificación"/>
    <s v="Emitido"/>
    <x v="0"/>
    <x v="0"/>
    <x v="0"/>
    <x v="0"/>
    <x v="0"/>
    <x v="0"/>
    <m/>
  </r>
  <r>
    <s v="Factura electrónica"/>
    <s v="a962208b3b6afcf66edc950850a0669771f45cde31ec056ca3a2288619a3f5aa7bbe700633da1213a0b25de6d2885b5c"/>
    <x v="116"/>
    <n v="-1"/>
    <s v="FVE"/>
    <s v="02-02-2026"/>
    <s v="02-02-2026 14:16:17"/>
    <s v="900800595"/>
    <s v="Provexpress SAS"/>
    <s v="860041367"/>
    <x v="51"/>
    <n v="202926.65"/>
    <n v="0"/>
    <n v="0"/>
    <n v="1270961.6499999999"/>
    <s v="Aprobado con notificación"/>
    <s v="Emitido"/>
    <x v="0"/>
    <x v="0"/>
    <x v="1"/>
    <x v="0"/>
    <x v="1"/>
    <x v="0"/>
    <m/>
  </r>
  <r>
    <s v="Factura electrónica"/>
    <s v="3cf68712ea1f4ab46c794cc517ecef8e61a83f2c543e6532aaeacc75e25bc35dbd71153e01e453e30e5df59fe6181100"/>
    <x v="117"/>
    <n v="-1"/>
    <s v="FVE"/>
    <s v="02-02-2026"/>
    <s v="02-02-2026 14:16:23"/>
    <s v="900800595"/>
    <s v="Provexpress SAS"/>
    <s v="830005028"/>
    <x v="52"/>
    <n v="412089"/>
    <n v="0"/>
    <n v="0"/>
    <n v="3717189"/>
    <s v="Aprobado con notificación"/>
    <s v="Emitido"/>
    <x v="0"/>
    <x v="1"/>
    <x v="1"/>
    <x v="0"/>
    <x v="0"/>
    <x v="0"/>
    <m/>
  </r>
  <r>
    <s v="Factura electrónica"/>
    <s v="81f7aab273d209acebbbf53ca98fe833a5ed83f3c38ad97de80a19326cd9a7081f0d9f72fa417d5aca3357aa952e3d75"/>
    <x v="118"/>
    <n v="-1"/>
    <s v="FVE"/>
    <s v="02-02-2026"/>
    <s v="02-02-2026 14:16:28"/>
    <s v="900800595"/>
    <s v="Provexpress SAS"/>
    <s v="830018004"/>
    <x v="53"/>
    <n v="40013.24"/>
    <n v="0"/>
    <n v="0"/>
    <n v="250609.24"/>
    <s v="Aprobado con notificación"/>
    <s v="Emitido"/>
    <x v="1"/>
    <x v="0"/>
    <x v="1"/>
    <x v="0"/>
    <x v="0"/>
    <x v="0"/>
    <m/>
  </r>
  <r>
    <s v="Factura electrónica"/>
    <s v="a10b1a0e117cc71452aa73835875f407421b6c08d53c970247dfb9f215a36a06b195cf2a8e627f94d099327946f4ced2"/>
    <x v="119"/>
    <n v="-1"/>
    <s v="FVE"/>
    <s v="02-02-2026"/>
    <s v="02-02-2026 14:16:31"/>
    <s v="900800595"/>
    <s v="Provexpress SAS"/>
    <s v="860002566"/>
    <x v="54"/>
    <n v="347228.7"/>
    <n v="0"/>
    <n v="0"/>
    <n v="2420978.7000000002"/>
    <s v="Aprobado con notificación"/>
    <s v="Emitido"/>
    <x v="0"/>
    <x v="1"/>
    <x v="1"/>
    <x v="0"/>
    <x v="0"/>
    <x v="0"/>
    <m/>
  </r>
  <r>
    <s v="Factura electrónica"/>
    <s v="759cd4b1670da6866325ca80ce85a5b18c112170abba9207bd906dffe78e2f54c76e120f9253fad2a7b83993a552e9df"/>
    <x v="120"/>
    <n v="-1"/>
    <s v="FVE"/>
    <s v="02-02-2026"/>
    <s v="02-02-2026 14:33:21"/>
    <s v="900800595"/>
    <s v="Provexpress SAS"/>
    <s v="830027574"/>
    <x v="55"/>
    <n v="321226.11"/>
    <n v="0"/>
    <n v="0"/>
    <n v="4379233.1100000003"/>
    <s v="Aprobado con notificación"/>
    <s v="Emitido"/>
    <x v="0"/>
    <x v="0"/>
    <x v="1"/>
    <x v="0"/>
    <x v="1"/>
    <x v="0"/>
    <m/>
  </r>
  <r>
    <s v="Factura electrónica"/>
    <s v="8fbd95fd04f0aa8e7b501fa3dcad8873d68a7a104edefbe211bdad0290e5b4c35253d961fcd8342b090eb59b0e0ce1bb"/>
    <x v="121"/>
    <n v="-1"/>
    <s v="FVE"/>
    <s v="02-02-2026"/>
    <s v="02-02-2026 14:33:27"/>
    <s v="900800595"/>
    <s v="Provexpress SAS"/>
    <s v="860074520"/>
    <x v="56"/>
    <n v="140200.24"/>
    <n v="0"/>
    <n v="0"/>
    <n v="878096.24"/>
    <s v="Aprobado con notificación"/>
    <s v="Emitido"/>
    <x v="0"/>
    <x v="0"/>
    <x v="1"/>
    <x v="0"/>
    <x v="1"/>
    <x v="0"/>
    <m/>
  </r>
  <r>
    <s v="Factura electrónica"/>
    <s v="16bcc255cd2854e1d6200100ba7ca42e2b2c1f65c00a24cdf6e8ffff92251858f3b0e0c987eb0fb9e39d4589bff014cc"/>
    <x v="122"/>
    <n v="-1"/>
    <s v="FVE"/>
    <s v="02-02-2026"/>
    <s v="02-02-2026 14:33:34"/>
    <s v="900800595"/>
    <s v="Provexpress SAS"/>
    <s v="900979802"/>
    <x v="57"/>
    <n v="32842"/>
    <n v="0"/>
    <n v="0"/>
    <n v="348642"/>
    <s v="Aprobado con notificación"/>
    <s v="Emitido"/>
    <x v="0"/>
    <x v="0"/>
    <x v="1"/>
    <x v="0"/>
    <x v="1"/>
    <x v="0"/>
    <m/>
  </r>
  <r>
    <s v="Factura electrónica"/>
    <s v="b0d566b5e83d0e3e5c93e8a83107bfe1db77c4cb310a57bb900b228c0f0e18e67b2442d1f156c3163af55d597c28138e"/>
    <x v="123"/>
    <n v="-1"/>
    <s v="FVE"/>
    <s v="02-02-2026"/>
    <s v="02-02-2026 14:33:34"/>
    <s v="900800595"/>
    <s v="Provexpress SAS"/>
    <s v="900979802"/>
    <x v="57"/>
    <n v="5044"/>
    <n v="0"/>
    <n v="0"/>
    <n v="37044"/>
    <s v="Aprobado con notificación"/>
    <s v="Emitido"/>
    <x v="0"/>
    <x v="0"/>
    <x v="1"/>
    <x v="0"/>
    <x v="1"/>
    <x v="0"/>
    <m/>
  </r>
  <r>
    <s v="Factura electrónica"/>
    <s v="d6559e50a574b33f71b7e7391b0b4dfbf8512140026ff9904a3f9c5bb3bf1ba45243571d1b5cb0553bb173ea770ca32f"/>
    <x v="124"/>
    <n v="-1"/>
    <s v="FVE"/>
    <s v="02-02-2026"/>
    <s v="02-02-2026 14:33:38"/>
    <s v="900800595"/>
    <s v="Provexpress SAS"/>
    <s v="900139569"/>
    <x v="58"/>
    <n v="119700"/>
    <n v="0"/>
    <n v="0"/>
    <n v="749700"/>
    <s v="Aprobado con notificación"/>
    <s v="Emitido"/>
    <x v="1"/>
    <x v="0"/>
    <x v="1"/>
    <x v="0"/>
    <x v="0"/>
    <x v="0"/>
    <m/>
  </r>
  <r>
    <s v="Factura electrónica"/>
    <s v="45139bd3e2f24f30c4f078c1c8f03cfe92a603c20c11fabdc0f6a69b63a4c4bf62bb4a9f14b1e172277d530a7e2a3711"/>
    <x v="125"/>
    <n v="-1"/>
    <s v="FVE"/>
    <s v="02-02-2026"/>
    <s v="02-02-2026 14:33:44"/>
    <s v="900800595"/>
    <s v="Provexpress SAS"/>
    <s v="800059470"/>
    <x v="59"/>
    <n v="573800"/>
    <n v="0"/>
    <n v="0"/>
    <n v="3593800"/>
    <s v="Aprobado con notificación"/>
    <s v="Emitido"/>
    <x v="1"/>
    <x v="0"/>
    <x v="1"/>
    <x v="0"/>
    <x v="0"/>
    <x v="0"/>
    <m/>
  </r>
  <r>
    <s v="Factura electrónica"/>
    <s v="0dc0d17ca1da3ad06bca6e8c1318cabbd03d0a5edbdb8588c916b2aac2406556284122153205a9259152f1e2d7f9ce8d"/>
    <x v="126"/>
    <n v="-1"/>
    <s v="FVE"/>
    <s v="02-02-2026"/>
    <s v="02-02-2026 14:33:49"/>
    <s v="900800595"/>
    <s v="Provexpress SAS"/>
    <s v="800059470"/>
    <x v="59"/>
    <n v="481840"/>
    <n v="0"/>
    <n v="0"/>
    <n v="3017840"/>
    <s v="Aprobado con notificación"/>
    <s v="Emitido"/>
    <x v="1"/>
    <x v="0"/>
    <x v="1"/>
    <x v="0"/>
    <x v="0"/>
    <x v="0"/>
    <m/>
  </r>
  <r>
    <s v="Factura electrónica"/>
    <s v="a4f57c729b68e2267719fd92961bd063c6b7ee78b18aebad0d35b56b921c669c925ae2aa00155ecdeca56c119718719c"/>
    <x v="127"/>
    <n v="-1"/>
    <s v="FVE"/>
    <s v="02-02-2026"/>
    <s v="02-02-2026 14:34:18"/>
    <s v="900800595"/>
    <s v="Provexpress SAS"/>
    <s v="800059470"/>
    <x v="59"/>
    <n v="720860"/>
    <n v="0"/>
    <n v="0"/>
    <n v="4514860"/>
    <s v="Aprobado con notificación"/>
    <s v="Emitido"/>
    <x v="1"/>
    <x v="0"/>
    <x v="1"/>
    <x v="0"/>
    <x v="0"/>
    <x v="0"/>
    <m/>
  </r>
  <r>
    <s v="Factura electrónica"/>
    <s v="d7fae086e1cf7e5e10e0468fe58a6a382266355980251376259f8db647217550fdff0f571d3799265b7552537ef0375b"/>
    <x v="128"/>
    <n v="-1"/>
    <s v="FVE"/>
    <s v="02-02-2026"/>
    <s v="02-02-2026 14:53:00"/>
    <s v="900800595"/>
    <s v="Provexpress SAS"/>
    <s v="830068318"/>
    <x v="60"/>
    <n v="56050"/>
    <n v="0"/>
    <n v="0"/>
    <n v="351050"/>
    <s v="Aprobado con notificación"/>
    <s v="Emitido"/>
    <x v="0"/>
    <x v="0"/>
    <x v="0"/>
    <x v="0"/>
    <x v="0"/>
    <x v="0"/>
    <m/>
  </r>
  <r>
    <s v="Factura electrónica"/>
    <s v="110ce204377dd385107c1b707ebab5884c080e941a8c8344417c07e294cddd2ad66f0d70dfaa258ecb749d4f24876f06"/>
    <x v="129"/>
    <n v="-1"/>
    <s v="FVE"/>
    <s v="02-02-2026"/>
    <s v="02-02-2026 14:53:01"/>
    <s v="900800595"/>
    <s v="Provexpress SAS"/>
    <s v="860001978"/>
    <x v="61"/>
    <n v="24700"/>
    <n v="0"/>
    <n v="0"/>
    <n v="154700"/>
    <s v="Aprobado con notificación"/>
    <s v="Emitido"/>
    <x v="0"/>
    <x v="0"/>
    <x v="1"/>
    <x v="0"/>
    <x v="1"/>
    <x v="0"/>
    <m/>
  </r>
  <r>
    <s v="Factura electrónica"/>
    <s v="58d392a742a9c23d2341092fc11d0de3853e54c5f9a523ef6cb61f46756cbf32709e4ff06a0724db41187cbd706ea798"/>
    <x v="130"/>
    <n v="-1"/>
    <s v="FVE"/>
    <s v="02-02-2026"/>
    <s v="02-02-2026 14:53:03"/>
    <s v="900800595"/>
    <s v="Provexpress SAS"/>
    <s v="860001978"/>
    <x v="61"/>
    <n v="2701800"/>
    <n v="0"/>
    <n v="0"/>
    <n v="16921800"/>
    <s v="Aprobado con notificación"/>
    <s v="Emitido"/>
    <x v="0"/>
    <x v="0"/>
    <x v="1"/>
    <x v="0"/>
    <x v="1"/>
    <x v="0"/>
    <m/>
  </r>
  <r>
    <s v="Factura electrónica"/>
    <s v="95636e7ff8e02c9771816ec1aeb15e2cc40c8c3b15378bd9a6e1c44b48d43ff28032058fe6566a9f092c3532869d991a"/>
    <x v="131"/>
    <n v="-1"/>
    <s v="FVE"/>
    <s v="02-02-2026"/>
    <s v="02-02-2026 14:53:07"/>
    <s v="900800595"/>
    <s v="Provexpress SAS"/>
    <s v="830096376"/>
    <x v="62"/>
    <n v="293578.5"/>
    <n v="0"/>
    <n v="0"/>
    <n v="4138728.5"/>
    <s v="Aprobado con notificación"/>
    <s v="Emitido"/>
    <x v="0"/>
    <x v="0"/>
    <x v="1"/>
    <x v="0"/>
    <x v="1"/>
    <x v="0"/>
    <m/>
  </r>
  <r>
    <s v="Factura electrónica"/>
    <s v="476458e0c2c805214e0056ef4ab3531910c7d97a879ffbb975561fcda70916f01ed83b7b2bc6030476f989042da1bff0"/>
    <x v="132"/>
    <n v="-1"/>
    <s v="FVE"/>
    <s v="02-02-2026"/>
    <s v="02-02-2026 14:53:12"/>
    <s v="900800595"/>
    <s v="Provexpress SAS"/>
    <s v="830096376"/>
    <x v="62"/>
    <n v="15580"/>
    <n v="0"/>
    <n v="0"/>
    <n v="97580"/>
    <s v="Aprobado con notificación"/>
    <s v="Emitido"/>
    <x v="0"/>
    <x v="0"/>
    <x v="1"/>
    <x v="0"/>
    <x v="1"/>
    <x v="0"/>
    <m/>
  </r>
  <r>
    <s v="Factura electrónica"/>
    <s v="31ad92397c0b1860adf8b4aca197ee86ce8f51222f33f1fbfe100b6f96527f4d0012b215bc5025b6e2627e759e4f892f"/>
    <x v="133"/>
    <n v="-1"/>
    <s v="FVE"/>
    <s v="02-02-2026"/>
    <s v="02-02-2026 14:53:10"/>
    <s v="900800595"/>
    <s v="Provexpress SAS"/>
    <s v="830096376"/>
    <x v="62"/>
    <n v="37240"/>
    <n v="0"/>
    <n v="0"/>
    <n v="233240"/>
    <s v="Aprobado con notificación"/>
    <s v="Emitido"/>
    <x v="0"/>
    <x v="0"/>
    <x v="1"/>
    <x v="0"/>
    <x v="1"/>
    <x v="0"/>
    <m/>
  </r>
  <r>
    <s v="Factura electrónica"/>
    <s v="23a7602e682dfe9a2840bc6a57f3e432359baa9b936391f35fdf80ce5290ca8501cb3408aaddd069b9297518779b7214"/>
    <x v="134"/>
    <n v="-1"/>
    <s v="FVE"/>
    <s v="02-02-2026"/>
    <s v="02-02-2026 15:02:47"/>
    <s v="900800595"/>
    <s v="Provexpress SAS"/>
    <s v="800081833"/>
    <x v="63"/>
    <n v="376200"/>
    <n v="0"/>
    <n v="0"/>
    <n v="2356200"/>
    <s v="Aprobado con notificación"/>
    <s v="Emitido"/>
    <x v="1"/>
    <x v="0"/>
    <x v="1"/>
    <x v="0"/>
    <x v="0"/>
    <x v="0"/>
    <m/>
  </r>
  <r>
    <s v="Factura electrónica"/>
    <s v="b5d0e92c91fb11e516dc7dfa8b037c4596ba17fce319ebfc42d82783a42ded288de9d2ed29ec2253c8fbc70696408e6d"/>
    <x v="135"/>
    <n v="-1"/>
    <s v="FVE"/>
    <s v="02-02-2026"/>
    <s v="02-02-2026 15:02:52"/>
    <s v="900800595"/>
    <s v="Provexpress SAS"/>
    <s v="800081833"/>
    <x v="63"/>
    <n v="293578.5"/>
    <n v="0"/>
    <n v="0"/>
    <n v="1838728.5"/>
    <s v="Aprobado con notificación"/>
    <s v="Emitido"/>
    <x v="1"/>
    <x v="0"/>
    <x v="1"/>
    <x v="0"/>
    <x v="0"/>
    <x v="0"/>
    <m/>
  </r>
  <r>
    <s v="Factura electrónica"/>
    <s v="639a40a0e4000de8c78eaec11f0f10f57bad3d27d162baf277bba87dbfad30ee8458546ca8dfb457331b4318f0a277c9"/>
    <x v="136"/>
    <n v="-1"/>
    <s v="FVE"/>
    <s v="02-02-2026"/>
    <s v="02-02-2026 15:02:57"/>
    <s v="900800595"/>
    <s v="Provexpress SAS"/>
    <s v="817001672"/>
    <x v="64"/>
    <n v="22800"/>
    <n v="0"/>
    <n v="0"/>
    <n v="142800"/>
    <s v="Aprobado con notificación"/>
    <s v="Emitido"/>
    <x v="0"/>
    <x v="0"/>
    <x v="0"/>
    <x v="0"/>
    <x v="0"/>
    <x v="0"/>
    <m/>
  </r>
  <r>
    <s v="Factura electrónica"/>
    <s v="d9eb7c67f65e05308cde21624f69641b18ee655c090951e98a3833c1653e3e5eaf2d71e6465a7ac89cb0a565a2c4b263"/>
    <x v="137"/>
    <n v="-1"/>
    <s v="FVE"/>
    <s v="02-02-2026"/>
    <s v="02-02-2026 15:03:01"/>
    <s v="900800595"/>
    <s v="Provexpress SAS"/>
    <s v="817001672"/>
    <x v="64"/>
    <n v="23560"/>
    <n v="0"/>
    <n v="0"/>
    <n v="147560"/>
    <s v="Aprobado con notificación"/>
    <s v="Emitido"/>
    <x v="0"/>
    <x v="0"/>
    <x v="0"/>
    <x v="0"/>
    <x v="0"/>
    <x v="0"/>
    <m/>
  </r>
  <r>
    <s v="Factura electrónica"/>
    <s v="b1f2af6d8e84b5ca898c35ea0a65d72c4c9603eabf31aaea2ebaa72592c27c582bb0ed19985a7d8a905ed48d61abf594"/>
    <x v="138"/>
    <n v="-1"/>
    <s v="FVE"/>
    <s v="02-02-2026"/>
    <s v="02-02-2026 15:03:07"/>
    <s v="900800595"/>
    <s v="Provexpress SAS"/>
    <s v="817001672"/>
    <x v="64"/>
    <n v="47671"/>
    <n v="0"/>
    <n v="0"/>
    <n v="298571"/>
    <s v="Aprobado con notificación"/>
    <s v="Emitido"/>
    <x v="0"/>
    <x v="0"/>
    <x v="0"/>
    <x v="0"/>
    <x v="0"/>
    <x v="0"/>
    <m/>
  </r>
  <r>
    <s v="Factura electrónica"/>
    <s v="f22cc85a9bb16b9ff125049706aa2bf8cb0e664c58eb88ce61414c4bc6ec7cdc2ff8106bfc8bdcc7d26bd6064189bf9e"/>
    <x v="139"/>
    <n v="-1"/>
    <s v="FVE"/>
    <s v="02-02-2026"/>
    <s v="02-02-2026 15:03:11"/>
    <s v="900800595"/>
    <s v="Provexpress SAS"/>
    <s v="900270701"/>
    <x v="65"/>
    <n v="44317.5"/>
    <n v="0"/>
    <n v="0"/>
    <n v="277567.5"/>
    <s v="Aprobado con notificación"/>
    <s v="Emitido"/>
    <x v="0"/>
    <x v="0"/>
    <x v="0"/>
    <x v="0"/>
    <x v="0"/>
    <x v="0"/>
    <m/>
  </r>
  <r>
    <s v="Factura electrónica"/>
    <s v="e77edacd0f6afeb740411f1a1bba0158a213298fcf9ade4961652e13881e1aa6e57ac34aba83a12decf78b7c92ad91a1"/>
    <x v="140"/>
    <n v="-1"/>
    <s v="FVE"/>
    <s v="02-02-2026"/>
    <s v="02-02-2026 15:03:16"/>
    <s v="900800595"/>
    <s v="Provexpress SAS"/>
    <s v="830109997"/>
    <x v="66"/>
    <n v="181260"/>
    <n v="0"/>
    <n v="0"/>
    <n v="1135260"/>
    <s v="Aprobado con notificación"/>
    <s v="Emitido"/>
    <x v="0"/>
    <x v="0"/>
    <x v="1"/>
    <x v="0"/>
    <x v="1"/>
    <x v="0"/>
    <m/>
  </r>
  <r>
    <s v="Factura electrónica"/>
    <s v="027e1e2dc7109a66aae0e2a815d0f56668b13542f9b372f54674c43aede2a20ae78c6c932c7f1eeadfb0c329d0654637"/>
    <x v="141"/>
    <n v="-1"/>
    <s v="FVE"/>
    <s v="02-02-2026"/>
    <s v="02-02-2026 15:03:21"/>
    <s v="900800595"/>
    <s v="Provexpress SAS"/>
    <s v="900208445"/>
    <x v="67"/>
    <n v="1458563.5"/>
    <n v="0"/>
    <n v="0"/>
    <n v="9205413.5"/>
    <s v="Aprobado con notificación"/>
    <s v="Emitido"/>
    <x v="0"/>
    <x v="1"/>
    <x v="1"/>
    <x v="0"/>
    <x v="0"/>
    <x v="0"/>
    <m/>
  </r>
  <r>
    <s v="Factura electrónica"/>
    <s v="bb2d295ccbf4a651c76193b5a0c95533a34fb6af55a00321fca6d1037d4c19b37d428050a9a1370210dcc3f6c5ebfec1"/>
    <x v="142"/>
    <n v="-1"/>
    <s v="FVE"/>
    <s v="02-02-2026"/>
    <s v="02-02-2026 15:18:28"/>
    <s v="900800595"/>
    <s v="Provexpress SAS"/>
    <s v="800084728"/>
    <x v="68"/>
    <n v="13110"/>
    <n v="0"/>
    <n v="0"/>
    <n v="82110"/>
    <s v="Aprobado con notificación"/>
    <s v="Emitido"/>
    <x v="0"/>
    <x v="0"/>
    <x v="0"/>
    <x v="0"/>
    <x v="0"/>
    <x v="0"/>
    <m/>
  </r>
  <r>
    <s v="Factura electrónica"/>
    <s v="b472fc39341a0d7da62c8009f0fe48f892c8f15cd4b5ff00d34093eee36a61d8d287e3c1c69d268c785efd0dbe852f4d"/>
    <x v="143"/>
    <n v="-1"/>
    <s v="FVE"/>
    <s v="02-02-2026"/>
    <s v="02-02-2026 15:18:33"/>
    <s v="900800595"/>
    <s v="Provexpress SAS"/>
    <s v="900148177"/>
    <x v="69"/>
    <n v="20292"/>
    <n v="0"/>
    <n v="0"/>
    <n v="127092"/>
    <s v="Aprobado con notificación"/>
    <s v="Emitido"/>
    <x v="0"/>
    <x v="0"/>
    <x v="0"/>
    <x v="0"/>
    <x v="0"/>
    <x v="0"/>
    <m/>
  </r>
  <r>
    <s v="Factura electrónica"/>
    <s v="bb4b2ae93c148cd486f2589022b0e237adb05319c0a097c0ea2037f11e98d4f877997845dea96a79d880c17c6618e046"/>
    <x v="144"/>
    <n v="-1"/>
    <s v="FVE"/>
    <s v="02-02-2026"/>
    <s v="02-02-2026 15:18:36"/>
    <s v="900800595"/>
    <s v="Provexpress SAS"/>
    <s v="830104929"/>
    <x v="70"/>
    <n v="22420"/>
    <n v="0"/>
    <n v="0"/>
    <n v="140420"/>
    <s v="Aprobado con notificación"/>
    <s v="Emitido"/>
    <x v="0"/>
    <x v="0"/>
    <x v="1"/>
    <x v="0"/>
    <x v="1"/>
    <x v="0"/>
    <m/>
  </r>
  <r>
    <s v="Factura electrónica"/>
    <s v="481df0824f108b8aa43a63fdca0561486adb0911b575521d5566e0263ea3abf1a365d491b9fb5c42946fdfc672ff699e"/>
    <x v="145"/>
    <n v="-1"/>
    <s v="FVE"/>
    <s v="02-02-2026"/>
    <s v="02-02-2026 15:18:41"/>
    <s v="900800595"/>
    <s v="Provexpress SAS"/>
    <s v="901847883"/>
    <x v="3"/>
    <n v="271065.02"/>
    <n v="0"/>
    <n v="0"/>
    <n v="1697723.02"/>
    <s v="Aprobado con notificación"/>
    <s v="Emitido"/>
    <x v="0"/>
    <x v="0"/>
    <x v="0"/>
    <x v="0"/>
    <x v="0"/>
    <x v="0"/>
    <m/>
  </r>
  <r>
    <s v="Factura electrónica"/>
    <s v="369d6d7c39cc910187dbefedbcb4c4db731c7a426a3989e03fd8799a27a340bee2524fa38333a14b116499a7dd038917"/>
    <x v="146"/>
    <n v="-1"/>
    <s v="FVE"/>
    <s v="02-02-2026"/>
    <s v="02-02-2026 15:18:46"/>
    <s v="900800595"/>
    <s v="Provexpress SAS"/>
    <s v="830077515"/>
    <x v="71"/>
    <n v="250800"/>
    <n v="0"/>
    <n v="0"/>
    <n v="1570800"/>
    <s v="Aprobado con notificación"/>
    <s v="Emitido"/>
    <x v="0"/>
    <x v="0"/>
    <x v="1"/>
    <x v="0"/>
    <x v="0"/>
    <x v="1"/>
    <s v="PAGA 27/02/2026"/>
  </r>
  <r>
    <s v="Factura electrónica"/>
    <s v="c85076a6c1c50d5ff7ae6c1bc40d8788d25a17bbfd0aed943e82cb5b58752776f044eb6db2147759a063886ab8ea5e1d"/>
    <x v="147"/>
    <n v="-1"/>
    <s v="FVE"/>
    <s v="02-02-2026"/>
    <s v="02-02-2026 15:18:50"/>
    <s v="900800595"/>
    <s v="Provexpress SAS"/>
    <s v="890101681"/>
    <x v="72"/>
    <n v="735300"/>
    <n v="0"/>
    <n v="0"/>
    <n v="4605300"/>
    <s v="Aprobado con notificación"/>
    <s v="Emitido"/>
    <x v="0"/>
    <x v="1"/>
    <x v="1"/>
    <x v="0"/>
    <x v="0"/>
    <x v="0"/>
    <m/>
  </r>
  <r>
    <s v="Factura electrónica"/>
    <s v="78e1b15b0d919d3be007a17723ec15831ac62fe9b844f8e37d48c00495db101569b5ab0b0f499c1fd4b33fc9ae5a4937"/>
    <x v="148"/>
    <n v="-1"/>
    <s v="FVE"/>
    <s v="02-02-2026"/>
    <s v="02-02-2026 15:18:54"/>
    <s v="900800595"/>
    <s v="Provexpress SAS"/>
    <s v="900611019"/>
    <x v="73"/>
    <n v="159600"/>
    <n v="0"/>
    <n v="0"/>
    <n v="999600"/>
    <s v="Aprobado con notificación"/>
    <s v="Emitido"/>
    <x v="1"/>
    <x v="0"/>
    <x v="1"/>
    <x v="0"/>
    <x v="0"/>
    <x v="0"/>
    <m/>
  </r>
  <r>
    <s v="Factura electrónica"/>
    <s v="b23036ae6816c74960b75cbc8aeae1f5062c02724d0c0dd9a03a112428062804df76039b45c35bb7014fd77d140eaa97"/>
    <x v="149"/>
    <n v="-1"/>
    <s v="FVE"/>
    <s v="02-02-2026"/>
    <s v="02-02-2026 15:18:59"/>
    <s v="900800595"/>
    <s v="Provexpress SAS"/>
    <s v="900611019"/>
    <x v="73"/>
    <n v="769500"/>
    <n v="0"/>
    <n v="0"/>
    <n v="4819500"/>
    <s v="Aprobado con notificación"/>
    <s v="Emitido"/>
    <x v="1"/>
    <x v="0"/>
    <x v="1"/>
    <x v="0"/>
    <x v="0"/>
    <x v="0"/>
    <m/>
  </r>
  <r>
    <s v="Factura electrónica"/>
    <s v="d289a9a9b12c4024d374b088d343637fdb894715c031019446bc11ecaebc4abaeb5c23f8df39045277155d01e9efcff4"/>
    <x v="150"/>
    <n v="-1"/>
    <s v="FVE"/>
    <s v="02-02-2026"/>
    <s v="02-02-2026 15:19:04"/>
    <s v="900800595"/>
    <s v="Provexpress SAS"/>
    <s v="860044349"/>
    <x v="74"/>
    <n v="121525.62"/>
    <n v="0"/>
    <n v="0"/>
    <n v="1017923.62"/>
    <s v="Aprobado con notificación"/>
    <s v="Emitido"/>
    <x v="0"/>
    <x v="0"/>
    <x v="0"/>
    <x v="0"/>
    <x v="0"/>
    <x v="0"/>
    <m/>
  </r>
  <r>
    <s v="Factura electrónica"/>
    <s v="14b38846107828c8618d2293fd8b8e1074f977fc2f818276d9ba21733f8bed5c2d6f39e4d933b19f6259998c17c3e55b"/>
    <x v="151"/>
    <n v="-1"/>
    <s v="FVE"/>
    <s v="02-02-2026"/>
    <s v="02-02-2026 15:19:09"/>
    <s v="900800595"/>
    <s v="Provexpress SAS"/>
    <s v="900592369"/>
    <x v="75"/>
    <n v="10314.34"/>
    <n v="0"/>
    <n v="0"/>
    <n v="64600.34"/>
    <s v="Aprobado con notificación"/>
    <s v="Emitido"/>
    <x v="0"/>
    <x v="0"/>
    <x v="0"/>
    <x v="0"/>
    <x v="0"/>
    <x v="0"/>
    <m/>
  </r>
  <r>
    <s v="Factura electrónica"/>
    <s v="9d05dde5f6598527346eb6573047d93fd5a08d228ff1739b4b31d524df28207c7445ec22861fa43183a2ecb6a6af42d5"/>
    <x v="152"/>
    <n v="-1"/>
    <s v="FVE"/>
    <s v="02-02-2026"/>
    <s v="02-02-2026 15:34:42"/>
    <s v="900800595"/>
    <s v="Provexpress SAS"/>
    <s v="900592369"/>
    <x v="75"/>
    <n v="969000"/>
    <n v="0"/>
    <n v="0"/>
    <n v="6069000"/>
    <s v="Aprobado con notificación"/>
    <s v="Emitido"/>
    <x v="0"/>
    <x v="0"/>
    <x v="0"/>
    <x v="0"/>
    <x v="0"/>
    <x v="0"/>
    <m/>
  </r>
  <r>
    <s v="Factura electrónica"/>
    <s v="919946ad309238d8d262fad13ece9ed46574ccc4da870ab9e903cfadc88b17367163040a795e944633135f8e9400bfa7"/>
    <x v="153"/>
    <n v="-1"/>
    <s v="FVE"/>
    <s v="02-02-2026"/>
    <s v="02-02-2026 15:34:46"/>
    <s v="900800595"/>
    <s v="Provexpress SAS"/>
    <s v="900037743"/>
    <x v="76"/>
    <n v="28481"/>
    <n v="0"/>
    <n v="0"/>
    <n v="178381"/>
    <s v="Aprobado con notificación"/>
    <s v="Emitido"/>
    <x v="0"/>
    <x v="0"/>
    <x v="0"/>
    <x v="0"/>
    <x v="0"/>
    <x v="0"/>
    <m/>
  </r>
  <r>
    <s v="Factura electrónica"/>
    <s v="0cea422554ca7be7753a1ee5f5887d05c7d7f0118d9fd0fde3c03132bf3a586a40d123d908fe768619b2d385964e7c69"/>
    <x v="154"/>
    <n v="-1"/>
    <s v="FVE"/>
    <s v="02-02-2026"/>
    <s v="02-02-2026 15:34:58"/>
    <s v="900800595"/>
    <s v="Provexpress SAS"/>
    <s v="900037743"/>
    <x v="76"/>
    <n v="284810"/>
    <n v="0"/>
    <n v="0"/>
    <n v="1783810"/>
    <s v="Aprobado con notificación"/>
    <s v="Emitido"/>
    <x v="0"/>
    <x v="0"/>
    <x v="0"/>
    <x v="0"/>
    <x v="0"/>
    <x v="0"/>
    <m/>
  </r>
  <r>
    <s v="Factura electrónica"/>
    <s v="296c3d5dea8cccc7c95532e0aeb2b47a18904775535ffb0e7110939a473be07bb82b9053ee6147dfe914794199de98c9"/>
    <x v="155"/>
    <n v="-1"/>
    <s v="FVE"/>
    <s v="02-02-2026"/>
    <s v="02-02-2026 15:35:06"/>
    <s v="900800595"/>
    <s v="Provexpress SAS"/>
    <s v="900449844"/>
    <x v="77"/>
    <n v="89400"/>
    <n v="0"/>
    <n v="0"/>
    <n v="960200"/>
    <s v="Aprobado con notificación"/>
    <s v="Emitido"/>
    <x v="0"/>
    <x v="0"/>
    <x v="1"/>
    <x v="0"/>
    <x v="1"/>
    <x v="0"/>
    <m/>
  </r>
  <r>
    <s v="Factura electrónica"/>
    <s v="4f78bde40f16ec44b1b5c4d8bfe054f87e4387840edab15ffd2a72f13add4341968340c17fbf8bff097f767f17719b22"/>
    <x v="156"/>
    <n v="-1"/>
    <s v="FVE"/>
    <s v="02-02-2026"/>
    <s v="02-02-2026 15:35:10"/>
    <s v="900800595"/>
    <s v="Provexpress SAS"/>
    <s v="900037743"/>
    <x v="76"/>
    <n v="162716"/>
    <n v="0"/>
    <n v="0"/>
    <n v="1019116"/>
    <s v="Aprobado con notificación"/>
    <s v="Emitido"/>
    <x v="0"/>
    <x v="0"/>
    <x v="0"/>
    <x v="0"/>
    <x v="0"/>
    <x v="0"/>
    <m/>
  </r>
  <r>
    <s v="Factura electrónica"/>
    <s v="43d206fcbdf868528ab530730529582d34c2295c4d643d57d184ec88209ca0cf3f07a25326d1787f2bffd41bbf3307e9"/>
    <x v="157"/>
    <n v="-1"/>
    <s v="FVE"/>
    <s v="02-02-2026"/>
    <s v="02-02-2026 15:35:12"/>
    <s v="900800595"/>
    <s v="Provexpress SAS"/>
    <s v="900037743"/>
    <x v="76"/>
    <n v="95000"/>
    <n v="0"/>
    <n v="0"/>
    <n v="595000"/>
    <s v="Aprobado con notificación"/>
    <s v="Emitido"/>
    <x v="0"/>
    <x v="0"/>
    <x v="0"/>
    <x v="0"/>
    <x v="0"/>
    <x v="0"/>
    <m/>
  </r>
  <r>
    <s v="Factura electrónica"/>
    <s v="2d6694312ebb48629c9d8178e2c6b14e629650abd0096e43024659e95ec5088177f09be2796bd5cfe47647c52b486efe"/>
    <x v="158"/>
    <n v="-1"/>
    <s v="FVE"/>
    <s v="02-02-2026"/>
    <s v="02-02-2026 15:35:17"/>
    <s v="900800595"/>
    <s v="Provexpress SAS"/>
    <s v="900037743"/>
    <x v="76"/>
    <n v="113620"/>
    <n v="0"/>
    <n v="0"/>
    <n v="711620"/>
    <s v="Aprobado con notificación"/>
    <s v="Emitido"/>
    <x v="0"/>
    <x v="0"/>
    <x v="0"/>
    <x v="0"/>
    <x v="0"/>
    <x v="0"/>
    <m/>
  </r>
  <r>
    <s v="Factura electrónica"/>
    <s v="c4f92634c802f58b43f0c734e10a51a69a75dac6270b3389a1c968117d0145ee0a63343bf2b21328c64a288ad79b0775"/>
    <x v="159"/>
    <n v="-1"/>
    <s v="FVE"/>
    <s v="02-02-2026"/>
    <s v="02-02-2026 15:35:24"/>
    <s v="900800595"/>
    <s v="Provexpress SAS"/>
    <s v="900037743"/>
    <x v="76"/>
    <n v="9973670"/>
    <n v="0"/>
    <n v="0"/>
    <n v="62466670"/>
    <s v="Aprobado con notificación"/>
    <s v="Emitido"/>
    <x v="0"/>
    <x v="0"/>
    <x v="0"/>
    <x v="0"/>
    <x v="0"/>
    <x v="0"/>
    <m/>
  </r>
  <r>
    <s v="Factura electrónica"/>
    <s v="6a7b160dd8fb1e01202b65cf166a6d66c8cf111fb6b5c598679149713d81150d0e091d6fe018829af23c4fb5bcaeea09"/>
    <x v="160"/>
    <n v="-1"/>
    <s v="FVE"/>
    <s v="02-02-2026"/>
    <s v="02-02-2026 15:35:30"/>
    <s v="900800595"/>
    <s v="Provexpress SAS"/>
    <s v="860001778"/>
    <x v="78"/>
    <n v="262010"/>
    <n v="0"/>
    <n v="0"/>
    <n v="1641010"/>
    <s v="Aprobado con notificación"/>
    <s v="Emitido"/>
    <x v="0"/>
    <x v="0"/>
    <x v="0"/>
    <x v="0"/>
    <x v="0"/>
    <x v="0"/>
    <m/>
  </r>
  <r>
    <s v="Factura electrónica"/>
    <s v="3b7f5620139422f1db5966f2ee0726c085757480606e0e2f4865bbbffa6da2d78edff90517bb94d903da09360e47916b"/>
    <x v="161"/>
    <n v="-1"/>
    <s v="FVE"/>
    <s v="02-02-2026"/>
    <s v="02-02-2026 15:35:37"/>
    <s v="900800595"/>
    <s v="Provexpress SAS"/>
    <s v="800028326"/>
    <x v="79"/>
    <n v="248735.12"/>
    <n v="0"/>
    <n v="0"/>
    <n v="1610749.12"/>
    <s v="Aprobado con notificación"/>
    <s v="Emitido"/>
    <x v="0"/>
    <x v="0"/>
    <x v="1"/>
    <x v="0"/>
    <x v="0"/>
    <x v="1"/>
    <s v="PAGA 27/02/2026"/>
  </r>
  <r>
    <s v="Factura electrónica"/>
    <s v="f8d1047d17e971e226ff1237d8f654de8439a95de445daaf4b6725a6244bc8cf942ecf7e88ca580bdb4b5ba9414491f5"/>
    <x v="162"/>
    <n v="-1"/>
    <s v="FVE"/>
    <s v="02-02-2026"/>
    <s v="02-02-2026 15:35:49"/>
    <s v="900800595"/>
    <s v="Provexpress SAS"/>
    <s v="901057541"/>
    <x v="80"/>
    <n v="929043"/>
    <n v="0"/>
    <n v="0"/>
    <n v="5818743"/>
    <s v="Aprobado con notificación"/>
    <s v="Emitido"/>
    <x v="0"/>
    <x v="0"/>
    <x v="1"/>
    <x v="0"/>
    <x v="1"/>
    <x v="0"/>
    <m/>
  </r>
  <r>
    <s v="Factura electrónica"/>
    <s v="d15946afe029ff78b846a606030d223e17a2364028160f69d87c524f7ea5609d7a6ec6c293dbb1a0023cf656da67b2aa"/>
    <x v="163"/>
    <n v="-1"/>
    <s v="FVE"/>
    <s v="02-02-2026"/>
    <s v="02-02-2026 15:35:53"/>
    <s v="900800595"/>
    <s v="Provexpress SAS"/>
    <s v="900037743"/>
    <x v="76"/>
    <n v="132164"/>
    <n v="0"/>
    <n v="0"/>
    <n v="827764"/>
    <s v="Aprobado con notificación"/>
    <s v="Emitido"/>
    <x v="0"/>
    <x v="0"/>
    <x v="0"/>
    <x v="0"/>
    <x v="0"/>
    <x v="0"/>
    <m/>
  </r>
  <r>
    <s v="Factura electrónica"/>
    <s v="b37535f2d779a6fef07fb359c03bb449c6ef0aa5cad5ca80b6f6e450c4f22437b842649adf19b5555d9e1b2fd5816cd0"/>
    <x v="164"/>
    <n v="-1"/>
    <s v="FVE"/>
    <s v="02-02-2026"/>
    <s v="02-02-2026 15:50:50"/>
    <s v="900800595"/>
    <s v="Provexpress SAS"/>
    <s v="900037743"/>
    <x v="76"/>
    <n v="1359450"/>
    <n v="0"/>
    <n v="0"/>
    <n v="8514450"/>
    <s v="Aprobado con notificación"/>
    <s v="Emitido"/>
    <x v="0"/>
    <x v="0"/>
    <x v="0"/>
    <x v="0"/>
    <x v="0"/>
    <x v="0"/>
    <m/>
  </r>
  <r>
    <s v="Factura electrónica"/>
    <s v="8822833e90b181bb3cecd4b64638d2d4c9cef73ebfd92ae702362a840d6816fd91834894ea8e3a6b866e7002995288b8"/>
    <x v="165"/>
    <n v="-1"/>
    <s v="FVE"/>
    <s v="02-02-2026"/>
    <s v="02-02-2026 15:50:54"/>
    <s v="900800595"/>
    <s v="Provexpress SAS"/>
    <s v="900037743"/>
    <x v="76"/>
    <n v="55100"/>
    <n v="0"/>
    <n v="0"/>
    <n v="345100"/>
    <s v="Aprobado con notificación"/>
    <s v="Emitido"/>
    <x v="0"/>
    <x v="0"/>
    <x v="0"/>
    <x v="0"/>
    <x v="0"/>
    <x v="0"/>
    <m/>
  </r>
  <r>
    <s v="Factura electrónica"/>
    <s v="a61ff91916a3c6416726857952ca1da193e0ff530269fb1015e2e0c3121497bdda4a263837731f9448e78c6329146e3e"/>
    <x v="166"/>
    <n v="-1"/>
    <s v="FVE"/>
    <s v="02-02-2026"/>
    <s v="02-02-2026 15:50:59"/>
    <s v="900800595"/>
    <s v="Provexpress SAS"/>
    <s v="900037743"/>
    <x v="76"/>
    <n v="366700"/>
    <n v="0"/>
    <n v="0"/>
    <n v="2296700"/>
    <s v="Aprobado con notificación"/>
    <s v="Emitido"/>
    <x v="0"/>
    <x v="0"/>
    <x v="0"/>
    <x v="0"/>
    <x v="0"/>
    <x v="0"/>
    <m/>
  </r>
  <r>
    <s v="Factura electrónica"/>
    <s v="dfefb3f1fadaed415b5129d364564ff5d6cff56b173141e09c5c19b5769eefe6b4c87e55de6c198a0f7e1a07a57ef776"/>
    <x v="167"/>
    <n v="-1"/>
    <s v="FVE"/>
    <s v="02-02-2026"/>
    <s v="02-02-2026 15:51:04"/>
    <s v="900800595"/>
    <s v="Provexpress SAS"/>
    <s v="860009985"/>
    <x v="81"/>
    <n v="145573.25"/>
    <n v="0"/>
    <n v="0"/>
    <n v="911748.25"/>
    <s v="Aprobado con notificación"/>
    <s v="Emitido"/>
    <x v="0"/>
    <x v="0"/>
    <x v="1"/>
    <x v="0"/>
    <x v="1"/>
    <x v="0"/>
    <m/>
  </r>
  <r>
    <s v="Factura electrónica"/>
    <s v="6d910cc54b965a8477743a288ffcc90147f1f15648f23aa318776fa92d5558ddf6a0928f2a1ecafa84e56e9799f0d6fe"/>
    <x v="168"/>
    <n v="-1"/>
    <s v="FVE"/>
    <s v="02-02-2026"/>
    <s v="02-02-2026 15:51:09"/>
    <s v="900800595"/>
    <s v="Provexpress SAS"/>
    <s v="860009985"/>
    <x v="81"/>
    <n v="1079146.04"/>
    <n v="0"/>
    <n v="0"/>
    <n v="6877862.04"/>
    <s v="Aprobado con notificación"/>
    <s v="Emitido"/>
    <x v="0"/>
    <x v="0"/>
    <x v="1"/>
    <x v="0"/>
    <x v="1"/>
    <x v="0"/>
    <m/>
  </r>
  <r>
    <s v="Factura electrónica"/>
    <s v="680a26bf77f003041f53de5064904a6a1700da4dc857304d2cd4f2d10a550450130709d1d9fdf6692887164f43e52b5c"/>
    <x v="169"/>
    <n v="-1"/>
    <s v="FVE"/>
    <s v="02-02-2026"/>
    <s v="02-02-2026 15:51:13"/>
    <s v="900800595"/>
    <s v="Provexpress SAS"/>
    <s v="901057541"/>
    <x v="80"/>
    <n v="1117580"/>
    <n v="0"/>
    <n v="0"/>
    <n v="6999580"/>
    <s v="Aprobado con notificación"/>
    <s v="Emitido"/>
    <x v="0"/>
    <x v="0"/>
    <x v="1"/>
    <x v="0"/>
    <x v="1"/>
    <x v="0"/>
    <m/>
  </r>
  <r>
    <s v="Factura electrónica"/>
    <s v="f85f152e373f432d15ed4af9d9997b5d7330891890c643798b3166dec7ff0189d5aef20ac4eef5368e3447df9bc3cc47"/>
    <x v="170"/>
    <n v="-1"/>
    <s v="FVE"/>
    <s v="02-02-2026"/>
    <s v="02-02-2026 15:51:18"/>
    <s v="900800595"/>
    <s v="Provexpress SAS"/>
    <s v="830032436"/>
    <x v="82"/>
    <n v="10100"/>
    <n v="0"/>
    <n v="0"/>
    <n v="212100"/>
    <s v="Aprobado con notificación"/>
    <s v="Emitido"/>
    <x v="0"/>
    <x v="0"/>
    <x v="1"/>
    <x v="0"/>
    <x v="1"/>
    <x v="0"/>
    <m/>
  </r>
  <r>
    <s v="Factura electrónica"/>
    <s v="b2ef4a6d2289d46ff132c7991dcdc77c89c4b1dac185df4aa91aa5d6c945d34ddac7807393105349374ce08ad54e6cb7"/>
    <x v="171"/>
    <n v="-1"/>
    <s v="FVE"/>
    <s v="02-02-2026"/>
    <s v="02-02-2026 15:51:23"/>
    <s v="900800595"/>
    <s v="Provexpress SAS"/>
    <s v="900923636"/>
    <x v="83"/>
    <n v="636500"/>
    <n v="0"/>
    <n v="0"/>
    <n v="3986500"/>
    <s v="Aprobado con notificación"/>
    <s v="Emitido"/>
    <x v="0"/>
    <x v="0"/>
    <x v="0"/>
    <x v="0"/>
    <x v="0"/>
    <x v="0"/>
    <m/>
  </r>
  <r>
    <s v="Factura electrónica"/>
    <s v="da1743c23a0664507d0500a28ac5eac4913bb34840969c62720b9d2fa7ef58ffbfa88246650803f1afa3fdbdddb844ad"/>
    <x v="172"/>
    <n v="-1"/>
    <s v="FVE"/>
    <s v="02-02-2026"/>
    <s v="02-02-2026 15:51:28"/>
    <s v="900800595"/>
    <s v="Provexpress SAS"/>
    <s v="800149384"/>
    <x v="12"/>
    <n v="138553.70000000001"/>
    <n v="0"/>
    <n v="0"/>
    <n v="867783.7"/>
    <s v="Aprobado con notificación"/>
    <s v="Emitido"/>
    <x v="0"/>
    <x v="0"/>
    <x v="0"/>
    <x v="0"/>
    <x v="0"/>
    <x v="0"/>
    <m/>
  </r>
  <r>
    <s v="Factura electrónica"/>
    <s v="05dc7d2be90db9587806b9c9521c40ffd27570a045885b465e9d12e6d262e6d0b0229ccd2096ed1680fad5a0d9e23cd6"/>
    <x v="173"/>
    <n v="-1"/>
    <s v="FVE"/>
    <s v="02-02-2026"/>
    <s v="02-02-2026 15:51:33"/>
    <s v="900800595"/>
    <s v="Provexpress SAS"/>
    <s v="800149384"/>
    <x v="12"/>
    <n v="122580.59"/>
    <n v="0"/>
    <n v="0"/>
    <n v="767741.59"/>
    <s v="Aprobado con notificación"/>
    <s v="Emitido"/>
    <x v="0"/>
    <x v="0"/>
    <x v="0"/>
    <x v="0"/>
    <x v="0"/>
    <x v="0"/>
    <m/>
  </r>
  <r>
    <s v="Factura electrónica"/>
    <s v="7206c416e2ba11e403e2bd5f6b30e7efbed849885168498093c88346d56a3f812ec67c7a5536293e3de2f526bab1782d"/>
    <x v="174"/>
    <n v="-1"/>
    <s v="FVE"/>
    <s v="02-02-2026"/>
    <s v="02-02-2026 15:51:36"/>
    <s v="900800595"/>
    <s v="Provexpress SAS"/>
    <s v="800149384"/>
    <x v="12"/>
    <n v="2324156.7599999998"/>
    <n v="0"/>
    <n v="0"/>
    <n v="14556560.76"/>
    <s v="Aprobado con notificación"/>
    <s v="Emitido"/>
    <x v="0"/>
    <x v="0"/>
    <x v="0"/>
    <x v="0"/>
    <x v="0"/>
    <x v="0"/>
    <m/>
  </r>
  <r>
    <s v="Factura electrónica"/>
    <s v="908ecf01aa22a61b5fd8bebdaa081e91c09d93da036bba48c9f58e1533a9498ba6f03f9419d90b8073d9aca73d14499e"/>
    <x v="175"/>
    <n v="-1"/>
    <s v="FVE"/>
    <s v="02-02-2026"/>
    <s v="02-02-2026 16:06:48"/>
    <s v="900800595"/>
    <s v="Provexpress SAS"/>
    <s v="830013819"/>
    <x v="84"/>
    <n v="80693"/>
    <n v="0"/>
    <n v="0"/>
    <n v="505393"/>
    <s v="Aprobado con notificación"/>
    <s v="Emitido"/>
    <x v="1"/>
    <x v="0"/>
    <x v="1"/>
    <x v="0"/>
    <x v="0"/>
    <x v="0"/>
    <m/>
  </r>
  <r>
    <s v="Factura electrónica"/>
    <s v="c9cae84a2e926e420dd1da53114aaf64fca8b2efdfa155e7b55ef7b9f692f1ae954333e1fe9e8ca9c1d891b78a23770b"/>
    <x v="176"/>
    <n v="-1"/>
    <s v="FVE"/>
    <s v="02-02-2026"/>
    <s v="02-02-2026 16:06:52"/>
    <s v="900800595"/>
    <s v="Provexpress SAS"/>
    <s v="860522056"/>
    <x v="85"/>
    <n v="28082"/>
    <n v="0"/>
    <n v="0"/>
    <n v="175882"/>
    <s v="Aprobado con notificación"/>
    <s v="Emitido"/>
    <x v="0"/>
    <x v="0"/>
    <x v="0"/>
    <x v="0"/>
    <x v="0"/>
    <x v="0"/>
    <m/>
  </r>
  <r>
    <s v="Factura electrónica"/>
    <s v="f40638bdfb961e8daf44142b93263270e55095b25f0d81a5de5c5a66d49364fe57338de7f59b0117bb764b270dc572dd"/>
    <x v="177"/>
    <n v="-1"/>
    <s v="FVE"/>
    <s v="02-02-2026"/>
    <s v="02-02-2026 16:06:56"/>
    <s v="900800595"/>
    <s v="Provexpress SAS"/>
    <s v="860072279"/>
    <x v="86"/>
    <n v="14373.5"/>
    <n v="0"/>
    <n v="0"/>
    <n v="90023.5"/>
    <s v="Aprobado con notificación"/>
    <s v="Emitido"/>
    <x v="0"/>
    <x v="0"/>
    <x v="1"/>
    <x v="0"/>
    <x v="1"/>
    <x v="0"/>
    <m/>
  </r>
  <r>
    <s v="Factura electrónica"/>
    <s v="0ba554c2c312e13e548b84b28e63b41bf716807dc87219fcf8cd9a1182cc0b02a9777cf4f42eec13a8c45fb0f409072b"/>
    <x v="178"/>
    <n v="-1"/>
    <s v="FVE"/>
    <s v="02-02-2026"/>
    <s v="02-02-2026 16:07:01"/>
    <s v="900800595"/>
    <s v="Provexpress SAS"/>
    <s v="860072279"/>
    <x v="86"/>
    <n v="13300"/>
    <n v="0"/>
    <n v="0"/>
    <n v="83300"/>
    <s v="Aprobado con notificación"/>
    <s v="Emitido"/>
    <x v="0"/>
    <x v="0"/>
    <x v="1"/>
    <x v="0"/>
    <x v="1"/>
    <x v="0"/>
    <m/>
  </r>
  <r>
    <s v="Factura electrónica"/>
    <s v="fa4bffeb5b2ace4a5e251384eff7b8692f695f3a3cbaba42c93b3fa4d05f18d09e1ff11d31fdc8f466fc82a55c1e038f"/>
    <x v="179"/>
    <n v="-1"/>
    <s v="FVE"/>
    <s v="02-02-2026"/>
    <s v="02-02-2026 16:07:05"/>
    <s v="900800595"/>
    <s v="Provexpress SAS"/>
    <s v="860072279"/>
    <x v="86"/>
    <n v="39900"/>
    <n v="0"/>
    <n v="0"/>
    <n v="249900"/>
    <s v="Aprobado con notificación"/>
    <s v="Emitido"/>
    <x v="0"/>
    <x v="0"/>
    <x v="1"/>
    <x v="0"/>
    <x v="1"/>
    <x v="0"/>
    <m/>
  </r>
  <r>
    <s v="Factura electrónica"/>
    <s v="05e0fb68f7a11c6f380a2bee65c0e5ca0e4b2150d68db80e0879b5230356e9e735c03117a4fe6cb0d19700a795cb7c7c"/>
    <x v="180"/>
    <n v="-1"/>
    <s v="FVE"/>
    <s v="02-02-2026"/>
    <s v="02-02-2026 16:07:10"/>
    <s v="900800595"/>
    <s v="Provexpress SAS"/>
    <s v="860072279"/>
    <x v="86"/>
    <n v="346873.62"/>
    <n v="0"/>
    <n v="0"/>
    <n v="2998041.62"/>
    <s v="Aprobado con notificación"/>
    <s v="Emitido"/>
    <x v="0"/>
    <x v="0"/>
    <x v="1"/>
    <x v="0"/>
    <x v="1"/>
    <x v="0"/>
    <m/>
  </r>
  <r>
    <s v="Factura electrónica"/>
    <s v="635cb8b34a849a9d89719e4aafa2366fe2721fec77a1ccb976e7916248ae062870599bc6da857ec92e96b11bdbb9a24e"/>
    <x v="181"/>
    <n v="-1"/>
    <s v="FVE"/>
    <s v="02-02-2026"/>
    <s v="02-02-2026 16:07:16"/>
    <s v="900800595"/>
    <s v="Provexpress SAS"/>
    <s v="900115560"/>
    <x v="87"/>
    <n v="39900"/>
    <n v="0"/>
    <n v="0"/>
    <n v="249900"/>
    <s v="Aprobado con notificación"/>
    <s v="Emitido"/>
    <x v="0"/>
    <x v="0"/>
    <x v="0"/>
    <x v="0"/>
    <x v="0"/>
    <x v="0"/>
    <m/>
  </r>
  <r>
    <s v="Factura electrónica"/>
    <s v="10e896d9b9c973c9b55315f2d04a4df9d5d23255c7638f0d72f7700cc7a19dbb484a13d5dfddccbfc67be99f4ff2d434"/>
    <x v="182"/>
    <n v="-1"/>
    <s v="FVE"/>
    <s v="02-02-2026"/>
    <s v="02-02-2026 16:07:21"/>
    <s v="900800595"/>
    <s v="Provexpress SAS"/>
    <s v="830051573"/>
    <x v="88"/>
    <n v="64619"/>
    <n v="0"/>
    <n v="0"/>
    <n v="404719"/>
    <s v="Aprobado con notificación"/>
    <s v="Emitido"/>
    <x v="0"/>
    <x v="0"/>
    <x v="0"/>
    <x v="0"/>
    <x v="0"/>
    <x v="0"/>
    <m/>
  </r>
  <r>
    <s v="Factura electrónica"/>
    <s v="9c449f42eb1611485f574cb0bd779ba992fe1a70f7d83b3a13833a69437a4050097066e4775110f3caf0b0503d3cba0e"/>
    <x v="183"/>
    <n v="-1"/>
    <s v="FVE"/>
    <s v="02-02-2026"/>
    <s v="02-02-2026 16:07:25"/>
    <s v="900800595"/>
    <s v="Provexpress SAS"/>
    <s v="830035263"/>
    <x v="89"/>
    <n v="73150"/>
    <n v="0"/>
    <n v="0"/>
    <n v="458150"/>
    <s v="Aprobado con notificación"/>
    <s v="Emitido"/>
    <x v="0"/>
    <x v="0"/>
    <x v="1"/>
    <x v="0"/>
    <x v="1"/>
    <x v="0"/>
    <m/>
  </r>
  <r>
    <s v="Factura electrónica"/>
    <s v="28d9953a33b51f030f545c6cddee129985b3f375a9cd96a9fd8da7a6f7f3c332217a38fc3f8559022ee1689ebbe24d1e"/>
    <x v="184"/>
    <n v="-1"/>
    <s v="FVE"/>
    <s v="02-02-2026"/>
    <s v="02-02-2026 16:07:29"/>
    <s v="900800595"/>
    <s v="Provexpress SAS"/>
    <s v="900993690"/>
    <x v="90"/>
    <n v="122550"/>
    <n v="0"/>
    <n v="0"/>
    <n v="767550"/>
    <s v="Aprobado con notificación"/>
    <s v="Emitido"/>
    <x v="0"/>
    <x v="0"/>
    <x v="1"/>
    <x v="0"/>
    <x v="1"/>
    <x v="0"/>
    <m/>
  </r>
  <r>
    <s v="Factura electrónica"/>
    <s v="c888958d074f6572a752b8e698e93d52b2ba7543b7767df986db60f9d91f0baabb20d69914c772b11f6d0a4f3cb529cd"/>
    <x v="185"/>
    <n v="-1"/>
    <s v="FVE"/>
    <s v="02-02-2026"/>
    <s v="02-02-2026 16:07:34"/>
    <s v="900800595"/>
    <s v="Provexpress SAS"/>
    <s v="800118776"/>
    <x v="13"/>
    <n v="14562.55"/>
    <n v="0"/>
    <n v="0"/>
    <n v="91207.55"/>
    <s v="Aprobado con notificación"/>
    <s v="Emitido"/>
    <x v="0"/>
    <x v="0"/>
    <x v="1"/>
    <x v="0"/>
    <x v="1"/>
    <x v="0"/>
    <m/>
  </r>
  <r>
    <s v="Factura electrónica"/>
    <s v="04d7a4fcdb8466702cd6b056507dcbed5598d18f9cba3f8edbf0e95096e38b71efc999bbe7562726f2298f179a466d89"/>
    <x v="186"/>
    <n v="-1"/>
    <s v="FVE"/>
    <s v="02-02-2026"/>
    <s v="02-02-2026 16:07:39"/>
    <s v="900800595"/>
    <s v="Provexpress SAS"/>
    <s v="830020274"/>
    <x v="91"/>
    <n v="386270"/>
    <n v="0"/>
    <n v="0"/>
    <n v="2419270"/>
    <s v="Aprobado con notificación"/>
    <s v="Emitido"/>
    <x v="0"/>
    <x v="0"/>
    <x v="0"/>
    <x v="0"/>
    <x v="0"/>
    <x v="0"/>
    <m/>
  </r>
  <r>
    <s v="Factura electrónica"/>
    <s v="88d6247c820f7af197b286a70fd3da0ac7a2e4bbbc3d7b33dd6fd96f3de41d683996b07947583a2b4ab1202fdb036561"/>
    <x v="187"/>
    <n v="-1"/>
    <s v="FVE"/>
    <s v="02-02-2026"/>
    <s v="02-02-2026 16:22:49"/>
    <s v="900800595"/>
    <s v="Provexpress SAS"/>
    <s v="830020274"/>
    <x v="91"/>
    <n v="33250"/>
    <n v="0"/>
    <n v="0"/>
    <n v="208250"/>
    <s v="Aprobado con notificación"/>
    <s v="Emitido"/>
    <x v="0"/>
    <x v="0"/>
    <x v="0"/>
    <x v="0"/>
    <x v="0"/>
    <x v="0"/>
    <m/>
  </r>
  <r>
    <s v="Factura electrónica"/>
    <s v="77904443e880c34b54de73de09d72e667b8e11cf8b0e71182b112a4443a7b78dda4a408a38f88a621313072cf347fa55"/>
    <x v="188"/>
    <n v="-1"/>
    <s v="FVE"/>
    <s v="02-02-2026"/>
    <s v="02-02-2026 16:22:55"/>
    <s v="900800595"/>
    <s v="Provexpress SAS"/>
    <s v="800250382"/>
    <x v="92"/>
    <n v="919600"/>
    <n v="0"/>
    <n v="0"/>
    <n v="5759600"/>
    <s v="Aprobado con notificación"/>
    <s v="Emitido"/>
    <x v="0"/>
    <x v="1"/>
    <x v="1"/>
    <x v="0"/>
    <x v="0"/>
    <x v="0"/>
    <m/>
  </r>
  <r>
    <s v="Factura electrónica"/>
    <s v="68176f58f71bfdced8ba3615a1eb850ddcd8c527b781d631519fe6de0c58d2f2ecd956e0073f146120d995b336ac7f7c"/>
    <x v="189"/>
    <n v="-1"/>
    <s v="FVE"/>
    <s v="02-02-2026"/>
    <s v="02-02-2026 16:22:59"/>
    <s v="900800595"/>
    <s v="Provexpress SAS"/>
    <s v="860509527"/>
    <x v="93"/>
    <n v="68360.100000000006"/>
    <n v="0"/>
    <n v="0"/>
    <n v="428150.1"/>
    <s v="Aprobado con notificación"/>
    <s v="Emitido"/>
    <x v="0"/>
    <x v="0"/>
    <x v="0"/>
    <x v="0"/>
    <x v="0"/>
    <x v="0"/>
    <m/>
  </r>
  <r>
    <s v="Factura electrónica"/>
    <s v="b1260754e91550a082422b241c539bdcf56045cdf02f5ea90f524e2fc76eb4be09ae40f07fd208a64a9cef8f657926c4"/>
    <x v="190"/>
    <n v="-1"/>
    <s v="FVE"/>
    <s v="02-02-2026"/>
    <s v="02-02-2026 16:23:04"/>
    <s v="900800595"/>
    <s v="Provexpress SAS"/>
    <s v="811022981"/>
    <x v="94"/>
    <n v="57247.57"/>
    <n v="0"/>
    <n v="0"/>
    <n v="358550.57"/>
    <s v="Aprobado con notificación"/>
    <s v="Emitido"/>
    <x v="1"/>
    <x v="0"/>
    <x v="1"/>
    <x v="0"/>
    <x v="0"/>
    <x v="0"/>
    <m/>
  </r>
  <r>
    <s v="Factura electrónica"/>
    <s v="fc971bd745d5ff2567f673c744ebc8b8c76ba8fd5cd2abfaa3daa6aea47ff364bed4c9f3438641d38b4ddf071442e754"/>
    <x v="191"/>
    <n v="-1"/>
    <s v="FVE"/>
    <s v="03-02-2026"/>
    <s v="03-02-2026 07:09:26"/>
    <s v="900800595"/>
    <s v="Provexpress SAS"/>
    <s v="830088759"/>
    <x v="95"/>
    <n v="70680"/>
    <n v="0"/>
    <n v="0"/>
    <n v="442680"/>
    <s v="Aprobado con notificación"/>
    <s v="Emitido"/>
    <x v="0"/>
    <x v="0"/>
    <x v="1"/>
    <x v="0"/>
    <x v="1"/>
    <x v="0"/>
    <m/>
  </r>
  <r>
    <s v="Factura electrónica"/>
    <s v="9496e3d9cc788e90691b4f05fd424e442b6ec8090f27872bffc9f762ae36d5dc11ff4079677c796ae8ff3be70c834938"/>
    <x v="192"/>
    <n v="-1"/>
    <s v="FVE"/>
    <s v="03-02-2026"/>
    <s v="03-02-2026 07:09:33"/>
    <s v="900800595"/>
    <s v="Provexpress SAS"/>
    <s v="900255472"/>
    <x v="96"/>
    <n v="383040"/>
    <n v="0"/>
    <n v="0"/>
    <n v="2399040"/>
    <s v="Aprobado con notificación"/>
    <s v="Emitido"/>
    <x v="0"/>
    <x v="0"/>
    <x v="1"/>
    <x v="0"/>
    <x v="1"/>
    <x v="0"/>
    <m/>
  </r>
  <r>
    <s v="Factura electrónica"/>
    <s v="5577d8e36306feee49ba7495684e7d23ba0ecc5f6217a3aac0d88ee4435d12f4a1c8da3f0474526eb6f93c7d4144cec8"/>
    <x v="193"/>
    <n v="-1"/>
    <s v="FVE"/>
    <s v="03-02-2026"/>
    <s v="03-02-2026 07:09:35"/>
    <s v="900800595"/>
    <s v="Provexpress SAS"/>
    <s v="830120215"/>
    <x v="97"/>
    <n v="1178112.1000000001"/>
    <n v="0"/>
    <n v="0"/>
    <n v="7378702.0999999996"/>
    <s v="Aprobado con notificación"/>
    <s v="Emitido"/>
    <x v="0"/>
    <x v="1"/>
    <x v="1"/>
    <x v="0"/>
    <x v="0"/>
    <x v="0"/>
    <m/>
  </r>
  <r>
    <s v="Factura electrónica"/>
    <s v="0cd35eb6d21f250904d0ae8af714bcf45e4a4c5953ad4251a02cb4d4913cadef34d0d218966ff6679e280a79a5832bc8"/>
    <x v="194"/>
    <n v="-1"/>
    <s v="FVE"/>
    <s v="03-02-2026"/>
    <s v="03-02-2026 07:09:40"/>
    <s v="900800595"/>
    <s v="Provexpress SAS"/>
    <s v="900439672"/>
    <x v="98"/>
    <n v="27550"/>
    <n v="0"/>
    <n v="0"/>
    <n v="172550"/>
    <s v="Aprobado con notificación"/>
    <s v="Emitido"/>
    <x v="0"/>
    <x v="0"/>
    <x v="1"/>
    <x v="1"/>
    <x v="0"/>
    <x v="0"/>
    <m/>
  </r>
  <r>
    <s v="Factura electrónica"/>
    <s v="f9016377e650ae0dbb4388f8ba3df43388cac96c88de3674b7bfadfc89d0df7b89718b537a6c0b3542d7f64cff88ea12"/>
    <x v="195"/>
    <n v="-1"/>
    <s v="FVE"/>
    <s v="03-02-2026"/>
    <s v="03-02-2026 07:24:46"/>
    <s v="900800595"/>
    <s v="Provexpress SAS"/>
    <s v="800028326"/>
    <x v="79"/>
    <n v="92720"/>
    <n v="0"/>
    <n v="0"/>
    <n v="580720"/>
    <s v="Aprobado con notificación"/>
    <s v="Emitido"/>
    <x v="0"/>
    <x v="0"/>
    <x v="0"/>
    <x v="0"/>
    <x v="0"/>
    <x v="0"/>
    <m/>
  </r>
  <r>
    <s v="Factura electrónica"/>
    <s v="ea5b961268e775de204e5e4c0ea475ca2dadedb478fcab1692742afa5e9a0117026414e4869a19048b56a98ba342310d"/>
    <x v="196"/>
    <n v="-1"/>
    <s v="FVE"/>
    <s v="03-02-2026"/>
    <s v="03-02-2026 07:24:50"/>
    <s v="900800595"/>
    <s v="Provexpress SAS"/>
    <s v="800028326"/>
    <x v="79"/>
    <n v="370880"/>
    <n v="0"/>
    <n v="0"/>
    <n v="2322880"/>
    <s v="Aprobado con notificación"/>
    <s v="Emitido"/>
    <x v="0"/>
    <x v="0"/>
    <x v="1"/>
    <x v="0"/>
    <x v="0"/>
    <x v="1"/>
    <d v="2026-02-27T00:00:00"/>
  </r>
  <r>
    <s v="Factura electrónica"/>
    <s v="a0c7a5e8dd61f640bb95d7a9c4be687ab1439051ea4712de5a85d9e60678f13039f59bedfd14f72b5c08c8e5b1e501f4"/>
    <x v="197"/>
    <n v="-1"/>
    <s v="FVE"/>
    <s v="03-02-2026"/>
    <s v="03-02-2026 07:24:55"/>
    <s v="900800595"/>
    <s v="Provexpress SAS"/>
    <s v="800028326"/>
    <x v="79"/>
    <n v="33060"/>
    <n v="0"/>
    <n v="0"/>
    <n v="207060"/>
    <s v="Aprobado con notificación"/>
    <s v="Emitido"/>
    <x v="0"/>
    <x v="0"/>
    <x v="0"/>
    <x v="0"/>
    <x v="0"/>
    <x v="0"/>
    <m/>
  </r>
  <r>
    <s v="Factura electrónica"/>
    <s v="4c481a66be93ef80c2600d7b470d44b8ace53b38a5ba6c278870082e11c1d782b7a356b9f7fb04a476b696e4162d193d"/>
    <x v="198"/>
    <n v="-1"/>
    <s v="FVE"/>
    <s v="03-02-2026"/>
    <s v="03-02-2026 07:25:00"/>
    <s v="900800595"/>
    <s v="Provexpress SAS"/>
    <s v="800028326"/>
    <x v="79"/>
    <n v="279699"/>
    <n v="0"/>
    <n v="0"/>
    <n v="1751799"/>
    <s v="Aprobado con notificación"/>
    <s v="Emitido"/>
    <x v="0"/>
    <x v="0"/>
    <x v="0"/>
    <x v="0"/>
    <x v="0"/>
    <x v="0"/>
    <m/>
  </r>
  <r>
    <s v="Factura electrónica"/>
    <s v="4ca70fc6346775c1f8722033c68d5ffa5ecb97b79192b6fa84b319fc0f2274f3ff44f90e6179319eb8112622abd23e97"/>
    <x v="199"/>
    <n v="-1"/>
    <s v="FVE"/>
    <s v="03-02-2026"/>
    <s v="03-02-2026 07:25:05"/>
    <s v="900800595"/>
    <s v="Provexpress SAS"/>
    <s v="800028326"/>
    <x v="79"/>
    <n v="122436"/>
    <n v="0"/>
    <n v="0"/>
    <n v="766836"/>
    <s v="Aprobado con notificación"/>
    <s v="Emitido"/>
    <x v="0"/>
    <x v="0"/>
    <x v="0"/>
    <x v="0"/>
    <x v="0"/>
    <x v="0"/>
    <m/>
  </r>
  <r>
    <s v="Factura electrónica"/>
    <s v="bb23a7f4d2c6d07eacaf4f36baced885f33abe8308142dcbd0f09fdfaaf2f89d46b4a46beca396abae7e969cac28094e"/>
    <x v="200"/>
    <n v="-1"/>
    <s v="FVE"/>
    <s v="03-02-2026"/>
    <s v="03-02-2026 07:25:10"/>
    <s v="900800595"/>
    <s v="Provexpress SAS"/>
    <s v="830058677"/>
    <x v="99"/>
    <n v="1071980"/>
    <n v="0"/>
    <n v="0"/>
    <n v="6713980"/>
    <s v="Aprobado con notificación"/>
    <s v="Emitido"/>
    <x v="1"/>
    <x v="0"/>
    <x v="1"/>
    <x v="0"/>
    <x v="0"/>
    <x v="0"/>
    <m/>
  </r>
  <r>
    <s v="Factura electrónica"/>
    <s v="3bd6b6a76e58cd3ce8ccf7713c71069f22cd7ea566a84b4cb2f5e9a8d8bd33d55504879f5377d2766251725509a995dc"/>
    <x v="201"/>
    <n v="-1"/>
    <s v="FVE"/>
    <s v="03-02-2026"/>
    <s v="03-02-2026 07:25:14"/>
    <s v="900800595"/>
    <s v="Provexpress SAS"/>
    <s v="900179369"/>
    <x v="100"/>
    <n v="127376"/>
    <n v="0"/>
    <n v="0"/>
    <n v="797776"/>
    <s v="Aprobado con notificación"/>
    <s v="Emitido"/>
    <x v="0"/>
    <x v="0"/>
    <x v="0"/>
    <x v="0"/>
    <x v="0"/>
    <x v="0"/>
    <m/>
  </r>
  <r>
    <s v="Factura electrónica"/>
    <s v="99614f954901d20ecf365b9040640c1a5225a825e26700b92b569b74870d1ae2aed3e3b2fa182b36857413ce3f0a7417"/>
    <x v="202"/>
    <n v="-1"/>
    <s v="FVE"/>
    <s v="03-02-2026"/>
    <s v="03-02-2026 07:25:18"/>
    <s v="900800595"/>
    <s v="Provexpress SAS"/>
    <s v="830122431"/>
    <x v="101"/>
    <n v="16689600"/>
    <n v="0"/>
    <n v="0"/>
    <n v="104529600"/>
    <s v="Aprobado con notificación"/>
    <s v="Emitido"/>
    <x v="0"/>
    <x v="0"/>
    <x v="0"/>
    <x v="0"/>
    <x v="0"/>
    <x v="0"/>
    <m/>
  </r>
  <r>
    <s v="Factura electrónica"/>
    <s v="e9b7125e007d404165c8092f568344dcb9e8c853545c3226935b876148df0b238a3d5057d29dca1ec9a4600d5c0f820b"/>
    <x v="203"/>
    <n v="-1"/>
    <s v="FVE"/>
    <s v="03-02-2026"/>
    <s v="03-02-2026 07:25:23"/>
    <s v="900800595"/>
    <s v="Provexpress SAS"/>
    <s v="830106265"/>
    <x v="102"/>
    <n v="106427.55"/>
    <n v="0"/>
    <n v="0"/>
    <n v="666572.55000000005"/>
    <s v="Aprobado con notificación"/>
    <s v="Emitido"/>
    <x v="1"/>
    <x v="0"/>
    <x v="1"/>
    <x v="0"/>
    <x v="0"/>
    <x v="0"/>
    <m/>
  </r>
  <r>
    <s v="Factura electrónica"/>
    <s v="b40b73295553d253c94da99127cd0d80d470982eb56620f95a4e53c93cb4711288c12db40a283cedcbb39ea334cd97f1"/>
    <x v="204"/>
    <n v="-1"/>
    <s v="FVE"/>
    <s v="03-02-2026"/>
    <s v="03-02-2026 07:25:27"/>
    <s v="900800595"/>
    <s v="Provexpress SAS"/>
    <s v="830092092"/>
    <x v="103"/>
    <n v="91651.25"/>
    <n v="0"/>
    <n v="0"/>
    <n v="840586.25"/>
    <s v="Aprobado con notificación"/>
    <s v="Emitido"/>
    <x v="0"/>
    <x v="0"/>
    <x v="1"/>
    <x v="0"/>
    <x v="1"/>
    <x v="0"/>
    <m/>
  </r>
  <r>
    <s v="Factura electrónica"/>
    <s v="a4826439bc25918663c1896a869e9ea35dd7a509fdcb7a62e0bf876826d75dacf2cc4e3c80c2eaf28014c7f986d0d177"/>
    <x v="205"/>
    <n v="-1"/>
    <s v="FVE"/>
    <s v="03-02-2026"/>
    <s v="03-02-2026 07:25:32"/>
    <s v="900800595"/>
    <s v="Provexpress SAS"/>
    <s v="900114346"/>
    <x v="104"/>
    <n v="137151.5"/>
    <n v="0"/>
    <n v="0"/>
    <n v="859001.5"/>
    <s v="Aprobado con notificación"/>
    <s v="Emitido"/>
    <x v="0"/>
    <x v="0"/>
    <x v="1"/>
    <x v="0"/>
    <x v="0"/>
    <x v="1"/>
    <s v="PAGA EL 16/02/2026"/>
  </r>
  <r>
    <s v="Factura electrónica"/>
    <s v="ea4a374d7bafe62cfd68d0bcc9c77bb10976f05b279b78c3f47b8ecc4596e7ebf9de5fe9773acb54293e1680096c9ae1"/>
    <x v="206"/>
    <n v="-1"/>
    <s v="FVE"/>
    <s v="03-02-2026"/>
    <s v="03-02-2026 07:25:37"/>
    <s v="900800595"/>
    <s v="Provexpress SAS"/>
    <s v="900391130"/>
    <x v="105"/>
    <n v="205678.75"/>
    <n v="0"/>
    <n v="0"/>
    <n v="1671228.75"/>
    <s v="Aprobado con notificación"/>
    <s v="Emitido"/>
    <x v="0"/>
    <x v="0"/>
    <x v="1"/>
    <x v="0"/>
    <x v="0"/>
    <x v="1"/>
    <s v="PAGA 11/02/2026"/>
  </r>
  <r>
    <s v="Factura electrónica"/>
    <s v="21cafff2398be201b604f3bc766bb6c767242fa38fd5fdf49aca3b337531aa19bfa4db0c215d74df2c3fa841e8bd009c"/>
    <x v="207"/>
    <n v="-1"/>
    <s v="FVE"/>
    <s v="03-02-2026"/>
    <s v="03-02-2026 07:25:41"/>
    <s v="900800595"/>
    <s v="Provexpress SAS"/>
    <s v="900356846"/>
    <x v="106"/>
    <n v="135608"/>
    <n v="0"/>
    <n v="0"/>
    <n v="2726808"/>
    <s v="Aprobado con notificación"/>
    <s v="Emitido"/>
    <x v="0"/>
    <x v="0"/>
    <x v="0"/>
    <x v="0"/>
    <x v="0"/>
    <x v="0"/>
    <m/>
  </r>
  <r>
    <s v="Factura electrónica"/>
    <s v="75b9c9a4ff870b255c13e19abf5b7335b039d2ebffd242863ea913e9a59eca22517b70a9b12d6fb4acae98f7aaedf0e8"/>
    <x v="208"/>
    <n v="-1"/>
    <s v="FVE"/>
    <s v="03-02-2026"/>
    <s v="03-02-2026 07:40:48"/>
    <s v="900800595"/>
    <s v="Provexpress SAS"/>
    <s v="830109997"/>
    <x v="66"/>
    <n v="166716.04999999999"/>
    <n v="0"/>
    <n v="0"/>
    <n v="1445011.05"/>
    <s v="Aprobado con notificación"/>
    <s v="Emitido"/>
    <x v="0"/>
    <x v="0"/>
    <x v="1"/>
    <x v="0"/>
    <x v="1"/>
    <x v="0"/>
    <m/>
  </r>
  <r>
    <s v="Factura electrónica"/>
    <s v="b8a5b02b5cb24b7f28dcfb108bfefeb6e5e23d8f39462702012878cf2c28b03f9709eae5e50f8c786d0e39543d40f4da"/>
    <x v="209"/>
    <n v="-1"/>
    <s v="FVE"/>
    <s v="03-02-2026"/>
    <s v="03-02-2026 07:40:52"/>
    <s v="900800595"/>
    <s v="Provexpress SAS"/>
    <s v="900496641"/>
    <x v="107"/>
    <n v="69673"/>
    <n v="0"/>
    <n v="0"/>
    <n v="436373"/>
    <s v="Aprobado con notificación"/>
    <s v="Emitido"/>
    <x v="0"/>
    <x v="0"/>
    <x v="0"/>
    <x v="0"/>
    <x v="0"/>
    <x v="0"/>
    <m/>
  </r>
  <r>
    <s v="Factura electrónica"/>
    <s v="2547308dae57305080ebe8a677fa19957861aafd3bce3ece4f2492ee88063bfe7a3db2ae712d0ac45e28098a021de0d3"/>
    <x v="210"/>
    <n v="-1"/>
    <s v="FVE"/>
    <s v="03-02-2026"/>
    <s v="03-02-2026 07:41:00"/>
    <s v="900800595"/>
    <s v="Provexpress SAS"/>
    <s v="860503159"/>
    <x v="108"/>
    <n v="812620.5"/>
    <n v="0"/>
    <n v="0"/>
    <n v="5089570.5"/>
    <s v="Aprobado con notificación"/>
    <s v="Emitido"/>
    <x v="0"/>
    <x v="0"/>
    <x v="0"/>
    <x v="0"/>
    <x v="0"/>
    <x v="0"/>
    <m/>
  </r>
  <r>
    <s v="Factura electrónica"/>
    <s v="f41d2c528525f571d54bad3d666f2c50135520130f359f706680bcd854fc43b0e76b72d3bf8daf1b179aaa9422032bf1"/>
    <x v="211"/>
    <n v="-1"/>
    <s v="FVE"/>
    <s v="03-02-2026"/>
    <s v="03-02-2026 07:41:05"/>
    <s v="900800595"/>
    <s v="Provexpress SAS"/>
    <s v="860503159"/>
    <x v="108"/>
    <n v="1250375.75"/>
    <n v="0"/>
    <n v="0"/>
    <n v="7831300.75"/>
    <s v="Aprobado con notificación"/>
    <s v="Emitido"/>
    <x v="0"/>
    <x v="0"/>
    <x v="1"/>
    <x v="0"/>
    <x v="0"/>
    <x v="1"/>
    <s v="PAGA 18/02/2026"/>
  </r>
  <r>
    <s v="Factura electrónica"/>
    <s v="e69b4f9e8622da44fcccb33f4f9ae10a6f5b653a4c7545a2ef3b77fe15b7c1e64328180854955fdc076acb13bb359ee9"/>
    <x v="212"/>
    <n v="-1"/>
    <s v="FVE"/>
    <s v="03-02-2026"/>
    <s v="03-02-2026 07:41:10"/>
    <s v="900800595"/>
    <s v="Provexpress SAS"/>
    <s v="860503159"/>
    <x v="108"/>
    <n v="1963691.23"/>
    <n v="0"/>
    <n v="0"/>
    <n v="12298908.23"/>
    <s v="Aprobado con notificación"/>
    <s v="Emitido"/>
    <x v="0"/>
    <x v="0"/>
    <x v="1"/>
    <x v="0"/>
    <x v="0"/>
    <x v="1"/>
    <s v="PAGA 18/02/2026"/>
  </r>
  <r>
    <s v="Factura electrónica"/>
    <s v="635ded1563a8c5f5cdd3d6fcb0a9ab5ced40c6f04744d21abefe9b6809708bb5107aa8209cba0bdb22272b41effcc3dc"/>
    <x v="213"/>
    <n v="-1"/>
    <s v="FVE"/>
    <s v="03-02-2026"/>
    <s v="03-02-2026 07:41:15"/>
    <s v="900800595"/>
    <s v="Provexpress SAS"/>
    <s v="900496641"/>
    <x v="107"/>
    <n v="643178.5"/>
    <n v="0"/>
    <n v="0"/>
    <n v="4028328.5"/>
    <s v="Aprobado con notificación"/>
    <s v="Emitido"/>
    <x v="0"/>
    <x v="0"/>
    <x v="0"/>
    <x v="0"/>
    <x v="0"/>
    <x v="0"/>
    <m/>
  </r>
  <r>
    <s v="Factura electrónica"/>
    <s v="1989641d090a7453dc8066d5f425e41c9647f0df5b8434b4280d23e6f3d0211dfac0fd515228c8ff233390a6bd6e5afb"/>
    <x v="214"/>
    <n v="-1"/>
    <s v="FVE"/>
    <s v="03-02-2026"/>
    <s v="03-02-2026 07:41:21"/>
    <s v="900800595"/>
    <s v="Provexpress SAS"/>
    <s v="900430265"/>
    <x v="28"/>
    <n v="0"/>
    <n v="0"/>
    <n v="0"/>
    <n v="7450500"/>
    <s v="Aprobado con notificación"/>
    <s v="Emitido"/>
    <x v="0"/>
    <x v="0"/>
    <x v="1"/>
    <x v="0"/>
    <x v="0"/>
    <x v="1"/>
    <s v="PAGA 13/02/2026"/>
  </r>
  <r>
    <s v="Factura electrónica"/>
    <s v="a6d8fb74efb5a89d32ac86dcc8060f25981f3160c3095c3265b8659a042d602c4af7e2185162eb512c2f57d6d9563241"/>
    <x v="215"/>
    <n v="-1"/>
    <s v="FVE"/>
    <s v="03-02-2026"/>
    <s v="03-02-2026 07:41:25"/>
    <s v="900800595"/>
    <s v="Provexpress SAS"/>
    <s v="800207192"/>
    <x v="109"/>
    <n v="115900"/>
    <n v="0"/>
    <n v="0"/>
    <n v="725900"/>
    <s v="Aprobado con notificación"/>
    <s v="Emitido"/>
    <x v="0"/>
    <x v="0"/>
    <x v="0"/>
    <x v="0"/>
    <x v="0"/>
    <x v="0"/>
    <m/>
  </r>
  <r>
    <s v="Factura electrónica"/>
    <s v="3f684f14af5e5adda05cdc89d75a551f8f435ff90bb8bec7a4e3f00b03bbfe8a775eb9ccb721b1edc1c9639075345ed1"/>
    <x v="216"/>
    <n v="-1"/>
    <s v="FVE"/>
    <s v="03-02-2026"/>
    <s v="03-02-2026 07:41:29"/>
    <s v="900800595"/>
    <s v="Provexpress SAS"/>
    <s v="830080641"/>
    <x v="110"/>
    <n v="71820"/>
    <n v="0"/>
    <n v="0"/>
    <n v="449820"/>
    <s v="Aprobado con notificación"/>
    <s v="Emitido"/>
    <x v="0"/>
    <x v="0"/>
    <x v="0"/>
    <x v="0"/>
    <x v="0"/>
    <x v="0"/>
    <m/>
  </r>
  <r>
    <s v="Factura electrónica"/>
    <s v="860dafaf658c331aeb52cf6c15201b5220e722ab02fcd3f359090194f67fd53fffa64364cd43351e968ece5558688d97"/>
    <x v="217"/>
    <n v="-1"/>
    <s v="FVE"/>
    <s v="03-02-2026"/>
    <s v="03-02-2026 07:41:34"/>
    <s v="900800595"/>
    <s v="Provexpress SAS"/>
    <s v="891903392"/>
    <x v="111"/>
    <n v="79572"/>
    <n v="0"/>
    <n v="0"/>
    <n v="498372"/>
    <s v="Aprobado con notificación"/>
    <s v="Emitido"/>
    <x v="0"/>
    <x v="0"/>
    <x v="0"/>
    <x v="0"/>
    <x v="0"/>
    <x v="0"/>
    <m/>
  </r>
  <r>
    <s v="Factura electrónica"/>
    <s v="8c071ebfef354e39edd9c5d9f14f933ca9887a24502c01323cb9b33af49cd54333f51f90c5bb03c9dbccb1a8758a0a9a"/>
    <x v="218"/>
    <n v="-1"/>
    <s v="FVE"/>
    <s v="03-02-2026"/>
    <s v="03-02-2026 07:56:41"/>
    <s v="900800595"/>
    <s v="Provexpress SAS"/>
    <s v="900348830"/>
    <x v="112"/>
    <n v="929100"/>
    <n v="0"/>
    <n v="0"/>
    <n v="5819100"/>
    <s v="Aprobado con notificación"/>
    <s v="Emitido"/>
    <x v="0"/>
    <x v="0"/>
    <x v="1"/>
    <x v="0"/>
    <x v="1"/>
    <x v="0"/>
    <m/>
  </r>
  <r>
    <s v="Factura electrónica"/>
    <s v="81c2709273e3c613038a8c85d40936f588afc677f4394f9d2f8887f7c585b2573bd7763467c44a4c7bcfbdd02d1a1b6a"/>
    <x v="219"/>
    <n v="-1"/>
    <s v="FVE"/>
    <s v="03-02-2026"/>
    <s v="03-02-2026 07:56:46"/>
    <s v="900800595"/>
    <s v="Provexpress SAS"/>
    <s v="901541749"/>
    <x v="113"/>
    <n v="469300"/>
    <n v="0"/>
    <n v="0"/>
    <n v="2939300"/>
    <s v="Aprobado con notificación"/>
    <s v="Emitido"/>
    <x v="0"/>
    <x v="0"/>
    <x v="1"/>
    <x v="0"/>
    <x v="1"/>
    <x v="0"/>
    <m/>
  </r>
  <r>
    <s v="Factura electrónica"/>
    <s v="2dadb87115f0eabaf6ff41893d3b0417ad1f65bf0e2ff81a5f308542a20cb137f9307df4a4809a406a78a216d4ecf8c9"/>
    <x v="220"/>
    <n v="-1"/>
    <s v="FVE"/>
    <s v="03-02-2026"/>
    <s v="03-02-2026 07:56:51"/>
    <s v="900800595"/>
    <s v="Provexpress SAS"/>
    <s v="830128434"/>
    <x v="114"/>
    <n v="721981"/>
    <n v="0"/>
    <n v="0"/>
    <n v="4521881"/>
    <s v="Aprobado con notificación"/>
    <s v="Emitido"/>
    <x v="0"/>
    <x v="0"/>
    <x v="1"/>
    <x v="0"/>
    <x v="1"/>
    <x v="0"/>
    <m/>
  </r>
  <r>
    <s v="Factura electrónica"/>
    <s v="47e97752efd32d6983aa42f7a3f8a4e3ce1ecb65cffeda57a787cb53fa115166161b443f3bdb196b5cbdb32cedbd2864"/>
    <x v="221"/>
    <n v="-1"/>
    <s v="FVE"/>
    <s v="03-02-2026"/>
    <s v="03-02-2026 07:56:55"/>
    <s v="900800595"/>
    <s v="Provexpress SAS"/>
    <s v="320715287"/>
    <x v="115"/>
    <n v="142500"/>
    <n v="0"/>
    <n v="0"/>
    <n v="892500"/>
    <s v="Aprobado con notificación"/>
    <s v="Emitido"/>
    <x v="0"/>
    <x v="0"/>
    <x v="1"/>
    <x v="0"/>
    <x v="1"/>
    <x v="0"/>
    <m/>
  </r>
  <r>
    <s v="Factura electrónica"/>
    <s v="ce0eaa463aca9e410cfe54828db65432b00ad2a640f0defbaba2928d675e3a92fc478479d2ca3e650e94a32471426cef"/>
    <x v="222"/>
    <n v="-1"/>
    <s v="FVE"/>
    <s v="03-02-2026"/>
    <s v="03-02-2026 07:57:00"/>
    <s v="900800595"/>
    <s v="Provexpress SAS"/>
    <s v="900224534"/>
    <x v="116"/>
    <n v="96330"/>
    <n v="0"/>
    <n v="0"/>
    <n v="603330"/>
    <s v="Aprobado con notificación"/>
    <s v="Emitido"/>
    <x v="0"/>
    <x v="0"/>
    <x v="1"/>
    <x v="0"/>
    <x v="0"/>
    <x v="1"/>
    <s v="PAGA 18/02/2026"/>
  </r>
  <r>
    <s v="Factura electrónica"/>
    <s v="86d94f8a8e3b21c33f7d0f8b6979b26594f518cfe81257ae6b88bb600d1bfd8a8fd9a7261d358dabf998a937869ba512"/>
    <x v="223"/>
    <n v="-1"/>
    <s v="FVE"/>
    <s v="03-02-2026"/>
    <s v="03-02-2026 07:57:06"/>
    <s v="900800595"/>
    <s v="Provexpress SAS"/>
    <s v="830036108"/>
    <x v="117"/>
    <n v="13252.5"/>
    <n v="0"/>
    <n v="0"/>
    <n v="83002.5"/>
    <s v="Aprobado con notificación"/>
    <s v="Emitido"/>
    <x v="0"/>
    <x v="0"/>
    <x v="0"/>
    <x v="0"/>
    <x v="0"/>
    <x v="0"/>
    <m/>
  </r>
  <r>
    <s v="Factura electrónica"/>
    <s v="4aeb0883b393e4fbec00e5826760c7e7a39f6a4e16fe4b15e35c4ab528beb5ffd29f6328a2bfd6ff1174879c995bdd1a"/>
    <x v="224"/>
    <n v="-1"/>
    <s v="FVE"/>
    <s v="03-02-2026"/>
    <s v="03-02-2026 07:57:10"/>
    <s v="900800595"/>
    <s v="Provexpress SAS"/>
    <s v="900148177"/>
    <x v="69"/>
    <n v="108300"/>
    <n v="0"/>
    <n v="0"/>
    <n v="678300"/>
    <s v="Aprobado con notificación"/>
    <s v="Emitido"/>
    <x v="0"/>
    <x v="0"/>
    <x v="1"/>
    <x v="0"/>
    <x v="1"/>
    <x v="0"/>
    <m/>
  </r>
  <r>
    <s v="Factura electrónica"/>
    <s v="6f3a999d703b60e2327edf3ca1d0709b5521f44a20fec9a4a76b83ec13806dca1d0c37e035aaaccc193b7f9b4da1201b"/>
    <x v="225"/>
    <n v="-1"/>
    <s v="FVE"/>
    <s v="03-02-2026"/>
    <s v="03-02-2026 07:57:15"/>
    <s v="900800595"/>
    <s v="Provexpress SAS"/>
    <s v="900148177"/>
    <x v="69"/>
    <n v="1102000"/>
    <n v="0"/>
    <n v="0"/>
    <n v="6902000"/>
    <s v="Aprobado con notificación"/>
    <s v="Emitido"/>
    <x v="0"/>
    <x v="0"/>
    <x v="1"/>
    <x v="0"/>
    <x v="1"/>
    <x v="0"/>
    <m/>
  </r>
  <r>
    <s v="Factura electrónica"/>
    <s v="6cbe00b23d82b169b67f1dbd5af5fc98b26c4ef8057681c1aa1761cfc3d3081122b66954adf5ea80bd42e6c3129aefd0"/>
    <x v="226"/>
    <n v="-1"/>
    <s v="FVE"/>
    <s v="03-02-2026"/>
    <s v="03-02-2026 07:57:19"/>
    <s v="900800595"/>
    <s v="Provexpress SAS"/>
    <s v="900148177"/>
    <x v="69"/>
    <n v="68191"/>
    <n v="0"/>
    <n v="0"/>
    <n v="427091"/>
    <s v="Aprobado con notificación"/>
    <s v="Emitido"/>
    <x v="0"/>
    <x v="0"/>
    <x v="1"/>
    <x v="0"/>
    <x v="1"/>
    <x v="0"/>
    <m/>
  </r>
  <r>
    <s v="Factura electrónica"/>
    <s v="b4e6b77fbdff596dfba4ea98123bdcdb1425d571aa93bd054f9a1bf7151b02b008ef74aa155ede6486849b23c7082b2b"/>
    <x v="227"/>
    <n v="-1"/>
    <s v="FVE"/>
    <s v="03-02-2026"/>
    <s v="03-02-2026 08:12:26"/>
    <s v="900800595"/>
    <s v="Provexpress SAS"/>
    <s v="900148177"/>
    <x v="69"/>
    <n v="225750"/>
    <n v="0"/>
    <n v="0"/>
    <n v="4740750"/>
    <s v="Aprobado con notificación"/>
    <s v="Emitido"/>
    <x v="0"/>
    <x v="0"/>
    <x v="1"/>
    <x v="0"/>
    <x v="1"/>
    <x v="0"/>
    <m/>
  </r>
  <r>
    <s v="Factura electrónica"/>
    <s v="bbd4f76d72cfb904e38f8e5f33bd35d7f1caa3021ae1e20d18310ce61d7aa8481c7db7a4d96dc50535455e3623ed22d1"/>
    <x v="228"/>
    <n v="-1"/>
    <s v="FVE"/>
    <s v="03-02-2026"/>
    <s v="03-02-2026 08:12:31"/>
    <s v="900800595"/>
    <s v="Provexpress SAS"/>
    <s v="830036108"/>
    <x v="117"/>
    <n v="2168945"/>
    <n v="0"/>
    <n v="0"/>
    <n v="13584445"/>
    <s v="Aprobado con notificación"/>
    <s v="Emitido"/>
    <x v="0"/>
    <x v="0"/>
    <x v="0"/>
    <x v="0"/>
    <x v="0"/>
    <x v="0"/>
    <m/>
  </r>
  <r>
    <s v="Factura electrónica"/>
    <s v="dd0fc96752454fa0ac5617ce8d5b54f82b9868d287f66106bfd5be706de64eb07e0e21490a2b738b692b086a9027586f"/>
    <x v="229"/>
    <n v="-1"/>
    <s v="FVE"/>
    <s v="03-02-2026"/>
    <s v="03-02-2026 08:12:35"/>
    <s v="900800595"/>
    <s v="Provexpress SAS"/>
    <s v="860000452"/>
    <x v="118"/>
    <n v="9625153"/>
    <n v="0"/>
    <n v="0"/>
    <n v="60283853"/>
    <s v="Aprobado con notificación"/>
    <s v="Emitido"/>
    <x v="0"/>
    <x v="0"/>
    <x v="0"/>
    <x v="0"/>
    <x v="0"/>
    <x v="0"/>
    <m/>
  </r>
  <r>
    <s v="Factura electrónica"/>
    <s v="9bb38e7e0793f9ff89809dd5df874b71ef5edd577adbd8e86fb87935f817d01c9941ec0c64ca45cf372d41a16acf82b4"/>
    <x v="230"/>
    <n v="-1"/>
    <s v="FVE"/>
    <s v="03-02-2026"/>
    <s v="03-02-2026 08:12:40"/>
    <s v="900800595"/>
    <s v="Provexpress SAS"/>
    <s v="860028415"/>
    <x v="119"/>
    <n v="22800"/>
    <n v="0"/>
    <n v="0"/>
    <n v="142800"/>
    <s v="Aprobado con notificación"/>
    <s v="Emitido"/>
    <x v="0"/>
    <x v="0"/>
    <x v="0"/>
    <x v="0"/>
    <x v="0"/>
    <x v="0"/>
    <m/>
  </r>
  <r>
    <s v="Factura electrónica"/>
    <s v="0a6382261d5e1701607e8aecc07d0692f2298be18cbda3e786c48570841c169d5f8a2dae83e84645ec65e806b8527aa0"/>
    <x v="231"/>
    <n v="-1"/>
    <s v="FVE"/>
    <s v="03-02-2026"/>
    <s v="03-02-2026 08:12:44"/>
    <s v="900800595"/>
    <s v="Provexpress SAS"/>
    <s v="900498940"/>
    <x v="120"/>
    <n v="23262.46"/>
    <n v="0"/>
    <n v="0"/>
    <n v="145696.46"/>
    <s v="Aprobado con notificación"/>
    <s v="Emitido"/>
    <x v="0"/>
    <x v="0"/>
    <x v="0"/>
    <x v="0"/>
    <x v="0"/>
    <x v="0"/>
    <m/>
  </r>
  <r>
    <s v="Factura electrónica"/>
    <s v="8cdffc5ddcc1707f144ef266888ec25758a893b03c147540a391b5806244a555ba456db9854a46531a3f0e918435012a"/>
    <x v="232"/>
    <n v="-1"/>
    <s v="FVE"/>
    <s v="03-02-2026"/>
    <s v="03-02-2026 08:12:49"/>
    <s v="900800595"/>
    <s v="Provexpress SAS"/>
    <s v="800172871"/>
    <x v="121"/>
    <n v="9310"/>
    <n v="0"/>
    <n v="0"/>
    <n v="58310"/>
    <s v="Aprobado con notificación"/>
    <s v="Emitido"/>
    <x v="0"/>
    <x v="0"/>
    <x v="1"/>
    <x v="0"/>
    <x v="1"/>
    <x v="0"/>
    <m/>
  </r>
  <r>
    <s v="Factura electrónica"/>
    <s v="8df7306292a3c4aaf7fef53c2e3fdc4f014da77840d9a845717cc9ea09f1bdaa9ffdb23fc90ccd626e04dcd601fff632"/>
    <x v="233"/>
    <n v="-1"/>
    <s v="FVE"/>
    <s v="03-02-2026"/>
    <s v="03-02-2026 08:27:54"/>
    <s v="900800595"/>
    <s v="Provexpress SAS"/>
    <s v="900050036"/>
    <x v="122"/>
    <n v="764855.64"/>
    <n v="0"/>
    <n v="0"/>
    <n v="4790411.6399999997"/>
    <s v="Aprobado con notificación"/>
    <s v="Emitido"/>
    <x v="0"/>
    <x v="0"/>
    <x v="1"/>
    <x v="0"/>
    <x v="1"/>
    <x v="0"/>
    <m/>
  </r>
  <r>
    <s v="Factura electrónica"/>
    <s v="f3a485863ae8fcc1360012a24d44a19c72edb03e78612fd37a2d01924fd9e9843b16521ed3e0c451ce88e75b97173d7e"/>
    <x v="234"/>
    <n v="-1"/>
    <s v="FVE"/>
    <s v="03-02-2026"/>
    <s v="03-02-2026 08:27:59"/>
    <s v="900800595"/>
    <s v="Provexpress SAS"/>
    <s v="900050036"/>
    <x v="122"/>
    <n v="836000"/>
    <n v="0"/>
    <n v="0"/>
    <n v="5236000"/>
    <s v="Aprobado con notificación"/>
    <s v="Emitido"/>
    <x v="0"/>
    <x v="0"/>
    <x v="1"/>
    <x v="0"/>
    <x v="1"/>
    <x v="0"/>
    <m/>
  </r>
  <r>
    <s v="Factura electrónica"/>
    <s v="8fd6fe3c87f2e4382dd988a8a64b3a2b3a47114e11fb4bc21b097b11d3446f02bfd01558c16c50b13ee6e5466747550c"/>
    <x v="235"/>
    <n v="-1"/>
    <s v="FVE"/>
    <s v="03-02-2026"/>
    <s v="03-02-2026 08:28:04"/>
    <s v="900800595"/>
    <s v="Provexpress SAS"/>
    <s v="830121176"/>
    <x v="123"/>
    <n v="473915.05"/>
    <n v="0"/>
    <n v="0"/>
    <n v="3384660.05"/>
    <s v="Aprobado con notificación"/>
    <s v="Emitido"/>
    <x v="0"/>
    <x v="0"/>
    <x v="1"/>
    <x v="0"/>
    <x v="1"/>
    <x v="0"/>
    <m/>
  </r>
  <r>
    <s v="Factura electrónica"/>
    <s v="0982581dce9c304f4717fdc6523f59c9be648ba089fe2852f4a9faf7c2d9a14f9498d5251ddb8aeceab19ee8d21b08ad"/>
    <x v="236"/>
    <n v="-1"/>
    <s v="FVE"/>
    <s v="03-02-2026"/>
    <s v="03-02-2026 08:28:09"/>
    <s v="900800595"/>
    <s v="Provexpress SAS"/>
    <s v="860031615"/>
    <x v="124"/>
    <n v="2308500"/>
    <n v="0"/>
    <n v="0"/>
    <n v="14458500"/>
    <s v="Aprobado con notificación"/>
    <s v="Emitido"/>
    <x v="0"/>
    <x v="0"/>
    <x v="1"/>
    <x v="0"/>
    <x v="0"/>
    <x v="1"/>
    <s v="PAGA 20/02/2026"/>
  </r>
  <r>
    <s v="Factura electrónica"/>
    <s v="71e0076f7e83225ebee8867062920ff50fdb41664b57fe5a0b61603f47a1587de4f311b41c4b53099273836500b4ca38"/>
    <x v="237"/>
    <n v="-1"/>
    <s v="FVE"/>
    <s v="03-02-2026"/>
    <s v="03-02-2026 08:43:15"/>
    <s v="900800595"/>
    <s v="Provexpress SAS"/>
    <s v="900966568"/>
    <x v="125"/>
    <n v="157035"/>
    <n v="0"/>
    <n v="0"/>
    <n v="983535"/>
    <s v="Aprobado con notificación"/>
    <s v="Emitido"/>
    <x v="0"/>
    <x v="0"/>
    <x v="0"/>
    <x v="0"/>
    <x v="0"/>
    <x v="0"/>
    <m/>
  </r>
  <r>
    <s v="Factura electrónica"/>
    <s v="045adaf179649589fcf187cf0417fac9d6fee846d19a5bb0312a1d1653728044db8599c1b2560513de49f460af96a664"/>
    <x v="238"/>
    <n v="-1"/>
    <s v="FVE"/>
    <s v="03-02-2026"/>
    <s v="03-02-2026 08:43:20"/>
    <s v="900800595"/>
    <s v="Provexpress SAS"/>
    <s v="900966568"/>
    <x v="125"/>
    <n v="513000"/>
    <n v="0"/>
    <n v="0"/>
    <n v="3213000"/>
    <s v="Aprobado con notificación"/>
    <s v="Emitido"/>
    <x v="0"/>
    <x v="0"/>
    <x v="0"/>
    <x v="0"/>
    <x v="0"/>
    <x v="0"/>
    <m/>
  </r>
  <r>
    <s v="Factura electrónica"/>
    <s v="156df5679716a7f1e84710a9579546211aeed83d84a8ddb6d7b4504996c7e1784377303c21e816b325e5b64fcabd54b2"/>
    <x v="239"/>
    <n v="-1"/>
    <s v="FVE"/>
    <s v="03-02-2026"/>
    <s v="03-02-2026 08:43:24"/>
    <s v="900800595"/>
    <s v="Provexpress SAS"/>
    <s v="900943048"/>
    <x v="126"/>
    <n v="392408.9"/>
    <n v="0"/>
    <n v="0"/>
    <n v="2457718.9"/>
    <s v="Aprobado con notificación"/>
    <s v="Emitido"/>
    <x v="1"/>
    <x v="0"/>
    <x v="1"/>
    <x v="0"/>
    <x v="0"/>
    <x v="0"/>
    <m/>
  </r>
  <r>
    <s v="Factura electrónica"/>
    <s v="2ac12f4b6a015ae19936ba57e565e28b95ee422112219b5b5263bd9651e1ac641a5c57ab56b178389990dabc57e62a91"/>
    <x v="240"/>
    <n v="-1"/>
    <s v="FVE"/>
    <s v="03-02-2026"/>
    <s v="03-02-2026 08:43:28"/>
    <s v="900800595"/>
    <s v="Provexpress SAS"/>
    <s v="901301865"/>
    <x v="127"/>
    <n v="42556.2"/>
    <n v="0"/>
    <n v="0"/>
    <n v="266536.2"/>
    <s v="Aprobado con notificación"/>
    <s v="Emitido"/>
    <x v="1"/>
    <x v="0"/>
    <x v="1"/>
    <x v="0"/>
    <x v="0"/>
    <x v="0"/>
    <m/>
  </r>
  <r>
    <s v="Factura electrónica"/>
    <s v="9459b8baa50212c45001d6f50afacfd3ea2142585d068418d8be7a25bc277f3c473a16d4ceb85e1a07eb67e41153b471"/>
    <x v="241"/>
    <n v="-1"/>
    <s v="FVE"/>
    <s v="03-02-2026"/>
    <s v="03-02-2026 08:43:33"/>
    <s v="900800595"/>
    <s v="Provexpress SAS"/>
    <s v="901846724"/>
    <x v="128"/>
    <n v="10510.8"/>
    <n v="0"/>
    <n v="0"/>
    <n v="65830.8"/>
    <s v="Aprobado con notificación"/>
    <s v="Emitido"/>
    <x v="0"/>
    <x v="0"/>
    <x v="1"/>
    <x v="0"/>
    <x v="1"/>
    <x v="0"/>
    <m/>
  </r>
  <r>
    <s v="Factura electrónica"/>
    <s v="0d16aba3381ef579d3dc00407b2be4630f83db817488e610a072a5c652d2b6ef97db49a21c0456d70e545cbba3392665"/>
    <x v="242"/>
    <n v="-1"/>
    <s v="FVE"/>
    <s v="03-02-2026"/>
    <s v="03-02-2026 08:43:38"/>
    <s v="900800595"/>
    <s v="Provexpress SAS"/>
    <s v="890311875"/>
    <x v="129"/>
    <n v="89222.1"/>
    <n v="0"/>
    <n v="0"/>
    <n v="558812.1"/>
    <s v="Aprobado con notificación"/>
    <s v="Emitido"/>
    <x v="0"/>
    <x v="0"/>
    <x v="1"/>
    <x v="0"/>
    <x v="0"/>
    <x v="1"/>
    <s v="PAGA 27/02/2026"/>
  </r>
  <r>
    <s v="Factura electrónica"/>
    <s v="735f6d140cffef33217493f4fc9f247a3f31f06e708bb3dbb012796a446cf22b40ad7f00e2ebb2bef4d200957ed2f7ce"/>
    <x v="243"/>
    <n v="-1"/>
    <s v="FVE"/>
    <s v="03-02-2026"/>
    <s v="03-02-2026 08:43:42"/>
    <s v="900800595"/>
    <s v="Provexpress SAS"/>
    <s v="800106962"/>
    <x v="130"/>
    <n v="33128.400000000001"/>
    <n v="0"/>
    <n v="0"/>
    <n v="207488.4"/>
    <s v="Aprobado con notificación"/>
    <s v="Emitido"/>
    <x v="0"/>
    <x v="0"/>
    <x v="1"/>
    <x v="0"/>
    <x v="1"/>
    <x v="0"/>
    <m/>
  </r>
  <r>
    <s v="Factura electrónica"/>
    <s v="6bc50cb0e1c11ace5bdb9742a7e0216207548444bb178bc2068819ddd6f7b275edd700770043bb72e48da15199d68ef0"/>
    <x v="244"/>
    <n v="-1"/>
    <s v="FVE"/>
    <s v="03-02-2026"/>
    <s v="03-02-2026 08:43:47"/>
    <s v="900800595"/>
    <s v="Provexpress SAS"/>
    <s v="901248246"/>
    <x v="131"/>
    <n v="67270.5"/>
    <n v="0"/>
    <n v="0"/>
    <n v="471600.5"/>
    <s v="Aprobado con notificación"/>
    <s v="Emitido"/>
    <x v="0"/>
    <x v="0"/>
    <x v="0"/>
    <x v="0"/>
    <x v="0"/>
    <x v="0"/>
    <m/>
  </r>
  <r>
    <s v="Factura electrónica"/>
    <s v="a3bf03c1333895abc175b5b221f7e97337a98a8131f5459adac1d085ee82864e57e5d5a140e7051c3c13bd96daf2d17b"/>
    <x v="245"/>
    <n v="-1"/>
    <s v="FVE"/>
    <s v="03-02-2026"/>
    <s v="03-02-2026 08:59:12"/>
    <s v="900800595"/>
    <s v="Provexpress SAS"/>
    <s v="860506140"/>
    <x v="132"/>
    <n v="167086"/>
    <n v="0"/>
    <n v="0"/>
    <n v="1046486"/>
    <s v="Aprobado con notificación"/>
    <s v="Emitido"/>
    <x v="1"/>
    <x v="0"/>
    <x v="1"/>
    <x v="0"/>
    <x v="0"/>
    <x v="0"/>
    <m/>
  </r>
  <r>
    <s v="Factura electrónica"/>
    <s v="be9560fedba847c0379ed81de323bb9885209f07bc0618368f488620d948b29819361d5b2bda2128b64a954d3f0b1572"/>
    <x v="246"/>
    <n v="-1"/>
    <s v="FVE"/>
    <s v="03-02-2026"/>
    <s v="03-02-2026 08:59:29"/>
    <s v="900800595"/>
    <s v="Provexpress SAS"/>
    <s v="832006599"/>
    <x v="133"/>
    <n v="780660.6"/>
    <n v="0"/>
    <n v="0"/>
    <n v="4889400.5999999996"/>
    <s v="Aprobado con notificación"/>
    <s v="Emitido"/>
    <x v="0"/>
    <x v="0"/>
    <x v="1"/>
    <x v="0"/>
    <x v="1"/>
    <x v="0"/>
    <m/>
  </r>
  <r>
    <s v="Factura electrónica"/>
    <s v="9e228a1602aa2cc8b4da7851d49f2bb997c335a22124db7eca1648d09d50811efebadcdc3b180339514911a7cd2782eb"/>
    <x v="247"/>
    <n v="-1"/>
    <s v="FVE"/>
    <s v="03-02-2026"/>
    <s v="03-02-2026 08:59:49"/>
    <s v="900800595"/>
    <s v="Provexpress SAS"/>
    <s v="800237412"/>
    <x v="134"/>
    <n v="199498"/>
    <n v="0"/>
    <n v="0"/>
    <n v="1412698"/>
    <s v="Aprobado con notificación"/>
    <s v="Emitido"/>
    <x v="0"/>
    <x v="0"/>
    <x v="0"/>
    <x v="0"/>
    <x v="0"/>
    <x v="0"/>
    <m/>
  </r>
  <r>
    <s v="Factura electrónica"/>
    <s v="e99758cd224e341f2eff80c938e826ae5d430bd2051b1690cf7f4ca4a8271721074443fed3f20f9b8b27a673f68f1999"/>
    <x v="248"/>
    <n v="-1"/>
    <s v="FVE"/>
    <s v="03-02-2026"/>
    <s v="03-02-2026 09:00:02"/>
    <s v="900800595"/>
    <s v="Provexpress SAS"/>
    <s v="800237412"/>
    <x v="134"/>
    <n v="114177.4"/>
    <n v="0"/>
    <n v="0"/>
    <n v="814437.4"/>
    <s v="Aprobado con notificación"/>
    <s v="Emitido"/>
    <x v="0"/>
    <x v="0"/>
    <x v="0"/>
    <x v="0"/>
    <x v="0"/>
    <x v="0"/>
    <m/>
  </r>
  <r>
    <s v="Factura electrónica"/>
    <s v="1e1ccdc3e8e8f365cdd6a5f384a2f4e5b660a0cc0b7d35fd5949af02f24c0fb90c09fde1d3e7a3a6470c12b58d387e91"/>
    <x v="249"/>
    <n v="-1"/>
    <s v="FVE"/>
    <s v="03-02-2026"/>
    <s v="03-02-2026 09:00:07"/>
    <s v="900800595"/>
    <s v="Provexpress SAS"/>
    <s v="800237412"/>
    <x v="134"/>
    <n v="288395.40000000002"/>
    <n v="0"/>
    <n v="0"/>
    <n v="1889455.4"/>
    <s v="Aprobado con notificación"/>
    <s v="Emitido"/>
    <x v="0"/>
    <x v="0"/>
    <x v="0"/>
    <x v="0"/>
    <x v="0"/>
    <x v="0"/>
    <m/>
  </r>
  <r>
    <s v="Factura electrónica"/>
    <s v="fdf0843c21681d13b0184eaea1cabf820897f49a92623d243a9d1ff046147c35b2d28b5b7ce7b2483ee3ac36cac98c26"/>
    <x v="250"/>
    <n v="-1"/>
    <s v="FVE"/>
    <s v="03-02-2026"/>
    <s v="03-02-2026 09:15:15"/>
    <s v="900800595"/>
    <s v="Provexpress SAS"/>
    <s v="900162414"/>
    <x v="135"/>
    <n v="182400"/>
    <n v="0"/>
    <n v="0"/>
    <n v="1142400"/>
    <s v="Aprobado con notificación"/>
    <s v="Emitido"/>
    <x v="1"/>
    <x v="0"/>
    <x v="1"/>
    <x v="0"/>
    <x v="0"/>
    <x v="0"/>
    <m/>
  </r>
  <r>
    <s v="Factura electrónica"/>
    <s v="bece4422e2b8de7c40345281c1febc1230032342d0459666028c0f9ce07850b7ff214e9db2616f2b1dc872320d50f557"/>
    <x v="251"/>
    <n v="-1"/>
    <s v="FVE"/>
    <s v="03-02-2026"/>
    <s v="03-02-2026 09:15:20"/>
    <s v="900800595"/>
    <s v="Provexpress SAS"/>
    <s v="900162414"/>
    <x v="135"/>
    <n v="121600"/>
    <n v="0"/>
    <n v="0"/>
    <n v="761600"/>
    <s v="Aprobado con notificación"/>
    <s v="Emitido"/>
    <x v="1"/>
    <x v="0"/>
    <x v="1"/>
    <x v="0"/>
    <x v="0"/>
    <x v="0"/>
    <m/>
  </r>
  <r>
    <s v="Factura electrónica"/>
    <s v="9fa9761c35bccdba1f5d34257b49b6f3994b09b3cf4736505a6ddd47b1156af1c0cf01d428fd3d81ff7f8c0399077bac"/>
    <x v="252"/>
    <n v="-1"/>
    <s v="FVE"/>
    <s v="03-02-2026"/>
    <s v="03-02-2026 09:15:26"/>
    <s v="900800595"/>
    <s v="Provexpress SAS"/>
    <s v="860518673"/>
    <x v="136"/>
    <n v="390450"/>
    <n v="0"/>
    <n v="0"/>
    <n v="2445450"/>
    <s v="Aprobado con notificación"/>
    <s v="Emitido"/>
    <x v="0"/>
    <x v="0"/>
    <x v="0"/>
    <x v="0"/>
    <x v="0"/>
    <x v="0"/>
    <m/>
  </r>
  <r>
    <s v="Factura electrónica"/>
    <s v="5ecda90790521d783378e850c6a6abfb0f0675dadd227dc23825e9a4e00607d84f816d5afe57032b178c7b376dc78216"/>
    <x v="253"/>
    <n v="-1"/>
    <s v="FVE"/>
    <s v="03-02-2026"/>
    <s v="03-02-2026 09:15:31"/>
    <s v="900800595"/>
    <s v="Provexpress SAS"/>
    <s v="860045210"/>
    <x v="137"/>
    <n v="280079"/>
    <n v="0"/>
    <n v="0"/>
    <n v="2277379"/>
    <s v="Aprobado con notificación"/>
    <s v="Emitido"/>
    <x v="0"/>
    <x v="0"/>
    <x v="1"/>
    <x v="0"/>
    <x v="1"/>
    <x v="0"/>
    <m/>
  </r>
  <r>
    <s v="Factura electrónica"/>
    <s v="29de56aa0ffda066789fc7fe6ef1d300b1287d56de6df7866fb3037b0f25b045298aa04c59026a09f698224907f77eac"/>
    <x v="254"/>
    <n v="-1"/>
    <s v="FVE"/>
    <s v="03-02-2026"/>
    <s v="03-02-2026 09:15:37"/>
    <s v="900800595"/>
    <s v="Provexpress SAS"/>
    <s v="860001615"/>
    <x v="138"/>
    <n v="31350"/>
    <n v="0"/>
    <n v="0"/>
    <n v="196350"/>
    <s v="Aprobado con notificación"/>
    <s v="Emitido"/>
    <x v="1"/>
    <x v="0"/>
    <x v="1"/>
    <x v="0"/>
    <x v="0"/>
    <x v="0"/>
    <m/>
  </r>
  <r>
    <s v="Factura electrónica"/>
    <s v="e8c92eb782cc5cee7e8e0b22e9ea6169b8e236d063dde9cbdb728eaf9dfa0fb74cadb5cbacb87c45140468cd142b8834"/>
    <x v="255"/>
    <n v="-1"/>
    <s v="FVE"/>
    <s v="03-02-2026"/>
    <s v="03-02-2026 09:15:41"/>
    <s v="900800595"/>
    <s v="Provexpress SAS"/>
    <s v="860001615"/>
    <x v="138"/>
    <n v="31350"/>
    <n v="0"/>
    <n v="0"/>
    <n v="196350"/>
    <s v="Aprobado con notificación"/>
    <s v="Emitido"/>
    <x v="1"/>
    <x v="0"/>
    <x v="1"/>
    <x v="0"/>
    <x v="0"/>
    <x v="0"/>
    <m/>
  </r>
  <r>
    <s v="Factura electrónica"/>
    <s v="75cc49618ab5c964168513c19d341206a6b59bc11ae5b318dc644f15a9ebab160d8c630c2a4009ba9b27fcab26bfde25"/>
    <x v="256"/>
    <n v="-1"/>
    <s v="FVE"/>
    <s v="03-02-2026"/>
    <s v="03-02-2026 09:15:46"/>
    <s v="900800595"/>
    <s v="Provexpress SAS"/>
    <s v="901342082"/>
    <x v="139"/>
    <n v="155800"/>
    <n v="0"/>
    <n v="0"/>
    <n v="975800"/>
    <s v="Aprobado con notificación"/>
    <s v="Emitido"/>
    <x v="0"/>
    <x v="0"/>
    <x v="0"/>
    <x v="0"/>
    <x v="0"/>
    <x v="0"/>
    <m/>
  </r>
  <r>
    <s v="Factura electrónica"/>
    <s v="ec973fffbbaa193ce7ca3e362c49e2a8188de8b949e6fdb1035ccb7d4814d2808c09efcaa7b2848ca44fa062de5041c9"/>
    <x v="257"/>
    <n v="-1"/>
    <s v="FVE"/>
    <s v="03-02-2026"/>
    <s v="03-02-2026 09:15:52"/>
    <s v="900800595"/>
    <s v="Provexpress SAS"/>
    <s v="901229878"/>
    <x v="140"/>
    <n v="48450"/>
    <n v="0"/>
    <n v="0"/>
    <n v="303450"/>
    <s v="Aprobado con notificación"/>
    <s v="Emitido"/>
    <x v="1"/>
    <x v="0"/>
    <x v="1"/>
    <x v="0"/>
    <x v="0"/>
    <x v="0"/>
    <m/>
  </r>
  <r>
    <s v="Factura electrónica"/>
    <s v="a84970cbc5c567ca38604dd9ba04e6a43a270ec28c244d8f7bdf3f714a468235742f9e280c2ad5ec38312afe711e61f3"/>
    <x v="258"/>
    <n v="-1"/>
    <s v="FVE"/>
    <s v="03-02-2026"/>
    <s v="03-02-2026 09:15:56"/>
    <s v="900800595"/>
    <s v="Provexpress SAS"/>
    <s v="901229878"/>
    <x v="140"/>
    <n v="1550400"/>
    <n v="0"/>
    <n v="0"/>
    <n v="9710400"/>
    <s v="Aprobado con notificación"/>
    <s v="Emitido"/>
    <x v="1"/>
    <x v="0"/>
    <x v="1"/>
    <x v="0"/>
    <x v="0"/>
    <x v="0"/>
    <m/>
  </r>
  <r>
    <s v="Factura electrónica"/>
    <s v="a25c6e41e2dbc4d9a5c35c4cba175e422cb1be95201a73bf7266dee2b78469fc0cf001b9e93eca90679c41565cb69c4e"/>
    <x v="259"/>
    <n v="-1"/>
    <s v="FVE"/>
    <s v="03-02-2026"/>
    <s v="03-02-2026 09:16:01"/>
    <s v="900800595"/>
    <s v="Provexpress SAS"/>
    <s v="901229878"/>
    <x v="140"/>
    <n v="1795500"/>
    <n v="0"/>
    <n v="0"/>
    <n v="11245500"/>
    <s v="Aprobado con notificación"/>
    <s v="Emitido"/>
    <x v="1"/>
    <x v="0"/>
    <x v="1"/>
    <x v="0"/>
    <x v="0"/>
    <x v="0"/>
    <m/>
  </r>
  <r>
    <s v="Factura electrónica"/>
    <s v="8afc652784e8ffc3cdd95a06db9b9b86d5aecbd47bac6245c09ded647dc00e2affdf2b30fb770944d24354c397751eb2"/>
    <x v="260"/>
    <n v="-1"/>
    <s v="FVE"/>
    <s v="03-02-2026"/>
    <s v="03-02-2026 09:31:09"/>
    <s v="900800595"/>
    <s v="Provexpress SAS"/>
    <s v="901281572"/>
    <x v="141"/>
    <n v="0"/>
    <n v="0"/>
    <n v="0"/>
    <n v="1234000"/>
    <s v="Aprobado con notificación"/>
    <s v="Emitido"/>
    <x v="0"/>
    <x v="0"/>
    <x v="0"/>
    <x v="0"/>
    <x v="0"/>
    <x v="0"/>
    <m/>
  </r>
  <r>
    <s v="Factura electrónica"/>
    <s v="dec061bb136a43f1f5ed3752901620dfa0038e4e9374260536d317e956b550d19d28d81617f923fe055d50dbd4c75529"/>
    <x v="261"/>
    <n v="-1"/>
    <s v="FVE"/>
    <s v="03-02-2026"/>
    <s v="03-02-2026 09:31:15"/>
    <s v="900800595"/>
    <s v="Provexpress SAS"/>
    <s v="901281572"/>
    <x v="141"/>
    <n v="902500"/>
    <n v="0"/>
    <n v="0"/>
    <n v="5652500"/>
    <s v="Aprobado con notificación"/>
    <s v="Emitido"/>
    <x v="0"/>
    <x v="0"/>
    <x v="0"/>
    <x v="0"/>
    <x v="0"/>
    <x v="0"/>
    <m/>
  </r>
  <r>
    <s v="Factura electrónica"/>
    <s v="8171e71a681d81d7e3a4e3c0e8b237799eeae90c0388f44dae99bfcccda2f9ad332f0d2fe0aae8acb4c3324dd0b3232e"/>
    <x v="262"/>
    <n v="-1"/>
    <s v="FVE"/>
    <s v="03-02-2026"/>
    <s v="03-02-2026 09:31:23"/>
    <s v="900800595"/>
    <s v="Provexpress SAS"/>
    <s v="860026123"/>
    <x v="142"/>
    <n v="2491851.14"/>
    <n v="0"/>
    <n v="0"/>
    <n v="15606857.140000001"/>
    <s v="Aprobado con notificación"/>
    <s v="Emitido"/>
    <x v="0"/>
    <x v="0"/>
    <x v="1"/>
    <x v="0"/>
    <x v="0"/>
    <x v="1"/>
    <s v="PAGA 12/02/2026"/>
  </r>
  <r>
    <s v="Factura electrónica"/>
    <s v="19e6d1043faf2f6d13d4edd125d452c0e3499de4c0260aaabf943afe1603edc78df58b7d9e5048709892b6ea025f45df"/>
    <x v="263"/>
    <n v="-1"/>
    <s v="FVE"/>
    <s v="03-02-2026"/>
    <s v="03-02-2026 09:31:30"/>
    <s v="900800595"/>
    <s v="Provexpress SAS"/>
    <s v="860026123"/>
    <x v="142"/>
    <n v="355300"/>
    <n v="0"/>
    <n v="0"/>
    <n v="2225300"/>
    <s v="Aprobado con notificación"/>
    <s v="Emitido"/>
    <x v="0"/>
    <x v="0"/>
    <x v="1"/>
    <x v="0"/>
    <x v="0"/>
    <x v="1"/>
    <s v="PAGA 12/02/2026"/>
  </r>
  <r>
    <s v="Factura electrónica"/>
    <s v="776f635ddad7d18317e8a8a8f7100069235f41c178aac99d1a6c7c027f6e80171b91698b83877ba6cfee069f5231ddb3"/>
    <x v="264"/>
    <n v="-1"/>
    <s v="FVE"/>
    <s v="03-02-2026"/>
    <s v="03-02-2026 09:31:37"/>
    <s v="900800595"/>
    <s v="Provexpress SAS"/>
    <s v="860026123"/>
    <x v="142"/>
    <n v="2630666.2799999998"/>
    <n v="0"/>
    <n v="0"/>
    <n v="16476278.279999999"/>
    <s v="Aprobado con notificación"/>
    <s v="Emitido"/>
    <x v="0"/>
    <x v="0"/>
    <x v="1"/>
    <x v="0"/>
    <x v="0"/>
    <x v="1"/>
    <s v="PAGA 12/02/2026"/>
  </r>
  <r>
    <s v="Factura electrónica"/>
    <s v="7879eb914150d08146057cd5a5cea376f973a38cce2242a3a9f2ba01c70543d4c724115a8aa4597660ab00bf08455407"/>
    <x v="265"/>
    <n v="-1"/>
    <s v="FVE"/>
    <s v="03-02-2026"/>
    <s v="03-02-2026 09:31:43"/>
    <s v="900800595"/>
    <s v="Provexpress SAS"/>
    <s v="800103903"/>
    <x v="143"/>
    <n v="136800"/>
    <n v="0"/>
    <n v="0"/>
    <n v="856800"/>
    <s v="Aprobado con notificación"/>
    <s v="Emitido"/>
    <x v="0"/>
    <x v="0"/>
    <x v="0"/>
    <x v="0"/>
    <x v="0"/>
    <x v="0"/>
    <m/>
  </r>
  <r>
    <s v="Factura electrónica"/>
    <s v="2e111312b6791af1c8f5c9552ee73abbcba1e7ee6e24403328dfc3b0c3ff98ba475194840dfcf05a6213b60358182d72"/>
    <x v="266"/>
    <n v="-1"/>
    <s v="FVE"/>
    <s v="03-02-2026"/>
    <s v="03-02-2026 09:31:51"/>
    <s v="900800595"/>
    <s v="Provexpress SAS"/>
    <s v="860522056"/>
    <x v="85"/>
    <n v="631541"/>
    <n v="0"/>
    <n v="0"/>
    <n v="3955441"/>
    <s v="Aprobado con notificación"/>
    <s v="Emitido"/>
    <x v="0"/>
    <x v="0"/>
    <x v="0"/>
    <x v="0"/>
    <x v="0"/>
    <x v="0"/>
    <m/>
  </r>
  <r>
    <s v="Factura electrónica"/>
    <s v="825d86c13bff97d78c3bdeb95361091fa00e0848fbf3f369e07f3179fe170f458e0eb4db01b30b96aa884efaf72755e3"/>
    <x v="267"/>
    <n v="-1"/>
    <s v="FVE"/>
    <s v="03-02-2026"/>
    <s v="03-02-2026 09:32:04"/>
    <s v="900800595"/>
    <s v="Provexpress SAS"/>
    <s v="860010305"/>
    <x v="144"/>
    <n v="302225.78000000003"/>
    <n v="0"/>
    <n v="0"/>
    <n v="1892887.78"/>
    <s v="Aprobado con notificación"/>
    <s v="Emitido"/>
    <x v="1"/>
    <x v="0"/>
    <x v="1"/>
    <x v="0"/>
    <x v="0"/>
    <x v="0"/>
    <m/>
  </r>
  <r>
    <s v="Factura electrónica"/>
    <s v="3f6d68310b89f43e9a9853289a90c680c723df4ea7e7358da17f47889b3eae7be378337c8aea40a13f97b37678c3faa2"/>
    <x v="268"/>
    <n v="-1"/>
    <s v="FVE"/>
    <s v="03-02-2026"/>
    <s v="03-02-2026 09:32:13"/>
    <s v="900800595"/>
    <s v="Provexpress SAS"/>
    <s v="901847883"/>
    <x v="3"/>
    <n v="648969.51"/>
    <n v="0"/>
    <n v="0"/>
    <n v="4064598.51"/>
    <s v="Aprobado con notificación"/>
    <s v="Emitido"/>
    <x v="0"/>
    <x v="0"/>
    <x v="0"/>
    <x v="0"/>
    <x v="0"/>
    <x v="0"/>
    <m/>
  </r>
  <r>
    <s v="Factura electrónica"/>
    <s v="b12af2e2c22776dede62ec57e35c0a5a52aa341d628092f10cc1083089b7998c33878d072f429fe3ea6d3b947f162b0f"/>
    <x v="269"/>
    <n v="-1"/>
    <s v="FVE"/>
    <s v="03-02-2026"/>
    <s v="03-02-2026 09:32:21"/>
    <s v="900800595"/>
    <s v="Provexpress SAS"/>
    <s v="830111257"/>
    <x v="145"/>
    <n v="2397040"/>
    <n v="0"/>
    <n v="0"/>
    <n v="15013040"/>
    <s v="Aprobado con notificación"/>
    <s v="Emitido"/>
    <x v="0"/>
    <x v="0"/>
    <x v="0"/>
    <x v="0"/>
    <x v="0"/>
    <x v="0"/>
    <m/>
  </r>
  <r>
    <s v="Factura electrónica"/>
    <s v="16c9bd053950bd112e512188e9c0b7abd076d0ad8a8171314e5e232f2d6bddd7046004301ad75576fa5d38acdc0bdcf1"/>
    <x v="270"/>
    <n v="-1"/>
    <s v="FVE"/>
    <s v="03-02-2026"/>
    <s v="03-02-2026 09:47:28"/>
    <s v="900800595"/>
    <s v="Provexpress SAS"/>
    <s v="901281572"/>
    <x v="141"/>
    <n v="1107700"/>
    <n v="0"/>
    <n v="0"/>
    <n v="6937700"/>
    <s v="Aprobado con notificación"/>
    <s v="Emitido"/>
    <x v="0"/>
    <x v="0"/>
    <x v="0"/>
    <x v="0"/>
    <x v="0"/>
    <x v="0"/>
    <m/>
  </r>
  <r>
    <s v="Factura electrónica"/>
    <s v="09ee174031d7809a32244df315579b5706e6ba3420f8e227ad9bcbcfc7f767176b1f1baee632e4396334b0ef4aa3105c"/>
    <x v="271"/>
    <n v="-1"/>
    <s v="FVE"/>
    <s v="03-02-2026"/>
    <s v="03-02-2026 17:14:53"/>
    <s v="900800595"/>
    <s v="Provexpress SAS"/>
    <s v="900992422"/>
    <x v="146"/>
    <n v="101080"/>
    <n v="0"/>
    <n v="0"/>
    <n v="633080"/>
    <s v="Aprobado con notificación"/>
    <s v="Emitido"/>
    <x v="0"/>
    <x v="0"/>
    <x v="1"/>
    <x v="0"/>
    <x v="1"/>
    <x v="0"/>
    <m/>
  </r>
  <r>
    <s v="Factura electrónica"/>
    <s v="18f323dcaaafd67f59d3e239a4a5a40e715da5b05bf6731e71b55bd6bbc018009f1c4c098f8001ac1fbba8de68356e06"/>
    <x v="272"/>
    <n v="-1"/>
    <s v="FVE"/>
    <s v="03-02-2026"/>
    <s v="03-02-2026 09:47:35"/>
    <s v="900800595"/>
    <s v="Provexpress SAS"/>
    <s v="860031361"/>
    <x v="147"/>
    <n v="20900"/>
    <n v="0"/>
    <n v="0"/>
    <n v="130900"/>
    <s v="Aprobado con notificación"/>
    <s v="Emitido"/>
    <x v="0"/>
    <x v="0"/>
    <x v="1"/>
    <x v="0"/>
    <x v="1"/>
    <x v="0"/>
    <m/>
  </r>
  <r>
    <s v="Factura electrónica"/>
    <s v="299788bf4a88919823a619b965680162bfc3c787a6303f0038a2683926dd2bfa1915a31e0cdeecdb19339294ea5517cb"/>
    <x v="273"/>
    <n v="-1"/>
    <s v="FVE"/>
    <s v="03-02-2026"/>
    <s v="03-02-2026 09:47:40"/>
    <s v="900800595"/>
    <s v="Provexpress SAS"/>
    <s v="860055182"/>
    <x v="148"/>
    <n v="20900"/>
    <n v="0"/>
    <n v="0"/>
    <n v="130900"/>
    <s v="Aprobado con notificación"/>
    <s v="Emitido"/>
    <x v="0"/>
    <x v="0"/>
    <x v="1"/>
    <x v="0"/>
    <x v="1"/>
    <x v="0"/>
    <m/>
  </r>
  <r>
    <s v="Factura electrónica"/>
    <s v="508ddb4c35c759e6e503fa2eafd97abd653312aa279e511fd94abf1e7596e79b3858c6fb5a6f7721f8289cd454b30d56"/>
    <x v="274"/>
    <n v="-1"/>
    <s v="FVE"/>
    <s v="03-02-2026"/>
    <s v="03-02-2026 09:47:45"/>
    <s v="900800595"/>
    <s v="Provexpress SAS"/>
    <s v="800130426"/>
    <x v="149"/>
    <n v="1428353.12"/>
    <n v="0"/>
    <n v="0"/>
    <n v="8946001.1199999992"/>
    <s v="Aprobado con notificación"/>
    <s v="Emitido"/>
    <x v="1"/>
    <x v="0"/>
    <x v="1"/>
    <x v="0"/>
    <x v="0"/>
    <x v="0"/>
    <m/>
  </r>
  <r>
    <s v="Factura electrónica"/>
    <s v="e1e38a75f13ae838fa14e2d17e1e51d03e5a763539f050160ae5e45f2dbe2cebd660757a16b0a1f3acafb36fa11963d2"/>
    <x v="275"/>
    <n v="-1"/>
    <s v="FVE"/>
    <s v="03-02-2026"/>
    <s v="03-02-2026 09:47:50"/>
    <s v="900800595"/>
    <s v="Provexpress SAS"/>
    <s v="830005448"/>
    <x v="150"/>
    <n v="269332.59999999998"/>
    <n v="0"/>
    <n v="0"/>
    <n v="1686872.6"/>
    <s v="Aprobado con notificación"/>
    <s v="Emitido"/>
    <x v="1"/>
    <x v="0"/>
    <x v="1"/>
    <x v="0"/>
    <x v="0"/>
    <x v="0"/>
    <m/>
  </r>
  <r>
    <s v="Factura electrónica"/>
    <s v="5f911055629a9a10f36dc9e79ed9d9ac9ef773a8ee5da3c2693a2610c1a4a6f2cfa45080b558a5ac6d1e831fed668f18"/>
    <x v="276"/>
    <n v="-1"/>
    <s v="FVE"/>
    <s v="03-02-2026"/>
    <s v="03-02-2026 10:02:56"/>
    <s v="900800595"/>
    <s v="Provexpress SAS"/>
    <s v="830005448"/>
    <x v="150"/>
    <n v="333363.55"/>
    <n v="0"/>
    <n v="0"/>
    <n v="2087908.55"/>
    <s v="Aprobado con notificación"/>
    <s v="Emitido"/>
    <x v="1"/>
    <x v="0"/>
    <x v="1"/>
    <x v="0"/>
    <x v="0"/>
    <x v="0"/>
    <m/>
  </r>
  <r>
    <s v="Factura electrónica"/>
    <s v="61eb89b8abf752e29b9c99f0aa3b91c9a32917863c4650f34ce2515bc15b4ceeec976de93e07bf027b25f2ed7ac2da10"/>
    <x v="277"/>
    <n v="-1"/>
    <s v="FVE"/>
    <s v="03-02-2026"/>
    <s v="03-02-2026 10:03:01"/>
    <s v="900800595"/>
    <s v="Provexpress SAS"/>
    <s v="860031361"/>
    <x v="147"/>
    <n v="298680"/>
    <n v="0"/>
    <n v="0"/>
    <n v="1870680"/>
    <s v="Aprobado con notificación"/>
    <s v="Emitido"/>
    <x v="0"/>
    <x v="0"/>
    <x v="1"/>
    <x v="0"/>
    <x v="1"/>
    <x v="0"/>
    <m/>
  </r>
  <r>
    <s v="Factura electrónica"/>
    <s v="ec2dd10fd5befc0b18fa1eb9aaf0940abd2dd1a8b9b1c3ce8bda849bd3809fb62cbab2fbb7a17c897f46aa3eaad2d51f"/>
    <x v="278"/>
    <n v="-1"/>
    <s v="FVE"/>
    <s v="03-02-2026"/>
    <s v="03-02-2026 10:03:06"/>
    <s v="900800595"/>
    <s v="Provexpress SAS"/>
    <s v="860031361"/>
    <x v="147"/>
    <n v="397839.1"/>
    <n v="0"/>
    <n v="0"/>
    <n v="2491729.1"/>
    <s v="Aprobado con notificación"/>
    <s v="Emitido"/>
    <x v="0"/>
    <x v="0"/>
    <x v="1"/>
    <x v="0"/>
    <x v="1"/>
    <x v="0"/>
    <m/>
  </r>
  <r>
    <s v="Factura electrónica"/>
    <s v="80cb995baaf5b68a0890c53642eac43e69dba82735ec9c4ab6ea24603e77156bddeaa75bb20346985f2cc7c6968901a6"/>
    <x v="279"/>
    <n v="-1"/>
    <s v="FVE"/>
    <s v="03-02-2026"/>
    <s v="03-02-2026 10:03:11"/>
    <s v="900800595"/>
    <s v="Provexpress SAS"/>
    <s v="860031361"/>
    <x v="147"/>
    <n v="201124.5"/>
    <n v="0"/>
    <n v="0"/>
    <n v="1462674.5"/>
    <s v="Aprobado con notificación"/>
    <s v="Emitido"/>
    <x v="0"/>
    <x v="0"/>
    <x v="1"/>
    <x v="0"/>
    <x v="1"/>
    <x v="0"/>
    <m/>
  </r>
  <r>
    <s v="Factura electrónica"/>
    <s v="871c25a624738acce3c16d0c4a16507ce81fb1605239b2d5ba9f3364eee61763fcc9fceb4846787415423926a4764786"/>
    <x v="280"/>
    <n v="-1"/>
    <s v="FVE"/>
    <s v="03-02-2026"/>
    <s v="03-02-2026 10:03:17"/>
    <s v="900800595"/>
    <s v="Provexpress SAS"/>
    <s v="860031361"/>
    <x v="147"/>
    <n v="248900"/>
    <n v="0"/>
    <n v="0"/>
    <n v="1558900"/>
    <s v="Aprobado con notificación"/>
    <s v="Emitido"/>
    <x v="0"/>
    <x v="0"/>
    <x v="1"/>
    <x v="0"/>
    <x v="1"/>
    <x v="0"/>
    <m/>
  </r>
  <r>
    <s v="Factura electrónica"/>
    <s v="81088dc48204d14a72582b7c027675bd3bc84359fcbf7c04ebc1e1bf41be73207a4219af1e0c769721610fafcc3de9e3"/>
    <x v="281"/>
    <n v="-1"/>
    <s v="FVE"/>
    <s v="03-02-2026"/>
    <s v="03-02-2026 10:03:20"/>
    <s v="900800595"/>
    <s v="Provexpress SAS"/>
    <s v="802007881"/>
    <x v="151"/>
    <n v="24700"/>
    <n v="0"/>
    <n v="0"/>
    <n v="154700"/>
    <s v="Aprobado con notificación"/>
    <s v="Emitido"/>
    <x v="0"/>
    <x v="0"/>
    <x v="1"/>
    <x v="0"/>
    <x v="1"/>
    <x v="0"/>
    <m/>
  </r>
  <r>
    <s v="Factura electrónica"/>
    <s v="ab0d40c2f8b899a65b8443188b02aec9dd3c1d64fad1c8790962a51f46007dbbbf3f2a4628c8b5f19aff31054a7a5163"/>
    <x v="282"/>
    <n v="-1"/>
    <s v="FVE"/>
    <s v="03-02-2026"/>
    <s v="03-02-2026 10:18:37"/>
    <s v="900800595"/>
    <s v="Provexpress SAS"/>
    <s v="900597369"/>
    <x v="152"/>
    <n v="19000"/>
    <n v="0"/>
    <n v="0"/>
    <n v="119000"/>
    <s v="Aprobado con notificación"/>
    <s v="Emitido"/>
    <x v="1"/>
    <x v="0"/>
    <x v="1"/>
    <x v="0"/>
    <x v="0"/>
    <x v="0"/>
    <m/>
  </r>
  <r>
    <s v="Factura electrónica"/>
    <s v="533d99e8079752a611a6f9cb033619682e4bc248ac1010555dfb727dbe87e6bb57fae2509a05776385c6187e1a48fab4"/>
    <x v="283"/>
    <n v="-1"/>
    <s v="FVE"/>
    <s v="03-02-2026"/>
    <s v="03-02-2026 10:18:42"/>
    <s v="900800595"/>
    <s v="Provexpress SAS"/>
    <s v="900597369"/>
    <x v="152"/>
    <n v="1424008.39"/>
    <n v="0"/>
    <n v="0"/>
    <n v="8918789.3900000006"/>
    <s v="Aprobado con notificación"/>
    <s v="Emitido"/>
    <x v="1"/>
    <x v="0"/>
    <x v="1"/>
    <x v="0"/>
    <x v="0"/>
    <x v="0"/>
    <m/>
  </r>
  <r>
    <s v="Factura electrónica"/>
    <s v="508620f2a865325ee5ea5bb97b979d7e4debc75cd42e92c5d76b696026095b205dce86cc15ff95047613abbfaf4f597c"/>
    <x v="284"/>
    <n v="-1"/>
    <s v="FVE"/>
    <s v="03-02-2026"/>
    <s v="03-02-2026 10:18:44"/>
    <s v="900800595"/>
    <s v="Provexpress SAS"/>
    <s v="800149384"/>
    <x v="12"/>
    <n v="59111.09"/>
    <n v="0"/>
    <n v="0"/>
    <n v="370222.09"/>
    <s v="Aprobado con notificación"/>
    <s v="Emitido"/>
    <x v="0"/>
    <x v="0"/>
    <x v="0"/>
    <x v="0"/>
    <x v="0"/>
    <x v="0"/>
    <m/>
  </r>
  <r>
    <s v="Factura electrónica"/>
    <s v="9c4e07ce82852b050378010738958ade3ec6af58521c2b581bc6f1b4a098d2d1bd91be0af69cdaad999b261c765c1b1a"/>
    <x v="285"/>
    <n v="-1"/>
    <s v="FVE"/>
    <s v="03-02-2026"/>
    <s v="03-02-2026 10:18:53"/>
    <s v="900800595"/>
    <s v="Provexpress SAS"/>
    <s v="800149384"/>
    <x v="12"/>
    <n v="118222.18"/>
    <n v="0"/>
    <n v="0"/>
    <n v="740444.18"/>
    <s v="Aprobado con notificación"/>
    <s v="Emitido"/>
    <x v="0"/>
    <x v="0"/>
    <x v="0"/>
    <x v="0"/>
    <x v="0"/>
    <x v="0"/>
    <m/>
  </r>
  <r>
    <s v="Factura electrónica"/>
    <s v="24d1509be7d9d6818920787bd778ce61e4f3aea52b4260fe44d81254c42c4b02fa1d5d9007f1613b437330a2cf676e57"/>
    <x v="286"/>
    <n v="-1"/>
    <s v="FVE"/>
    <s v="03-02-2026"/>
    <s v="03-02-2026 10:19:02"/>
    <s v="900800595"/>
    <s v="Provexpress SAS"/>
    <s v="800251440"/>
    <x v="153"/>
    <n v="26241.47"/>
    <n v="0"/>
    <n v="0"/>
    <n v="164354.47"/>
    <s v="Aprobado con notificación"/>
    <s v="Emitido"/>
    <x v="0"/>
    <x v="0"/>
    <x v="0"/>
    <x v="0"/>
    <x v="0"/>
    <x v="0"/>
    <m/>
  </r>
  <r>
    <s v="Factura electrónica"/>
    <s v="47ba1775c2b4598b9072c90462ab210387d21677458568bbcf80d7816fa95ddcc4235192cb051f19f4eece0db386ac01"/>
    <x v="287"/>
    <n v="-1"/>
    <s v="FVE"/>
    <s v="03-02-2026"/>
    <s v="03-02-2026 10:19:08"/>
    <s v="900800595"/>
    <s v="Provexpress SAS"/>
    <s v="860078828"/>
    <x v="154"/>
    <n v="26241.47"/>
    <n v="0"/>
    <n v="0"/>
    <n v="164354.47"/>
    <s v="Aprobado con notificación"/>
    <s v="Emitido"/>
    <x v="0"/>
    <x v="0"/>
    <x v="0"/>
    <x v="0"/>
    <x v="0"/>
    <x v="0"/>
    <m/>
  </r>
  <r>
    <s v="Factura electrónica"/>
    <s v="3032c72409a6e142e368c41136e3b2bbaae911a59b5c2058585b5846a5fe5c6270601980b03471bd4160a1c94aa57d77"/>
    <x v="288"/>
    <n v="-1"/>
    <s v="FVE"/>
    <s v="03-02-2026"/>
    <s v="03-02-2026 10:19:11"/>
    <s v="900800595"/>
    <s v="Provexpress SAS"/>
    <s v="830103525"/>
    <x v="155"/>
    <n v="59111.09"/>
    <n v="0"/>
    <n v="0"/>
    <n v="370222.09"/>
    <s v="Aprobado con notificación"/>
    <s v="Emitido"/>
    <x v="0"/>
    <x v="0"/>
    <x v="0"/>
    <x v="0"/>
    <x v="0"/>
    <x v="0"/>
    <m/>
  </r>
  <r>
    <s v="Factura electrónica"/>
    <s v="764c0a8af14126e2b314dbba09b6c8435042b11c288afcbc56623433a8f35872b08c6814016c622c6a9a62e90dce4ae2"/>
    <x v="289"/>
    <n v="-1"/>
    <s v="FVE"/>
    <s v="03-02-2026"/>
    <s v="03-02-2026 10:34:02"/>
    <s v="900800595"/>
    <s v="Provexpress SAS"/>
    <s v="800182204"/>
    <x v="156"/>
    <n v="160483.5"/>
    <n v="0"/>
    <n v="0"/>
    <n v="1005133.5"/>
    <s v="Aprobado con notificación"/>
    <s v="Emitido"/>
    <x v="0"/>
    <x v="0"/>
    <x v="0"/>
    <x v="0"/>
    <x v="0"/>
    <x v="0"/>
    <m/>
  </r>
  <r>
    <s v="Factura electrónica"/>
    <s v="bb506d4c2adc91ca4ea0956c6b00b03cf210b443c65989f1b7dd30744167f4958bd84aacaea9545f5a800679d5cd9b22"/>
    <x v="290"/>
    <n v="-1"/>
    <s v="FVE"/>
    <s v="03-02-2026"/>
    <s v="03-02-2026 10:34:06"/>
    <s v="900800595"/>
    <s v="Provexpress SAS"/>
    <s v="901061386"/>
    <x v="157"/>
    <n v="867635"/>
    <n v="0"/>
    <n v="0"/>
    <n v="5434135"/>
    <s v="Aprobado con notificación"/>
    <s v="Emitido"/>
    <x v="0"/>
    <x v="0"/>
    <x v="1"/>
    <x v="0"/>
    <x v="0"/>
    <x v="1"/>
    <s v="PAGA 9/02/2026"/>
  </r>
  <r>
    <s v="Factura electrónica"/>
    <s v="a1a131a76dfe25d02c13aa9a6e236960367cba584eea70c50b3d8f21818da00c6cc0580cbc07b991fa39ab36dbd5b2a6"/>
    <x v="291"/>
    <n v="-1"/>
    <s v="FVE"/>
    <s v="03-02-2026"/>
    <s v="03-02-2026 10:34:11"/>
    <s v="900800595"/>
    <s v="Provexpress SAS"/>
    <s v="901900189"/>
    <x v="158"/>
    <n v="66845.8"/>
    <n v="0"/>
    <n v="0"/>
    <n v="418665.8"/>
    <s v="Aprobado con notificación"/>
    <s v="Emitido"/>
    <x v="0"/>
    <x v="0"/>
    <x v="1"/>
    <x v="0"/>
    <x v="1"/>
    <x v="0"/>
    <m/>
  </r>
  <r>
    <s v="Factura electrónica"/>
    <s v="fdaf2f1528a70913b773eba53d5499f1a175a8362efa1e5dc6317d3f8c01e03b0c7e67768d05461d5270cbcdaff28043"/>
    <x v="292"/>
    <n v="-1"/>
    <s v="FVE"/>
    <s v="03-02-2026"/>
    <s v="03-02-2026 10:34:16"/>
    <s v="900800595"/>
    <s v="Provexpress SAS"/>
    <s v="860527960"/>
    <x v="159"/>
    <n v="147630"/>
    <n v="0"/>
    <n v="0"/>
    <n v="924630"/>
    <s v="Aprobado con notificación"/>
    <s v="Emitido"/>
    <x v="0"/>
    <x v="0"/>
    <x v="1"/>
    <x v="0"/>
    <x v="1"/>
    <x v="0"/>
    <m/>
  </r>
  <r>
    <s v="Factura electrónica"/>
    <s v="eaf10a873aea33cd03d5233f1946596b6c20c2488ae6328c74bbb61344e89d853b571eaa28e6f1a585de98bc7a8abdab"/>
    <x v="293"/>
    <n v="-1"/>
    <s v="FVE"/>
    <s v="03-02-2026"/>
    <s v="03-02-2026 10:34:20"/>
    <s v="900800595"/>
    <s v="Provexpress SAS"/>
    <s v="860527960"/>
    <x v="159"/>
    <n v="49875"/>
    <n v="0"/>
    <n v="0"/>
    <n v="312375"/>
    <s v="Aprobado con notificación"/>
    <s v="Emitido"/>
    <x v="0"/>
    <x v="0"/>
    <x v="1"/>
    <x v="0"/>
    <x v="1"/>
    <x v="0"/>
    <m/>
  </r>
  <r>
    <s v="Factura electrónica"/>
    <s v="b39a6391ea88e5f00074c858e49e06f9e00f516c71bc499e0d84fe9dd1f33261a598e66cde06f98b369f9d863ea09e42"/>
    <x v="294"/>
    <n v="-1"/>
    <s v="FVE"/>
    <s v="03-02-2026"/>
    <s v="03-02-2026 10:34:25"/>
    <s v="900800595"/>
    <s v="Provexpress SAS"/>
    <s v="860527960"/>
    <x v="159"/>
    <n v="25270"/>
    <n v="0"/>
    <n v="0"/>
    <n v="158270"/>
    <s v="Aprobado con notificación"/>
    <s v="Emitido"/>
    <x v="0"/>
    <x v="0"/>
    <x v="1"/>
    <x v="0"/>
    <x v="1"/>
    <x v="0"/>
    <m/>
  </r>
  <r>
    <s v="Factura electrónica"/>
    <s v="0c310523fb4b509c025293eba6fff88623c5201885617bda4ce4ba3a07bdfcaf80b1a93b68207e9b585356c61695182b"/>
    <x v="295"/>
    <n v="-1"/>
    <s v="FVE"/>
    <s v="03-02-2026"/>
    <s v="03-02-2026 10:34:29"/>
    <s v="900800595"/>
    <s v="Provexpress SAS"/>
    <s v="860040407"/>
    <x v="160"/>
    <n v="280440"/>
    <n v="0"/>
    <n v="0"/>
    <n v="1756440"/>
    <s v="Aprobado con notificación"/>
    <s v="Emitido"/>
    <x v="0"/>
    <x v="0"/>
    <x v="1"/>
    <x v="0"/>
    <x v="1"/>
    <x v="0"/>
    <m/>
  </r>
  <r>
    <s v="Factura electrónica"/>
    <s v="df3c8f7135af3c21bbb9e339b0f2d380833f5f408856ae8573f90fe6430b431d5668bc29fe834391bf9b5488726c188e"/>
    <x v="296"/>
    <n v="-1"/>
    <s v="FVE"/>
    <s v="03-02-2026"/>
    <s v="03-02-2026 10:49:35"/>
    <s v="900800595"/>
    <s v="Provexpress SAS"/>
    <s v="901006430"/>
    <x v="161"/>
    <n v="1930970"/>
    <n v="0"/>
    <n v="0"/>
    <n v="12093970"/>
    <s v="Aprobado con notificación"/>
    <s v="Emitido"/>
    <x v="0"/>
    <x v="0"/>
    <x v="1"/>
    <x v="0"/>
    <x v="1"/>
    <x v="0"/>
    <m/>
  </r>
  <r>
    <s v="Factura electrónica"/>
    <s v="0b2576fee277147f561e7c3666afe57ecb19b810fb38285da19f4df78c8dbdfb33fc5d91ceec5cfe8b09726a256531f8"/>
    <x v="297"/>
    <n v="-1"/>
    <s v="FVE"/>
    <s v="03-02-2026"/>
    <s v="03-02-2026 10:49:40"/>
    <s v="900800595"/>
    <s v="Provexpress SAS"/>
    <s v="830110141"/>
    <x v="162"/>
    <n v="1898480"/>
    <n v="0"/>
    <n v="0"/>
    <n v="11890480"/>
    <s v="Aprobado con notificación"/>
    <s v="Emitido"/>
    <x v="0"/>
    <x v="0"/>
    <x v="1"/>
    <x v="0"/>
    <x v="1"/>
    <x v="0"/>
    <m/>
  </r>
  <r>
    <s v="Factura electrónica"/>
    <s v="bf1723468f5b8090c0d82a5a9c0916af877e896f789aab1bbaca6318bf842672fade3b49efa45fe8e02abc90d52577d5"/>
    <x v="298"/>
    <n v="-1"/>
    <s v="FVE"/>
    <s v="03-02-2026"/>
    <s v="03-02-2026 10:49:44"/>
    <s v="900800595"/>
    <s v="Provexpress SAS"/>
    <s v="830012863"/>
    <x v="163"/>
    <n v="1163497.68"/>
    <n v="0"/>
    <n v="0"/>
    <n v="7287169.6799999997"/>
    <s v="Aprobado con notificación"/>
    <s v="Emitido"/>
    <x v="0"/>
    <x v="0"/>
    <x v="1"/>
    <x v="0"/>
    <x v="1"/>
    <x v="0"/>
    <m/>
  </r>
  <r>
    <s v="Factura electrónica"/>
    <s v="601984ca7e4227c743553654f785b130f0965671f6a98185963c280713a9f8b733642d11174a5cb0534dca8d0018190d"/>
    <x v="299"/>
    <n v="-1"/>
    <s v="FVE"/>
    <s v="03-02-2026"/>
    <s v="03-02-2026 10:49:49"/>
    <s v="900800595"/>
    <s v="Provexpress SAS"/>
    <s v="900430148"/>
    <x v="164"/>
    <n v="375581.36"/>
    <n v="0"/>
    <n v="0"/>
    <n v="2352325.36"/>
    <s v="Aprobado con notificación"/>
    <s v="Emitido"/>
    <x v="0"/>
    <x v="0"/>
    <x v="1"/>
    <x v="0"/>
    <x v="1"/>
    <x v="0"/>
    <m/>
  </r>
  <r>
    <s v="Factura electrónica"/>
    <s v="f5b02a220ff6b71cdb6e6ab1038e5556a69e4502d09693ffaaafbc29b6c3ebfd8cf18db51ab61bef2254ea363618c0e6"/>
    <x v="300"/>
    <n v="-1"/>
    <s v="FVE"/>
    <s v="03-02-2026"/>
    <s v="03-02-2026 10:49:54"/>
    <s v="900800595"/>
    <s v="Provexpress SAS"/>
    <s v="900430148"/>
    <x v="164"/>
    <n v="313036.78000000003"/>
    <n v="0"/>
    <n v="0"/>
    <n v="1960598.78"/>
    <s v="Aprobado con notificación"/>
    <s v="Emitido"/>
    <x v="0"/>
    <x v="0"/>
    <x v="1"/>
    <x v="0"/>
    <x v="1"/>
    <x v="0"/>
    <m/>
  </r>
  <r>
    <s v="Factura electrónica"/>
    <s v="c3c3901212cc257a10530b85ec8070d457ee6a1965e0f3f6c4c1e93752726dace656e009c28b47ce1c1ec710c311e3b6"/>
    <x v="301"/>
    <n v="-1"/>
    <s v="FVE"/>
    <s v="03-02-2026"/>
    <s v="03-02-2026 10:49:59"/>
    <s v="900800595"/>
    <s v="Provexpress SAS"/>
    <s v="830012863"/>
    <x v="163"/>
    <n v="914115.84"/>
    <n v="0"/>
    <n v="0"/>
    <n v="5725251.8399999999"/>
    <s v="Aprobado con notificación"/>
    <s v="Emitido"/>
    <x v="0"/>
    <x v="0"/>
    <x v="1"/>
    <x v="0"/>
    <x v="1"/>
    <x v="0"/>
    <m/>
  </r>
  <r>
    <s v="Factura electrónica"/>
    <s v="7a8540d0d43c58ab61621620cc4a9ab468bf80ba9477dabf8300823d63a1b913f54f4b6d1cfb82460e10ba67abd3c7ff"/>
    <x v="302"/>
    <n v="-1"/>
    <s v="FVE"/>
    <s v="03-02-2026"/>
    <s v="03-02-2026 10:50:03"/>
    <s v="900800595"/>
    <s v="Provexpress SAS"/>
    <s v="901101746"/>
    <x v="165"/>
    <n v="109059.81"/>
    <n v="0"/>
    <n v="0"/>
    <n v="683058.81"/>
    <s v="Aprobado con notificación"/>
    <s v="Emitido"/>
    <x v="0"/>
    <x v="0"/>
    <x v="0"/>
    <x v="0"/>
    <x v="0"/>
    <x v="0"/>
    <m/>
  </r>
  <r>
    <s v="Factura electrónica"/>
    <s v="b9534a83bab2db92f62b4d957e9a63fb0d23e2e4d2ae0dd132890a03feed15025ac70647e47cfd68091394418dede745"/>
    <x v="303"/>
    <n v="-1"/>
    <s v="FVE"/>
    <s v="03-02-2026"/>
    <s v="03-02-2026 10:50:07"/>
    <s v="900800595"/>
    <s v="Provexpress SAS"/>
    <s v="901754581"/>
    <x v="166"/>
    <n v="53200"/>
    <n v="0"/>
    <n v="0"/>
    <n v="333200"/>
    <s v="Aprobado con notificación"/>
    <s v="Emitido"/>
    <x v="0"/>
    <x v="0"/>
    <x v="0"/>
    <x v="0"/>
    <x v="0"/>
    <x v="0"/>
    <m/>
  </r>
  <r>
    <s v="Factura electrónica"/>
    <s v="703a599c462d1a7ab7a797b5c4fb8c5cae4a69d5ef74acfe23103f5bf4d6c4fb85b246692f2ad2b5cee624e3147bde9c"/>
    <x v="304"/>
    <n v="-1"/>
    <s v="FVE"/>
    <s v="03-02-2026"/>
    <s v="03-02-2026 11:05:13"/>
    <s v="900800595"/>
    <s v="Provexpress SAS"/>
    <s v="901101746"/>
    <x v="165"/>
    <n v="266000"/>
    <n v="0"/>
    <n v="0"/>
    <n v="1666000"/>
    <s v="Aprobado con notificación"/>
    <s v="Emitido"/>
    <x v="0"/>
    <x v="0"/>
    <x v="0"/>
    <x v="0"/>
    <x v="0"/>
    <x v="0"/>
    <m/>
  </r>
  <r>
    <s v="Factura electrónica"/>
    <s v="839cc61bdaa31d156e2bc2cc145a30ef40a40f0da6da3333f705740cbcd53e1304f474fd369a89ea5f592c6baca359e4"/>
    <x v="305"/>
    <n v="-1"/>
    <s v="FVE"/>
    <s v="03-02-2026"/>
    <s v="03-02-2026 11:05:17"/>
    <s v="900800595"/>
    <s v="Provexpress SAS"/>
    <s v="901101746"/>
    <x v="165"/>
    <n v="266000"/>
    <n v="0"/>
    <n v="0"/>
    <n v="1666000"/>
    <s v="Aprobado con notificación"/>
    <s v="Emitido"/>
    <x v="0"/>
    <x v="0"/>
    <x v="1"/>
    <x v="0"/>
    <x v="1"/>
    <x v="0"/>
    <m/>
  </r>
  <r>
    <s v="Factura electrónica"/>
    <s v="e3f48fb977ec47d8423d83ef6f3482903a6ac2dd91ad84b82bacc575814f9a979585301f76bf9df80ae9399e8a88dc21"/>
    <x v="306"/>
    <n v="-1"/>
    <s v="FVE"/>
    <s v="03-02-2026"/>
    <s v="03-02-2026 11:05:23"/>
    <s v="900800595"/>
    <s v="Provexpress SAS"/>
    <s v="901804480"/>
    <x v="167"/>
    <n v="594331.02"/>
    <n v="0"/>
    <n v="0"/>
    <n v="3722389.02"/>
    <s v="Aprobado con notificación"/>
    <s v="Emitido"/>
    <x v="0"/>
    <x v="0"/>
    <x v="0"/>
    <x v="0"/>
    <x v="0"/>
    <x v="0"/>
    <m/>
  </r>
  <r>
    <s v="Factura electrónica"/>
    <s v="b6795f37eded96a3543d716f637729d6ecac18ed697b3ac9cf97bbf5c74357388b883455fb9102cbeff7c5289c4ec24e"/>
    <x v="307"/>
    <n v="-1"/>
    <s v="FVE"/>
    <s v="03-02-2026"/>
    <s v="03-02-2026 11:05:29"/>
    <s v="900800595"/>
    <s v="Provexpress SAS"/>
    <s v="900477127"/>
    <x v="168"/>
    <n v="79442.8"/>
    <n v="0"/>
    <n v="0"/>
    <n v="497562.8"/>
    <s v="Aprobado con notificación"/>
    <s v="Emitido"/>
    <x v="0"/>
    <x v="0"/>
    <x v="0"/>
    <x v="0"/>
    <x v="0"/>
    <x v="0"/>
    <m/>
  </r>
  <r>
    <s v="Factura electrónica"/>
    <s v="60dd1e93b392269cff14c68d17791deb07655e54f7f2970890604b934aa7abb05ccb00e4b48604ac97278bc75826b6a9"/>
    <x v="308"/>
    <n v="-1"/>
    <s v="FVE"/>
    <s v="03-02-2026"/>
    <s v="03-02-2026 11:05:34"/>
    <s v="900800595"/>
    <s v="Provexpress SAS"/>
    <s v="860014040"/>
    <x v="169"/>
    <n v="11226.15"/>
    <n v="0"/>
    <n v="0"/>
    <n v="70311.149999999994"/>
    <s v="Aprobado con notificación"/>
    <s v="Emitido"/>
    <x v="0"/>
    <x v="0"/>
    <x v="1"/>
    <x v="0"/>
    <x v="0"/>
    <x v="0"/>
    <s v="PAGA 6/02/2026"/>
  </r>
  <r>
    <s v="Factura electrónica"/>
    <s v="f6b004b7b2a6b4be34f15f4625ebfa0fc421d99513d1ac76092acfbfb0ffe80394a254e2f23df0559eb6316616204208"/>
    <x v="309"/>
    <n v="-1"/>
    <s v="FVE"/>
    <s v="03-02-2026"/>
    <s v="03-02-2026 11:35:40"/>
    <s v="900800595"/>
    <s v="Provexpress SAS"/>
    <s v="800091005"/>
    <x v="170"/>
    <n v="427500"/>
    <n v="0"/>
    <n v="0"/>
    <n v="2677500"/>
    <s v="Aprobado con notificación"/>
    <s v="Emitido"/>
    <x v="0"/>
    <x v="0"/>
    <x v="1"/>
    <x v="0"/>
    <x v="0"/>
    <x v="1"/>
    <s v="PAGA 9/12/2026"/>
  </r>
  <r>
    <s v="Factura electrónica"/>
    <s v="74e23c86200feb646d3eac89d923dd296f930b4a0e991ddbbe00de8f4721621301dbc94f55acc71e954881074930b9e1"/>
    <x v="310"/>
    <n v="-1"/>
    <s v="FVE"/>
    <s v="03-02-2026"/>
    <s v="03-02-2026 11:35:45"/>
    <s v="900800595"/>
    <s v="Provexpress SAS"/>
    <s v="800241469"/>
    <x v="48"/>
    <n v="112100"/>
    <n v="0"/>
    <n v="0"/>
    <n v="702100"/>
    <s v="Aprobado con notificación"/>
    <s v="Emitido"/>
    <x v="0"/>
    <x v="0"/>
    <x v="1"/>
    <x v="0"/>
    <x v="0"/>
    <x v="1"/>
    <s v="PAGA 2/03/2026"/>
  </r>
  <r>
    <s v="Factura electrónica"/>
    <s v="0518c69ac96751649db8cbff0a86ec63203bcf98327c5d764ad74baa807e747b0fbbba67a68e50218ce080f170b7a18b"/>
    <x v="311"/>
    <n v="-1"/>
    <s v="FVE"/>
    <s v="03-02-2026"/>
    <s v="03-02-2026 11:35:50"/>
    <s v="900800595"/>
    <s v="Provexpress SAS"/>
    <s v="860524163"/>
    <x v="171"/>
    <n v="371640"/>
    <n v="0"/>
    <n v="0"/>
    <n v="2327640"/>
    <s v="Aprobado con notificación"/>
    <s v="Emitido"/>
    <x v="0"/>
    <x v="0"/>
    <x v="0"/>
    <x v="0"/>
    <x v="0"/>
    <x v="0"/>
    <m/>
  </r>
  <r>
    <s v="Factura electrónica"/>
    <s v="ed451da81aa77071674b72f8d6bec739deb5eb1aba6496a668c320bcb48ee6d6a102e959d0e93f55e35a6d62a48b875f"/>
    <x v="312"/>
    <n v="-1"/>
    <s v="FVE"/>
    <s v="03-02-2026"/>
    <s v="03-02-2026 11:35:54"/>
    <s v="900800595"/>
    <s v="Provexpress SAS"/>
    <s v="860026058"/>
    <x v="172"/>
    <n v="1634000"/>
    <n v="0"/>
    <n v="0"/>
    <n v="10234000"/>
    <s v="Aprobado con notificación"/>
    <s v="Emitido"/>
    <x v="1"/>
    <x v="0"/>
    <x v="1"/>
    <x v="0"/>
    <x v="0"/>
    <x v="0"/>
    <m/>
  </r>
  <r>
    <s v="Factura electrónica"/>
    <s v="60707577388ac05328cbdc39374030aed5325b8569b0e6027691bb759a0acb1cb3b47098d2ff5cc57ee4701e316563a3"/>
    <x v="313"/>
    <n v="-1"/>
    <s v="FVE"/>
    <s v="03-02-2026"/>
    <s v="03-02-2026 11:35:59"/>
    <s v="900800595"/>
    <s v="Provexpress SAS"/>
    <s v="900705294"/>
    <x v="173"/>
    <n v="43814"/>
    <n v="0"/>
    <n v="0"/>
    <n v="274414"/>
    <s v="Aprobado con notificación"/>
    <s v="Emitido"/>
    <x v="0"/>
    <x v="0"/>
    <x v="1"/>
    <x v="0"/>
    <x v="0"/>
    <x v="1"/>
    <s v="PAGA EL 5/02/2026"/>
  </r>
  <r>
    <s v="Factura electrónica"/>
    <s v="bfa843e921703a41582ee5b299d05d8818c1ba9b9afcf25a4a721224cd165aeba8b4a58dd93bf7958a16a73b2f77c7a1"/>
    <x v="314"/>
    <n v="-1"/>
    <s v="FVE"/>
    <s v="03-02-2026"/>
    <s v="03-02-2026 11:36:04"/>
    <s v="900800595"/>
    <s v="Provexpress SAS"/>
    <s v="900714466"/>
    <x v="174"/>
    <n v="476266.92"/>
    <n v="0"/>
    <n v="0"/>
    <n v="2982934.92"/>
    <s v="Aprobado con notificación"/>
    <s v="Emitido"/>
    <x v="0"/>
    <x v="0"/>
    <x v="1"/>
    <x v="0"/>
    <x v="0"/>
    <x v="1"/>
    <s v="PAGA 9/02/2026"/>
  </r>
  <r>
    <s v="Factura electrónica"/>
    <s v="3be5707a5bb1a33995f19a8548ff5e09e72ad13249f60c9bf8895af41a12609f19bfa9896881f210d26797e02b95b763"/>
    <x v="315"/>
    <n v="-1"/>
    <s v="FVE"/>
    <s v="03-02-2026"/>
    <s v="03-02-2026 11:36:08"/>
    <s v="900800595"/>
    <s v="Provexpress SAS"/>
    <s v="800251569"/>
    <x v="175"/>
    <n v="4332000"/>
    <n v="0"/>
    <n v="0"/>
    <n v="27132000"/>
    <s v="Aprobado con notificación"/>
    <s v="Emitido"/>
    <x v="0"/>
    <x v="0"/>
    <x v="1"/>
    <x v="0"/>
    <x v="0"/>
    <x v="1"/>
    <s v="PAGA 20/02/2026"/>
  </r>
  <r>
    <s v="Factura electrónica"/>
    <s v="9846bdc1fbc58ddc38317c10dc9d41147627eee36517ad60da1f943f64fe1cd05ea18ff0ee26703200452d56cdd557c8"/>
    <x v="316"/>
    <n v="-1"/>
    <s v="FVE"/>
    <s v="03-02-2026"/>
    <s v="03-02-2026 11:36:13"/>
    <s v="900800595"/>
    <s v="Provexpress SAS"/>
    <s v="800251569"/>
    <x v="175"/>
    <n v="743656.2"/>
    <n v="0"/>
    <n v="0"/>
    <n v="4657636.2"/>
    <s v="Aprobado con notificación"/>
    <s v="Emitido"/>
    <x v="0"/>
    <x v="0"/>
    <x v="1"/>
    <x v="0"/>
    <x v="0"/>
    <x v="1"/>
    <s v="PAGA 24/02/2026"/>
  </r>
  <r>
    <s v="Factura electrónica"/>
    <s v="ba9e975933aa0bb2d46614620ca400fce04eae0e0dc2db33fb78c50187616652526289101945b959ea17a6341669bf48"/>
    <x v="317"/>
    <n v="-1"/>
    <s v="FVE"/>
    <s v="03-02-2026"/>
    <s v="03-02-2026 17:14:58"/>
    <s v="900800595"/>
    <s v="Provexpress SAS"/>
    <s v="800251569"/>
    <x v="175"/>
    <n v="99055.17"/>
    <n v="0"/>
    <n v="0"/>
    <n v="620398.17000000004"/>
    <s v="Aprobado con notificación"/>
    <s v="Emitido"/>
    <x v="0"/>
    <x v="0"/>
    <x v="1"/>
    <x v="0"/>
    <x v="0"/>
    <x v="1"/>
    <s v="PAGA 20/02/2026"/>
  </r>
  <r>
    <s v="Factura electrónica"/>
    <s v="30cb459fb9c80ae0ed3fb4f9db1bdd72bd634dc1a2e42db13539012e8a17eece773def7a5a978d5412f20fb6041c72e2"/>
    <x v="318"/>
    <n v="-1"/>
    <s v="FVE"/>
    <s v="03-02-2026"/>
    <s v="03-02-2026 11:51:25"/>
    <s v="900800595"/>
    <s v="Provexpress SAS"/>
    <s v="800251569"/>
    <x v="175"/>
    <n v="36594"/>
    <n v="0"/>
    <n v="0"/>
    <n v="229194"/>
    <s v="Aprobado con notificación"/>
    <s v="Emitido"/>
    <x v="0"/>
    <x v="0"/>
    <x v="1"/>
    <x v="0"/>
    <x v="0"/>
    <x v="1"/>
    <s v="PAGA 19/02/2026"/>
  </r>
  <r>
    <s v="Factura electrónica"/>
    <s v="ac567a3a6278b9a2ea5b2e117bb6687923b10cc6e5d8e0bc22a4757624b1acafc7f5603fd9e6bb58846800f48cf3c2fb"/>
    <x v="319"/>
    <n v="-1"/>
    <s v="FVE"/>
    <s v="03-02-2026"/>
    <s v="03-02-2026 11:51:29"/>
    <s v="900800595"/>
    <s v="Provexpress SAS"/>
    <s v="800251569"/>
    <x v="175"/>
    <n v="50666.73"/>
    <n v="0"/>
    <n v="0"/>
    <n v="317333.73"/>
    <s v="Aprobado con notificación"/>
    <s v="Emitido"/>
    <x v="0"/>
    <x v="0"/>
    <x v="1"/>
    <x v="0"/>
    <x v="0"/>
    <x v="1"/>
    <s v="PAGA 16/02/2026"/>
  </r>
  <r>
    <s v="Factura electrónica"/>
    <s v="ee2a1ea92c99b69a01c0a44ace72ab3a57086f2ac9c7dea883f189fba069f1b3006cb989da2a753bc1152d0877fe904d"/>
    <x v="320"/>
    <n v="-1"/>
    <s v="FVE"/>
    <s v="03-02-2026"/>
    <s v="03-02-2026 11:51:33"/>
    <s v="900800595"/>
    <s v="Provexpress SAS"/>
    <s v="800251569"/>
    <x v="175"/>
    <n v="51818.32"/>
    <n v="0"/>
    <n v="0"/>
    <n v="324546.32"/>
    <s v="Aprobado con notificación"/>
    <s v="Emitido"/>
    <x v="0"/>
    <x v="0"/>
    <x v="1"/>
    <x v="0"/>
    <x v="0"/>
    <x v="1"/>
    <s v="PAGA 20/02/2026"/>
  </r>
  <r>
    <s v="Factura electrónica"/>
    <s v="9ecdd5ab16e36cb52c5084edccc140384780ea527e27038354b24fea69bac2ab24e9cdeda72f3014a2238094ce7ca650"/>
    <x v="321"/>
    <n v="-1"/>
    <s v="FVE"/>
    <s v="03-02-2026"/>
    <s v="03-02-2026 11:51:38"/>
    <s v="900800595"/>
    <s v="Provexpress SAS"/>
    <s v="800251569"/>
    <x v="175"/>
    <n v="705196.78"/>
    <n v="0"/>
    <n v="0"/>
    <n v="4416758.78"/>
    <s v="Aprobado con notificación"/>
    <s v="Emitido"/>
    <x v="0"/>
    <x v="0"/>
    <x v="1"/>
    <x v="0"/>
    <x v="0"/>
    <x v="1"/>
    <s v="PAGA 20/02/2026"/>
  </r>
  <r>
    <s v="Factura electrónica"/>
    <s v="8f1ace6477c45c4a552d05d345715de297d061990f5d7a8f22b948d13d84be487e67021de4c812fc46cc7442640a70ee"/>
    <x v="322"/>
    <n v="-1"/>
    <s v="FVE"/>
    <s v="03-02-2026"/>
    <s v="03-02-2026 11:51:42"/>
    <s v="900800595"/>
    <s v="Provexpress SAS"/>
    <s v="800251569"/>
    <x v="175"/>
    <n v="134038.54"/>
    <n v="0"/>
    <n v="0"/>
    <n v="839504.54"/>
    <s v="Aprobado con notificación"/>
    <s v="Emitido"/>
    <x v="0"/>
    <x v="0"/>
    <x v="1"/>
    <x v="0"/>
    <x v="0"/>
    <x v="1"/>
    <d v="2026-02-23T00:00:00"/>
  </r>
  <r>
    <s v="Factura electrónica"/>
    <s v="0e33ef860e6459b823315a92288bb184c603820ed727d920efa804234d1ddedffe34939cc11dee072e99fba2e8ab2f3d"/>
    <x v="323"/>
    <n v="-1"/>
    <s v="FVE"/>
    <s v="03-02-2026"/>
    <s v="03-02-2026 11:51:47"/>
    <s v="900800595"/>
    <s v="Provexpress SAS"/>
    <s v="900744272"/>
    <x v="176"/>
    <n v="542442.59"/>
    <n v="0"/>
    <n v="0"/>
    <n v="3397403.59"/>
    <s v="Aprobado con notificación"/>
    <s v="Emitido"/>
    <x v="0"/>
    <x v="0"/>
    <x v="1"/>
    <x v="0"/>
    <x v="1"/>
    <x v="0"/>
    <m/>
  </r>
  <r>
    <s v="Factura electrónica"/>
    <s v="d4782816e21843ab6ad89432e552c0bc2c8ebf0a3417b531417e975f9a4a752838ac0b3daa29fa05499589fbd7fa2e00"/>
    <x v="324"/>
    <n v="-1"/>
    <s v="FVE"/>
    <s v="03-02-2026"/>
    <s v="03-02-2026 11:51:51"/>
    <s v="900800595"/>
    <s v="Provexpress SAS"/>
    <s v="901783463"/>
    <x v="177"/>
    <n v="213180"/>
    <n v="0"/>
    <n v="0"/>
    <n v="1335180"/>
    <s v="Aprobado con notificación"/>
    <s v="Emitido"/>
    <x v="1"/>
    <x v="0"/>
    <x v="1"/>
    <x v="0"/>
    <x v="0"/>
    <x v="0"/>
    <m/>
  </r>
  <r>
    <s v="Factura electrónica"/>
    <s v="911303be3c6d3307f05e0112fb020c864423f3ea0a313baaa08da427e24424b4554d1c72b95faac076b555463edcd883"/>
    <x v="325"/>
    <n v="-1"/>
    <s v="FVE"/>
    <s v="03-02-2026"/>
    <s v="03-02-2026 11:51:57"/>
    <s v="900800595"/>
    <s v="Provexpress SAS"/>
    <s v="901783463"/>
    <x v="177"/>
    <n v="107160"/>
    <n v="0"/>
    <n v="0"/>
    <n v="671160"/>
    <s v="Aprobado con notificación"/>
    <s v="Emitido"/>
    <x v="1"/>
    <x v="0"/>
    <x v="1"/>
    <x v="0"/>
    <x v="0"/>
    <x v="0"/>
    <m/>
  </r>
  <r>
    <s v="Factura electrónica"/>
    <s v="428e9ecdb0a45f5c6db9265dddff51fa14cc40545cb0c669363cb2615e16d00a6874a790a46997a3db116fd6b944e77b"/>
    <x v="326"/>
    <n v="-1"/>
    <s v="FVE"/>
    <s v="03-02-2026"/>
    <s v="03-02-2026 11:52:01"/>
    <s v="900800595"/>
    <s v="Provexpress SAS"/>
    <s v="800181114"/>
    <x v="178"/>
    <n v="98800"/>
    <n v="0"/>
    <n v="0"/>
    <n v="618800"/>
    <s v="Aprobado con notificación"/>
    <s v="Emitido"/>
    <x v="1"/>
    <x v="0"/>
    <x v="1"/>
    <x v="0"/>
    <x v="0"/>
    <x v="0"/>
    <m/>
  </r>
  <r>
    <s v="Factura electrónica"/>
    <s v="14ce36f2fbfd6cafa3affbdd99deb4130c8ea8e2c476f8bd7d2651d8e9613ca93a5cc341d69b8a262a9d6ebc30ec8a8e"/>
    <x v="327"/>
    <n v="-1"/>
    <s v="FVE"/>
    <s v="03-02-2026"/>
    <s v="03-02-2026 11:52:05"/>
    <s v="900800595"/>
    <s v="Provexpress SAS"/>
    <s v="804003084"/>
    <x v="179"/>
    <n v="196650"/>
    <n v="0"/>
    <n v="0"/>
    <n v="1231650"/>
    <s v="Aprobado con notificación"/>
    <s v="Emitido"/>
    <x v="0"/>
    <x v="0"/>
    <x v="0"/>
    <x v="0"/>
    <x v="0"/>
    <x v="0"/>
    <m/>
  </r>
  <r>
    <s v="Factura electrónica"/>
    <s v="6b99c2e14f694e0f0bf626ccc673478f993e047f4f17cb206ea6a94eaa9cf6437e3a981a692ec52833c7237068ac38be"/>
    <x v="328"/>
    <n v="-1"/>
    <s v="FVE"/>
    <s v="03-02-2026"/>
    <s v="03-02-2026 12:07:11"/>
    <s v="900800595"/>
    <s v="Provexpress SAS"/>
    <s v="890112475"/>
    <x v="180"/>
    <n v="7789345.6399999997"/>
    <n v="0"/>
    <n v="0"/>
    <n v="48785901.640000001"/>
    <s v="Aprobado con notificación"/>
    <s v="Emitido"/>
    <x v="1"/>
    <x v="0"/>
    <x v="1"/>
    <x v="0"/>
    <x v="0"/>
    <x v="0"/>
    <m/>
  </r>
  <r>
    <s v="Factura electrónica"/>
    <s v="6f5c50ae95e2de967ce4e41965b931053fb7d71a2b4dfdcd6e63e9b19602296d88757391978e4d7d0f035e1023567f40"/>
    <x v="329"/>
    <n v="-1"/>
    <s v="FVE"/>
    <s v="03-02-2026"/>
    <s v="03-02-2026 12:07:16"/>
    <s v="900800595"/>
    <s v="Provexpress SAS"/>
    <s v="830095262"/>
    <x v="181"/>
    <n v="594605"/>
    <n v="0"/>
    <n v="0"/>
    <n v="3724105"/>
    <s v="Aprobado con notificación"/>
    <s v="Emitido"/>
    <x v="1"/>
    <x v="0"/>
    <x v="1"/>
    <x v="0"/>
    <x v="0"/>
    <x v="0"/>
    <m/>
  </r>
  <r>
    <s v="Factura electrónica"/>
    <s v="1636c52c984040d6646647271d3bd3ef27cf35fbc24fc4ef30ac5ea719eda18f388ff6dea53b1f318e642cdfc835dd0c"/>
    <x v="330"/>
    <n v="-1"/>
    <s v="FVE"/>
    <s v="03-02-2026"/>
    <s v="03-02-2026 12:07:21"/>
    <s v="900800595"/>
    <s v="Provexpress SAS"/>
    <s v="830095262"/>
    <x v="181"/>
    <n v="1876440"/>
    <n v="0"/>
    <n v="0"/>
    <n v="11752440"/>
    <s v="Aprobado con notificación"/>
    <s v="Emitido"/>
    <x v="1"/>
    <x v="0"/>
    <x v="1"/>
    <x v="0"/>
    <x v="0"/>
    <x v="0"/>
    <m/>
  </r>
  <r>
    <s v="Factura electrónica"/>
    <s v="46cec2dca960fedfe6ab5be193a3df1db3998df87236b12eb3fd502dea5b3445ca5396214494ab1e1e4d7ac911b90ecd"/>
    <x v="331"/>
    <n v="-1"/>
    <s v="FVE"/>
    <s v="03-02-2026"/>
    <s v="03-02-2026 12:07:26"/>
    <s v="900800595"/>
    <s v="Provexpress SAS"/>
    <s v="800120681"/>
    <x v="182"/>
    <n v="25226.49"/>
    <n v="0"/>
    <n v="0"/>
    <n v="157997.49"/>
    <s v="Aprobado con notificación"/>
    <s v="Emitido"/>
    <x v="0"/>
    <x v="0"/>
    <x v="1"/>
    <x v="0"/>
    <x v="0"/>
    <x v="1"/>
    <s v="PAGA 23/02/2026"/>
  </r>
  <r>
    <s v="Factura electrónica"/>
    <s v="3cef28d00fffee23e77c6a9f497816c33ce435cc252d087a94405af0f7b6b5f2ba5c1ef5c26c850d46b367851362fcbd"/>
    <x v="332"/>
    <n v="-1"/>
    <s v="FVE"/>
    <s v="03-02-2026"/>
    <s v="03-02-2026 12:07:30"/>
    <s v="900800595"/>
    <s v="Provexpress SAS"/>
    <s v="900896981"/>
    <x v="183"/>
    <n v="157043"/>
    <n v="0"/>
    <n v="0"/>
    <n v="1047543"/>
    <s v="Aprobado con notificación"/>
    <s v="Emitido"/>
    <x v="1"/>
    <x v="0"/>
    <x v="1"/>
    <x v="0"/>
    <x v="0"/>
    <x v="1"/>
    <s v="PAGA 2/03/2026"/>
  </r>
  <r>
    <s v="Factura electrónica"/>
    <s v="6fd8330f00cd95e3f29f5ab5fe122c12dcd03d59feb78e565762dbb70d4777542036eaeb6ef4affb788739a55a96a7f3"/>
    <x v="333"/>
    <n v="-1"/>
    <s v="FVE"/>
    <s v="03-02-2026"/>
    <s v="03-02-2026 12:07:35"/>
    <s v="900800595"/>
    <s v="Provexpress SAS"/>
    <s v="800241469"/>
    <x v="48"/>
    <n v="771780"/>
    <n v="0"/>
    <n v="0"/>
    <n v="4833780"/>
    <s v="Aprobado con notificación"/>
    <s v="Emitido"/>
    <x v="0"/>
    <x v="0"/>
    <x v="1"/>
    <x v="0"/>
    <x v="0"/>
    <x v="0"/>
    <m/>
  </r>
  <r>
    <s v="Factura electrónica"/>
    <s v="a435b71ec075bd1669597ef897d074c794029e93e97e3162a142ccd06c2d21daa13d01251e4c0f75bf431336aa58d850"/>
    <x v="334"/>
    <n v="-1"/>
    <s v="FVE"/>
    <s v="03-02-2026"/>
    <s v="03-02-2026 12:07:39"/>
    <s v="900800595"/>
    <s v="Provexpress SAS"/>
    <s v="800063606"/>
    <x v="184"/>
    <n v="129485"/>
    <n v="0"/>
    <n v="0"/>
    <n v="810985"/>
    <s v="Aprobado con notificación"/>
    <s v="Emitido"/>
    <x v="0"/>
    <x v="0"/>
    <x v="1"/>
    <x v="0"/>
    <x v="1"/>
    <x v="0"/>
    <m/>
  </r>
  <r>
    <s v="Factura electrónica"/>
    <s v="4a9bba12649e93bd016c4e2594598f466c61e438233fafbc25b0c7e6a1dc2f0c8662a1c2ae046cc11db81df9fc8ad104"/>
    <x v="335"/>
    <n v="-1"/>
    <s v="FVE"/>
    <s v="03-02-2026"/>
    <s v="03-02-2026 12:07:44"/>
    <s v="900800595"/>
    <s v="Provexpress SAS"/>
    <s v="52870894"/>
    <x v="185"/>
    <n v="8513.9"/>
    <n v="0"/>
    <n v="0"/>
    <n v="53323.9"/>
    <s v="Aprobado con notificación"/>
    <s v="Emitido"/>
    <x v="0"/>
    <x v="0"/>
    <x v="1"/>
    <x v="0"/>
    <x v="0"/>
    <x v="1"/>
    <s v="PAGA 2/03/2026"/>
  </r>
  <r>
    <s v="Factura electrónica"/>
    <s v="24ba4f8e080fd49bbd48cbe135fbfce05d5046ff5b109a3a70954924950554a9b6d6914328b399ce63ddec22dbbb4937"/>
    <x v="336"/>
    <n v="-1"/>
    <s v="FVE"/>
    <s v="03-02-2026"/>
    <s v="03-02-2026 12:22:51"/>
    <s v="900800595"/>
    <s v="Provexpress SAS"/>
    <s v="830077655"/>
    <x v="186"/>
    <n v="30053.439999999999"/>
    <n v="0"/>
    <n v="0"/>
    <n v="188229.44"/>
    <s v="Aprobado con notificación"/>
    <s v="Emitido"/>
    <x v="1"/>
    <x v="0"/>
    <x v="1"/>
    <x v="0"/>
    <x v="0"/>
    <x v="0"/>
    <m/>
  </r>
  <r>
    <s v="Factura electrónica"/>
    <s v="dcb27c9efb21094734391cf31284ef9dd3a27af06ee1b59117b239ef289f301d3669134a03058aca3fefcf620f4645e0"/>
    <x v="337"/>
    <n v="-1"/>
    <s v="FVE"/>
    <s v="03-02-2026"/>
    <s v="03-02-2026 12:22:55"/>
    <s v="900800595"/>
    <s v="Provexpress SAS"/>
    <s v="800042119"/>
    <x v="187"/>
    <n v="141311.74"/>
    <n v="0"/>
    <n v="0"/>
    <n v="885057.74"/>
    <s v="Aprobado con notificación"/>
    <s v="Emitido"/>
    <x v="0"/>
    <x v="0"/>
    <x v="0"/>
    <x v="0"/>
    <x v="0"/>
    <x v="0"/>
    <m/>
  </r>
  <r>
    <s v="Factura electrónica"/>
    <s v="dbdf06a11394debe1f177d51f8ef9925d15829c0bcc5ecd02ac38167232056919099333848fbed45404b672f29cc3d74"/>
    <x v="338"/>
    <n v="-1"/>
    <s v="FVE"/>
    <s v="03-02-2026"/>
    <s v="03-02-2026 12:23:00"/>
    <s v="900800595"/>
    <s v="Provexpress SAS"/>
    <s v="830089642"/>
    <x v="188"/>
    <n v="81852"/>
    <n v="0"/>
    <n v="0"/>
    <n v="512652"/>
    <s v="Aprobado con notificación"/>
    <s v="Emitido"/>
    <x v="0"/>
    <x v="0"/>
    <x v="0"/>
    <x v="0"/>
    <x v="0"/>
    <x v="0"/>
    <m/>
  </r>
  <r>
    <s v="Factura electrónica"/>
    <s v="2e25f674befd2c1c5fcd4129e8cc870674ebf6ac675d8c3371d94d754a30f629b5e0316479b3db2d1cc93c0ec2189113"/>
    <x v="339"/>
    <n v="-1"/>
    <s v="FVE"/>
    <s v="03-02-2026"/>
    <s v="03-02-2026 12:23:05"/>
    <s v="900800595"/>
    <s v="Provexpress SAS"/>
    <s v="860009107"/>
    <x v="189"/>
    <n v="16974.599999999999"/>
    <n v="0"/>
    <n v="0"/>
    <n v="106314.6"/>
    <s v="Aprobado con notificación"/>
    <s v="Emitido"/>
    <x v="1"/>
    <x v="0"/>
    <x v="1"/>
    <x v="0"/>
    <x v="0"/>
    <x v="0"/>
    <m/>
  </r>
  <r>
    <s v="Factura electrónica"/>
    <s v="c6b926a1f64b63f0e310c2ba43ed5caa6ee46d71e4c39283dc627ffb56eea880ad251398a033a3fb6d8cdc9f3a85bbb4"/>
    <x v="340"/>
    <n v="-1"/>
    <s v="FVE"/>
    <s v="03-02-2026"/>
    <s v="03-02-2026 12:23:09"/>
    <s v="900800595"/>
    <s v="Provexpress SAS"/>
    <s v="860028601"/>
    <x v="190"/>
    <n v="106780"/>
    <n v="0"/>
    <n v="0"/>
    <n v="668780"/>
    <s v="Aprobado con notificación"/>
    <s v="Emitido"/>
    <x v="1"/>
    <x v="0"/>
    <x v="1"/>
    <x v="0"/>
    <x v="0"/>
    <x v="0"/>
    <m/>
  </r>
  <r>
    <s v="Factura electrónica"/>
    <s v="018532fa50e76614d25226033b818aab3d98849682d84ad68024dd8dfe31023c79f62b4b827288589ff1719fab3a75e9"/>
    <x v="341"/>
    <n v="-1"/>
    <s v="FVE"/>
    <s v="03-02-2026"/>
    <s v="03-02-2026 12:23:14"/>
    <s v="900800595"/>
    <s v="Provexpress SAS"/>
    <s v="860028601"/>
    <x v="190"/>
    <n v="71060"/>
    <n v="0"/>
    <n v="0"/>
    <n v="445060"/>
    <s v="Aprobado con notificación"/>
    <s v="Emitido"/>
    <x v="1"/>
    <x v="0"/>
    <x v="1"/>
    <x v="0"/>
    <x v="0"/>
    <x v="0"/>
    <m/>
  </r>
  <r>
    <s v="Factura electrónica"/>
    <s v="1dfb070064295dda865e9b85165cb2ba0a2b2cd2ab45e7f6cfa8a27d66d3b24ade79b4e303e650bc1d0382442e5ca071"/>
    <x v="342"/>
    <n v="-1"/>
    <s v="FVE"/>
    <s v="03-02-2026"/>
    <s v="03-02-2026 12:23:20"/>
    <s v="900800595"/>
    <s v="Provexpress SAS"/>
    <s v="860028601"/>
    <x v="190"/>
    <n v="71060"/>
    <n v="0"/>
    <n v="0"/>
    <n v="445060"/>
    <s v="Aprobado con notificación"/>
    <s v="Emitido"/>
    <x v="1"/>
    <x v="0"/>
    <x v="1"/>
    <x v="0"/>
    <x v="0"/>
    <x v="0"/>
    <m/>
  </r>
  <r>
    <s v="Factura electrónica"/>
    <s v="e6d09f4c78d530ca4d1ef775db0a7663ce40cca2525ee2a756f1783fdc8375d889a508067732d8356dc9139ff041d38e"/>
    <x v="343"/>
    <n v="-1"/>
    <s v="FVE"/>
    <s v="03-02-2026"/>
    <s v="03-02-2026 12:23:23"/>
    <s v="900800595"/>
    <s v="Provexpress SAS"/>
    <s v="860028601"/>
    <x v="190"/>
    <n v="124260"/>
    <n v="0"/>
    <n v="0"/>
    <n v="778260"/>
    <s v="Aprobado con notificación"/>
    <s v="Emitido"/>
    <x v="1"/>
    <x v="0"/>
    <x v="1"/>
    <x v="0"/>
    <x v="0"/>
    <x v="0"/>
    <m/>
  </r>
  <r>
    <s v="Factura electrónica"/>
    <s v="0c7b300566f416f1202f59144580c9ccedf3515d9faa8397bdd08dff250a6e01e4e9b01c8629a1293ce601bc697d1a20"/>
    <x v="344"/>
    <n v="-1"/>
    <s v="FVE"/>
    <s v="03-02-2026"/>
    <s v="03-02-2026 12:23:28"/>
    <s v="900800595"/>
    <s v="Provexpress SAS"/>
    <s v="860028601"/>
    <x v="190"/>
    <n v="71060"/>
    <n v="0"/>
    <n v="0"/>
    <n v="445060"/>
    <s v="Aprobado con notificación"/>
    <s v="Emitido"/>
    <x v="1"/>
    <x v="0"/>
    <x v="1"/>
    <x v="0"/>
    <x v="0"/>
    <x v="0"/>
    <m/>
  </r>
  <r>
    <s v="Factura electrónica"/>
    <s v="aad4562050481a1c9feef582577605d77369e9b83aa9ce2fbce433165ae5b5b712f6ec97f2615997882f7ef0303574a9"/>
    <x v="345"/>
    <n v="-1"/>
    <s v="FVE"/>
    <s v="03-02-2026"/>
    <s v="03-02-2026 12:23:33"/>
    <s v="900800595"/>
    <s v="Provexpress SAS"/>
    <s v="860028601"/>
    <x v="190"/>
    <n v="71060"/>
    <n v="0"/>
    <n v="0"/>
    <n v="445060"/>
    <s v="Aprobado con notificación"/>
    <s v="Emitido"/>
    <x v="1"/>
    <x v="0"/>
    <x v="1"/>
    <x v="0"/>
    <x v="0"/>
    <x v="0"/>
    <m/>
  </r>
  <r>
    <s v="Factura electrónica"/>
    <s v="543f16efe8851a1138462b1ac9797b7beb1e7c422deb541064622e56d9df32b27fffb3e7c1f61906d96c6529ea59e5c3"/>
    <x v="346"/>
    <n v="-1"/>
    <s v="FVE"/>
    <s v="03-02-2026"/>
    <s v="03-02-2026 12:23:37"/>
    <s v="900800595"/>
    <s v="Provexpress SAS"/>
    <s v="860028601"/>
    <x v="190"/>
    <n v="355300"/>
    <n v="0"/>
    <n v="0"/>
    <n v="2225300"/>
    <s v="Aprobado con notificación"/>
    <s v="Emitido"/>
    <x v="1"/>
    <x v="0"/>
    <x v="1"/>
    <x v="0"/>
    <x v="0"/>
    <x v="0"/>
    <m/>
  </r>
  <r>
    <s v="Factura electrónica"/>
    <s v="b6ba659fe5bebc049aa950c3af6f96b26513ca517c91b866544b55d9b6b89cf081fa01ac9c90df4f7bed79907e847cc5"/>
    <x v="347"/>
    <n v="-1"/>
    <s v="FVE"/>
    <s v="03-02-2026"/>
    <s v="03-02-2026 12:23:42"/>
    <s v="900800595"/>
    <s v="Provexpress SAS"/>
    <s v="860028601"/>
    <x v="190"/>
    <n v="35720"/>
    <n v="0"/>
    <n v="0"/>
    <n v="223720"/>
    <s v="Aprobado con notificación"/>
    <s v="Emitido"/>
    <x v="1"/>
    <x v="0"/>
    <x v="1"/>
    <x v="0"/>
    <x v="0"/>
    <x v="0"/>
    <m/>
  </r>
  <r>
    <s v="Factura electrónica"/>
    <s v="a3f044ab6232dc2b051777f6000e2dbeb7cd2c0322e9dd75758c2450107a5825f02869bed63ffd6b950fb13a67ce3264"/>
    <x v="348"/>
    <n v="-1"/>
    <s v="FVE"/>
    <s v="03-02-2026"/>
    <s v="03-02-2026 12:38:48"/>
    <s v="900800595"/>
    <s v="Provexpress SAS"/>
    <s v="860028601"/>
    <x v="190"/>
    <n v="35720"/>
    <n v="0"/>
    <n v="0"/>
    <n v="223720"/>
    <s v="Aprobado con notificación"/>
    <s v="Emitido"/>
    <x v="1"/>
    <x v="0"/>
    <x v="1"/>
    <x v="0"/>
    <x v="0"/>
    <x v="0"/>
    <m/>
  </r>
  <r>
    <s v="Factura electrónica"/>
    <s v="b209133f62a976293beeb4027c9f9673c9054db769ed4a0d966cee5c58cb5d527568087ae2fdbdfdb199d8ff330aa31e"/>
    <x v="349"/>
    <n v="-1"/>
    <s v="FVE"/>
    <s v="03-02-2026"/>
    <s v="03-02-2026 12:38:53"/>
    <s v="900800595"/>
    <s v="Provexpress SAS"/>
    <s v="860028601"/>
    <x v="190"/>
    <n v="71440"/>
    <n v="0"/>
    <n v="0"/>
    <n v="447440"/>
    <s v="Aprobado con notificación"/>
    <s v="Emitido"/>
    <x v="1"/>
    <x v="0"/>
    <x v="1"/>
    <x v="0"/>
    <x v="0"/>
    <x v="0"/>
    <m/>
  </r>
  <r>
    <s v="Factura electrónica"/>
    <s v="38df8e5ed704fd3fe7ad6118782a32ff0be17559c791f9017444f419a265f12c45ce9226ff09c306279e69542b784ed2"/>
    <x v="350"/>
    <n v="-1"/>
    <s v="FVE"/>
    <s v="03-02-2026"/>
    <s v="03-02-2026 12:38:57"/>
    <s v="900800595"/>
    <s v="Provexpress SAS"/>
    <s v="860028601"/>
    <x v="190"/>
    <n v="53580"/>
    <n v="0"/>
    <n v="0"/>
    <n v="335580"/>
    <s v="Aprobado con notificación"/>
    <s v="Emitido"/>
    <x v="1"/>
    <x v="0"/>
    <x v="1"/>
    <x v="0"/>
    <x v="0"/>
    <x v="0"/>
    <m/>
  </r>
  <r>
    <s v="Factura electrónica"/>
    <s v="3844793368f0ee2f9264aef472de141f6083a16b4001624ac6ecd54119eeb4c04ff882b3fe5d1b51e95fa0f0e28989a2"/>
    <x v="351"/>
    <n v="-1"/>
    <s v="FVE"/>
    <s v="03-02-2026"/>
    <s v="03-02-2026 12:39:02"/>
    <s v="900800595"/>
    <s v="Provexpress SAS"/>
    <s v="860028601"/>
    <x v="190"/>
    <n v="159600"/>
    <n v="0"/>
    <n v="0"/>
    <n v="999600"/>
    <s v="Aprobado con notificación"/>
    <s v="Emitido"/>
    <x v="1"/>
    <x v="0"/>
    <x v="1"/>
    <x v="0"/>
    <x v="0"/>
    <x v="0"/>
    <m/>
  </r>
  <r>
    <s v="Factura electrónica"/>
    <s v="f7a7ab197039a8b211dae0c1486949a5ae97c41cba706cf09528e5a2fd926614909dfbe4d4779d4a7c858035a36bebc3"/>
    <x v="352"/>
    <n v="-1"/>
    <s v="FVE"/>
    <s v="03-02-2026"/>
    <s v="03-02-2026 12:39:07"/>
    <s v="900800595"/>
    <s v="Provexpress SAS"/>
    <s v="860028601"/>
    <x v="190"/>
    <n v="53200"/>
    <n v="0"/>
    <n v="0"/>
    <n v="333200"/>
    <s v="Aprobado con notificación"/>
    <s v="Emitido"/>
    <x v="1"/>
    <x v="0"/>
    <x v="1"/>
    <x v="0"/>
    <x v="0"/>
    <x v="0"/>
    <m/>
  </r>
  <r>
    <s v="Factura electrónica"/>
    <s v="f07fc8a39aae8ef9528a535a8983466a15d5eb60b478de341e94a80d92b4fd30f4fd1ebaa07156934b7894e9d3b0be6c"/>
    <x v="353"/>
    <n v="-1"/>
    <s v="FVE"/>
    <s v="03-02-2026"/>
    <s v="03-02-2026 12:39:11"/>
    <s v="900800595"/>
    <s v="Provexpress SAS"/>
    <s v="860028601"/>
    <x v="190"/>
    <n v="53200"/>
    <n v="0"/>
    <n v="0"/>
    <n v="333200"/>
    <s v="Aprobado con notificación"/>
    <s v="Emitido"/>
    <x v="1"/>
    <x v="0"/>
    <x v="1"/>
    <x v="0"/>
    <x v="0"/>
    <x v="0"/>
    <m/>
  </r>
  <r>
    <s v="Factura electrónica"/>
    <s v="0ae0f9015b1d9ec65c19351a007f6f96d436b38841f07ecff639ca3a115cc3dbf257731d48fe0ba3c54839c6d913e63f"/>
    <x v="354"/>
    <n v="-1"/>
    <s v="FVE"/>
    <s v="03-02-2026"/>
    <s v="03-02-2026 12:39:16"/>
    <s v="900800595"/>
    <s v="Provexpress SAS"/>
    <s v="860028601"/>
    <x v="190"/>
    <n v="53200"/>
    <n v="0"/>
    <n v="0"/>
    <n v="333200"/>
    <s v="Aprobado con notificación"/>
    <s v="Emitido"/>
    <x v="1"/>
    <x v="0"/>
    <x v="1"/>
    <x v="0"/>
    <x v="0"/>
    <x v="0"/>
    <m/>
  </r>
  <r>
    <s v="Factura electrónica"/>
    <s v="f7d7bcb446cc264debcd8e2bf6625e1156452d91be29b6ca4892f6086cbaad8634897fcb76841dc84b2a1acfa2d331de"/>
    <x v="355"/>
    <n v="-1"/>
    <s v="FVE"/>
    <s v="03-02-2026"/>
    <s v="03-02-2026 12:39:20"/>
    <s v="900800595"/>
    <s v="Provexpress SAS"/>
    <s v="860028601"/>
    <x v="190"/>
    <n v="53200"/>
    <n v="0"/>
    <n v="0"/>
    <n v="333200"/>
    <s v="Aprobado con notificación"/>
    <s v="Emitido"/>
    <x v="1"/>
    <x v="0"/>
    <x v="1"/>
    <x v="0"/>
    <x v="0"/>
    <x v="0"/>
    <m/>
  </r>
  <r>
    <s v="Factura electrónica"/>
    <s v="70fe1a5e475f910d4f637504be33a44ea47b37f9c4e83f58ca39dedd2cb1ff56ef1a61e261c857bd029ce199f3659cec"/>
    <x v="356"/>
    <n v="-1"/>
    <s v="FVE"/>
    <s v="03-02-2026"/>
    <s v="03-02-2026 12:39:24"/>
    <s v="900800595"/>
    <s v="Provexpress SAS"/>
    <s v="860028601"/>
    <x v="190"/>
    <n v="53200"/>
    <n v="0"/>
    <n v="0"/>
    <n v="333200"/>
    <s v="Aprobado con notificación"/>
    <s v="Emitido"/>
    <x v="1"/>
    <x v="0"/>
    <x v="1"/>
    <x v="0"/>
    <x v="0"/>
    <x v="0"/>
    <m/>
  </r>
  <r>
    <s v="Factura electrónica"/>
    <s v="3d64b2fae36fdb7b10f925b4ad121af616f5c3ccd461dc32206c6642435c439774b98f182abce0512173e81f877600ff"/>
    <x v="357"/>
    <n v="-1"/>
    <s v="FVE"/>
    <s v="03-02-2026"/>
    <s v="03-02-2026 12:39:29"/>
    <s v="900800595"/>
    <s v="Provexpress SAS"/>
    <s v="860028601"/>
    <x v="190"/>
    <n v="53200"/>
    <n v="0"/>
    <n v="0"/>
    <n v="333200"/>
    <s v="Aprobado con notificación"/>
    <s v="Emitido"/>
    <x v="1"/>
    <x v="0"/>
    <x v="1"/>
    <x v="0"/>
    <x v="0"/>
    <x v="0"/>
    <m/>
  </r>
  <r>
    <s v="Factura electrónica"/>
    <s v="320fecba924f11e87686d6f5c78eec2f26b13e699ba3728a14b8392c8e8afe0c9b0ed281077626e9f0a18dbb15dd889d"/>
    <x v="358"/>
    <n v="-1"/>
    <s v="FVE"/>
    <s v="03-02-2026"/>
    <s v="03-02-2026 12:39:34"/>
    <s v="900800595"/>
    <s v="Provexpress SAS"/>
    <s v="860028601"/>
    <x v="190"/>
    <n v="53200"/>
    <n v="0"/>
    <n v="0"/>
    <n v="333200"/>
    <s v="Aprobado con notificación"/>
    <s v="Emitido"/>
    <x v="1"/>
    <x v="0"/>
    <x v="1"/>
    <x v="0"/>
    <x v="0"/>
    <x v="0"/>
    <m/>
  </r>
  <r>
    <s v="Factura electrónica"/>
    <s v="71de977c4f2e6cb7b1f0a1d15604415d6cb423743b57bae7d14c64be81fe298e15e9c3485cd3aaf0adb92fffcd9709f7"/>
    <x v="359"/>
    <n v="-1"/>
    <s v="FVE"/>
    <s v="03-02-2026"/>
    <s v="03-02-2026 12:39:39"/>
    <s v="900800595"/>
    <s v="Provexpress SAS"/>
    <s v="860028601"/>
    <x v="190"/>
    <n v="106400"/>
    <n v="0"/>
    <n v="0"/>
    <n v="666400"/>
    <s v="Aprobado con notificación"/>
    <s v="Emitido"/>
    <x v="1"/>
    <x v="0"/>
    <x v="1"/>
    <x v="0"/>
    <x v="0"/>
    <x v="0"/>
    <m/>
  </r>
  <r>
    <s v="Factura electrónica"/>
    <s v="399c41bffbbb9d0d204c482a04e7f0db132e198b900a903889378b303c4bdd086f386f8aff4127af8fea786e89548219"/>
    <x v="360"/>
    <n v="-1"/>
    <s v="FVE"/>
    <s v="03-02-2026"/>
    <s v="03-02-2026 12:39:43"/>
    <s v="900800595"/>
    <s v="Provexpress SAS"/>
    <s v="860028601"/>
    <x v="190"/>
    <n v="53200"/>
    <n v="0"/>
    <n v="0"/>
    <n v="333200"/>
    <s v="Aprobado con notificación"/>
    <s v="Emitido"/>
    <x v="1"/>
    <x v="0"/>
    <x v="1"/>
    <x v="0"/>
    <x v="0"/>
    <x v="0"/>
    <m/>
  </r>
  <r>
    <s v="Factura electrónica"/>
    <s v="8a4ebf8b961993b0dd7e16008b8c7e1e486aa4b4d020784b6b3107d52bb4ad1f7901f7e766790ebdcaa468894201edd2"/>
    <x v="361"/>
    <n v="-1"/>
    <s v="FVE"/>
    <s v="03-02-2026"/>
    <s v="03-02-2026 12:39:47"/>
    <s v="900800595"/>
    <s v="Provexpress SAS"/>
    <s v="860028601"/>
    <x v="190"/>
    <n v="9212.34"/>
    <n v="0"/>
    <n v="0"/>
    <n v="57698.34"/>
    <s v="Aprobado con notificación"/>
    <s v="Emitido"/>
    <x v="1"/>
    <x v="0"/>
    <x v="1"/>
    <x v="0"/>
    <x v="0"/>
    <x v="0"/>
    <m/>
  </r>
  <r>
    <s v="Factura electrónica"/>
    <s v="5880d291b00b558070d7be1a762bf381ad65623f33706f6f033e4823c85bfb6e3beedb39638096cdfccda02daf3d39a7"/>
    <x v="362"/>
    <n v="-1"/>
    <s v="FVE"/>
    <s v="03-02-2026"/>
    <s v="03-02-2026 12:39:53"/>
    <s v="900800595"/>
    <s v="Provexpress SAS"/>
    <s v="860028601"/>
    <x v="190"/>
    <n v="9212.34"/>
    <n v="0"/>
    <n v="0"/>
    <n v="57698.34"/>
    <s v="Aprobado con notificación"/>
    <s v="Emitido"/>
    <x v="1"/>
    <x v="0"/>
    <x v="1"/>
    <x v="0"/>
    <x v="0"/>
    <x v="0"/>
    <m/>
  </r>
  <r>
    <s v="Factura electrónica"/>
    <s v="3cab7e23736e92227d794bc26794b73afb2de95daf4f176c52d1373c3f4069bfcf0b0dc1b14ba0f79165a100a6dff11f"/>
    <x v="363"/>
    <n v="-1"/>
    <s v="FVE"/>
    <s v="03-02-2026"/>
    <s v="03-02-2026 12:39:57"/>
    <s v="900800595"/>
    <s v="Provexpress SAS"/>
    <s v="860028601"/>
    <x v="190"/>
    <n v="9212.34"/>
    <n v="0"/>
    <n v="0"/>
    <n v="57698.34"/>
    <s v="Aprobado con notificación"/>
    <s v="Emitido"/>
    <x v="1"/>
    <x v="0"/>
    <x v="1"/>
    <x v="0"/>
    <x v="0"/>
    <x v="0"/>
    <m/>
  </r>
  <r>
    <s v="Factura electrónica"/>
    <s v="6cfb361fc2f1926c0164930b9b952fb36bc44c59e905fb1a9d6925ddb7c7721fc38ad1cdb667c89ddd2b0a403b31ebb7"/>
    <x v="364"/>
    <n v="-1"/>
    <s v="FVE"/>
    <s v="03-02-2026"/>
    <s v="03-02-2026 12:40:03"/>
    <s v="900800595"/>
    <s v="Provexpress SAS"/>
    <s v="860028601"/>
    <x v="190"/>
    <n v="9212.34"/>
    <n v="0"/>
    <n v="0"/>
    <n v="57698.34"/>
    <s v="Aprobado con notificación"/>
    <s v="Emitido"/>
    <x v="1"/>
    <x v="0"/>
    <x v="1"/>
    <x v="0"/>
    <x v="0"/>
    <x v="0"/>
    <m/>
  </r>
  <r>
    <s v="Factura electrónica"/>
    <s v="6f15a4b06bfe2911a555b6cbb5d9ab5838429f3e25fda873bc72f2f03e39e728609a4c0285acdea2adb8986daf380db2"/>
    <x v="365"/>
    <n v="-1"/>
    <s v="FVE"/>
    <s v="03-02-2026"/>
    <s v="03-02-2026 12:40:07"/>
    <s v="900800595"/>
    <s v="Provexpress SAS"/>
    <s v="860028601"/>
    <x v="190"/>
    <n v="9212.34"/>
    <n v="0"/>
    <n v="0"/>
    <n v="57698.34"/>
    <s v="Aprobado con notificación"/>
    <s v="Emitido"/>
    <x v="1"/>
    <x v="0"/>
    <x v="1"/>
    <x v="0"/>
    <x v="0"/>
    <x v="0"/>
    <m/>
  </r>
  <r>
    <s v="Factura electrónica"/>
    <s v="931b0172fa49f7b9c50456bc532c021ff6428a581fba4f7c70bd7ad6497f51b66e7e6bd326523773c19c942d701b2a39"/>
    <x v="366"/>
    <n v="-1"/>
    <s v="FVE"/>
    <s v="03-02-2026"/>
    <s v="03-02-2026 12:55:14"/>
    <s v="900800595"/>
    <s v="Provexpress SAS"/>
    <s v="830050228"/>
    <x v="39"/>
    <n v="258970"/>
    <n v="0"/>
    <n v="0"/>
    <n v="1621970"/>
    <s v="Aprobado con notificación"/>
    <s v="Emitido"/>
    <x v="0"/>
    <x v="0"/>
    <x v="0"/>
    <x v="0"/>
    <x v="0"/>
    <x v="0"/>
    <m/>
  </r>
  <r>
    <s v="Factura electrónica"/>
    <s v="d5dac1c710b17f5f6507b92dd547bbc7f677eaca1f9c3a4672f4dcca8d2d2a86f47273101287e412ffba53418fc41b31"/>
    <x v="367"/>
    <n v="-1"/>
    <s v="FVE"/>
    <s v="03-02-2026"/>
    <s v="03-02-2026 12:55:17"/>
    <s v="900800595"/>
    <s v="Provexpress SAS"/>
    <s v="830513773"/>
    <x v="46"/>
    <n v="35440.699999999997"/>
    <n v="0"/>
    <n v="0"/>
    <n v="221970.7"/>
    <s v="Aprobado con notificación"/>
    <s v="Emitido"/>
    <x v="0"/>
    <x v="0"/>
    <x v="1"/>
    <x v="0"/>
    <x v="1"/>
    <x v="0"/>
    <m/>
  </r>
  <r>
    <s v="Factura electrónica"/>
    <s v="67aeb69894ac2bccb448ed22ef27f6f6782ccb4b27dc9c21f26768946bebd13f2cadb5adef00911acabfba7aa6cdd78c"/>
    <x v="368"/>
    <n v="-1"/>
    <s v="FVE"/>
    <s v="03-02-2026"/>
    <s v="03-02-2026 12:55:23"/>
    <s v="900800595"/>
    <s v="Provexpress SAS"/>
    <s v="830513773"/>
    <x v="46"/>
    <n v="10107.24"/>
    <n v="0"/>
    <n v="0"/>
    <n v="63303.24"/>
    <s v="Aprobado con notificación"/>
    <s v="Emitido"/>
    <x v="0"/>
    <x v="0"/>
    <x v="1"/>
    <x v="0"/>
    <x v="1"/>
    <x v="0"/>
    <m/>
  </r>
  <r>
    <s v="Factura electrónica"/>
    <s v="58030982b8ceaaada26e5d2632b6c8ccad9ebb8d8dd9aa0d142b6f355b6684ff807a0cc83b5af32d7497ba2397e025e1"/>
    <x v="369"/>
    <n v="-1"/>
    <s v="FVE"/>
    <s v="03-02-2026"/>
    <s v="03-02-2026 12:55:27"/>
    <s v="900800595"/>
    <s v="Provexpress SAS"/>
    <s v="830513773"/>
    <x v="46"/>
    <n v="3430.83"/>
    <n v="0"/>
    <n v="0"/>
    <n v="260221.83"/>
    <s v="Aprobado con notificación"/>
    <s v="Emitido"/>
    <x v="0"/>
    <x v="0"/>
    <x v="1"/>
    <x v="0"/>
    <x v="1"/>
    <x v="0"/>
    <m/>
  </r>
  <r>
    <s v="Factura electrónica"/>
    <s v="3d7219232018e523a36eda7ab3b1ed6f2e73c9c7ee90563075677b96f82999a19f8e316fac6d933691f6e31ab207812c"/>
    <x v="370"/>
    <n v="-1"/>
    <s v="FVE"/>
    <s v="03-02-2026"/>
    <s v="03-02-2026 12:55:31"/>
    <s v="900800595"/>
    <s v="Provexpress SAS"/>
    <s v="800251957"/>
    <x v="191"/>
    <n v="231021"/>
    <n v="0"/>
    <n v="0"/>
    <n v="1446921"/>
    <s v="Aprobado con notificación"/>
    <s v="Emitido"/>
    <x v="0"/>
    <x v="0"/>
    <x v="1"/>
    <x v="0"/>
    <x v="1"/>
    <x v="0"/>
    <m/>
  </r>
  <r>
    <s v="Factura electrónica"/>
    <s v="ba5a8ca2cdc7736fbc568c077ec4c889f650fd585e7afa5a1c7644f2535f4e41948323dd004c2617d9e531d6e9bf35e7"/>
    <x v="371"/>
    <n v="-1"/>
    <s v="FVE"/>
    <s v="03-02-2026"/>
    <s v="03-02-2026 12:55:36"/>
    <s v="900800595"/>
    <s v="Provexpress SAS"/>
    <s v="860007336"/>
    <x v="2"/>
    <n v="75991.259999999995"/>
    <n v="0"/>
    <n v="0"/>
    <n v="475945.26"/>
    <s v="Aprobado con notificación"/>
    <s v="Emitido"/>
    <x v="0"/>
    <x v="0"/>
    <x v="0"/>
    <x v="0"/>
    <x v="0"/>
    <x v="0"/>
    <m/>
  </r>
  <r>
    <s v="Factura electrónica"/>
    <s v="c2e066cad0620ed9baff184619f358b894c0563a96fa1386232d8c4b1f0ce1e9a0fdb990429c8559773dec29cb5aaaae"/>
    <x v="372"/>
    <n v="-1"/>
    <s v="FVE"/>
    <s v="03-02-2026"/>
    <s v="03-02-2026 12:55:41"/>
    <s v="900800595"/>
    <s v="Provexpress SAS"/>
    <s v="860007336"/>
    <x v="2"/>
    <n v="24591.7"/>
    <n v="0"/>
    <n v="0"/>
    <n v="154021.70000000001"/>
    <s v="Aprobado con notificación"/>
    <s v="Emitido"/>
    <x v="0"/>
    <x v="0"/>
    <x v="0"/>
    <x v="0"/>
    <x v="0"/>
    <x v="0"/>
    <m/>
  </r>
  <r>
    <s v="Factura electrónica"/>
    <s v="e9c9fc08b1c6f337d09438a71043e87a24abd31711ebcf2ba6dba309050bfdb40675f2be9cf8b0c1bc5a946e33863505"/>
    <x v="373"/>
    <n v="-1"/>
    <s v="FVE"/>
    <s v="03-02-2026"/>
    <s v="03-02-2026 12:55:46"/>
    <s v="900800595"/>
    <s v="Provexpress SAS"/>
    <s v="830022818"/>
    <x v="192"/>
    <n v="194142"/>
    <n v="0"/>
    <n v="0"/>
    <n v="1215942"/>
    <s v="Aprobado con notificación"/>
    <s v="Emitido"/>
    <x v="0"/>
    <x v="0"/>
    <x v="0"/>
    <x v="0"/>
    <x v="0"/>
    <x v="0"/>
    <m/>
  </r>
  <r>
    <s v="Factura electrónica"/>
    <s v="baa52d1fd8f09206e92b9134b0b60d34e39847be10f135d6d2b2b774c0e5e942c657dab774e988dcdf7862fb4ac9ecac"/>
    <x v="374"/>
    <n v="-1"/>
    <s v="FVE"/>
    <s v="03-02-2026"/>
    <s v="03-02-2026 13:10:52"/>
    <s v="900800595"/>
    <s v="Provexpress SAS"/>
    <s v="900575843"/>
    <x v="193"/>
    <n v="25035"/>
    <n v="0"/>
    <n v="0"/>
    <n v="525735"/>
    <s v="Aprobado con notificación"/>
    <s v="Emitido"/>
    <x v="0"/>
    <x v="0"/>
    <x v="1"/>
    <x v="0"/>
    <x v="0"/>
    <x v="1"/>
    <s v="PAGA 11/02/2026"/>
  </r>
  <r>
    <s v="Factura electrónica"/>
    <s v="fb31ba23a21d28bd58f371ee57649695e108202685804b7cdcb94f5d1f5b9319e40382cde3f6ccd4d82a548262dc9d18"/>
    <x v="375"/>
    <n v="-1"/>
    <s v="FVE"/>
    <s v="03-02-2026"/>
    <s v="03-02-2026 13:10:56"/>
    <s v="900800595"/>
    <s v="Provexpress SAS"/>
    <s v="860503159"/>
    <x v="108"/>
    <n v="812620.5"/>
    <n v="0"/>
    <n v="0"/>
    <n v="5089570.5"/>
    <s v="Aprobado con notificación"/>
    <s v="Emitido"/>
    <x v="0"/>
    <x v="0"/>
    <x v="0"/>
    <x v="0"/>
    <x v="0"/>
    <x v="0"/>
    <m/>
  </r>
  <r>
    <s v="Factura electrónica"/>
    <s v="ca7c8e912588eee3d7a978ca906918166a786a430c7af18dd46d999b5fa5073746a55b55119023a84fdbe243f1c87e5c"/>
    <x v="376"/>
    <n v="-1"/>
    <s v="FVE"/>
    <s v="03-02-2026"/>
    <s v="03-02-2026 13:11:05"/>
    <s v="900800595"/>
    <s v="Provexpress SAS"/>
    <s v="830002181"/>
    <x v="194"/>
    <n v="816810"/>
    <n v="0"/>
    <n v="0"/>
    <n v="5115810"/>
    <s v="Aprobado con notificación"/>
    <s v="Emitido"/>
    <x v="0"/>
    <x v="0"/>
    <x v="1"/>
    <x v="0"/>
    <x v="1"/>
    <x v="0"/>
    <m/>
  </r>
  <r>
    <s v="Factura electrónica"/>
    <s v="c655f3d049a7493af5f539d5251cefbef1df7d33eab514f931d46f93ac4381eb2bd28aaba61a19cf68b56d3a1dc4861a"/>
    <x v="377"/>
    <n v="-1"/>
    <s v="FVE"/>
    <s v="03-02-2026"/>
    <s v="03-02-2026 13:11:06"/>
    <s v="900800595"/>
    <s v="Provexpress SAS"/>
    <s v="830002181"/>
    <x v="194"/>
    <n v="816810"/>
    <n v="0"/>
    <n v="0"/>
    <n v="5115810"/>
    <s v="Aprobado con notificación"/>
    <s v="Emitido"/>
    <x v="0"/>
    <x v="0"/>
    <x v="1"/>
    <x v="0"/>
    <x v="1"/>
    <x v="0"/>
    <m/>
  </r>
  <r>
    <s v="Factura electrónica"/>
    <s v="3aefdc9922937c1fa1b949157626c833c14833993af036663e1435bf2a0169c476f914226f43b53fb5065fb89713a800"/>
    <x v="378"/>
    <n v="-1"/>
    <s v="FVE"/>
    <s v="03-02-2026"/>
    <s v="03-02-2026 13:11:11"/>
    <s v="900800595"/>
    <s v="Provexpress SAS"/>
    <s v="900518732"/>
    <x v="195"/>
    <n v="89854.8"/>
    <n v="0"/>
    <n v="0"/>
    <n v="562774.80000000005"/>
    <s v="Aprobado con notificación"/>
    <s v="Emitido"/>
    <x v="0"/>
    <x v="0"/>
    <x v="1"/>
    <x v="0"/>
    <x v="1"/>
    <x v="0"/>
    <m/>
  </r>
  <r>
    <s v="Factura electrónica"/>
    <s v="797143ae9d52e9a6361c253d5307ec9c2e4c8ad8c44c144a14da53e24dc6bb3b3d5d9a84ac0f909372b32e2f2a044abf"/>
    <x v="379"/>
    <n v="-1"/>
    <s v="FVE"/>
    <s v="03-02-2026"/>
    <s v="03-02-2026 13:11:15"/>
    <s v="900800595"/>
    <s v="Provexpress SAS"/>
    <s v="830041970"/>
    <x v="196"/>
    <n v="150100"/>
    <n v="0"/>
    <n v="0"/>
    <n v="940100"/>
    <s v="Aprobado con notificación"/>
    <s v="Emitido"/>
    <x v="0"/>
    <x v="0"/>
    <x v="1"/>
    <x v="0"/>
    <x v="0"/>
    <x v="1"/>
    <s v="PAGA  16/02/2026"/>
  </r>
  <r>
    <s v="Factura electrónica"/>
    <s v="483a7d3e18a88c1a331ad5127dc850f6f7438662772e73bbfa2ee38ee50cb404cffe774809a32796567a65ddfb2b51e4"/>
    <x v="380"/>
    <n v="-1"/>
    <s v="FVE"/>
    <s v="03-02-2026"/>
    <s v="03-02-2026 14:26:34"/>
    <s v="900800595"/>
    <s v="Provexpress SAS"/>
    <s v="860014040"/>
    <x v="169"/>
    <n v="280670.55"/>
    <n v="0"/>
    <n v="0"/>
    <n v="2474035.5499999998"/>
    <s v="Aprobado con notificación"/>
    <s v="Emitido"/>
    <x v="0"/>
    <x v="0"/>
    <x v="1"/>
    <x v="0"/>
    <x v="1"/>
    <x v="0"/>
    <m/>
  </r>
  <r>
    <s v="Factura electrónica"/>
    <s v="1bb28f76118f7399486c1bb2fa6539ac2fb54b3021e42b50fe8777c7559f2e2776bf78a80032a353c325629711536574"/>
    <x v="381"/>
    <n v="-1"/>
    <s v="FVE"/>
    <s v="03-02-2026"/>
    <s v="03-02-2026 14:26:43"/>
    <s v="900800595"/>
    <s v="Provexpress SAS"/>
    <s v="900396965"/>
    <x v="197"/>
    <n v="111150"/>
    <n v="0"/>
    <n v="0"/>
    <n v="696150"/>
    <s v="Aprobado con notificación"/>
    <s v="Emitido"/>
    <x v="0"/>
    <x v="0"/>
    <x v="1"/>
    <x v="0"/>
    <x v="1"/>
    <x v="0"/>
    <m/>
  </r>
  <r>
    <s v="Factura electrónica"/>
    <s v="4fc0f224b44895bbdcd623cf319ef304b61bfa96d31c4d8761c65f38411aa985086f71ddeb423cf343ae6fea04cdaae8"/>
    <x v="382"/>
    <n v="-1"/>
    <s v="FVE"/>
    <s v="03-02-2026"/>
    <s v="03-02-2026 14:26:43"/>
    <s v="900800595"/>
    <s v="Provexpress SAS"/>
    <s v="52078556"/>
    <x v="198"/>
    <n v="19295.64"/>
    <n v="0"/>
    <n v="0"/>
    <n v="120851.64"/>
    <s v="Aprobado con notificación"/>
    <s v="Emitido"/>
    <x v="0"/>
    <x v="0"/>
    <x v="1"/>
    <x v="0"/>
    <x v="0"/>
    <x v="1"/>
    <s v="PAGO 2/03/2026"/>
  </r>
  <r>
    <s v="Factura electrónica"/>
    <s v="a41f3c18e0fe32edbb1c6695367731d3293aeda88691856b6cfd2ee3bf8fc4a5509b917e8bfd55e8df83f4ba7aeaafaf"/>
    <x v="383"/>
    <n v="-1"/>
    <s v="FVE"/>
    <s v="03-02-2026"/>
    <s v="03-02-2026 14:41:49"/>
    <s v="900800595"/>
    <s v="Provexpress SAS"/>
    <s v="830054539"/>
    <x v="199"/>
    <n v="10260"/>
    <n v="0"/>
    <n v="0"/>
    <n v="64260"/>
    <s v="Aprobado con notificación"/>
    <s v="Emitido"/>
    <x v="0"/>
    <x v="0"/>
    <x v="1"/>
    <x v="0"/>
    <x v="1"/>
    <x v="0"/>
    <m/>
  </r>
  <r>
    <s v="Factura electrónica"/>
    <s v="37668cba0d013a57ea1e783c2eadfe1e753c7c68ba406e81c5ef960e5fdbde88eb2ed056c8a2c089070c352b76344262"/>
    <x v="384"/>
    <n v="-1"/>
    <s v="FVE"/>
    <s v="03-02-2026"/>
    <s v="03-02-2026 14:56:56"/>
    <s v="900800595"/>
    <s v="Provexpress SAS"/>
    <s v="860038299"/>
    <x v="200"/>
    <n v="298426.53999999998"/>
    <n v="0"/>
    <n v="0"/>
    <n v="1869092.54"/>
    <s v="Aprobado con notificación"/>
    <s v="Emitido"/>
    <x v="0"/>
    <x v="0"/>
    <x v="1"/>
    <x v="0"/>
    <x v="0"/>
    <x v="1"/>
    <s v="PAGA 18/02/2026"/>
  </r>
  <r>
    <s v="Factura electrónica"/>
    <s v="c6179605fc98533b497881fa1a8593b21ac6a2fada4e71f2e424869c932283537a70040ca71a79e590635fcce9071bd1"/>
    <x v="385"/>
    <n v="-1"/>
    <s v="FVE"/>
    <s v="03-02-2026"/>
    <s v="03-02-2026 14:57:00"/>
    <s v="900800595"/>
    <s v="Provexpress SAS"/>
    <s v="830126204"/>
    <x v="201"/>
    <n v="379861.3"/>
    <n v="0"/>
    <n v="0"/>
    <n v="2379131.2999999998"/>
    <s v="Aprobado con notificación"/>
    <s v="Emitido"/>
    <x v="0"/>
    <x v="0"/>
    <x v="0"/>
    <x v="0"/>
    <x v="0"/>
    <x v="0"/>
    <m/>
  </r>
  <r>
    <s v="Factura electrónica"/>
    <s v="c2d7ad79ee15dd55c5cfadc46730e67df2f458f44d234a125f21a69f92c9e05591a9a6420b1814257a3285ddcd8baf67"/>
    <x v="386"/>
    <n v="-1"/>
    <s v="FVE"/>
    <s v="03-02-2026"/>
    <s v="03-02-2026 14:57:05"/>
    <s v="900800595"/>
    <s v="Provexpress SAS"/>
    <s v="830096376"/>
    <x v="62"/>
    <n v="345277.5"/>
    <n v="0"/>
    <n v="0"/>
    <n v="2162527.5"/>
    <s v="Aprobado con notificación"/>
    <s v="Emitido"/>
    <x v="1"/>
    <x v="0"/>
    <x v="1"/>
    <x v="0"/>
    <x v="0"/>
    <x v="0"/>
    <m/>
  </r>
  <r>
    <s v="Factura electrónica"/>
    <s v="83e54dc626cf0303e4e3b32c2479e75413d6717ea5459f16bffa485c9072b98277b421459790e4852bd9695479dc0e7e"/>
    <x v="387"/>
    <n v="-1"/>
    <s v="FVE"/>
    <s v="03-02-2026"/>
    <s v="03-02-2026 14:57:09"/>
    <s v="900800595"/>
    <s v="Provexpress SAS"/>
    <s v="900021547"/>
    <x v="202"/>
    <n v="70794"/>
    <n v="0"/>
    <n v="0"/>
    <n v="443394"/>
    <s v="Aprobado con notificación"/>
    <s v="Emitido"/>
    <x v="0"/>
    <x v="0"/>
    <x v="0"/>
    <x v="0"/>
    <x v="0"/>
    <x v="0"/>
    <m/>
  </r>
  <r>
    <s v="Factura electrónica"/>
    <s v="29c076d71bc29cc2c8733fe9dff527af5bd9efaa8d6f30f7bd858a5dbb679f3b6f8d0fe3d9714f264ad2a4ba2cf7212e"/>
    <x v="388"/>
    <n v="-1"/>
    <s v="FVE"/>
    <s v="03-02-2026"/>
    <s v="03-02-2026 15:12:18"/>
    <s v="900800595"/>
    <s v="Provexpress SAS"/>
    <s v="900021547"/>
    <x v="202"/>
    <n v="228000"/>
    <n v="0"/>
    <n v="0"/>
    <n v="1428000"/>
    <s v="Aprobado con notificación"/>
    <s v="Emitido"/>
    <x v="0"/>
    <x v="0"/>
    <x v="0"/>
    <x v="0"/>
    <x v="0"/>
    <x v="0"/>
    <m/>
  </r>
  <r>
    <s v="Factura electrónica"/>
    <s v="13d3501f127f5d20d5ea27ea09c331992dba2fb88299b401dc0a59425bbbf1d7d324bac479b1df20044ac0689f7de6f5"/>
    <x v="389"/>
    <n v="-1"/>
    <s v="FVE"/>
    <s v="03-02-2026"/>
    <s v="03-02-2026 15:12:21"/>
    <s v="900800595"/>
    <s v="Provexpress SAS"/>
    <s v="900021547"/>
    <x v="202"/>
    <n v="133000"/>
    <n v="0"/>
    <n v="0"/>
    <n v="833000"/>
    <s v="Aprobado con notificación"/>
    <s v="Emitido"/>
    <x v="0"/>
    <x v="0"/>
    <x v="0"/>
    <x v="0"/>
    <x v="0"/>
    <x v="0"/>
    <m/>
  </r>
  <r>
    <s v="Factura electrónica"/>
    <s v="6246f6da16f33d05d146269b26c288ea5e9f7d638bcb9d0f63c294716d2ea4698241e633fb0a523a728c0eaf4c1de44c"/>
    <x v="390"/>
    <n v="-1"/>
    <s v="FVE"/>
    <s v="03-02-2026"/>
    <s v="03-02-2026 15:12:27"/>
    <s v="900800595"/>
    <s v="Provexpress SAS"/>
    <s v="901045437"/>
    <x v="203"/>
    <n v="255454"/>
    <n v="0"/>
    <n v="0"/>
    <n v="1689954"/>
    <s v="Aprobado con notificación"/>
    <s v="Emitido"/>
    <x v="0"/>
    <x v="0"/>
    <x v="1"/>
    <x v="0"/>
    <x v="1"/>
    <x v="0"/>
    <m/>
  </r>
  <r>
    <s v="Factura electrónica"/>
    <s v="9e17b04fdd99194699da22160648d8f7e9d3ba9b1b03d1a41d96485750d4b0a6c4e45d62c394c4296d518a07d9594379"/>
    <x v="391"/>
    <n v="-1"/>
    <s v="FVE"/>
    <s v="03-02-2026"/>
    <s v="03-02-2026 15:12:32"/>
    <s v="900800595"/>
    <s v="Provexpress SAS"/>
    <s v="900979802"/>
    <x v="57"/>
    <n v="262558.95"/>
    <n v="0"/>
    <n v="0"/>
    <n v="2421963.9500000002"/>
    <s v="Aprobado con notificación"/>
    <s v="Emitido"/>
    <x v="0"/>
    <x v="0"/>
    <x v="1"/>
    <x v="0"/>
    <x v="1"/>
    <x v="0"/>
    <m/>
  </r>
  <r>
    <s v="Factura electrónica"/>
    <s v="1cc2183248ad02517a583915fd263e6baa66901a4aeef8be62a82beaf35a7603d354b9f82c91898e6dda33d38c076206"/>
    <x v="392"/>
    <n v="-1"/>
    <s v="FVE"/>
    <s v="03-02-2026"/>
    <s v="03-02-2026 15:12:36"/>
    <s v="900800595"/>
    <s v="Provexpress SAS"/>
    <s v="800116871"/>
    <x v="204"/>
    <n v="3154971"/>
    <n v="0"/>
    <n v="0"/>
    <n v="26400081.5"/>
    <s v="Aprobado con notificación"/>
    <s v="Emitido"/>
    <x v="0"/>
    <x v="0"/>
    <x v="1"/>
    <x v="0"/>
    <x v="0"/>
    <x v="1"/>
    <s v="PAGA 16/02/2026"/>
  </r>
  <r>
    <s v="Factura electrónica"/>
    <s v="f9d1ab087712b135cabaa03973d3bca3788a872bfed7eecb698ba96af94738dbc31441c283473486a3c37f195208427c"/>
    <x v="393"/>
    <n v="-1"/>
    <s v="FVE"/>
    <s v="03-02-2026"/>
    <s v="03-02-2026 15:12:40"/>
    <s v="900800595"/>
    <s v="Provexpress SAS"/>
    <s v="800081833"/>
    <x v="63"/>
    <n v="13490"/>
    <n v="0"/>
    <n v="0"/>
    <n v="84490"/>
    <s v="Aprobado con notificación"/>
    <s v="Emitido"/>
    <x v="1"/>
    <x v="0"/>
    <x v="1"/>
    <x v="0"/>
    <x v="0"/>
    <x v="0"/>
    <m/>
  </r>
  <r>
    <s v="Factura electrónica"/>
    <s v="620e05c23bad27c56f193d464b26b2aef186db7a73f0cfd3319fb0fc3acf8b7eb4c2ca841b0649b8764e3ca16633e123"/>
    <x v="394"/>
    <n v="-1"/>
    <s v="FVE"/>
    <s v="03-02-2026"/>
    <s v="03-02-2026 15:12:45"/>
    <s v="900800595"/>
    <s v="Provexpress SAS"/>
    <s v="900106694"/>
    <x v="205"/>
    <n v="1016500"/>
    <n v="0"/>
    <n v="0"/>
    <n v="6628000"/>
    <s v="Aprobado con notificación"/>
    <s v="Emitido"/>
    <x v="0"/>
    <x v="0"/>
    <x v="0"/>
    <x v="0"/>
    <x v="0"/>
    <x v="0"/>
    <m/>
  </r>
  <r>
    <s v="Factura electrónica"/>
    <s v="8398839ed2aa76ee87f177c2dccfa8253a34c22774f1b785abc67a026a76bc6f193111308b105dc459564c2dca1bfe33"/>
    <x v="395"/>
    <n v="-1"/>
    <s v="FVE"/>
    <s v="03-02-2026"/>
    <s v="03-02-2026 15:12:49"/>
    <s v="900800595"/>
    <s v="Provexpress SAS"/>
    <s v="830060858"/>
    <x v="206"/>
    <n v="68400"/>
    <n v="0"/>
    <n v="0"/>
    <n v="428400"/>
    <s v="Aprobado con notificación"/>
    <s v="Emitido"/>
    <x v="0"/>
    <x v="0"/>
    <x v="0"/>
    <x v="0"/>
    <x v="0"/>
    <x v="0"/>
    <m/>
  </r>
  <r>
    <s v="Factura electrónica"/>
    <s v="4b72cb7e77f1c00dc007933ca8b235f38c47135543445762d6d8a0aa2ffbacf2adfd28e99f082a68adf2286d89660a27"/>
    <x v="396"/>
    <n v="-1"/>
    <s v="FVE"/>
    <s v="03-02-2026"/>
    <s v="03-02-2026 15:12:54"/>
    <s v="900800595"/>
    <s v="Provexpress SAS"/>
    <s v="900342297"/>
    <x v="15"/>
    <n v="138308.79"/>
    <n v="0"/>
    <n v="0"/>
    <n v="866249.79"/>
    <s v="Aprobado con notificación"/>
    <s v="Emitido"/>
    <x v="0"/>
    <x v="0"/>
    <x v="0"/>
    <x v="0"/>
    <x v="0"/>
    <x v="0"/>
    <m/>
  </r>
  <r>
    <s v="Factura electrónica"/>
    <s v="2f7fe9a54273bc1709c4afa2a59e099c7adf4c1a77af4cb1227c1b9ac5e606759c46d58d32111e5cbc17c950746946d5"/>
    <x v="397"/>
    <n v="-1"/>
    <s v="FVE"/>
    <s v="03-02-2026"/>
    <s v="03-02-2026 15:12:59"/>
    <s v="900800595"/>
    <s v="Provexpress SAS"/>
    <s v="900342297"/>
    <x v="15"/>
    <n v="3443.94"/>
    <n v="0"/>
    <n v="0"/>
    <n v="21569.94"/>
    <s v="Aprobado con notificación"/>
    <s v="Emitido"/>
    <x v="0"/>
    <x v="0"/>
    <x v="0"/>
    <x v="0"/>
    <x v="0"/>
    <x v="0"/>
    <m/>
  </r>
  <r>
    <s v="Factura electrónica"/>
    <s v="7b8317971ad458decb89e62e5dc7dc8af2261c891ea258c8129e0cedfd268af6061c2e90c209c48d131def17ca866d3f"/>
    <x v="398"/>
    <n v="-1"/>
    <s v="FVE"/>
    <s v="03-02-2026"/>
    <s v="03-02-2026 15:13:24"/>
    <s v="900800595"/>
    <s v="Provexpress SAS"/>
    <s v="860007637"/>
    <x v="207"/>
    <n v="117914"/>
    <n v="0"/>
    <n v="0"/>
    <n v="738514"/>
    <s v="Aprobado con notificación"/>
    <s v="Emitido"/>
    <x v="0"/>
    <x v="0"/>
    <x v="1"/>
    <x v="0"/>
    <x v="1"/>
    <x v="0"/>
    <m/>
  </r>
  <r>
    <s v="Factura electrónica"/>
    <s v="be49bb0c8827a1989e3f843a7c49a389d07bdc857bc3f4fd371d640148c3610e807d6440397fa3dab330085987bfddd6"/>
    <x v="399"/>
    <n v="-1"/>
    <s v="FVE"/>
    <s v="03-02-2026"/>
    <s v="03-02-2026 15:13:19"/>
    <s v="900800595"/>
    <s v="Provexpress SAS"/>
    <s v="860503159"/>
    <x v="108"/>
    <n v="922640"/>
    <n v="0"/>
    <n v="0"/>
    <n v="5778640"/>
    <s v="Aprobado con notificación"/>
    <s v="Emitido"/>
    <x v="0"/>
    <x v="0"/>
    <x v="0"/>
    <x v="0"/>
    <x v="0"/>
    <x v="0"/>
    <m/>
  </r>
  <r>
    <s v="Factura electrónica"/>
    <s v="87c04675217eebd597813c6868bdace987c562b835de63129c534be5bbed3cb41a64b63513f94841ea7c454c071b94db"/>
    <x v="400"/>
    <n v="-1"/>
    <s v="FVE"/>
    <s v="03-02-2026"/>
    <s v="03-02-2026 15:28:58"/>
    <s v="900800595"/>
    <s v="Provexpress SAS"/>
    <s v="900132714"/>
    <x v="208"/>
    <n v="133362.14000000001"/>
    <n v="0"/>
    <n v="0"/>
    <n v="853870.14"/>
    <s v="Aprobado con notificación"/>
    <s v="Emitido"/>
    <x v="0"/>
    <x v="0"/>
    <x v="1"/>
    <x v="0"/>
    <x v="1"/>
    <x v="0"/>
    <m/>
  </r>
  <r>
    <s v="Factura electrónica"/>
    <s v="1a04af299a89bc731180782f208cff577f271432a8d39f286dcf1ced8e103b5ded8df0c6dc7dd9fff5a9a0ebe5a5037a"/>
    <x v="401"/>
    <n v="-1"/>
    <s v="FVE"/>
    <s v="03-02-2026"/>
    <s v="03-02-2026 15:28:59"/>
    <s v="900800595"/>
    <s v="Provexpress SAS"/>
    <s v="900132714"/>
    <x v="208"/>
    <n v="284050"/>
    <n v="0"/>
    <n v="0"/>
    <n v="1779050"/>
    <s v="Aprobado con notificación"/>
    <s v="Emitido"/>
    <x v="0"/>
    <x v="0"/>
    <x v="1"/>
    <x v="0"/>
    <x v="1"/>
    <x v="0"/>
    <m/>
  </r>
  <r>
    <s v="Factura electrónica"/>
    <s v="560d21d5143add2142afd2c5b475ec062fef8309c411214c69093ca35741fc830f7c42d494905417c467f0cf83a6eda4"/>
    <x v="402"/>
    <n v="-1"/>
    <s v="FVE"/>
    <s v="03-02-2026"/>
    <s v="03-02-2026 15:29:02"/>
    <s v="900800595"/>
    <s v="Provexpress SAS"/>
    <s v="860002566"/>
    <x v="54"/>
    <n v="19000"/>
    <n v="0"/>
    <n v="0"/>
    <n v="119000"/>
    <s v="Aprobado con notificación"/>
    <s v="Emitido"/>
    <x v="0"/>
    <x v="0"/>
    <x v="0"/>
    <x v="0"/>
    <x v="0"/>
    <x v="0"/>
    <m/>
  </r>
  <r>
    <s v="Factura electrónica"/>
    <s v="c6bba3f0141396dae9e41194f0b0553b8186e66ebfaaad50f4d03380ef72a724ac3e79d896b290380c73260b28f0abaf"/>
    <x v="403"/>
    <n v="-1"/>
    <s v="FVE"/>
    <s v="03-02-2026"/>
    <s v="03-02-2026 15:29:03"/>
    <s v="900800595"/>
    <s v="Provexpress SAS"/>
    <s v="900387076"/>
    <x v="209"/>
    <n v="98800"/>
    <n v="0"/>
    <n v="0"/>
    <n v="618800"/>
    <s v="Aprobado con notificación"/>
    <s v="Emitido"/>
    <x v="0"/>
    <x v="0"/>
    <x v="1"/>
    <x v="0"/>
    <x v="1"/>
    <x v="0"/>
    <m/>
  </r>
  <r>
    <s v="Factura electrónica"/>
    <s v="a79427a44648e5b41366261940e4738971c550c8338bf52658d633c5190bdc3b61c2e9bcf7924b17c47ae2b09ac171a8"/>
    <x v="404"/>
    <n v="-1"/>
    <s v="FVE"/>
    <s v="03-02-2026"/>
    <s v="03-02-2026 15:29:05"/>
    <s v="900800595"/>
    <s v="Provexpress SAS"/>
    <s v="800172871"/>
    <x v="121"/>
    <n v="33896"/>
    <n v="0"/>
    <n v="0"/>
    <n v="828296"/>
    <s v="Aprobado con notificación"/>
    <s v="Emitido"/>
    <x v="0"/>
    <x v="0"/>
    <x v="1"/>
    <x v="0"/>
    <x v="1"/>
    <x v="0"/>
    <m/>
  </r>
  <r>
    <s v="Factura electrónica"/>
    <s v="d648e20c98eaab71546de6ba846101db36da2e16254dfc72ae49b3213aea78a3dc5c6ddec6e2740a5ea64894b9e7d780"/>
    <x v="405"/>
    <n v="-1"/>
    <s v="FVE"/>
    <s v="03-02-2026"/>
    <s v="03-02-2026 15:29:07"/>
    <s v="900800595"/>
    <s v="Provexpress SAS"/>
    <s v="901190665"/>
    <x v="210"/>
    <n v="27514.36"/>
    <n v="0"/>
    <n v="0"/>
    <n v="179770.36"/>
    <s v="Aprobado con notificación"/>
    <s v="Emitido"/>
    <x v="0"/>
    <x v="0"/>
    <x v="1"/>
    <x v="0"/>
    <x v="0"/>
    <x v="1"/>
    <d v="2026-02-24T00:00:00"/>
  </r>
  <r>
    <s v="Factura electrónica"/>
    <s v="6f749b3cda2e6f76b9feb1bf8571a5b519f4f03ec91c794fd4f8898e340346682c9e78b93f26bd6925ac5376972065c3"/>
    <x v="406"/>
    <n v="-1"/>
    <s v="FVE"/>
    <s v="03-02-2026"/>
    <s v="03-02-2026 15:29:09"/>
    <s v="900800595"/>
    <s v="Provexpress SAS"/>
    <s v="830047411"/>
    <x v="211"/>
    <n v="7904"/>
    <n v="0"/>
    <n v="0"/>
    <n v="49504"/>
    <s v="Aprobado con notificación"/>
    <s v="Emitido"/>
    <x v="1"/>
    <x v="0"/>
    <x v="1"/>
    <x v="0"/>
    <x v="0"/>
    <x v="0"/>
    <m/>
  </r>
  <r>
    <s v="Factura electrónica"/>
    <s v="9e8f8122b5d9cfc31649daf83a2c84fef636d0facc20b44d92fae4f1bd62d2f794681105a6c1c5640ee51c5b33b10557"/>
    <x v="407"/>
    <n v="-1"/>
    <s v="FVE"/>
    <s v="03-02-2026"/>
    <s v="03-02-2026 15:29:11"/>
    <s v="900800595"/>
    <s v="Provexpress SAS"/>
    <s v="830024974"/>
    <x v="212"/>
    <n v="344850"/>
    <n v="0"/>
    <n v="0"/>
    <n v="2159850"/>
    <s v="Aprobado con notificación"/>
    <s v="Emitido"/>
    <x v="1"/>
    <x v="0"/>
    <x v="1"/>
    <x v="0"/>
    <x v="0"/>
    <x v="0"/>
    <m/>
  </r>
  <r>
    <s v="Factura electrónica"/>
    <s v="e770e145a1a5a17f03edea88c9ec6cb2c41f5fe8b22e146805f8f156d2eb7e32785991942d8fd663883a06eb757d05f2"/>
    <x v="408"/>
    <n v="-1"/>
    <s v="FVE"/>
    <s v="03-02-2026"/>
    <s v="03-02-2026 15:29:14"/>
    <s v="900800595"/>
    <s v="Provexpress SAS"/>
    <s v="817001672"/>
    <x v="64"/>
    <n v="593940"/>
    <n v="0"/>
    <n v="0"/>
    <n v="4331140"/>
    <s v="Aprobado con notificación"/>
    <s v="Emitido"/>
    <x v="0"/>
    <x v="0"/>
    <x v="0"/>
    <x v="0"/>
    <x v="0"/>
    <x v="0"/>
    <m/>
  </r>
  <r>
    <s v="Factura electrónica"/>
    <s v="76e62642425e7c4e30c6f5dfcb75bb4d7ac690563bb7e29b0d4951d2f80c4cf7407efe0a33b76db86f68d5a1afb74198"/>
    <x v="409"/>
    <n v="-1"/>
    <s v="FVE"/>
    <s v="03-02-2026"/>
    <s v="03-02-2026 15:29:18"/>
    <s v="900800595"/>
    <s v="Provexpress SAS"/>
    <s v="901281572"/>
    <x v="141"/>
    <n v="547200"/>
    <n v="0"/>
    <n v="0"/>
    <n v="3427200"/>
    <s v="Aprobado con notificación"/>
    <s v="Emitido"/>
    <x v="0"/>
    <x v="0"/>
    <x v="0"/>
    <x v="0"/>
    <x v="0"/>
    <x v="0"/>
    <m/>
  </r>
  <r>
    <s v="Factura electrónica"/>
    <s v="436e5c5145378171ccbb15d062067dd214a4916fc5a4a3968db4eee2c0f2a77a13be25d246dd5b6ead6c11a453112ffd"/>
    <x v="410"/>
    <n v="-1"/>
    <s v="FVE"/>
    <s v="03-02-2026"/>
    <s v="03-02-2026 15:44:08"/>
    <s v="900800595"/>
    <s v="Provexpress SAS"/>
    <s v="800247814"/>
    <x v="213"/>
    <n v="18134"/>
    <n v="0"/>
    <n v="0"/>
    <n v="296534"/>
    <s v="Aprobado con notificación"/>
    <s v="Emitido"/>
    <x v="0"/>
    <x v="0"/>
    <x v="1"/>
    <x v="0"/>
    <x v="0"/>
    <x v="1"/>
    <s v="PAGA 18/02/2026"/>
  </r>
  <r>
    <s v="Factura electrónica"/>
    <s v="2cfac859711a12ebaba8a07c295963f73438d70e69a9bf5d931ee69414d377e379738423f2c28acf5ebce376dfbb9496"/>
    <x v="411"/>
    <n v="-1"/>
    <s v="FVE"/>
    <s v="03-02-2026"/>
    <s v="03-02-2026 15:59:13"/>
    <s v="900800595"/>
    <s v="Provexpress SAS"/>
    <s v="900209858"/>
    <x v="214"/>
    <n v="26142.1"/>
    <n v="0"/>
    <n v="0"/>
    <n v="181852.1"/>
    <s v="Aprobado con notificación"/>
    <s v="Emitido"/>
    <x v="0"/>
    <x v="0"/>
    <x v="1"/>
    <x v="0"/>
    <x v="1"/>
    <x v="0"/>
    <m/>
  </r>
  <r>
    <s v="Factura electrónica"/>
    <s v="7b004e3a49aa904e2d968229449cbb6c57b61eb1be2b6a3f5f6319d8858f8bd31675012763896b7f1d8a942e1095e680"/>
    <x v="412"/>
    <n v="-1"/>
    <s v="FVE"/>
    <s v="03-02-2026"/>
    <s v="03-02-2026 15:59:18"/>
    <s v="900800595"/>
    <s v="Provexpress SAS"/>
    <s v="806002953"/>
    <x v="215"/>
    <n v="474240"/>
    <n v="0"/>
    <n v="0"/>
    <n v="2970240"/>
    <s v="Aprobado con notificación"/>
    <s v="Emitido"/>
    <x v="0"/>
    <x v="0"/>
    <x v="1"/>
    <x v="0"/>
    <x v="1"/>
    <x v="0"/>
    <m/>
  </r>
  <r>
    <s v="Factura electrónica"/>
    <s v="7e45491e39427b777daa9791252d648da714d39fec664c503ca9220a76a57f691494ecc2351e74d1e5a10909bcdd1c24"/>
    <x v="413"/>
    <n v="-1"/>
    <s v="FVE"/>
    <s v="03-02-2026"/>
    <s v="03-02-2026 15:59:23"/>
    <s v="900800595"/>
    <s v="Provexpress SAS"/>
    <s v="901026491"/>
    <x v="216"/>
    <n v="13300"/>
    <n v="0"/>
    <n v="0"/>
    <n v="83300"/>
    <s v="Aprobado con notificación"/>
    <s v="Emitido"/>
    <x v="0"/>
    <x v="0"/>
    <x v="1"/>
    <x v="0"/>
    <x v="1"/>
    <x v="0"/>
    <m/>
  </r>
  <r>
    <s v="Factura electrónica"/>
    <s v="0b76056b1ebbe3049a40dfe5b42d0d846191db6354d08f3b0d03ac7beecdd68e8d1280bf057fdbbe6d7a0ce31a1d5809"/>
    <x v="414"/>
    <n v="-1"/>
    <s v="FVE"/>
    <s v="03-02-2026"/>
    <s v="03-02-2026 15:59:27"/>
    <s v="900800595"/>
    <s v="Provexpress SAS"/>
    <s v="800028326"/>
    <x v="79"/>
    <n v="181986.75"/>
    <n v="0"/>
    <n v="0"/>
    <n v="1139811.75"/>
    <s v="Aprobado con notificación"/>
    <s v="Emitido"/>
    <x v="0"/>
    <x v="0"/>
    <x v="0"/>
    <x v="0"/>
    <x v="0"/>
    <x v="0"/>
    <m/>
  </r>
  <r>
    <s v="Factura electrónica"/>
    <s v="58837e3ea12d1145947ae5cd32ba37d84636576b7caa313254b4348f5becb3aa725a94687d1d5fca33199378da0689cc"/>
    <x v="415"/>
    <n v="-1"/>
    <s v="FVE"/>
    <s v="03-02-2026"/>
    <s v="03-02-2026 15:59:33"/>
    <s v="900800595"/>
    <s v="Provexpress SAS"/>
    <s v="900789062"/>
    <x v="217"/>
    <n v="22574090"/>
    <n v="0"/>
    <n v="0"/>
    <n v="141385090"/>
    <s v="Aprobado con notificación"/>
    <s v="Emitido"/>
    <x v="0"/>
    <x v="0"/>
    <x v="1"/>
    <x v="0"/>
    <x v="1"/>
    <x v="0"/>
    <m/>
  </r>
  <r>
    <s v="Factura electrónica"/>
    <s v="cfb6f927c7580b4ae0d50696d03e5b4ea6cafe45f9a570c63e063e37d48b3a190232d32e35120b9eaf17d8b03a98a324"/>
    <x v="416"/>
    <n v="-1"/>
    <s v="FVE"/>
    <s v="03-02-2026"/>
    <s v="03-02-2026 15:59:36"/>
    <s v="900800595"/>
    <s v="Provexpress SAS"/>
    <s v="800156889"/>
    <x v="218"/>
    <n v="0"/>
    <n v="0"/>
    <n v="0"/>
    <n v="1582198"/>
    <s v="Aprobado con notificación"/>
    <s v="Emitido"/>
    <x v="0"/>
    <x v="0"/>
    <x v="1"/>
    <x v="0"/>
    <x v="1"/>
    <x v="0"/>
    <m/>
  </r>
  <r>
    <s v="Factura electrónica"/>
    <s v="3c3923fc7e29feb50c4238f1af66ca4ab56a83356f4d2a4f60a52a67089e7cf2d248f64964b626f87937fe1329541f90"/>
    <x v="417"/>
    <n v="-1"/>
    <s v="FVE"/>
    <s v="03-02-2026"/>
    <s v="03-02-2026 16:31:10"/>
    <s v="900800595"/>
    <s v="Provexpress SAS"/>
    <s v="900206480"/>
    <x v="219"/>
    <n v="34396.65"/>
    <n v="0"/>
    <n v="0"/>
    <n v="215431.65"/>
    <s v="Aprobado con notificación"/>
    <s v="Emitido"/>
    <x v="0"/>
    <x v="0"/>
    <x v="1"/>
    <x v="0"/>
    <x v="0"/>
    <x v="1"/>
    <s v="PAGA 2/03/2026"/>
  </r>
  <r>
    <s v="Factura electrónica"/>
    <s v="8688bf03e0bda3d7de590e00e2aa6059df3d4f8478575d6c39d85033692be6494e05f1528cda6a55478a514c005d375c"/>
    <x v="418"/>
    <n v="-1"/>
    <s v="FVE"/>
    <s v="04-02-2026"/>
    <s v="04-02-2026 07:46:19"/>
    <s v="900800595"/>
    <s v="Provexpress SAS"/>
    <s v="800251569"/>
    <x v="175"/>
    <n v="36594"/>
    <n v="0"/>
    <n v="0"/>
    <n v="229194"/>
    <s v="Aprobado con notificación"/>
    <s v="Emitido"/>
    <x v="0"/>
    <x v="0"/>
    <x v="1"/>
    <x v="0"/>
    <x v="0"/>
    <x v="1"/>
    <s v="PAGA 18/02/2026"/>
  </r>
  <r>
    <s v="Factura electrónica"/>
    <s v="0114e907b2eb7be4a571d2d5da5195da5a37576ff365eceab06c0e834ee4b3aad0e0b240d12a90c6a48f2b78d1489145"/>
    <x v="419"/>
    <n v="-1"/>
    <s v="FVE"/>
    <s v="04-02-2026"/>
    <s v="04-02-2026 10:01:37"/>
    <s v="900800595"/>
    <s v="Provexpress SAS"/>
    <s v="901019138"/>
    <x v="220"/>
    <n v="0"/>
    <n v="0"/>
    <n v="0"/>
    <n v="6047300.0300000003"/>
    <s v="Aprobado con notificación"/>
    <s v="Emitido"/>
    <x v="0"/>
    <x v="0"/>
    <x v="0"/>
    <x v="0"/>
    <x v="0"/>
    <x v="0"/>
    <m/>
  </r>
  <r>
    <s v="Factura electrónica"/>
    <s v="11f9a6d64696e0470a649852fcc6e87623d95139b4abfd2e0e4546c20a7069189cc8324c3c4e0c7d8c5fed25f61b4aff"/>
    <x v="420"/>
    <n v="-1"/>
    <s v="FVE"/>
    <s v="04-02-2026"/>
    <s v="04-02-2026 10:01:42"/>
    <s v="900800595"/>
    <s v="Provexpress SAS"/>
    <s v="900797309"/>
    <x v="221"/>
    <n v="95000"/>
    <n v="0"/>
    <n v="0"/>
    <n v="595000"/>
    <s v="Aprobado con notificación"/>
    <s v="Emitido"/>
    <x v="0"/>
    <x v="0"/>
    <x v="1"/>
    <x v="0"/>
    <x v="1"/>
    <x v="0"/>
    <m/>
  </r>
  <r>
    <s v="Factura electrónica"/>
    <s v="c8bee03ac6e4627b73704e4991bfd752c7c8db1faccb93fc96e38d21dd214812211f242a198725ea62952fb2753e7f34"/>
    <x v="421"/>
    <n v="-1"/>
    <s v="FVE"/>
    <s v="04-02-2026"/>
    <s v="04-02-2026 10:01:46"/>
    <s v="900800595"/>
    <s v="Provexpress SAS"/>
    <s v="900714469"/>
    <x v="222"/>
    <n v="350531"/>
    <n v="0"/>
    <n v="0"/>
    <n v="2195431"/>
    <s v="Aprobado con notificación"/>
    <s v="Emitido"/>
    <x v="0"/>
    <x v="0"/>
    <x v="0"/>
    <x v="0"/>
    <x v="0"/>
    <x v="0"/>
    <m/>
  </r>
  <r>
    <s v="Factura electrónica"/>
    <s v="985f28b78af4746d7a983a71171c6427d777d3b23d3ac7731732a234a233dd47ba20a5ddd8f56171914b8a8b9bae59fd"/>
    <x v="422"/>
    <n v="-1"/>
    <s v="FVE"/>
    <s v="04-02-2026"/>
    <s v="04-02-2026 10:01:50"/>
    <s v="900800595"/>
    <s v="Provexpress SAS"/>
    <s v="800076719"/>
    <x v="223"/>
    <n v="943882"/>
    <n v="0"/>
    <n v="0"/>
    <n v="5911682"/>
    <s v="Aprobado con notificación"/>
    <s v="Emitido"/>
    <x v="0"/>
    <x v="0"/>
    <x v="1"/>
    <x v="0"/>
    <x v="0"/>
    <x v="1"/>
    <s v="PAGA 24/02/2026"/>
  </r>
  <r>
    <s v="Factura electrónica"/>
    <s v="c9d144400f4de2042ed5d322dd8d89dc0b36c1e147dee26a7b72c30e91c73da9d280eac81ddf7de966198119abaebebe"/>
    <x v="423"/>
    <n v="-1"/>
    <s v="FVE"/>
    <s v="04-02-2026"/>
    <s v="04-02-2026 10:01:55"/>
    <s v="900800595"/>
    <s v="Provexpress SAS"/>
    <s v="860050750"/>
    <x v="31"/>
    <n v="42750"/>
    <n v="0"/>
    <n v="0"/>
    <n v="267750"/>
    <s v="Aprobado con notificación"/>
    <s v="Emitido"/>
    <x v="1"/>
    <x v="0"/>
    <x v="1"/>
    <x v="0"/>
    <x v="0"/>
    <x v="0"/>
    <m/>
  </r>
  <r>
    <s v="Factura electrónica"/>
    <s v="a26197fb776d3657df9aca6cd7bc7708b7af75e3ece469b8669d6b6fcd13d487dbbf44dfbe5d9d10dc5bd6ce947aa9dc"/>
    <x v="424"/>
    <n v="-1"/>
    <s v="FVE"/>
    <s v="04-02-2026"/>
    <s v="04-02-2026 10:01:59"/>
    <s v="900800595"/>
    <s v="Provexpress SAS"/>
    <s v="860513970"/>
    <x v="224"/>
    <n v="2213500"/>
    <n v="0"/>
    <n v="0"/>
    <n v="13863500"/>
    <s v="Aprobado con notificación"/>
    <s v="Emitido"/>
    <x v="1"/>
    <x v="0"/>
    <x v="1"/>
    <x v="0"/>
    <x v="0"/>
    <x v="0"/>
    <m/>
  </r>
  <r>
    <s v="Factura electrónica"/>
    <s v="c9dd7df69577879ed84acaefa365ef8423c506ad911261ed33435909dba466192c801b9679437f91017ece59b6d4dbaa"/>
    <x v="425"/>
    <n v="-1"/>
    <s v="FVE"/>
    <s v="04-02-2026"/>
    <s v="04-02-2026 10:17:05"/>
    <s v="900800595"/>
    <s v="Provexpress SAS"/>
    <s v="860536003"/>
    <x v="225"/>
    <n v="77140"/>
    <n v="0"/>
    <n v="0"/>
    <n v="483140"/>
    <s v="Aprobado con notificación"/>
    <s v="Emitido"/>
    <x v="0"/>
    <x v="0"/>
    <x v="1"/>
    <x v="0"/>
    <x v="1"/>
    <x v="0"/>
    <m/>
  </r>
  <r>
    <s v="Factura electrónica"/>
    <s v="c8847d2bc9b087d9b75fcb20ee0ac6f2b7534a3a933dfce18cc1a7de4f2c3c2f7b807c674cdef9a86633bbb5abea73bd"/>
    <x v="426"/>
    <n v="-1"/>
    <s v="FVE"/>
    <s v="04-02-2026"/>
    <s v="04-02-2026 10:17:11"/>
    <s v="900800595"/>
    <s v="Provexpress SAS"/>
    <s v="860076579"/>
    <x v="226"/>
    <n v="49400"/>
    <n v="0"/>
    <n v="0"/>
    <n v="309400"/>
    <s v="Aprobado con notificación"/>
    <s v="Emitido"/>
    <x v="0"/>
    <x v="0"/>
    <x v="1"/>
    <x v="0"/>
    <x v="1"/>
    <x v="0"/>
    <m/>
  </r>
  <r>
    <s v="Factura electrónica"/>
    <s v="c43c4111968684d14a95519831e9335609add0aa60fa4e06ee297bd73e65dcf165d5380a6b284fbac4e95e585d6ebecf"/>
    <x v="427"/>
    <n v="-1"/>
    <s v="FVE"/>
    <s v="04-02-2026"/>
    <s v="04-02-2026 10:17:15"/>
    <s v="900800595"/>
    <s v="Provexpress SAS"/>
    <s v="860048112"/>
    <x v="227"/>
    <n v="80646"/>
    <n v="0"/>
    <n v="0"/>
    <n v="634046"/>
    <s v="Aprobado con notificación"/>
    <s v="Emitido"/>
    <x v="0"/>
    <x v="0"/>
    <x v="1"/>
    <x v="0"/>
    <x v="1"/>
    <x v="0"/>
    <m/>
  </r>
  <r>
    <s v="Factura electrónica"/>
    <s v="8d285a595c1eb95fac6d3cdb5dad5e8a0e359f326e67ead41b7cc52a262c78fb7150bb5af84bfede5e902d1b218002a9"/>
    <x v="428"/>
    <n v="-1"/>
    <s v="FVE"/>
    <s v="04-02-2026"/>
    <s v="04-02-2026 10:17:21"/>
    <s v="900800595"/>
    <s v="Provexpress SAS"/>
    <s v="901916856"/>
    <x v="228"/>
    <n v="581342.81000000006"/>
    <n v="0"/>
    <n v="0"/>
    <n v="3641041.81"/>
    <s v="Aprobado con notificación"/>
    <s v="Emitido"/>
    <x v="0"/>
    <x v="0"/>
    <x v="1"/>
    <x v="0"/>
    <x v="1"/>
    <x v="0"/>
    <m/>
  </r>
  <r>
    <s v="Factura electrónica"/>
    <s v="b60095d1b7ec70841a98dfc501d6b717569842ad091e0281817d0c7c36767211be450bd6cb2ca3267dffc54a2048d880"/>
    <x v="429"/>
    <n v="-1"/>
    <s v="FVE"/>
    <s v="04-02-2026"/>
    <s v="04-02-2026 10:17:24"/>
    <s v="900800595"/>
    <s v="Provexpress SAS"/>
    <s v="901916856"/>
    <x v="228"/>
    <n v="113987.65"/>
    <n v="0"/>
    <n v="0"/>
    <n v="713922.65"/>
    <s v="Aprobado con notificación"/>
    <s v="Emitido"/>
    <x v="0"/>
    <x v="0"/>
    <x v="1"/>
    <x v="0"/>
    <x v="1"/>
    <x v="0"/>
    <m/>
  </r>
  <r>
    <s v="Factura electrónica"/>
    <s v="3056f061c10b3b875504460ce5a91ab3534aade34fe8de37279b073e1b6194ab9832f2d644064146629a8f3483e59f47"/>
    <x v="430"/>
    <n v="-1"/>
    <s v="FVE"/>
    <s v="04-02-2026"/>
    <s v="04-02-2026 10:17:28"/>
    <s v="900800595"/>
    <s v="Provexpress SAS"/>
    <s v="901916856"/>
    <x v="228"/>
    <n v="387980"/>
    <n v="0"/>
    <n v="0"/>
    <n v="2429980"/>
    <s v="Aprobado con notificación"/>
    <s v="Emitido"/>
    <x v="0"/>
    <x v="0"/>
    <x v="1"/>
    <x v="0"/>
    <x v="1"/>
    <x v="0"/>
    <m/>
  </r>
  <r>
    <s v="Factura electrónica"/>
    <s v="9d5e2067d9af61db885e0feb3908689f7895ed62437978b4fe27480d5c1003cc90f24e3d368717422618378db116198e"/>
    <x v="431"/>
    <n v="-1"/>
    <s v="FVE"/>
    <s v="04-02-2026"/>
    <s v="04-02-2026 10:17:33"/>
    <s v="900800595"/>
    <s v="Provexpress SAS"/>
    <s v="901122559"/>
    <x v="229"/>
    <n v="435479.24"/>
    <n v="0"/>
    <n v="0"/>
    <n v="2727475.24"/>
    <s v="Aprobado con notificación"/>
    <s v="Emitido"/>
    <x v="1"/>
    <x v="0"/>
    <x v="1"/>
    <x v="0"/>
    <x v="0"/>
    <x v="0"/>
    <m/>
  </r>
  <r>
    <s v="Factura electrónica"/>
    <s v="1450761e426266db95e4f11ad09d6468a712b7b977a2c115ceb5e915de70bf208a61fce29b6758f736b01cdbba7e0bb9"/>
    <x v="432"/>
    <n v="-1"/>
    <s v="FVE"/>
    <s v="04-02-2026"/>
    <s v="04-02-2026 10:17:37"/>
    <s v="900800595"/>
    <s v="Provexpress SAS"/>
    <s v="860009985"/>
    <x v="81"/>
    <n v="318497"/>
    <n v="0"/>
    <n v="0"/>
    <n v="1994797"/>
    <s v="Aprobado con notificación"/>
    <s v="Emitido"/>
    <x v="0"/>
    <x v="0"/>
    <x v="1"/>
    <x v="0"/>
    <x v="1"/>
    <x v="0"/>
    <m/>
  </r>
  <r>
    <s v="Factura electrónica"/>
    <s v="16e624b35da79637d5fa1479cb7c361a82f57c28c53e1c7ac588bedcf28813519334d450f39b7b4a2a1477b256d2230c"/>
    <x v="433"/>
    <n v="-1"/>
    <s v="FVE"/>
    <s v="04-02-2026"/>
    <s v="04-02-2026 10:17:42"/>
    <s v="900800595"/>
    <s v="Provexpress SAS"/>
    <s v="860009985"/>
    <x v="81"/>
    <n v="193762"/>
    <n v="0"/>
    <n v="0"/>
    <n v="1213562"/>
    <s v="Aprobado con notificación"/>
    <s v="Emitido"/>
    <x v="0"/>
    <x v="0"/>
    <x v="1"/>
    <x v="0"/>
    <x v="1"/>
    <x v="0"/>
    <m/>
  </r>
  <r>
    <s v="Factura electrónica"/>
    <s v="3aa84b9cd9b94931f4be750246109f742ab6dfbffdf2cb6ea54fa2862759aa2d095c962e37430fea7812748be3073cab"/>
    <x v="434"/>
    <n v="-1"/>
    <s v="FVE"/>
    <s v="04-02-2026"/>
    <s v="04-02-2026 10:17:47"/>
    <s v="900800595"/>
    <s v="Provexpress SAS"/>
    <s v="830075451"/>
    <x v="230"/>
    <n v="19000"/>
    <n v="0"/>
    <n v="0"/>
    <n v="898000"/>
    <s v="Aprobado con notificación"/>
    <s v="Emitido"/>
    <x v="1"/>
    <x v="0"/>
    <x v="1"/>
    <x v="0"/>
    <x v="0"/>
    <x v="0"/>
    <m/>
  </r>
  <r>
    <s v="Factura electrónica"/>
    <s v="d7c0dd1b4d70c22a506a3f4af810ea166ad9cfbce664f6e7e395b7d1ee406baf3456da20d9318cadbaad157b3a02648b"/>
    <x v="435"/>
    <n v="-1"/>
    <s v="FVE"/>
    <s v="04-02-2026"/>
    <s v="04-02-2026 10:17:52"/>
    <s v="900800595"/>
    <s v="Provexpress SAS"/>
    <s v="900037743"/>
    <x v="76"/>
    <n v="2279240"/>
    <n v="0"/>
    <n v="0"/>
    <n v="14275240"/>
    <s v="Aprobado con notificación"/>
    <s v="Emitido"/>
    <x v="0"/>
    <x v="0"/>
    <x v="0"/>
    <x v="0"/>
    <x v="0"/>
    <x v="0"/>
    <m/>
  </r>
  <r>
    <s v="Factura electrónica"/>
    <s v="5e340cc66cc63ff5ddb39a6c0eb58df4d70753bb0c629f7b887801d6d89742856c7df2d04c68aca7d557a98abeff1818"/>
    <x v="436"/>
    <n v="-1"/>
    <s v="FVE"/>
    <s v="04-02-2026"/>
    <s v="04-02-2026 10:17:56"/>
    <s v="900800595"/>
    <s v="Provexpress SAS"/>
    <s v="900037743"/>
    <x v="76"/>
    <n v="4417500"/>
    <n v="0"/>
    <n v="0"/>
    <n v="27667500"/>
    <s v="Aprobado con notificación"/>
    <s v="Emitido"/>
    <x v="0"/>
    <x v="0"/>
    <x v="0"/>
    <x v="0"/>
    <x v="0"/>
    <x v="0"/>
    <m/>
  </r>
  <r>
    <s v="Factura electrónica"/>
    <s v="0d27fe229880a5b9519276e4cad0a5fc952c97442c3947104e7ecfd3a68db7e1a8d15281318b4f19f5c6f609bf614e4c"/>
    <x v="437"/>
    <n v="-1"/>
    <s v="FVE"/>
    <s v="04-02-2026"/>
    <s v="04-02-2026 10:18:04"/>
    <s v="900800595"/>
    <s v="Provexpress SAS"/>
    <s v="900037743"/>
    <x v="76"/>
    <n v="2945000"/>
    <n v="0"/>
    <n v="0"/>
    <n v="18445000"/>
    <s v="Aprobado con notificación"/>
    <s v="Emitido"/>
    <x v="0"/>
    <x v="0"/>
    <x v="0"/>
    <x v="0"/>
    <x v="0"/>
    <x v="0"/>
    <m/>
  </r>
  <r>
    <s v="Factura electrónica"/>
    <s v="b8b6811d73afd16e3b1c524973a786239e230a6ee8be4edcfb6ccbee40f92dcb0095a394f74b6aa5adc4e43db7b35055"/>
    <x v="438"/>
    <n v="-1"/>
    <s v="FVE"/>
    <s v="04-02-2026"/>
    <s v="04-02-2026 10:18:07"/>
    <s v="900800595"/>
    <s v="Provexpress SAS"/>
    <s v="860450450"/>
    <x v="231"/>
    <n v="52487.5"/>
    <n v="0"/>
    <n v="0"/>
    <n v="328737.5"/>
    <s v="Aprobado con notificación"/>
    <s v="Emitido"/>
    <x v="1"/>
    <x v="0"/>
    <x v="1"/>
    <x v="0"/>
    <x v="0"/>
    <x v="0"/>
    <m/>
  </r>
  <r>
    <s v="Factura electrónica"/>
    <s v="fcf5be8436556e7704551d33e8f5e88e238e629d2566aeda6ddb81fa2542bcf751f9db10edbeac3ea598cf3ed6e618f1"/>
    <x v="439"/>
    <n v="-1"/>
    <s v="FVE"/>
    <s v="04-02-2026"/>
    <s v="04-02-2026 10:33:12"/>
    <s v="900800595"/>
    <s v="Provexpress SAS"/>
    <s v="830055467"/>
    <x v="232"/>
    <n v="114722"/>
    <n v="0"/>
    <n v="0"/>
    <n v="718522"/>
    <s v="Aprobado con notificación"/>
    <s v="Emitido"/>
    <x v="0"/>
    <x v="0"/>
    <x v="1"/>
    <x v="0"/>
    <x v="1"/>
    <x v="0"/>
    <m/>
  </r>
  <r>
    <s v="Factura electrónica"/>
    <s v="9cb9ed962ab1ed390a0698ced491e2ef04724604dcb65e7255a03cab286807ee624e29f25fe653024569f8be9fa03e9f"/>
    <x v="440"/>
    <n v="-1"/>
    <s v="FVE"/>
    <s v="04-02-2026"/>
    <s v="04-02-2026 10:33:16"/>
    <s v="900800595"/>
    <s v="Provexpress SAS"/>
    <s v="830033494"/>
    <x v="233"/>
    <n v="156978"/>
    <n v="0"/>
    <n v="0"/>
    <n v="983178"/>
    <s v="Aprobado con notificación"/>
    <s v="Emitido"/>
    <x v="0"/>
    <x v="0"/>
    <x v="1"/>
    <x v="1"/>
    <x v="0"/>
    <x v="0"/>
    <m/>
  </r>
  <r>
    <s v="Factura electrónica"/>
    <s v="20653719cc8c9b5bed15a5c234fc641ff80d2ea603f3ebafcbc8637bf326b07a8c23ddabd132d7ba4935307b5a43a59f"/>
    <x v="441"/>
    <n v="-1"/>
    <s v="FVE"/>
    <s v="04-02-2026"/>
    <s v="04-02-2026 10:33:20"/>
    <s v="900800595"/>
    <s v="Provexpress SAS"/>
    <s v="830033494"/>
    <x v="233"/>
    <n v="19482.98"/>
    <n v="0"/>
    <n v="0"/>
    <n v="122024.98"/>
    <s v="Aprobado con notificación"/>
    <s v="Emitido"/>
    <x v="1"/>
    <x v="0"/>
    <x v="1"/>
    <x v="0"/>
    <x v="0"/>
    <x v="0"/>
    <m/>
  </r>
  <r>
    <s v="Factura electrónica"/>
    <s v="98d7c3938870fd335ce64aedc181913c72ac03e45032086cff241e071541a8fc79e3750887bf287392d53a3a31ad6935"/>
    <x v="442"/>
    <n v="-1"/>
    <s v="FVE"/>
    <s v="04-02-2026"/>
    <s v="04-02-2026 10:33:25"/>
    <s v="900800595"/>
    <s v="Provexpress SAS"/>
    <s v="860044349"/>
    <x v="74"/>
    <n v="73245"/>
    <n v="0"/>
    <n v="0"/>
    <n v="458745"/>
    <s v="Aprobado con notificación"/>
    <s v="Emitido"/>
    <x v="0"/>
    <x v="0"/>
    <x v="0"/>
    <x v="0"/>
    <x v="0"/>
    <x v="0"/>
    <m/>
  </r>
  <r>
    <s v="Factura electrónica"/>
    <s v="fe2f30bcad2d0efd1b2e5f134f022e3372465727b121de6a5404a23375ca7921fcd6ba3a2e5e7acf6ab342c2bb43d2ee"/>
    <x v="443"/>
    <n v="-1"/>
    <s v="FVE"/>
    <s v="04-02-2026"/>
    <s v="04-02-2026 10:33:30"/>
    <s v="900800595"/>
    <s v="Provexpress SAS"/>
    <s v="860044349"/>
    <x v="74"/>
    <n v="125400"/>
    <n v="0"/>
    <n v="0"/>
    <n v="785400"/>
    <s v="Aprobado con notificación"/>
    <s v="Emitido"/>
    <x v="0"/>
    <x v="0"/>
    <x v="0"/>
    <x v="0"/>
    <x v="0"/>
    <x v="0"/>
    <m/>
  </r>
  <r>
    <s v="Factura electrónica"/>
    <s v="af2bfbe0eb34a47c6e189292204398cc6da01444ce12346d074550bd18f9918b86a20961babb93f09c5b1dd7d3ca6bd5"/>
    <x v="444"/>
    <n v="-1"/>
    <s v="FVE"/>
    <s v="04-02-2026"/>
    <s v="04-02-2026 10:33:35"/>
    <s v="900800595"/>
    <s v="Provexpress SAS"/>
    <s v="800077635"/>
    <x v="234"/>
    <n v="14250"/>
    <n v="0"/>
    <n v="0"/>
    <n v="89250"/>
    <s v="Aprobado con notificación"/>
    <s v="Emitido"/>
    <x v="0"/>
    <x v="0"/>
    <x v="0"/>
    <x v="0"/>
    <x v="0"/>
    <x v="0"/>
    <m/>
  </r>
  <r>
    <s v="Factura electrónica"/>
    <s v="02f887b41c394117ac80d6e04254765d508f63a15cd612b37a7065d35bce63d9770c7000810c146d55593401c2296364"/>
    <x v="445"/>
    <n v="-1"/>
    <s v="FVE"/>
    <s v="04-02-2026"/>
    <s v="04-02-2026 10:48:42"/>
    <s v="900800595"/>
    <s v="Provexpress SAS"/>
    <s v="800022558"/>
    <x v="235"/>
    <n v="11438"/>
    <n v="0"/>
    <n v="0"/>
    <n v="71638"/>
    <s v="Aprobado con notificación"/>
    <s v="Emitido"/>
    <x v="0"/>
    <x v="0"/>
    <x v="0"/>
    <x v="0"/>
    <x v="0"/>
    <x v="0"/>
    <m/>
  </r>
  <r>
    <s v="Factura electrónica"/>
    <s v="f10b05550f1fbe84a5daa9803944b90fd3ea67a5128060e9a4bf85e24b9bbb8d12ae6fb048b776c2c9cf1b59a0b558dd"/>
    <x v="446"/>
    <n v="-1"/>
    <s v="FVE"/>
    <s v="04-02-2026"/>
    <s v="04-02-2026 10:48:46"/>
    <s v="900800595"/>
    <s v="Provexpress SAS"/>
    <s v="830144243"/>
    <x v="236"/>
    <n v="63270"/>
    <n v="0"/>
    <n v="0"/>
    <n v="396270"/>
    <s v="Aprobado con notificación"/>
    <s v="Emitido"/>
    <x v="0"/>
    <x v="0"/>
    <x v="0"/>
    <x v="0"/>
    <x v="0"/>
    <x v="0"/>
    <m/>
  </r>
  <r>
    <s v="Factura electrónica"/>
    <s v="e845970eca66e3c690d55bb5e20d48fb02cff3a0c2bf69d1f87486f6970ad5a27e343fe1b667e1dbb0684ed5bed91752"/>
    <x v="447"/>
    <n v="-1"/>
    <s v="FVE"/>
    <s v="04-02-2026"/>
    <s v="04-02-2026 10:48:50"/>
    <s v="900800595"/>
    <s v="Provexpress SAS"/>
    <s v="900592369"/>
    <x v="75"/>
    <n v="63820"/>
    <n v="0"/>
    <n v="0"/>
    <n v="785820"/>
    <s v="Aprobado con notificación"/>
    <s v="Emitido"/>
    <x v="0"/>
    <x v="0"/>
    <x v="1"/>
    <x v="0"/>
    <x v="1"/>
    <x v="0"/>
    <m/>
  </r>
  <r>
    <s v="Factura electrónica"/>
    <s v="c49aac8bb90589ddfd95c22cb2a7e52bfd638bc70231b551325c9fd417ef0f594bf63d8a2df8e578d1cf17ecbd23105e"/>
    <x v="448"/>
    <n v="-1"/>
    <s v="FVE"/>
    <s v="04-02-2026"/>
    <s v="04-02-2026 10:48:55"/>
    <s v="900800595"/>
    <s v="Provexpress SAS"/>
    <s v="901094266"/>
    <x v="237"/>
    <n v="153153.20000000001"/>
    <n v="0"/>
    <n v="0"/>
    <n v="980333.2"/>
    <s v="Aprobado con notificación"/>
    <s v="Emitido"/>
    <x v="0"/>
    <x v="0"/>
    <x v="1"/>
    <x v="0"/>
    <x v="0"/>
    <x v="1"/>
    <s v="FACTURA PAGA EL 16/02/2026"/>
  </r>
  <r>
    <s v="Factura electrónica"/>
    <s v="b180ffc454cef4ee488690533fb96b654def51b14fd946a3b3394b5d829325af10c83e28fe6169340becb5298bdb141b"/>
    <x v="449"/>
    <n v="-1"/>
    <s v="FVE"/>
    <s v="04-02-2026"/>
    <s v="04-02-2026 10:48:59"/>
    <s v="900800595"/>
    <s v="Provexpress SAS"/>
    <s v="900114346"/>
    <x v="104"/>
    <n v="107112.5"/>
    <n v="0"/>
    <n v="0"/>
    <n v="670862.5"/>
    <s v="Aprobado con notificación"/>
    <s v="Emitido"/>
    <x v="0"/>
    <x v="0"/>
    <x v="1"/>
    <x v="0"/>
    <x v="0"/>
    <x v="1"/>
    <s v="PAGA 16/02/2026"/>
  </r>
  <r>
    <s v="Factura electrónica"/>
    <s v="1e949b03b38356dd8f78407898d45ff7b05031a87db433aa15ef2ed97a7718ee233a74a4064d58f1a40765d841b586b9"/>
    <x v="450"/>
    <n v="-1"/>
    <s v="FVE"/>
    <s v="04-02-2026"/>
    <s v="04-02-2026 10:49:04"/>
    <s v="900800595"/>
    <s v="Provexpress SAS"/>
    <s v="900166056"/>
    <x v="238"/>
    <n v="24052.1"/>
    <n v="0"/>
    <n v="0"/>
    <n v="150642.1"/>
    <s v="Aprobado con notificación"/>
    <s v="Emitido"/>
    <x v="0"/>
    <x v="0"/>
    <x v="1"/>
    <x v="0"/>
    <x v="0"/>
    <x v="1"/>
    <s v="FPAGA 24/02/2026"/>
  </r>
  <r>
    <s v="Factura electrónica"/>
    <s v="9ff7b7e901f99e8e45557fd177bcfb2e09251b6e0b0cacb5b0318aa733cad5bb3e7991ae03ded2e801a104741e39daa5"/>
    <x v="451"/>
    <n v="-1"/>
    <s v="FVE"/>
    <s v="04-02-2026"/>
    <s v="04-02-2026 10:49:08"/>
    <s v="900800595"/>
    <s v="Provexpress SAS"/>
    <s v="900353434"/>
    <x v="239"/>
    <n v="231945.92"/>
    <n v="0"/>
    <n v="0"/>
    <n v="1452713.92"/>
    <s v="Aprobado con notificación"/>
    <s v="Emitido"/>
    <x v="0"/>
    <x v="0"/>
    <x v="1"/>
    <x v="0"/>
    <x v="1"/>
    <x v="0"/>
    <m/>
  </r>
  <r>
    <s v="Factura electrónica"/>
    <s v="53fcf06f282b511829f47806a6e2a493e87f76b804166bd03b36b690d1e31f1ceed0908e8adf2d2acceb09869137b27d"/>
    <x v="452"/>
    <n v="-1"/>
    <s v="FVE"/>
    <s v="04-02-2026"/>
    <s v="04-02-2026 10:49:14"/>
    <s v="900800595"/>
    <s v="Provexpress SAS"/>
    <s v="830033494"/>
    <x v="233"/>
    <n v="128820"/>
    <n v="0"/>
    <n v="0"/>
    <n v="806820"/>
    <s v="Aprobado con notificación"/>
    <s v="Emitido"/>
    <x v="1"/>
    <x v="0"/>
    <x v="1"/>
    <x v="0"/>
    <x v="0"/>
    <x v="0"/>
    <m/>
  </r>
  <r>
    <s v="Factura electrónica"/>
    <s v="177a430db4beb066401b88bf026a28a409623353e8aeea5cd2a304d990750be2d10d8400995e548593c5c63d761cfd83"/>
    <x v="453"/>
    <n v="-1"/>
    <s v="FVE"/>
    <s v="04-02-2026"/>
    <s v="04-02-2026 11:07:09"/>
    <s v="900800595"/>
    <s v="Provexpress SAS"/>
    <s v="860508470"/>
    <x v="240"/>
    <n v="127300"/>
    <n v="0"/>
    <n v="0"/>
    <n v="797300"/>
    <s v="Aprobado con notificación"/>
    <s v="Emitido"/>
    <x v="1"/>
    <x v="0"/>
    <x v="1"/>
    <x v="0"/>
    <x v="0"/>
    <x v="0"/>
    <m/>
  </r>
  <r>
    <s v="Factura electrónica"/>
    <s v="8e426e59e4418c513f74998b62fc10c34c07f19f16906af3e859aa2d7700ead219f2a6c891481e99698bb0002c7da0ca"/>
    <x v="454"/>
    <n v="-1"/>
    <s v="FVE"/>
    <s v="04-02-2026"/>
    <s v="04-02-2026 11:07:11"/>
    <s v="900800595"/>
    <s v="Provexpress SAS"/>
    <s v="901240494"/>
    <x v="241"/>
    <n v="255903.4"/>
    <n v="0"/>
    <n v="0"/>
    <n v="1602763.4"/>
    <s v="Aprobado con notificación"/>
    <s v="Emitido"/>
    <x v="0"/>
    <x v="0"/>
    <x v="1"/>
    <x v="0"/>
    <x v="1"/>
    <x v="0"/>
    <m/>
  </r>
  <r>
    <s v="Factura electrónica"/>
    <s v="7144f1655967c4363c8a6874e8819045c632a3d55bcd8f94861c81d597a0f98f306da58c69a93f4f67b910041c519fbf"/>
    <x v="455"/>
    <n v="-1"/>
    <s v="FVE"/>
    <s v="04-02-2026"/>
    <s v="04-02-2026 11:28:16"/>
    <s v="900800595"/>
    <s v="Provexpress SAS"/>
    <s v="900966568"/>
    <x v="125"/>
    <n v="4940000"/>
    <n v="0"/>
    <n v="0"/>
    <n v="30940000"/>
    <s v="Aprobado con notificación"/>
    <s v="Emitido"/>
    <x v="1"/>
    <x v="0"/>
    <x v="1"/>
    <x v="0"/>
    <x v="0"/>
    <x v="0"/>
    <m/>
  </r>
  <r>
    <s v="Factura electrónica"/>
    <s v="314c72355556e7bffa29098318a9f089a501bb6836bd80baf9cf6d94c8a4e0e4cf1f8f4cbcf09dc41f13c6bc865db709"/>
    <x v="456"/>
    <n v="-1"/>
    <s v="FVE"/>
    <s v="04-02-2026"/>
    <s v="04-02-2026 11:28:18"/>
    <s v="900800595"/>
    <s v="Provexpress SAS"/>
    <s v="860071562"/>
    <x v="242"/>
    <n v="33630"/>
    <n v="0"/>
    <n v="0"/>
    <n v="210630"/>
    <s v="Aprobado con notificación"/>
    <s v="Emitido"/>
    <x v="1"/>
    <x v="0"/>
    <x v="1"/>
    <x v="0"/>
    <x v="0"/>
    <x v="0"/>
    <m/>
  </r>
  <r>
    <s v="Factura electrónica"/>
    <s v="9e740f734f6a67927df2afd71b19119ec8174b339c5944f4ab90ca44ac8303ce78d633f50acfe13d14e735c8609a5d98"/>
    <x v="457"/>
    <n v="-1"/>
    <s v="FVE"/>
    <s v="04-02-2026"/>
    <s v="04-02-2026 11:28:20"/>
    <s v="900800595"/>
    <s v="Provexpress SAS"/>
    <s v="830033494"/>
    <x v="233"/>
    <n v="69296.039999999994"/>
    <n v="0"/>
    <n v="0"/>
    <n v="434012.04"/>
    <s v="Aprobado con notificación"/>
    <s v="Emitido"/>
    <x v="1"/>
    <x v="0"/>
    <x v="1"/>
    <x v="0"/>
    <x v="0"/>
    <x v="0"/>
    <m/>
  </r>
  <r>
    <s v="Factura electrónica"/>
    <s v="158f1c379c75b752ca33a446b1fbfca1d81df738a2c0c29aa67bc8a323c983edd71d292e75b2f72cff1f78d06099ff8c"/>
    <x v="458"/>
    <n v="-1"/>
    <s v="FVE"/>
    <s v="04-02-2026"/>
    <s v="04-02-2026 11:46:11"/>
    <s v="900800595"/>
    <s v="Provexpress SAS"/>
    <s v="900201138"/>
    <x v="243"/>
    <n v="52722.1"/>
    <n v="0"/>
    <n v="0"/>
    <n v="576412.1"/>
    <s v="Aprobado con notificación"/>
    <s v="Emitido"/>
    <x v="0"/>
    <x v="0"/>
    <x v="1"/>
    <x v="0"/>
    <x v="1"/>
    <x v="0"/>
    <m/>
  </r>
  <r>
    <s v="Factura electrónica"/>
    <s v="22642e134e7706f8f2f3432c8781c122abb488e516b2b45de95b8dd03948c95268b35466695de97e651a3bb062693e7d"/>
    <x v="459"/>
    <n v="-1"/>
    <s v="FVE"/>
    <s v="04-02-2026"/>
    <s v="04-02-2026 11:46:35"/>
    <s v="900800595"/>
    <s v="Provexpress SAS"/>
    <s v="860001615"/>
    <x v="138"/>
    <n v="18050"/>
    <n v="0"/>
    <n v="0"/>
    <n v="113050"/>
    <s v="Aprobado con notificación"/>
    <s v="Emitido"/>
    <x v="1"/>
    <x v="0"/>
    <x v="1"/>
    <x v="0"/>
    <x v="0"/>
    <x v="0"/>
    <m/>
  </r>
  <r>
    <s v="Factura electrónica"/>
    <s v="de3ebf432ed76725e2da2ff2744883c66ea6a10127c8c6db17675eca70fabeb472c586707f58197ea24e61a0949d89c4"/>
    <x v="460"/>
    <n v="-1"/>
    <s v="FVE"/>
    <s v="04-02-2026"/>
    <s v="04-02-2026 11:46:13"/>
    <s v="900800595"/>
    <s v="Provexpress SAS"/>
    <s v="860055583"/>
    <x v="244"/>
    <n v="221847.8"/>
    <n v="0"/>
    <n v="0"/>
    <n v="1389467.8"/>
    <s v="Aprobado con notificación"/>
    <s v="Emitido"/>
    <x v="1"/>
    <x v="0"/>
    <x v="1"/>
    <x v="0"/>
    <x v="0"/>
    <x v="0"/>
    <m/>
  </r>
  <r>
    <s v="Factura electrónica"/>
    <s v="4b8c79709202df71e114d030b42ca6121a2a9a333f07eb65d2f1b93efaab9cabcc73ba40c4888dd191248650d1fbaf06"/>
    <x v="461"/>
    <n v="-1"/>
    <s v="FVE"/>
    <s v="04-02-2026"/>
    <s v="04-02-2026 11:46:14"/>
    <s v="900800595"/>
    <s v="Provexpress SAS"/>
    <s v="900582598"/>
    <x v="245"/>
    <n v="505852.2"/>
    <n v="0"/>
    <n v="0"/>
    <n v="3168232.2"/>
    <s v="Aprobado con notificación"/>
    <s v="Emitido"/>
    <x v="0"/>
    <x v="1"/>
    <x v="1"/>
    <x v="0"/>
    <x v="0"/>
    <x v="0"/>
    <m/>
  </r>
  <r>
    <s v="Factura electrónica"/>
    <s v="cdb4af94a175e45c1a004da05783e1aa6fc136fb957b46a1ac60acd7bbc0da62a9abad79a49885a99afc4fb8b7620002"/>
    <x v="462"/>
    <n v="-1"/>
    <s v="FVE"/>
    <s v="04-02-2026"/>
    <s v="04-02-2026 11:46:16"/>
    <s v="900800595"/>
    <s v="Provexpress SAS"/>
    <s v="860516847"/>
    <x v="246"/>
    <n v="137666.01999999999"/>
    <n v="0"/>
    <n v="0"/>
    <n v="862224.02"/>
    <s v="Aprobado con notificación"/>
    <s v="Emitido"/>
    <x v="0"/>
    <x v="0"/>
    <x v="1"/>
    <x v="0"/>
    <x v="0"/>
    <x v="1"/>
    <s v="FACTURA PAGA 23/02/2026"/>
  </r>
  <r>
    <s v="Factura electrónica"/>
    <s v="e899bf556a159b47269dced8ebfc9fab9dc66d0e4385a430dc5d43962b699f7e9501ed6a57036438e6f68130511e68f1"/>
    <x v="463"/>
    <n v="-1"/>
    <s v="FVE"/>
    <s v="04-02-2026"/>
    <s v="04-02-2026 11:46:17"/>
    <s v="900800595"/>
    <s v="Provexpress SAS"/>
    <s v="830047411"/>
    <x v="211"/>
    <n v="85871.64"/>
    <n v="0"/>
    <n v="0"/>
    <n v="537827.64"/>
    <s v="Aprobado con notificación"/>
    <s v="Emitido"/>
    <x v="0"/>
    <x v="1"/>
    <x v="1"/>
    <x v="0"/>
    <x v="0"/>
    <x v="0"/>
    <m/>
  </r>
  <r>
    <s v="Factura electrónica"/>
    <s v="7ddc82cd8f9e2dea2aa9867c64f5eb6e9c0dd899e26dcadae2d8bfe8d8ce605f40fa633decae694224b7532dd405fb30"/>
    <x v="464"/>
    <n v="-1"/>
    <s v="FVE"/>
    <s v="04-02-2026"/>
    <s v="04-02-2026 11:58:27"/>
    <s v="900800595"/>
    <s v="Provexpress SAS"/>
    <s v="860002130"/>
    <x v="247"/>
    <n v="6694650"/>
    <n v="0"/>
    <n v="0"/>
    <n v="41929650"/>
    <s v="Aprobado con notificación"/>
    <s v="Emitido"/>
    <x v="0"/>
    <x v="0"/>
    <x v="1"/>
    <x v="0"/>
    <x v="1"/>
    <x v="0"/>
    <m/>
  </r>
  <r>
    <s v="Factura electrónica"/>
    <s v="63cf3940f6e8680bde8c21e9aa9802d01a5a2ffaa9fa29e71286ce7e620cc08e77180ea19b5706dce55c87ebf9bc443e"/>
    <x v="465"/>
    <n v="-1"/>
    <s v="FVE"/>
    <s v="04-02-2026"/>
    <s v="04-02-2026 12:09:54"/>
    <s v="900800595"/>
    <s v="Provexpress SAS"/>
    <s v="901054874"/>
    <x v="248"/>
    <n v="0"/>
    <n v="0"/>
    <n v="0"/>
    <n v="17848788"/>
    <s v="Aprobado con notificación"/>
    <s v="Emitido"/>
    <x v="0"/>
    <x v="0"/>
    <x v="1"/>
    <x v="0"/>
    <x v="1"/>
    <x v="0"/>
    <m/>
  </r>
  <r>
    <s v="Factura electrónica"/>
    <s v="5c065dd2e8b6f6b5da925009959740f0ce84f00953d73863803292ea5c88aad66c5fdda55ada07a73779ba7c5c39253e"/>
    <x v="466"/>
    <n v="-1"/>
    <s v="FVE"/>
    <s v="04-02-2026"/>
    <s v="04-02-2026 12:09:58"/>
    <s v="900800595"/>
    <s v="Provexpress SAS"/>
    <s v="860026070"/>
    <x v="249"/>
    <n v="496930.96"/>
    <n v="0"/>
    <n v="0"/>
    <n v="3331120.96"/>
    <s v="Aprobado con notificación"/>
    <s v="Emitido"/>
    <x v="0"/>
    <x v="0"/>
    <x v="1"/>
    <x v="0"/>
    <x v="0"/>
    <x v="1"/>
    <s v="PAGA 25/02/2026"/>
  </r>
  <r>
    <s v="Factura electrónica"/>
    <s v="836609f42708045b6b526902eacc613ba3ec380fc086a36b117adb83e33b47332479b76e1382d67ceb4e5ba3ac5656f7"/>
    <x v="467"/>
    <n v="-1"/>
    <s v="FVE"/>
    <s v="04-02-2026"/>
    <s v="04-02-2026 12:20:38"/>
    <s v="900800595"/>
    <s v="Provexpress SAS"/>
    <s v="900466858"/>
    <x v="250"/>
    <n v="49780"/>
    <n v="0"/>
    <n v="0"/>
    <n v="311780"/>
    <s v="Aprobado con notificación"/>
    <s v="Emitido"/>
    <x v="0"/>
    <x v="0"/>
    <x v="1"/>
    <x v="0"/>
    <x v="1"/>
    <x v="0"/>
    <m/>
  </r>
  <r>
    <s v="Factura electrónica"/>
    <s v="82e50e21794173b7cd837670384f6b5d96111e08f00944d1a7cb3d4d4bf5317d6b38c93952c6ddb2fc7c389a9e727ab1"/>
    <x v="468"/>
    <n v="-1"/>
    <s v="FVE"/>
    <s v="04-02-2026"/>
    <s v="04-02-2026 12:20:42"/>
    <s v="900800595"/>
    <s v="Provexpress SAS"/>
    <s v="860517608"/>
    <x v="251"/>
    <n v="52940.65"/>
    <n v="0"/>
    <n v="0"/>
    <n v="331575.65000000002"/>
    <s v="Aprobado con notificación"/>
    <s v="Emitido"/>
    <x v="0"/>
    <x v="0"/>
    <x v="0"/>
    <x v="0"/>
    <x v="0"/>
    <x v="0"/>
    <m/>
  </r>
  <r>
    <s v="Factura electrónica"/>
    <s v="b0a7c293c807560291dc1914a63264d98d64ec45aef806dca2bce1b80db8d9a82336f8d547e768dc190399cf4c28d3d6"/>
    <x v="469"/>
    <n v="-1"/>
    <s v="FVE"/>
    <s v="04-02-2026"/>
    <s v="04-02-2026 12:20:47"/>
    <s v="900800595"/>
    <s v="Provexpress SAS"/>
    <s v="900024398"/>
    <x v="4"/>
    <n v="90250"/>
    <n v="0"/>
    <n v="0"/>
    <n v="565250"/>
    <s v="Aprobado con notificación"/>
    <s v="Emitido"/>
    <x v="0"/>
    <x v="0"/>
    <x v="0"/>
    <x v="0"/>
    <x v="0"/>
    <x v="0"/>
    <m/>
  </r>
  <r>
    <s v="Factura electrónica"/>
    <s v="39887ddc9e3da8f94b332789a3a7e14f0811bc5d70d76844445a11d13dccb5e1829c57e19ce20b1b36e6e97e920ee333"/>
    <x v="470"/>
    <n v="-1"/>
    <s v="FVE"/>
    <s v="04-02-2026"/>
    <s v="04-02-2026 12:20:52"/>
    <s v="900800595"/>
    <s v="Provexpress SAS"/>
    <s v="860023338"/>
    <x v="252"/>
    <n v="93726.05"/>
    <n v="0"/>
    <n v="0"/>
    <n v="587021.05000000005"/>
    <s v="Aprobado con notificación"/>
    <s v="Emitido"/>
    <x v="1"/>
    <x v="0"/>
    <x v="1"/>
    <x v="0"/>
    <x v="0"/>
    <x v="0"/>
    <m/>
  </r>
  <r>
    <s v="Factura electrónica"/>
    <s v="7f93ae5f3c7353256c562b990df113694439f795a70cd76410f01bb4abd55abc05735e4739dd7c9af1490d5f0da58d2a"/>
    <x v="471"/>
    <n v="-1"/>
    <s v="FVE"/>
    <s v="04-02-2026"/>
    <s v="04-02-2026 12:20:57"/>
    <s v="900800595"/>
    <s v="Provexpress SAS"/>
    <s v="900077707"/>
    <x v="253"/>
    <n v="98082.3"/>
    <n v="0"/>
    <n v="0"/>
    <n v="899252.3"/>
    <s v="Aprobado con notificación"/>
    <s v="Emitido"/>
    <x v="0"/>
    <x v="0"/>
    <x v="1"/>
    <x v="0"/>
    <x v="0"/>
    <x v="1"/>
    <s v="PAGA 24/02/2026"/>
  </r>
  <r>
    <s v="Factura electrónica"/>
    <s v="12b302a3cc96544e5a52acc80085a2e7b5372062b031b89a4347962f2b44fda92e57459671ef94e2ed063d39a8a93e9e"/>
    <x v="472"/>
    <n v="-1"/>
    <s v="FVE"/>
    <s v="04-02-2026"/>
    <s v="04-02-2026 12:36:43"/>
    <s v="900800595"/>
    <s v="Provexpress SAS"/>
    <s v="900704566"/>
    <x v="254"/>
    <n v="18819.5"/>
    <n v="0"/>
    <n v="0"/>
    <n v="117869.5"/>
    <s v="Aprobado con notificación"/>
    <s v="Emitido"/>
    <x v="0"/>
    <x v="0"/>
    <x v="1"/>
    <x v="0"/>
    <x v="0"/>
    <x v="1"/>
    <s v="PAGA 5/02/2026"/>
  </r>
  <r>
    <s v="Factura electrónica"/>
    <s v="b0d696414682ad3248b69cc3e90e2e4c645c8c55b9e27056f01f4af29c1cc08a4069de9f05750140e940d0567d6383ef"/>
    <x v="473"/>
    <n v="-1"/>
    <s v="FVE"/>
    <s v="04-02-2026"/>
    <s v="04-02-2026 12:36:45"/>
    <s v="900800595"/>
    <s v="Provexpress SAS"/>
    <s v="860025596"/>
    <x v="255"/>
    <n v="3130820"/>
    <n v="0"/>
    <n v="0"/>
    <n v="19608820"/>
    <s v="Aprobado con notificación"/>
    <s v="Emitido"/>
    <x v="0"/>
    <x v="0"/>
    <x v="1"/>
    <x v="0"/>
    <x v="0"/>
    <x v="1"/>
    <s v="PAGA 21/06/2026"/>
  </r>
  <r>
    <s v="Factura electrónica"/>
    <s v="ea3484d0e41f6b8464637339b4c62aaaf870da009f361dc44a84b214611600f29d1ca0c3ca51183da357f6737a14706e"/>
    <x v="474"/>
    <n v="-1"/>
    <s v="FVE"/>
    <s v="04-02-2026"/>
    <s v="04-02-2026 12:36:47"/>
    <s v="900800595"/>
    <s v="Provexpress SAS"/>
    <s v="900603554"/>
    <x v="256"/>
    <n v="675472.42"/>
    <n v="0"/>
    <n v="0"/>
    <n v="5566590.4199999999"/>
    <s v="Aprobado con notificación"/>
    <s v="Emitido"/>
    <x v="0"/>
    <x v="0"/>
    <x v="0"/>
    <x v="0"/>
    <x v="0"/>
    <x v="0"/>
    <m/>
  </r>
  <r>
    <s v="Factura electrónica"/>
    <s v="af07fa7092a1d06b3ef8ffdcd35419449a3cf079499d2006567f8545d33379447e51fe33dc3353e5319f0eebc9f18606"/>
    <x v="475"/>
    <n v="-1"/>
    <s v="FVE"/>
    <s v="04-02-2026"/>
    <s v="04-02-2026 12:36:50"/>
    <s v="900800595"/>
    <s v="Provexpress SAS"/>
    <s v="900081133"/>
    <x v="257"/>
    <n v="275120"/>
    <n v="0"/>
    <n v="0"/>
    <n v="1723120"/>
    <s v="Aprobado con notificación"/>
    <s v="Emitido"/>
    <x v="1"/>
    <x v="0"/>
    <x v="1"/>
    <x v="0"/>
    <x v="0"/>
    <x v="0"/>
    <m/>
  </r>
  <r>
    <s v="Factura electrónica"/>
    <s v="bd37d19b85956ced59ad547759a1c8e4ea13be49b12596c9db0b08ece49e56099c4057dfc93d143a59430d63a5262257"/>
    <x v="476"/>
    <n v="-1"/>
    <s v="FVE"/>
    <s v="04-02-2026"/>
    <s v="04-02-2026 12:36:52"/>
    <s v="900800595"/>
    <s v="Provexpress SAS"/>
    <s v="900936456"/>
    <x v="258"/>
    <n v="860527.1"/>
    <n v="0"/>
    <n v="0"/>
    <n v="5389617.0999999996"/>
    <s v="Aprobado con notificación"/>
    <s v="Emitido"/>
    <x v="0"/>
    <x v="0"/>
    <x v="1"/>
    <x v="0"/>
    <x v="1"/>
    <x v="0"/>
    <m/>
  </r>
  <r>
    <s v="Factura electrónica"/>
    <s v="ddd0d9cc6877661bd19c764021eee4d58735e7b3acf88f438cf6d1b6c608cfb047244301f86301dedbf93572f374c963"/>
    <x v="477"/>
    <n v="-1"/>
    <s v="FVE"/>
    <s v="04-02-2026"/>
    <s v="04-02-2026 12:36:54"/>
    <s v="900800595"/>
    <s v="Provexpress SAS"/>
    <s v="901211858"/>
    <x v="259"/>
    <n v="512430"/>
    <n v="0"/>
    <n v="0"/>
    <n v="3209430"/>
    <s v="Aprobado con notificación"/>
    <s v="Emitido"/>
    <x v="0"/>
    <x v="0"/>
    <x v="1"/>
    <x v="0"/>
    <x v="1"/>
    <x v="0"/>
    <m/>
  </r>
  <r>
    <s v="Factura electrónica"/>
    <s v="0726e71d9d8710b0d7b26be1af21aa4fead12f797266fbabb52b276ab2aa22cab7a7d6550728e7e0750749565b6094f4"/>
    <x v="478"/>
    <n v="-1"/>
    <s v="FVE"/>
    <s v="04-02-2026"/>
    <s v="04-02-2026 12:51:32"/>
    <s v="900800595"/>
    <s v="Provexpress SAS"/>
    <s v="830109997"/>
    <x v="66"/>
    <n v="51300"/>
    <n v="0"/>
    <n v="0"/>
    <n v="321300"/>
    <s v="Aprobado con notificación"/>
    <s v="Emitido"/>
    <x v="0"/>
    <x v="0"/>
    <x v="1"/>
    <x v="0"/>
    <x v="1"/>
    <x v="0"/>
    <m/>
  </r>
  <r>
    <s v="Factura electrónica"/>
    <s v="db1ca9787ee97a41f9c186549ea92eb9c75e1144edee251dc5d3a730f10ac0e2b9e657606a9164faf37d1c76e006784d"/>
    <x v="479"/>
    <n v="-1"/>
    <s v="FVE"/>
    <s v="04-02-2026"/>
    <s v="04-02-2026 12:51:37"/>
    <s v="900800595"/>
    <s v="Provexpress SAS"/>
    <s v="830020274"/>
    <x v="91"/>
    <n v="85500"/>
    <n v="0"/>
    <n v="0"/>
    <n v="535500"/>
    <s v="Aprobado con notificación"/>
    <s v="Emitido"/>
    <x v="0"/>
    <x v="0"/>
    <x v="0"/>
    <x v="0"/>
    <x v="0"/>
    <x v="0"/>
    <m/>
  </r>
  <r>
    <s v="Factura electrónica"/>
    <s v="5a1d72572d4cb2c876e6707e36e7f62204712d37c201263531442f1eb84f0d4eb93c459656d683dbe57e90dada6c58ed"/>
    <x v="480"/>
    <n v="-1"/>
    <s v="FVE"/>
    <s v="04-02-2026"/>
    <s v="04-02-2026 12:51:42"/>
    <s v="900800595"/>
    <s v="Provexpress SAS"/>
    <s v="800241469"/>
    <x v="48"/>
    <n v="248900"/>
    <n v="0"/>
    <n v="0"/>
    <n v="1558900"/>
    <s v="Aprobado con notificación"/>
    <s v="Emitido"/>
    <x v="0"/>
    <x v="0"/>
    <x v="1"/>
    <x v="0"/>
    <x v="0"/>
    <x v="1"/>
    <s v="PAGO 2/03/2026"/>
  </r>
  <r>
    <s v="Factura electrónica"/>
    <s v="0c6f48684462cc1f87938b4227e1dbd737a4862f9551cc8bb107af4c878bf76caff697dcb90e9c62abc465f1c6258a9c"/>
    <x v="481"/>
    <n v="-1"/>
    <s v="FVE"/>
    <s v="04-02-2026"/>
    <s v="04-02-2026 12:51:46"/>
    <s v="900800595"/>
    <s v="Provexpress SAS"/>
    <s v="800241469"/>
    <x v="48"/>
    <n v="19000"/>
    <n v="0"/>
    <n v="0"/>
    <n v="119000"/>
    <s v="Aprobado con notificación"/>
    <s v="Emitido"/>
    <x v="0"/>
    <x v="0"/>
    <x v="1"/>
    <x v="0"/>
    <x v="0"/>
    <x v="1"/>
    <s v="PAGO 2/03/2026"/>
  </r>
  <r>
    <s v="Factura electrónica"/>
    <s v="7738682488d7a84a7be05397837220012d5a23373570d115fd15cc434695d9d184aa7130226a6692add9bec3b4abe6be"/>
    <x v="482"/>
    <n v="-1"/>
    <s v="FVE"/>
    <s v="04-02-2026"/>
    <s v="04-02-2026 12:51:52"/>
    <s v="900800595"/>
    <s v="Provexpress SAS"/>
    <s v="860075558"/>
    <x v="260"/>
    <n v="0"/>
    <n v="0"/>
    <n v="0"/>
    <n v="1055000"/>
    <s v="Aprobado con notificación"/>
    <s v="Emitido"/>
    <x v="0"/>
    <x v="1"/>
    <x v="1"/>
    <x v="0"/>
    <x v="0"/>
    <x v="0"/>
    <m/>
  </r>
  <r>
    <s v="Factura electrónica"/>
    <s v="c773af673035fd8f064c2e206fde4f94a02fdb1da47844265a07ee3d2e246127c306b8167c71aae9644dac0a1c38f837"/>
    <x v="483"/>
    <n v="-1"/>
    <s v="FVE"/>
    <s v="04-02-2026"/>
    <s v="04-02-2026 12:51:56"/>
    <s v="900800595"/>
    <s v="Provexpress SAS"/>
    <s v="860075558"/>
    <x v="260"/>
    <n v="2736000"/>
    <n v="0"/>
    <n v="0"/>
    <n v="17136000"/>
    <s v="Aprobado con notificación"/>
    <s v="Emitido"/>
    <x v="0"/>
    <x v="1"/>
    <x v="1"/>
    <x v="0"/>
    <x v="0"/>
    <x v="0"/>
    <m/>
  </r>
  <r>
    <s v="Factura electrónica"/>
    <s v="419fb0489fd70cba79805daafa3312648b9914690945f55144682e33ee514301f226887295f96cde5cad52141770421b"/>
    <x v="484"/>
    <n v="-1"/>
    <s v="FVE"/>
    <s v="04-02-2026"/>
    <s v="04-02-2026 12:52:00"/>
    <s v="900800595"/>
    <s v="Provexpress SAS"/>
    <s v="830033494"/>
    <x v="233"/>
    <n v="164597"/>
    <n v="0"/>
    <n v="0"/>
    <n v="1030897"/>
    <s v="Aprobado con notificación"/>
    <s v="Emitido"/>
    <x v="1"/>
    <x v="0"/>
    <x v="1"/>
    <x v="0"/>
    <x v="0"/>
    <x v="0"/>
    <m/>
  </r>
  <r>
    <s v="Factura electrónica"/>
    <s v="b3752d74d89cef275bb945d320efc42fb6f213d4189a0c95a7134a31a6d472b948b74c555931b2226d97e03e16bf1021"/>
    <x v="485"/>
    <n v="-1"/>
    <s v="FVE"/>
    <s v="04-02-2026"/>
    <s v="04-02-2026 12:52:05"/>
    <s v="900800595"/>
    <s v="Provexpress SAS"/>
    <s v="860000996"/>
    <x v="261"/>
    <n v="90630"/>
    <n v="0"/>
    <n v="0"/>
    <n v="567630"/>
    <s v="Aprobado con notificación"/>
    <s v="Emitido"/>
    <x v="1"/>
    <x v="0"/>
    <x v="1"/>
    <x v="0"/>
    <x v="0"/>
    <x v="0"/>
    <m/>
  </r>
  <r>
    <s v="Factura electrónica"/>
    <s v="dfa1cea141a61cebb10c30acd5be5fa3895b87928567e5ddf9773b5aad97cfda9262816ae1595668b150b634b6de1883"/>
    <x v="486"/>
    <n v="-1"/>
    <s v="FVE"/>
    <s v="04-02-2026"/>
    <s v="04-02-2026 12:52:10"/>
    <s v="900800595"/>
    <s v="Provexpress SAS"/>
    <s v="830005448"/>
    <x v="150"/>
    <n v="0"/>
    <n v="0"/>
    <n v="0"/>
    <n v="10440000"/>
    <s v="Aprobado con notificación"/>
    <s v="Emitido"/>
    <x v="1"/>
    <x v="0"/>
    <x v="1"/>
    <x v="0"/>
    <x v="0"/>
    <x v="0"/>
    <m/>
  </r>
  <r>
    <s v="Factura electrónica"/>
    <s v="319e7078a7cd6bedef84988d7fac8d670b574e924b62277ebd304577de1603b4e96b4ef94ff123f3b235a4502d741969"/>
    <x v="487"/>
    <n v="-1"/>
    <s v="FVE"/>
    <s v="04-02-2026"/>
    <s v="04-02-2026 12:52:15"/>
    <s v="900800595"/>
    <s v="Provexpress SAS"/>
    <s v="860051534"/>
    <x v="262"/>
    <n v="332372.32"/>
    <n v="0"/>
    <n v="0"/>
    <n v="2081700.32"/>
    <s v="Aprobado con notificación"/>
    <s v="Emitido"/>
    <x v="0"/>
    <x v="0"/>
    <x v="1"/>
    <x v="0"/>
    <x v="1"/>
    <x v="0"/>
    <m/>
  </r>
  <r>
    <s v="Factura electrónica"/>
    <s v="d64bb5d886b4ea580ea4cf04acc501788600da470f622bbca88e8ea4ea89ab18f7feba9f540ac1eb197cad8f404da32b"/>
    <x v="488"/>
    <n v="-1"/>
    <s v="FVE"/>
    <s v="04-02-2026"/>
    <s v="04-02-2026 12:52:19"/>
    <s v="900800595"/>
    <s v="Provexpress SAS"/>
    <s v="830117370"/>
    <x v="263"/>
    <n v="0"/>
    <n v="0"/>
    <n v="0"/>
    <n v="4309680"/>
    <s v="Aprobado con notificación"/>
    <s v="Emitido"/>
    <x v="0"/>
    <x v="0"/>
    <x v="0"/>
    <x v="0"/>
    <x v="0"/>
    <x v="0"/>
    <m/>
  </r>
  <r>
    <s v="Factura electrónica"/>
    <s v="a1b1fcc51e07a293f3259679aae2b7bcddb8b490a3e24c997bddd57cfd874f61db89e53fdde1b01b1df0a28dace66801"/>
    <x v="489"/>
    <n v="-1"/>
    <s v="FVE"/>
    <s v="04-02-2026"/>
    <s v="04-02-2026 12:52:24"/>
    <s v="900800595"/>
    <s v="Provexpress SAS"/>
    <s v="830058677"/>
    <x v="99"/>
    <n v="107122"/>
    <n v="0"/>
    <n v="0"/>
    <n v="670922"/>
    <s v="Aprobado con notificación"/>
    <s v="Emitido"/>
    <x v="1"/>
    <x v="0"/>
    <x v="1"/>
    <x v="0"/>
    <x v="0"/>
    <x v="0"/>
    <m/>
  </r>
  <r>
    <s v="Factura electrónica"/>
    <s v="9f2c5b27e21233f483822aa2bc382811a3e406c3a71ae7a843170793c7d885d2ef1ed6bb449b3345789b33738e599909"/>
    <x v="490"/>
    <n v="-1"/>
    <s v="FVE"/>
    <s v="04-02-2026"/>
    <s v="04-02-2026 13:07:33"/>
    <s v="900800595"/>
    <s v="Provexpress SAS"/>
    <s v="900033883"/>
    <x v="17"/>
    <n v="104500"/>
    <n v="0"/>
    <n v="0"/>
    <n v="654500"/>
    <s v="Aprobado con notificación"/>
    <s v="Emitido"/>
    <x v="1"/>
    <x v="0"/>
    <x v="1"/>
    <x v="0"/>
    <x v="0"/>
    <x v="0"/>
    <m/>
  </r>
  <r>
    <s v="Factura electrónica"/>
    <s v="38332df04e5a551d80ebbf17243df6b5f19ce5308b604f69b20c254ecb5ff04fec194d4246889c2a008494656ce243dc"/>
    <x v="491"/>
    <n v="-1"/>
    <s v="FVE"/>
    <s v="04-02-2026"/>
    <s v="04-02-2026 13:07:38"/>
    <s v="900800595"/>
    <s v="Provexpress SAS"/>
    <s v="800241469"/>
    <x v="48"/>
    <n v="261250"/>
    <n v="0"/>
    <n v="0"/>
    <n v="1636250"/>
    <s v="Aprobado con notificación"/>
    <s v="Emitido"/>
    <x v="0"/>
    <x v="0"/>
    <x v="1"/>
    <x v="0"/>
    <x v="0"/>
    <x v="1"/>
    <s v="PAGO 2/03/2026"/>
  </r>
  <r>
    <s v="Factura electrónica"/>
    <s v="ef443e3addff5092fa9d14fde71c8898192ec7c3e57a134509897689e6ee0e1b428c9d7dfa017b15fdcbd02631976250"/>
    <x v="492"/>
    <n v="-1"/>
    <s v="FVE"/>
    <s v="04-02-2026"/>
    <s v="04-02-2026 13:07:42"/>
    <s v="900800595"/>
    <s v="Provexpress SAS"/>
    <s v="860048346"/>
    <x v="264"/>
    <n v="123500"/>
    <n v="0"/>
    <n v="0"/>
    <n v="773500"/>
    <s v="Aprobado con notificación"/>
    <s v="Emitido"/>
    <x v="0"/>
    <x v="0"/>
    <x v="0"/>
    <x v="0"/>
    <x v="0"/>
    <x v="0"/>
    <m/>
  </r>
  <r>
    <s v="Factura electrónica"/>
    <s v="e9b5fde42f22f684ed920712951223854b6dce3edff0c2fbe1850a3ec8465f7b7b9909b5302a595044117b0ee4d0c220"/>
    <x v="493"/>
    <n v="-1"/>
    <s v="FVE"/>
    <s v="04-02-2026"/>
    <s v="04-02-2026 13:07:46"/>
    <s v="900800595"/>
    <s v="Provexpress SAS"/>
    <s v="830022818"/>
    <x v="192"/>
    <n v="465500"/>
    <n v="0"/>
    <n v="0"/>
    <n v="2915500"/>
    <s v="Aprobado con notificación"/>
    <s v="Emitido"/>
    <x v="0"/>
    <x v="0"/>
    <x v="0"/>
    <x v="0"/>
    <x v="0"/>
    <x v="0"/>
    <m/>
  </r>
  <r>
    <s v="Factura electrónica"/>
    <s v="456d2fa88649c10134050d7cf69f4bd508948c311b5b3358d1cfad2b9c015e0df1e78db459b3ee95f256bc5361ff863a"/>
    <x v="494"/>
    <n v="-1"/>
    <s v="FVE"/>
    <s v="04-02-2026"/>
    <s v="04-02-2026 13:07:52"/>
    <s v="900800595"/>
    <s v="Provexpress SAS"/>
    <s v="900112872"/>
    <x v="265"/>
    <n v="95760"/>
    <n v="0"/>
    <n v="0"/>
    <n v="599760"/>
    <s v="Aprobado con notificación"/>
    <s v="Emitido"/>
    <x v="0"/>
    <x v="0"/>
    <x v="1"/>
    <x v="0"/>
    <x v="1"/>
    <x v="0"/>
    <m/>
  </r>
  <r>
    <s v="Factura electrónica"/>
    <s v="d123039bb0a214401b0ba4ecd0503c7eec3350f72cddf9eb90afa7f1781a848b131d6e612dfda986d857b0d26127876e"/>
    <x v="495"/>
    <n v="-1"/>
    <s v="FVE"/>
    <s v="04-02-2026"/>
    <s v="04-02-2026 13:07:56"/>
    <s v="900800595"/>
    <s v="Provexpress SAS"/>
    <s v="900993690"/>
    <x v="90"/>
    <n v="122550"/>
    <n v="0"/>
    <n v="0"/>
    <n v="767550"/>
    <s v="Aprobado con notificación"/>
    <s v="Emitido"/>
    <x v="0"/>
    <x v="0"/>
    <x v="1"/>
    <x v="0"/>
    <x v="1"/>
    <x v="0"/>
    <m/>
  </r>
  <r>
    <s v="Factura electrónica"/>
    <s v="dccc283b719a24dceb974853380aa8e81ad70bd9cf00228b2f4618d0716a21264e46243ab66f6583067fd0e897864e61"/>
    <x v="496"/>
    <n v="-1"/>
    <s v="FVE"/>
    <s v="04-02-2026"/>
    <s v="04-02-2026 13:08:01"/>
    <s v="900800595"/>
    <s v="Provexpress SAS"/>
    <s v="860020382"/>
    <x v="266"/>
    <n v="219260"/>
    <n v="0"/>
    <n v="0"/>
    <n v="1373260"/>
    <s v="Aprobado con notificación"/>
    <s v="Emitido"/>
    <x v="0"/>
    <x v="0"/>
    <x v="1"/>
    <x v="0"/>
    <x v="1"/>
    <x v="0"/>
    <m/>
  </r>
  <r>
    <s v="Factura electrónica"/>
    <s v="5012e0b4a7951433975c9d95012c516275562b38809503375b2671356ce77e20c4f4620df65c1b20651f1728ca929b5d"/>
    <x v="497"/>
    <n v="-1"/>
    <s v="FVE"/>
    <s v="04-02-2026"/>
    <s v="04-02-2026 13:08:05"/>
    <s v="900800595"/>
    <s v="Provexpress SAS"/>
    <s v="830040378"/>
    <x v="267"/>
    <n v="108145"/>
    <n v="0"/>
    <n v="0"/>
    <n v="805385"/>
    <s v="Aprobado con notificación"/>
    <s v="Emitido"/>
    <x v="0"/>
    <x v="0"/>
    <x v="1"/>
    <x v="0"/>
    <x v="1"/>
    <x v="0"/>
    <m/>
  </r>
  <r>
    <s v="Factura electrónica"/>
    <s v="bd9d989ce242848794a9bf6c058a588f2392022110f8589e21248ac38372add0258bb32f7fda9dbfd3b018fe345f82be"/>
    <x v="498"/>
    <n v="-1"/>
    <s v="FVE"/>
    <s v="04-02-2026"/>
    <s v="04-02-2026 13:08:09"/>
    <s v="900800595"/>
    <s v="Provexpress SAS"/>
    <s v="830117370"/>
    <x v="263"/>
    <n v="1415767.52"/>
    <n v="0"/>
    <n v="0"/>
    <n v="8867175.5199999996"/>
    <s v="Aprobado con notificación"/>
    <s v="Emitido"/>
    <x v="0"/>
    <x v="0"/>
    <x v="0"/>
    <x v="0"/>
    <x v="0"/>
    <x v="0"/>
    <m/>
  </r>
  <r>
    <s v="Factura electrónica"/>
    <s v="c2ca113256dce50fa95b643fe2d897f1823ecbad29c39dd8dcb575ee6ab572c7f9417938eab7ed7d9365dab4725c0614"/>
    <x v="499"/>
    <n v="-1"/>
    <s v="FVE"/>
    <s v="04-02-2026"/>
    <s v="04-02-2026 14:23:21"/>
    <s v="900800595"/>
    <s v="Provexpress SAS"/>
    <s v="830051519"/>
    <x v="268"/>
    <n v="121455.3"/>
    <n v="0"/>
    <n v="0"/>
    <n v="791125.3"/>
    <s v="Aprobado con notificación"/>
    <s v="Emitido"/>
    <x v="0"/>
    <x v="0"/>
    <x v="1"/>
    <x v="0"/>
    <x v="1"/>
    <x v="0"/>
    <m/>
  </r>
  <r>
    <s v="Factura electrónica"/>
    <s v="1d835b4f8094e7a53586a2e81c3c9f66945f2ab3b2237480d61d877e471f3d8438a26a5ca1b4e70d877ba2bbfcb1ee40"/>
    <x v="500"/>
    <n v="-1"/>
    <s v="FVE"/>
    <s v="04-02-2026"/>
    <s v="04-02-2026 14:23:25"/>
    <s v="900800595"/>
    <s v="Provexpress SAS"/>
    <s v="860053831"/>
    <x v="269"/>
    <n v="261725"/>
    <n v="0"/>
    <n v="0"/>
    <n v="1639225"/>
    <s v="Aprobado con notificación"/>
    <s v="Emitido"/>
    <x v="0"/>
    <x v="1"/>
    <x v="1"/>
    <x v="0"/>
    <x v="0"/>
    <x v="0"/>
    <m/>
  </r>
  <r>
    <s v="Factura electrónica"/>
    <s v="0f66eb084bf6f3ae0b2595ee1d7f3ccefcdbc7c98c0eb3290aa13f202401d37f1309a3d94ebc05868df0bba7ebbbc776"/>
    <x v="501"/>
    <n v="-1"/>
    <s v="FVE"/>
    <s v="04-02-2026"/>
    <s v="04-02-2026 14:23:30"/>
    <s v="900800595"/>
    <s v="Provexpress SAS"/>
    <s v="830041970"/>
    <x v="196"/>
    <n v="21850"/>
    <n v="0"/>
    <n v="0"/>
    <n v="136850"/>
    <s v="Aprobado con notificación"/>
    <s v="Emitido"/>
    <x v="0"/>
    <x v="0"/>
    <x v="1"/>
    <x v="0"/>
    <x v="1"/>
    <x v="0"/>
    <m/>
  </r>
  <r>
    <s v="Factura electrónica"/>
    <s v="a6c4fdcc0027af96f2cbf677537115f346caa47fc3df9a4e9f1d4aa6c4afc1f1175a5e28438bd4353d1e5fe952478b4a"/>
    <x v="502"/>
    <n v="-1"/>
    <s v="FVE"/>
    <s v="04-02-2026"/>
    <s v="04-02-2026 16:11:34"/>
    <s v="900800595"/>
    <s v="Provexpress SAS"/>
    <s v="900128566"/>
    <x v="270"/>
    <n v="65360"/>
    <n v="0"/>
    <n v="0"/>
    <n v="409360"/>
    <s v="Aprobado con notificación"/>
    <s v="Emitido"/>
    <x v="0"/>
    <x v="0"/>
    <x v="0"/>
    <x v="0"/>
    <x v="0"/>
    <x v="0"/>
    <m/>
  </r>
  <r>
    <s v="Factura electrónica"/>
    <s v="5fdbf4064dee1cecded094cf8341d8ce0d67added1787141a254b5197f8f3b85840ff34562222b05b05fdcadd9ae96d8"/>
    <x v="503"/>
    <n v="-1"/>
    <s v="FVE"/>
    <s v="04-02-2026"/>
    <s v="04-02-2026 14:38:38"/>
    <s v="900800595"/>
    <s v="Provexpress SAS"/>
    <s v="860009107"/>
    <x v="189"/>
    <n v="45187.7"/>
    <n v="0"/>
    <n v="0"/>
    <n v="283017.7"/>
    <s v="Aprobado con notificación"/>
    <s v="Emitido"/>
    <x v="1"/>
    <x v="0"/>
    <x v="1"/>
    <x v="0"/>
    <x v="0"/>
    <x v="0"/>
    <m/>
  </r>
  <r>
    <s v="Factura electrónica"/>
    <s v="1ba0acb05147d675737f6867696a95a5178af90088a5dd6a01faa388bcf41b55577cf077e6d859bcc5c6aafb58d67ea7"/>
    <x v="504"/>
    <n v="-1"/>
    <s v="FVE"/>
    <s v="04-02-2026"/>
    <s v="04-02-2026 14:38:43"/>
    <s v="900800595"/>
    <s v="Provexpress SAS"/>
    <s v="800019102"/>
    <x v="271"/>
    <n v="53619.9"/>
    <n v="0"/>
    <n v="0"/>
    <n v="335829.9"/>
    <s v="Aprobado con notificación"/>
    <s v="Emitido"/>
    <x v="0"/>
    <x v="0"/>
    <x v="1"/>
    <x v="0"/>
    <x v="0"/>
    <x v="1"/>
    <s v="PAGO 2/03/2026"/>
  </r>
  <r>
    <s v="Factura electrónica"/>
    <s v="f5ff222191ac92fcddb1f41a7e64fa097b6d9ef778a515422644cc1a1d88a9c61a57023c36a4840efd9ffced970cb636"/>
    <x v="505"/>
    <n v="-1"/>
    <s v="FVE"/>
    <s v="04-02-2026"/>
    <s v="04-02-2026 14:38:49"/>
    <s v="900800595"/>
    <s v="Provexpress SAS"/>
    <s v="800019102"/>
    <x v="271"/>
    <n v="78276.2"/>
    <n v="0"/>
    <n v="0"/>
    <n v="490256.2"/>
    <s v="Aprobado con notificación"/>
    <s v="Emitido"/>
    <x v="0"/>
    <x v="0"/>
    <x v="1"/>
    <x v="0"/>
    <x v="0"/>
    <x v="1"/>
    <s v="PAGO 2/03/2026"/>
  </r>
  <r>
    <s v="Factura electrónica"/>
    <s v="79deb829f5e37228c22441d8ec0aa87da9c7c009c83a546227e82dbd6c7c0d9713e20397b74a4281939ce911bb705de8"/>
    <x v="506"/>
    <n v="-1"/>
    <s v="FVE"/>
    <s v="04-02-2026"/>
    <s v="04-02-2026 14:38:52"/>
    <s v="900800595"/>
    <s v="Provexpress SAS"/>
    <s v="901381693"/>
    <x v="272"/>
    <n v="1061131"/>
    <n v="0"/>
    <n v="0"/>
    <n v="6646031"/>
    <s v="Aprobado con notificación"/>
    <s v="Emitido"/>
    <x v="0"/>
    <x v="0"/>
    <x v="1"/>
    <x v="0"/>
    <x v="1"/>
    <x v="0"/>
    <m/>
  </r>
  <r>
    <s v="Factura electrónica"/>
    <s v="5c4aa51fe57b9cdd0a655c113da5fdc3a900819e2470b930d782f09f6d5360b109fa91f44c37c6d1403fb7c9a8365194"/>
    <x v="507"/>
    <n v="-1"/>
    <s v="FVE"/>
    <s v="04-02-2026"/>
    <s v="04-02-2026 14:53:59"/>
    <s v="900800595"/>
    <s v="Provexpress SAS"/>
    <s v="900128566"/>
    <x v="270"/>
    <n v="1943187"/>
    <n v="0"/>
    <n v="0"/>
    <n v="12170487"/>
    <s v="Aprobado con notificación"/>
    <s v="Emitido"/>
    <x v="0"/>
    <x v="0"/>
    <x v="0"/>
    <x v="0"/>
    <x v="0"/>
    <x v="0"/>
    <m/>
  </r>
  <r>
    <s v="Factura electrónica"/>
    <s v="f0b1dac38d0de8172d1af64221e7a876f6eeefccb47109056d2715d828a71d7265f3d1a19a189a5d129c70d7e5dc6a83"/>
    <x v="508"/>
    <n v="-1"/>
    <s v="FVE"/>
    <s v="04-02-2026"/>
    <s v="04-02-2026 14:54:04"/>
    <s v="900800595"/>
    <s v="Provexpress SAS"/>
    <s v="900128566"/>
    <x v="270"/>
    <n v="716949.99"/>
    <n v="0"/>
    <n v="0"/>
    <n v="4490370.99"/>
    <s v="Aprobado con notificación"/>
    <s v="Emitido"/>
    <x v="0"/>
    <x v="0"/>
    <x v="0"/>
    <x v="0"/>
    <x v="0"/>
    <x v="0"/>
    <m/>
  </r>
  <r>
    <s v="Factura electrónica"/>
    <s v="26f14a6daf24f32266162f50c449e0ab15a4276c19f7044663e34d44ff4b116a192c62f0643ce5bdd40d9799f909815c"/>
    <x v="509"/>
    <n v="-1"/>
    <s v="FVE"/>
    <s v="05-02-2026"/>
    <s v="05-02-2026 12:16:41"/>
    <s v="900800595"/>
    <s v="Provexpress SAS"/>
    <s v="900128566"/>
    <x v="270"/>
    <n v="140296.95000000001"/>
    <n v="0"/>
    <n v="0"/>
    <n v="878701.95"/>
    <s v="Aprobado con notificación"/>
    <s v="Emitido"/>
    <x v="0"/>
    <x v="0"/>
    <x v="0"/>
    <x v="0"/>
    <x v="0"/>
    <x v="0"/>
    <m/>
  </r>
  <r>
    <s v="Factura electrónica"/>
    <s v="94306ca8dfa574dee3f705fce7d2f9b8c52af18e100e048c03ac1cd67fb4bfb658a3080693760a50e9a400ea75125c59"/>
    <x v="510"/>
    <n v="-1"/>
    <s v="FVE"/>
    <s v="04-02-2026"/>
    <s v="04-02-2026 14:54:12"/>
    <s v="900800595"/>
    <s v="Provexpress SAS"/>
    <s v="860006628"/>
    <x v="273"/>
    <n v="200638"/>
    <n v="0"/>
    <n v="0"/>
    <n v="1356838"/>
    <s v="Aprobado con notificación"/>
    <s v="Emitido"/>
    <x v="0"/>
    <x v="1"/>
    <x v="1"/>
    <x v="0"/>
    <x v="0"/>
    <x v="0"/>
    <m/>
  </r>
  <r>
    <s v="Factura electrónica"/>
    <s v="b64b7dd76f8e90e0efd24d0d6d282db1d1fa194680263b6b7468773cf16653d7109609ee3a91a8b2d7589631f1b0e3de"/>
    <x v="511"/>
    <n v="-1"/>
    <s v="FVE"/>
    <s v="04-02-2026"/>
    <s v="04-02-2026 14:54:16"/>
    <s v="900800595"/>
    <s v="Provexpress SAS"/>
    <s v="830513773"/>
    <x v="46"/>
    <n v="9978.7999999999993"/>
    <n v="0"/>
    <n v="0"/>
    <n v="114488.8"/>
    <s v="Aprobado con notificación"/>
    <s v="Emitido"/>
    <x v="0"/>
    <x v="0"/>
    <x v="1"/>
    <x v="0"/>
    <x v="1"/>
    <x v="0"/>
    <m/>
  </r>
  <r>
    <s v="Factura electrónica"/>
    <s v="c2abe313037d2c9cc3141a6b4e13c29bb9307d7c4361c2b6e178bdca7e9e60ef150ef5bcfcc36fe486c6074f3a42b93b"/>
    <x v="512"/>
    <n v="-1"/>
    <s v="FVE"/>
    <s v="04-02-2026"/>
    <s v="04-02-2026 14:54:21"/>
    <s v="900800595"/>
    <s v="Provexpress SAS"/>
    <s v="901940397"/>
    <x v="274"/>
    <n v="306074.61"/>
    <n v="0"/>
    <n v="0"/>
    <n v="1927949.61"/>
    <s v="Aprobado con notificación"/>
    <s v="Emitido"/>
    <x v="0"/>
    <x v="0"/>
    <x v="1"/>
    <x v="0"/>
    <x v="1"/>
    <x v="0"/>
    <m/>
  </r>
  <r>
    <s v="Factura electrónica"/>
    <s v="8bde1a3ce8117897b61446fe1c7ba2908448c6bb8d2decc7b305065dbf6b19d18fd83ac7692d41405f705e470e53c5b6"/>
    <x v="513"/>
    <n v="-1"/>
    <s v="FVE"/>
    <s v="04-02-2026"/>
    <s v="04-02-2026 15:09:30"/>
    <s v="900800595"/>
    <s v="Provexpress SAS"/>
    <s v="901307871"/>
    <x v="275"/>
    <n v="279041.59999999998"/>
    <n v="0"/>
    <n v="0"/>
    <n v="1747681.6"/>
    <s v="Aprobado con notificación"/>
    <s v="Emitido"/>
    <x v="0"/>
    <x v="1"/>
    <x v="1"/>
    <x v="0"/>
    <x v="0"/>
    <x v="0"/>
    <m/>
  </r>
  <r>
    <s v="Factura electrónica"/>
    <s v="f6057cf0d046a2d323a3fe70ada7b615aa9a93329eaf1f05c2b4f3dbfcf01c3c55d50af3c5ee9c694ab8645c0256df05"/>
    <x v="514"/>
    <n v="-1"/>
    <s v="FVE"/>
    <s v="04-02-2026"/>
    <s v="04-02-2026 15:09:33"/>
    <s v="900800595"/>
    <s v="Provexpress SAS"/>
    <s v="901718585"/>
    <x v="276"/>
    <n v="0"/>
    <n v="0"/>
    <n v="0"/>
    <n v="432000"/>
    <s v="Aprobado con notificación"/>
    <s v="Emitido"/>
    <x v="0"/>
    <x v="0"/>
    <x v="1"/>
    <x v="0"/>
    <x v="1"/>
    <x v="0"/>
    <m/>
  </r>
  <r>
    <s v="Factura electrónica"/>
    <s v="cadfaa4398380c4c4f958967477c6c7e932dc09b4f1e929c1d7ec4d12aa0ef84aaf3f966791ba7f90d96ebaca6f00ba3"/>
    <x v="515"/>
    <n v="-1"/>
    <s v="FVE"/>
    <s v="04-02-2026"/>
    <s v="04-02-2026 15:24:38"/>
    <s v="900800595"/>
    <s v="Provexpress SAS"/>
    <s v="800251569"/>
    <x v="175"/>
    <n v="0"/>
    <n v="0"/>
    <n v="0"/>
    <n v="4261045"/>
    <s v="Aprobado con notificación"/>
    <s v="Emitido"/>
    <x v="0"/>
    <x v="0"/>
    <x v="1"/>
    <x v="0"/>
    <x v="0"/>
    <x v="1"/>
    <s v="PAGA 25/02/2026"/>
  </r>
  <r>
    <s v="Factura electrónica"/>
    <s v="c85f272893a395c1e6da751c8fee2b4186006c7ffc8eb005965dd597c2b5accccdaeafab2750e5316bec04624bbac93b"/>
    <x v="516"/>
    <n v="-1"/>
    <s v="FVE"/>
    <s v="04-02-2026"/>
    <s v="04-02-2026 15:39:53"/>
    <s v="900800595"/>
    <s v="Provexpress SAS"/>
    <s v="900189945"/>
    <x v="277"/>
    <n v="79372.5"/>
    <n v="0"/>
    <n v="0"/>
    <n v="497122.5"/>
    <s v="Aprobado con notificación"/>
    <s v="Emitido"/>
    <x v="0"/>
    <x v="0"/>
    <x v="1"/>
    <x v="0"/>
    <x v="1"/>
    <x v="0"/>
    <m/>
  </r>
  <r>
    <s v="Factura electrónica"/>
    <s v="3820db3e00e26982e9fe24a6223dfaa0baecfca020daec04df9d64dcf26c079704e06dc559cf3186d966d2d4bf79ae5f"/>
    <x v="517"/>
    <n v="-1"/>
    <s v="FVE"/>
    <s v="04-02-2026"/>
    <s v="04-02-2026 15:40:08"/>
    <s v="900800595"/>
    <s v="Provexpress SAS"/>
    <s v="900845767"/>
    <x v="278"/>
    <n v="625100"/>
    <n v="0"/>
    <n v="0"/>
    <n v="6265100"/>
    <s v="Aprobado con notificación"/>
    <s v="Emitido"/>
    <x v="0"/>
    <x v="0"/>
    <x v="1"/>
    <x v="0"/>
    <x v="1"/>
    <x v="0"/>
    <m/>
  </r>
  <r>
    <s v="Factura electrónica"/>
    <s v="d3c5ae20499b770d390f71746f573e75061c371034142190deb5139564d4da5bc86ea1205287b4d35b156fd7aae52d0f"/>
    <x v="518"/>
    <n v="-1"/>
    <s v="FVE"/>
    <s v="04-02-2026"/>
    <s v="04-02-2026 15:40:33"/>
    <s v="900800595"/>
    <s v="Provexpress SAS"/>
    <s v="860023264"/>
    <x v="279"/>
    <n v="39140"/>
    <n v="0"/>
    <n v="0"/>
    <n v="1439140"/>
    <s v="Aprobado con notificación"/>
    <s v="Emitido"/>
    <x v="1"/>
    <x v="0"/>
    <x v="1"/>
    <x v="0"/>
    <x v="0"/>
    <x v="0"/>
    <m/>
  </r>
  <r>
    <s v="Factura electrónica"/>
    <s v="a5e2bd2e0fbe1d692180a155a4ee0d594893ec54192a9d9b23ee119a17498b89ff4652743db8a19ce5c9ae0cda0385a3"/>
    <x v="519"/>
    <n v="-1"/>
    <s v="FVE"/>
    <s v="04-02-2026"/>
    <s v="04-02-2026 15:40:34"/>
    <s v="900800595"/>
    <s v="Provexpress SAS"/>
    <s v="860023264"/>
    <x v="279"/>
    <n v="24700"/>
    <n v="0"/>
    <n v="0"/>
    <n v="154700"/>
    <s v="Aprobado con notificación"/>
    <s v="Emitido"/>
    <x v="0"/>
    <x v="0"/>
    <x v="0"/>
    <x v="0"/>
    <x v="0"/>
    <x v="0"/>
    <m/>
  </r>
  <r>
    <s v="Factura electrónica"/>
    <s v="e8ddf3f256608c8c773880dcecce207d064e2462f6c9bfc832f41e30fd87eee30e21f8460ff8f7c7c8e5e8d55aab074f"/>
    <x v="520"/>
    <n v="-1"/>
    <s v="FVE"/>
    <s v="04-02-2026"/>
    <s v="04-02-2026 15:40:41"/>
    <s v="900800595"/>
    <s v="Provexpress SAS"/>
    <s v="830014825"/>
    <x v="280"/>
    <n v="226100"/>
    <n v="0"/>
    <n v="0"/>
    <n v="1416100"/>
    <s v="Aprobado con notificación"/>
    <s v="Emitido"/>
    <x v="0"/>
    <x v="0"/>
    <x v="1"/>
    <x v="0"/>
    <x v="1"/>
    <x v="0"/>
    <m/>
  </r>
  <r>
    <s v="Factura electrónica"/>
    <s v="8646b3f9f4b333968e6b632f149f0a10a9854b11dbb7b673fd921d29fe772e953dd6412de41cd750b0acfa6d50f47de6"/>
    <x v="521"/>
    <n v="-1"/>
    <s v="FVE"/>
    <s v="04-02-2026"/>
    <s v="04-02-2026 15:40:45"/>
    <s v="900800595"/>
    <s v="Provexpress SAS"/>
    <s v="901051109"/>
    <x v="281"/>
    <n v="0"/>
    <n v="0"/>
    <n v="0"/>
    <n v="1390000"/>
    <s v="Aprobado con notificación"/>
    <s v="Emitido"/>
    <x v="0"/>
    <x v="0"/>
    <x v="1"/>
    <x v="0"/>
    <x v="1"/>
    <x v="0"/>
    <m/>
  </r>
  <r>
    <s v="Factura electrónica"/>
    <s v="f87fa2300bb59f5c6a450d44d3f9c6f2d2986fdb7d76e8739d01de261ff69bcfbf0fd699e066ea310d871dbea9f3c6f3"/>
    <x v="522"/>
    <n v="-1"/>
    <s v="FVE"/>
    <s v="04-02-2026"/>
    <s v="04-02-2026 15:40:49"/>
    <s v="900800595"/>
    <s v="Provexpress SAS"/>
    <s v="860512466"/>
    <x v="282"/>
    <n v="36176"/>
    <n v="0"/>
    <n v="0"/>
    <n v="226576"/>
    <s v="Aprobado con notificación"/>
    <s v="Emitido"/>
    <x v="1"/>
    <x v="0"/>
    <x v="1"/>
    <x v="0"/>
    <x v="0"/>
    <x v="0"/>
    <m/>
  </r>
  <r>
    <s v="Factura electrónica"/>
    <s v="5c140e9b8586523ec4f3e8a90dc7eee06cb96e3740f141fc6b0400447da5017637c09fa95b68c132ef7c512450d68bcd"/>
    <x v="523"/>
    <n v="-1"/>
    <s v="FVE"/>
    <s v="04-02-2026"/>
    <s v="04-02-2026 15:40:48"/>
    <s v="900800595"/>
    <s v="Provexpress SAS"/>
    <s v="860512466"/>
    <x v="282"/>
    <n v="3097"/>
    <n v="0"/>
    <n v="0"/>
    <n v="19397"/>
    <s v="Aprobado con notificación"/>
    <s v="Emitido"/>
    <x v="1"/>
    <x v="0"/>
    <x v="1"/>
    <x v="0"/>
    <x v="0"/>
    <x v="0"/>
    <m/>
  </r>
  <r>
    <s v="Factura electrónica"/>
    <s v="2a655520badddd4eccda6570c7e3a5d45a4adcbdd225ec192ad7335c5f848df20ed39893055dae9a411a82340eea7552"/>
    <x v="524"/>
    <n v="-1"/>
    <s v="FVE"/>
    <s v="04-02-2026"/>
    <s v="04-02-2026 15:40:51"/>
    <s v="900800595"/>
    <s v="Provexpress SAS"/>
    <s v="806002953"/>
    <x v="215"/>
    <n v="0"/>
    <n v="0"/>
    <n v="0"/>
    <n v="2085000"/>
    <s v="Aprobado con notificación"/>
    <s v="Emitido"/>
    <x v="0"/>
    <x v="0"/>
    <x v="1"/>
    <x v="0"/>
    <x v="1"/>
    <x v="0"/>
    <m/>
  </r>
  <r>
    <s v="Factura electrónica"/>
    <s v="559ccc085ba598dadb64d3edc05c4629978ea03f7d8b896343917f6202e1d0e49e8b476e2cdae232fa995f21365c4813"/>
    <x v="525"/>
    <n v="-1"/>
    <s v="FVE"/>
    <s v="04-02-2026"/>
    <s v="04-02-2026 15:40:53"/>
    <s v="900800595"/>
    <s v="Provexpress SAS"/>
    <s v="900081133"/>
    <x v="257"/>
    <n v="1237470"/>
    <n v="0"/>
    <n v="0"/>
    <n v="7750470"/>
    <s v="Aprobado con notificación"/>
    <s v="Emitido"/>
    <x v="1"/>
    <x v="0"/>
    <x v="1"/>
    <x v="0"/>
    <x v="0"/>
    <x v="0"/>
    <m/>
  </r>
  <r>
    <s v="Factura electrónica"/>
    <s v="db25f692884480778c237112e3c56151569fc6b0b3925c6282e3f4167cba973a954eb0327c145d086905bc5259629aec"/>
    <x v="526"/>
    <n v="-1"/>
    <s v="FVE"/>
    <s v="04-02-2026"/>
    <s v="04-02-2026 15:40:56"/>
    <s v="900800595"/>
    <s v="Provexpress SAS"/>
    <s v="860077014"/>
    <x v="283"/>
    <n v="125020"/>
    <n v="0"/>
    <n v="0"/>
    <n v="783020"/>
    <s v="Aprobado con notificación"/>
    <s v="Emitido"/>
    <x v="0"/>
    <x v="0"/>
    <x v="1"/>
    <x v="0"/>
    <x v="1"/>
    <x v="0"/>
    <m/>
  </r>
  <r>
    <s v="Factura electrónica"/>
    <s v="2476e8bc0cb1686d3d10b44ee77dcb00142c1cb5d2845a1909a47d88eb414d780f396159709353a2800419a1a4efd12c"/>
    <x v="527"/>
    <n v="-1"/>
    <s v="FVE"/>
    <s v="04-02-2026"/>
    <s v="04-02-2026 15:41:00"/>
    <s v="900800595"/>
    <s v="Provexpress SAS"/>
    <s v="900179369"/>
    <x v="100"/>
    <n v="59850"/>
    <n v="0"/>
    <n v="0"/>
    <n v="374850"/>
    <s v="Aprobado con notificación"/>
    <s v="Emitido"/>
    <x v="0"/>
    <x v="0"/>
    <x v="0"/>
    <x v="0"/>
    <x v="0"/>
    <x v="0"/>
    <m/>
  </r>
  <r>
    <s v="Factura electrónica"/>
    <s v="c8940c40ecff6ad58e31c368bac90e3c20e9b3b291ac3e80960c0048d44ef6d883d54d61d715849c82be07215c6f1ee5"/>
    <x v="528"/>
    <n v="-1"/>
    <s v="FVE"/>
    <s v="04-02-2026"/>
    <s v="04-02-2026 15:41:04"/>
    <s v="900800595"/>
    <s v="Provexpress SAS"/>
    <s v="800217623"/>
    <x v="284"/>
    <n v="120498"/>
    <n v="0"/>
    <n v="0"/>
    <n v="777198"/>
    <s v="Aprobado con notificación"/>
    <s v="Emitido"/>
    <x v="0"/>
    <x v="0"/>
    <x v="1"/>
    <x v="0"/>
    <x v="1"/>
    <x v="0"/>
    <m/>
  </r>
  <r>
    <s v="Factura electrónica"/>
    <s v="a1b7ee01d039a66cb7678ef6df093340ece042297739e9fc36844d19ef8db2857380c8fcce8eb9439d40025dda885720"/>
    <x v="529"/>
    <n v="-1"/>
    <s v="FVE"/>
    <s v="04-02-2026"/>
    <s v="04-02-2026 15:56:05"/>
    <s v="900800595"/>
    <s v="Provexpress SAS"/>
    <s v="900180801"/>
    <x v="285"/>
    <n v="104310"/>
    <n v="0"/>
    <n v="0"/>
    <n v="653310"/>
    <s v="Aprobado con notificación"/>
    <s v="Emitido"/>
    <x v="0"/>
    <x v="0"/>
    <x v="1"/>
    <x v="0"/>
    <x v="1"/>
    <x v="0"/>
    <m/>
  </r>
  <r>
    <s v="Factura electrónica"/>
    <s v="2843a4354d1b65631ad36c182c16879560878acba0c947f24f57db6701d7673e9249db157f1fd7471c99cab8929fddda"/>
    <x v="530"/>
    <n v="-1"/>
    <s v="FVE"/>
    <s v="04-02-2026"/>
    <s v="04-02-2026 15:56:10"/>
    <s v="900800595"/>
    <s v="Provexpress SAS"/>
    <s v="900203461"/>
    <x v="286"/>
    <n v="77900"/>
    <n v="0"/>
    <n v="0"/>
    <n v="487900"/>
    <s v="Aprobado con notificación"/>
    <s v="Emitido"/>
    <x v="0"/>
    <x v="0"/>
    <x v="0"/>
    <x v="0"/>
    <x v="0"/>
    <x v="0"/>
    <m/>
  </r>
  <r>
    <s v="Factura electrónica"/>
    <s v="fbecf898010f83137f27a488dc349c387edf51fe83f0ce14b9450be1b5ccd7998cc5c716188c891bdcc35530081204ad"/>
    <x v="531"/>
    <n v="-1"/>
    <s v="FVE"/>
    <s v="04-02-2026"/>
    <s v="04-02-2026 15:56:15"/>
    <s v="900800595"/>
    <s v="Provexpress SAS"/>
    <s v="800241469"/>
    <x v="48"/>
    <n v="771780"/>
    <n v="0"/>
    <n v="0"/>
    <n v="4833780"/>
    <s v="Aprobado con notificación"/>
    <s v="Emitido"/>
    <x v="0"/>
    <x v="0"/>
    <x v="1"/>
    <x v="0"/>
    <x v="0"/>
    <x v="1"/>
    <s v="PAGO 2/03/2026"/>
  </r>
  <r>
    <s v="Factura electrónica"/>
    <s v="9a35717339d7402218a12155f74e910611d972a4a8d6891a6ef4d513ed5cc3f397e75251d08d83094fd85735b58d9acd"/>
    <x v="532"/>
    <n v="-1"/>
    <s v="FVE"/>
    <s v="04-02-2026"/>
    <s v="04-02-2026 15:56:19"/>
    <s v="900800595"/>
    <s v="Provexpress SAS"/>
    <s v="860031462"/>
    <x v="287"/>
    <n v="336300"/>
    <n v="0"/>
    <n v="0"/>
    <n v="2106300"/>
    <s v="Aprobado con notificación"/>
    <s v="Emitido"/>
    <x v="0"/>
    <x v="0"/>
    <x v="0"/>
    <x v="0"/>
    <x v="0"/>
    <x v="0"/>
    <m/>
  </r>
  <r>
    <s v="Factura electrónica"/>
    <s v="69799f422dd97791c536cc19f73dc238bf3bbdf525542365f6107a9c5b3c35d59e67a35f0ae6412f3e47a78e45a1bffe"/>
    <x v="533"/>
    <n v="-1"/>
    <s v="FVE"/>
    <s v="04-02-2026"/>
    <s v="04-02-2026 15:56:23"/>
    <s v="900800595"/>
    <s v="Provexpress SAS"/>
    <s v="900341092"/>
    <x v="288"/>
    <n v="37050"/>
    <n v="0"/>
    <n v="0"/>
    <n v="232050"/>
    <s v="Aprobado con notificación"/>
    <s v="Emitido"/>
    <x v="0"/>
    <x v="0"/>
    <x v="1"/>
    <x v="0"/>
    <x v="0"/>
    <x v="1"/>
    <s v="PAGA 20/02/2026"/>
  </r>
  <r>
    <s v="Factura electrónica"/>
    <s v="668b64ce400f8917a18f8f89753b3ec93eef065cb30c4ebd5079663c358c66270b514d61d87f1d08ab479630f766f4b9"/>
    <x v="534"/>
    <n v="-1"/>
    <s v="FVE"/>
    <s v="04-02-2026"/>
    <s v="04-02-2026 16:11:42"/>
    <s v="900800595"/>
    <s v="Provexpress SAS"/>
    <s v="800156889"/>
    <x v="218"/>
    <n v="0"/>
    <n v="0"/>
    <n v="0"/>
    <n v="791099"/>
    <s v="Aprobado con notificación"/>
    <s v="Emitido"/>
    <x v="0"/>
    <x v="0"/>
    <x v="1"/>
    <x v="0"/>
    <x v="1"/>
    <x v="0"/>
    <m/>
  </r>
  <r>
    <s v="Factura electrónica"/>
    <s v="9c7fc240ea7dd65d037f1a7f2eb28af03f7baa5813d49c2398976e30f4656de3d4917815da3493d816a60f1e520acc53"/>
    <x v="535"/>
    <n v="-1"/>
    <s v="FVE"/>
    <s v="05-02-2026"/>
    <s v="05-02-2026 07:43:13"/>
    <s v="900800595"/>
    <s v="Provexpress SAS"/>
    <s v="900050036"/>
    <x v="122"/>
    <n v="764855.64"/>
    <n v="0"/>
    <n v="0"/>
    <n v="4790411.6399999997"/>
    <s v="Aprobado con notificación"/>
    <s v="Emitido"/>
    <x v="0"/>
    <x v="0"/>
    <x v="1"/>
    <x v="0"/>
    <x v="1"/>
    <x v="0"/>
    <m/>
  </r>
  <r>
    <s v="Factura electrónica"/>
    <s v="dfc60639d24b8641d10e02044e11f44562df1b6ac2cc036fab233a58ed10bb1a76cb1052113b82f63e761a705e45565f"/>
    <x v="536"/>
    <n v="-1"/>
    <s v="FVE"/>
    <s v="05-02-2026"/>
    <s v="05-02-2026 07:43:20"/>
    <s v="900800595"/>
    <s v="Provexpress SAS"/>
    <s v="900050036"/>
    <x v="122"/>
    <n v="450300"/>
    <n v="0"/>
    <n v="0"/>
    <n v="2820300"/>
    <s v="Aprobado con notificación"/>
    <s v="Emitido"/>
    <x v="0"/>
    <x v="0"/>
    <x v="1"/>
    <x v="0"/>
    <x v="1"/>
    <x v="0"/>
    <m/>
  </r>
  <r>
    <s v="Factura electrónica"/>
    <s v="de34fd94b1f30f9b097c35d50b25433a35490256a1f0621f908f35850b0678556768a24718806aebe189d09a3038bfdf"/>
    <x v="537"/>
    <n v="-1"/>
    <s v="FVE"/>
    <s v="05-02-2026"/>
    <s v="05-02-2026 07:43:25"/>
    <s v="900800595"/>
    <s v="Provexpress SAS"/>
    <s v="830130106"/>
    <x v="289"/>
    <n v="539420.82999999996"/>
    <n v="0"/>
    <n v="0"/>
    <n v="3403982.83"/>
    <s v="Aprobado con notificación"/>
    <s v="Emitido"/>
    <x v="0"/>
    <x v="0"/>
    <x v="1"/>
    <x v="0"/>
    <x v="1"/>
    <x v="0"/>
    <m/>
  </r>
  <r>
    <s v="Factura electrónica"/>
    <s v="2c6eca4ca798740170d59d552f7fad61a5bbd47e985f35a41cc29351d9fef462281653a27dbcf0a9d76067b5345bd886"/>
    <x v="538"/>
    <n v="-1"/>
    <s v="FVE"/>
    <s v="05-02-2026"/>
    <s v="05-02-2026 08:13:30"/>
    <s v="900800595"/>
    <s v="Provexpress SAS"/>
    <s v="860000332"/>
    <x v="290"/>
    <n v="144400"/>
    <n v="0"/>
    <n v="0"/>
    <n v="904400"/>
    <s v="Aprobado con notificación"/>
    <s v="Emitido"/>
    <x v="0"/>
    <x v="0"/>
    <x v="1"/>
    <x v="0"/>
    <x v="1"/>
    <x v="0"/>
    <m/>
  </r>
  <r>
    <s v="Factura electrónica"/>
    <s v="ef880ad342aae3ac94e0eb3367e68d20e77f5df232ee6555e63a241de3c68a2857a49d292b65d11e39d630430b09bbca"/>
    <x v="539"/>
    <n v="-1"/>
    <s v="FVE"/>
    <s v="05-02-2026"/>
    <s v="05-02-2026 08:43:37"/>
    <s v="900800595"/>
    <s v="Provexpress SAS"/>
    <s v="860507710"/>
    <x v="291"/>
    <n v="100708.26"/>
    <n v="0"/>
    <n v="0"/>
    <n v="630751.74"/>
    <s v="Aprobado con notificación"/>
    <s v="Emitido"/>
    <x v="0"/>
    <x v="0"/>
    <x v="1"/>
    <x v="0"/>
    <x v="0"/>
    <x v="1"/>
    <s v="PAGA 20/02/2026"/>
  </r>
  <r>
    <s v="Factura electrónica"/>
    <s v="a87b9001714b72681e87eed7eeb55a85be8e7700314c5224e872a1e19fe6b75d88cbc7470fdf4876a56b1d7c826867ec"/>
    <x v="540"/>
    <n v="-1"/>
    <s v="FVE"/>
    <s v="05-02-2026"/>
    <s v="05-02-2026 08:43:42"/>
    <s v="900800595"/>
    <s v="Provexpress SAS"/>
    <s v="900396965"/>
    <x v="197"/>
    <n v="140600"/>
    <n v="0"/>
    <n v="0"/>
    <n v="880600"/>
    <s v="Aprobado con notificación"/>
    <s v="Emitido"/>
    <x v="0"/>
    <x v="0"/>
    <x v="1"/>
    <x v="0"/>
    <x v="1"/>
    <x v="0"/>
    <m/>
  </r>
  <r>
    <s v="Factura electrónica"/>
    <s v="19b3a5df8677e298077d12b02f3370fbed44a52c9709d36cd93293519c2c0ddac3a2cf633a84fc588dfe4a864734d511"/>
    <x v="541"/>
    <n v="-1"/>
    <s v="FVE"/>
    <s v="05-02-2026"/>
    <s v="05-02-2026 08:43:47"/>
    <s v="900800595"/>
    <s v="Provexpress SAS"/>
    <s v="900396967"/>
    <x v="292"/>
    <n v="196840"/>
    <n v="0"/>
    <n v="0"/>
    <n v="1232840"/>
    <s v="Aprobado con notificación"/>
    <s v="Emitido"/>
    <x v="0"/>
    <x v="0"/>
    <x v="1"/>
    <x v="0"/>
    <x v="1"/>
    <x v="0"/>
    <m/>
  </r>
  <r>
    <s v="Factura electrónica"/>
    <s v="d021ae9b8f2ee025f1434bb8aae94aba9b16f282f52ba120834a3427444db28832b1df625fca90f79b5784c3f24532a8"/>
    <x v="542"/>
    <n v="-1"/>
    <s v="FVE"/>
    <s v="05-02-2026"/>
    <s v="05-02-2026 08:43:52"/>
    <s v="900800595"/>
    <s v="Provexpress SAS"/>
    <s v="830017184"/>
    <x v="293"/>
    <n v="402800"/>
    <n v="0"/>
    <n v="0"/>
    <n v="2522800"/>
    <s v="Aprobado con notificación"/>
    <s v="Emitido"/>
    <x v="0"/>
    <x v="0"/>
    <x v="1"/>
    <x v="0"/>
    <x v="1"/>
    <x v="0"/>
    <m/>
  </r>
  <r>
    <s v="Factura electrónica"/>
    <s v="cbb31bc270f0353f827208a005f0db4bf070633c87296df1ddd4f760b032223ad0112c27d910fed0e085c778efbe93d4"/>
    <x v="543"/>
    <n v="-1"/>
    <s v="FVE"/>
    <s v="05-02-2026"/>
    <s v="05-02-2026 09:13:59"/>
    <s v="900800595"/>
    <s v="Provexpress SAS"/>
    <s v="900203461"/>
    <x v="286"/>
    <n v="220780"/>
    <n v="0"/>
    <n v="0"/>
    <n v="1382780"/>
    <s v="Aprobado con notificación"/>
    <s v="Emitido"/>
    <x v="0"/>
    <x v="0"/>
    <x v="1"/>
    <x v="1"/>
    <x v="0"/>
    <x v="0"/>
    <m/>
  </r>
  <r>
    <s v="Factura electrónica"/>
    <s v="7acd2a689e1209bfe005c13a0d31474ff58afcb6d575e6ba102daec8b5e8b1dc21a848e8d9d160e2f9009841c75dd7fc"/>
    <x v="544"/>
    <n v="-1"/>
    <s v="FVE"/>
    <s v="05-02-2026"/>
    <s v="05-02-2026 09:59:14"/>
    <s v="900800595"/>
    <s v="Provexpress SAS"/>
    <s v="900656026"/>
    <x v="294"/>
    <n v="228047.5"/>
    <n v="0"/>
    <n v="0"/>
    <n v="1428297.5"/>
    <s v="Aprobado con notificación"/>
    <s v="Emitido"/>
    <x v="0"/>
    <x v="0"/>
    <x v="1"/>
    <x v="0"/>
    <x v="1"/>
    <x v="0"/>
    <m/>
  </r>
  <r>
    <s v="Factura electrónica"/>
    <s v="6cc522a7984c0c88d319994d9536701b074fa6068cf7391559731c49838083b35a3a4b5ac351871237427968361cc571"/>
    <x v="545"/>
    <n v="-1"/>
    <s v="FVE"/>
    <s v="05-02-2026"/>
    <s v="05-02-2026 09:59:19"/>
    <s v="900800595"/>
    <s v="Provexpress SAS"/>
    <s v="800066123"/>
    <x v="33"/>
    <n v="38380"/>
    <n v="0"/>
    <n v="0"/>
    <n v="240380"/>
    <s v="Aprobado con notificación"/>
    <s v="Emitido"/>
    <x v="0"/>
    <x v="0"/>
    <x v="1"/>
    <x v="0"/>
    <x v="1"/>
    <x v="0"/>
    <m/>
  </r>
  <r>
    <s v="Factura electrónica"/>
    <s v="7a92e2fca041bfb1cdb525071d353e694504f09cad1d263d8ef6768546cbb708af2f6e01890ad120b2e78d723f8a9d24"/>
    <x v="546"/>
    <n v="-1"/>
    <s v="FVE"/>
    <s v="05-02-2026"/>
    <s v="05-02-2026 09:59:24"/>
    <s v="900800595"/>
    <s v="Provexpress SAS"/>
    <s v="860029846"/>
    <x v="295"/>
    <n v="86375.9"/>
    <n v="0"/>
    <n v="0"/>
    <n v="540985.9"/>
    <s v="Aprobado con notificación"/>
    <s v="Emitido"/>
    <x v="0"/>
    <x v="0"/>
    <x v="1"/>
    <x v="0"/>
    <x v="1"/>
    <x v="0"/>
    <m/>
  </r>
  <r>
    <s v="Factura electrónica"/>
    <s v="83723863da3b2314bd63101ff5a534caf1351bda715b20ae9c37cbf58d3cceafe12fdcdaf24ce99233ca2c0d04b707dd"/>
    <x v="547"/>
    <n v="-1"/>
    <s v="FVE"/>
    <s v="05-02-2026"/>
    <s v="05-02-2026 09:59:29"/>
    <s v="900800595"/>
    <s v="Provexpress SAS"/>
    <s v="900050036"/>
    <x v="122"/>
    <n v="20954.34"/>
    <n v="0"/>
    <n v="0"/>
    <n v="131240.34"/>
    <s v="Aprobado con notificación"/>
    <s v="Emitido"/>
    <x v="0"/>
    <x v="0"/>
    <x v="1"/>
    <x v="0"/>
    <x v="1"/>
    <x v="0"/>
    <m/>
  </r>
  <r>
    <s v="Factura electrónica"/>
    <s v="ab419e68a6903d71f86291a832c72f95875746a3a5d0d754292aedc9512c39393575c418c8e809a847466270997f2cf8"/>
    <x v="548"/>
    <n v="-1"/>
    <s v="FVE"/>
    <s v="05-02-2026"/>
    <s v="05-02-2026 09:59:34"/>
    <s v="900800595"/>
    <s v="Provexpress SAS"/>
    <s v="860503184"/>
    <x v="296"/>
    <n v="105216.63"/>
    <n v="0"/>
    <n v="0"/>
    <n v="753109.63"/>
    <s v="Aprobado con notificación"/>
    <s v="Emitido"/>
    <x v="0"/>
    <x v="0"/>
    <x v="1"/>
    <x v="0"/>
    <x v="1"/>
    <x v="0"/>
    <m/>
  </r>
  <r>
    <s v="Factura electrónica"/>
    <s v="4f4332fa29e8bb2e042b5b02f41403642509cd75407bf651990b28459258fe3d623be8f1a541815c56de3aeb39b6a58d"/>
    <x v="549"/>
    <n v="-1"/>
    <s v="FVE"/>
    <s v="05-02-2026"/>
    <s v="05-02-2026 10:14:40"/>
    <s v="900800595"/>
    <s v="Provexpress SAS"/>
    <s v="830021423"/>
    <x v="297"/>
    <n v="37392"/>
    <n v="0"/>
    <n v="0"/>
    <n v="234192"/>
    <s v="Aprobado con notificación"/>
    <s v="Emitido"/>
    <x v="0"/>
    <x v="1"/>
    <x v="1"/>
    <x v="0"/>
    <x v="0"/>
    <x v="0"/>
    <m/>
  </r>
  <r>
    <s v="Factura electrónica"/>
    <s v="ebfeb3e1902b594b2eabb58883e111e8ab9913e87540d7f6a18837944543d635dbdab18ff4ec5772ae0bb2f593ee6538"/>
    <x v="550"/>
    <n v="-1"/>
    <s v="FVE"/>
    <s v="05-02-2026"/>
    <s v="05-02-2026 10:29:47"/>
    <s v="900800595"/>
    <s v="Provexpress SAS"/>
    <s v="860024986"/>
    <x v="298"/>
    <n v="11020"/>
    <n v="0"/>
    <n v="0"/>
    <n v="69020"/>
    <s v="Aprobado con notificación"/>
    <s v="Emitido"/>
    <x v="1"/>
    <x v="0"/>
    <x v="1"/>
    <x v="0"/>
    <x v="0"/>
    <x v="0"/>
    <m/>
  </r>
  <r>
    <s v="Factura electrónica"/>
    <s v="3ebdb47fb37bf03942e6febc15487c866bf1aa49cc3367ee85bedd21e8c49b72390e5062d0da570544e1d103d4d40367"/>
    <x v="551"/>
    <n v="-1"/>
    <s v="FVE"/>
    <s v="05-02-2026"/>
    <s v="05-02-2026 10:29:51"/>
    <s v="900800595"/>
    <s v="Provexpress SAS"/>
    <s v="900021547"/>
    <x v="202"/>
    <n v="617443"/>
    <n v="0"/>
    <n v="0"/>
    <n v="3867143"/>
    <s v="Aprobado con notificación"/>
    <s v="Emitido"/>
    <x v="0"/>
    <x v="0"/>
    <x v="0"/>
    <x v="0"/>
    <x v="0"/>
    <x v="0"/>
    <m/>
  </r>
  <r>
    <s v="Factura electrónica"/>
    <s v="b7912315354d54d80961043827812c0515ed3f11ecfa5a79ea504667071d3e00999fb0c8da990b341df012c608289a49"/>
    <x v="552"/>
    <n v="-1"/>
    <s v="FVE"/>
    <s v="05-02-2026"/>
    <s v="05-02-2026 10:29:56"/>
    <s v="900800595"/>
    <s v="Provexpress SAS"/>
    <s v="800090263"/>
    <x v="299"/>
    <n v="68058"/>
    <n v="0"/>
    <n v="0"/>
    <n v="4186258"/>
    <s v="Aprobado con notificación"/>
    <s v="Emitido"/>
    <x v="0"/>
    <x v="0"/>
    <x v="1"/>
    <x v="0"/>
    <x v="1"/>
    <x v="0"/>
    <m/>
  </r>
  <r>
    <s v="Factura electrónica"/>
    <s v="c9447496cac0e8af62e92259eaec2cf04bc00b8e69102f5d3327847cb383fc3ceea2a405a199b230bdab21c7d0da7b27"/>
    <x v="553"/>
    <n v="-1"/>
    <s v="FVE"/>
    <s v="05-02-2026"/>
    <s v="05-02-2026 10:30:00"/>
    <s v="900800595"/>
    <s v="Provexpress SAS"/>
    <s v="900021547"/>
    <x v="202"/>
    <n v="32756"/>
    <n v="0"/>
    <n v="0"/>
    <n v="205156"/>
    <s v="Aprobado con notificación"/>
    <s v="Emitido"/>
    <x v="0"/>
    <x v="0"/>
    <x v="0"/>
    <x v="0"/>
    <x v="0"/>
    <x v="0"/>
    <m/>
  </r>
  <r>
    <s v="Factura electrónica"/>
    <s v="a5fcd5167a4424298d6f2dbd8544ed194256bb75b195340ecb3f62adc50a44f84fce8478374a29109113b02eadf1ff06"/>
    <x v="554"/>
    <n v="-1"/>
    <s v="FVE"/>
    <s v="05-02-2026"/>
    <s v="05-02-2026 10:30:05"/>
    <s v="900800595"/>
    <s v="Provexpress SAS"/>
    <s v="860504882"/>
    <x v="300"/>
    <n v="104500"/>
    <n v="0"/>
    <n v="0"/>
    <n v="654500"/>
    <s v="Aprobado con notificación"/>
    <s v="Emitido"/>
    <x v="0"/>
    <x v="0"/>
    <x v="1"/>
    <x v="0"/>
    <x v="1"/>
    <x v="0"/>
    <m/>
  </r>
  <r>
    <s v="Factura electrónica"/>
    <s v="f98b7ab7d3841e427281e9f10114c8beea6f59de4b1b40e89030c4d0776649e1159f0614a2af75fae9b610be47c5ed30"/>
    <x v="555"/>
    <n v="-1"/>
    <s v="FVE"/>
    <s v="05-02-2026"/>
    <s v="05-02-2026 10:30:10"/>
    <s v="900800595"/>
    <s v="Provexpress SAS"/>
    <s v="79421565"/>
    <x v="301"/>
    <n v="6832.97"/>
    <n v="0"/>
    <n v="0"/>
    <n v="120395.97"/>
    <s v="Aprobado con notificación"/>
    <s v="Emitido"/>
    <x v="0"/>
    <x v="0"/>
    <x v="1"/>
    <x v="0"/>
    <x v="0"/>
    <x v="1"/>
    <s v="PAGO EN EL SISTEMA 2/3/2026"/>
  </r>
  <r>
    <s v="Factura electrónica"/>
    <s v="098268476b077df4430a64ef5a7c751f5b18f4b4e132fe361c12be9561189e8c9769696957b1f979332dab77585c8a83"/>
    <x v="556"/>
    <n v="-1"/>
    <s v="FVE"/>
    <s v="05-02-2026"/>
    <s v="05-02-2026 10:30:16"/>
    <s v="900800595"/>
    <s v="Provexpress SAS"/>
    <s v="860504882"/>
    <x v="300"/>
    <n v="95000"/>
    <n v="0"/>
    <n v="0"/>
    <n v="595000"/>
    <s v="Aprobado con notificación"/>
    <s v="Emitido"/>
    <x v="0"/>
    <x v="0"/>
    <x v="1"/>
    <x v="0"/>
    <x v="1"/>
    <x v="0"/>
    <m/>
  </r>
  <r>
    <s v="Factura electrónica"/>
    <s v="39a8bdf660f5dd901ceb5eb4c1e1f114996d90fb8a9c930f0993e8988733c876ca7fd7b0fd27cd5411a86a4ad97e5ca6"/>
    <x v="557"/>
    <n v="-1"/>
    <s v="FVE"/>
    <s v="05-02-2026"/>
    <s v="05-02-2026 10:30:20"/>
    <s v="900800595"/>
    <s v="Provexpress SAS"/>
    <s v="830111257"/>
    <x v="145"/>
    <n v="5247800"/>
    <n v="0"/>
    <n v="0"/>
    <n v="32867800"/>
    <s v="Aprobado con notificación"/>
    <s v="Emitido"/>
    <x v="0"/>
    <x v="0"/>
    <x v="0"/>
    <x v="0"/>
    <x v="0"/>
    <x v="0"/>
    <m/>
  </r>
  <r>
    <s v="Factura electrónica"/>
    <s v="8f9458390ce5b4ab238fee358e914b9c89e04224baf133ad0516bf08dea765b46e8c1ecb2b9f241c68ca38e616d7cf00"/>
    <x v="558"/>
    <n v="-1"/>
    <s v="FVE"/>
    <s v="05-02-2026"/>
    <s v="05-02-2026 10:30:24"/>
    <s v="900800595"/>
    <s v="Provexpress SAS"/>
    <s v="860031462"/>
    <x v="287"/>
    <n v="168150"/>
    <n v="0"/>
    <n v="0"/>
    <n v="1053150"/>
    <s v="Aprobado con notificación"/>
    <s v="Emitido"/>
    <x v="0"/>
    <x v="0"/>
    <x v="0"/>
    <x v="0"/>
    <x v="0"/>
    <x v="0"/>
    <m/>
  </r>
  <r>
    <s v="Factura electrónica"/>
    <s v="0c99e20c2bf055670d9e754c428c3d70e3a40a910459d8d24da2a460b7b4221be2368a13e491f49682e229ad838348ab"/>
    <x v="559"/>
    <n v="-1"/>
    <s v="FVE"/>
    <s v="05-02-2026"/>
    <s v="05-02-2026 10:45:30"/>
    <s v="900800595"/>
    <s v="Provexpress SAS"/>
    <s v="900430148"/>
    <x v="164"/>
    <n v="2300687.2000000002"/>
    <n v="0"/>
    <n v="0"/>
    <n v="14409567.199999999"/>
    <s v="Aprobado con notificación"/>
    <s v="Emitido"/>
    <x v="0"/>
    <x v="0"/>
    <x v="1"/>
    <x v="0"/>
    <x v="1"/>
    <x v="0"/>
    <m/>
  </r>
  <r>
    <s v="Factura electrónica"/>
    <s v="14d47f028afb2970bcd14f821af510a1e45c14d90694e0456046fd9cd756ac6521a6efb95ae1ad6818f8b52cd4ab7db3"/>
    <x v="560"/>
    <n v="-1"/>
    <s v="FVE"/>
    <s v="05-02-2026"/>
    <s v="05-02-2026 10:45:35"/>
    <s v="900800595"/>
    <s v="Provexpress SAS"/>
    <s v="830056418"/>
    <x v="302"/>
    <n v="41230"/>
    <n v="0"/>
    <n v="0"/>
    <n v="258230"/>
    <s v="Aprobado con notificación"/>
    <s v="Emitido"/>
    <x v="0"/>
    <x v="0"/>
    <x v="0"/>
    <x v="0"/>
    <x v="0"/>
    <x v="0"/>
    <m/>
  </r>
  <r>
    <s v="Factura electrónica"/>
    <s v="c5979b824edb016c90daa0a9484b21b419cc399d32d048c864d11f9f6f5e086f137a09592d4462e70cadaaa689de2e44"/>
    <x v="561"/>
    <n v="-1"/>
    <s v="FVE"/>
    <s v="05-02-2026"/>
    <s v="05-02-2026 11:15:48"/>
    <s v="900800595"/>
    <s v="Provexpress SAS"/>
    <s v="900744272"/>
    <x v="176"/>
    <n v="54710.31"/>
    <n v="0"/>
    <n v="0"/>
    <n v="342659.31"/>
    <s v="Aprobado con notificación"/>
    <s v="Emitido"/>
    <x v="0"/>
    <x v="0"/>
    <x v="1"/>
    <x v="0"/>
    <x v="1"/>
    <x v="0"/>
    <m/>
  </r>
  <r>
    <s v="Factura electrónica"/>
    <s v="428aee39031195309df3df8f38469450f0f5efedfb1d63bb2b1510aaf0a7468b00b5b83873c116087b1324a8dd5ee432"/>
    <x v="562"/>
    <n v="-1"/>
    <s v="FVE"/>
    <s v="05-02-2026"/>
    <s v="05-02-2026 11:15:54"/>
    <s v="900800595"/>
    <s v="Provexpress SAS"/>
    <s v="900744272"/>
    <x v="176"/>
    <n v="8556498"/>
    <n v="0"/>
    <n v="0"/>
    <n v="53590698"/>
    <s v="Aprobado con notificación"/>
    <s v="Emitido"/>
    <x v="0"/>
    <x v="0"/>
    <x v="1"/>
    <x v="0"/>
    <x v="1"/>
    <x v="0"/>
    <m/>
  </r>
  <r>
    <s v="Factura electrónica"/>
    <s v="67dc9c4978ab109d99a6b0bf5ecbcffa479713993dcaba3fa3ee9dfcc31caaa2cc99dce39cc8e025e5dd4155ff45edd5"/>
    <x v="563"/>
    <n v="-1"/>
    <s v="FVE"/>
    <s v="05-02-2026"/>
    <s v="05-02-2026 11:16:03"/>
    <s v="900800595"/>
    <s v="Provexpress SAS"/>
    <s v="900744272"/>
    <x v="176"/>
    <n v="34200"/>
    <n v="0"/>
    <n v="0"/>
    <n v="214200"/>
    <s v="Aprobado con notificación"/>
    <s v="Emitido"/>
    <x v="0"/>
    <x v="0"/>
    <x v="1"/>
    <x v="0"/>
    <x v="1"/>
    <x v="0"/>
    <m/>
  </r>
  <r>
    <s v="Factura electrónica"/>
    <s v="bc943d179654b6a31af597cbdf1d22aa351e333bd42e11e1abf09c987a92156a298cc74a300becf22c169ba13ce97b9f"/>
    <x v="564"/>
    <n v="-1"/>
    <s v="FVE"/>
    <s v="05-02-2026"/>
    <s v="05-02-2026 11:16:22"/>
    <s v="900800595"/>
    <s v="Provexpress SAS"/>
    <s v="900354036"/>
    <x v="303"/>
    <n v="329548.34999999998"/>
    <n v="0"/>
    <n v="0"/>
    <n v="2965111.35"/>
    <s v="Aprobado con notificación"/>
    <s v="Emitido"/>
    <x v="1"/>
    <x v="0"/>
    <x v="1"/>
    <x v="0"/>
    <x v="0"/>
    <x v="0"/>
    <m/>
  </r>
  <r>
    <s v="Factura electrónica"/>
    <s v="2bac1f079293027033fa4891ba89c9ac62c10828d88b6ab2a2b298cb590cb451b6bacfaade759c0312505596eb236407"/>
    <x v="565"/>
    <n v="-1"/>
    <s v="FVE"/>
    <s v="05-02-2026"/>
    <s v="05-02-2026 11:31:03"/>
    <s v="900800595"/>
    <s v="Provexpress SAS"/>
    <s v="900112872"/>
    <x v="265"/>
    <n v="0"/>
    <n v="0"/>
    <n v="0"/>
    <n v="1438000"/>
    <s v="Aprobado con notificación"/>
    <s v="Emitido"/>
    <x v="0"/>
    <x v="0"/>
    <x v="1"/>
    <x v="0"/>
    <x v="1"/>
    <x v="0"/>
    <m/>
  </r>
  <r>
    <s v="Factura electrónica"/>
    <s v="4c23a1d1c4962f87f7357e93b62120b7289b228b573b9b7e30a7c0a6e4b2726a9f39f854d6d39ea44b2b2103cf90a674"/>
    <x v="566"/>
    <n v="-1"/>
    <s v="FVE"/>
    <s v="05-02-2026"/>
    <s v="05-02-2026 11:31:08"/>
    <s v="900800595"/>
    <s v="Provexpress SAS"/>
    <s v="830047497"/>
    <x v="304"/>
    <n v="66310"/>
    <n v="0"/>
    <n v="0"/>
    <n v="415310"/>
    <s v="Aprobado con notificación"/>
    <s v="Emitido"/>
    <x v="0"/>
    <x v="0"/>
    <x v="1"/>
    <x v="0"/>
    <x v="0"/>
    <x v="1"/>
    <s v="PAGO EN EL SISTEMA 2/3/2026"/>
  </r>
  <r>
    <s v="Factura electrónica"/>
    <s v="9fe1a6a98619dfa9c1053b67b3f6781901066b7c8d36584c96d429586de3ea8ee41732edc71160c88b220bdecb669164"/>
    <x v="567"/>
    <n v="-1"/>
    <s v="FVE"/>
    <s v="05-02-2026"/>
    <s v="05-02-2026 11:31:40"/>
    <s v="900800595"/>
    <s v="Provexpress SAS"/>
    <s v="860015536"/>
    <x v="305"/>
    <n v="1197190"/>
    <n v="0"/>
    <n v="0"/>
    <n v="7498190"/>
    <s v="Aprobado con notificación"/>
    <s v="Emitido"/>
    <x v="0"/>
    <x v="0"/>
    <x v="0"/>
    <x v="0"/>
    <x v="0"/>
    <x v="0"/>
    <m/>
  </r>
  <r>
    <s v="Factura electrónica"/>
    <s v="e0ac92776884ec0f3e26215fe864f00cb392335a9ddcea5ed1ee46c462620cdc234ba23cd034a7cde69ef35e67645ecc"/>
    <x v="568"/>
    <n v="-1"/>
    <s v="FVE"/>
    <s v="05-02-2026"/>
    <s v="05-02-2026 12:01:20"/>
    <s v="900800595"/>
    <s v="Provexpress SAS"/>
    <s v="800195603"/>
    <x v="306"/>
    <n v="18591.5"/>
    <n v="0"/>
    <n v="0"/>
    <n v="116441.5"/>
    <s v="Aprobado con notificación"/>
    <s v="Emitido"/>
    <x v="1"/>
    <x v="0"/>
    <x v="1"/>
    <x v="0"/>
    <x v="0"/>
    <x v="0"/>
    <m/>
  </r>
  <r>
    <s v="Factura electrónica"/>
    <s v="bfda5a6da204aa82c629a1c9bc8694b8e1989252c018fbb4c529cb6bc4948a6f0eb64eb398933b81f3892aa110538355"/>
    <x v="569"/>
    <n v="-1"/>
    <s v="FVE"/>
    <s v="05-02-2026"/>
    <s v="05-02-2026 12:01:24"/>
    <s v="900800595"/>
    <s v="Provexpress SAS"/>
    <s v="800195603"/>
    <x v="306"/>
    <n v="24625.9"/>
    <n v="0"/>
    <n v="0"/>
    <n v="154235.9"/>
    <s v="Aprobado con notificación"/>
    <s v="Emitido"/>
    <x v="1"/>
    <x v="0"/>
    <x v="1"/>
    <x v="0"/>
    <x v="0"/>
    <x v="0"/>
    <m/>
  </r>
  <r>
    <s v="Factura electrónica"/>
    <s v="09ffd2d5f7c731fa045c0398108ce6868f5854e4e2c410a84c7f9fe99477f61d0be2e8e6d3c77a7190e25392e0ffe57d"/>
    <x v="570"/>
    <n v="-1"/>
    <s v="FVE"/>
    <s v="05-02-2026"/>
    <s v="05-02-2026 12:01:31"/>
    <s v="900800595"/>
    <s v="Provexpress SAS"/>
    <s v="830067414"/>
    <x v="307"/>
    <n v="144761"/>
    <n v="0"/>
    <n v="0"/>
    <n v="906661"/>
    <s v="Aprobado con notificación"/>
    <s v="Emitido"/>
    <x v="1"/>
    <x v="0"/>
    <x v="1"/>
    <x v="0"/>
    <x v="0"/>
    <x v="0"/>
    <m/>
  </r>
  <r>
    <s v="Factura electrónica"/>
    <s v="198454d08b785b58669c9cd2698c06833508777fa6c1ad012a8f315f24ae6cf61e400de44faed2f3bfe570594eec4fca"/>
    <x v="571"/>
    <n v="-1"/>
    <s v="FVE"/>
    <s v="05-02-2026"/>
    <s v="05-02-2026 12:01:35"/>
    <s v="900800595"/>
    <s v="Provexpress SAS"/>
    <s v="900706581"/>
    <x v="308"/>
    <n v="373209.4"/>
    <n v="0"/>
    <n v="0"/>
    <n v="2337469.4"/>
    <s v="Aprobado con notificación"/>
    <s v="Emitido"/>
    <x v="0"/>
    <x v="0"/>
    <x v="1"/>
    <x v="0"/>
    <x v="1"/>
    <x v="0"/>
    <m/>
  </r>
  <r>
    <s v="Factura electrónica"/>
    <s v="296bc7747163ed2f9e904e367f2469bfd46727a40acfcdaa573836de68cc49f1547a9e8ff48159231650f7eb37a66e5a"/>
    <x v="572"/>
    <n v="-1"/>
    <s v="FVE"/>
    <s v="05-02-2026"/>
    <s v="05-02-2026 12:16:49"/>
    <s v="900800595"/>
    <s v="Provexpress SAS"/>
    <s v="830124633"/>
    <x v="309"/>
    <n v="814285.66"/>
    <n v="0"/>
    <n v="0"/>
    <n v="5099999.66"/>
    <s v="Aprobado con notificación"/>
    <s v="Emitido"/>
    <x v="1"/>
    <x v="0"/>
    <x v="1"/>
    <x v="0"/>
    <x v="0"/>
    <x v="0"/>
    <m/>
  </r>
  <r>
    <s v="Factura electrónica"/>
    <s v="cf0fd6f3c49f1f76926a635cef10106f442ee6dfced1b864a4769c763ffe2d133313cee363ca7547f63a3bab587bb776"/>
    <x v="573"/>
    <n v="-1"/>
    <s v="FVE"/>
    <s v="05-02-2026"/>
    <s v="05-02-2026 12:16:53"/>
    <s v="900800595"/>
    <s v="Provexpress SAS"/>
    <s v="830050619"/>
    <x v="310"/>
    <n v="169130.97"/>
    <n v="0"/>
    <n v="0"/>
    <n v="1059293.97"/>
    <s v="Aprobado con notificación"/>
    <s v="Emitido"/>
    <x v="0"/>
    <x v="0"/>
    <x v="1"/>
    <x v="1"/>
    <x v="0"/>
    <x v="0"/>
    <m/>
  </r>
  <r>
    <s v="Factura electrónica"/>
    <s v="653a1740ec2cad813377ea4c616fd78285a7b35e51feb729df67a4031a6fdc5072236521bef5fa6e0585e99a3685dc60"/>
    <x v="574"/>
    <n v="-1"/>
    <s v="FVE"/>
    <s v="05-02-2026"/>
    <s v="05-02-2026 12:16:57"/>
    <s v="900800595"/>
    <s v="Provexpress SAS"/>
    <s v="830050619"/>
    <x v="310"/>
    <n v="1066115.46"/>
    <n v="0"/>
    <n v="0"/>
    <n v="6677249.46"/>
    <s v="Aprobado con notificación"/>
    <s v="Emitido"/>
    <x v="0"/>
    <x v="0"/>
    <x v="1"/>
    <x v="0"/>
    <x v="1"/>
    <x v="0"/>
    <m/>
  </r>
  <r>
    <s v="Factura electrónica"/>
    <s v="edef1104fda194fb6601ebab10b582cd8f4835f67a49bc3f560e358f60653b7fc3161d9d66aeabcddbe383826634e714"/>
    <x v="575"/>
    <n v="-1"/>
    <s v="FVE"/>
    <s v="05-02-2026"/>
    <s v="05-02-2026 13:02:05"/>
    <s v="900800595"/>
    <s v="Provexpress SAS"/>
    <s v="800159527"/>
    <x v="311"/>
    <n v="18430"/>
    <n v="0"/>
    <n v="0"/>
    <n v="115430"/>
    <s v="Aprobado con notificación"/>
    <s v="Emitido"/>
    <x v="0"/>
    <x v="0"/>
    <x v="1"/>
    <x v="0"/>
    <x v="0"/>
    <x v="1"/>
    <s v="PAGA 20/02/2026"/>
  </r>
  <r>
    <s v="Factura electrónica"/>
    <s v="24351858901896a56e83a6cdc698be72e68d09bd0a907535430675b53c1a9d66b629c5de913fd2236fad9a89797fb0b9"/>
    <x v="576"/>
    <n v="-1"/>
    <s v="FVE"/>
    <s v="05-02-2026"/>
    <s v="05-02-2026 13:02:11"/>
    <s v="900800595"/>
    <s v="Provexpress SAS"/>
    <s v="830513773"/>
    <x v="46"/>
    <n v="79713.929999999993"/>
    <n v="0"/>
    <n v="0"/>
    <n v="499260.93"/>
    <s v="Aprobado con notificación"/>
    <s v="Emitido"/>
    <x v="0"/>
    <x v="0"/>
    <x v="1"/>
    <x v="0"/>
    <x v="1"/>
    <x v="0"/>
    <m/>
  </r>
  <r>
    <s v="Factura electrónica"/>
    <s v="1683cbc9c98331b016ef92b134785e265199550219d48ad2913959a808e7020f5ecc77e7b73e07904fe852b09abbbcc2"/>
    <x v="577"/>
    <n v="-1"/>
    <s v="FVE"/>
    <s v="05-02-2026"/>
    <s v="05-02-2026 13:02:15"/>
    <s v="900800595"/>
    <s v="Provexpress SAS"/>
    <s v="901689684"/>
    <x v="312"/>
    <n v="51739.66"/>
    <n v="0"/>
    <n v="0"/>
    <n v="324053.65999999997"/>
    <s v="Aprobado con notificación"/>
    <s v="Emitido"/>
    <x v="1"/>
    <x v="0"/>
    <x v="1"/>
    <x v="0"/>
    <x v="0"/>
    <x v="0"/>
    <m/>
  </r>
  <r>
    <s v="Factura electrónica"/>
    <s v="32b6ba187a98fc6ef55acd097241fbd0d046cdd45f198eeb6379c4e25d13e3a5219230ef07b3ea86676198bc9408aaac"/>
    <x v="578"/>
    <n v="-1"/>
    <s v="FVE"/>
    <s v="05-02-2026"/>
    <s v="05-02-2026 13:17:21"/>
    <s v="900800595"/>
    <s v="Provexpress SAS"/>
    <s v="900671249"/>
    <x v="313"/>
    <n v="17651"/>
    <n v="0"/>
    <n v="0"/>
    <n v="110551"/>
    <s v="Aprobado con notificación"/>
    <s v="Emitido"/>
    <x v="0"/>
    <x v="0"/>
    <x v="1"/>
    <x v="0"/>
    <x v="1"/>
    <x v="0"/>
    <m/>
  </r>
  <r>
    <s v="Factura electrónica"/>
    <s v="4d3d8d87db48cd7d8b26dbf098f8b983a5fd2f16b47c202f0d728677440daba0a59a347b999cbdf6f9c4c4cc42a2454c"/>
    <x v="579"/>
    <n v="-1"/>
    <s v="FVE"/>
    <s v="05-02-2026"/>
    <s v="05-02-2026 14:17:33"/>
    <s v="900800595"/>
    <s v="Provexpress SAS"/>
    <s v="860031615"/>
    <x v="124"/>
    <n v="47500"/>
    <n v="0"/>
    <n v="0"/>
    <n v="297500"/>
    <s v="Aprobado con notificación"/>
    <s v="Emitido"/>
    <x v="0"/>
    <x v="0"/>
    <x v="1"/>
    <x v="0"/>
    <x v="0"/>
    <x v="1"/>
    <s v="PAGO EN EL SISTEMA 2/3/2026"/>
  </r>
  <r>
    <s v="Factura electrónica"/>
    <s v="42b8b402c4a4e9f650449070807dc65e9f84706a5c0e5e83a6ae54509b01b4ef475892e6c074db76de4648139d39e18f"/>
    <x v="580"/>
    <n v="-1"/>
    <s v="FVE"/>
    <s v="05-02-2026"/>
    <s v="05-02-2026 14:32:38"/>
    <s v="900800595"/>
    <s v="Provexpress SAS"/>
    <s v="860015905"/>
    <x v="314"/>
    <n v="23750"/>
    <n v="0"/>
    <n v="0"/>
    <n v="148750"/>
    <s v="Aprobado con notificación"/>
    <s v="Emitido"/>
    <x v="0"/>
    <x v="0"/>
    <x v="1"/>
    <x v="0"/>
    <x v="1"/>
    <x v="0"/>
    <m/>
  </r>
  <r>
    <s v="Factura electrónica"/>
    <s v="2d86c29a915ff4784a1564ed0dbbcc1d98ec5f02128daeae0976ee2d0d739511895645dbe4e0c0fdb394567fbf470074"/>
    <x v="581"/>
    <n v="-1"/>
    <s v="FVE"/>
    <s v="05-02-2026"/>
    <s v="05-02-2026 14:32:44"/>
    <s v="900800595"/>
    <s v="Provexpress SAS"/>
    <s v="900206480"/>
    <x v="219"/>
    <n v="644681.4"/>
    <n v="0"/>
    <n v="0"/>
    <n v="4037741.4"/>
    <s v="Aprobado con notificación"/>
    <s v="Emitido"/>
    <x v="0"/>
    <x v="0"/>
    <x v="1"/>
    <x v="0"/>
    <x v="0"/>
    <x v="1"/>
    <s v="PAGO EN EL SISTEMA 2/3/2026"/>
  </r>
  <r>
    <s v="Factura electrónica"/>
    <s v="63cdb00dcc69f65b511d91ac05ba9efc23945f2ab23e7a7b1bc843666c9df4572f731bc954553d20cdba5e28d41980f9"/>
    <x v="582"/>
    <n v="-1"/>
    <s v="FVE"/>
    <s v="05-02-2026"/>
    <s v="05-02-2026 14:47:49"/>
    <s v="900800595"/>
    <s v="Provexpress SAS"/>
    <s v="900711448"/>
    <x v="315"/>
    <n v="70345.98"/>
    <n v="0"/>
    <n v="0"/>
    <n v="440587.98"/>
    <s v="Aprobado con notificación"/>
    <s v="Emitido"/>
    <x v="0"/>
    <x v="0"/>
    <x v="1"/>
    <x v="0"/>
    <x v="1"/>
    <x v="0"/>
    <m/>
  </r>
  <r>
    <s v="Factura electrónica"/>
    <s v="c00e73eb3520be999152b12123467fbb4c093463d296dc9667f3022490f652be69e6b1fd5a8ea70e56fad1c9ed742f32"/>
    <x v="583"/>
    <n v="-1"/>
    <s v="FVE"/>
    <s v="05-02-2026"/>
    <s v="05-02-2026 14:47:54"/>
    <s v="900800595"/>
    <s v="Provexpress SAS"/>
    <s v="900711448"/>
    <x v="315"/>
    <n v="8322"/>
    <n v="0"/>
    <n v="0"/>
    <n v="52122"/>
    <s v="Aprobado con notificación"/>
    <s v="Emitido"/>
    <x v="0"/>
    <x v="0"/>
    <x v="1"/>
    <x v="0"/>
    <x v="1"/>
    <x v="0"/>
    <m/>
  </r>
  <r>
    <s v="Factura electrónica"/>
    <s v="32642d84d59cd592794ade2e1d7a562383b19ba0f249d33604a74cd07b40082ecc0e3fb2b80e44b91b39981188bc4877"/>
    <x v="584"/>
    <n v="-1"/>
    <s v="FVE"/>
    <s v="05-02-2026"/>
    <s v="05-02-2026 14:47:58"/>
    <s v="900800595"/>
    <s v="Provexpress SAS"/>
    <s v="900711448"/>
    <x v="315"/>
    <n v="139540.26"/>
    <n v="0"/>
    <n v="0"/>
    <n v="930574.26"/>
    <s v="Aprobado con notificación"/>
    <s v="Emitido"/>
    <x v="0"/>
    <x v="0"/>
    <x v="1"/>
    <x v="0"/>
    <x v="1"/>
    <x v="0"/>
    <m/>
  </r>
  <r>
    <s v="Factura electrónica"/>
    <s v="ebb63d7f45ab58f9b544643b70735b57019bf8e5ba8e4fb7305aefc78ee1055d52343a676fc224f60827401838a71988"/>
    <x v="585"/>
    <n v="-1"/>
    <s v="FVE"/>
    <s v="05-02-2026"/>
    <s v="05-02-2026 14:48:03"/>
    <s v="900800595"/>
    <s v="Provexpress SAS"/>
    <s v="830040378"/>
    <x v="267"/>
    <n v="369690.6"/>
    <n v="0"/>
    <n v="0"/>
    <n v="2332710.6"/>
    <s v="Aprobado con notificación"/>
    <s v="Emitido"/>
    <x v="0"/>
    <x v="0"/>
    <x v="1"/>
    <x v="0"/>
    <x v="1"/>
    <x v="0"/>
    <m/>
  </r>
  <r>
    <s v="Factura electrónica"/>
    <s v="20c5d647320365ee197a2f5ac025cbd87a750a89b077335b69381d21eb01f577b273e1084c6a17dfaeb7806b210e6b56"/>
    <x v="586"/>
    <n v="-1"/>
    <s v="FVE"/>
    <s v="05-02-2026"/>
    <s v="05-02-2026 15:03:09"/>
    <s v="900800595"/>
    <s v="Provexpress SAS"/>
    <s v="900166056"/>
    <x v="238"/>
    <n v="37905"/>
    <n v="0"/>
    <n v="0"/>
    <n v="237405"/>
    <s v="Aprobado con notificación"/>
    <s v="Emitido"/>
    <x v="0"/>
    <x v="0"/>
    <x v="1"/>
    <x v="0"/>
    <x v="0"/>
    <x v="1"/>
    <s v="PAGA 24/02/2026"/>
  </r>
  <r>
    <s v="Factura electrónica"/>
    <s v="d47639a066919019b77461acfd458e69ed31d370fe9fa294ed91235e0a36df68785ec2162da46b1c1e4551cf42c1b789"/>
    <x v="587"/>
    <n v="-1"/>
    <s v="FVE"/>
    <s v="05-02-2026"/>
    <s v="05-02-2026 15:03:13"/>
    <s v="900800595"/>
    <s v="Provexpress SAS"/>
    <s v="860006848"/>
    <x v="316"/>
    <n v="37364.07"/>
    <n v="0"/>
    <n v="0"/>
    <n v="254489.07"/>
    <s v="Aprobado con notificación"/>
    <s v="Emitido"/>
    <x v="1"/>
    <x v="0"/>
    <x v="1"/>
    <x v="0"/>
    <x v="0"/>
    <x v="0"/>
    <m/>
  </r>
  <r>
    <s v="Factura electrónica"/>
    <s v="6f18e7bde4fc1b00d34453f934be16c79650c6a157a478e6b151e6dcf34106260033456c5ab6b611793abc7f688c4620"/>
    <x v="588"/>
    <n v="-1"/>
    <s v="FVE"/>
    <s v="05-02-2026"/>
    <s v="05-02-2026 15:03:18"/>
    <s v="900800595"/>
    <s v="Provexpress SAS"/>
    <s v="860006848"/>
    <x v="316"/>
    <n v="32148"/>
    <n v="0"/>
    <n v="0"/>
    <n v="201348"/>
    <s v="Aprobado con notificación"/>
    <s v="Emitido"/>
    <x v="1"/>
    <x v="0"/>
    <x v="1"/>
    <x v="0"/>
    <x v="0"/>
    <x v="0"/>
    <m/>
  </r>
  <r>
    <s v="Factura electrónica"/>
    <s v="a9a060736ece85b7297eb9cec4966faac8cd18e23f207281b190b48510c9de04be7fb688b0dbd85fab7ef34afb5a654c"/>
    <x v="589"/>
    <n v="-1"/>
    <s v="FVE"/>
    <s v="05-02-2026"/>
    <s v="05-02-2026 15:03:22"/>
    <s v="900800595"/>
    <s v="Provexpress SAS"/>
    <s v="860006848"/>
    <x v="316"/>
    <n v="66068.320000000007"/>
    <n v="0"/>
    <n v="0"/>
    <n v="485040.32"/>
    <s v="Aprobado con notificación"/>
    <s v="Emitido"/>
    <x v="1"/>
    <x v="0"/>
    <x v="1"/>
    <x v="0"/>
    <x v="0"/>
    <x v="0"/>
    <m/>
  </r>
  <r>
    <s v="Factura electrónica"/>
    <s v="94c693c4503b1b012b10377ca9b8014f887ac6ff0763b6481d1ee49b408fe4cf8c7fe42e85ee0fb134e9f871d172784d"/>
    <x v="590"/>
    <n v="-1"/>
    <s v="FVE"/>
    <s v="05-02-2026"/>
    <s v="05-02-2026 15:03:28"/>
    <s v="900800595"/>
    <s v="Provexpress SAS"/>
    <s v="860006848"/>
    <x v="316"/>
    <n v="7125"/>
    <n v="0"/>
    <n v="0"/>
    <n v="44625"/>
    <s v="Aprobado con notificación"/>
    <s v="Emitido"/>
    <x v="1"/>
    <x v="0"/>
    <x v="1"/>
    <x v="0"/>
    <x v="0"/>
    <x v="0"/>
    <m/>
  </r>
  <r>
    <s v="Factura electrónica"/>
    <s v="6f33dee7169e6f94a0b2b0ae9ecea0b91523555422d5d3a061d4b89ffd3ba12c4bd11618affe3b4f57897bfc914c342b"/>
    <x v="591"/>
    <n v="-1"/>
    <s v="FVE"/>
    <s v="05-02-2026"/>
    <s v="05-02-2026 15:18:34"/>
    <s v="900800595"/>
    <s v="Provexpress SAS"/>
    <s v="890333023"/>
    <x v="317"/>
    <n v="1271932.58"/>
    <n v="0"/>
    <n v="0"/>
    <n v="7966314.5800000001"/>
    <s v="Aprobado con notificación"/>
    <s v="Emitido"/>
    <x v="1"/>
    <x v="0"/>
    <x v="1"/>
    <x v="0"/>
    <x v="0"/>
    <x v="0"/>
    <m/>
  </r>
  <r>
    <s v="Factura electrónica"/>
    <s v="8fd2ab90f312dc3c598e20f6f8ecc5664b7730f09897905a75513974b77969beaaa86b1f4ca4d22300bb5a4f4248a4ef"/>
    <x v="592"/>
    <n v="-1"/>
    <s v="FVE"/>
    <s v="05-02-2026"/>
    <s v="05-02-2026 15:18:39"/>
    <s v="900800595"/>
    <s v="Provexpress SAS"/>
    <s v="800201648"/>
    <x v="318"/>
    <n v="55920.42"/>
    <n v="0"/>
    <n v="0"/>
    <n v="350238.42"/>
    <s v="Aprobado con notificación"/>
    <s v="Emitido"/>
    <x v="1"/>
    <x v="0"/>
    <x v="1"/>
    <x v="0"/>
    <x v="0"/>
    <x v="0"/>
    <m/>
  </r>
  <r>
    <s v="Factura electrónica"/>
    <s v="41383d2959f015a0f334052c3538531983966c6f78dfd448fa430a4b323ee9ab354c562b9e918d2af32e16d66ecefb74"/>
    <x v="593"/>
    <n v="-1"/>
    <s v="FVE"/>
    <s v="05-02-2026"/>
    <s v="05-02-2026 15:18:43"/>
    <s v="900800595"/>
    <s v="Provexpress SAS"/>
    <s v="800201648"/>
    <x v="318"/>
    <n v="1010757.82"/>
    <n v="0"/>
    <n v="0"/>
    <n v="6330535.8200000003"/>
    <s v="Aprobado con notificación"/>
    <s v="Emitido"/>
    <x v="0"/>
    <x v="0"/>
    <x v="0"/>
    <x v="0"/>
    <x v="0"/>
    <x v="0"/>
    <m/>
  </r>
  <r>
    <s v="Factura electrónica"/>
    <s v="62c6a6fe899cba971e8288fe38cbcd9ad2304f26ec1d9df49060ab434992810e29548d6154a5954f8feb9d31668419d2"/>
    <x v="594"/>
    <n v="-1"/>
    <s v="FVE"/>
    <s v="05-02-2026"/>
    <s v="05-02-2026 15:18:47"/>
    <s v="900800595"/>
    <s v="Provexpress SAS"/>
    <s v="900394791"/>
    <x v="319"/>
    <n v="408183.46"/>
    <n v="0"/>
    <n v="0"/>
    <n v="2556517.46"/>
    <s v="Aprobado con notificación"/>
    <s v="Emitido"/>
    <x v="0"/>
    <x v="0"/>
    <x v="1"/>
    <x v="0"/>
    <x v="1"/>
    <x v="0"/>
    <m/>
  </r>
  <r>
    <s v="Factura electrónica"/>
    <s v="a653d58711bb66d1be7ae6a36caa7a75fd8546640dd5cb1ab83014da0dce7f0570b3f30dd5709e9c4559ff5d9cb392ba"/>
    <x v="595"/>
    <n v="-1"/>
    <s v="FVE"/>
    <s v="05-02-2026"/>
    <s v="05-02-2026 15:18:52"/>
    <s v="900800595"/>
    <s v="Provexpress SAS"/>
    <s v="900566941"/>
    <x v="320"/>
    <n v="17100"/>
    <n v="0"/>
    <n v="0"/>
    <n v="107100"/>
    <s v="Aprobado con notificación"/>
    <s v="Emitido"/>
    <x v="0"/>
    <x v="0"/>
    <x v="1"/>
    <x v="0"/>
    <x v="0"/>
    <x v="1"/>
    <s v="PAGO 6/02/2026"/>
  </r>
  <r>
    <s v="Factura electrónica"/>
    <s v="538c28f8fbc0c7a9811d09294216076894d6e51fc4dca5e58cfcecf02c08a3fbc3f5d4f776a3b4e665c26b73301634e8"/>
    <x v="596"/>
    <n v="-1"/>
    <s v="FVE"/>
    <s v="05-02-2026"/>
    <s v="05-02-2026 15:18:57"/>
    <s v="900800595"/>
    <s v="Provexpress SAS"/>
    <s v="830080641"/>
    <x v="110"/>
    <n v="541500"/>
    <n v="0"/>
    <n v="0"/>
    <n v="3391500"/>
    <s v="Aprobado con notificación"/>
    <s v="Emitido"/>
    <x v="0"/>
    <x v="0"/>
    <x v="0"/>
    <x v="0"/>
    <x v="0"/>
    <x v="0"/>
    <m/>
  </r>
  <r>
    <s v="Factura electrónica"/>
    <s v="a2037ae9f6c9ae4ab89237ca0bb8be522b0aba5c4bf924179afda837bd5e1fe15a103d7b5331310f5377b697318f312f"/>
    <x v="597"/>
    <n v="-1"/>
    <s v="FVE"/>
    <s v="05-02-2026"/>
    <s v="05-02-2026 15:34:04"/>
    <s v="900800595"/>
    <s v="Provexpress SAS"/>
    <s v="830018214"/>
    <x v="321"/>
    <n v="25923.599999999999"/>
    <n v="0"/>
    <n v="0"/>
    <n v="162363.6"/>
    <s v="Aprobado con notificación"/>
    <s v="Emitido"/>
    <x v="0"/>
    <x v="0"/>
    <x v="1"/>
    <x v="1"/>
    <x v="0"/>
    <x v="0"/>
    <m/>
  </r>
  <r>
    <s v="Factura electrónica"/>
    <s v="b4d222d9cc8e41f022290849d3918476faef207123826c6b789534f83002248edafe9e0aa20b7174283157038a3467b9"/>
    <x v="598"/>
    <n v="-1"/>
    <s v="FVE"/>
    <s v="05-02-2026"/>
    <s v="05-02-2026 15:49:09"/>
    <s v="900800595"/>
    <s v="Provexpress SAS"/>
    <s v="900597369"/>
    <x v="152"/>
    <n v="871764.65"/>
    <n v="0"/>
    <n v="0"/>
    <n v="5459999.6500000004"/>
    <s v="Aprobado con notificación"/>
    <s v="Emitido"/>
    <x v="1"/>
    <x v="0"/>
    <x v="1"/>
    <x v="0"/>
    <x v="0"/>
    <x v="0"/>
    <m/>
  </r>
  <r>
    <s v="Factura electrónica"/>
    <s v="057735e8a272bd15d3d1548e9b4d0670ae224712a1076cdb368af8c87afa3cd520826dd5380016c640bcba18594f790c"/>
    <x v="599"/>
    <n v="-1"/>
    <s v="FVE"/>
    <s v="05-02-2026"/>
    <s v="05-02-2026 15:49:14"/>
    <s v="900800595"/>
    <s v="Provexpress SAS"/>
    <s v="800028326"/>
    <x v="79"/>
    <n v="1205493"/>
    <n v="0"/>
    <n v="0"/>
    <n v="7550193"/>
    <s v="Aprobado con notificación"/>
    <s v="Emitido"/>
    <x v="0"/>
    <x v="0"/>
    <x v="0"/>
    <x v="0"/>
    <x v="0"/>
    <x v="0"/>
    <m/>
  </r>
  <r>
    <s v="Factura electrónica"/>
    <s v="e89ecc9933d188979048e7c2934952dc999ee51362982738d4a42bad034d3eadb19ade06f4c8cddfa19588374c527464"/>
    <x v="600"/>
    <n v="-1"/>
    <s v="FVE"/>
    <s v="05-02-2026"/>
    <s v="05-02-2026 15:49:18"/>
    <s v="900800595"/>
    <s v="Provexpress SAS"/>
    <s v="800028326"/>
    <x v="79"/>
    <n v="1205493"/>
    <n v="0"/>
    <n v="0"/>
    <n v="7550193"/>
    <s v="Aprobado con notificación"/>
    <s v="Emitido"/>
    <x v="0"/>
    <x v="0"/>
    <x v="0"/>
    <x v="0"/>
    <x v="0"/>
    <x v="0"/>
    <m/>
  </r>
  <r>
    <s v="Factura electrónica"/>
    <s v="ab09e70bea533bcdde6f4efad612ef8dda36b38aa31ed1eb8a2a18050bf1d3f2189eefc228ff84d83ed3c6b0ae10a8d8"/>
    <x v="601"/>
    <n v="-1"/>
    <s v="FVE"/>
    <s v="05-02-2026"/>
    <s v="05-02-2026 16:04:25"/>
    <s v="900800595"/>
    <s v="Provexpress SAS"/>
    <s v="900195138"/>
    <x v="322"/>
    <n v="21115919.800000001"/>
    <n v="0"/>
    <n v="0"/>
    <n v="132252339.8"/>
    <s v="Aprobado con notificación"/>
    <s v="Emitido"/>
    <x v="0"/>
    <x v="0"/>
    <x v="1"/>
    <x v="0"/>
    <x v="0"/>
    <x v="1"/>
    <s v="FACTURA PAGA EN EL SISTEMA 24/02/2026"/>
  </r>
  <r>
    <s v="Factura electrónica"/>
    <s v="4ff951a082b2612fac1d267ab50db104f26e3b1e9917f09666ca3956d91da252b64c318f1cef42d1de7748ffcf5f12e1"/>
    <x v="602"/>
    <n v="-1"/>
    <s v="FVE"/>
    <s v="05-02-2026"/>
    <s v="05-02-2026 16:04:30"/>
    <s v="900800595"/>
    <s v="Provexpress SAS"/>
    <s v="860503159"/>
    <x v="108"/>
    <n v="922640"/>
    <n v="0"/>
    <n v="0"/>
    <n v="5778640"/>
    <s v="Aprobado con notificación"/>
    <s v="Emitido"/>
    <x v="0"/>
    <x v="0"/>
    <x v="0"/>
    <x v="0"/>
    <x v="0"/>
    <x v="0"/>
    <m/>
  </r>
  <r>
    <s v="Factura electrónica"/>
    <s v="caa0135b3d4f5c3d9af7f3c15aca45def3d9c3cf1c5b6993b511be2cdce972efd9e913384a2774553c0f0fc5c5a65367"/>
    <x v="603"/>
    <n v="-1"/>
    <s v="FVE"/>
    <s v="06-02-2026"/>
    <s v="06-02-2026 06:50:51"/>
    <s v="900800595"/>
    <s v="Provexpress SAS"/>
    <s v="800024265"/>
    <x v="24"/>
    <n v="369560.45"/>
    <n v="0"/>
    <n v="0"/>
    <n v="4495563.45"/>
    <s v="Aprobado con notificación"/>
    <s v="Emitido"/>
    <x v="1"/>
    <x v="0"/>
    <x v="1"/>
    <x v="0"/>
    <x v="0"/>
    <x v="0"/>
    <m/>
  </r>
  <r>
    <s v="Factura electrónica"/>
    <s v="3b7e8384829766bc4fc434340ba4cb69e79508f7c08ad23161c9dd22e5adbbe99e93afe152c8167cd9aba2addaf6b652"/>
    <x v="604"/>
    <n v="-1"/>
    <s v="FVE"/>
    <s v="06-02-2026"/>
    <s v="06-02-2026 06:50:56"/>
    <s v="900800595"/>
    <s v="Provexpress SAS"/>
    <s v="800024265"/>
    <x v="24"/>
    <n v="2586923.15"/>
    <n v="0"/>
    <n v="0"/>
    <n v="48916528.149999999"/>
    <s v="Aprobado con notificación"/>
    <s v="Emitido"/>
    <x v="1"/>
    <x v="0"/>
    <x v="1"/>
    <x v="0"/>
    <x v="0"/>
    <x v="0"/>
    <m/>
  </r>
  <r>
    <s v="Factura electrónica"/>
    <s v="f9e8c04ab865b6d5ff8f83b976a6a2aa2a126c4f8163db92de3cd00caac567e6b20709a28d954337af600415c3621571"/>
    <x v="605"/>
    <n v="-1"/>
    <s v="FVE"/>
    <s v="06-02-2026"/>
    <s v="06-02-2026 07:06:23"/>
    <s v="900800595"/>
    <s v="Provexpress SAS"/>
    <s v="830095970"/>
    <x v="23"/>
    <n v="0"/>
    <n v="0"/>
    <n v="0"/>
    <n v="15333336"/>
    <s v="Aprobado con notificación"/>
    <s v="Emitido"/>
    <x v="1"/>
    <x v="0"/>
    <x v="1"/>
    <x v="0"/>
    <x v="0"/>
    <x v="0"/>
    <m/>
  </r>
  <r>
    <s v="Factura electrónica"/>
    <s v="49c3e8b423eec85dbe43c2c9886096f6db6b0b02e66bcade715d8a79dd5e41cae4c7ca90d2a2b106baad7ca7dc209073"/>
    <x v="606"/>
    <n v="-1"/>
    <s v="FVE"/>
    <s v="06-02-2026"/>
    <s v="06-02-2026 07:21:08"/>
    <s v="900800595"/>
    <s v="Provexpress SAS"/>
    <s v="899999002"/>
    <x v="323"/>
    <n v="239400"/>
    <n v="0"/>
    <n v="0"/>
    <n v="1499400"/>
    <s v="Aprobado con notificación"/>
    <s v="Emitido"/>
    <x v="1"/>
    <x v="0"/>
    <x v="1"/>
    <x v="0"/>
    <x v="0"/>
    <x v="0"/>
    <m/>
  </r>
  <r>
    <s v="Factura electrónica"/>
    <s v="ca98caea6e160268a04f909ea62aa51f881eed00a3c421031e3337d578107a357d2cc1a48cf28a2ef769fc6e82079a1b"/>
    <x v="607"/>
    <n v="-1"/>
    <s v="FVE"/>
    <s v="06-02-2026"/>
    <s v="06-02-2026 07:21:13"/>
    <s v="900800595"/>
    <s v="Provexpress SAS"/>
    <s v="800210556"/>
    <x v="324"/>
    <n v="31559"/>
    <n v="0"/>
    <n v="0"/>
    <n v="197659"/>
    <s v="Aprobado con notificación"/>
    <s v="Emitido"/>
    <x v="0"/>
    <x v="0"/>
    <x v="1"/>
    <x v="0"/>
    <x v="1"/>
    <x v="0"/>
    <m/>
  </r>
  <r>
    <s v="Factura electrónica"/>
    <s v="8197caacdfd9e0d575779b83d1c7bac94d239def35e4b4f5b007063fed16b039ffbf759a7af6593c30a009f5c2b96256"/>
    <x v="608"/>
    <n v="-1"/>
    <s v="FVE"/>
    <s v="06-02-2026"/>
    <s v="06-02-2026 07:21:18"/>
    <s v="900800595"/>
    <s v="Provexpress SAS"/>
    <s v="800210556"/>
    <x v="324"/>
    <n v="46018"/>
    <n v="0"/>
    <n v="0"/>
    <n v="288218"/>
    <s v="Aprobado con notificación"/>
    <s v="Emitido"/>
    <x v="0"/>
    <x v="0"/>
    <x v="1"/>
    <x v="0"/>
    <x v="1"/>
    <x v="0"/>
    <m/>
  </r>
  <r>
    <s v="Factura electrónica"/>
    <s v="79f50d464b2c0d36a31e0a0e5146fb57890723aecbff518b68f75975c0fd724212bbf78fcd2dfed48c9ce680b6ecf7cb"/>
    <x v="609"/>
    <n v="-1"/>
    <s v="FVE"/>
    <s v="06-02-2026"/>
    <s v="06-02-2026 07:36:23"/>
    <s v="900800595"/>
    <s v="Provexpress SAS"/>
    <s v="860016695"/>
    <x v="325"/>
    <n v="146186"/>
    <n v="0"/>
    <n v="0"/>
    <n v="915586"/>
    <s v="Aprobado con notificación"/>
    <s v="Emitido"/>
    <x v="1"/>
    <x v="0"/>
    <x v="1"/>
    <x v="0"/>
    <x v="0"/>
    <x v="0"/>
    <m/>
  </r>
  <r>
    <s v="Factura electrónica"/>
    <s v="4a645f1596b31441faf2505219c5816a46b686f5b445756e775f8b9dcda3a10bf09226a5ee6241c365941f09719dd847"/>
    <x v="610"/>
    <n v="-1"/>
    <s v="FVE"/>
    <s v="06-02-2026"/>
    <s v="06-02-2026 07:36:28"/>
    <s v="900800595"/>
    <s v="Provexpress SAS"/>
    <s v="830083714"/>
    <x v="326"/>
    <n v="654155.18000000005"/>
    <n v="0"/>
    <n v="0"/>
    <n v="4097077.18"/>
    <s v="Aprobado con notificación"/>
    <s v="Emitido"/>
    <x v="0"/>
    <x v="0"/>
    <x v="1"/>
    <x v="0"/>
    <x v="0"/>
    <x v="1"/>
    <s v="PAGA 27/02/2026"/>
  </r>
  <r>
    <s v="Factura electrónica"/>
    <s v="931cbdca24f4f94f8acb48417e30c7f8b93da674f1a086ce9985e5507f587e604b63cfc48a9cde2fd9c55fd1e88769e7"/>
    <x v="611"/>
    <n v="-1"/>
    <s v="FVE"/>
    <s v="06-02-2026"/>
    <s v="06-02-2026 07:36:33"/>
    <s v="900800595"/>
    <s v="Provexpress SAS"/>
    <s v="830083714"/>
    <x v="326"/>
    <n v="93449.98"/>
    <n v="0"/>
    <n v="0"/>
    <n v="585291.98"/>
    <s v="Aprobado con notificación"/>
    <s v="Emitido"/>
    <x v="0"/>
    <x v="0"/>
    <x v="1"/>
    <x v="0"/>
    <x v="0"/>
    <x v="1"/>
    <s v="PAGA 27/02/2026"/>
  </r>
  <r>
    <s v="Factura electrónica"/>
    <s v="3d412fce284815ea95f4fba99cf99310083e9ee09069363e1f3d8a038f3efd6332aa2f9473914d92930b3cf8f48fa853"/>
    <x v="612"/>
    <n v="-1"/>
    <s v="FVE"/>
    <s v="06-02-2026"/>
    <s v="06-02-2026 07:36:37"/>
    <s v="900800595"/>
    <s v="Provexpress SAS"/>
    <s v="800210556"/>
    <x v="324"/>
    <n v="128250"/>
    <n v="0"/>
    <n v="0"/>
    <n v="803250"/>
    <s v="Aprobado con notificación"/>
    <s v="Emitido"/>
    <x v="0"/>
    <x v="0"/>
    <x v="1"/>
    <x v="0"/>
    <x v="1"/>
    <x v="0"/>
    <m/>
  </r>
  <r>
    <s v="Factura electrónica"/>
    <s v="bf200f582e6a50bbced192c143179b0c3980a09a1e893978cf7e490370bbfaa05149393d83b85a290af5c942999fbba8"/>
    <x v="613"/>
    <n v="-1"/>
    <s v="FVE"/>
    <s v="06-02-2026"/>
    <s v="06-02-2026 07:36:42"/>
    <s v="900800595"/>
    <s v="Provexpress SAS"/>
    <s v="800210556"/>
    <x v="324"/>
    <n v="42256"/>
    <n v="0"/>
    <n v="0"/>
    <n v="264656"/>
    <s v="Aprobado con notificación"/>
    <s v="Emitido"/>
    <x v="0"/>
    <x v="0"/>
    <x v="1"/>
    <x v="0"/>
    <x v="1"/>
    <x v="0"/>
    <m/>
  </r>
  <r>
    <s v="Factura electrónica"/>
    <s v="d036317e68b9de94209977d28f3f1ab31a01a745a5fc6d287f03bd03614122d5baaefeece7333a9a8a5bbfc078d54321"/>
    <x v="614"/>
    <n v="-1"/>
    <s v="FVE"/>
    <s v="06-02-2026"/>
    <s v="06-02-2026 07:51:48"/>
    <s v="900800595"/>
    <s v="Provexpress SAS"/>
    <s v="900610518"/>
    <x v="327"/>
    <n v="1022580"/>
    <n v="0"/>
    <n v="0"/>
    <n v="6404580"/>
    <s v="Aprobado con notificación"/>
    <s v="Emitido"/>
    <x v="0"/>
    <x v="0"/>
    <x v="1"/>
    <x v="0"/>
    <x v="1"/>
    <x v="0"/>
    <m/>
  </r>
  <r>
    <s v="Factura electrónica"/>
    <s v="54e343c4ad1176959fc3a7c02e218a00fd8556950fb40073b5e42c45570fb6f9e6a898d39ca0d2de18e66a3dee828bcc"/>
    <x v="615"/>
    <n v="-1"/>
    <s v="FVE"/>
    <s v="06-02-2026"/>
    <s v="06-02-2026 08:21:56"/>
    <s v="900800595"/>
    <s v="Provexpress SAS"/>
    <s v="860003709"/>
    <x v="328"/>
    <n v="0"/>
    <n v="0"/>
    <n v="0"/>
    <n v="1347360"/>
    <s v="Aprobado con notificación"/>
    <s v="Emitido"/>
    <x v="0"/>
    <x v="0"/>
    <x v="1"/>
    <x v="0"/>
    <x v="1"/>
    <x v="0"/>
    <m/>
  </r>
  <r>
    <s v="Factura electrónica"/>
    <s v="7f52a5a6d20d8508481a55e3cfcc491a0fd60c9627431c6b50d109a43eacb06a24c6b110f127230cb924e55f1aed3f43"/>
    <x v="616"/>
    <n v="-1"/>
    <s v="FVE"/>
    <s v="06-02-2026"/>
    <s v="06-02-2026 08:37:03"/>
    <s v="900800595"/>
    <s v="Provexpress SAS"/>
    <s v="860400204"/>
    <x v="329"/>
    <n v="308023.5"/>
    <n v="0"/>
    <n v="0"/>
    <n v="2235873.5"/>
    <s v="Aprobado con notificación"/>
    <s v="Emitido"/>
    <x v="0"/>
    <x v="0"/>
    <x v="0"/>
    <x v="0"/>
    <x v="0"/>
    <x v="0"/>
    <m/>
  </r>
  <r>
    <s v="Factura electrónica"/>
    <s v="6b76a73d1c139c78b299c94b8245e17537f2def874fbb03e8ece407243e2bb26360aa222ea3d22e821cd6dcd4d81c390"/>
    <x v="617"/>
    <n v="-1"/>
    <s v="FVE"/>
    <s v="06-02-2026"/>
    <s v="06-02-2026 08:37:08"/>
    <s v="900800595"/>
    <s v="Provexpress SAS"/>
    <s v="860400204"/>
    <x v="329"/>
    <n v="237366"/>
    <n v="0"/>
    <n v="0"/>
    <n v="1545166"/>
    <s v="Aprobado con notificación"/>
    <s v="Emitido"/>
    <x v="0"/>
    <x v="0"/>
    <x v="0"/>
    <x v="0"/>
    <x v="0"/>
    <x v="0"/>
    <m/>
  </r>
  <r>
    <s v="Factura electrónica"/>
    <s v="a9e06f4dcb5378c38549be95a634649574c8f3c0d9e0318cd6dcda71d6d0c12b3860655a957537f07ff61de447985297"/>
    <x v="618"/>
    <n v="-1"/>
    <s v="FVE"/>
    <s v="06-02-2026"/>
    <s v="06-02-2026 08:37:13"/>
    <s v="900800595"/>
    <s v="Provexpress SAS"/>
    <s v="860400204"/>
    <x v="329"/>
    <n v="11400"/>
    <n v="0"/>
    <n v="0"/>
    <n v="71400"/>
    <s v="Aprobado con notificación"/>
    <s v="Emitido"/>
    <x v="0"/>
    <x v="0"/>
    <x v="0"/>
    <x v="0"/>
    <x v="0"/>
    <x v="0"/>
    <m/>
  </r>
  <r>
    <s v="Factura electrónica"/>
    <s v="20e95c0a6319a0ccd8b8997e7601066bd0d55ca43735fb770ba03f67267ded4c26f5dafcfc4129e10d9e43892587f801"/>
    <x v="619"/>
    <n v="-1"/>
    <s v="FVE"/>
    <s v="06-02-2026"/>
    <s v="06-02-2026 08:52:18"/>
    <s v="900800595"/>
    <s v="Provexpress SAS"/>
    <s v="901371316"/>
    <x v="330"/>
    <n v="57993"/>
    <n v="0"/>
    <n v="0"/>
    <n v="1025493"/>
    <s v="Aprobado con notificación"/>
    <s v="Emitido"/>
    <x v="1"/>
    <x v="0"/>
    <x v="1"/>
    <x v="0"/>
    <x v="0"/>
    <x v="0"/>
    <m/>
  </r>
  <r>
    <s v="Factura electrónica"/>
    <s v="84d3b01cb45f72b8aa772d760ffc748abf28947ed58f945fa57134d6e38ddbf97e7fe2314b87ddd2449e0734ed37fc22"/>
    <x v="620"/>
    <n v="-1"/>
    <s v="FVE"/>
    <s v="06-02-2026"/>
    <s v="06-02-2026 08:52:24"/>
    <s v="900800595"/>
    <s v="Provexpress SAS"/>
    <s v="901371316"/>
    <x v="330"/>
    <n v="136237.6"/>
    <n v="0"/>
    <n v="0"/>
    <n v="1045277.6"/>
    <s v="Aprobado con notificación"/>
    <s v="Emitido"/>
    <x v="1"/>
    <x v="0"/>
    <x v="1"/>
    <x v="0"/>
    <x v="0"/>
    <x v="0"/>
    <m/>
  </r>
  <r>
    <s v="Factura electrónica"/>
    <s v="906e4475c65189b4c5c313da97372141168db110fe77f38e4df5ce1215080c18315dc24b3bd231850fd958292db8a970"/>
    <x v="621"/>
    <n v="-1"/>
    <s v="FVE"/>
    <s v="06-02-2026"/>
    <s v="06-02-2026 08:52:32"/>
    <s v="900800595"/>
    <s v="Provexpress SAS"/>
    <s v="900469230"/>
    <x v="331"/>
    <n v="283062"/>
    <n v="0"/>
    <n v="0"/>
    <n v="1772862"/>
    <s v="Aprobado con notificación"/>
    <s v="Emitido"/>
    <x v="0"/>
    <x v="0"/>
    <x v="0"/>
    <x v="0"/>
    <x v="0"/>
    <x v="0"/>
    <m/>
  </r>
  <r>
    <s v="Factura electrónica"/>
    <s v="2fad257c6e41b7d8992ffb8c76c0fe7ae62768bd0f821a1b58ba247e98560a6edfbfef3b32485459b6eea0705cf5c202"/>
    <x v="622"/>
    <n v="-1"/>
    <s v="FVE"/>
    <s v="06-02-2026"/>
    <s v="06-02-2026 08:52:34"/>
    <s v="900800595"/>
    <s v="Provexpress SAS"/>
    <s v="860000656"/>
    <x v="332"/>
    <n v="142500"/>
    <n v="0"/>
    <n v="0"/>
    <n v="892500"/>
    <s v="Aprobado con notificación"/>
    <s v="Emitido"/>
    <x v="0"/>
    <x v="0"/>
    <x v="1"/>
    <x v="0"/>
    <x v="1"/>
    <x v="0"/>
    <m/>
  </r>
  <r>
    <s v="Factura electrónica"/>
    <s v="3cad9b27ec6aff5d6a8a659f18dd745aa1fcc3dc30ebc34f84f41626761c1e581591542c0aba553d898807f6a7d240ab"/>
    <x v="623"/>
    <n v="-1"/>
    <s v="FVE"/>
    <s v="06-02-2026"/>
    <s v="06-02-2026 08:52:39"/>
    <s v="900800595"/>
    <s v="Provexpress SAS"/>
    <s v="860000656"/>
    <x v="332"/>
    <n v="156750"/>
    <n v="0"/>
    <n v="0"/>
    <n v="981750"/>
    <s v="Aprobado con notificación"/>
    <s v="Emitido"/>
    <x v="0"/>
    <x v="0"/>
    <x v="1"/>
    <x v="0"/>
    <x v="1"/>
    <x v="0"/>
    <m/>
  </r>
  <r>
    <s v="Factura electrónica"/>
    <s v="1cd3787368888b6a22210ff457c26ee01515d48822aabcac46b5fcc7c9a394f6e2131b6d0c9aba7853e4aed5b964fc20"/>
    <x v="624"/>
    <n v="-1"/>
    <s v="FVE"/>
    <s v="06-02-2026"/>
    <s v="06-02-2026 09:08:37"/>
    <s v="900800595"/>
    <s v="Provexpress SAS"/>
    <s v="901847883"/>
    <x v="3"/>
    <n v="22632.42"/>
    <n v="0"/>
    <n v="0"/>
    <n v="141750.42000000001"/>
    <s v="Aprobado con notificación"/>
    <s v="Emitido"/>
    <x v="0"/>
    <x v="0"/>
    <x v="0"/>
    <x v="0"/>
    <x v="0"/>
    <x v="0"/>
    <m/>
  </r>
  <r>
    <s v="Factura electrónica"/>
    <s v="21cfab6b69349ebfbccedf9340970fb59379ea532ad15cb89ffaad0324eacdafb33b04c06edfe360eec3ae41cd7175e0"/>
    <x v="625"/>
    <n v="-1"/>
    <s v="FVE"/>
    <s v="06-02-2026"/>
    <s v="06-02-2026 09:08:31"/>
    <s v="900800595"/>
    <s v="Provexpress SAS"/>
    <s v="901847883"/>
    <x v="3"/>
    <n v="32048.25"/>
    <n v="0"/>
    <n v="0"/>
    <n v="200723.25"/>
    <s v="Aprobado con notificación"/>
    <s v="Emitido"/>
    <x v="0"/>
    <x v="0"/>
    <x v="0"/>
    <x v="0"/>
    <x v="0"/>
    <x v="0"/>
    <m/>
  </r>
  <r>
    <s v="Factura electrónica"/>
    <s v="1d68aa180d57594293885458da2fcd878864c879c3d3e5b124ae2f9bf1d8e021e07df5b04ea2e315816c09870cde919a"/>
    <x v="626"/>
    <n v="-1"/>
    <s v="FVE"/>
    <s v="06-02-2026"/>
    <s v="06-02-2026 09:08:33"/>
    <s v="900800595"/>
    <s v="Provexpress SAS"/>
    <s v="800201648"/>
    <x v="318"/>
    <n v="32048.25"/>
    <n v="0"/>
    <n v="0"/>
    <n v="200723.25"/>
    <s v="Aprobado con notificación"/>
    <s v="Emitido"/>
    <x v="1"/>
    <x v="0"/>
    <x v="1"/>
    <x v="0"/>
    <x v="0"/>
    <x v="0"/>
    <m/>
  </r>
  <r>
    <s v="Factura electrónica"/>
    <s v="4ce4bcacba19f6f166c4fa2ca9d419a9f9ff0fc46642204e1163b8a9598711ca4a9bc985d8ba315bf7b0ed3ac5ab3f92"/>
    <x v="627"/>
    <n v="-1"/>
    <s v="FVE"/>
    <s v="06-02-2026"/>
    <s v="06-02-2026 09:08:34"/>
    <s v="900800595"/>
    <s v="Provexpress SAS"/>
    <s v="901180401"/>
    <x v="333"/>
    <n v="479740.85"/>
    <n v="0"/>
    <n v="0"/>
    <n v="3004692.85"/>
    <s v="Aprobado con notificación"/>
    <s v="Emitido"/>
    <x v="1"/>
    <x v="0"/>
    <x v="1"/>
    <x v="0"/>
    <x v="0"/>
    <x v="0"/>
    <m/>
  </r>
  <r>
    <s v="Factura electrónica"/>
    <s v="f5686585715ea3e307cd79fb521ba4e818d888eb97560911cb090ba0fa75d13a0f46f2ce298f2edb0e65031c948708ea"/>
    <x v="628"/>
    <n v="-1"/>
    <s v="FVE"/>
    <s v="06-02-2026"/>
    <s v="06-02-2026 09:08:38"/>
    <s v="900800595"/>
    <s v="Provexpress SAS"/>
    <s v="860516806"/>
    <x v="16"/>
    <n v="9500"/>
    <n v="0"/>
    <n v="0"/>
    <n v="59500"/>
    <s v="Aprobado con notificación"/>
    <s v="Emitido"/>
    <x v="1"/>
    <x v="0"/>
    <x v="1"/>
    <x v="0"/>
    <x v="0"/>
    <x v="0"/>
    <m/>
  </r>
  <r>
    <s v="Factura electrónica"/>
    <s v="a7fb94562a06e917be7ba2051534de05f16c34411e6dbe5f08a89221fb47621108af8f7efa1fc519bd78368ac5389015"/>
    <x v="629"/>
    <n v="-1"/>
    <s v="FVE"/>
    <s v="06-02-2026"/>
    <s v="06-02-2026 09:08:42"/>
    <s v="900800595"/>
    <s v="Provexpress SAS"/>
    <s v="860516806"/>
    <x v="16"/>
    <n v="68186.25"/>
    <n v="0"/>
    <n v="0"/>
    <n v="427061.25"/>
    <s v="Aprobado con notificación"/>
    <s v="Emitido"/>
    <x v="1"/>
    <x v="0"/>
    <x v="1"/>
    <x v="0"/>
    <x v="0"/>
    <x v="0"/>
    <m/>
  </r>
  <r>
    <s v="Factura electrónica"/>
    <s v="9744892f0545230eb719a3717a8f10d00e8978347250967f3c4264e21c3ee109c53fbc83352db85d45bf393bbc165591"/>
    <x v="630"/>
    <n v="-1"/>
    <s v="FVE"/>
    <s v="06-02-2026"/>
    <s v="06-02-2026 09:08:50"/>
    <s v="900800595"/>
    <s v="Provexpress SAS"/>
    <s v="830095970"/>
    <x v="23"/>
    <n v="0"/>
    <n v="0"/>
    <n v="0"/>
    <n v="6542844"/>
    <s v="Aprobado con notificación"/>
    <s v="Emitido"/>
    <x v="1"/>
    <x v="0"/>
    <x v="1"/>
    <x v="0"/>
    <x v="0"/>
    <x v="0"/>
    <m/>
  </r>
  <r>
    <s v="Factura electrónica"/>
    <s v="675517f1c71971f43a47b977654ecb0a93201e7a25f0ab80f9c3fef1f15d19779d6be503fcf61c301d5755da69619d32"/>
    <x v="631"/>
    <n v="-1"/>
    <s v="FVE"/>
    <s v="06-02-2026"/>
    <s v="06-02-2026 09:08:51"/>
    <s v="900800595"/>
    <s v="Provexpress SAS"/>
    <s v="800024265"/>
    <x v="24"/>
    <n v="4597698.47"/>
    <n v="0"/>
    <n v="0"/>
    <n v="28796111.469999999"/>
    <s v="Aprobado con notificación"/>
    <s v="Emitido"/>
    <x v="0"/>
    <x v="0"/>
    <x v="1"/>
    <x v="1"/>
    <x v="0"/>
    <x v="0"/>
    <s v="NC 5901"/>
  </r>
  <r>
    <s v="Factura electrónica"/>
    <s v="0928c0a51718b4464a0910bb03c291886a52ea7bb0d299b2f9afbafe276afe17f5cddfd8eb05364319af5415085f058b"/>
    <x v="632"/>
    <n v="-1"/>
    <s v="FVE"/>
    <s v="06-02-2026"/>
    <s v="06-02-2026 09:23:26"/>
    <s v="900800595"/>
    <s v="Provexpress SAS"/>
    <s v="800024265"/>
    <x v="24"/>
    <n v="4434725.4000000004"/>
    <n v="0"/>
    <n v="0"/>
    <n v="38680125.399999999"/>
    <s v="Aprobado con notificación"/>
    <s v="Emitido"/>
    <x v="1"/>
    <x v="0"/>
    <x v="1"/>
    <x v="0"/>
    <x v="0"/>
    <x v="0"/>
    <m/>
  </r>
  <r>
    <s v="Factura electrónica"/>
    <s v="15dcd6507d984031c7cee970ea761053182df28b4660b75be4fb51aa4ecdcf6630a8efb9fa5b0c19432cd4442b774d3d"/>
    <x v="633"/>
    <n v="-1"/>
    <s v="FVE"/>
    <s v="06-02-2026"/>
    <s v="06-02-2026 09:23:29"/>
    <s v="900800595"/>
    <s v="Provexpress SAS"/>
    <s v="800024265"/>
    <x v="24"/>
    <n v="3878305.27"/>
    <n v="0"/>
    <n v="0"/>
    <n v="39623774.270000003"/>
    <s v="Aprobado con notificación"/>
    <s v="Emitido"/>
    <x v="1"/>
    <x v="0"/>
    <x v="1"/>
    <x v="0"/>
    <x v="0"/>
    <x v="0"/>
    <m/>
  </r>
  <r>
    <s v="Factura electrónica"/>
    <s v="4ae880f59b9e31f14f865dbd53b9e693f1063f339c0a44ecd72cadb87d2d1eebd95476e26803add8b136045698e0f5a2"/>
    <x v="634"/>
    <n v="-1"/>
    <s v="FVE"/>
    <s v="06-02-2026"/>
    <s v="06-02-2026 09:23:34"/>
    <s v="900800595"/>
    <s v="Provexpress SAS"/>
    <s v="800024265"/>
    <x v="24"/>
    <n v="10698881.380000001"/>
    <n v="0"/>
    <n v="0"/>
    <n v="67008783.380000003"/>
    <s v="Aprobado con notificación"/>
    <s v="Emitido"/>
    <x v="0"/>
    <x v="0"/>
    <x v="1"/>
    <x v="1"/>
    <x v="0"/>
    <x v="0"/>
    <s v="NC 5902"/>
  </r>
  <r>
    <s v="Factura electrónica"/>
    <s v="ebc7a8003f94c352cfb4d7320ed64f73c790b105c6a99ff1396325ccdadd090ca3baef987f68d01e2c30d674c8cd902c"/>
    <x v="635"/>
    <n v="-1"/>
    <s v="FVE"/>
    <s v="06-02-2026"/>
    <s v="06-02-2026 09:38:40"/>
    <s v="900800595"/>
    <s v="Provexpress SAS"/>
    <s v="800024265"/>
    <x v="24"/>
    <n v="0"/>
    <n v="0"/>
    <n v="0"/>
    <n v="39925940"/>
    <s v="Aprobado con notificación"/>
    <s v="Emitido"/>
    <x v="1"/>
    <x v="0"/>
    <x v="1"/>
    <x v="0"/>
    <x v="0"/>
    <x v="0"/>
    <m/>
  </r>
  <r>
    <s v="Factura electrónica"/>
    <s v="199452dfb999f57f9a56e87d62ba0bb610b90fe41b40757f3ca7e00f74025885dd9258278c01b0a367bf206afd87019e"/>
    <x v="636"/>
    <n v="-1"/>
    <s v="FVE"/>
    <s v="06-02-2026"/>
    <s v="06-02-2026 09:38:45"/>
    <s v="900800595"/>
    <s v="Provexpress SAS"/>
    <s v="901041691"/>
    <x v="334"/>
    <n v="15872.6"/>
    <n v="0"/>
    <n v="0"/>
    <n v="99412.6"/>
    <s v="Aprobado con notificación"/>
    <s v="Emitido"/>
    <x v="0"/>
    <x v="0"/>
    <x v="0"/>
    <x v="0"/>
    <x v="0"/>
    <x v="0"/>
    <m/>
  </r>
  <r>
    <s v="Factura electrónica"/>
    <s v="81dbd546b87703b4b92584be8fd7f8aff21118806023bb8ad6b331173c9a682a021d5079d1cf71daef6cb42b88e2473e"/>
    <x v="637"/>
    <n v="-1"/>
    <s v="FVE"/>
    <s v="06-02-2026"/>
    <s v="06-02-2026 09:38:49"/>
    <s v="900800595"/>
    <s v="Provexpress SAS"/>
    <s v="800149384"/>
    <x v="12"/>
    <n v="233181.87"/>
    <n v="0"/>
    <n v="0"/>
    <n v="1460454.87"/>
    <s v="Aprobado con notificación"/>
    <s v="Emitido"/>
    <x v="1"/>
    <x v="0"/>
    <x v="1"/>
    <x v="0"/>
    <x v="0"/>
    <x v="0"/>
    <m/>
  </r>
  <r>
    <s v="Factura electrónica"/>
    <s v="5915ead7d6350abfe6a560ed7b84d219ec73b046b3fada18522e0553ed4d57b9ed6bbc35a83b790ce30ab94441840157"/>
    <x v="638"/>
    <n v="-1"/>
    <s v="FVE"/>
    <s v="06-02-2026"/>
    <s v="06-02-2026 09:53:56"/>
    <s v="900800595"/>
    <s v="Provexpress SAS"/>
    <s v="800024265"/>
    <x v="24"/>
    <n v="4804285.8499999996"/>
    <n v="0"/>
    <n v="0"/>
    <n v="30090000.850000001"/>
    <s v="Aprobado con notificación"/>
    <s v="Emitido"/>
    <x v="1"/>
    <x v="0"/>
    <x v="1"/>
    <x v="0"/>
    <x v="0"/>
    <x v="0"/>
    <m/>
  </r>
  <r>
    <s v="Factura electrónica"/>
    <s v="a2f237890bb35a60bebbcea059ef4d51c753f5002325216b6a6845f759f5bab632c69a7e2d6de755199f110c83e90433"/>
    <x v="639"/>
    <n v="-1"/>
    <s v="FVE"/>
    <s v="06-02-2026"/>
    <s v="06-02-2026 10:09:06"/>
    <s v="900800595"/>
    <s v="Provexpress SAS"/>
    <s v="800024265"/>
    <x v="24"/>
    <n v="739120.9"/>
    <n v="0"/>
    <n v="0"/>
    <n v="4629230.9000000004"/>
    <s v="Aprobado con notificación"/>
    <s v="Emitido"/>
    <x v="1"/>
    <x v="0"/>
    <x v="1"/>
    <x v="0"/>
    <x v="0"/>
    <x v="0"/>
    <m/>
  </r>
  <r>
    <s v="Factura electrónica"/>
    <s v="3eed7c09bbb5e33a607cb8f2b3f0914dad71938fb7db5b3079de9cf5363754bb96c23864528aa53d96628171cff13d5d"/>
    <x v="640"/>
    <n v="-1"/>
    <s v="FVE"/>
    <s v="06-02-2026"/>
    <s v="06-02-2026 10:09:11"/>
    <s v="900800595"/>
    <s v="Provexpress SAS"/>
    <s v="900090006"/>
    <x v="335"/>
    <n v="323264.67"/>
    <n v="0"/>
    <n v="0"/>
    <n v="2024657.67"/>
    <s v="Aprobado con notificación"/>
    <s v="Emitido"/>
    <x v="1"/>
    <x v="0"/>
    <x v="1"/>
    <x v="0"/>
    <x v="0"/>
    <x v="0"/>
    <m/>
  </r>
  <r>
    <s v="Factura electrónica"/>
    <s v="f297bf149ff574e3cfd77c48e5368da5313bebc3cf4cb42bac74b3d81ba1d6478289fe1854fa5bd56b5f7b3741ecb7f2"/>
    <x v="641"/>
    <n v="-1"/>
    <s v="FVE"/>
    <s v="06-02-2026"/>
    <s v="06-02-2026 10:09:16"/>
    <s v="900800595"/>
    <s v="Provexpress SAS"/>
    <s v="830035263"/>
    <x v="89"/>
    <n v="19000"/>
    <n v="0"/>
    <n v="0"/>
    <n v="119000"/>
    <s v="Aprobado con notificación"/>
    <s v="Emitido"/>
    <x v="1"/>
    <x v="0"/>
    <x v="1"/>
    <x v="0"/>
    <x v="0"/>
    <x v="0"/>
    <m/>
  </r>
  <r>
    <s v="Factura electrónica"/>
    <s v="cd4312775b0d908d14546167f0ba5e9b1dc0bd0663ca8dc48b6a786e3d7dc972a4f16fd53a943e5315f0ec0f04425831"/>
    <x v="642"/>
    <n v="-1"/>
    <s v="FVE"/>
    <s v="06-02-2026"/>
    <s v="06-02-2026 10:09:22"/>
    <s v="900800595"/>
    <s v="Provexpress SAS"/>
    <s v="900297009"/>
    <x v="336"/>
    <n v="125148.82"/>
    <n v="0"/>
    <n v="0"/>
    <n v="783826.82"/>
    <s v="Aprobado con notificación"/>
    <s v="Emitido"/>
    <x v="1"/>
    <x v="0"/>
    <x v="1"/>
    <x v="0"/>
    <x v="0"/>
    <x v="0"/>
    <m/>
  </r>
  <r>
    <s v="Factura electrónica"/>
    <s v="87a069d13497dc81521afabfe365ab8211243775cb3fb24e132d6a6b38746cf5bcf8fc873d629c1b47494aa3af0cbe4c"/>
    <x v="643"/>
    <n v="-1"/>
    <s v="FVE"/>
    <s v="06-02-2026"/>
    <s v="06-02-2026 10:24:26"/>
    <s v="900800595"/>
    <s v="Provexpress SAS"/>
    <s v="800024265"/>
    <x v="24"/>
    <n v="0"/>
    <n v="0"/>
    <n v="0"/>
    <n v="5750001"/>
    <s v="Aprobado con notificación"/>
    <s v="Emitido"/>
    <x v="1"/>
    <x v="0"/>
    <x v="1"/>
    <x v="0"/>
    <x v="0"/>
    <x v="0"/>
    <m/>
  </r>
  <r>
    <s v="Factura electrónica"/>
    <s v="12d07ac7fe53b0f4915490a7a6cfba99b00c773993feed81e1a3862edb460811dc726073d6c218c48aa2fbacdabffd98"/>
    <x v="644"/>
    <n v="-1"/>
    <s v="FVE"/>
    <s v="06-02-2026"/>
    <s v="06-02-2026 10:24:32"/>
    <s v="900800595"/>
    <s v="Provexpress SAS"/>
    <s v="800024265"/>
    <x v="24"/>
    <n v="739120.9"/>
    <n v="0"/>
    <n v="0"/>
    <n v="12295898.9"/>
    <s v="Aprobado con notificación"/>
    <s v="Emitido"/>
    <x v="1"/>
    <x v="0"/>
    <x v="1"/>
    <x v="0"/>
    <x v="0"/>
    <x v="0"/>
    <m/>
  </r>
  <r>
    <s v="Factura electrónica"/>
    <s v="d8d548e0c5cefcb8ed5985799c1530894c6538d2cf94895ad31681ce131d3d31ff613995fe51e94055dfccb74bde98f8"/>
    <x v="645"/>
    <n v="-1"/>
    <s v="FVE"/>
    <s v="06-02-2026"/>
    <s v="06-02-2026 10:24:35"/>
    <s v="900800595"/>
    <s v="Provexpress SAS"/>
    <s v="800024265"/>
    <x v="24"/>
    <n v="1538150.7"/>
    <n v="0"/>
    <n v="0"/>
    <n v="16176524.699999999"/>
    <s v="Aprobado con notificación"/>
    <s v="Emitido"/>
    <x v="1"/>
    <x v="0"/>
    <x v="1"/>
    <x v="0"/>
    <x v="0"/>
    <x v="0"/>
    <m/>
  </r>
  <r>
    <s v="Factura electrónica"/>
    <s v="f9cf2bf8c6e22746fdace730cd551d32b894deacb13a63a1cc83a1648d4a72a15131cc956fea6f3ee68cd4e6cd0a8306"/>
    <x v="646"/>
    <n v="-1"/>
    <s v="FVE"/>
    <s v="06-02-2026"/>
    <s v="06-02-2026 10:24:40"/>
    <s v="900800595"/>
    <s v="Provexpress SAS"/>
    <s v="891903392"/>
    <x v="111"/>
    <n v="89300"/>
    <n v="0"/>
    <n v="0"/>
    <n v="559300"/>
    <s v="Aprobado con notificación"/>
    <s v="Emitido"/>
    <x v="0"/>
    <x v="0"/>
    <x v="0"/>
    <x v="0"/>
    <x v="0"/>
    <x v="0"/>
    <m/>
  </r>
  <r>
    <s v="Factura electrónica"/>
    <s v="c981d0a083efc22279f3120da425025c10b26d8edb8b5746a94553eb318e72f8c8b33f6ca4f04032c6523f3d7124fde4"/>
    <x v="647"/>
    <n v="-1"/>
    <s v="FVE"/>
    <s v="06-02-2026"/>
    <s v="06-02-2026 10:25:31"/>
    <s v="900800595"/>
    <s v="Provexpress SAS"/>
    <s v="901133874"/>
    <x v="337"/>
    <n v="85500"/>
    <n v="0"/>
    <n v="0"/>
    <n v="535500"/>
    <s v="Aprobado con notificación"/>
    <s v="Emitido"/>
    <x v="0"/>
    <x v="0"/>
    <x v="1"/>
    <x v="0"/>
    <x v="1"/>
    <x v="0"/>
    <m/>
  </r>
  <r>
    <s v="Factura electrónica"/>
    <s v="352300861b55c72a9f8d12e6716de791af594992e078489271d0b8f41e2c3167a2416c0b458ef438cb5378b9d584745d"/>
    <x v="648"/>
    <n v="-1"/>
    <s v="FVE"/>
    <s v="06-02-2026"/>
    <s v="06-02-2026 10:25:31"/>
    <s v="900800595"/>
    <s v="Provexpress SAS"/>
    <s v="901811099"/>
    <x v="338"/>
    <n v="399000"/>
    <n v="0"/>
    <n v="0"/>
    <n v="2499000"/>
    <s v="Aprobado con notificación"/>
    <s v="Emitido"/>
    <x v="0"/>
    <x v="0"/>
    <x v="1"/>
    <x v="0"/>
    <x v="1"/>
    <x v="0"/>
    <m/>
  </r>
  <r>
    <s v="Factura electrónica"/>
    <s v="1998fffe9a606c91d452ed972337ac8e2516bfab2302436a900813f8a872cc70da2ac0e077d823ed3f8e739702841878"/>
    <x v="649"/>
    <n v="-1"/>
    <s v="FVE"/>
    <s v="06-02-2026"/>
    <s v="06-02-2026 10:46:08"/>
    <s v="900800595"/>
    <s v="Provexpress SAS"/>
    <s v="900324784"/>
    <x v="339"/>
    <n v="3173000"/>
    <n v="0"/>
    <n v="0"/>
    <n v="19873000"/>
    <s v="Aprobado con notificación"/>
    <s v="Emitido"/>
    <x v="0"/>
    <x v="0"/>
    <x v="0"/>
    <x v="0"/>
    <x v="0"/>
    <x v="0"/>
    <m/>
  </r>
  <r>
    <s v="Factura electrónica"/>
    <s v="3225d54a63c09ba614483ed7e1aac15baa3b94c11233f8d0dfbe2ef2cb08738a5c6e0c4d248e7d1d157429bc41963231"/>
    <x v="650"/>
    <n v="-1"/>
    <s v="FVE"/>
    <s v="06-02-2026"/>
    <s v="06-02-2026 10:46:10"/>
    <s v="900800595"/>
    <s v="Provexpress SAS"/>
    <s v="830076044"/>
    <x v="340"/>
    <n v="142500"/>
    <n v="0"/>
    <n v="0"/>
    <n v="892500"/>
    <s v="Aprobado con notificación"/>
    <s v="Emitido"/>
    <x v="0"/>
    <x v="0"/>
    <x v="1"/>
    <x v="0"/>
    <x v="1"/>
    <x v="0"/>
    <m/>
  </r>
  <r>
    <s v="Factura electrónica"/>
    <s v="90bdeebcee75ce653cb21a7f7d14573c91a9b99af7af944c627125f3c6c189598d4beffac38eb64ce2e65296457ad898"/>
    <x v="651"/>
    <n v="-1"/>
    <s v="FVE"/>
    <s v="06-02-2026"/>
    <s v="06-02-2026 17:46:33"/>
    <s v="900800595"/>
    <s v="Provexpress SAS"/>
    <s v="800228200"/>
    <x v="341"/>
    <n v="1146569.44"/>
    <n v="0"/>
    <n v="0"/>
    <n v="7181145.4400000004"/>
    <s v="Aprobado con notificación"/>
    <s v="Emitido"/>
    <x v="0"/>
    <x v="0"/>
    <x v="1"/>
    <x v="0"/>
    <x v="1"/>
    <x v="0"/>
    <m/>
  </r>
  <r>
    <s v="Factura electrónica"/>
    <s v="fe9a93f57c367bc095b51e1e7c0029f3bb7507bd92560b8376d9b7b416e78c6e1106a92b962f7faa5bafed9390e48915"/>
    <x v="652"/>
    <n v="-1"/>
    <s v="FVE"/>
    <s v="06-02-2026"/>
    <s v="06-02-2026 10:46:15"/>
    <s v="900800595"/>
    <s v="Provexpress SAS"/>
    <s v="1016036846"/>
    <x v="342"/>
    <n v="15004.49"/>
    <n v="0"/>
    <n v="0"/>
    <n v="156897.49"/>
    <s v="Aprobado con notificación"/>
    <s v="Emitido"/>
    <x v="0"/>
    <x v="0"/>
    <x v="1"/>
    <x v="0"/>
    <x v="0"/>
    <x v="1"/>
    <s v="PAGA 2/03/2026"/>
  </r>
  <r>
    <s v="Factura electrónica"/>
    <s v="802b7737ca0c272107402a26e9c948b52afc4dd6ad7e1082f18671c9fc379d49438d9bf3e46c151587114506a5833908"/>
    <x v="653"/>
    <n v="-1"/>
    <s v="FVE"/>
    <s v="06-02-2026"/>
    <s v="06-02-2026 10:46:15"/>
    <s v="900800595"/>
    <s v="Provexpress SAS"/>
    <s v="1012389982"/>
    <x v="343"/>
    <n v="40594.559999999998"/>
    <n v="0"/>
    <n v="0"/>
    <n v="292762.56"/>
    <s v="Aprobado con notificación"/>
    <s v="Emitido"/>
    <x v="0"/>
    <x v="0"/>
    <x v="1"/>
    <x v="0"/>
    <x v="0"/>
    <x v="1"/>
    <s v="PAGA 2/03/2027"/>
  </r>
  <r>
    <s v="Factura electrónica"/>
    <s v="1264767a5865316a36a18e5c7e9fc1723f9077d51e31f940f53009e745129f47a3efcac38a6ce9354db2be457a2ece5d"/>
    <x v="654"/>
    <n v="-1"/>
    <s v="FVE"/>
    <s v="06-02-2026"/>
    <s v="06-02-2026 10:46:17"/>
    <s v="900800595"/>
    <s v="Provexpress SAS"/>
    <s v="52386706"/>
    <x v="344"/>
    <n v="12162.28"/>
    <n v="0"/>
    <n v="0"/>
    <n v="109519.28"/>
    <s v="Aprobado con notificación"/>
    <s v="Emitido"/>
    <x v="0"/>
    <x v="0"/>
    <x v="1"/>
    <x v="0"/>
    <x v="0"/>
    <x v="1"/>
    <s v="PAGA 2/03/2028"/>
  </r>
  <r>
    <s v="Factura electrónica"/>
    <s v="8bd9b95a538d003e978f76933680320ccb69fec912ebb9e696dba7a7ccb69d64208f9df7b35c91e97b134c66566c2e07"/>
    <x v="655"/>
    <n v="-1"/>
    <s v="FVE"/>
    <s v="06-02-2026"/>
    <s v="06-02-2026 10:46:18"/>
    <s v="900800595"/>
    <s v="Provexpress SAS"/>
    <s v="1063561549"/>
    <x v="345"/>
    <n v="25005.71"/>
    <n v="0"/>
    <n v="0"/>
    <n v="156614.71"/>
    <s v="Aprobado con notificación"/>
    <s v="Emitido"/>
    <x v="0"/>
    <x v="0"/>
    <x v="1"/>
    <x v="0"/>
    <x v="1"/>
    <x v="1"/>
    <s v="PAGA 2/03/2029"/>
  </r>
  <r>
    <s v="Factura electrónica"/>
    <s v="cb71bf1766b6d7154e218185385f5cc2fc2e25f6bab34f28de40d323a54b0e0ee2c8e3e9d0250b6295956f00deb926fe"/>
    <x v="656"/>
    <n v="-1"/>
    <s v="FVE"/>
    <s v="06-02-2026"/>
    <s v="06-02-2026 10:56:07"/>
    <s v="900800595"/>
    <s v="Provexpress SAS"/>
    <s v="830061776"/>
    <x v="346"/>
    <n v="97470"/>
    <n v="0"/>
    <n v="0"/>
    <n v="610470"/>
    <s v="Aprobado con notificación"/>
    <s v="Emitido"/>
    <x v="0"/>
    <x v="0"/>
    <x v="1"/>
    <x v="0"/>
    <x v="0"/>
    <x v="1"/>
    <s v="PAGA 13/02/2026"/>
  </r>
  <r>
    <s v="Factura electrónica"/>
    <s v="8bbd3a01cf8be495de55a0b6760cf95ac6dfe1cdf65bba51676b684d746a25b4e9b2b7727276512be3ef5d8e11fad7ff"/>
    <x v="657"/>
    <n v="-1"/>
    <s v="FVE"/>
    <s v="06-02-2026"/>
    <s v="06-02-2026 10:56:09"/>
    <s v="900800595"/>
    <s v="Provexpress SAS"/>
    <s v="830000324"/>
    <x v="347"/>
    <n v="32735024"/>
    <n v="0"/>
    <n v="0"/>
    <n v="205024624"/>
    <s v="Aprobado con notificación"/>
    <s v="Emitido"/>
    <x v="1"/>
    <x v="0"/>
    <x v="1"/>
    <x v="0"/>
    <x v="0"/>
    <x v="0"/>
    <m/>
  </r>
  <r>
    <s v="Factura electrónica"/>
    <s v="02160c483fdf5131f5f7fdee501c5bdc30522414041addd4ec80f9c52f04e8410b44ab0ff90f9c6c451180b3740d3b1b"/>
    <x v="658"/>
    <n v="-1"/>
    <s v="FVE"/>
    <s v="06-02-2026"/>
    <s v="06-02-2026 10:56:11"/>
    <s v="900800595"/>
    <s v="Provexpress SAS"/>
    <s v="860510863"/>
    <x v="47"/>
    <n v="29186.66"/>
    <n v="0"/>
    <n v="0"/>
    <n v="182800.66"/>
    <s v="Aprobado con notificación"/>
    <s v="Emitido"/>
    <x v="0"/>
    <x v="1"/>
    <x v="1"/>
    <x v="0"/>
    <x v="0"/>
    <x v="0"/>
    <m/>
  </r>
  <r>
    <s v="Factura electrónica"/>
    <s v="4c5d655dd070124cbaa542bc06da7a4916c5be5d58a412199c6406fa886ff9e3835a607f0ae76a544826301704699506"/>
    <x v="659"/>
    <n v="-1"/>
    <s v="FVE"/>
    <s v="06-02-2026"/>
    <s v="06-02-2026 10:56:13"/>
    <s v="900800595"/>
    <s v="Provexpress SAS"/>
    <s v="800024265"/>
    <x v="24"/>
    <n v="12143017.42"/>
    <n v="0"/>
    <n v="0"/>
    <n v="76053635.420000002"/>
    <s v="Aprobado con notificación"/>
    <s v="Emitido"/>
    <x v="1"/>
    <x v="0"/>
    <x v="1"/>
    <x v="0"/>
    <x v="0"/>
    <x v="0"/>
    <m/>
  </r>
  <r>
    <s v="Factura electrónica"/>
    <s v="dbfd6ad04e0ce725317be32d2fc71b41cc89006952b5c4054e521c5658b80341540e82b752768985ed0f6d35419fe09f"/>
    <x v="660"/>
    <n v="-1"/>
    <s v="FVE"/>
    <s v="06-02-2026"/>
    <s v="06-02-2026 11:10:47"/>
    <s v="900800595"/>
    <s v="Provexpress SAS"/>
    <s v="800118776"/>
    <x v="13"/>
    <n v="160710.35999999999"/>
    <n v="0"/>
    <n v="0"/>
    <n v="1006554.36"/>
    <s v="Aprobado con notificación"/>
    <s v="Emitido"/>
    <x v="0"/>
    <x v="0"/>
    <x v="1"/>
    <x v="0"/>
    <x v="1"/>
    <x v="0"/>
    <m/>
  </r>
  <r>
    <s v="Factura electrónica"/>
    <s v="89afbd0f0dec0ee3654e47680831059e0d6f27bbfc13fd9757d671b18f7b036ce93f55b0a532baf85c4facf6afd59301"/>
    <x v="661"/>
    <n v="-1"/>
    <s v="FVE"/>
    <s v="06-02-2026"/>
    <s v="06-02-2026 11:10:52"/>
    <s v="900800595"/>
    <s v="Provexpress SAS"/>
    <s v="900206480"/>
    <x v="219"/>
    <n v="1610091.35"/>
    <n v="0"/>
    <n v="0"/>
    <n v="10084256.35"/>
    <s v="Aprobado con notificación"/>
    <s v="Emitido"/>
    <x v="0"/>
    <x v="0"/>
    <x v="1"/>
    <x v="0"/>
    <x v="0"/>
    <x v="1"/>
    <s v="PAGA 2/03/2026"/>
  </r>
  <r>
    <s v="Factura electrónica"/>
    <s v="c2b62426fe9aece4cc445b155d425f18c65830c58d31b2011b0aa496898f8fc9e864bcb21b4ac01bad6387a9eab3708f"/>
    <x v="662"/>
    <n v="-1"/>
    <s v="FVE"/>
    <s v="06-02-2026"/>
    <s v="06-02-2026 11:10:58"/>
    <s v="900800595"/>
    <s v="Provexpress SAS"/>
    <s v="830036108"/>
    <x v="117"/>
    <n v="131290"/>
    <n v="0"/>
    <n v="0"/>
    <n v="822290"/>
    <s v="Aprobado con notificación"/>
    <s v="Emitido"/>
    <x v="1"/>
    <x v="0"/>
    <x v="1"/>
    <x v="0"/>
    <x v="0"/>
    <x v="0"/>
    <m/>
  </r>
  <r>
    <s v="Factura electrónica"/>
    <s v="a6867e0f3a1d870a1d1db81ea2e804d4328ea6c5035c4a9ddc19b80718c782d940c9f09960b87acd22839aecc4048276"/>
    <x v="663"/>
    <n v="-1"/>
    <s v="FVE"/>
    <s v="06-02-2026"/>
    <s v="06-02-2026 11:11:04"/>
    <s v="900800595"/>
    <s v="Provexpress SAS"/>
    <s v="860072279"/>
    <x v="86"/>
    <n v="64560.3"/>
    <n v="0"/>
    <n v="0"/>
    <n v="538530.30000000005"/>
    <s v="Aprobado con notificación"/>
    <s v="Emitido"/>
    <x v="0"/>
    <x v="0"/>
    <x v="1"/>
    <x v="0"/>
    <x v="1"/>
    <x v="0"/>
    <m/>
  </r>
  <r>
    <s v="Factura electrónica"/>
    <s v="4ca4b7c7b4edab18c18932df3be88d3b0b01348c04bb96bfad0c3c711d40b2da040644cb39f190d8192cd24c02b377da"/>
    <x v="664"/>
    <n v="-1"/>
    <s v="FVE"/>
    <s v="06-02-2026"/>
    <s v="06-02-2026 11:56:27"/>
    <s v="900800595"/>
    <s v="Provexpress SAS"/>
    <s v="860524163"/>
    <x v="171"/>
    <n v="35092.050000000003"/>
    <n v="0"/>
    <n v="0"/>
    <n v="219787.05"/>
    <s v="Aprobado con notificación"/>
    <s v="Emitido"/>
    <x v="0"/>
    <x v="0"/>
    <x v="0"/>
    <x v="0"/>
    <x v="0"/>
    <x v="0"/>
    <m/>
  </r>
  <r>
    <s v="Factura electrónica"/>
    <s v="8b51cf837691f4006275100f530ef4a41fccb0557197d4b934679e9a942606e0eb659c7251404847620b9ab957e507a9"/>
    <x v="665"/>
    <n v="-1"/>
    <s v="FVE"/>
    <s v="06-02-2026"/>
    <s v="06-02-2026 11:56:31"/>
    <s v="900800595"/>
    <s v="Provexpress SAS"/>
    <s v="860072279"/>
    <x v="86"/>
    <n v="110200"/>
    <n v="0"/>
    <n v="0"/>
    <n v="690200"/>
    <s v="Aprobado con notificación"/>
    <s v="Emitido"/>
    <x v="0"/>
    <x v="0"/>
    <x v="1"/>
    <x v="0"/>
    <x v="1"/>
    <x v="0"/>
    <m/>
  </r>
  <r>
    <s v="Factura electrónica"/>
    <s v="1ff796f3b77b096c432539bc03228ee3c1797e8b350ecafb5c5fbc4f92217160bcc5870164cd3287414c179931fa0ee6"/>
    <x v="666"/>
    <n v="-1"/>
    <s v="FVE"/>
    <s v="06-02-2026"/>
    <s v="06-02-2026 11:56:35"/>
    <s v="900800595"/>
    <s v="Provexpress SAS"/>
    <s v="860020342"/>
    <x v="348"/>
    <n v="7828000"/>
    <n v="0"/>
    <n v="0"/>
    <n v="49028000"/>
    <s v="Aprobado con notificación"/>
    <s v="Emitido"/>
    <x v="0"/>
    <x v="0"/>
    <x v="1"/>
    <x v="0"/>
    <x v="1"/>
    <x v="0"/>
    <m/>
  </r>
  <r>
    <s v="Factura electrónica"/>
    <s v="ddbedc123825574a4bf683dd15ce37cfe78b53cb6551645b2c811f3a944a6ec82cacbe1b7fbd626e0795738e466c189d"/>
    <x v="667"/>
    <n v="-1"/>
    <s v="FVE"/>
    <s v="06-02-2026"/>
    <s v="06-02-2026 12:11:28"/>
    <s v="900800595"/>
    <s v="Provexpress SAS"/>
    <s v="860524163"/>
    <x v="171"/>
    <n v="92891.95"/>
    <n v="0"/>
    <n v="0"/>
    <n v="581796.94999999995"/>
    <s v="Aprobado con notificación"/>
    <s v="Emitido"/>
    <x v="0"/>
    <x v="0"/>
    <x v="0"/>
    <x v="0"/>
    <x v="0"/>
    <x v="0"/>
    <m/>
  </r>
  <r>
    <s v="Factura electrónica"/>
    <s v="8612285334f860551ae425c22e6efbaaf18a219f85629cbf2991adc4c6ed22a6f434eee2cfce3cfbde0ffea3b082f465"/>
    <x v="668"/>
    <n v="-1"/>
    <s v="FVE"/>
    <s v="06-02-2026"/>
    <s v="06-02-2026 12:11:34"/>
    <s v="900800595"/>
    <s v="Provexpress SAS"/>
    <s v="815004859"/>
    <x v="349"/>
    <n v="1188260"/>
    <n v="0"/>
    <n v="0"/>
    <n v="7442260"/>
    <s v="Aprobado con notificación"/>
    <s v="Emitido"/>
    <x v="0"/>
    <x v="0"/>
    <x v="1"/>
    <x v="0"/>
    <x v="0"/>
    <x v="1"/>
    <s v="PAGA 24/02/2026"/>
  </r>
  <r>
    <s v="Factura electrónica"/>
    <s v="0e29609276e0526704d99c6c31b45ff665ba0061deafa195bb4c8ecdc065f910fe433476a5bc61575689d3cbcbc74628"/>
    <x v="669"/>
    <n v="-1"/>
    <s v="FVE"/>
    <s v="06-02-2026"/>
    <s v="06-02-2026 12:11:39"/>
    <s v="900800595"/>
    <s v="Provexpress SAS"/>
    <s v="900081694"/>
    <x v="350"/>
    <n v="152190"/>
    <n v="0"/>
    <n v="0"/>
    <n v="953190"/>
    <s v="Aprobado con notificación"/>
    <s v="Emitido"/>
    <x v="0"/>
    <x v="0"/>
    <x v="0"/>
    <x v="0"/>
    <x v="0"/>
    <x v="0"/>
    <m/>
  </r>
  <r>
    <s v="Factura electrónica"/>
    <s v="a287e5cf0b3a6d37778cc0f55cd3a89206ed1ba880a3ee3f9275771368d838a1d839a10b40d18ab217d9f0163f5bb184"/>
    <x v="670"/>
    <n v="-1"/>
    <s v="FVE"/>
    <s v="06-02-2026"/>
    <s v="06-02-2026 12:11:42"/>
    <s v="900800595"/>
    <s v="Provexpress SAS"/>
    <s v="900896981"/>
    <x v="183"/>
    <n v="9104594.8000000007"/>
    <n v="0"/>
    <n v="0"/>
    <n v="57023514.799999997"/>
    <s v="Aprobado con notificación"/>
    <s v="Emitido"/>
    <x v="1"/>
    <x v="0"/>
    <x v="1"/>
    <x v="0"/>
    <x v="0"/>
    <x v="0"/>
    <m/>
  </r>
  <r>
    <s v="Factura electrónica"/>
    <s v="f4078c4ed1fc83f6bb8804c71caf6f228bd2d45a31738aca9ba0a83e8ca08f2488b4fc4a76a73432da76aa3acda98e98"/>
    <x v="671"/>
    <n v="-1"/>
    <s v="FVE"/>
    <s v="06-02-2026"/>
    <s v="06-02-2026 12:26:48"/>
    <s v="900800595"/>
    <s v="Provexpress SAS"/>
    <s v="800143577"/>
    <x v="351"/>
    <n v="127326.6"/>
    <n v="0"/>
    <n v="0"/>
    <n v="857346.6"/>
    <s v="Aprobado con notificación"/>
    <s v="Emitido"/>
    <x v="0"/>
    <x v="0"/>
    <x v="1"/>
    <x v="0"/>
    <x v="0"/>
    <x v="1"/>
    <s v="PAGA 24/02/2026"/>
  </r>
  <r>
    <s v="Factura electrónica"/>
    <s v="dd0e828b3c66c6a798cb6dc8a104a76d86149e52e3172519bcaaba3d1caf80efd78ed202dff1c63d911e0f600db8c437"/>
    <x v="672"/>
    <n v="-1"/>
    <s v="FVE"/>
    <s v="06-02-2026"/>
    <s v="06-02-2026 12:26:54"/>
    <s v="900800595"/>
    <s v="Provexpress SAS"/>
    <s v="901541749"/>
    <x v="113"/>
    <n v="0"/>
    <n v="0"/>
    <n v="0"/>
    <n v="2528460"/>
    <s v="Aprobado con notificación"/>
    <s v="Emitido"/>
    <x v="0"/>
    <x v="0"/>
    <x v="1"/>
    <x v="0"/>
    <x v="1"/>
    <x v="0"/>
    <m/>
  </r>
  <r>
    <s v="Factura electrónica"/>
    <s v="fe5ec7f5448cdf71db13f02a6025c44c165463b670a7d415fc277261800be7cce1a8febabf60b19e89b009a99c9314c5"/>
    <x v="673"/>
    <n v="-1"/>
    <s v="FVE"/>
    <s v="06-02-2026"/>
    <s v="06-02-2026 12:26:58"/>
    <s v="900800595"/>
    <s v="Provexpress SAS"/>
    <s v="830017184"/>
    <x v="293"/>
    <n v="2861844.6"/>
    <n v="0"/>
    <n v="0"/>
    <n v="17924184.600000001"/>
    <s v="Aprobado con notificación"/>
    <s v="Emitido"/>
    <x v="0"/>
    <x v="0"/>
    <x v="1"/>
    <x v="0"/>
    <x v="1"/>
    <x v="0"/>
    <m/>
  </r>
  <r>
    <s v="Factura electrónica"/>
    <s v="113f844da9e765f09d265c538ba4f97a5b101e95feeab9c0b09643c822212ecc6aebc3d42c7f4d00c8fdf86ef261c9f2"/>
    <x v="674"/>
    <n v="-1"/>
    <s v="FVE"/>
    <s v="06-02-2026"/>
    <s v="06-02-2026 12:27:02"/>
    <s v="900800595"/>
    <s v="Provexpress SAS"/>
    <s v="800149149"/>
    <x v="352"/>
    <n v="127279.48"/>
    <n v="0"/>
    <n v="0"/>
    <n v="797171.48"/>
    <s v="Aprobado con notificación"/>
    <s v="Emitido"/>
    <x v="0"/>
    <x v="0"/>
    <x v="0"/>
    <x v="0"/>
    <x v="0"/>
    <x v="0"/>
    <m/>
  </r>
  <r>
    <s v="Factura electrónica"/>
    <s v="19b63d213ed80fc4d18e9720a6824a55534f355424f992c9f1f4b5d8227f94bc700933a8887a1537ca572a14364ec74b"/>
    <x v="675"/>
    <n v="-1"/>
    <s v="FVE"/>
    <s v="06-02-2026"/>
    <s v="06-02-2026 12:27:07"/>
    <s v="900800595"/>
    <s v="Provexpress SAS"/>
    <s v="830051519"/>
    <x v="268"/>
    <n v="4750"/>
    <n v="0"/>
    <n v="0"/>
    <n v="29750"/>
    <s v="Aprobado con notificación"/>
    <s v="Emitido"/>
    <x v="0"/>
    <x v="0"/>
    <x v="1"/>
    <x v="0"/>
    <x v="1"/>
    <x v="0"/>
    <m/>
  </r>
  <r>
    <s v="Factura electrónica"/>
    <s v="5450b4754638fa391171c5b6ab6e564592fb891569aa17d165a630f8368cc9b1785f00659f2b56a9953c8f93677d59b6"/>
    <x v="676"/>
    <n v="-1"/>
    <s v="FVE"/>
    <s v="06-02-2026"/>
    <s v="06-02-2026 12:42:14"/>
    <s v="900800595"/>
    <s v="Provexpress SAS"/>
    <s v="860533413"/>
    <x v="30"/>
    <n v="372400"/>
    <n v="0"/>
    <n v="0"/>
    <n v="2332400"/>
    <s v="Aprobado con notificación"/>
    <s v="Emitido"/>
    <x v="1"/>
    <x v="0"/>
    <x v="1"/>
    <x v="0"/>
    <x v="0"/>
    <x v="0"/>
    <m/>
  </r>
  <r>
    <s v="Factura electrónica"/>
    <s v="42d32c73a0572407b7f9ae9ac415d9c32bd923e8e50a6daa2efbec63099a9e1f2a384e135072bb79713849341ef5cbe7"/>
    <x v="677"/>
    <n v="-1"/>
    <s v="FVE"/>
    <s v="06-02-2026"/>
    <s v="06-02-2026 12:42:19"/>
    <s v="900800595"/>
    <s v="Provexpress SAS"/>
    <s v="860000332"/>
    <x v="290"/>
    <n v="722000"/>
    <n v="0"/>
    <n v="0"/>
    <n v="4522000"/>
    <s v="Aprobado con notificación"/>
    <s v="Emitido"/>
    <x v="0"/>
    <x v="0"/>
    <x v="1"/>
    <x v="0"/>
    <x v="1"/>
    <x v="0"/>
    <m/>
  </r>
  <r>
    <s v="Factura electrónica"/>
    <s v="fcbdbbf8943a416a0a147a7bd02957eb44f79267289eb9de5f907f5c6071cf9e985eeaf389e4f9897df1e3c4a6e1298f"/>
    <x v="678"/>
    <n v="-1"/>
    <s v="FVE"/>
    <s v="06-02-2026"/>
    <s v="06-02-2026 13:12:25"/>
    <s v="900800595"/>
    <s v="Provexpress SAS"/>
    <s v="800149453"/>
    <x v="353"/>
    <n v="593370"/>
    <n v="0"/>
    <n v="0"/>
    <n v="3716370"/>
    <s v="Aprobado con notificación"/>
    <s v="Emitido"/>
    <x v="0"/>
    <x v="0"/>
    <x v="1"/>
    <x v="0"/>
    <x v="1"/>
    <x v="0"/>
    <m/>
  </r>
  <r>
    <s v="Factura electrónica"/>
    <s v="9edb4a7632d80e8683d81e496c9faa15cfd5bf785ba58b20d86d78adfb122f9876a578335c2cd66b0088237edf317fff"/>
    <x v="679"/>
    <n v="-1"/>
    <s v="FVE"/>
    <s v="06-02-2026"/>
    <s v="06-02-2026 13:12:30"/>
    <s v="900800595"/>
    <s v="Provexpress SAS"/>
    <s v="900418860"/>
    <x v="354"/>
    <n v="51870"/>
    <n v="0"/>
    <n v="0"/>
    <n v="324870"/>
    <s v="Aprobado con notificación"/>
    <s v="Emitido"/>
    <x v="0"/>
    <x v="0"/>
    <x v="1"/>
    <x v="0"/>
    <x v="1"/>
    <x v="0"/>
    <m/>
  </r>
  <r>
    <s v="Factura electrónica"/>
    <s v="ab675ee109a58f6c327b021e346bfa1d394047292e48a520fa186546ae0cf99ff484741b844eec91a36e9aa88a2ce287"/>
    <x v="680"/>
    <n v="-1"/>
    <s v="FVE"/>
    <s v="06-02-2026"/>
    <s v="06-02-2026 13:12:36"/>
    <s v="900800595"/>
    <s v="Provexpress SAS"/>
    <s v="900418860"/>
    <x v="354"/>
    <n v="720666.2"/>
    <n v="0"/>
    <n v="0"/>
    <n v="4513646.2"/>
    <s v="Aprobado con notificación"/>
    <s v="Emitido"/>
    <x v="0"/>
    <x v="0"/>
    <x v="1"/>
    <x v="0"/>
    <x v="1"/>
    <x v="0"/>
    <m/>
  </r>
  <r>
    <s v="Factura electrónica"/>
    <s v="b31479bac8b83b2e6e9f0880fc3135d69fce27461282da70eae5dd5196070c976a52e21cd2a7af4dc9a65dd163c7aa96"/>
    <x v="681"/>
    <n v="-1"/>
    <s v="FVE"/>
    <s v="06-02-2026"/>
    <s v="06-02-2026 13:12:40"/>
    <s v="900800595"/>
    <s v="Provexpress SAS"/>
    <s v="79805167"/>
    <x v="355"/>
    <n v="22832.65"/>
    <n v="0"/>
    <n v="0"/>
    <n v="212242.65"/>
    <s v="Aprobado con notificación"/>
    <s v="Emitido"/>
    <x v="0"/>
    <x v="0"/>
    <x v="1"/>
    <x v="0"/>
    <x v="1"/>
    <x v="0"/>
    <m/>
  </r>
  <r>
    <s v="Factura electrónica"/>
    <s v="b7bd60630e80e3b0549d9ca79f73fe07b5b77ef9800828d14f051cde85bd81f00616c787e0838667ac696bdd606ff675"/>
    <x v="682"/>
    <n v="-1"/>
    <s v="FVE"/>
    <s v="06-02-2026"/>
    <s v="06-02-2026 13:12:45"/>
    <s v="900800595"/>
    <s v="Provexpress SAS"/>
    <s v="1074416780"/>
    <x v="356"/>
    <n v="19970.14"/>
    <n v="0"/>
    <n v="0"/>
    <n v="142560.14000000001"/>
    <s v="Aprobado con notificación"/>
    <s v="Emitido"/>
    <x v="0"/>
    <x v="0"/>
    <x v="1"/>
    <x v="0"/>
    <x v="1"/>
    <x v="0"/>
    <m/>
  </r>
  <r>
    <s v="Factura electrónica"/>
    <s v="566e53837fce00c5c7ad01ac3656db80f89452ec0e5b24ab75321e6edc78a630609e8a464a03bfcd486bc2c0e4a7a4a7"/>
    <x v="683"/>
    <n v="-1"/>
    <s v="FVE"/>
    <s v="06-02-2026"/>
    <s v="06-02-2026 14:27:57"/>
    <s v="900800595"/>
    <s v="Provexpress SAS"/>
    <s v="830112250"/>
    <x v="357"/>
    <n v="1331101.05"/>
    <n v="0"/>
    <n v="0"/>
    <n v="8336896.0499999998"/>
    <s v="Aprobado con notificación"/>
    <s v="Emitido"/>
    <x v="0"/>
    <x v="0"/>
    <x v="1"/>
    <x v="0"/>
    <x v="1"/>
    <x v="0"/>
    <m/>
  </r>
  <r>
    <s v="Factura electrónica"/>
    <s v="77ac3475ab400bd2c39528f24a967889eed1e5134b51c03526ec34827e14ae1a33292f0d32983ffb278f2b21fc136ad6"/>
    <x v="684"/>
    <n v="-1"/>
    <s v="FVE"/>
    <s v="06-02-2026"/>
    <s v="06-02-2026 14:58:04"/>
    <s v="900800595"/>
    <s v="Provexpress SAS"/>
    <s v="901469580"/>
    <x v="358"/>
    <n v="746409.3"/>
    <n v="0"/>
    <n v="0"/>
    <n v="4674879.3"/>
    <s v="Aprobado con notificación"/>
    <s v="Emitido"/>
    <x v="0"/>
    <x v="0"/>
    <x v="0"/>
    <x v="0"/>
    <x v="0"/>
    <x v="0"/>
    <m/>
  </r>
  <r>
    <s v="Factura electrónica"/>
    <s v="7280f661a2816f613f7f20b7c5de83e1a0806c972e18c06f89f116644ee206e945ab56b35fa46a89119000541afaf014"/>
    <x v="685"/>
    <n v="-1"/>
    <s v="FVE"/>
    <s v="06-02-2026"/>
    <s v="06-02-2026 14:58:10"/>
    <s v="900800595"/>
    <s v="Provexpress SAS"/>
    <s v="901469580"/>
    <x v="358"/>
    <n v="1492818.6"/>
    <n v="0"/>
    <n v="0"/>
    <n v="9349758.5999999996"/>
    <s v="Aprobado con notificación"/>
    <s v="Emitido"/>
    <x v="0"/>
    <x v="0"/>
    <x v="0"/>
    <x v="0"/>
    <x v="0"/>
    <x v="0"/>
    <m/>
  </r>
  <r>
    <s v="Factura electrónica"/>
    <s v="1e74ef19919ea0fcb49959e1e8be9cccf0ba4ecb344e50bf1ba34feb8cfeacddc93971f9fbb3f4edc33169afe4c8197d"/>
    <x v="686"/>
    <n v="-1"/>
    <s v="FVE"/>
    <s v="06-02-2026"/>
    <s v="06-02-2026 14:58:14"/>
    <s v="900800595"/>
    <s v="Provexpress SAS"/>
    <s v="860078828"/>
    <x v="154"/>
    <n v="373204.65"/>
    <n v="0"/>
    <n v="0"/>
    <n v="2337439.65"/>
    <s v="Aprobado con notificación"/>
    <s v="Emitido"/>
    <x v="0"/>
    <x v="0"/>
    <x v="0"/>
    <x v="0"/>
    <x v="0"/>
    <x v="0"/>
    <m/>
  </r>
  <r>
    <s v="Factura electrónica"/>
    <s v="a08642b4cc4f00979a3d0e5486a54a18e99211995c5d05cba1858ede57d35713ecb1cd29529b34c691dc9cfc9792ddec"/>
    <x v="687"/>
    <n v="-1"/>
    <s v="FVE"/>
    <s v="06-02-2026"/>
    <s v="06-02-2026 14:58:19"/>
    <s v="900800595"/>
    <s v="Provexpress SAS"/>
    <s v="901041691"/>
    <x v="334"/>
    <n v="373204.65"/>
    <n v="0"/>
    <n v="0"/>
    <n v="2337439.65"/>
    <s v="Aprobado con notificación"/>
    <s v="Emitido"/>
    <x v="0"/>
    <x v="0"/>
    <x v="0"/>
    <x v="0"/>
    <x v="0"/>
    <x v="0"/>
    <m/>
  </r>
  <r>
    <s v="Factura electrónica"/>
    <s v="2f86eb951a4d5f50a0a5f38bab72f90d71e6adf43582e481e7ffd006aeb5976acb69939b9773a2b0dc6a2f1af23af81c"/>
    <x v="688"/>
    <n v="-1"/>
    <s v="FVE"/>
    <s v="06-02-2026"/>
    <s v="06-02-2026 14:58:24"/>
    <s v="900800595"/>
    <s v="Provexpress SAS"/>
    <s v="800149384"/>
    <x v="12"/>
    <n v="1119613.95"/>
    <n v="0"/>
    <n v="0"/>
    <n v="7012318.9500000002"/>
    <s v="Aprobado con notificación"/>
    <s v="Emitido"/>
    <x v="0"/>
    <x v="0"/>
    <x v="0"/>
    <x v="0"/>
    <x v="0"/>
    <x v="0"/>
    <m/>
  </r>
  <r>
    <s v="Factura electrónica"/>
    <s v="1d70db9900ef3118e29071bab551a64c1f2079c9b4630127676724aff9cf6c868b00844c497a99cdf7c96f7611cb08fe"/>
    <x v="689"/>
    <n v="-1"/>
    <s v="FVE"/>
    <s v="06-02-2026"/>
    <s v="06-02-2026 14:58:29"/>
    <s v="900800595"/>
    <s v="Provexpress SAS"/>
    <s v="901041691"/>
    <x v="334"/>
    <n v="373204.65"/>
    <n v="0"/>
    <n v="0"/>
    <n v="2337439.65"/>
    <s v="Aprobado con notificación"/>
    <s v="Emitido"/>
    <x v="0"/>
    <x v="0"/>
    <x v="0"/>
    <x v="0"/>
    <x v="0"/>
    <x v="0"/>
    <m/>
  </r>
  <r>
    <s v="Factura electrónica"/>
    <s v="d332e46d8a16e3bd4200ce92c53bd1149cc511dac3a5289c855ffab1b19c40720571c70059c1600b52af376175405647"/>
    <x v="690"/>
    <n v="-1"/>
    <s v="FVE"/>
    <s v="06-02-2026"/>
    <s v="06-02-2026 14:58:40"/>
    <s v="900800595"/>
    <s v="Provexpress SAS"/>
    <s v="800125872"/>
    <x v="359"/>
    <n v="1017956.16"/>
    <n v="0"/>
    <n v="0"/>
    <n v="6375620.1600000001"/>
    <s v="Aprobado con notificación"/>
    <s v="Emitido"/>
    <x v="0"/>
    <x v="0"/>
    <x v="0"/>
    <x v="0"/>
    <x v="0"/>
    <x v="0"/>
    <m/>
  </r>
  <r>
    <s v="Factura electrónica"/>
    <s v="ff7e40f8bf5abab80ea744a0aea58f81236753d6b0c1bfd8cc27f9380905a63e24d10b997b998d866b12602fb092709a"/>
    <x v="691"/>
    <n v="-1"/>
    <s v="FVE"/>
    <s v="06-02-2026"/>
    <s v="06-02-2026 14:58:42"/>
    <s v="900800595"/>
    <s v="Provexpress SAS"/>
    <s v="830005028"/>
    <x v="52"/>
    <n v="1468997.75"/>
    <n v="0"/>
    <n v="0"/>
    <n v="10143722.75"/>
    <s v="Aprobado con notificación"/>
    <s v="Emitido"/>
    <x v="1"/>
    <x v="0"/>
    <x v="1"/>
    <x v="0"/>
    <x v="0"/>
    <x v="0"/>
    <m/>
  </r>
  <r>
    <s v="Factura electrónica"/>
    <s v="fa6b93f5bee54b6c396240f1d9f05ba02c8a164bff6c608259776c96b173d418a2b0033a2b3df7eb21628c2d52085469"/>
    <x v="692"/>
    <n v="-1"/>
    <s v="FVE"/>
    <s v="06-02-2026"/>
    <s v="06-02-2026 14:58:45"/>
    <s v="900800595"/>
    <s v="Provexpress SAS"/>
    <s v="830047411"/>
    <x v="211"/>
    <n v="11821.42"/>
    <n v="0"/>
    <n v="0"/>
    <n v="74039.42"/>
    <s v="Aprobado con notificación"/>
    <s v="Emitido"/>
    <x v="0"/>
    <x v="0"/>
    <x v="1"/>
    <x v="0"/>
    <x v="1"/>
    <x v="0"/>
    <m/>
  </r>
  <r>
    <s v="Factura electrónica"/>
    <s v="0417c5ccddcfaeaf3b44510fc6010469efa52816a2d16b937c2f96dcc4fc8a50dbcd3e094e344e59f5ac1919909224ad"/>
    <x v="693"/>
    <n v="-1"/>
    <s v="FVE"/>
    <s v="06-02-2026"/>
    <s v="06-02-2026 14:58:49"/>
    <s v="900800595"/>
    <s v="Provexpress SAS"/>
    <s v="830047411"/>
    <x v="211"/>
    <n v="28500"/>
    <n v="0"/>
    <n v="0"/>
    <n v="178500"/>
    <s v="Aprobado con notificación"/>
    <s v="Emitido"/>
    <x v="0"/>
    <x v="1"/>
    <x v="1"/>
    <x v="0"/>
    <x v="0"/>
    <x v="0"/>
    <m/>
  </r>
  <r>
    <s v="Factura electrónica"/>
    <s v="4965800abb3f7978096553354de9992e1043f19d3cb1f11f95498fb1da3dae69e4fd4b30aff675e7a4e7936e2fd254f2"/>
    <x v="694"/>
    <n v="-1"/>
    <s v="FVE"/>
    <s v="06-02-2026"/>
    <s v="06-02-2026 14:58:53"/>
    <s v="900800595"/>
    <s v="Provexpress SAS"/>
    <s v="830047411"/>
    <x v="211"/>
    <n v="18620"/>
    <n v="0"/>
    <n v="0"/>
    <n v="116620"/>
    <s v="Aprobado con notificación"/>
    <s v="Emitido"/>
    <x v="0"/>
    <x v="1"/>
    <x v="1"/>
    <x v="0"/>
    <x v="0"/>
    <x v="0"/>
    <m/>
  </r>
  <r>
    <s v="Factura electrónica"/>
    <s v="294acb84769fd2130e5fc716e04616056fe42388c327011e21eccd716e754c0c33b83275304592d5abfa740f80f4df74"/>
    <x v="695"/>
    <n v="-1"/>
    <s v="FVE"/>
    <s v="06-02-2026"/>
    <s v="06-02-2026 14:58:58"/>
    <s v="900800595"/>
    <s v="Provexpress SAS"/>
    <s v="830047411"/>
    <x v="211"/>
    <n v="18620"/>
    <n v="0"/>
    <n v="0"/>
    <n v="116620"/>
    <s v="Aprobado con notificación"/>
    <s v="Emitido"/>
    <x v="0"/>
    <x v="1"/>
    <x v="1"/>
    <x v="0"/>
    <x v="0"/>
    <x v="0"/>
    <m/>
  </r>
  <r>
    <s v="Factura electrónica"/>
    <s v="47223439f4afdda7bd43a22fa0c3715c0d9e52b1b9affdacb8555ee528996a3aab6daa5e7bd02ba4625f1710c30b1d35"/>
    <x v="696"/>
    <n v="-1"/>
    <s v="FVE"/>
    <s v="06-02-2026"/>
    <s v="06-02-2026 14:59:02"/>
    <s v="900800595"/>
    <s v="Provexpress SAS"/>
    <s v="830047411"/>
    <x v="211"/>
    <n v="18620"/>
    <n v="0"/>
    <n v="0"/>
    <n v="116620"/>
    <s v="Aprobado con notificación"/>
    <s v="Emitido"/>
    <x v="0"/>
    <x v="1"/>
    <x v="1"/>
    <x v="0"/>
    <x v="0"/>
    <x v="0"/>
    <m/>
  </r>
  <r>
    <s v="Factura electrónica"/>
    <s v="5b7196920638a1b64d62efc5d555588bf3f52bfc415594025ff4cb1248759ec45fd6515e95513a36c1f4f781a2478153"/>
    <x v="697"/>
    <n v="-1"/>
    <s v="FVE"/>
    <s v="06-02-2026"/>
    <s v="06-02-2026 14:59:07"/>
    <s v="900800595"/>
    <s v="Provexpress SAS"/>
    <s v="830047411"/>
    <x v="211"/>
    <n v="18620"/>
    <n v="0"/>
    <n v="0"/>
    <n v="116620"/>
    <s v="Aprobado con notificación"/>
    <s v="Emitido"/>
    <x v="0"/>
    <x v="1"/>
    <x v="1"/>
    <x v="0"/>
    <x v="0"/>
    <x v="0"/>
    <m/>
  </r>
  <r>
    <s v="Factura electrónica"/>
    <s v="3f0f5e312d859d8dd19d80f5aa73ba1d9e332b1771d027e1fffcb9e7063f624d95da3e6e400916dc126aa3927afdc20b"/>
    <x v="698"/>
    <n v="-1"/>
    <s v="FVE"/>
    <s v="06-02-2026"/>
    <s v="06-02-2026 15:14:13"/>
    <s v="900800595"/>
    <s v="Provexpress SAS"/>
    <s v="830047411"/>
    <x v="211"/>
    <n v="18620"/>
    <n v="0"/>
    <n v="0"/>
    <n v="116620"/>
    <s v="Aprobado con notificación"/>
    <s v="Emitido"/>
    <x v="0"/>
    <x v="0"/>
    <x v="1"/>
    <x v="1"/>
    <x v="0"/>
    <x v="0"/>
    <m/>
  </r>
  <r>
    <s v="Factura electrónica"/>
    <s v="679f3dc60dc52e78fb93f46a611c195b25abbc547632a3cb4aedf3469647134b5b0b94b3c2fe2d16397cdeff8dbf373a"/>
    <x v="699"/>
    <n v="-1"/>
    <s v="FVE"/>
    <s v="06-02-2026"/>
    <s v="06-02-2026 15:14:17"/>
    <s v="900800595"/>
    <s v="Provexpress SAS"/>
    <s v="902010784"/>
    <x v="360"/>
    <n v="51204.62"/>
    <n v="0"/>
    <n v="0"/>
    <n v="320702.62"/>
    <s v="Aprobado con notificación"/>
    <s v="Emitido"/>
    <x v="0"/>
    <x v="0"/>
    <x v="1"/>
    <x v="0"/>
    <x v="1"/>
    <x v="0"/>
    <m/>
  </r>
  <r>
    <s v="Factura electrónica"/>
    <s v="b8c17e7136ea59dbbf685f7504fe7696b573d8dd33c722d4f932234259c160eb90affee212b254bb948d75bc93316fdb"/>
    <x v="700"/>
    <n v="-1"/>
    <s v="FVE"/>
    <s v="06-02-2026"/>
    <s v="06-02-2026 15:14:23"/>
    <s v="900800595"/>
    <s v="Provexpress SAS"/>
    <s v="860510863"/>
    <x v="47"/>
    <n v="11821.42"/>
    <n v="0"/>
    <n v="0"/>
    <n v="74039.42"/>
    <s v="Aprobado con notificación"/>
    <s v="Emitido"/>
    <x v="0"/>
    <x v="1"/>
    <x v="1"/>
    <x v="0"/>
    <x v="0"/>
    <x v="0"/>
    <m/>
  </r>
  <r>
    <s v="Factura electrónica"/>
    <s v="0ade63b13e81594eed391ff55e7c137940f996521291da419e19b09edcd199891a172ebb8c872cae8e56528f19503e62"/>
    <x v="701"/>
    <n v="-1"/>
    <s v="FVE"/>
    <s v="06-02-2026"/>
    <s v="06-02-2026 15:14:31"/>
    <s v="900800595"/>
    <s v="Provexpress SAS"/>
    <s v="900562460"/>
    <x v="361"/>
    <n v="61503"/>
    <n v="0"/>
    <n v="0"/>
    <n v="385203"/>
    <s v="Aprobado con notificación"/>
    <s v="Emitido"/>
    <x v="0"/>
    <x v="0"/>
    <x v="1"/>
    <x v="0"/>
    <x v="0"/>
    <x v="1"/>
    <s v="PAGA 11/02/2026"/>
  </r>
  <r>
    <s v="Factura electrónica"/>
    <s v="541b208509b1cc461d7ecf4aeefd828639707d960534545c037a154a3f29c8b5450d16c94a46de5dd1027197e2787510"/>
    <x v="702"/>
    <n v="-1"/>
    <s v="FVE"/>
    <s v="06-02-2026"/>
    <s v="06-02-2026 15:14:35"/>
    <s v="900800595"/>
    <s v="Provexpress SAS"/>
    <s v="901847883"/>
    <x v="3"/>
    <n v="648969.51"/>
    <n v="0"/>
    <n v="0"/>
    <n v="4064598.51"/>
    <s v="Aprobado con notificación"/>
    <s v="Emitido"/>
    <x v="0"/>
    <x v="0"/>
    <x v="0"/>
    <x v="0"/>
    <x v="0"/>
    <x v="0"/>
    <m/>
  </r>
  <r>
    <s v="Factura electrónica"/>
    <s v="6271bcfe294c29a0197af2cdd8d2a1e173310fb294a377ee3f6acb000c33d577ac3695b7d1bbaa14bbedf3661f3a7bc6"/>
    <x v="703"/>
    <n v="-1"/>
    <s v="FVE"/>
    <s v="06-02-2026"/>
    <s v="06-02-2026 15:14:40"/>
    <s v="900800595"/>
    <s v="Provexpress SAS"/>
    <s v="901847883"/>
    <x v="3"/>
    <n v="648969.51"/>
    <n v="0"/>
    <n v="0"/>
    <n v="4064598.51"/>
    <s v="Aprobado con notificación"/>
    <s v="Emitido"/>
    <x v="0"/>
    <x v="0"/>
    <x v="0"/>
    <x v="0"/>
    <x v="0"/>
    <x v="0"/>
    <m/>
  </r>
  <r>
    <s v="Factura electrónica"/>
    <s v="9b1738400b345cedb87df400cbccc080168dd93c39f9bdcce51d5bae86844a3346eb155d2763a05ee327e4c111fbaa37"/>
    <x v="704"/>
    <n v="-1"/>
    <s v="FVE"/>
    <s v="06-02-2026"/>
    <s v="06-02-2026 15:14:45"/>
    <s v="900800595"/>
    <s v="Provexpress SAS"/>
    <s v="800201648"/>
    <x v="318"/>
    <n v="55613.19"/>
    <n v="0"/>
    <n v="0"/>
    <n v="348314.19"/>
    <s v="Aprobado con notificación"/>
    <s v="Emitido"/>
    <x v="1"/>
    <x v="0"/>
    <x v="1"/>
    <x v="0"/>
    <x v="0"/>
    <x v="0"/>
    <m/>
  </r>
  <r>
    <s v="Factura electrónica"/>
    <s v="49dec19792359e920a97de51100d611884a2f6b07fc554b940ea0a9ae2a79d655d5aa70b50c9dc72867f07bd97bc1c0b"/>
    <x v="705"/>
    <n v="-1"/>
    <s v="FVE"/>
    <s v="06-02-2026"/>
    <s v="06-02-2026 15:14:49"/>
    <s v="900800595"/>
    <s v="Provexpress SAS"/>
    <s v="1032409357"/>
    <x v="362"/>
    <n v="45125"/>
    <n v="0"/>
    <n v="0"/>
    <n v="282625"/>
    <s v="Aprobado con notificación"/>
    <s v="Emitido"/>
    <x v="0"/>
    <x v="0"/>
    <x v="1"/>
    <x v="0"/>
    <x v="0"/>
    <x v="1"/>
    <s v="PAGA 24/02/2026"/>
  </r>
  <r>
    <s v="Factura electrónica"/>
    <s v="6680fa27bbcf18c2f0fb9d4d6f574a339e25586750cc8aba5467e1906eb2de54953fba589df35b2e261bbafa16a8bb05"/>
    <x v="706"/>
    <n v="-1"/>
    <s v="FVE"/>
    <s v="06-02-2026"/>
    <s v="06-02-2026 15:14:54"/>
    <s v="900800595"/>
    <s v="Provexpress SAS"/>
    <s v="900228543"/>
    <x v="363"/>
    <n v="58738.5"/>
    <n v="0"/>
    <n v="0"/>
    <n v="367888.5"/>
    <s v="Aprobado con notificación"/>
    <s v="Emitido"/>
    <x v="0"/>
    <x v="0"/>
    <x v="1"/>
    <x v="0"/>
    <x v="0"/>
    <x v="1"/>
    <s v="PAGA 9/02/2026"/>
  </r>
  <r>
    <s v="Factura electrónica"/>
    <s v="e7382ecb8cfa6967171c993a352796c066dde8a402d3d4c223a8453ab56cf381181edb2652f2d6441cdbaecfea55afb1"/>
    <x v="707"/>
    <n v="-1"/>
    <s v="FVE"/>
    <s v="06-02-2026"/>
    <s v="06-02-2026 15:30:06"/>
    <s v="900800595"/>
    <s v="Provexpress SAS"/>
    <s v="830088759"/>
    <x v="95"/>
    <n v="171570"/>
    <n v="0"/>
    <n v="0"/>
    <n v="1074570"/>
    <s v="Aprobado con notificación"/>
    <s v="Emitido"/>
    <x v="0"/>
    <x v="0"/>
    <x v="1"/>
    <x v="0"/>
    <x v="1"/>
    <x v="0"/>
    <m/>
  </r>
  <r>
    <s v="Factura electrónica"/>
    <s v="01b1bd6f52c2751a3ff916eb67f9b074b52653db759f1373b53cb7c2a330118a8e1535e5f632c9bb5209c5a747c6bf2b"/>
    <x v="708"/>
    <n v="-1"/>
    <s v="FVE"/>
    <s v="06-02-2026"/>
    <s v="06-02-2026 15:30:11"/>
    <s v="900800595"/>
    <s v="Provexpress SAS"/>
    <s v="860504410"/>
    <x v="364"/>
    <n v="147986.82"/>
    <n v="0"/>
    <n v="0"/>
    <n v="926864.82"/>
    <s v="Aprobado con notificación"/>
    <s v="Emitido"/>
    <x v="0"/>
    <x v="0"/>
    <x v="1"/>
    <x v="0"/>
    <x v="1"/>
    <x v="0"/>
    <m/>
  </r>
  <r>
    <s v="Factura electrónica"/>
    <s v="8e078107aba88be42b610c65234de4a6330ff4d1ac8b2c700a420f7fc2d915976525863e4c1e42fbc8bebbdc5289060e"/>
    <x v="709"/>
    <n v="-1"/>
    <s v="FVE"/>
    <s v="06-02-2026"/>
    <s v="06-02-2026 15:30:17"/>
    <s v="900800595"/>
    <s v="Provexpress SAS"/>
    <s v="800024265"/>
    <x v="24"/>
    <n v="1463988"/>
    <n v="0"/>
    <n v="0"/>
    <n v="11165485"/>
    <s v="Aprobado con notificación"/>
    <s v="Emitido"/>
    <x v="1"/>
    <x v="0"/>
    <x v="1"/>
    <x v="0"/>
    <x v="0"/>
    <x v="0"/>
    <m/>
  </r>
  <r>
    <s v="Factura electrónica"/>
    <s v="8b2a70552064d097fe6cc818a387956c925dc3a59f9459621fbf40a69eb1e95b729acd6ffeca54b1d513c9549dfee027"/>
    <x v="710"/>
    <n v="-1"/>
    <s v="FVE"/>
    <s v="06-02-2026"/>
    <s v="06-02-2026 15:54:00"/>
    <s v="900800595"/>
    <s v="Provexpress SAS"/>
    <s v="860075558"/>
    <x v="260"/>
    <n v="289104"/>
    <n v="0"/>
    <n v="0"/>
    <n v="1810704"/>
    <s v="Aprobado con notificación"/>
    <s v="Emitido"/>
    <x v="0"/>
    <x v="1"/>
    <x v="1"/>
    <x v="0"/>
    <x v="0"/>
    <x v="0"/>
    <m/>
  </r>
  <r>
    <s v="Factura electrónica"/>
    <s v="336768f75d468107f73bd5452300853296d7d5efe76309e9208c3d7d4e4c1cb81dbddf45a674a888fbcbcb08453b6dbf"/>
    <x v="711"/>
    <n v="-1"/>
    <s v="FVE"/>
    <s v="06-02-2026"/>
    <s v="06-02-2026 15:54:27"/>
    <s v="900800595"/>
    <s v="Provexpress SAS"/>
    <s v="900081559"/>
    <x v="365"/>
    <n v="540177.6"/>
    <n v="0"/>
    <n v="0"/>
    <n v="3383217.6"/>
    <s v="Aprobado con notificación"/>
    <s v="Emitido"/>
    <x v="0"/>
    <x v="0"/>
    <x v="1"/>
    <x v="0"/>
    <x v="1"/>
    <x v="0"/>
    <m/>
  </r>
  <r>
    <s v="Factura electrónica"/>
    <s v="e52dae784e4c4c672a8db1f15f8950cd0ded4e0d04e4af2fb9fbc47d4f69407279ba6e1ba90c22891a9c09c0450cb3a4"/>
    <x v="712"/>
    <n v="-1"/>
    <s v="FVE"/>
    <s v="06-02-2026"/>
    <s v="06-02-2026 16:15:06"/>
    <s v="900800595"/>
    <s v="Provexpress SAS"/>
    <s v="900208445"/>
    <x v="67"/>
    <n v="22245"/>
    <n v="0"/>
    <n v="0"/>
    <n v="252945"/>
    <s v="Aprobado con notificación"/>
    <s v="Emitido"/>
    <x v="1"/>
    <x v="0"/>
    <x v="1"/>
    <x v="0"/>
    <x v="0"/>
    <x v="0"/>
    <m/>
  </r>
  <r>
    <s v="Factura electrónica"/>
    <s v="2873d009f00dc61831f491e88309c66ccf1ef5f6b5f4d6f7f2ff45f1184f66b517dbd757f08901d3eba10108a50fe963"/>
    <x v="713"/>
    <n v="-1"/>
    <s v="FVE"/>
    <s v="06-02-2026"/>
    <s v="06-02-2026 16:15:11"/>
    <s v="900800595"/>
    <s v="Provexpress SAS"/>
    <s v="901847883"/>
    <x v="3"/>
    <n v="72267.83"/>
    <n v="0"/>
    <n v="0"/>
    <n v="452624.83"/>
    <s v="Aprobado con notificación"/>
    <s v="Emitido"/>
    <x v="0"/>
    <x v="0"/>
    <x v="0"/>
    <x v="0"/>
    <x v="0"/>
    <x v="0"/>
    <m/>
  </r>
  <r>
    <s v="Factura electrónica"/>
    <s v="9148524833358396424d87291136a3556d1b2ef3c0dfe310346a14c4d23590ca97c6ad8f0ed3f8d9fb9d91e646f864c4"/>
    <x v="714"/>
    <n v="-1"/>
    <s v="FVE"/>
    <s v="06-02-2026"/>
    <s v="06-02-2026 16:15:12"/>
    <s v="900800595"/>
    <s v="Provexpress SAS"/>
    <s v="860003020"/>
    <x v="366"/>
    <n v="203466.06"/>
    <n v="0"/>
    <n v="0"/>
    <n v="1274340.06"/>
    <s v="Aprobado con notificación"/>
    <s v="Emitido"/>
    <x v="0"/>
    <x v="0"/>
    <x v="1"/>
    <x v="0"/>
    <x v="1"/>
    <x v="0"/>
    <m/>
  </r>
  <r>
    <s v="Factura electrónica"/>
    <s v="dd3921dba8f76df33015e2de714f403a32356b1e0708a3504b261c6542126b52cbb30aa4b77f24dfb0de0b9846559a4f"/>
    <x v="715"/>
    <n v="-1"/>
    <s v="FVE"/>
    <s v="06-02-2026"/>
    <s v="06-02-2026 16:34:52"/>
    <s v="900800595"/>
    <s v="Provexpress SAS"/>
    <s v="900597369"/>
    <x v="152"/>
    <n v="66500"/>
    <n v="0"/>
    <n v="0"/>
    <n v="416500"/>
    <s v="Aprobado con notificación"/>
    <s v="Emitido"/>
    <x v="1"/>
    <x v="0"/>
    <x v="1"/>
    <x v="0"/>
    <x v="0"/>
    <x v="0"/>
    <m/>
  </r>
  <r>
    <s v="Factura electrónica"/>
    <s v="42f4cd77ec59de26ef4abf5bc84014960f9ae67eefe3c8ade50db4e3f69b3a33e2e25c9ce5bd4de243696c7a4a848d3f"/>
    <x v="716"/>
    <n v="-1"/>
    <s v="FVE"/>
    <s v="06-02-2026"/>
    <s v="06-02-2026 16:34:51"/>
    <s v="900800595"/>
    <s v="Provexpress SAS"/>
    <s v="800028326"/>
    <x v="79"/>
    <n v="842650"/>
    <n v="0"/>
    <n v="0"/>
    <n v="5277650"/>
    <s v="Aprobado con notificación"/>
    <s v="Emitido"/>
    <x v="0"/>
    <x v="0"/>
    <x v="0"/>
    <x v="0"/>
    <x v="0"/>
    <x v="0"/>
    <m/>
  </r>
  <r>
    <s v="Factura electrónica"/>
    <s v="d44313fb9dfba66571e73eb7b115f37c0b201ab25a54cc1d1e4c4eeff9f13f8a275b4b8cfd4d762add14de0eb3d51a44"/>
    <x v="717"/>
    <n v="-1"/>
    <s v="FVE"/>
    <s v="06-02-2026"/>
    <s v="06-02-2026 16:35:27"/>
    <s v="900800595"/>
    <s v="Provexpress SAS"/>
    <s v="900180801"/>
    <x v="285"/>
    <n v="710980"/>
    <n v="0"/>
    <n v="0"/>
    <n v="4452980"/>
    <s v="Aprobado con notificación"/>
    <s v="Emitido"/>
    <x v="0"/>
    <x v="0"/>
    <x v="1"/>
    <x v="0"/>
    <x v="1"/>
    <x v="0"/>
    <m/>
  </r>
  <r>
    <s v="Factura electrónica"/>
    <s v="f70c563924d15df002200f83a5bf4bfefe1644b5946b045b5c46d89411b04f9b976cefff924bcc9ff598fd4f5230cc4d"/>
    <x v="718"/>
    <n v="-1"/>
    <s v="FVE"/>
    <s v="06-02-2026"/>
    <s v="06-02-2026 16:35:02"/>
    <s v="900800595"/>
    <s v="Provexpress SAS"/>
    <s v="900143055"/>
    <x v="367"/>
    <n v="542260"/>
    <n v="0"/>
    <n v="0"/>
    <n v="3396260"/>
    <s v="Aprobado con notificación"/>
    <s v="Emitido"/>
    <x v="0"/>
    <x v="0"/>
    <x v="1"/>
    <x v="0"/>
    <x v="0"/>
    <x v="1"/>
    <s v="PAGA 11/02/2026"/>
  </r>
  <r>
    <s v="Factura electrónica"/>
    <s v="f0097a078e8fc3085d22befad4a416851b4085ec4b399c1f79b1eba40f4be701b7790110e895162681a175506de76803"/>
    <x v="719"/>
    <n v="-1"/>
    <s v="FVE"/>
    <s v="06-02-2026"/>
    <s v="06-02-2026 16:35:06"/>
    <s v="900800595"/>
    <s v="Provexpress SAS"/>
    <s v="830135173"/>
    <x v="368"/>
    <n v="76760"/>
    <n v="0"/>
    <n v="0"/>
    <n v="480760"/>
    <s v="Aprobado con notificación"/>
    <s v="Emitido"/>
    <x v="0"/>
    <x v="0"/>
    <x v="0"/>
    <x v="0"/>
    <x v="0"/>
    <x v="0"/>
    <m/>
  </r>
  <r>
    <s v="Factura electrónica"/>
    <s v="13ebc5ab196d87bdc646d4efb91c8be29a8dfee40d6fa94ccaa7d631544d55da737dbb93acb3f13449371700bb114703"/>
    <x v="720"/>
    <n v="-1"/>
    <s v="FVE"/>
    <s v="09-02-2026"/>
    <s v="09-02-2026 08:07:07"/>
    <s v="900800595"/>
    <s v="Provexpress SAS"/>
    <s v="860533413"/>
    <x v="30"/>
    <n v="2048200"/>
    <n v="0"/>
    <n v="0"/>
    <n v="12828200"/>
    <s v="Aprobado con notificación"/>
    <s v="Emitido"/>
    <x v="1"/>
    <x v="0"/>
    <x v="1"/>
    <x v="0"/>
    <x v="0"/>
    <x v="0"/>
    <m/>
  </r>
  <r>
    <s v="Factura electrónica"/>
    <s v="1fea9c47dec83f84bec3936055025b3bb1ec58c15d271949203a3140ae6044faadc3fdbc97d1eb7c1a656ab91751e343"/>
    <x v="721"/>
    <n v="-1"/>
    <s v="FVE"/>
    <s v="09-02-2026"/>
    <s v="09-02-2026 08:07:10"/>
    <s v="900800595"/>
    <s v="Provexpress SAS"/>
    <s v="800251760"/>
    <x v="369"/>
    <n v="1746537"/>
    <n v="0"/>
    <n v="0"/>
    <n v="10938837"/>
    <s v="Aprobado con notificación"/>
    <s v="Emitido"/>
    <x v="1"/>
    <x v="0"/>
    <x v="1"/>
    <x v="0"/>
    <x v="0"/>
    <x v="0"/>
    <m/>
  </r>
  <r>
    <s v="Factura electrónica"/>
    <s v="54c960ae61684ba096e70ce6a8d08ed28129a9cc443f6740e58e678fc7b34019e390abbcd26e9ad5155e43b9b9feb853"/>
    <x v="722"/>
    <n v="-1"/>
    <s v="FVE"/>
    <s v="09-02-2026"/>
    <s v="09-02-2026 08:22:16"/>
    <s v="900800595"/>
    <s v="Provexpress SAS"/>
    <s v="817001672"/>
    <x v="64"/>
    <n v="45923"/>
    <n v="0"/>
    <n v="0"/>
    <n v="287623"/>
    <s v="Aprobado con notificación"/>
    <s v="Emitido"/>
    <x v="0"/>
    <x v="0"/>
    <x v="0"/>
    <x v="0"/>
    <x v="0"/>
    <x v="0"/>
    <m/>
  </r>
  <r>
    <s v="Factura electrónica"/>
    <s v="7f67102ba652bccca876617d8be5956f7e6a801ca2267fe60880b75cef540e88cc65816937d0c9571e2b5f6214436a29"/>
    <x v="723"/>
    <n v="-1"/>
    <s v="FVE"/>
    <s v="09-02-2026"/>
    <s v="09-02-2026 08:22:21"/>
    <s v="900800595"/>
    <s v="Provexpress SAS"/>
    <s v="800090263"/>
    <x v="299"/>
    <n v="181205"/>
    <n v="0"/>
    <n v="0"/>
    <n v="1943305"/>
    <s v="Aprobado con notificación"/>
    <s v="Emitido"/>
    <x v="0"/>
    <x v="0"/>
    <x v="1"/>
    <x v="0"/>
    <x v="1"/>
    <x v="0"/>
    <m/>
  </r>
  <r>
    <s v="Factura electrónica"/>
    <s v="db86ab066111ab140a4072105248ab6594f0ec9e239905756670c9ced74ac072ca36d7cc69f0ac85151646c985c13862"/>
    <x v="724"/>
    <n v="-1"/>
    <s v="FVE"/>
    <s v="09-02-2026"/>
    <s v="09-02-2026 08:22:26"/>
    <s v="900800595"/>
    <s v="Provexpress SAS"/>
    <s v="901192317"/>
    <x v="370"/>
    <n v="91437.5"/>
    <n v="0"/>
    <n v="0"/>
    <n v="572687.5"/>
    <s v="Aprobado con notificación"/>
    <s v="Emitido"/>
    <x v="0"/>
    <x v="0"/>
    <x v="1"/>
    <x v="0"/>
    <x v="1"/>
    <x v="0"/>
    <m/>
  </r>
  <r>
    <s v="Factura electrónica"/>
    <s v="bed699ced69bf25c4996a7393010f1bb7881fd80ecd4f40aec0ad2037a7b265114d3f5b28ed1e8bf4ba79e1fe60c598c"/>
    <x v="725"/>
    <n v="-1"/>
    <s v="FVE"/>
    <s v="09-02-2026"/>
    <s v="09-02-2026 08:22:31"/>
    <s v="900800595"/>
    <s v="Provexpress SAS"/>
    <s v="860024986"/>
    <x v="298"/>
    <n v="811436.7"/>
    <n v="0"/>
    <n v="0"/>
    <n v="7856366.7000000002"/>
    <s v="Aprobado con notificación"/>
    <s v="Emitido"/>
    <x v="1"/>
    <x v="0"/>
    <x v="1"/>
    <x v="0"/>
    <x v="0"/>
    <x v="0"/>
    <m/>
  </r>
  <r>
    <s v="Factura electrónica"/>
    <s v="6a982006198fdf98ca9d6152da670460444db8b1e02b62db01cba09d58efac6a54ea362703336e7d4a564334c151b85f"/>
    <x v="726"/>
    <n v="-1"/>
    <s v="FVE"/>
    <s v="09-02-2026"/>
    <s v="09-02-2026 08:38:56"/>
    <s v="900800595"/>
    <s v="Provexpress SAS"/>
    <s v="830096376"/>
    <x v="62"/>
    <n v="38218.5"/>
    <n v="0"/>
    <n v="0"/>
    <n v="239368.5"/>
    <s v="Aprobado con notificación"/>
    <s v="Emitido"/>
    <x v="1"/>
    <x v="0"/>
    <x v="1"/>
    <x v="0"/>
    <x v="0"/>
    <x v="0"/>
    <m/>
  </r>
  <r>
    <s v="Factura electrónica"/>
    <s v="51e28e3f675082bc50e11a4b95759fce357e627eac98d8e3342ce0b5774aec69271d027bebf218c7e54cbc0452e86bc3"/>
    <x v="727"/>
    <n v="-1"/>
    <s v="FVE"/>
    <s v="09-02-2026"/>
    <s v="09-02-2026 09:22:48"/>
    <s v="900800595"/>
    <s v="Provexpress SAS"/>
    <s v="900050036"/>
    <x v="122"/>
    <n v="75976.25"/>
    <n v="0"/>
    <n v="0"/>
    <n v="475851.25"/>
    <s v="Aprobado con notificación"/>
    <s v="Emitido"/>
    <x v="0"/>
    <x v="0"/>
    <x v="1"/>
    <x v="0"/>
    <x v="1"/>
    <x v="0"/>
    <m/>
  </r>
  <r>
    <s v="Factura electrónica"/>
    <s v="b7dbcf149f1c17e8c4dd7d3f911349f07bb8cb59063d28a4e64a5c7035e5bbe89399830addf8463b374b8b71f57af80b"/>
    <x v="728"/>
    <n v="-1"/>
    <s v="FVE"/>
    <s v="09-02-2026"/>
    <s v="09-02-2026 09:22:52"/>
    <s v="900800595"/>
    <s v="Provexpress SAS"/>
    <s v="860021666"/>
    <x v="371"/>
    <n v="293174.56"/>
    <n v="0"/>
    <n v="0"/>
    <n v="1836198.56"/>
    <s v="Aprobado con notificación"/>
    <s v="Emitido"/>
    <x v="0"/>
    <x v="0"/>
    <x v="1"/>
    <x v="0"/>
    <x v="0"/>
    <x v="1"/>
    <s v="PAGA 27/02/2026"/>
  </r>
  <r>
    <s v="Factura electrónica"/>
    <s v="ba7d23ec9e8c43be5c693efa83f4f7e3ba5140bed5f2ee16d3ed6e3d09460254bea75aef25f9983a04a2a55e97492bd3"/>
    <x v="729"/>
    <n v="-1"/>
    <s v="FVE"/>
    <s v="09-02-2026"/>
    <s v="09-02-2026 09:22:55"/>
    <s v="900800595"/>
    <s v="Provexpress SAS"/>
    <s v="900498940"/>
    <x v="120"/>
    <n v="18657.810000000001"/>
    <n v="0"/>
    <n v="0"/>
    <n v="125808.81"/>
    <s v="Aprobado con notificación"/>
    <s v="Emitido"/>
    <x v="0"/>
    <x v="0"/>
    <x v="0"/>
    <x v="0"/>
    <x v="0"/>
    <x v="1"/>
    <s v="PAGA 2/03/2026"/>
  </r>
  <r>
    <s v="Factura electrónica"/>
    <s v="3de6076025fe8a4505a00b9e6cc5d23a12e7ec630f6dcd2ecc7d9d03336473a78822375fc8343be883b52800f1134d3a"/>
    <x v="730"/>
    <n v="-1"/>
    <s v="FVE"/>
    <s v="09-02-2026"/>
    <s v="09-02-2026 09:23:03"/>
    <s v="900800595"/>
    <s v="Provexpress SAS"/>
    <s v="900206480"/>
    <x v="219"/>
    <n v="584374.26"/>
    <n v="0"/>
    <n v="0"/>
    <n v="3660028.26"/>
    <s v="Aprobado con notificación"/>
    <s v="Emitido"/>
    <x v="0"/>
    <x v="0"/>
    <x v="1"/>
    <x v="0"/>
    <x v="0"/>
    <x v="0"/>
    <m/>
  </r>
  <r>
    <s v="Factura electrónica"/>
    <s v="3a41131f99055c8b489d6d242c84f985f7c686adbeb664d182efa0a96022594e8f75700ed8b533940b44f86c8c6bd7c7"/>
    <x v="731"/>
    <n v="-1"/>
    <s v="FVE"/>
    <s v="09-02-2026"/>
    <s v="09-02-2026 09:23:06"/>
    <s v="900800595"/>
    <s v="Provexpress SAS"/>
    <s v="830080641"/>
    <x v="110"/>
    <n v="391590"/>
    <n v="0"/>
    <n v="0"/>
    <n v="2452590"/>
    <s v="Aprobado con notificación"/>
    <s v="Emitido"/>
    <x v="0"/>
    <x v="0"/>
    <x v="0"/>
    <x v="0"/>
    <x v="0"/>
    <x v="0"/>
    <m/>
  </r>
  <r>
    <s v="Factura electrónica"/>
    <s v="eccc842efa4a92140ea78754525f644ed37d75c023e8a05240a72716926641595c3fe4cbe435d086afa8975933f12c64"/>
    <x v="732"/>
    <n v="-1"/>
    <s v="FVE"/>
    <s v="09-02-2026"/>
    <s v="09-02-2026 09:23:09"/>
    <s v="900800595"/>
    <s v="Provexpress SAS"/>
    <s v="900326523"/>
    <x v="372"/>
    <n v="71630"/>
    <n v="0"/>
    <n v="0"/>
    <n v="448630"/>
    <s v="Aprobado con notificación"/>
    <s v="Emitido"/>
    <x v="0"/>
    <x v="0"/>
    <x v="1"/>
    <x v="0"/>
    <x v="1"/>
    <x v="0"/>
    <m/>
  </r>
  <r>
    <s v="Factura electrónica"/>
    <s v="9b9a06af748eac886c2db5552f3c76a4ceaa2e5ac6ef4cf2d94d31b7a6a9dc9baecae4db1e2a85906d7a36b67157b3cb"/>
    <x v="733"/>
    <n v="-1"/>
    <s v="FVE"/>
    <s v="09-02-2026"/>
    <s v="09-02-2026 09:23:14"/>
    <s v="900800595"/>
    <s v="Provexpress SAS"/>
    <s v="860503565"/>
    <x v="373"/>
    <n v="635778"/>
    <n v="0"/>
    <n v="0"/>
    <n v="3981978"/>
    <s v="Aprobado con notificación"/>
    <s v="Emitido"/>
    <x v="0"/>
    <x v="0"/>
    <x v="1"/>
    <x v="0"/>
    <x v="1"/>
    <x v="0"/>
    <m/>
  </r>
  <r>
    <s v="Factura electrónica"/>
    <s v="091b82a39463330b18bf8716f288f64abe2235b3059e490aa1cca238a389e939125f27d12dfef336a95a89ea28a6562f"/>
    <x v="734"/>
    <n v="-1"/>
    <s v="FVE"/>
    <s v="09-02-2026"/>
    <s v="09-02-2026 09:38:30"/>
    <s v="900800595"/>
    <s v="Provexpress SAS"/>
    <s v="900418860"/>
    <x v="354"/>
    <n v="0"/>
    <n v="0"/>
    <n v="0"/>
    <n v="505000"/>
    <s v="Aprobado con notificación"/>
    <s v="Emitido"/>
    <x v="0"/>
    <x v="0"/>
    <x v="1"/>
    <x v="0"/>
    <x v="1"/>
    <x v="0"/>
    <m/>
  </r>
  <r>
    <s v="Factura electrónica"/>
    <s v="79886d0027187a1b29b76c6a492af8de4937f932d80456a9f676a90a5aae59a8d1e5fa0920fb0ebf93277dba0bcaa583"/>
    <x v="735"/>
    <n v="-1"/>
    <s v="FVE"/>
    <s v="09-02-2026"/>
    <s v="09-02-2026 09:38:34"/>
    <s v="900800595"/>
    <s v="Provexpress SAS"/>
    <s v="900348766"/>
    <x v="374"/>
    <n v="113463.44"/>
    <n v="0"/>
    <n v="0"/>
    <n v="710639.44"/>
    <s v="Aprobado con notificación"/>
    <s v="Emitido"/>
    <x v="0"/>
    <x v="0"/>
    <x v="1"/>
    <x v="0"/>
    <x v="1"/>
    <x v="0"/>
    <m/>
  </r>
  <r>
    <s v="Factura electrónica"/>
    <s v="332cb3464205ad346251a7ca4be7145400d4cba3a81c3328bd3b1e854ae8277de85cf85a19d23d534282817a74c947fa"/>
    <x v="736"/>
    <n v="-1"/>
    <s v="FVE"/>
    <s v="09-02-2026"/>
    <s v="09-02-2026 09:54:03"/>
    <s v="900800595"/>
    <s v="Provexpress SAS"/>
    <s v="901239345"/>
    <x v="375"/>
    <n v="131836.06"/>
    <n v="0"/>
    <n v="0"/>
    <n v="838305.06"/>
    <s v="Aprobado con notificación"/>
    <s v="Emitido"/>
    <x v="0"/>
    <x v="0"/>
    <x v="1"/>
    <x v="0"/>
    <x v="1"/>
    <x v="0"/>
    <m/>
  </r>
  <r>
    <s v="Factura electrónica"/>
    <s v="4217375cea7131d989a06c2736232a948ac8893ae2d67726482ac5c94c93924f9ae551b7fc3b2dabfbb7cfac9e5f1ec9"/>
    <x v="737"/>
    <n v="-1"/>
    <s v="FVE"/>
    <s v="09-02-2026"/>
    <s v="09-02-2026 10:08:48"/>
    <s v="900800595"/>
    <s v="Provexpress SAS"/>
    <s v="900533680"/>
    <x v="376"/>
    <n v="3527673"/>
    <n v="0"/>
    <n v="0"/>
    <n v="22094373"/>
    <s v="Aprobado con notificación"/>
    <s v="Emitido"/>
    <x v="0"/>
    <x v="0"/>
    <x v="1"/>
    <x v="0"/>
    <x v="1"/>
    <x v="0"/>
    <m/>
  </r>
  <r>
    <s v="Factura electrónica"/>
    <s v="e21caecca4a2a777e76fc385190c8ea29e40ac97ecf91379130e1283ac1af86959eeb641f6cee51ffb9240e732deafdd"/>
    <x v="738"/>
    <n v="-1"/>
    <s v="FVE"/>
    <s v="09-02-2026"/>
    <s v="09-02-2026 10:23:53"/>
    <s v="900800595"/>
    <s v="Provexpress SAS"/>
    <s v="800130426"/>
    <x v="149"/>
    <n v="1428353.12"/>
    <n v="0"/>
    <n v="0"/>
    <n v="8946001.1199999992"/>
    <s v="Aprobado con notificación"/>
    <s v="Emitido"/>
    <x v="1"/>
    <x v="0"/>
    <x v="1"/>
    <x v="0"/>
    <x v="0"/>
    <x v="0"/>
    <m/>
  </r>
  <r>
    <s v="Factura electrónica"/>
    <s v="67744b880cf3233d29c738207c11c60c601fc2ca700661018d5a83de7529d357278fd9bad0e93404ddf5e7f3736aef69"/>
    <x v="739"/>
    <n v="-1"/>
    <s v="FVE"/>
    <s v="09-02-2026"/>
    <s v="09-02-2026 10:23:58"/>
    <s v="900800595"/>
    <s v="Provexpress SAS"/>
    <s v="860510627"/>
    <x v="377"/>
    <n v="0"/>
    <n v="0"/>
    <n v="0"/>
    <n v="5283961.54"/>
    <s v="Aprobado con notificación"/>
    <s v="Emitido"/>
    <x v="0"/>
    <x v="0"/>
    <x v="1"/>
    <x v="0"/>
    <x v="0"/>
    <x v="1"/>
    <s v="PAGA 20/02/2026"/>
  </r>
  <r>
    <s v="Factura electrónica"/>
    <s v="2a75b5e7171ebef7455b7d970918fdfd2a24c357c9c86515327062787c772e677b666e7c2e6ca894b0c5b276c449276b"/>
    <x v="740"/>
    <n v="-1"/>
    <s v="FVE"/>
    <s v="09-02-2026"/>
    <s v="09-02-2026 10:24:03"/>
    <s v="900800595"/>
    <s v="Provexpress SAS"/>
    <s v="900833971"/>
    <x v="378"/>
    <n v="502673.5"/>
    <n v="0"/>
    <n v="0"/>
    <n v="10038423.5"/>
    <s v="Aprobado con notificación"/>
    <s v="Emitido"/>
    <x v="0"/>
    <x v="0"/>
    <x v="1"/>
    <x v="0"/>
    <x v="1"/>
    <x v="1"/>
    <s v="PAGA 2/03/2026"/>
  </r>
  <r>
    <s v="Factura electrónica"/>
    <s v="82654bc405fb82726c2c26d3b5d467cc76b9f87ada368af0facd0863e4a92a1a83ceb42743f3bc975b84192218912ac9"/>
    <x v="741"/>
    <n v="-1"/>
    <s v="FVE"/>
    <s v="09-02-2026"/>
    <s v="09-02-2026 10:24:08"/>
    <s v="900800595"/>
    <s v="Provexpress SAS"/>
    <s v="901454191"/>
    <x v="379"/>
    <n v="331711.5"/>
    <n v="0"/>
    <n v="0"/>
    <n v="2191411.5"/>
    <s v="Aprobado con notificación"/>
    <s v="Emitido"/>
    <x v="0"/>
    <x v="0"/>
    <x v="1"/>
    <x v="0"/>
    <x v="0"/>
    <x v="1"/>
    <s v="PAGA 11/02/2026"/>
  </r>
  <r>
    <s v="Factura electrónica"/>
    <s v="d6ec8e11b30b4a1be89da77bd0f120452c6401c38dce257a04d1f685bdcd62e4ffad5cadb0f9f9856fa7209cc38aeb5c"/>
    <x v="742"/>
    <n v="-1"/>
    <s v="FVE"/>
    <s v="09-02-2026"/>
    <s v="09-02-2026 10:39:14"/>
    <s v="900800595"/>
    <s v="Provexpress SAS"/>
    <s v="901681272"/>
    <x v="380"/>
    <n v="62020.75"/>
    <n v="0"/>
    <n v="0"/>
    <n v="388445.75"/>
    <s v="Aprobado con notificación"/>
    <s v="Emitido"/>
    <x v="0"/>
    <x v="0"/>
    <x v="1"/>
    <x v="0"/>
    <x v="0"/>
    <x v="1"/>
    <s v="PAGA 11/02/2027"/>
  </r>
  <r>
    <s v="Factura electrónica"/>
    <s v="d1094e04d4c53d91d60e18655d228b27f020af697e731c57344d0b3dfe55abf304a0df5dd6433f7d95ee801efa51e17f"/>
    <x v="743"/>
    <n v="-1"/>
    <s v="FVE"/>
    <s v="09-02-2026"/>
    <s v="09-02-2026 10:54:44"/>
    <s v="900800595"/>
    <s v="Provexpress SAS"/>
    <s v="830033494"/>
    <x v="233"/>
    <n v="26030"/>
    <n v="0"/>
    <n v="0"/>
    <n v="167305"/>
    <s v="Aprobado con notificación"/>
    <s v="Emitido"/>
    <x v="1"/>
    <x v="0"/>
    <x v="1"/>
    <x v="0"/>
    <x v="0"/>
    <x v="0"/>
    <m/>
  </r>
  <r>
    <s v="Factura electrónica"/>
    <s v="9ae17468467453481c0bce5378fe6b12a7badaffe46a0dcffdce8c46e4de8b0d330c0b00f4b8f64be08acb6a1c52c23f"/>
    <x v="744"/>
    <n v="-1"/>
    <s v="FVE"/>
    <s v="09-02-2026"/>
    <s v="09-02-2026 10:54:50"/>
    <s v="900800595"/>
    <s v="Provexpress SAS"/>
    <s v="860059851"/>
    <x v="381"/>
    <n v="35571.42"/>
    <n v="0"/>
    <n v="0"/>
    <n v="222789.42"/>
    <s v="Aprobado con notificación"/>
    <s v="Emitido"/>
    <x v="0"/>
    <x v="0"/>
    <x v="1"/>
    <x v="0"/>
    <x v="1"/>
    <x v="0"/>
    <m/>
  </r>
  <r>
    <s v="Factura electrónica"/>
    <s v="e735219c051e3f384c0e14951d12fff4b8fd8612f9f3be14ad020c87b43ff07f017a91ce49f558d4f984faca124b4288"/>
    <x v="745"/>
    <n v="-1"/>
    <s v="FVE"/>
    <s v="09-02-2026"/>
    <s v="09-02-2026 10:55:04"/>
    <s v="900800595"/>
    <s v="Provexpress SAS"/>
    <s v="900916121"/>
    <x v="5"/>
    <n v="78070.81"/>
    <n v="0"/>
    <n v="0"/>
    <n v="488969.81"/>
    <s v="Aprobado con notificación"/>
    <s v="Emitido"/>
    <x v="0"/>
    <x v="0"/>
    <x v="0"/>
    <x v="0"/>
    <x v="0"/>
    <x v="0"/>
    <m/>
  </r>
  <r>
    <s v="Factura electrónica"/>
    <s v="19ae5fb9a1f98ea2b77951271a40ff73ef8bc8f1c05ad2fce509e6670933f4fa50abd69dca0a9bbba6129707d0fe0593"/>
    <x v="746"/>
    <n v="-1"/>
    <s v="FVE"/>
    <s v="09-02-2026"/>
    <s v="09-02-2026 11:13:29"/>
    <s v="900800595"/>
    <s v="Provexpress SAS"/>
    <s v="860512249"/>
    <x v="382"/>
    <n v="34431.040000000001"/>
    <n v="0"/>
    <n v="0"/>
    <n v="215647.04"/>
    <s v="Aprobado con notificación"/>
    <s v="Emitido"/>
    <x v="0"/>
    <x v="0"/>
    <x v="0"/>
    <x v="0"/>
    <x v="0"/>
    <x v="0"/>
    <m/>
  </r>
  <r>
    <s v="Factura electrónica"/>
    <s v="f1d4a7a3e66919c73b7481b2477f46b3467dab0b588690de132f4a7cd2aa81aff0a1f437a65642ccf4e178425bed24c8"/>
    <x v="747"/>
    <n v="-1"/>
    <s v="FVE"/>
    <s v="09-02-2026"/>
    <s v="09-02-2026 11:13:29"/>
    <s v="900800595"/>
    <s v="Provexpress SAS"/>
    <s v="830021150"/>
    <x v="383"/>
    <n v="36717.99"/>
    <n v="0"/>
    <n v="0"/>
    <n v="342338.99"/>
    <s v="Aprobado con notificación"/>
    <s v="Emitido"/>
    <x v="0"/>
    <x v="0"/>
    <x v="1"/>
    <x v="0"/>
    <x v="0"/>
    <x v="1"/>
    <s v="PAGA 2/03/2026"/>
  </r>
  <r>
    <s v="Factura electrónica"/>
    <s v="f3ce8988029e281fbe76a97da906262deddb7323a3d617e9197ca0b952d915819958acbebebc76d0cdab6eac863e75a0"/>
    <x v="748"/>
    <n v="-1"/>
    <s v="FVE"/>
    <s v="09-02-2026"/>
    <s v="09-02-2026 11:13:31"/>
    <s v="900800595"/>
    <s v="Provexpress SAS"/>
    <s v="900114676"/>
    <x v="384"/>
    <n v="74100"/>
    <n v="0"/>
    <n v="0"/>
    <n v="464100"/>
    <s v="Aprobado con notificación"/>
    <s v="Emitido"/>
    <x v="0"/>
    <x v="0"/>
    <x v="1"/>
    <x v="0"/>
    <x v="1"/>
    <x v="0"/>
    <m/>
  </r>
  <r>
    <s v="Factura electrónica"/>
    <s v="f1cda261a48ed724a4cd3b3e181fbd5541ba528dbb8eda960f383a14b6347b19c9c0b51a5477f582b9a2ba449f2610a4"/>
    <x v="749"/>
    <n v="-1"/>
    <s v="FVE"/>
    <s v="09-02-2026"/>
    <s v="09-02-2026 11:13:29"/>
    <s v="900800595"/>
    <s v="Provexpress SAS"/>
    <s v="860075558"/>
    <x v="260"/>
    <n v="221350"/>
    <n v="0"/>
    <n v="0"/>
    <n v="1386350"/>
    <s v="Aprobado con notificación"/>
    <s v="Emitido"/>
    <x v="0"/>
    <x v="1"/>
    <x v="1"/>
    <x v="0"/>
    <x v="0"/>
    <x v="0"/>
    <m/>
  </r>
  <r>
    <s v="Factura electrónica"/>
    <s v="ff6d666ee6ad5cb773c22f0c49d7e1aae11964e7c39314e8045b01c6ebae04ca5d393d5e7e74c7ce1bd9482fd30bea19"/>
    <x v="750"/>
    <n v="-1"/>
    <s v="FVE"/>
    <s v="09-02-2026"/>
    <s v="09-02-2026 11:13:09"/>
    <s v="900800595"/>
    <s v="Provexpress SAS"/>
    <s v="860039333"/>
    <x v="385"/>
    <n v="51091"/>
    <n v="0"/>
    <n v="0"/>
    <n v="319991"/>
    <s v="Aprobado con notificación"/>
    <s v="Emitido"/>
    <x v="0"/>
    <x v="0"/>
    <x v="0"/>
    <x v="0"/>
    <x v="0"/>
    <x v="0"/>
    <m/>
  </r>
  <r>
    <s v="Factura electrónica"/>
    <s v="2377dea18f33a5fb12ab09441df1ec032d066b51d6d0146d22490af0fd8d0e067ec2097890ab74bcf76898e6d619c64b"/>
    <x v="751"/>
    <n v="-1"/>
    <s v="FVE"/>
    <s v="09-02-2026"/>
    <s v="09-02-2026 11:13:31"/>
    <s v="900800595"/>
    <s v="Provexpress SAS"/>
    <s v="860055557"/>
    <x v="386"/>
    <n v="83220"/>
    <n v="0"/>
    <n v="0"/>
    <n v="521220"/>
    <s v="Aprobado con notificación"/>
    <s v="Emitido"/>
    <x v="1"/>
    <x v="0"/>
    <x v="1"/>
    <x v="0"/>
    <x v="0"/>
    <x v="0"/>
    <m/>
  </r>
  <r>
    <s v="Factura electrónica"/>
    <s v="c1aed83e7adfde1bb25233e5a8063734bc479e50fa195581900649dcfcd74c9e2a35e8eb5969326cf4cebaa0a8533f1b"/>
    <x v="752"/>
    <n v="-1"/>
    <s v="FVE"/>
    <s v="09-02-2026"/>
    <s v="09-02-2026 11:34:38"/>
    <s v="900800595"/>
    <s v="Provexpress SAS"/>
    <s v="800028326"/>
    <x v="79"/>
    <n v="879320"/>
    <n v="0"/>
    <n v="0"/>
    <n v="5507320"/>
    <s v="Aprobado con notificación"/>
    <s v="Emitido"/>
    <x v="0"/>
    <x v="0"/>
    <x v="0"/>
    <x v="0"/>
    <x v="0"/>
    <x v="0"/>
    <m/>
  </r>
  <r>
    <s v="Factura electrónica"/>
    <s v="bc1211e1426566eca0e5767bf97fd2566ebadb44f24c7fefc786e4b3bca29a9c70beb9b183a4497867d037a5e3cd358e"/>
    <x v="753"/>
    <n v="-1"/>
    <s v="FVE"/>
    <s v="09-02-2026"/>
    <s v="09-02-2026 11:34:40"/>
    <s v="900800595"/>
    <s v="Provexpress SAS"/>
    <s v="800028326"/>
    <x v="79"/>
    <n v="879320"/>
    <n v="0"/>
    <n v="0"/>
    <n v="5507320"/>
    <s v="Aprobado con notificación"/>
    <s v="Emitido"/>
    <x v="0"/>
    <x v="0"/>
    <x v="0"/>
    <x v="0"/>
    <x v="0"/>
    <x v="0"/>
    <m/>
  </r>
  <r>
    <s v="Factura electrónica"/>
    <s v="4cb8fdd0abe605fde30d47bc1eb14bd3249fb1f461a7e2543618fa03c2241f450bfc9770e9303ec8693dbdfa11614e00"/>
    <x v="754"/>
    <n v="-1"/>
    <s v="FVE"/>
    <s v="09-02-2026"/>
    <s v="09-02-2026 11:34:40"/>
    <s v="900800595"/>
    <s v="Provexpress SAS"/>
    <s v="800028326"/>
    <x v="79"/>
    <n v="879320"/>
    <n v="0"/>
    <n v="0"/>
    <n v="5507320"/>
    <s v="Aprobado con notificación"/>
    <s v="Emitido"/>
    <x v="0"/>
    <x v="0"/>
    <x v="0"/>
    <x v="0"/>
    <x v="0"/>
    <x v="0"/>
    <m/>
  </r>
  <r>
    <s v="Factura electrónica"/>
    <s v="c08c2c906e3f6fed36c2d49c7c01b615137d8b3aa8e74d88c8470e8003f638d3f450a3085927350f73a97f95b36d5a90"/>
    <x v="755"/>
    <n v="-1"/>
    <s v="FVE"/>
    <s v="09-02-2026"/>
    <s v="09-02-2026 11:50:01"/>
    <s v="900800595"/>
    <s v="Provexpress SAS"/>
    <s v="830061776"/>
    <x v="346"/>
    <n v="773740.8"/>
    <n v="0"/>
    <n v="0"/>
    <n v="4846060.8"/>
    <s v="Aprobado con notificación"/>
    <s v="Emitido"/>
    <x v="0"/>
    <x v="0"/>
    <x v="1"/>
    <x v="0"/>
    <x v="0"/>
    <x v="1"/>
    <s v="PAGA 12/02/2026"/>
  </r>
  <r>
    <s v="Factura electrónica"/>
    <s v="1b580061f7c0fae0738b38f24825405514ca99b9039be23a4e10eb3f34546cb261aca0d9d4338db6213f043b9c80595e"/>
    <x v="756"/>
    <n v="-1"/>
    <s v="FVE"/>
    <s v="09-02-2026"/>
    <s v="09-02-2026 11:50:06"/>
    <s v="900800595"/>
    <s v="Provexpress SAS"/>
    <s v="830047411"/>
    <x v="211"/>
    <n v="5662"/>
    <n v="0"/>
    <n v="0"/>
    <n v="35462"/>
    <s v="Aprobado con notificación"/>
    <s v="Emitido"/>
    <x v="0"/>
    <x v="1"/>
    <x v="1"/>
    <x v="0"/>
    <x v="0"/>
    <x v="0"/>
    <m/>
  </r>
  <r>
    <s v="Factura electrónica"/>
    <s v="4127291cb507507e80af4501c01e5b21e8b66c2106cea67dfdd00e03c8e12259eedf81f1a686dce10a30d70436a96de2"/>
    <x v="757"/>
    <n v="-1"/>
    <s v="FVE"/>
    <s v="09-02-2026"/>
    <s v="09-02-2026 11:50:33"/>
    <s v="900800595"/>
    <s v="Provexpress SAS"/>
    <s v="860510863"/>
    <x v="47"/>
    <n v="17071.5"/>
    <n v="0"/>
    <n v="0"/>
    <n v="106921.5"/>
    <s v="Aprobado con notificación"/>
    <s v="Emitido"/>
    <x v="0"/>
    <x v="1"/>
    <x v="1"/>
    <x v="0"/>
    <x v="0"/>
    <x v="0"/>
    <m/>
  </r>
  <r>
    <s v="Factura electrónica"/>
    <s v="a317bc9ee8add75d13883f9feeb517f05bf08cb4966e420a1c9c86e6c939c615559b475ed94cd99a58dd9677e973115f"/>
    <x v="758"/>
    <n v="-1"/>
    <s v="FVE"/>
    <s v="09-02-2026"/>
    <s v="09-02-2026 11:50:39"/>
    <s v="900800595"/>
    <s v="Provexpress SAS"/>
    <s v="830036108"/>
    <x v="117"/>
    <n v="231078"/>
    <n v="0"/>
    <n v="0"/>
    <n v="1447278"/>
    <s v="Aprobado con notificación"/>
    <s v="Emitido"/>
    <x v="0"/>
    <x v="0"/>
    <x v="0"/>
    <x v="0"/>
    <x v="0"/>
    <x v="0"/>
    <m/>
  </r>
  <r>
    <s v="Factura electrónica"/>
    <s v="93a88257c6a23905f7616ce8054b6d555cf2a81d5765aea94359d0f0974978d8288157c58ad102927f88fe2cf094197c"/>
    <x v="759"/>
    <n v="-1"/>
    <s v="FVE"/>
    <s v="09-02-2026"/>
    <s v="09-02-2026 12:09:21"/>
    <s v="900800595"/>
    <s v="Provexpress SAS"/>
    <s v="800032071"/>
    <x v="387"/>
    <n v="3800"/>
    <n v="0"/>
    <n v="0"/>
    <n v="23800"/>
    <s v="Aprobado con notificación"/>
    <s v="Emitido"/>
    <x v="0"/>
    <x v="0"/>
    <x v="1"/>
    <x v="0"/>
    <x v="1"/>
    <x v="0"/>
    <m/>
  </r>
  <r>
    <s v="Factura electrónica"/>
    <s v="6fd52c450fb51ba6a399254b1e1bedf3af35b3bc653f5aca7a1e405a358acb876cbfba678f1a6eb6c72dec16f419fc32"/>
    <x v="760"/>
    <n v="-1"/>
    <s v="FVE"/>
    <s v="09-02-2026"/>
    <s v="09-02-2026 12:09:28"/>
    <s v="900800595"/>
    <s v="Provexpress SAS"/>
    <s v="800032071"/>
    <x v="387"/>
    <n v="140109.79999999999"/>
    <n v="0"/>
    <n v="0"/>
    <n v="877529.8"/>
    <s v="Aprobado con notificación"/>
    <s v="Emitido"/>
    <x v="0"/>
    <x v="0"/>
    <x v="1"/>
    <x v="0"/>
    <x v="1"/>
    <x v="0"/>
    <m/>
  </r>
  <r>
    <s v="Factura electrónica"/>
    <s v="9b3ae3f87009b54dd02ad28ee7566b24c5d7174b2f896451698cdf31267d4713b12a33a42c0375f070caf83624ea7036"/>
    <x v="761"/>
    <n v="-1"/>
    <s v="FVE"/>
    <s v="09-02-2026"/>
    <s v="09-02-2026 12:09:35"/>
    <s v="900800595"/>
    <s v="Provexpress SAS"/>
    <s v="860510863"/>
    <x v="47"/>
    <n v="18620"/>
    <n v="0"/>
    <n v="0"/>
    <n v="116620"/>
    <s v="Aprobado con notificación"/>
    <s v="Emitido"/>
    <x v="0"/>
    <x v="1"/>
    <x v="1"/>
    <x v="0"/>
    <x v="0"/>
    <x v="0"/>
    <m/>
  </r>
  <r>
    <s v="Factura electrónica"/>
    <s v="ecea0634b877e49e560eb966e1ce74d83e716c6469aa06dc4176c5285096c4fe70e08eed9380903ef415a0d85d1f7ea9"/>
    <x v="762"/>
    <n v="-1"/>
    <s v="FVE"/>
    <s v="09-02-2026"/>
    <s v="09-02-2026 12:10:01"/>
    <s v="900800595"/>
    <s v="Provexpress SAS"/>
    <s v="860009985"/>
    <x v="81"/>
    <n v="62681"/>
    <n v="0"/>
    <n v="0"/>
    <n v="392581"/>
    <s v="Aprobado con notificación"/>
    <s v="Emitido"/>
    <x v="0"/>
    <x v="0"/>
    <x v="1"/>
    <x v="0"/>
    <x v="1"/>
    <x v="0"/>
    <m/>
  </r>
  <r>
    <s v="Factura electrónica"/>
    <s v="3249214d0ac8d7ef8e4c4f955a1f16b53ae43d84305d0e449bd1f9365e2749c81e03445b117f9ee5628940d92de9981e"/>
    <x v="763"/>
    <n v="-1"/>
    <s v="FVE"/>
    <s v="09-02-2026"/>
    <s v="09-02-2026 12:28:06"/>
    <s v="900800595"/>
    <s v="Provexpress SAS"/>
    <s v="800092198"/>
    <x v="388"/>
    <n v="2639670"/>
    <n v="0"/>
    <n v="0"/>
    <n v="16532670"/>
    <s v="Aprobado con notificación"/>
    <s v="Emitido"/>
    <x v="0"/>
    <x v="0"/>
    <x v="1"/>
    <x v="0"/>
    <x v="0"/>
    <x v="1"/>
    <s v="PAGA 24/02/2026"/>
  </r>
  <r>
    <s v="Factura electrónica"/>
    <s v="6217219f82a8fe3fc96ed3e8d90ab25cbb6da16b5c368728363cc0c27e68ef8775701784ce444c821fb3211e3ab00e8c"/>
    <x v="764"/>
    <n v="-1"/>
    <s v="FVE"/>
    <s v="09-02-2026"/>
    <s v="09-02-2026 12:41:03"/>
    <s v="900800595"/>
    <s v="Provexpress SAS"/>
    <s v="900103457"/>
    <x v="389"/>
    <n v="135660"/>
    <n v="0"/>
    <n v="0"/>
    <n v="849660"/>
    <s v="Aprobado con notificación"/>
    <s v="Emitido"/>
    <x v="0"/>
    <x v="0"/>
    <x v="0"/>
    <x v="0"/>
    <x v="0"/>
    <x v="0"/>
    <m/>
  </r>
  <r>
    <s v="Factura electrónica"/>
    <s v="8bdfa0ddcbfa3ba2a5e55558e47759d447d982fe934df64eb184e07fdeb306da14fba0a8e4daf174dd5143bc1c730e4f"/>
    <x v="765"/>
    <n v="-1"/>
    <s v="FVE"/>
    <s v="09-02-2026"/>
    <s v="09-02-2026 12:41:05"/>
    <s v="900800595"/>
    <s v="Provexpress SAS"/>
    <s v="800116871"/>
    <x v="204"/>
    <n v="0"/>
    <n v="0"/>
    <n v="0"/>
    <n v="1720000"/>
    <s v="Aprobado con notificación"/>
    <s v="Emitido"/>
    <x v="0"/>
    <x v="0"/>
    <x v="1"/>
    <x v="0"/>
    <x v="0"/>
    <x v="1"/>
    <s v="PAGA 16/02/2026"/>
  </r>
  <r>
    <s v="Factura electrónica"/>
    <s v="0447746b3e8250792c2f2c51c67a074d2a1d2555a93515cb5aeacd694e0c1487ed1eeb34b56636edbe02d6ea425bf8b3"/>
    <x v="766"/>
    <n v="-1"/>
    <s v="FVE"/>
    <s v="09-02-2026"/>
    <s v="09-02-2026 12:41:08"/>
    <s v="900800595"/>
    <s v="Provexpress SAS"/>
    <s v="901841535"/>
    <x v="390"/>
    <n v="380000"/>
    <n v="0"/>
    <n v="0"/>
    <n v="2380000"/>
    <s v="Aprobado con notificación"/>
    <s v="Emitido"/>
    <x v="0"/>
    <x v="0"/>
    <x v="0"/>
    <x v="0"/>
    <x v="0"/>
    <x v="0"/>
    <m/>
  </r>
  <r>
    <s v="Factura electrónica"/>
    <s v="69fce39a205bbae953cb8392c90f50bcdd6b77402948dda5305d04759ff823d0583655f2a7cfc2e498ea8a627c935520"/>
    <x v="767"/>
    <n v="-1"/>
    <s v="FVE"/>
    <s v="09-02-2026"/>
    <s v="09-02-2026 12:54:06"/>
    <s v="900800595"/>
    <s v="Provexpress SAS"/>
    <s v="860002566"/>
    <x v="54"/>
    <n v="128820"/>
    <n v="0"/>
    <n v="0"/>
    <n v="806820"/>
    <s v="Aprobado con notificación"/>
    <s v="Emitido"/>
    <x v="0"/>
    <x v="0"/>
    <x v="0"/>
    <x v="0"/>
    <x v="0"/>
    <x v="0"/>
    <m/>
  </r>
  <r>
    <s v="Factura electrónica"/>
    <s v="a51dd410304de04ab166cd71210bfb4c227a6681079f702cf38cf87c18d29f9a2c4d52637d2b6e16fe040aab042a30f8"/>
    <x v="768"/>
    <n v="-1"/>
    <s v="FVE"/>
    <s v="09-02-2026"/>
    <s v="09-02-2026 12:54:09"/>
    <s v="900800595"/>
    <s v="Provexpress SAS"/>
    <s v="800156889"/>
    <x v="218"/>
    <n v="193528.68"/>
    <n v="0"/>
    <n v="0"/>
    <n v="1212100.68"/>
    <s v="Aprobado con notificación"/>
    <s v="Emitido"/>
    <x v="0"/>
    <x v="0"/>
    <x v="1"/>
    <x v="0"/>
    <x v="1"/>
    <x v="0"/>
    <m/>
  </r>
  <r>
    <s v="Factura electrónica"/>
    <s v="39856af6dc871d43c1d2c69ea76e6888766b42f2d74626b3749b421c42705146f1464b14d7c4623cf9bb85c2d298f9b6"/>
    <x v="769"/>
    <n v="-1"/>
    <s v="FVE"/>
    <s v="09-02-2026"/>
    <s v="09-02-2026 12:54:14"/>
    <s v="900800595"/>
    <s v="Provexpress SAS"/>
    <s v="900947292"/>
    <x v="391"/>
    <n v="79230"/>
    <n v="0"/>
    <n v="0"/>
    <n v="496230"/>
    <s v="Aprobado con notificación"/>
    <s v="Emitido"/>
    <x v="0"/>
    <x v="0"/>
    <x v="1"/>
    <x v="0"/>
    <x v="0"/>
    <x v="1"/>
    <s v="PAGA 18/02/2026"/>
  </r>
  <r>
    <s v="Factura electrónica"/>
    <s v="0dbadbbfd63f11499eefd61bb80dc9224f4f738ae0bb22a82d8c9b68f73b8a0c4960789e938b0560883e6798699acfd5"/>
    <x v="770"/>
    <n v="-1"/>
    <s v="FVE"/>
    <s v="09-02-2026"/>
    <s v="09-02-2026 12:54:13"/>
    <s v="900800595"/>
    <s v="Provexpress SAS"/>
    <s v="900396965"/>
    <x v="197"/>
    <n v="253650"/>
    <n v="0"/>
    <n v="0"/>
    <n v="1588650"/>
    <s v="Aprobado con notificación"/>
    <s v="Emitido"/>
    <x v="0"/>
    <x v="0"/>
    <x v="1"/>
    <x v="0"/>
    <x v="1"/>
    <x v="0"/>
    <m/>
  </r>
  <r>
    <s v="Factura electrónica"/>
    <s v="08316181813a0462b441e8d3522a05561ab9af88dd0745c877245828f4fd7182e6aeb80b51e0208fc2d41e30a2d07e6b"/>
    <x v="771"/>
    <n v="-1"/>
    <s v="FVE"/>
    <s v="09-02-2026"/>
    <s v="09-02-2026 12:54:36"/>
    <s v="900800595"/>
    <s v="Provexpress SAS"/>
    <s v="830000687"/>
    <x v="392"/>
    <n v="788689.24"/>
    <n v="0"/>
    <n v="0"/>
    <n v="4939685.24"/>
    <s v="Aprobado con notificación"/>
    <s v="Emitido"/>
    <x v="0"/>
    <x v="0"/>
    <x v="1"/>
    <x v="0"/>
    <x v="1"/>
    <x v="0"/>
    <m/>
  </r>
  <r>
    <s v="Factura electrónica"/>
    <s v="0d48e71a9465b141476a18d3aafacc2d078806ad7df05e008cd5860cf8a3e455ae8d35f705e494e3c520abf47c5c337a"/>
    <x v="772"/>
    <n v="-1"/>
    <s v="FVE"/>
    <s v="09-02-2026"/>
    <s v="09-02-2026 12:54:19"/>
    <s v="900800595"/>
    <s v="Provexpress SAS"/>
    <s v="800018165"/>
    <x v="393"/>
    <n v="44016.5"/>
    <n v="0"/>
    <n v="0"/>
    <n v="821866.5"/>
    <s v="Aprobado con notificación"/>
    <s v="Emitido"/>
    <x v="0"/>
    <x v="0"/>
    <x v="1"/>
    <x v="0"/>
    <x v="0"/>
    <x v="1"/>
    <s v="PAGA 16/02/2026"/>
  </r>
  <r>
    <s v="Factura electrónica"/>
    <s v="8d5ddcaf619f938492eb32e0267ea544731d940bdc241a526adce877d1022dce671578a0b20a65c8f60a949dbb3f4c9e"/>
    <x v="773"/>
    <n v="-1"/>
    <s v="FVE"/>
    <s v="09-02-2026"/>
    <s v="09-02-2026 13:04:41"/>
    <s v="900800595"/>
    <s v="Provexpress SAS"/>
    <s v="900132714"/>
    <x v="208"/>
    <n v="191900"/>
    <n v="0"/>
    <n v="0"/>
    <n v="1201900"/>
    <s v="Aprobado con notificación"/>
    <s v="Emitido"/>
    <x v="0"/>
    <x v="0"/>
    <x v="1"/>
    <x v="0"/>
    <x v="1"/>
    <x v="0"/>
    <m/>
  </r>
  <r>
    <s v="Factura electrónica"/>
    <s v="5220fd6723944aa6531df290c8efd70dd80462f1f07aac6ec9959e375e5e29fb0574cdc9fc92758fb266192a424f35e3"/>
    <x v="774"/>
    <n v="-1"/>
    <s v="FVE"/>
    <s v="09-02-2026"/>
    <s v="09-02-2026 13:04:41"/>
    <s v="900800595"/>
    <s v="Provexpress SAS"/>
    <s v="860026070"/>
    <x v="249"/>
    <n v="500650"/>
    <n v="0"/>
    <n v="0"/>
    <n v="3135650"/>
    <s v="Aprobado con notificación"/>
    <s v="Emitido"/>
    <x v="1"/>
    <x v="0"/>
    <x v="1"/>
    <x v="0"/>
    <x v="0"/>
    <x v="0"/>
    <m/>
  </r>
  <r>
    <s v="Factura electrónica"/>
    <s v="ed1cfc0f5bd32d01392b844cf91e9495dc9360ffd12b3f58e8a4187298ab1325af4e680c52426ad39aadfb1430e6393b"/>
    <x v="775"/>
    <n v="-1"/>
    <s v="FVE"/>
    <s v="09-02-2026"/>
    <s v="09-02-2026 13:04:44"/>
    <s v="900800595"/>
    <s v="Provexpress SAS"/>
    <s v="900777099"/>
    <x v="394"/>
    <n v="29006.73"/>
    <n v="0"/>
    <n v="0"/>
    <n v="181673.73"/>
    <s v="Aprobado con notificación"/>
    <s v="Emitido"/>
    <x v="0"/>
    <x v="0"/>
    <x v="1"/>
    <x v="0"/>
    <x v="1"/>
    <x v="0"/>
    <m/>
  </r>
  <r>
    <s v="Factura electrónica"/>
    <s v="ddca5daefa5dafb757c400dd519a34439686c2fb88473c2f08fe45334ef49d020041c25fe3496e51d0a6955db17fa245"/>
    <x v="776"/>
    <n v="-1"/>
    <s v="FVE"/>
    <s v="09-02-2026"/>
    <s v="09-02-2026 13:04:47"/>
    <s v="900800595"/>
    <s v="Provexpress SAS"/>
    <s v="900777099"/>
    <x v="394"/>
    <n v="9444.52"/>
    <n v="0"/>
    <n v="0"/>
    <n v="59152.52"/>
    <s v="Aprobado con notificación"/>
    <s v="Emitido"/>
    <x v="0"/>
    <x v="0"/>
    <x v="1"/>
    <x v="0"/>
    <x v="1"/>
    <x v="0"/>
    <m/>
  </r>
  <r>
    <s v="Factura electrónica"/>
    <s v="3f4649a8dc57f8348b25a4a8366407b2f603603e0d2c7e68e881ee69918e45a59d40c72cdf56f785f5a252273bbe1420"/>
    <x v="777"/>
    <n v="-1"/>
    <s v="FVE"/>
    <s v="09-02-2026"/>
    <s v="09-02-2026 13:04:48"/>
    <s v="900800595"/>
    <s v="Provexpress SAS"/>
    <s v="900777099"/>
    <x v="394"/>
    <n v="11107.02"/>
    <n v="0"/>
    <n v="0"/>
    <n v="69565.02"/>
    <s v="Aprobado con notificación"/>
    <s v="Emitido"/>
    <x v="0"/>
    <x v="0"/>
    <x v="1"/>
    <x v="0"/>
    <x v="0"/>
    <x v="1"/>
    <s v="PAGA 16/02/2026"/>
  </r>
  <r>
    <s v="Factura electrónica"/>
    <s v="874f874c2cdc9eb0c9d85d833ef3ac0c8337ebe1852dea6ff1fdbe060f418934d78ddb4bb7e0a3e780d7c18b334b8773"/>
    <x v="778"/>
    <n v="-1"/>
    <s v="FVE"/>
    <s v="09-02-2026"/>
    <s v="09-02-2026 13:04:51"/>
    <s v="900800595"/>
    <s v="Provexpress SAS"/>
    <s v="830129823"/>
    <x v="395"/>
    <n v="65083.55"/>
    <n v="0"/>
    <n v="0"/>
    <n v="407628.55"/>
    <s v="Aprobado con notificación"/>
    <s v="Emitido"/>
    <x v="0"/>
    <x v="0"/>
    <x v="1"/>
    <x v="0"/>
    <x v="1"/>
    <x v="0"/>
    <m/>
  </r>
  <r>
    <s v="Factura electrónica"/>
    <s v="f4bdf9780bcb20330816b84faf6d1611aa54ba2788f6b3cb44e72786e0aa034983b61738c421a2433dff0cf44cc7862f"/>
    <x v="779"/>
    <n v="-1"/>
    <s v="FVE"/>
    <s v="09-02-2026"/>
    <s v="09-02-2026 13:05:17"/>
    <s v="900800595"/>
    <s v="Provexpress SAS"/>
    <s v="900391130"/>
    <x v="105"/>
    <n v="297312"/>
    <n v="0"/>
    <n v="0"/>
    <n v="1862112"/>
    <s v="Aprobado con notificación"/>
    <s v="Emitido"/>
    <x v="0"/>
    <x v="0"/>
    <x v="1"/>
    <x v="0"/>
    <x v="0"/>
    <x v="1"/>
    <s v="PAGA 11/02/2026"/>
  </r>
  <r>
    <s v="Factura electrónica"/>
    <s v="8b69b118856715a24498138278e3e04fc00f9e1e27d0c2560a1baa1418d563716e678cb06998bba0e5d3b5f443a7801f"/>
    <x v="780"/>
    <n v="-1"/>
    <s v="FVE"/>
    <s v="09-02-2026"/>
    <s v="09-02-2026 14:24:18"/>
    <s v="900800595"/>
    <s v="Provexpress SAS"/>
    <s v="900391130"/>
    <x v="105"/>
    <n v="113580.1"/>
    <n v="0"/>
    <n v="0"/>
    <n v="711370.1"/>
    <s v="Aprobado con notificación"/>
    <s v="Emitido"/>
    <x v="0"/>
    <x v="0"/>
    <x v="1"/>
    <x v="0"/>
    <x v="0"/>
    <x v="1"/>
    <s v="PAGA 11/06/2026"/>
  </r>
  <r>
    <s v="Factura electrónica"/>
    <s v="658203c874b534ee1b218374e0f6bb999046354510d73efe65df2f591ff0ed55da6cb36722f6871542de154739d18818"/>
    <x v="781"/>
    <n v="-1"/>
    <s v="FVE"/>
    <s v="09-02-2026"/>
    <s v="09-02-2026 14:24:20"/>
    <s v="900800595"/>
    <s v="Provexpress SAS"/>
    <s v="830033825"/>
    <x v="396"/>
    <n v="44688"/>
    <n v="0"/>
    <n v="0"/>
    <n v="279888"/>
    <s v="Aprobado con notificación"/>
    <s v="Emitido"/>
    <x v="0"/>
    <x v="0"/>
    <x v="1"/>
    <x v="0"/>
    <x v="1"/>
    <x v="0"/>
    <m/>
  </r>
  <r>
    <s v="Factura electrónica"/>
    <s v="f10bb2d550a54ae153d76245101e112035810e6fbe7dcfd66d2b5d55b212968fd7b4d64c4f0fdb7da2d9f950a2db7363"/>
    <x v="782"/>
    <n v="-1"/>
    <s v="FVE"/>
    <s v="09-02-2026"/>
    <s v="09-02-2026 14:24:37"/>
    <s v="900800595"/>
    <s v="Provexpress SAS"/>
    <s v="860510863"/>
    <x v="47"/>
    <n v="13300"/>
    <n v="0"/>
    <n v="0"/>
    <n v="83300"/>
    <s v="Aprobado con notificación"/>
    <s v="Emitido"/>
    <x v="0"/>
    <x v="0"/>
    <x v="1"/>
    <x v="0"/>
    <x v="1"/>
    <x v="0"/>
    <m/>
  </r>
  <r>
    <s v="Factura electrónica"/>
    <s v="661ebc29e8571db2bc6ebb747634da9b3334d91a95cb2c5df6a5a1523fe492ae8853df019c3987e3449cb760dd063730"/>
    <x v="783"/>
    <n v="-1"/>
    <s v="FVE"/>
    <s v="09-02-2026"/>
    <s v="09-02-2026 14:44:50"/>
    <s v="900800595"/>
    <s v="Provexpress SAS"/>
    <s v="830012595"/>
    <x v="397"/>
    <n v="1288200"/>
    <n v="0"/>
    <n v="0"/>
    <n v="8068200"/>
    <s v="Aprobado con notificación"/>
    <s v="Emitido"/>
    <x v="0"/>
    <x v="0"/>
    <x v="1"/>
    <x v="0"/>
    <x v="1"/>
    <x v="0"/>
    <m/>
  </r>
  <r>
    <s v="Factura electrónica"/>
    <s v="53c384cbae9bd42587e1191e8b782b8dca34980429eaae16fe1962118fee26410e12d845d6d18cd17f5c1187f8c36247"/>
    <x v="784"/>
    <n v="-1"/>
    <s v="FVE"/>
    <s v="09-02-2026"/>
    <s v="09-02-2026 14:45:50"/>
    <s v="900800595"/>
    <s v="Provexpress SAS"/>
    <s v="830051928"/>
    <x v="398"/>
    <n v="21975.21"/>
    <n v="0"/>
    <n v="0"/>
    <n v="137634.21"/>
    <s v="Aprobado con notificación"/>
    <s v="Emitido"/>
    <x v="0"/>
    <x v="1"/>
    <x v="1"/>
    <x v="0"/>
    <x v="0"/>
    <x v="0"/>
    <m/>
  </r>
  <r>
    <s v="Factura electrónica"/>
    <s v="681a368d3e7500f3370c8c9b0516e8b787c5d5a732ad3e26eb4890bcad35038a36540453cb0fff43c86dbcd59c53a46f"/>
    <x v="785"/>
    <n v="-1"/>
    <s v="FVE"/>
    <s v="09-02-2026"/>
    <s v="09-02-2026 14:45:28"/>
    <s v="900800595"/>
    <s v="Provexpress SAS"/>
    <s v="901424652"/>
    <x v="399"/>
    <n v="556358.1"/>
    <n v="0"/>
    <n v="0"/>
    <n v="4231628.0999999996"/>
    <s v="Aprobado con notificación"/>
    <s v="Emitido"/>
    <x v="0"/>
    <x v="0"/>
    <x v="1"/>
    <x v="0"/>
    <x v="1"/>
    <x v="0"/>
    <m/>
  </r>
  <r>
    <s v="Factura electrónica"/>
    <s v="5e22eb055d9a620100cad0d91cc1c8b86ac0b4db0846c8336ace84746e353ff6db4db800d189a4a50880398a7c49e17e"/>
    <x v="786"/>
    <n v="-1"/>
    <s v="FVE"/>
    <s v="09-02-2026"/>
    <s v="09-02-2026 15:03:42"/>
    <s v="900800595"/>
    <s v="Provexpress SAS"/>
    <s v="830040378"/>
    <x v="400"/>
    <n v="198994.1"/>
    <n v="0"/>
    <n v="0"/>
    <n v="1426584.1"/>
    <s v="Aprobado con notificación"/>
    <s v="Emitido"/>
    <x v="0"/>
    <x v="0"/>
    <x v="1"/>
    <x v="0"/>
    <x v="1"/>
    <x v="0"/>
    <m/>
  </r>
  <r>
    <s v="Factura electrónica"/>
    <s v="472d83e7751fb309dde7a2ff0b4d0d90f9075f9d292ffa5318d29e6e6138704b97d0520600253e835df2f6b1781ac18b"/>
    <x v="787"/>
    <n v="-1"/>
    <s v="FVE"/>
    <s v="09-02-2026"/>
    <s v="09-02-2026 15:03:45"/>
    <s v="900800595"/>
    <s v="Provexpress SAS"/>
    <s v="900418860"/>
    <x v="354"/>
    <n v="85308.1"/>
    <n v="0"/>
    <n v="0"/>
    <n v="534298.1"/>
    <s v="Aprobado con notificación"/>
    <s v="Emitido"/>
    <x v="0"/>
    <x v="0"/>
    <x v="1"/>
    <x v="0"/>
    <x v="1"/>
    <x v="0"/>
    <m/>
  </r>
  <r>
    <s v="Factura electrónica"/>
    <s v="eda9b5114e5aeeba93571ff612acc58fb366e28e5fca4a11081b6ef6feabf9c6d477bd3d5ffd6ec316128362ba60df78"/>
    <x v="788"/>
    <n v="-1"/>
    <s v="FVE"/>
    <s v="09-02-2026"/>
    <s v="09-02-2026 15:03:50"/>
    <s v="900800595"/>
    <s v="Provexpress SAS"/>
    <s v="900418860"/>
    <x v="354"/>
    <n v="85308.1"/>
    <n v="0"/>
    <n v="0"/>
    <n v="534298.1"/>
    <s v="Aprobado con notificación"/>
    <s v="Emitido"/>
    <x v="0"/>
    <x v="0"/>
    <x v="1"/>
    <x v="0"/>
    <x v="0"/>
    <x v="1"/>
    <s v="PAGA 11/02/2026"/>
  </r>
  <r>
    <s v="Factura electrónica"/>
    <s v="1192fb7ea1b4c20d52be91a2047464aa201ff3db7b091b512ece3919ca7e3b9bd07232851a18fd9926d5bf663360aca2"/>
    <x v="789"/>
    <n v="-1"/>
    <s v="FVE"/>
    <s v="09-02-2026"/>
    <s v="09-02-2026 15:03:47"/>
    <s v="900800595"/>
    <s v="Provexpress SAS"/>
    <s v="860028601"/>
    <x v="190"/>
    <n v="85576.57"/>
    <n v="0"/>
    <n v="0"/>
    <n v="535979.56999999995"/>
    <s v="Aprobado con notificación"/>
    <s v="Emitido"/>
    <x v="1"/>
    <x v="0"/>
    <x v="1"/>
    <x v="0"/>
    <x v="0"/>
    <x v="0"/>
    <m/>
  </r>
  <r>
    <s v="Factura electrónica"/>
    <s v="e5808cd43ebaefcbfb642c365319c9b1fb7af72c1304db635531d62d965d518aa20f7258fc6ca32970cf5380258ea02b"/>
    <x v="790"/>
    <n v="-1"/>
    <s v="FVE"/>
    <s v="09-02-2026"/>
    <s v="09-02-2026 15:24:21"/>
    <s v="900800595"/>
    <s v="Provexpress SAS"/>
    <s v="830000135"/>
    <x v="401"/>
    <n v="109758.65"/>
    <n v="0"/>
    <n v="0"/>
    <n v="1197041.6499999999"/>
    <s v="Aprobado con notificación"/>
    <s v="Emitido"/>
    <x v="0"/>
    <x v="0"/>
    <x v="1"/>
    <x v="1"/>
    <x v="0"/>
    <x v="0"/>
    <m/>
  </r>
  <r>
    <s v="Factura electrónica"/>
    <s v="6d2adb166daa02813393e61aea0e2b8ad51c79931272415b39631fac821cdea4bd0e96c2425973c1dda13ecd85906870"/>
    <x v="791"/>
    <n v="-1"/>
    <s v="FVE"/>
    <s v="09-02-2026"/>
    <s v="09-02-2026 15:24:25"/>
    <s v="900800595"/>
    <s v="Provexpress SAS"/>
    <s v="830020109"/>
    <x v="402"/>
    <n v="189810"/>
    <n v="0"/>
    <n v="0"/>
    <n v="1188810"/>
    <s v="Aprobado con notificación"/>
    <s v="Emitido"/>
    <x v="0"/>
    <x v="0"/>
    <x v="1"/>
    <x v="0"/>
    <x v="1"/>
    <x v="0"/>
    <m/>
  </r>
  <r>
    <s v="Factura electrónica"/>
    <s v="4286a3311d7b25f21e93637321bc20b1e4f25c9008610fb6494ef962e61d3cdc83fe73653468c1f2a4d1876afc0e3777"/>
    <x v="792"/>
    <n v="-1"/>
    <s v="FVE"/>
    <s v="09-02-2026"/>
    <s v="09-02-2026 15:24:28"/>
    <s v="900800595"/>
    <s v="Provexpress SAS"/>
    <s v="901747641"/>
    <x v="403"/>
    <n v="7220"/>
    <n v="0"/>
    <n v="0"/>
    <n v="45220"/>
    <s v="Aprobado con notificación"/>
    <s v="Emitido"/>
    <x v="0"/>
    <x v="0"/>
    <x v="1"/>
    <x v="0"/>
    <x v="0"/>
    <x v="1"/>
    <s v="PAGA 27/02/2026"/>
  </r>
  <r>
    <s v="Factura electrónica"/>
    <s v="2ae9f0ca641ec47fb0f07793456ce64cf020954214e4c331949bf2cf35da90e753acf78fc362701a5d87aa628c252350"/>
    <x v="793"/>
    <n v="-1"/>
    <s v="FVE"/>
    <s v="09-02-2026"/>
    <s v="09-02-2026 15:24:35"/>
    <s v="900800595"/>
    <s v="Provexpress SAS"/>
    <s v="860090721"/>
    <x v="404"/>
    <n v="1321640"/>
    <n v="0"/>
    <n v="0"/>
    <n v="8277640"/>
    <s v="Aprobado con notificación"/>
    <s v="Emitido"/>
    <x v="0"/>
    <x v="0"/>
    <x v="1"/>
    <x v="0"/>
    <x v="1"/>
    <x v="0"/>
    <m/>
  </r>
  <r>
    <s v="Factura electrónica"/>
    <s v="bcec8e29f29ee576d17f00456420874cf0db9125f6863961d0a84ec548a1f2cc0f9a57934f7002718e9fc5e6c539c44c"/>
    <x v="794"/>
    <n v="-1"/>
    <s v="FVE"/>
    <s v="09-02-2026"/>
    <s v="09-02-2026 15:25:45"/>
    <s v="900800595"/>
    <s v="Provexpress SAS"/>
    <s v="860090721"/>
    <x v="404"/>
    <n v="670700"/>
    <n v="0"/>
    <n v="0"/>
    <n v="4200700"/>
    <s v="Aprobado con notificación"/>
    <s v="Emitido"/>
    <x v="0"/>
    <x v="0"/>
    <x v="1"/>
    <x v="0"/>
    <x v="1"/>
    <x v="0"/>
    <m/>
  </r>
  <r>
    <s v="Factura electrónica"/>
    <s v="e733347a9c05967c7a34cbd71f1664d911c63d9bdede3868f0f083d96a0cad8674f4b20faeda6cf5de8b1f79ab49e071"/>
    <x v="795"/>
    <n v="-1"/>
    <s v="FVE"/>
    <s v="09-02-2026"/>
    <s v="09-02-2026 15:24:37"/>
    <s v="900800595"/>
    <s v="Provexpress SAS"/>
    <s v="830515294"/>
    <x v="405"/>
    <n v="11970"/>
    <n v="0"/>
    <n v="0"/>
    <n v="74970"/>
    <s v="Aprobado con notificación"/>
    <s v="Emitido"/>
    <x v="1"/>
    <x v="0"/>
    <x v="1"/>
    <x v="0"/>
    <x v="0"/>
    <x v="0"/>
    <m/>
  </r>
  <r>
    <s v="Factura electrónica"/>
    <s v="57862b67873f66b989b2c87b2f094a0a6e1b3188b95d955f0e31ba18fd0401b59f01785c70478cefc97863d7e322c72d"/>
    <x v="796"/>
    <n v="-1"/>
    <s v="FVE"/>
    <s v="09-02-2026"/>
    <s v="09-02-2026 15:24:42"/>
    <s v="900800595"/>
    <s v="Provexpress SAS"/>
    <s v="830515294"/>
    <x v="405"/>
    <n v="45790"/>
    <n v="0"/>
    <n v="0"/>
    <n v="286790"/>
    <s v="Aprobado con notificación"/>
    <s v="Emitido"/>
    <x v="1"/>
    <x v="0"/>
    <x v="1"/>
    <x v="0"/>
    <x v="0"/>
    <x v="0"/>
    <m/>
  </r>
  <r>
    <s v="Factura electrónica"/>
    <s v="e2eebe05f9cebd445a98144b0aee05fbbbd69fbf58322bd76f0c9aabc5e7327c7afae1e3d638a662f1b63b3352602827"/>
    <x v="797"/>
    <n v="-1"/>
    <s v="FVE"/>
    <s v="09-02-2026"/>
    <s v="09-02-2026 15:24:50"/>
    <s v="900800595"/>
    <s v="Provexpress SAS"/>
    <s v="901494846"/>
    <x v="406"/>
    <n v="584440"/>
    <n v="0"/>
    <n v="0"/>
    <n v="3660440"/>
    <s v="Aprobado con notificación"/>
    <s v="Emitido"/>
    <x v="0"/>
    <x v="0"/>
    <x v="1"/>
    <x v="0"/>
    <x v="1"/>
    <x v="0"/>
    <m/>
  </r>
  <r>
    <s v="Factura electrónica"/>
    <s v="a6613dbcc314052c3b430567bf8c4c4cb78701bd4a98f86e52ad89b08d788331eeb70dd6d2429abaa2bfaec62b96409f"/>
    <x v="798"/>
    <n v="-1"/>
    <s v="FVE"/>
    <s v="09-02-2026"/>
    <s v="09-02-2026 15:25:27"/>
    <s v="900800595"/>
    <s v="Provexpress SAS"/>
    <s v="901494846"/>
    <x v="406"/>
    <n v="120364.5"/>
    <n v="0"/>
    <n v="0"/>
    <n v="877614.5"/>
    <s v="Aprobado con notificación"/>
    <s v="Emitido"/>
    <x v="0"/>
    <x v="0"/>
    <x v="1"/>
    <x v="0"/>
    <x v="1"/>
    <x v="0"/>
    <m/>
  </r>
  <r>
    <s v="Factura electrónica"/>
    <s v="3501874b6ad74635c86b8a25d887da3ce7360eb337dff0ee45bbfd6da07f96dabf137e96e7327f2e5f565d68248d19fd"/>
    <x v="799"/>
    <n v="-1"/>
    <s v="FVE"/>
    <s v="09-02-2026"/>
    <s v="09-02-2026 15:25:40"/>
    <s v="900800595"/>
    <s v="Provexpress SAS"/>
    <s v="900591676"/>
    <x v="407"/>
    <n v="66279.789999999994"/>
    <n v="0"/>
    <n v="0"/>
    <n v="415120.79"/>
    <s v="Aprobado con notificación"/>
    <s v="Emitido"/>
    <x v="1"/>
    <x v="0"/>
    <x v="1"/>
    <x v="0"/>
    <x v="0"/>
    <x v="0"/>
    <m/>
  </r>
  <r>
    <s v="Factura electrónica"/>
    <s v="40a3b8a5a679e0c245cd20fc8f0139693c60c9dbe48eaa95b9bc47298d995075d9b50feac2a25cb70d9a194b94359731"/>
    <x v="800"/>
    <n v="-1"/>
    <s v="FVE"/>
    <s v="09-02-2026"/>
    <s v="09-02-2026 15:25:48"/>
    <s v="900800595"/>
    <s v="Provexpress SAS"/>
    <s v="900591676"/>
    <x v="407"/>
    <n v="102447.22"/>
    <n v="0"/>
    <n v="0"/>
    <n v="666144.22"/>
    <s v="Aprobado con notificación"/>
    <s v="Emitido"/>
    <x v="1"/>
    <x v="0"/>
    <x v="1"/>
    <x v="0"/>
    <x v="0"/>
    <x v="0"/>
    <m/>
  </r>
  <r>
    <s v="Factura electrónica"/>
    <s v="4bf1f9789e37e7a2fdf6d742808847a13cca8e33fc542b1e6e7585c57cc4d7b96b1b41b24f61f4035e8397cd2d35fb6a"/>
    <x v="801"/>
    <n v="-1"/>
    <s v="FVE"/>
    <s v="09-02-2026"/>
    <s v="09-02-2026 15:25:57"/>
    <s v="900800595"/>
    <s v="Provexpress SAS"/>
    <s v="900591676"/>
    <x v="407"/>
    <n v="93898"/>
    <n v="0"/>
    <n v="0"/>
    <n v="596498"/>
    <s v="Aprobado con notificación"/>
    <s v="Emitido"/>
    <x v="0"/>
    <x v="0"/>
    <x v="1"/>
    <x v="0"/>
    <x v="1"/>
    <x v="0"/>
    <m/>
  </r>
  <r>
    <s v="Factura electrónica"/>
    <s v="ffa3fa64d931db95044a9d855250ca0a8073d1cbee04814b6f4ea841e1db03dd961ee4710710f00f53ee37de6e223b86"/>
    <x v="802"/>
    <n v="-1"/>
    <s v="FVE"/>
    <s v="09-02-2026"/>
    <s v="09-02-2026 15:25:55"/>
    <s v="900800595"/>
    <s v="Provexpress SAS"/>
    <s v="901696299"/>
    <x v="408"/>
    <n v="1054452.69"/>
    <n v="0"/>
    <n v="0"/>
    <n v="6604203.6900000004"/>
    <s v="Aprobado con notificación"/>
    <s v="Emitido"/>
    <x v="0"/>
    <x v="0"/>
    <x v="1"/>
    <x v="0"/>
    <x v="1"/>
    <x v="0"/>
    <m/>
  </r>
  <r>
    <s v="Factura electrónica"/>
    <s v="1513a23491a20ea78a0503d6e1edac1b9870972a39f993c0b66f4602181b0a137731cb36853cba71d600c02517a82d2d"/>
    <x v="803"/>
    <n v="-1"/>
    <s v="FVE"/>
    <s v="09-02-2026"/>
    <s v="09-02-2026 15:26:00"/>
    <s v="900800595"/>
    <s v="Provexpress SAS"/>
    <s v="813000008"/>
    <x v="409"/>
    <n v="22800"/>
    <n v="0"/>
    <n v="0"/>
    <n v="142800"/>
    <s v="Aprobado con notificación"/>
    <s v="Emitido"/>
    <x v="0"/>
    <x v="0"/>
    <x v="1"/>
    <x v="0"/>
    <x v="1"/>
    <x v="0"/>
    <m/>
  </r>
  <r>
    <s v="Factura electrónica"/>
    <s v="c0a121e000ecbbec882ea13d6f8e6f629b7537dd635d36bffaaf69bf827172b3602625e64a25bffc6ff2e9134703b5ae"/>
    <x v="804"/>
    <n v="-1"/>
    <s v="FVE"/>
    <s v="09-02-2026"/>
    <s v="09-02-2026 15:26:13"/>
    <s v="900800595"/>
    <s v="Provexpress SAS"/>
    <s v="813000008"/>
    <x v="409"/>
    <n v="0"/>
    <n v="0"/>
    <n v="0"/>
    <n v="850000"/>
    <s v="Aprobado con notificación"/>
    <s v="Emitido"/>
    <x v="0"/>
    <x v="0"/>
    <x v="0"/>
    <x v="0"/>
    <x v="0"/>
    <x v="0"/>
    <m/>
  </r>
  <r>
    <s v="Factura electrónica"/>
    <s v="53a3198e310c56c74a587b50aa3407dbb061097d2981b280e6bd829e004c52501ba126e9b99fb504949cd65581b6be6b"/>
    <x v="805"/>
    <n v="-1"/>
    <s v="FVE"/>
    <s v="09-02-2026"/>
    <s v="09-02-2026 15:40:17"/>
    <s v="900800595"/>
    <s v="Provexpress SAS"/>
    <s v="813000008"/>
    <x v="409"/>
    <n v="0"/>
    <n v="0"/>
    <n v="0"/>
    <n v="965000"/>
    <s v="Aprobado con notificación"/>
    <s v="Emitido"/>
    <x v="0"/>
    <x v="0"/>
    <x v="1"/>
    <x v="0"/>
    <x v="1"/>
    <x v="0"/>
    <m/>
  </r>
  <r>
    <s v="Factura electrónica"/>
    <s v="35631b64db25cab2fce97208ae8e1d4a49bf3555e3169a227881bd265e87028d7534b65d1ffef6e897b84311d69b8266"/>
    <x v="806"/>
    <n v="-1"/>
    <s v="FVE"/>
    <s v="09-02-2026"/>
    <s v="09-02-2026 15:40:18"/>
    <s v="900800595"/>
    <s v="Provexpress SAS"/>
    <s v="830081407"/>
    <x v="410"/>
    <n v="218101"/>
    <n v="0"/>
    <n v="0"/>
    <n v="1366001"/>
    <s v="Aprobado con notificación"/>
    <s v="Emitido"/>
    <x v="1"/>
    <x v="0"/>
    <x v="1"/>
    <x v="0"/>
    <x v="0"/>
    <x v="0"/>
    <m/>
  </r>
  <r>
    <s v="Factura electrónica"/>
    <s v="765130c29b4d5a79870ee5fe2d920506fbad3e144e39a336d534731f085cedd58494799a3f9540f629f007f1eabdfc9e"/>
    <x v="807"/>
    <n v="-1"/>
    <s v="FVE"/>
    <s v="09-02-2026"/>
    <s v="09-02-2026 15:40:21"/>
    <s v="900800595"/>
    <s v="Provexpress SAS"/>
    <s v="901295344"/>
    <x v="411"/>
    <n v="54539.5"/>
    <n v="0"/>
    <n v="0"/>
    <n v="341589.5"/>
    <s v="Aprobado con notificación"/>
    <s v="Emitido"/>
    <x v="0"/>
    <x v="0"/>
    <x v="0"/>
    <x v="0"/>
    <x v="0"/>
    <x v="0"/>
    <m/>
  </r>
  <r>
    <s v="Factura electrónica"/>
    <s v="f819da445224826617968720cae84e8b23aa739947fd25d71a56746de33b5b950c0f1dee6f11cc187ad7f0f1234bb453"/>
    <x v="808"/>
    <n v="-1"/>
    <s v="FVE"/>
    <s v="09-02-2026"/>
    <s v="09-02-2026 15:40:21"/>
    <s v="900800595"/>
    <s v="Provexpress SAS"/>
    <s v="830050619"/>
    <x v="310"/>
    <n v="513000"/>
    <n v="0"/>
    <n v="0"/>
    <n v="3213000"/>
    <s v="Aprobado con notificación"/>
    <s v="Emitido"/>
    <x v="0"/>
    <x v="0"/>
    <x v="1"/>
    <x v="1"/>
    <x v="0"/>
    <x v="0"/>
    <m/>
  </r>
  <r>
    <s v="Factura electrónica"/>
    <s v="343c095538b0d72239ff47eb8ba136a4a8bb6c27e0a8c9f0dc69f20c046ea91a3795a5913a9be66d82960bb14d3c88f7"/>
    <x v="809"/>
    <n v="-1"/>
    <s v="FVE"/>
    <s v="09-02-2026"/>
    <s v="09-02-2026 15:41:20"/>
    <s v="900800595"/>
    <s v="Provexpress SAS"/>
    <s v="800024265"/>
    <x v="24"/>
    <n v="85467.13"/>
    <n v="0"/>
    <n v="0"/>
    <n v="535294.13"/>
    <s v="Aprobado con notificación"/>
    <s v="Emitido"/>
    <x v="1"/>
    <x v="0"/>
    <x v="1"/>
    <x v="0"/>
    <x v="0"/>
    <x v="0"/>
    <m/>
  </r>
  <r>
    <s v="Factura electrónica"/>
    <s v="18177d134a3913d50a8e9ec85a33680defc4a3b682f9ba9fac709ef2d4b2cf5274df7e15a443ad482abfacdce09f74d3"/>
    <x v="810"/>
    <n v="-1"/>
    <s v="FVE"/>
    <s v="09-02-2026"/>
    <s v="09-02-2026 15:40:25"/>
    <s v="900800595"/>
    <s v="Provexpress SAS"/>
    <s v="830050619"/>
    <x v="310"/>
    <n v="0"/>
    <n v="0"/>
    <n v="0"/>
    <n v="2600000"/>
    <s v="Aprobado con notificación"/>
    <s v="Emitido"/>
    <x v="0"/>
    <x v="0"/>
    <x v="1"/>
    <x v="1"/>
    <x v="0"/>
    <x v="0"/>
    <m/>
  </r>
  <r>
    <s v="Factura electrónica"/>
    <s v="29ab255bf3f968b168a15fa95c2889aca0725612cdd832f7fee55b743fae7615e76cdb227bbedfcc5e1aa7a8e195c36b"/>
    <x v="811"/>
    <n v="-1"/>
    <s v="FVE"/>
    <s v="09-02-2026"/>
    <s v="09-02-2026 15:57:16"/>
    <s v="900800595"/>
    <s v="Provexpress SAS"/>
    <s v="830050228"/>
    <x v="39"/>
    <n v="873810"/>
    <n v="0"/>
    <n v="0"/>
    <n v="5472810"/>
    <s v="Aprobado con notificación"/>
    <s v="Emitido"/>
    <x v="0"/>
    <x v="0"/>
    <x v="0"/>
    <x v="0"/>
    <x v="0"/>
    <x v="0"/>
    <m/>
  </r>
  <r>
    <s v="Factura electrónica"/>
    <s v="ba078a51d9f6bb5b757744985e473f846e19466d9a52bd317bd86ba8d9814e4e483e014e86bb9ec2a7f6ad373e3273a4"/>
    <x v="812"/>
    <n v="-1"/>
    <s v="FVE"/>
    <s v="09-02-2026"/>
    <s v="09-02-2026 15:57:20"/>
    <s v="900800595"/>
    <s v="Provexpress SAS"/>
    <s v="830050228"/>
    <x v="39"/>
    <n v="64030"/>
    <n v="0"/>
    <n v="0"/>
    <n v="401030"/>
    <s v="Aprobado con notificación"/>
    <s v="Emitido"/>
    <x v="0"/>
    <x v="0"/>
    <x v="0"/>
    <x v="0"/>
    <x v="0"/>
    <x v="0"/>
    <m/>
  </r>
  <r>
    <s v="Factura electrónica"/>
    <s v="1a8e50846b94eba66a6d1d049b1c80dafe95d6dde27d579fc7dcfef2d7ebd7432749f44d462756c231f5bd5ba3c55cc5"/>
    <x v="813"/>
    <n v="-1"/>
    <s v="FVE"/>
    <s v="09-02-2026"/>
    <s v="09-02-2026 15:57:24"/>
    <s v="900800595"/>
    <s v="Provexpress SAS"/>
    <s v="860032909"/>
    <x v="412"/>
    <n v="134900"/>
    <n v="0"/>
    <n v="0"/>
    <n v="844900"/>
    <s v="Aprobado con notificación"/>
    <s v="Emitido"/>
    <x v="0"/>
    <x v="0"/>
    <x v="1"/>
    <x v="0"/>
    <x v="1"/>
    <x v="0"/>
    <m/>
  </r>
  <r>
    <s v="Factura electrónica"/>
    <s v="15214067b7496fc1167d6889ec99d77f4c33907adf9490a49c563435ac03f3fe4131b49146420b1f2ac12b7c61600e7d"/>
    <x v="814"/>
    <n v="-1"/>
    <s v="FVE"/>
    <s v="09-02-2026"/>
    <s v="09-02-2026 15:57:28"/>
    <s v="900800595"/>
    <s v="Provexpress SAS"/>
    <s v="830513773"/>
    <x v="46"/>
    <n v="444524"/>
    <n v="0"/>
    <n v="0"/>
    <n v="2784124"/>
    <s v="Aprobado con notificación"/>
    <s v="Emitido"/>
    <x v="0"/>
    <x v="0"/>
    <x v="1"/>
    <x v="0"/>
    <x v="1"/>
    <x v="0"/>
    <m/>
  </r>
  <r>
    <s v="Factura electrónica"/>
    <s v="e3661c997c8301f715fbf2415e606b588b7c4ffd34cc10bd4419b378343d3f200a406f05352b2b5156ecb02a49ed7598"/>
    <x v="815"/>
    <n v="-1"/>
    <s v="FVE"/>
    <s v="09-02-2026"/>
    <s v="09-02-2026 16:13:18"/>
    <s v="900800595"/>
    <s v="Provexpress SAS"/>
    <s v="901371316"/>
    <x v="330"/>
    <n v="429134"/>
    <n v="0"/>
    <n v="0"/>
    <n v="2687734"/>
    <s v="Aprobado con notificación"/>
    <s v="Emitido"/>
    <x v="1"/>
    <x v="0"/>
    <x v="1"/>
    <x v="0"/>
    <x v="0"/>
    <x v="0"/>
    <m/>
  </r>
  <r>
    <s v="Factura electrónica"/>
    <s v="206dcc2531bcdc52547f254160b1ffc09bc7841d0e5d40e63596c0c76729dee3ec70981cb19a2d47d388c4f804c82a65"/>
    <x v="816"/>
    <n v="-1"/>
    <s v="FVE"/>
    <s v="09-02-2026"/>
    <s v="09-02-2026 16:13:24"/>
    <s v="900800595"/>
    <s v="Provexpress SAS"/>
    <s v="901847883"/>
    <x v="3"/>
    <n v="648969.51"/>
    <n v="0"/>
    <n v="0"/>
    <n v="4064598.51"/>
    <s v="Aprobado con notificación"/>
    <s v="Emitido"/>
    <x v="0"/>
    <x v="0"/>
    <x v="0"/>
    <x v="0"/>
    <x v="0"/>
    <x v="0"/>
    <m/>
  </r>
  <r>
    <s v="Factura electrónica"/>
    <s v="675df527a11e64bdebdbcf056ec1341d8a1d359027f9355a8688810bab8a2b732f2ba5683c231ed9029b1ccb4889fe19"/>
    <x v="817"/>
    <n v="-1"/>
    <s v="FVE"/>
    <s v="09-02-2026"/>
    <s v="09-02-2026 16:13:29"/>
    <s v="900800595"/>
    <s v="Provexpress SAS"/>
    <s v="860023264"/>
    <x v="279"/>
    <n v="97850"/>
    <n v="0"/>
    <n v="0"/>
    <n v="3937850"/>
    <s v="Aprobado con notificación"/>
    <s v="Emitido"/>
    <x v="1"/>
    <x v="0"/>
    <x v="1"/>
    <x v="0"/>
    <x v="0"/>
    <x v="0"/>
    <m/>
  </r>
  <r>
    <s v="Factura electrónica"/>
    <s v="8bc768b4f0e03588102e703fa703c26bf1e60af4f50d44716dab7e7db6ca47e7a35a24a6151fb957f62a1afebc86e42f"/>
    <x v="818"/>
    <n v="-1"/>
    <s v="FVE"/>
    <s v="09-02-2026"/>
    <s v="09-02-2026 16:14:03"/>
    <s v="900800595"/>
    <s v="Provexpress SAS"/>
    <s v="900480172"/>
    <x v="413"/>
    <n v="20710"/>
    <n v="0"/>
    <n v="0"/>
    <n v="129710"/>
    <s v="Aprobado con notificación"/>
    <s v="Emitido"/>
    <x v="0"/>
    <x v="0"/>
    <x v="1"/>
    <x v="0"/>
    <x v="1"/>
    <x v="0"/>
    <m/>
  </r>
  <r>
    <s v="Factura electrónica"/>
    <s v="24a1bbda095004b8ae678c361167640c6a37a571f6bfddabf9a06d6dfa18e80537d989ad56a5e6d3247456682ea80d1e"/>
    <x v="819"/>
    <n v="-1"/>
    <s v="FVE"/>
    <s v="09-02-2026"/>
    <s v="09-02-2026 16:14:14"/>
    <s v="900800595"/>
    <s v="Provexpress SAS"/>
    <s v="800153832"/>
    <x v="414"/>
    <n v="190000"/>
    <n v="0"/>
    <n v="0"/>
    <n v="1190000"/>
    <s v="Aprobado con notificación"/>
    <s v="Emitido"/>
    <x v="0"/>
    <x v="0"/>
    <x v="1"/>
    <x v="0"/>
    <x v="1"/>
    <x v="0"/>
    <m/>
  </r>
  <r>
    <s v="Factura electrónica"/>
    <s v="5ffe4dd5ff1371cff9382836ba9d33d69bcd66240f94740f5f088d29eb7456433de2d9c4c745fa2c2594bb4bae5b8ffa"/>
    <x v="820"/>
    <n v="-1"/>
    <s v="FVE"/>
    <s v="09-02-2026"/>
    <s v="09-02-2026 16:14:20"/>
    <s v="900800595"/>
    <s v="Provexpress SAS"/>
    <s v="900103457"/>
    <x v="389"/>
    <n v="1997280"/>
    <n v="0"/>
    <n v="0"/>
    <n v="12509280"/>
    <s v="Aprobado con notificación"/>
    <s v="Emitido"/>
    <x v="0"/>
    <x v="0"/>
    <x v="0"/>
    <x v="0"/>
    <x v="0"/>
    <x v="0"/>
    <m/>
  </r>
  <r>
    <s v="Factura electrónica"/>
    <s v="62169637b6ba90813ebed23c2f22d57e34d83111c231076a5e95833219a7771e12f6a05a3b5a827cd6940cadd1a7b763"/>
    <x v="821"/>
    <n v="-1"/>
    <s v="FVE"/>
    <s v="09-02-2026"/>
    <s v="09-02-2026 16:14:21"/>
    <s v="900800595"/>
    <s v="Provexpress SAS"/>
    <s v="830036108"/>
    <x v="117"/>
    <n v="32300"/>
    <n v="0"/>
    <n v="0"/>
    <n v="202300"/>
    <s v="Aprobado con notificación"/>
    <s v="Emitido"/>
    <x v="1"/>
    <x v="0"/>
    <x v="1"/>
    <x v="0"/>
    <x v="0"/>
    <x v="0"/>
    <m/>
  </r>
  <r>
    <s v="Factura electrónica"/>
    <s v="c5c3ac1c91dd3ede747fc8d57a6624fff6bc0e8cf0f010932a7f754a2b1631cb4876887ec2c1eec1a2a03707b282bf58"/>
    <x v="822"/>
    <n v="-1"/>
    <s v="FVE"/>
    <s v="09-02-2026"/>
    <s v="09-02-2026 16:14:21"/>
    <s v="900800595"/>
    <s v="Provexpress SAS"/>
    <s v="860534221"/>
    <x v="415"/>
    <n v="69920"/>
    <n v="0"/>
    <n v="0"/>
    <n v="437920"/>
    <s v="Aprobado con notificación"/>
    <s v="Emitido"/>
    <x v="1"/>
    <x v="0"/>
    <x v="1"/>
    <x v="0"/>
    <x v="0"/>
    <x v="0"/>
    <m/>
  </r>
  <r>
    <s v="Factura electrónica"/>
    <s v="c16eca75d0a632ea9ee9813d5184bfe5025489898b2a1f80d4e0e17c1e8814766a170e0c7217d02d96bad2a50535d0b9"/>
    <x v="823"/>
    <n v="-1"/>
    <s v="FVE"/>
    <s v="09-02-2026"/>
    <s v="09-02-2026 16:14:23"/>
    <s v="900800595"/>
    <s v="Provexpress SAS"/>
    <s v="860001697"/>
    <x v="416"/>
    <n v="62700"/>
    <n v="0"/>
    <n v="0"/>
    <n v="392700"/>
    <s v="Aprobado con notificación"/>
    <s v="Emitido"/>
    <x v="0"/>
    <x v="0"/>
    <x v="1"/>
    <x v="0"/>
    <x v="1"/>
    <x v="0"/>
    <m/>
  </r>
  <r>
    <s v="Factura electrónica"/>
    <s v="c071bc05dfdc3f43f4aa4a88d916ff45562647dcae3343d7609d1a9acfa6e369abc15bfb4af672fd203ef052e5c7cc16"/>
    <x v="824"/>
    <n v="-1"/>
    <s v="FVE"/>
    <s v="09-02-2026"/>
    <s v="09-02-2026 16:14:27"/>
    <s v="900800595"/>
    <s v="Provexpress SAS"/>
    <s v="860400204"/>
    <x v="329"/>
    <n v="128176.9"/>
    <n v="0"/>
    <n v="0"/>
    <n v="1036886.9"/>
    <s v="Aprobado con notificación"/>
    <s v="Emitido"/>
    <x v="0"/>
    <x v="0"/>
    <x v="0"/>
    <x v="0"/>
    <x v="0"/>
    <x v="0"/>
    <m/>
  </r>
  <r>
    <s v="Factura electrónica"/>
    <s v="fc7c6052e1a2264c7f85d290f53f60a24b0ca972adf5cbb56ce75a792b76dcc5b9b6156f666d37584d80537812ab5a1d"/>
    <x v="825"/>
    <n v="-1"/>
    <s v="FVE"/>
    <s v="09-02-2026"/>
    <s v="09-02-2026 16:14:29"/>
    <s v="900800595"/>
    <s v="Provexpress SAS"/>
    <s v="860400204"/>
    <x v="329"/>
    <n v="12160"/>
    <n v="0"/>
    <n v="0"/>
    <n v="76160"/>
    <s v="Aprobado con notificación"/>
    <s v="Emitido"/>
    <x v="0"/>
    <x v="0"/>
    <x v="0"/>
    <x v="0"/>
    <x v="0"/>
    <x v="0"/>
    <m/>
  </r>
  <r>
    <s v="Factura electrónica"/>
    <s v="c91fbba3c41af93af4a249aaf1c73192c63507b54b22aa2d8d1f78a82779b41514f380f47323d06d33a19e898fc03d7f"/>
    <x v="826"/>
    <n v="-1"/>
    <s v="FVE"/>
    <s v="09-02-2026"/>
    <s v="09-02-2026 16:14:32"/>
    <s v="900800595"/>
    <s v="Provexpress SAS"/>
    <s v="860000656"/>
    <x v="332"/>
    <n v="62700"/>
    <n v="0"/>
    <n v="0"/>
    <n v="392700"/>
    <s v="Aprobado con notificación"/>
    <s v="Emitido"/>
    <x v="0"/>
    <x v="0"/>
    <x v="1"/>
    <x v="0"/>
    <x v="1"/>
    <x v="0"/>
    <m/>
  </r>
  <r>
    <s v="Factura electrónica"/>
    <s v="6be1eedbf2604c1579d7eb19731989d9d7d497f8d173c04b86493655f85041acf6d5a1c6ba04ab4e41c3783c582d722f"/>
    <x v="827"/>
    <n v="-1"/>
    <s v="FVE"/>
    <s v="09-02-2026"/>
    <s v="09-02-2026 16:28:49"/>
    <s v="900800595"/>
    <s v="Provexpress SAS"/>
    <s v="900208029"/>
    <x v="417"/>
    <n v="61750"/>
    <n v="0"/>
    <n v="0"/>
    <n v="386750"/>
    <s v="Aprobado con notificación"/>
    <s v="Emitido"/>
    <x v="1"/>
    <x v="0"/>
    <x v="1"/>
    <x v="0"/>
    <x v="0"/>
    <x v="0"/>
    <m/>
  </r>
  <r>
    <s v="Factura electrónica"/>
    <s v="6145842a3b076f03103b8c1d8944b426d2c92507370f35432d6daddb0733ded197019294bbb698b0a130b02d00249485"/>
    <x v="828"/>
    <n v="-1"/>
    <s v="FVE"/>
    <s v="09-02-2026"/>
    <s v="09-02-2026 16:28:51"/>
    <s v="900800595"/>
    <s v="Provexpress SAS"/>
    <s v="900128566"/>
    <x v="270"/>
    <n v="73409.16"/>
    <n v="0"/>
    <n v="0"/>
    <n v="459773.16"/>
    <s v="Aprobado con notificación"/>
    <s v="Emitido"/>
    <x v="1"/>
    <x v="0"/>
    <x v="1"/>
    <x v="0"/>
    <x v="0"/>
    <x v="0"/>
    <m/>
  </r>
  <r>
    <s v="Factura electrónica"/>
    <s v="56351c2780a7ac392f8a923977a2f6ca818b8d4dbea6bd8c15f3d80aa40747ce6505f49efa1093f61c7c78cc49c3df9f"/>
    <x v="829"/>
    <n v="-1"/>
    <s v="FVE"/>
    <s v="09-02-2026"/>
    <s v="09-02-2026 16:28:54"/>
    <s v="900800595"/>
    <s v="Provexpress SAS"/>
    <s v="901116616"/>
    <x v="418"/>
    <n v="0"/>
    <n v="0"/>
    <n v="0"/>
    <n v="26455350"/>
    <s v="Aprobado con notificación"/>
    <s v="Emitido"/>
    <x v="0"/>
    <x v="1"/>
    <x v="1"/>
    <x v="0"/>
    <x v="0"/>
    <x v="0"/>
    <m/>
  </r>
  <r>
    <s v="Factura electrónica"/>
    <s v="1f1b5f5b52a6a51fd798d06abfac42d3f6c8d9cd9f125532e39c24629283783e5103f57ea1ef039eac8af00ede4d9508"/>
    <x v="830"/>
    <n v="-1"/>
    <s v="FVE"/>
    <s v="09-02-2026"/>
    <s v="09-02-2026 16:40:48"/>
    <s v="900800595"/>
    <s v="Provexpress SAS"/>
    <s v="900033883"/>
    <x v="17"/>
    <n v="0"/>
    <n v="0"/>
    <n v="0"/>
    <n v="33749311"/>
    <s v="Aprobado con notificación"/>
    <s v="Emitido"/>
    <x v="1"/>
    <x v="0"/>
    <x v="1"/>
    <x v="0"/>
    <x v="0"/>
    <x v="0"/>
    <m/>
  </r>
  <r>
    <s v="Factura electrónica"/>
    <s v="e2e1e8e75fc6ac225d9b28cfe7f5b4ddcbdd1f3569f9978b3084c7b549ede4bebf1f70571c3424ae47b07645368dbf16"/>
    <x v="831"/>
    <n v="-1"/>
    <s v="FVE"/>
    <s v="09-02-2026"/>
    <s v="09-02-2026 16:48:30"/>
    <s v="900800595"/>
    <s v="Provexpress SAS"/>
    <s v="901630405"/>
    <x v="419"/>
    <n v="99164.4"/>
    <n v="0"/>
    <n v="0"/>
    <n v="736324.4"/>
    <s v="Aprobado con notificación"/>
    <s v="Emitido"/>
    <x v="0"/>
    <x v="1"/>
    <x v="1"/>
    <x v="0"/>
    <x v="0"/>
    <x v="0"/>
    <m/>
  </r>
  <r>
    <s v="Factura electrónica"/>
    <s v="b8c0051e565f7cfad71733be523aaf91d731b4dcacbfadaa607c5db7ffe19be6f2f1081b3f18a8703f9513e881fe7070"/>
    <x v="832"/>
    <n v="-1"/>
    <s v="FVE"/>
    <s v="10-02-2026"/>
    <s v="10-02-2026 08:03:41"/>
    <s v="900800595"/>
    <s v="Provexpress SAS"/>
    <s v="830513773"/>
    <x v="46"/>
    <n v="463609.5"/>
    <n v="0"/>
    <n v="0"/>
    <n v="2903659.5"/>
    <s v="Aprobado con notificación"/>
    <s v="Emitido"/>
    <x v="1"/>
    <x v="0"/>
    <x v="1"/>
    <x v="0"/>
    <x v="0"/>
    <x v="0"/>
    <m/>
  </r>
  <r>
    <s v="Factura electrónica"/>
    <s v="9e354f51fef10e8a8a1d944f2f87f1814ef7648338abce45a0d8def9d746ffdabaccad68de9e898b6d400a99da99bfa9"/>
    <x v="833"/>
    <n v="-1"/>
    <s v="FVE"/>
    <s v="10-02-2026"/>
    <s v="10-02-2026 08:33:52"/>
    <s v="900800595"/>
    <s v="Provexpress SAS"/>
    <s v="830054539"/>
    <x v="199"/>
    <n v="19055332.18"/>
    <n v="0"/>
    <n v="0"/>
    <n v="119346554.18000001"/>
    <s v="Aprobado con notificación"/>
    <s v="Emitido"/>
    <x v="0"/>
    <x v="0"/>
    <x v="1"/>
    <x v="1"/>
    <x v="0"/>
    <x v="0"/>
    <m/>
  </r>
  <r>
    <s v="Factura electrónica"/>
    <s v="005f3ca9ba6c3e1e23d15ce389235bc0a3178bbcd1c9cdfb96a8ba4657828a88d7f7e5b26026b5c203db22fedd7b3907"/>
    <x v="834"/>
    <n v="-1"/>
    <s v="FVE"/>
    <s v="10-02-2026"/>
    <s v="10-02-2026 09:03:57"/>
    <s v="900800595"/>
    <s v="Provexpress SAS"/>
    <s v="860501145"/>
    <x v="420"/>
    <n v="210962.7"/>
    <n v="0"/>
    <n v="0"/>
    <n v="1327548.7"/>
    <s v="Aprobado con notificación"/>
    <s v="Emitido"/>
    <x v="0"/>
    <x v="0"/>
    <x v="0"/>
    <x v="0"/>
    <x v="0"/>
    <x v="0"/>
    <m/>
  </r>
  <r>
    <s v="Factura electrónica"/>
    <s v="eb9e7068b6926a9a8e85a799d84ed4974edd05ed06af844e623caef2703212a88a4b0de68cc66082daba3cfe45767842"/>
    <x v="835"/>
    <n v="-1"/>
    <s v="FVE"/>
    <s v="10-02-2026"/>
    <s v="10-02-2026 09:04:01"/>
    <s v="900800595"/>
    <s v="Provexpress SAS"/>
    <s v="830054539"/>
    <x v="199"/>
    <n v="10467366"/>
    <n v="0"/>
    <n v="0"/>
    <n v="110758588"/>
    <s v="Aprobado con notificación"/>
    <s v="Emitido"/>
    <x v="1"/>
    <x v="0"/>
    <x v="1"/>
    <x v="0"/>
    <x v="0"/>
    <x v="0"/>
    <m/>
  </r>
  <r>
    <s v="Factura electrónica"/>
    <s v="7fb926bebfac3891413a9f0c6619cc05046dcce945356a692f986daaac635bfd7fc047b6f35b4b442bf255059bd7ee16"/>
    <x v="836"/>
    <n v="-1"/>
    <s v="FVE"/>
    <s v="10-02-2026"/>
    <s v="10-02-2026 09:19:13"/>
    <s v="900800595"/>
    <s v="Provexpress SAS"/>
    <s v="860016322"/>
    <x v="421"/>
    <n v="164868.12"/>
    <n v="0"/>
    <n v="0"/>
    <n v="1136654.1200000001"/>
    <s v="Aprobado con notificación"/>
    <s v="Emitido"/>
    <x v="0"/>
    <x v="0"/>
    <x v="1"/>
    <x v="0"/>
    <x v="1"/>
    <x v="0"/>
    <m/>
  </r>
  <r>
    <s v="Factura electrónica"/>
    <s v="b562fb3104c71964166b8a0b4960fe7417651bda9bd2bd4d35fd04f874a5480a1059015f383900b8fedcae638daa07c4"/>
    <x v="837"/>
    <n v="-1"/>
    <s v="FVE"/>
    <s v="10-02-2026"/>
    <s v="10-02-2026 09:19:17"/>
    <s v="900800595"/>
    <s v="Provexpress SAS"/>
    <s v="900979184"/>
    <x v="422"/>
    <n v="29374"/>
    <n v="0"/>
    <n v="0"/>
    <n v="183974"/>
    <s v="Aprobado con notificación"/>
    <s v="Emitido"/>
    <x v="0"/>
    <x v="0"/>
    <x v="1"/>
    <x v="0"/>
    <x v="1"/>
    <x v="0"/>
    <m/>
  </r>
  <r>
    <s v="Factura electrónica"/>
    <s v="640fff3bd40a65142c0ee5200da78398acdbc9aa9229f0a37d0ba89dd813eb94092b40ed7aaf9b7204c9d3928976acfb"/>
    <x v="838"/>
    <n v="-1"/>
    <s v="FVE"/>
    <s v="10-02-2026"/>
    <s v="10-02-2026 09:19:24"/>
    <s v="900800595"/>
    <s v="Provexpress SAS"/>
    <s v="901443323"/>
    <x v="423"/>
    <n v="27844.5"/>
    <n v="0"/>
    <n v="0"/>
    <n v="180544.5"/>
    <s v="Aprobado con notificación"/>
    <s v="Emitido"/>
    <x v="0"/>
    <x v="0"/>
    <x v="1"/>
    <x v="0"/>
    <x v="0"/>
    <x v="1"/>
    <s v="PAGA 24/02/2026"/>
  </r>
  <r>
    <s v="Factura electrónica"/>
    <s v="02a5c42f1a7c4d91c9a546d3f4ba5e0e9376b02aec8ea50073b2c5f05b5b140be813fb383b12c0f39235c7511d0f152d"/>
    <x v="839"/>
    <n v="-1"/>
    <s v="FVE"/>
    <s v="10-02-2026"/>
    <s v="10-02-2026 09:19:28"/>
    <s v="900800595"/>
    <s v="Provexpress SAS"/>
    <s v="901443323"/>
    <x v="423"/>
    <n v="23012.42"/>
    <n v="0"/>
    <n v="0"/>
    <n v="144130.42000000001"/>
    <s v="Aprobado con notificación"/>
    <s v="Emitido"/>
    <x v="0"/>
    <x v="0"/>
    <x v="1"/>
    <x v="0"/>
    <x v="0"/>
    <x v="1"/>
    <s v="PAGA 24/02/2026"/>
  </r>
  <r>
    <s v="Factura electrónica"/>
    <s v="fa7bec9e69b2aa3a1aa6e8c892df51209727fc67e785a620e920bbb25a1a41678640352e51b10b57fc81e5a431114892"/>
    <x v="840"/>
    <n v="-1"/>
    <s v="FVE"/>
    <s v="10-02-2026"/>
    <s v="10-02-2026 09:19:33"/>
    <s v="900800595"/>
    <s v="Provexpress SAS"/>
    <s v="800201307"/>
    <x v="424"/>
    <n v="57815.1"/>
    <n v="0"/>
    <n v="0"/>
    <n v="379205.1"/>
    <s v="Aprobado con notificación"/>
    <s v="Emitido"/>
    <x v="1"/>
    <x v="0"/>
    <x v="1"/>
    <x v="0"/>
    <x v="0"/>
    <x v="0"/>
    <m/>
  </r>
  <r>
    <s v="Factura electrónica"/>
    <s v="b652fa1d2d9512f985c2453f91f1620c2a6d1dec10832eb7e1aaa1a0f53ac1762882bf40593976392fbe3565ddf9679b"/>
    <x v="841"/>
    <n v="-1"/>
    <s v="FVE"/>
    <s v="10-02-2026"/>
    <s v="10-02-2026 09:19:38"/>
    <s v="900800595"/>
    <s v="Provexpress SAS"/>
    <s v="900555485"/>
    <x v="425"/>
    <n v="74100"/>
    <n v="0"/>
    <n v="0"/>
    <n v="464100"/>
    <s v="Aprobado con notificación"/>
    <s v="Emitido"/>
    <x v="0"/>
    <x v="0"/>
    <x v="1"/>
    <x v="0"/>
    <x v="1"/>
    <x v="0"/>
    <m/>
  </r>
  <r>
    <s v="Factura electrónica"/>
    <s v="e253943c8fbd6c2fc55d51e8bdcb483d0f8051384bd334dbf95eb91f12b23f9e0f5bfc032c1231ba028212c4a3ed1a3c"/>
    <x v="842"/>
    <n v="-1"/>
    <s v="FVE"/>
    <s v="10-02-2026"/>
    <s v="10-02-2026 09:19:43"/>
    <s v="900800595"/>
    <s v="Provexpress SAS"/>
    <s v="830022818"/>
    <x v="192"/>
    <n v="682100"/>
    <n v="0"/>
    <n v="0"/>
    <n v="4272100"/>
    <s v="Aprobado con notificación"/>
    <s v="Emitido"/>
    <x v="0"/>
    <x v="0"/>
    <x v="0"/>
    <x v="0"/>
    <x v="0"/>
    <x v="0"/>
    <m/>
  </r>
  <r>
    <s v="Factura electrónica"/>
    <s v="92a58224ed8a3fa2219bd62ca9493c63d00002ea1dc1bb84cc654d9b8f9202fe7e7e33ca517a6297855991cea4f4437d"/>
    <x v="843"/>
    <n v="-1"/>
    <s v="FVE"/>
    <s v="10-02-2026"/>
    <s v="10-02-2026 09:19:48"/>
    <s v="900800595"/>
    <s v="Provexpress SAS"/>
    <s v="860029846"/>
    <x v="295"/>
    <n v="2508950"/>
    <n v="0"/>
    <n v="0"/>
    <n v="15713950"/>
    <s v="Aprobado con notificación"/>
    <s v="Emitido"/>
    <x v="0"/>
    <x v="0"/>
    <x v="1"/>
    <x v="0"/>
    <x v="1"/>
    <x v="0"/>
    <m/>
  </r>
  <r>
    <s v="Factura electrónica"/>
    <s v="a3615bb45058548ff24e025f8f9032ca4e8144690dae6842f7ee20c6c463ae02e36c8df5b30c26d2431226a3b49a88e4"/>
    <x v="844"/>
    <n v="-1"/>
    <s v="FVE"/>
    <s v="10-02-2026"/>
    <s v="10-02-2026 09:34:54"/>
    <s v="900800595"/>
    <s v="Provexpress SAS"/>
    <s v="830061776"/>
    <x v="346"/>
    <n v="48735"/>
    <n v="0"/>
    <n v="0"/>
    <n v="305235"/>
    <s v="Aprobado con notificación"/>
    <s v="Emitido"/>
    <x v="0"/>
    <x v="0"/>
    <x v="1"/>
    <x v="0"/>
    <x v="0"/>
    <x v="1"/>
    <s v="PAGA 12/02/2026"/>
  </r>
  <r>
    <s v="Factura electrónica"/>
    <s v="017882d2dfce7bae6b1f374f33e3c6aa5ee833d31af597712aeee65ae8814e1445da19d76eac4980330647b0a0b9a320"/>
    <x v="845"/>
    <n v="-1"/>
    <s v="FVE"/>
    <s v="10-02-2026"/>
    <s v="10-02-2026 09:34:59"/>
    <s v="900800595"/>
    <s v="Provexpress SAS"/>
    <s v="860028601"/>
    <x v="190"/>
    <n v="763420"/>
    <n v="0"/>
    <n v="0"/>
    <n v="4781420"/>
    <s v="Aprobado con notificación"/>
    <s v="Emitido"/>
    <x v="1"/>
    <x v="0"/>
    <x v="1"/>
    <x v="0"/>
    <x v="0"/>
    <x v="0"/>
    <m/>
  </r>
  <r>
    <s v="Factura electrónica"/>
    <s v="95dc9fda9fdebecd549f5afdb96adb2659824b6acd8bd1dcd669e6a6334511a3938282c09e33d51cb3ccf9af94f753de"/>
    <x v="846"/>
    <n v="-1"/>
    <s v="FVE"/>
    <s v="10-02-2026"/>
    <s v="10-02-2026 10:05:11"/>
    <s v="900800595"/>
    <s v="Provexpress SAS"/>
    <s v="900686337"/>
    <x v="426"/>
    <n v="65931.899999999994"/>
    <n v="0"/>
    <n v="0"/>
    <n v="412941.9"/>
    <s v="Aprobado con notificación"/>
    <s v="Emitido"/>
    <x v="0"/>
    <x v="0"/>
    <x v="1"/>
    <x v="0"/>
    <x v="1"/>
    <x v="0"/>
    <m/>
  </r>
  <r>
    <s v="Factura electrónica"/>
    <s v="de189aa0509c20394edfd57ddb9d606f061ce1172b5213a9905908d11378424e6a6eb6305c0a9e7fcacf36cd04e1092c"/>
    <x v="847"/>
    <n v="-1"/>
    <s v="FVE"/>
    <s v="10-02-2026"/>
    <s v="10-02-2026 10:05:16"/>
    <s v="900800595"/>
    <s v="Provexpress SAS"/>
    <s v="900777099"/>
    <x v="394"/>
    <n v="6068.6"/>
    <n v="0"/>
    <n v="0"/>
    <n v="38008.6"/>
    <s v="Aprobado con notificación"/>
    <s v="Emitido"/>
    <x v="0"/>
    <x v="0"/>
    <x v="1"/>
    <x v="0"/>
    <x v="0"/>
    <x v="1"/>
    <s v="PAGP 20/02/2026"/>
  </r>
  <r>
    <s v="Factura electrónica"/>
    <s v="358d73ffa7403b1090780ae50954b11f896447dcea11be26dce3cc4ea1ab4df74e83db0045f0cb4b9df73c3494b53dec"/>
    <x v="848"/>
    <n v="-1"/>
    <s v="FVE"/>
    <s v="10-02-2026"/>
    <s v="10-02-2026 10:20:27"/>
    <s v="900800595"/>
    <s v="Provexpress SAS"/>
    <s v="900777099"/>
    <x v="394"/>
    <n v="45994.06"/>
    <n v="0"/>
    <n v="0"/>
    <n v="288068.06"/>
    <s v="Aprobado con notificación"/>
    <s v="Emitido"/>
    <x v="0"/>
    <x v="0"/>
    <x v="1"/>
    <x v="0"/>
    <x v="0"/>
    <x v="1"/>
    <s v="PAGO 20/02/2026"/>
  </r>
  <r>
    <s v="Factura electrónica"/>
    <s v="45eeaae2072f422bdae8bf475fb2cbc4afa9fc5e7974f139e57a0d210aa0e74d84ddfe07d97b715a2a8ae1a8a508f7d3"/>
    <x v="849"/>
    <n v="-1"/>
    <s v="FVE"/>
    <s v="10-02-2026"/>
    <s v="10-02-2026 10:20:32"/>
    <s v="900800595"/>
    <s v="Provexpress SAS"/>
    <s v="830058677"/>
    <x v="99"/>
    <n v="662150"/>
    <n v="0"/>
    <n v="0"/>
    <n v="4147150"/>
    <s v="Aprobado con notificación"/>
    <s v="Emitido"/>
    <x v="1"/>
    <x v="0"/>
    <x v="1"/>
    <x v="0"/>
    <x v="0"/>
    <x v="0"/>
    <m/>
  </r>
  <r>
    <s v="Factura electrónica"/>
    <s v="b6d864b80da99e2dc162296049a57abc584de926506d9d46032105923177c8ee60b8cb3f8227c9caa466b9f1d61a7736"/>
    <x v="850"/>
    <n v="-1"/>
    <s v="FVE"/>
    <s v="10-02-2026"/>
    <s v="10-02-2026 10:35:38"/>
    <s v="900800595"/>
    <s v="Provexpress SAS"/>
    <s v="800018359"/>
    <x v="427"/>
    <n v="1349950"/>
    <n v="0"/>
    <n v="0"/>
    <n v="8454950"/>
    <s v="Aprobado con notificación"/>
    <s v="Emitido"/>
    <x v="0"/>
    <x v="0"/>
    <x v="0"/>
    <x v="0"/>
    <x v="0"/>
    <x v="0"/>
    <m/>
  </r>
  <r>
    <s v="Factura electrónica"/>
    <s v="243cc34b1a2e10d0693f80e0d9bb422aac3ec98f10fc2314adeaee7c69a82ac5d189d846cd6ff221df8435b99165bfc8"/>
    <x v="851"/>
    <n v="-1"/>
    <s v="FVE"/>
    <s v="10-02-2026"/>
    <s v="10-02-2026 10:35:43"/>
    <s v="900800595"/>
    <s v="Provexpress SAS"/>
    <s v="900114346"/>
    <x v="104"/>
    <n v="83809"/>
    <n v="0"/>
    <n v="0"/>
    <n v="524909"/>
    <s v="Aprobado con notificación"/>
    <s v="Emitido"/>
    <x v="0"/>
    <x v="1"/>
    <x v="1"/>
    <x v="0"/>
    <x v="0"/>
    <x v="0"/>
    <m/>
  </r>
  <r>
    <s v="Factura electrónica"/>
    <s v="9457eb11b31122b6603cb9b4f4de48d126b4db2b68edf9ffd0f5f05de89524bf2b0b91fbbce8805826ae661fc5d924bb"/>
    <x v="852"/>
    <n v="-1"/>
    <s v="FVE"/>
    <s v="10-02-2026"/>
    <s v="10-02-2026 11:05:51"/>
    <s v="900800595"/>
    <s v="Provexpress SAS"/>
    <s v="805001632"/>
    <x v="428"/>
    <n v="782940.22"/>
    <n v="0"/>
    <n v="0"/>
    <n v="4903678.22"/>
    <s v="Aprobado con notificación"/>
    <s v="Emitido"/>
    <x v="0"/>
    <x v="0"/>
    <x v="1"/>
    <x v="0"/>
    <x v="1"/>
    <x v="0"/>
    <m/>
  </r>
  <r>
    <s v="Factura electrónica"/>
    <s v="956a3b9a1b9750d6a2c3786ac659475ec07fdb71331fdd6f1c87ad2806c412c933e3fd07692bfd73710cb35cf6d49a8d"/>
    <x v="853"/>
    <n v="-1"/>
    <s v="FVE"/>
    <s v="10-02-2026"/>
    <s v="10-02-2026 11:05:56"/>
    <s v="900800595"/>
    <s v="Provexpress SAS"/>
    <s v="900822643"/>
    <x v="429"/>
    <n v="10192620.300000001"/>
    <n v="0"/>
    <n v="0"/>
    <n v="63837990.299999997"/>
    <s v="Aprobado con notificación"/>
    <s v="Emitido"/>
    <x v="0"/>
    <x v="0"/>
    <x v="1"/>
    <x v="0"/>
    <x v="0"/>
    <x v="1"/>
    <s v="PAGO 20/02/2026"/>
  </r>
  <r>
    <s v="Factura electrónica"/>
    <s v="514e4e5a9b89e3bf0ed3d99ed44e02ed00b7113f9398ce8f50f7e1c94eda80d84d63125af7cff918fcb9a967669d047f"/>
    <x v="854"/>
    <n v="-1"/>
    <s v="FVE"/>
    <s v="10-02-2026"/>
    <s v="10-02-2026 11:06:02"/>
    <s v="900800595"/>
    <s v="Provexpress SAS"/>
    <s v="900483711"/>
    <x v="430"/>
    <n v="662888.91"/>
    <n v="0"/>
    <n v="0"/>
    <n v="4151777.91"/>
    <s v="Aprobado con notificación"/>
    <s v="Emitido"/>
    <x v="1"/>
    <x v="0"/>
    <x v="1"/>
    <x v="0"/>
    <x v="0"/>
    <x v="0"/>
    <m/>
  </r>
  <r>
    <s v="Factura electrónica"/>
    <s v="aa44115b0650f1df5f3a71533b35bc2030d7aa2f05e694418cb003c1603eeb243dd377359d792e575db7317d5cad543a"/>
    <x v="855"/>
    <n v="-1"/>
    <s v="FVE"/>
    <s v="10-02-2026"/>
    <s v="10-02-2026 11:21:06"/>
    <s v="900800595"/>
    <s v="Provexpress SAS"/>
    <s v="900483711"/>
    <x v="430"/>
    <n v="1580808.74"/>
    <n v="0"/>
    <n v="0"/>
    <n v="9900854.7400000002"/>
    <s v="Aprobado con notificación"/>
    <s v="Emitido"/>
    <x v="1"/>
    <x v="0"/>
    <x v="1"/>
    <x v="0"/>
    <x v="0"/>
    <x v="0"/>
    <m/>
  </r>
  <r>
    <s v="Factura electrónica"/>
    <s v="090f9306c9a3d807ebe9aeedfbed90c244db18909b6b38a36757616b9fe800357daa259ae8674bef0914c85da4c648c9"/>
    <x v="856"/>
    <n v="-1"/>
    <s v="FVE"/>
    <s v="10-02-2026"/>
    <s v="10-02-2026 11:21:11"/>
    <s v="900800595"/>
    <s v="Provexpress SAS"/>
    <s v="900483711"/>
    <x v="430"/>
    <n v="60661.11"/>
    <n v="0"/>
    <n v="0"/>
    <n v="379930.11"/>
    <s v="Aprobado con notificación"/>
    <s v="Emitido"/>
    <x v="0"/>
    <x v="1"/>
    <x v="1"/>
    <x v="0"/>
    <x v="0"/>
    <x v="0"/>
    <m/>
  </r>
  <r>
    <s v="Factura electrónica"/>
    <s v="adf5ce0e56cc2f89bd84371dce8f9744a2c7f5de4c4c20ffa8a3f290b8bcbc4a803d29cb0c0fa3077c71ab08f3ae1a24"/>
    <x v="857"/>
    <n v="-1"/>
    <s v="FVE"/>
    <s v="10-02-2026"/>
    <s v="10-02-2026 11:21:15"/>
    <s v="900800595"/>
    <s v="Provexpress SAS"/>
    <s v="860529344"/>
    <x v="431"/>
    <n v="266459.8"/>
    <n v="0"/>
    <n v="0"/>
    <n v="1668879.8"/>
    <s v="Aprobado con notificación"/>
    <s v="Emitido"/>
    <x v="0"/>
    <x v="0"/>
    <x v="1"/>
    <x v="0"/>
    <x v="1"/>
    <x v="0"/>
    <m/>
  </r>
  <r>
    <s v="Factura electrónica"/>
    <s v="6eb25a86ae62e44a35f091ccf3f2d98f6b40245c8caf4524d113dc2bb153f691e92998f93106228057cf7b240778379d"/>
    <x v="858"/>
    <n v="-1"/>
    <s v="FVE"/>
    <s v="10-02-2026"/>
    <s v="10-02-2026 11:21:20"/>
    <s v="900800595"/>
    <s v="Provexpress SAS"/>
    <s v="830014567"/>
    <x v="432"/>
    <n v="138443.5"/>
    <n v="0"/>
    <n v="0"/>
    <n v="867093.5"/>
    <s v="Aprobado con notificación"/>
    <s v="Emitido"/>
    <x v="0"/>
    <x v="0"/>
    <x v="1"/>
    <x v="0"/>
    <x v="1"/>
    <x v="0"/>
    <m/>
  </r>
  <r>
    <s v="Factura electrónica"/>
    <s v="342fa23ccbf14a5e588691d396319b121b80c5f3dc02511a08e530c438c60d8531a7ce848e56d9a451f4882d578c1872"/>
    <x v="859"/>
    <n v="-1"/>
    <s v="FVE"/>
    <s v="10-02-2026"/>
    <s v="10-02-2026 11:21:25"/>
    <s v="900800595"/>
    <s v="Provexpress SAS"/>
    <s v="800069554"/>
    <x v="433"/>
    <n v="80896.11"/>
    <n v="0"/>
    <n v="0"/>
    <n v="506665.11"/>
    <s v="Aprobado con notificación"/>
    <s v="Emitido"/>
    <x v="0"/>
    <x v="0"/>
    <x v="1"/>
    <x v="0"/>
    <x v="1"/>
    <x v="0"/>
    <m/>
  </r>
  <r>
    <s v="Factura electrónica"/>
    <s v="c084192055cb14e1a949ff49bc90ca19b88f7883a33d639f62595703119e483087bde8dc5f9b9183729e496dfc1da04f"/>
    <x v="860"/>
    <n v="-1"/>
    <s v="FVE"/>
    <s v="10-02-2026"/>
    <s v="10-02-2026 11:21:29"/>
    <s v="900800595"/>
    <s v="Provexpress SAS"/>
    <s v="860007277"/>
    <x v="434"/>
    <n v="169013.55"/>
    <n v="0"/>
    <n v="0"/>
    <n v="1058558.55"/>
    <s v="Aprobado con notificación"/>
    <s v="Emitido"/>
    <x v="0"/>
    <x v="0"/>
    <x v="1"/>
    <x v="0"/>
    <x v="1"/>
    <x v="0"/>
    <m/>
  </r>
  <r>
    <s v="Factura electrónica"/>
    <s v="51da7a87c7f44d4da04aa2546ef4c1587eb0640d9dfacab7af1b3d53392477c61509384146474b23c20547f664f860dc"/>
    <x v="861"/>
    <n v="-1"/>
    <s v="FVE"/>
    <s v="10-02-2026"/>
    <s v="10-02-2026 11:21:34"/>
    <s v="900800595"/>
    <s v="Provexpress SAS"/>
    <s v="830101651"/>
    <x v="435"/>
    <n v="26653.200000000001"/>
    <n v="0"/>
    <n v="0"/>
    <n v="166933.20000000001"/>
    <s v="Aprobado con notificación"/>
    <s v="Emitido"/>
    <x v="0"/>
    <x v="0"/>
    <x v="0"/>
    <x v="0"/>
    <x v="0"/>
    <x v="0"/>
    <m/>
  </r>
  <r>
    <s v="Factura electrónica"/>
    <s v="8574781aece8e5464ecbe9251622c175b210a06672cb7b835f19ef3061eb931f8b2faac3b0a5ff3b9d3cc13a0ea7d414"/>
    <x v="862"/>
    <n v="-1"/>
    <s v="FVE"/>
    <s v="10-02-2026"/>
    <s v="10-02-2026 11:37:02"/>
    <s v="900800595"/>
    <s v="Provexpress SAS"/>
    <s v="860040585"/>
    <x v="436"/>
    <n v="74670"/>
    <n v="0"/>
    <n v="0"/>
    <n v="467670"/>
    <s v="Aprobado con notificación"/>
    <s v="Emitido"/>
    <x v="0"/>
    <x v="0"/>
    <x v="1"/>
    <x v="0"/>
    <x v="1"/>
    <x v="0"/>
    <m/>
  </r>
  <r>
    <s v="Factura electrónica"/>
    <s v="07d392f145f9339132c10a82bf2c15dc17a651f240ab83c4544d8e51d2e1108163f178de09f9c6bdad663d7b6bda9e3e"/>
    <x v="863"/>
    <n v="-1"/>
    <s v="FVE"/>
    <s v="10-02-2026"/>
    <s v="10-02-2026 11:37:03"/>
    <s v="900800595"/>
    <s v="Provexpress SAS"/>
    <s v="860040585"/>
    <x v="436"/>
    <n v="72833.460000000006"/>
    <n v="0"/>
    <n v="0"/>
    <n v="456167.46"/>
    <s v="Aprobado con notificación"/>
    <s v="Emitido"/>
    <x v="0"/>
    <x v="0"/>
    <x v="1"/>
    <x v="0"/>
    <x v="1"/>
    <x v="0"/>
    <m/>
  </r>
  <r>
    <s v="Factura electrónica"/>
    <s v="b7f8fb9f322ed8bb5a405bcb65c5bdb13d4942dfff8d5fa9a5aee96ff512cdc6eca2ca7d9a4d603adbc6b6f03cd3c7df"/>
    <x v="864"/>
    <n v="-1"/>
    <s v="FVE"/>
    <s v="10-02-2026"/>
    <s v="10-02-2026 11:51:52"/>
    <s v="900800595"/>
    <s v="Provexpress SAS"/>
    <s v="830047444"/>
    <x v="437"/>
    <n v="13870"/>
    <n v="0"/>
    <n v="0"/>
    <n v="86870"/>
    <s v="Aprobado con notificación"/>
    <s v="Emitido"/>
    <x v="0"/>
    <x v="0"/>
    <x v="0"/>
    <x v="0"/>
    <x v="0"/>
    <x v="0"/>
    <m/>
  </r>
  <r>
    <s v="Factura electrónica"/>
    <s v="4c3f63503e1d7ebdda3b685d3c1ee9c30d37cd1897b7d55eb5bcb67a4b56cf352c830b33f60c3499365d0ca537fd3de4"/>
    <x v="865"/>
    <n v="-1"/>
    <s v="FVE"/>
    <s v="10-02-2026"/>
    <s v="10-02-2026 11:51:56"/>
    <s v="900800595"/>
    <s v="Provexpress SAS"/>
    <s v="900302276"/>
    <x v="438"/>
    <n v="134900"/>
    <n v="0"/>
    <n v="0"/>
    <n v="844900"/>
    <s v="Aprobado con notificación"/>
    <s v="Emitido"/>
    <x v="0"/>
    <x v="0"/>
    <x v="1"/>
    <x v="0"/>
    <x v="1"/>
    <x v="0"/>
    <m/>
  </r>
  <r>
    <s v="Factura electrónica"/>
    <s v="e30d981a2d9d5889626d5b14ab26a62f1316234d26790703cd035a9e2acd5a6a2a0a0a948f21cb227c4c272d5a004d51"/>
    <x v="866"/>
    <n v="-1"/>
    <s v="FVE"/>
    <s v="10-02-2026"/>
    <s v="10-02-2026 11:52:38"/>
    <s v="900800595"/>
    <s v="Provexpress SAS"/>
    <s v="830061776"/>
    <x v="346"/>
    <n v="247000"/>
    <n v="0"/>
    <n v="0"/>
    <n v="1547000"/>
    <s v="Aprobado con notificación"/>
    <s v="Emitido"/>
    <x v="0"/>
    <x v="0"/>
    <x v="1"/>
    <x v="0"/>
    <x v="0"/>
    <x v="1"/>
    <s v="PAGA 19/02/2026"/>
  </r>
  <r>
    <s v="Factura electrónica"/>
    <s v="2b3bb0aa7df79a7b54c1d29059d23bed98899fc9a6c75d3e4b1110d13e4afd4fed700031e4a1aef929e21e2e0c96bc36"/>
    <x v="867"/>
    <n v="-1"/>
    <s v="FVE"/>
    <s v="10-02-2026"/>
    <s v="10-02-2026 11:52:40"/>
    <s v="900800595"/>
    <s v="Provexpress SAS"/>
    <s v="860522056"/>
    <x v="85"/>
    <n v="14327.9"/>
    <n v="0"/>
    <n v="0"/>
    <n v="89737.9"/>
    <s v="Aprobado con notificación"/>
    <s v="Emitido"/>
    <x v="1"/>
    <x v="0"/>
    <x v="1"/>
    <x v="0"/>
    <x v="0"/>
    <x v="0"/>
    <m/>
  </r>
  <r>
    <s v="Factura electrónica"/>
    <s v="81e1f132e5cb6e18598cd8f7e9caa22a198c36b0ae0c286799c72b3a224404ae64f81c939679a52ca14d0d1e4d5962c0"/>
    <x v="868"/>
    <n v="-1"/>
    <s v="FVE"/>
    <s v="10-02-2026"/>
    <s v="10-02-2026 11:52:21"/>
    <s v="900800595"/>
    <s v="Provexpress SAS"/>
    <s v="860522056"/>
    <x v="85"/>
    <n v="24073"/>
    <n v="0"/>
    <n v="0"/>
    <n v="150773"/>
    <s v="Aprobado con notificación"/>
    <s v="Emitido"/>
    <x v="0"/>
    <x v="0"/>
    <x v="0"/>
    <x v="0"/>
    <x v="0"/>
    <x v="0"/>
    <m/>
  </r>
  <r>
    <s v="Factura electrónica"/>
    <s v="e104c7b6b4fea975034b3f10c971a23dbc44e36f1320011345335103c7c4816ae07cf9af26d47ce047278659fe6dded8"/>
    <x v="869"/>
    <n v="-1"/>
    <s v="FVE"/>
    <s v="10-02-2026"/>
    <s v="10-02-2026 12:07:16"/>
    <s v="900800595"/>
    <s v="Provexpress SAS"/>
    <s v="800024265"/>
    <x v="24"/>
    <n v="1824247.95"/>
    <n v="0"/>
    <n v="0"/>
    <n v="11425552.949999999"/>
    <s v="Aprobado con notificación"/>
    <s v="Emitido"/>
    <x v="1"/>
    <x v="0"/>
    <x v="1"/>
    <x v="0"/>
    <x v="0"/>
    <x v="0"/>
    <m/>
  </r>
  <r>
    <s v="Factura electrónica"/>
    <s v="c921a2c4af0db36a1d024908bc7cc051ab07a4780c4fffcc44eefaba1ea7fe7aa79f9d228e6074c2c3c830f0b6deba2e"/>
    <x v="870"/>
    <n v="-1"/>
    <s v="FVE"/>
    <s v="10-02-2026"/>
    <s v="10-02-2026 12:07:21"/>
    <s v="900800595"/>
    <s v="Provexpress SAS"/>
    <s v="900509172"/>
    <x v="439"/>
    <n v="200640"/>
    <n v="0"/>
    <n v="0"/>
    <n v="1256640"/>
    <s v="Aprobado con notificación"/>
    <s v="Emitido"/>
    <x v="0"/>
    <x v="0"/>
    <x v="1"/>
    <x v="0"/>
    <x v="0"/>
    <x v="1"/>
    <s v="PAGA 16/02/2026"/>
  </r>
  <r>
    <s v="Factura electrónica"/>
    <s v="08e985aa0c3391daf8420f924209b407e2856440d0cadd51e8bea3f841e0c513594494d37e208e4ca77005cbdb5b08ef"/>
    <x v="871"/>
    <n v="-1"/>
    <s v="FVE"/>
    <s v="10-02-2026"/>
    <s v="10-02-2026 12:07:25"/>
    <s v="900800595"/>
    <s v="Provexpress SAS"/>
    <s v="901783463"/>
    <x v="177"/>
    <n v="213180"/>
    <n v="0"/>
    <n v="0"/>
    <n v="1335180"/>
    <s v="Aprobado con notificación"/>
    <s v="Emitido"/>
    <x v="1"/>
    <x v="0"/>
    <x v="1"/>
    <x v="0"/>
    <x v="0"/>
    <x v="0"/>
    <m/>
  </r>
  <r>
    <s v="Factura electrónica"/>
    <s v="9c73cfb04c39ec598bf48e625d4311bf72d7c3d1cddfac38e184afcb29a7db2aa4022c39611ff1a664ac73abc29b89a5"/>
    <x v="872"/>
    <n v="-1"/>
    <s v="FVE"/>
    <s v="10-02-2026"/>
    <s v="10-02-2026 12:22:32"/>
    <s v="900800595"/>
    <s v="Provexpress SAS"/>
    <s v="830034723"/>
    <x v="440"/>
    <n v="3446513.55"/>
    <n v="0"/>
    <n v="0"/>
    <n v="21586058.550000001"/>
    <s v="Aprobado con notificación"/>
    <s v="Emitido"/>
    <x v="0"/>
    <x v="0"/>
    <x v="1"/>
    <x v="0"/>
    <x v="1"/>
    <x v="0"/>
    <m/>
  </r>
  <r>
    <s v="Factura electrónica"/>
    <s v="02567e96685d4b83f21aa8137bb0dcd9b5bcc2188577d4b742a9f07986b41dd093a28e39f06338a630d71960d08524b4"/>
    <x v="873"/>
    <n v="-1"/>
    <s v="FVE"/>
    <s v="10-02-2026"/>
    <s v="10-02-2026 12:22:36"/>
    <s v="900800595"/>
    <s v="Provexpress SAS"/>
    <s v="830013774"/>
    <x v="441"/>
    <n v="128250"/>
    <n v="0"/>
    <n v="0"/>
    <n v="803250"/>
    <s v="Aprobado con notificación"/>
    <s v="Emitido"/>
    <x v="0"/>
    <x v="0"/>
    <x v="0"/>
    <x v="0"/>
    <x v="0"/>
    <x v="0"/>
    <m/>
  </r>
  <r>
    <s v="Factura electrónica"/>
    <s v="71852322254effd3123984dc90cb29c06b5388e0ab044532fcb2ea7ddf0ed0465a9468dadb2e519844f8992251e94f32"/>
    <x v="874"/>
    <n v="-1"/>
    <s v="FVE"/>
    <s v="10-02-2026"/>
    <s v="10-02-2026 12:22:41"/>
    <s v="900800595"/>
    <s v="Provexpress SAS"/>
    <s v="830513773"/>
    <x v="46"/>
    <n v="363358.09"/>
    <n v="0"/>
    <n v="0"/>
    <n v="2275769.09"/>
    <s v="Aprobado con notificación"/>
    <s v="Emitido"/>
    <x v="0"/>
    <x v="0"/>
    <x v="1"/>
    <x v="0"/>
    <x v="1"/>
    <x v="0"/>
    <m/>
  </r>
  <r>
    <s v="Factura electrónica"/>
    <s v="de7d7c95789228f1f5f68d42a1df193cc1311903b72cf80ee357c63de2215078343976daab50fce787b051723f66db7d"/>
    <x v="875"/>
    <n v="-1"/>
    <s v="FVE"/>
    <s v="10-02-2026"/>
    <s v="10-02-2026 12:22:45"/>
    <s v="900800595"/>
    <s v="Provexpress SAS"/>
    <s v="830513773"/>
    <x v="46"/>
    <n v="380628.71"/>
    <n v="0"/>
    <n v="0"/>
    <n v="2420437.71"/>
    <s v="Aprobado con notificación"/>
    <s v="Emitido"/>
    <x v="0"/>
    <x v="0"/>
    <x v="1"/>
    <x v="0"/>
    <x v="1"/>
    <x v="0"/>
    <m/>
  </r>
  <r>
    <s v="Factura electrónica"/>
    <s v="a1761f8ad576897ea2b5265658425e139d57fa36e024f9b04d4026c36c4bf63ec71efe0717fc43a70e0eeddc639acfb9"/>
    <x v="876"/>
    <n v="-1"/>
    <s v="FVE"/>
    <s v="10-02-2026"/>
    <s v="10-02-2026 12:37:52"/>
    <s v="900800595"/>
    <s v="Provexpress SAS"/>
    <s v="860020058"/>
    <x v="442"/>
    <n v="51300"/>
    <n v="0"/>
    <n v="0"/>
    <n v="321300"/>
    <s v="Aprobado con notificación"/>
    <s v="Emitido"/>
    <x v="1"/>
    <x v="0"/>
    <x v="1"/>
    <x v="0"/>
    <x v="0"/>
    <x v="0"/>
    <m/>
  </r>
  <r>
    <s v="Factura electrónica"/>
    <s v="84415b14a4e48a9cf7036a558b42145a8ee4f663fc513910a4d288def34672600cc1aa74e89f6df7d3c3f911b264af36"/>
    <x v="877"/>
    <n v="-1"/>
    <s v="FVE"/>
    <s v="10-02-2026"/>
    <s v="10-02-2026 12:37:57"/>
    <s v="900800595"/>
    <s v="Provexpress SAS"/>
    <s v="901847883"/>
    <x v="3"/>
    <n v="648969.51"/>
    <n v="0"/>
    <n v="0"/>
    <n v="4064598.51"/>
    <s v="Aprobado con notificación"/>
    <s v="Emitido"/>
    <x v="0"/>
    <x v="0"/>
    <x v="0"/>
    <x v="0"/>
    <x v="0"/>
    <x v="0"/>
    <m/>
  </r>
  <r>
    <s v="Factura electrónica"/>
    <s v="40542805bd9935bac667317c8164160b98d89c7a40f496334516688cf9ff3f8ecf9e4fb102a82180496c7f67abf2f774"/>
    <x v="878"/>
    <n v="-1"/>
    <s v="FVE"/>
    <s v="10-02-2026"/>
    <s v="10-02-2026 12:38:01"/>
    <s v="900800595"/>
    <s v="Provexpress SAS"/>
    <s v="901847883"/>
    <x v="3"/>
    <n v="648969.51"/>
    <n v="0"/>
    <n v="0"/>
    <n v="4064598.51"/>
    <s v="Aprobado con notificación"/>
    <s v="Emitido"/>
    <x v="0"/>
    <x v="0"/>
    <x v="0"/>
    <x v="0"/>
    <x v="0"/>
    <x v="0"/>
    <m/>
  </r>
  <r>
    <s v="Factura electrónica"/>
    <s v="b611d45d02a3dcb334c550c6dc3225bc488d06e8490c51d81b3bf6bc79b0538716743c4517aa735ea628c9d1903cd5de"/>
    <x v="879"/>
    <n v="-1"/>
    <s v="FVE"/>
    <s v="10-02-2026"/>
    <s v="10-02-2026 12:38:06"/>
    <s v="900800595"/>
    <s v="Provexpress SAS"/>
    <s v="901847883"/>
    <x v="3"/>
    <n v="27142.639999999999"/>
    <n v="0"/>
    <n v="0"/>
    <n v="169998.64"/>
    <s v="Aprobado con notificación"/>
    <s v="Emitido"/>
    <x v="0"/>
    <x v="0"/>
    <x v="0"/>
    <x v="0"/>
    <x v="0"/>
    <x v="0"/>
    <m/>
  </r>
  <r>
    <s v="Factura electrónica"/>
    <s v="b5929bcb4ad58f13d227e65a8b22cc1bdac977b866a81808a7ca2b6bc53544333871025d751771c0bd3f1034d986773f"/>
    <x v="880"/>
    <n v="-1"/>
    <s v="FVE"/>
    <s v="10-02-2026"/>
    <s v="10-02-2026 12:38:11"/>
    <s v="900800595"/>
    <s v="Provexpress SAS"/>
    <s v="860037864"/>
    <x v="443"/>
    <n v="2977300"/>
    <n v="0"/>
    <n v="0"/>
    <n v="18647300"/>
    <s v="Aprobado con notificación"/>
    <s v="Emitido"/>
    <x v="0"/>
    <x v="0"/>
    <x v="1"/>
    <x v="0"/>
    <x v="0"/>
    <x v="1"/>
    <s v="PAGA 18/02/2026"/>
  </r>
  <r>
    <s v="Factura electrónica"/>
    <s v="5498eb01b82fe099a94cf3d2b143caabc98e9f476871c7028ddec5062c1f724addadd21730ec2e73380bbd79008d9d6a"/>
    <x v="881"/>
    <n v="-1"/>
    <s v="FVE"/>
    <s v="10-02-2026"/>
    <s v="10-02-2026 13:14:45"/>
    <s v="900800595"/>
    <s v="Provexpress SAS"/>
    <s v="901290132"/>
    <x v="444"/>
    <n v="903406.68"/>
    <n v="0"/>
    <n v="0"/>
    <n v="5658178.6799999997"/>
    <s v="Aprobado con notificación"/>
    <s v="Emitido"/>
    <x v="0"/>
    <x v="0"/>
    <x v="1"/>
    <x v="0"/>
    <x v="1"/>
    <x v="0"/>
    <m/>
  </r>
  <r>
    <s v="Factura electrónica"/>
    <s v="c27c2a74a1a18128cffabd09690b9b3c4b8a99923e815f79c1c3cd98ba8da896af86db0058902d67d24477a5e6bfe91e"/>
    <x v="882"/>
    <n v="-1"/>
    <s v="FVE"/>
    <s v="10-02-2026"/>
    <s v="10-02-2026 13:14:55"/>
    <s v="900800595"/>
    <s v="Provexpress SAS"/>
    <s v="800241469"/>
    <x v="48"/>
    <n v="712500"/>
    <n v="0"/>
    <n v="0"/>
    <n v="4462500"/>
    <s v="Aprobado con notificación"/>
    <s v="Emitido"/>
    <x v="0"/>
    <x v="0"/>
    <x v="0"/>
    <x v="0"/>
    <x v="0"/>
    <x v="0"/>
    <m/>
  </r>
  <r>
    <s v="Factura electrónica"/>
    <s v="37b0927a1fd0a23882b7167d601c0e8a54fa7578684048f9df2f0bc830e80cd906c37a7054bc24ff3c234327785086b7"/>
    <x v="883"/>
    <n v="-1"/>
    <s v="FVE"/>
    <s v="10-02-2026"/>
    <s v="10-02-2026 13:44:15"/>
    <s v="900800595"/>
    <s v="Provexpress SAS"/>
    <s v="830502282"/>
    <x v="445"/>
    <n v="141897.13"/>
    <n v="0"/>
    <n v="0"/>
    <n v="888724.13"/>
    <s v="Aprobado con notificación"/>
    <s v="Emitido"/>
    <x v="0"/>
    <x v="0"/>
    <x v="1"/>
    <x v="0"/>
    <x v="1"/>
    <x v="0"/>
    <m/>
  </r>
  <r>
    <s v="Factura electrónica"/>
    <s v="ac028583baf701545e129f30bcc10d2b349abfea4f318a9b3487ec051384008058b5677d43a51ee74e74779ec342777c"/>
    <x v="884"/>
    <n v="-1"/>
    <s v="FVE"/>
    <s v="10-02-2026"/>
    <s v="10-02-2026 13:42:28"/>
    <s v="900800595"/>
    <s v="Provexpress SAS"/>
    <s v="830080641"/>
    <x v="110"/>
    <n v="1059820"/>
    <n v="0"/>
    <n v="0"/>
    <n v="6637820"/>
    <s v="Aprobado con notificación"/>
    <s v="Emitido"/>
    <x v="0"/>
    <x v="0"/>
    <x v="0"/>
    <x v="0"/>
    <x v="0"/>
    <x v="0"/>
    <m/>
  </r>
  <r>
    <s v="Factura electrónica"/>
    <s v="149c703c512067282302539530fa5e5f5963923186667b0056c75145ba503e690adf60bcea60434baca60631e223ceed"/>
    <x v="885"/>
    <n v="-1"/>
    <s v="FVE"/>
    <s v="10-02-2026"/>
    <s v="10-02-2026 13:44:15"/>
    <s v="900800595"/>
    <s v="Provexpress SAS"/>
    <s v="830062005"/>
    <x v="446"/>
    <n v="152912"/>
    <n v="0"/>
    <n v="0"/>
    <n v="967312"/>
    <s v="Aprobado con notificación"/>
    <s v="Emitido"/>
    <x v="0"/>
    <x v="0"/>
    <x v="0"/>
    <x v="0"/>
    <x v="0"/>
    <x v="0"/>
    <m/>
  </r>
  <r>
    <s v="Factura electrónica"/>
    <s v="8ca27eb4d243a9189c5b79609af74605ae743eba0550dd13dc00636487a1e6d28b9d9acc0f00ff4ce1a5bb846923d2fb"/>
    <x v="886"/>
    <n v="-1"/>
    <s v="FVE"/>
    <s v="10-02-2026"/>
    <s v="10-02-2026 13:42:28"/>
    <s v="900800595"/>
    <s v="Provexpress SAS"/>
    <s v="804003084"/>
    <x v="179"/>
    <n v="41800"/>
    <n v="0"/>
    <n v="0"/>
    <n v="261800"/>
    <s v="Aprobado con notificación"/>
    <s v="Emitido"/>
    <x v="0"/>
    <x v="0"/>
    <x v="1"/>
    <x v="0"/>
    <x v="1"/>
    <x v="0"/>
    <m/>
  </r>
  <r>
    <s v="Factura electrónica"/>
    <s v="76d8d8dd40b296027d1c636931bd29124164a52976ee55fbb8122e3db534d2df10f162e9050161d477ba8a8f210541d7"/>
    <x v="887"/>
    <n v="-1"/>
    <s v="FVE"/>
    <s v="10-02-2026"/>
    <s v="10-02-2026 13:42:23"/>
    <s v="900800595"/>
    <s v="Provexpress SAS"/>
    <s v="800251569"/>
    <x v="175"/>
    <n v="0"/>
    <n v="0"/>
    <n v="0"/>
    <n v="973052"/>
    <s v="Aprobado con notificación"/>
    <s v="Emitido"/>
    <x v="0"/>
    <x v="0"/>
    <x v="1"/>
    <x v="0"/>
    <x v="0"/>
    <x v="1"/>
    <s v="PAGA 16/02/2026"/>
  </r>
  <r>
    <s v="Factura electrónica"/>
    <s v="688ded2c6c8898bea5cca910e944de069c57547c23fa79074a9529b23a2ec798d898c629dddc7052653355e49183ef8b"/>
    <x v="888"/>
    <n v="-1"/>
    <s v="FVE"/>
    <s v="10-02-2026"/>
    <s v="10-02-2026 14:31:29"/>
    <s v="900800595"/>
    <s v="Provexpress SAS"/>
    <s v="900081694"/>
    <x v="350"/>
    <n v="2674679.4"/>
    <n v="0"/>
    <n v="0"/>
    <n v="16751939.4"/>
    <s v="Aprobado con notificación"/>
    <s v="Emitido"/>
    <x v="0"/>
    <x v="0"/>
    <x v="1"/>
    <x v="0"/>
    <x v="0"/>
    <x v="1"/>
    <s v="PAGA 20/02/2026"/>
  </r>
  <r>
    <s v="Factura electrónica"/>
    <s v="933faacbc83f2a9a85aa2a09054d32a0ffe13aa3e448e107ed5f0890ca8454eed17486878c8d45f5aed46dc10979f0d2"/>
    <x v="889"/>
    <n v="-1"/>
    <s v="FVE"/>
    <s v="10-02-2026"/>
    <s v="10-02-2026 14:31:32"/>
    <s v="900800595"/>
    <s v="Provexpress SAS"/>
    <s v="900081694"/>
    <x v="350"/>
    <n v="49400"/>
    <n v="0"/>
    <n v="0"/>
    <n v="309400"/>
    <s v="Aprobado con notificación"/>
    <s v="Emitido"/>
    <x v="0"/>
    <x v="0"/>
    <x v="1"/>
    <x v="0"/>
    <x v="0"/>
    <x v="1"/>
    <s v="PAGA 20/02/2026"/>
  </r>
  <r>
    <s v="Factura electrónica"/>
    <s v="632ee3d91babda9dd0b6c59532180e65e31e786f5fc631e4938eb3ad4405e6be40d52e7423a9d00b70c17e24a3e0e476"/>
    <x v="890"/>
    <n v="-1"/>
    <s v="FVE"/>
    <s v="10-02-2026"/>
    <s v="10-02-2026 14:31:34"/>
    <s v="900800595"/>
    <s v="Provexpress SAS"/>
    <s v="901321010"/>
    <x v="447"/>
    <n v="85500"/>
    <n v="0"/>
    <n v="0"/>
    <n v="535500"/>
    <s v="Aprobado con notificación"/>
    <s v="Emitido"/>
    <x v="0"/>
    <x v="0"/>
    <x v="0"/>
    <x v="0"/>
    <x v="0"/>
    <x v="0"/>
    <m/>
  </r>
  <r>
    <s v="Factura electrónica"/>
    <s v="fad52f62a116dc267024731ab4d24986500607f91a606083be50026efe86864c4f0ad037ea20f1a147e8d24c09778045"/>
    <x v="891"/>
    <n v="-1"/>
    <s v="FVE"/>
    <s v="10-02-2026"/>
    <s v="10-02-2026 14:31:37"/>
    <s v="900800595"/>
    <s v="Provexpress SAS"/>
    <s v="900611019"/>
    <x v="73"/>
    <n v="6249227.2999999998"/>
    <n v="0"/>
    <n v="0"/>
    <n v="39139897.299999997"/>
    <s v="Aprobado con notificación"/>
    <s v="Emitido"/>
    <x v="1"/>
    <x v="0"/>
    <x v="1"/>
    <x v="0"/>
    <x v="0"/>
    <x v="0"/>
    <m/>
  </r>
  <r>
    <s v="Factura electrónica"/>
    <s v="6d5f096d37dbf8b62e503362c646d8cc1a882bf58f04ade5e0f55b3d9151f1616c2e6a820a34d6ec6cc6e1a4c0c77f74"/>
    <x v="892"/>
    <n v="-1"/>
    <s v="FVE"/>
    <s v="10-02-2026"/>
    <s v="10-02-2026 14:31:42"/>
    <s v="900800595"/>
    <s v="Provexpress SAS"/>
    <s v="830513773"/>
    <x v="46"/>
    <n v="12268.87"/>
    <n v="0"/>
    <n v="0"/>
    <n v="76841.87"/>
    <s v="Aprobado con notificación"/>
    <s v="Emitido"/>
    <x v="0"/>
    <x v="0"/>
    <x v="1"/>
    <x v="0"/>
    <x v="1"/>
    <x v="0"/>
    <m/>
  </r>
  <r>
    <s v="Factura electrónica"/>
    <s v="08c5ab57ba8ec778faa84b8b49f19584fe350ff6a35c135c9d243b728e0e69143a37b0bc90b6d89fd57b4f2ccbd017ff"/>
    <x v="893"/>
    <n v="-1"/>
    <s v="FVE"/>
    <s v="10-02-2026"/>
    <s v="10-02-2026 14:31:49"/>
    <s v="900800595"/>
    <s v="Provexpress SAS"/>
    <s v="860003437"/>
    <x v="448"/>
    <n v="83609.69"/>
    <n v="0"/>
    <n v="0"/>
    <n v="523660.69"/>
    <s v="Aprobado con notificación"/>
    <s v="Emitido"/>
    <x v="0"/>
    <x v="0"/>
    <x v="1"/>
    <x v="0"/>
    <x v="0"/>
    <x v="1"/>
    <s v="PAGA 2/03/2026"/>
  </r>
  <r>
    <s v="Factura electrónica"/>
    <s v="521b615447698df92a1e6deaa2efec2c5ab9bf7ff2a670800e1b86a0a27b8cbb9b6f568a48d80b572b0d39c74565c9e7"/>
    <x v="894"/>
    <n v="-1"/>
    <s v="FVE"/>
    <s v="10-02-2026"/>
    <s v="10-02-2026 14:31:49"/>
    <s v="900800595"/>
    <s v="Provexpress SAS"/>
    <s v="860522056"/>
    <x v="85"/>
    <n v="122437.9"/>
    <n v="0"/>
    <n v="0"/>
    <n v="785697.9"/>
    <s v="Aprobado con notificación"/>
    <s v="Emitido"/>
    <x v="1"/>
    <x v="0"/>
    <x v="1"/>
    <x v="0"/>
    <x v="0"/>
    <x v="0"/>
    <m/>
  </r>
  <r>
    <s v="Factura electrónica"/>
    <s v="280a31874c7933e67ab0b7bf5b51bf9e3c1b70d08b95f2116d02f2f47af41146411d07997bc5fd36f87c60488ef60a43"/>
    <x v="895"/>
    <n v="-1"/>
    <s v="FVE"/>
    <s v="10-02-2026"/>
    <s v="10-02-2026 14:40:25"/>
    <s v="900800595"/>
    <s v="Provexpress SAS"/>
    <s v="800200139"/>
    <x v="449"/>
    <n v="81280.100000000006"/>
    <n v="0"/>
    <n v="0"/>
    <n v="535320.1"/>
    <s v="Aprobado con notificación"/>
    <s v="Emitido"/>
    <x v="0"/>
    <x v="0"/>
    <x v="1"/>
    <x v="0"/>
    <x v="1"/>
    <x v="0"/>
    <m/>
  </r>
  <r>
    <s v="Factura electrónica"/>
    <s v="f0ab820043454c35322b5a85d8f261d3ab8a561efdcb44bec1f5ecff461c693768299178769229ab3edd16d2807a5318"/>
    <x v="896"/>
    <n v="-1"/>
    <s v="FVE"/>
    <s v="10-02-2026"/>
    <s v="10-02-2026 14:40:27"/>
    <s v="900800595"/>
    <s v="Provexpress SAS"/>
    <s v="830014193"/>
    <x v="450"/>
    <n v="229485.04"/>
    <n v="0"/>
    <n v="0"/>
    <n v="1437301.04"/>
    <s v="Aprobado con notificación"/>
    <s v="Emitido"/>
    <x v="0"/>
    <x v="0"/>
    <x v="1"/>
    <x v="0"/>
    <x v="1"/>
    <x v="0"/>
    <m/>
  </r>
  <r>
    <s v="Factura electrónica"/>
    <s v="7c2864433a91023b3c81706595ce036eb97d392b470bb12930b55b8e836afc67f4c686444b8b1b165723340cc03cd952"/>
    <x v="897"/>
    <n v="-1"/>
    <s v="FVE"/>
    <s v="10-02-2026"/>
    <s v="10-02-2026 14:54:45"/>
    <s v="900800595"/>
    <s v="Provexpress SAS"/>
    <s v="901137699"/>
    <x v="451"/>
    <n v="1742110"/>
    <n v="0"/>
    <n v="0"/>
    <n v="10911110"/>
    <s v="Aprobado con notificación"/>
    <s v="Emitido"/>
    <x v="1"/>
    <x v="0"/>
    <x v="1"/>
    <x v="0"/>
    <x v="0"/>
    <x v="0"/>
    <m/>
  </r>
  <r>
    <s v="Factura electrónica"/>
    <s v="33ee623e0e85c76758858f27562573ce0ccd55ac721446d8883d4fab8736fc96393e243bace22d1871619f607d057fc1"/>
    <x v="898"/>
    <n v="-1"/>
    <s v="FVE"/>
    <s v="10-02-2026"/>
    <s v="10-02-2026 14:54:50"/>
    <s v="900800595"/>
    <s v="Provexpress SAS"/>
    <s v="901122393"/>
    <x v="452"/>
    <n v="27550"/>
    <n v="0"/>
    <n v="0"/>
    <n v="172550"/>
    <s v="Aprobado con notificación"/>
    <s v="Emitido"/>
    <x v="0"/>
    <x v="0"/>
    <x v="1"/>
    <x v="1"/>
    <x v="0"/>
    <x v="0"/>
    <m/>
  </r>
  <r>
    <s v="Factura electrónica"/>
    <s v="0f20b2aae89d0deabdd71417c835cd739b00d5e1c2478dc22aaecce95dc6e397a136f820cb1c8977c07b9f6fd839f8ab"/>
    <x v="899"/>
    <n v="-1"/>
    <s v="FVE"/>
    <s v="10-02-2026"/>
    <s v="10-02-2026 14:54:54"/>
    <s v="900800595"/>
    <s v="Provexpress SAS"/>
    <s v="901804480"/>
    <x v="167"/>
    <n v="187530"/>
    <n v="0"/>
    <n v="0"/>
    <n v="1174530"/>
    <s v="Aprobado con notificación"/>
    <s v="Emitido"/>
    <x v="0"/>
    <x v="0"/>
    <x v="0"/>
    <x v="0"/>
    <x v="0"/>
    <x v="0"/>
    <m/>
  </r>
  <r>
    <s v="Factura electrónica"/>
    <s v="74ace3223ad3c3df294a0dd2177cdd81205e70799a1fd7ad599f4be9754e648367dbef2fccbb27cc10d8a7d29c947a40"/>
    <x v="900"/>
    <n v="-1"/>
    <s v="FVE"/>
    <s v="10-02-2026"/>
    <s v="10-02-2026 14:54:58"/>
    <s v="900800595"/>
    <s v="Provexpress SAS"/>
    <s v="830004748"/>
    <x v="453"/>
    <n v="33250"/>
    <n v="0"/>
    <n v="0"/>
    <n v="208250"/>
    <s v="Aprobado con notificación"/>
    <s v="Emitido"/>
    <x v="1"/>
    <x v="0"/>
    <x v="1"/>
    <x v="0"/>
    <x v="0"/>
    <x v="0"/>
    <m/>
  </r>
  <r>
    <s v="Factura electrónica"/>
    <s v="882d348190d71e618f2753f64fe9bc1b21281cba35216236ffc4cd901b8bf9343e29e1f5f62336ef011934afff256f7b"/>
    <x v="901"/>
    <n v="-1"/>
    <s v="FVE"/>
    <s v="10-02-2026"/>
    <s v="10-02-2026 14:55:04"/>
    <s v="900800595"/>
    <s v="Provexpress SAS"/>
    <s v="900466858"/>
    <x v="250"/>
    <n v="79800"/>
    <n v="0"/>
    <n v="0"/>
    <n v="499800"/>
    <s v="Aprobado con notificación"/>
    <s v="Emitido"/>
    <x v="0"/>
    <x v="0"/>
    <x v="1"/>
    <x v="0"/>
    <x v="1"/>
    <x v="0"/>
    <m/>
  </r>
  <r>
    <s v="Factura electrónica"/>
    <s v="f276da7a076bc521c1a6bdfe9b18b440a9aab2ecf0ddc5183dadd5ba9308617eae021ca8c2132d6574ddde5e016bafeb"/>
    <x v="902"/>
    <n v="-1"/>
    <s v="FVE"/>
    <s v="10-02-2026"/>
    <s v="10-02-2026 14:55:08"/>
    <s v="900800595"/>
    <s v="Provexpress SAS"/>
    <s v="901122393"/>
    <x v="452"/>
    <n v="110200"/>
    <n v="0"/>
    <n v="0"/>
    <n v="690200"/>
    <s v="Aprobado con notificación"/>
    <s v="Emitido"/>
    <x v="0"/>
    <x v="0"/>
    <x v="1"/>
    <x v="1"/>
    <x v="0"/>
    <x v="0"/>
    <m/>
  </r>
  <r>
    <s v="Factura electrónica"/>
    <s v="d5c10a4b5871640ceec4faf76270379750d9a02772f11ed359ad836f73b8ac305c60cd669506bb85c8024af70e075fb4"/>
    <x v="903"/>
    <n v="-1"/>
    <s v="FVE"/>
    <s v="10-02-2026"/>
    <s v="10-02-2026 14:55:13"/>
    <s v="900800595"/>
    <s v="Provexpress SAS"/>
    <s v="901054874"/>
    <x v="248"/>
    <n v="74651"/>
    <n v="0"/>
    <n v="0"/>
    <n v="467551"/>
    <s v="Aprobado con notificación"/>
    <s v="Emitido"/>
    <x v="0"/>
    <x v="0"/>
    <x v="1"/>
    <x v="0"/>
    <x v="1"/>
    <x v="0"/>
    <m/>
  </r>
  <r>
    <s v="Factura electrónica"/>
    <s v="35c99a33cd6cd93b9299a3977e0336915938f872ee0b2bf4e90ea1ab7acff2681df066c5bdd9e560e560afe772cf0693"/>
    <x v="904"/>
    <n v="-1"/>
    <s v="FVE"/>
    <s v="10-02-2026"/>
    <s v="10-02-2026 15:10:20"/>
    <s v="900800595"/>
    <s v="Provexpress SAS"/>
    <s v="860031361"/>
    <x v="147"/>
    <n v="166896.5"/>
    <n v="0"/>
    <n v="0"/>
    <n v="1109846.5"/>
    <s v="Aprobado con notificación"/>
    <s v="Emitido"/>
    <x v="0"/>
    <x v="0"/>
    <x v="1"/>
    <x v="0"/>
    <x v="1"/>
    <x v="0"/>
    <m/>
  </r>
  <r>
    <s v="Factura electrónica"/>
    <s v="ab83151992b27570daee755f7ad0343cc1d857a3e4684b3ee23e3d7cbc192c7faa1c3fd6f7a17f899c296346230935bf"/>
    <x v="905"/>
    <n v="-1"/>
    <s v="FVE"/>
    <s v="10-02-2026"/>
    <s v="10-02-2026 15:10:25"/>
    <s v="900800595"/>
    <s v="Provexpress SAS"/>
    <s v="900610518"/>
    <x v="327"/>
    <n v="1795190.3"/>
    <n v="0"/>
    <n v="0"/>
    <n v="11243560.300000001"/>
    <s v="Aprobado con notificación"/>
    <s v="Emitido"/>
    <x v="0"/>
    <x v="0"/>
    <x v="1"/>
    <x v="1"/>
    <x v="0"/>
    <x v="0"/>
    <m/>
  </r>
  <r>
    <s v="Factura electrónica"/>
    <s v="db8f6d1506ceaeacbe9f287a012a723e0a7f4bff217cd33b84804dd859f98d9a4c85eb0a4a9b3ed99b64457ccbfb032b"/>
    <x v="906"/>
    <n v="-1"/>
    <s v="FVE"/>
    <s v="10-02-2026"/>
    <s v="10-02-2026 15:10:29"/>
    <s v="900800595"/>
    <s v="Provexpress SAS"/>
    <s v="800210556"/>
    <x v="324"/>
    <n v="144020"/>
    <n v="0"/>
    <n v="0"/>
    <n v="902020"/>
    <s v="Aprobado con notificación"/>
    <s v="Emitido"/>
    <x v="0"/>
    <x v="0"/>
    <x v="1"/>
    <x v="0"/>
    <x v="1"/>
    <x v="0"/>
    <m/>
  </r>
  <r>
    <s v="Factura electrónica"/>
    <s v="4d90ddd0a08dfbc58d098430a1671ee2d1d9482600546aad375c9806f524f59482a29ab27f9c741d47b0f769d62e8561"/>
    <x v="907"/>
    <n v="-1"/>
    <s v="FVE"/>
    <s v="10-02-2026"/>
    <s v="10-02-2026 15:10:34"/>
    <s v="900800595"/>
    <s v="Provexpress SAS"/>
    <s v="830033206"/>
    <x v="454"/>
    <n v="5760657.9000000004"/>
    <n v="0"/>
    <n v="0"/>
    <n v="36079910"/>
    <s v="Aprobado con notificación"/>
    <s v="Emitido"/>
    <x v="1"/>
    <x v="0"/>
    <x v="1"/>
    <x v="0"/>
    <x v="0"/>
    <x v="0"/>
    <m/>
  </r>
  <r>
    <s v="Factura electrónica"/>
    <s v="3b55f6e961870347febee413f4edf7d13a1174d0f2aa539e79869aedfd32c5179582649b289799837b2a0bdbc98e42d4"/>
    <x v="908"/>
    <n v="-1"/>
    <s v="FVE"/>
    <s v="10-02-2026"/>
    <s v="10-02-2026 15:25:41"/>
    <s v="900800595"/>
    <s v="Provexpress SAS"/>
    <s v="860015905"/>
    <x v="314"/>
    <n v="84550"/>
    <n v="0"/>
    <n v="0"/>
    <n v="529550"/>
    <s v="Aprobado con notificación"/>
    <s v="Emitido"/>
    <x v="0"/>
    <x v="0"/>
    <x v="0"/>
    <x v="0"/>
    <x v="0"/>
    <x v="0"/>
    <m/>
  </r>
  <r>
    <s v="Factura electrónica"/>
    <s v="6887e5ca718d857b84b77ce13794990cc4d4a930655e78335db6b2c33a3c6c52ae66bbbb7ccea8b3d15181d3011f86fd"/>
    <x v="909"/>
    <n v="-1"/>
    <s v="FVE"/>
    <s v="10-02-2026"/>
    <s v="10-02-2026 15:25:45"/>
    <s v="900800595"/>
    <s v="Provexpress SAS"/>
    <s v="860015905"/>
    <x v="314"/>
    <n v="28297.84"/>
    <n v="0"/>
    <n v="0"/>
    <n v="177233.84"/>
    <s v="Aprobado con notificación"/>
    <s v="Emitido"/>
    <x v="0"/>
    <x v="0"/>
    <x v="1"/>
    <x v="0"/>
    <x v="1"/>
    <x v="0"/>
    <m/>
  </r>
  <r>
    <s v="Factura electrónica"/>
    <s v="870dc35e2d30b170d910aa2213afe6641bcb1252b908299bebd770f864f676fab7800857f5bb135683001b75141b37a1"/>
    <x v="910"/>
    <n v="-1"/>
    <s v="FVE"/>
    <s v="10-02-2026"/>
    <s v="10-02-2026 15:25:51"/>
    <s v="900800595"/>
    <s v="Provexpress SAS"/>
    <s v="900106694"/>
    <x v="205"/>
    <n v="0"/>
    <n v="0"/>
    <n v="0"/>
    <n v="780000"/>
    <s v="Aprobado con notificación"/>
    <s v="Emitido"/>
    <x v="0"/>
    <x v="0"/>
    <x v="0"/>
    <x v="0"/>
    <x v="0"/>
    <x v="0"/>
    <m/>
  </r>
  <r>
    <s v="Factura electrónica"/>
    <s v="b48fc00a3643456a623ffe8d7018298d6ce10680c1335af87654190410b008a82f46d808d03b29164deed25d39032d80"/>
    <x v="911"/>
    <n v="-1"/>
    <s v="FVE"/>
    <s v="10-02-2026"/>
    <s v="10-02-2026 15:25:55"/>
    <s v="900800595"/>
    <s v="Provexpress SAS"/>
    <s v="901108023"/>
    <x v="455"/>
    <n v="0"/>
    <n v="0"/>
    <n v="0"/>
    <n v="3920000"/>
    <s v="Aprobado con notificación"/>
    <s v="Emitido"/>
    <x v="0"/>
    <x v="0"/>
    <x v="1"/>
    <x v="0"/>
    <x v="1"/>
    <x v="0"/>
    <m/>
  </r>
  <r>
    <s v="Factura electrónica"/>
    <s v="d0b2523b27dc77bc52da959dfdae192769707d849ca074a214ab3c5470b9b4e6584bddafbcf953e4fafd6180339ca8d1"/>
    <x v="912"/>
    <n v="-1"/>
    <s v="FVE"/>
    <s v="10-02-2026"/>
    <s v="10-02-2026 15:41:01"/>
    <s v="900800595"/>
    <s v="Provexpress SAS"/>
    <s v="890400246"/>
    <x v="456"/>
    <n v="79610"/>
    <n v="0"/>
    <n v="0"/>
    <n v="498610"/>
    <s v="Aprobado con notificación"/>
    <s v="Emitido"/>
    <x v="0"/>
    <x v="1"/>
    <x v="1"/>
    <x v="0"/>
    <x v="0"/>
    <x v="0"/>
    <m/>
  </r>
  <r>
    <s v="Factura electrónica"/>
    <s v="a63c7a72f95ce9150768aaf48ccc8552cd5ecd6fc8758d9b83025c354c76edddc1c16d371d0abd35ed7e6e4d871a3187"/>
    <x v="913"/>
    <n v="-1"/>
    <s v="FVE"/>
    <s v="10-02-2026"/>
    <s v="10-02-2026 15:41:05"/>
    <s v="900800595"/>
    <s v="Provexpress SAS"/>
    <s v="900159106"/>
    <x v="457"/>
    <n v="941569.51"/>
    <n v="0"/>
    <n v="0"/>
    <n v="5897198.5099999998"/>
    <s v="Aprobado con notificación"/>
    <s v="Emitido"/>
    <x v="0"/>
    <x v="0"/>
    <x v="1"/>
    <x v="0"/>
    <x v="1"/>
    <x v="0"/>
    <m/>
  </r>
  <r>
    <s v="Factura electrónica"/>
    <s v="283624ed4da9f19347245f86080e6ca3d428e81ddcf569134778829f38c81c423b892e8ce29d2e9d057bad0af6e067af"/>
    <x v="914"/>
    <n v="-1"/>
    <s v="FVE"/>
    <s v="10-02-2026"/>
    <s v="10-02-2026 15:41:10"/>
    <s v="900800595"/>
    <s v="Provexpress SAS"/>
    <s v="830097673"/>
    <x v="458"/>
    <n v="2594070"/>
    <n v="0"/>
    <n v="0"/>
    <n v="16247070"/>
    <s v="Aprobado con notificación"/>
    <s v="Emitido"/>
    <x v="0"/>
    <x v="0"/>
    <x v="1"/>
    <x v="0"/>
    <x v="0"/>
    <x v="1"/>
    <s v="PAGA 24/02/2026"/>
  </r>
  <r>
    <s v="Factura electrónica"/>
    <s v="e0bd63af78390d1a279538ff9e041e99b1bc17308a4c7a2bb051470d55c4744010cbd25db093c109f7df2541de76f5fb"/>
    <x v="915"/>
    <n v="-1"/>
    <s v="FVE"/>
    <s v="10-02-2026"/>
    <s v="10-02-2026 15:41:15"/>
    <s v="900800595"/>
    <s v="Provexpress SAS"/>
    <s v="860025596"/>
    <x v="255"/>
    <n v="186977.29"/>
    <n v="0"/>
    <n v="0"/>
    <n v="1171068.29"/>
    <s v="Aprobado con notificación"/>
    <s v="Emitido"/>
    <x v="0"/>
    <x v="0"/>
    <x v="1"/>
    <x v="0"/>
    <x v="1"/>
    <x v="0"/>
    <m/>
  </r>
  <r>
    <s v="Factura electrónica"/>
    <s v="497c0cf08eab646e953d0d1ccbef0931d60804360cfe8a25e87fc4106a126f8e2162834b8537e566a76e96b271c8813f"/>
    <x v="916"/>
    <n v="-1"/>
    <s v="FVE"/>
    <s v="10-02-2026"/>
    <s v="10-02-2026 15:41:20"/>
    <s v="900800595"/>
    <s v="Provexpress SAS"/>
    <s v="830041970"/>
    <x v="196"/>
    <n v="325470"/>
    <n v="0"/>
    <n v="0"/>
    <n v="2038470"/>
    <s v="Aprobado con notificación"/>
    <s v="Emitido"/>
    <x v="0"/>
    <x v="0"/>
    <x v="1"/>
    <x v="0"/>
    <x v="0"/>
    <x v="1"/>
    <s v="PAGA 23/02/2026"/>
  </r>
  <r>
    <s v="Factura electrónica"/>
    <s v="35f2493f290d371456f258a82335e2f2c807ecc968399b193ca2ba060d1fa35abe55589b2d3dea56c027d5ede4fd3814"/>
    <x v="917"/>
    <n v="-1"/>
    <s v="FVE"/>
    <s v="10-02-2026"/>
    <s v="10-02-2026 15:41:25"/>
    <s v="900800595"/>
    <s v="Provexpress SAS"/>
    <s v="800042119"/>
    <x v="187"/>
    <n v="185942.74"/>
    <n v="0"/>
    <n v="0"/>
    <n v="1164588.74"/>
    <s v="Aprobado con notificación"/>
    <s v="Emitido"/>
    <x v="1"/>
    <x v="0"/>
    <x v="1"/>
    <x v="0"/>
    <x v="0"/>
    <x v="0"/>
    <m/>
  </r>
  <r>
    <s v="Factura electrónica"/>
    <s v="4547204e5bdb7a5d3f41f8ecad038659c58133390a960f746539f68b6a1d748c6ec0d808a363ccc006bb0c6480fdc5fe"/>
    <x v="918"/>
    <n v="-1"/>
    <s v="FVE"/>
    <s v="10-02-2026"/>
    <s v="10-02-2026 15:41:29"/>
    <s v="900800595"/>
    <s v="Provexpress SAS"/>
    <s v="860508470"/>
    <x v="240"/>
    <n v="303620"/>
    <n v="0"/>
    <n v="0"/>
    <n v="1901620"/>
    <s v="Aprobado con notificación"/>
    <s v="Emitido"/>
    <x v="1"/>
    <x v="0"/>
    <x v="1"/>
    <x v="0"/>
    <x v="0"/>
    <x v="0"/>
    <m/>
  </r>
  <r>
    <s v="Factura electrónica"/>
    <s v="ff666333fd461f07e72eea3fc09039d0e2e2dd1279411fc14fb8aae44b597236f837119293bdb8e75055b5f14f7c153e"/>
    <x v="919"/>
    <n v="-1"/>
    <s v="FVE"/>
    <s v="10-02-2026"/>
    <s v="10-02-2026 15:41:34"/>
    <s v="900800595"/>
    <s v="Provexpress SAS"/>
    <s v="830022818"/>
    <x v="192"/>
    <n v="294215"/>
    <n v="0"/>
    <n v="0"/>
    <n v="1842715"/>
    <s v="Aprobado con notificación"/>
    <s v="Emitido"/>
    <x v="0"/>
    <x v="0"/>
    <x v="0"/>
    <x v="0"/>
    <x v="0"/>
    <x v="0"/>
    <m/>
  </r>
  <r>
    <s v="Factura electrónica"/>
    <s v="62908e805eca764470ce757f743b08b4fa055867e72079c8cf170a08499255fe0f387d813d00013fa6a98a5264b01006"/>
    <x v="920"/>
    <n v="-1"/>
    <s v="FVE"/>
    <s v="10-02-2026"/>
    <s v="10-02-2026 15:56:45"/>
    <s v="900800595"/>
    <s v="Provexpress SAS"/>
    <s v="900610518"/>
    <x v="327"/>
    <n v="5385570.9000000004"/>
    <n v="0"/>
    <n v="0"/>
    <n v="33730680.899999999"/>
    <s v="Aprobado con notificación"/>
    <s v="Emitido"/>
    <x v="0"/>
    <x v="0"/>
    <x v="1"/>
    <x v="0"/>
    <x v="1"/>
    <x v="0"/>
    <m/>
  </r>
  <r>
    <s v="Factura electrónica"/>
    <s v="f7cecb8f3b5dda9aad297ed3459f89bb60fed866c2d84935e74830640f4924788ef27223cede319591000e5a711b718c"/>
    <x v="921"/>
    <n v="-1"/>
    <s v="FVE"/>
    <s v="10-02-2026"/>
    <s v="10-02-2026 15:56:49"/>
    <s v="900800595"/>
    <s v="Provexpress SAS"/>
    <s v="860503159"/>
    <x v="108"/>
    <n v="922640"/>
    <n v="0"/>
    <n v="0"/>
    <n v="5778640"/>
    <s v="Aprobado con notificación"/>
    <s v="Emitido"/>
    <x v="0"/>
    <x v="0"/>
    <x v="0"/>
    <x v="0"/>
    <x v="0"/>
    <x v="0"/>
    <m/>
  </r>
  <r>
    <s v="Factura electrónica"/>
    <s v="8e48e93bfc52c020b8738c6c5e5de6cb6d69f153737cf9b7ef1474408d24b117f3a8073a5934dcf10f69a41fa1ae669b"/>
    <x v="922"/>
    <n v="-1"/>
    <s v="FVE"/>
    <s v="10-02-2026"/>
    <s v="10-02-2026 15:56:55"/>
    <s v="900800595"/>
    <s v="Provexpress SAS"/>
    <s v="800084728"/>
    <x v="68"/>
    <n v="2528909.5"/>
    <n v="0"/>
    <n v="0"/>
    <n v="15838959.5"/>
    <s v="Aprobado con notificación"/>
    <s v="Emitido"/>
    <x v="0"/>
    <x v="0"/>
    <x v="0"/>
    <x v="0"/>
    <x v="0"/>
    <x v="0"/>
    <m/>
  </r>
  <r>
    <s v="Factura electrónica"/>
    <s v="facbc52173774810d188267406d3542e28326cd55f7c3c1e50a990dcad007b856de024969dd002d3e28a987ffe3461a4"/>
    <x v="923"/>
    <n v="-1"/>
    <s v="FVE"/>
    <s v="10-02-2026"/>
    <s v="10-02-2026 15:57:00"/>
    <s v="900800595"/>
    <s v="Provexpress SAS"/>
    <s v="860015905"/>
    <x v="314"/>
    <n v="140685.5"/>
    <n v="0"/>
    <n v="0"/>
    <n v="881135.5"/>
    <s v="Aprobado con notificación"/>
    <s v="Emitido"/>
    <x v="0"/>
    <x v="0"/>
    <x v="0"/>
    <x v="0"/>
    <x v="0"/>
    <x v="0"/>
    <m/>
  </r>
  <r>
    <s v="Factura electrónica"/>
    <s v="41dbd8c334269c5c6992d16356f12ea9240975ce1e21b7b7fc0b328e8651ce4f4407d37f1d6cbc9047e2598e3878ec78"/>
    <x v="924"/>
    <n v="-1"/>
    <s v="FVE"/>
    <s v="10-02-2026"/>
    <s v="10-02-2026 15:57:05"/>
    <s v="900800595"/>
    <s v="Provexpress SAS"/>
    <s v="900480172"/>
    <x v="413"/>
    <n v="819652.4"/>
    <n v="0"/>
    <n v="0"/>
    <n v="5638612.4000000004"/>
    <s v="Aprobado con notificación"/>
    <s v="Emitido"/>
    <x v="0"/>
    <x v="0"/>
    <x v="1"/>
    <x v="0"/>
    <x v="1"/>
    <x v="0"/>
    <m/>
  </r>
  <r>
    <s v="Factura electrónica"/>
    <s v="36d3e2e37119ae6a201b93766ccc0c6704e16c34e97663d6cf27b0bbed9699b04ec029498625fa0f4721389d433a340c"/>
    <x v="925"/>
    <n v="-1"/>
    <s v="FVE"/>
    <s v="10-02-2026"/>
    <s v="10-02-2026 15:57:09"/>
    <s v="900800595"/>
    <s v="Provexpress SAS"/>
    <s v="900021547"/>
    <x v="202"/>
    <n v="369075"/>
    <n v="0"/>
    <n v="0"/>
    <n v="2311575"/>
    <s v="Aprobado con notificación"/>
    <s v="Emitido"/>
    <x v="0"/>
    <x v="0"/>
    <x v="0"/>
    <x v="0"/>
    <x v="0"/>
    <x v="0"/>
    <m/>
  </r>
  <r>
    <s v="Factura electrónica"/>
    <s v="29e2b4d4f5fccc76c8071396dedf33d797d65a85c4f9ccc7c00fa5eb4bcfd9f679320d2174563b4fe6abfef3b4d57e3a"/>
    <x v="926"/>
    <n v="-1"/>
    <s v="FVE"/>
    <s v="10-02-2026"/>
    <s v="10-02-2026 15:57:14"/>
    <s v="900800595"/>
    <s v="Provexpress SAS"/>
    <s v="901225165"/>
    <x v="459"/>
    <n v="0"/>
    <n v="0"/>
    <n v="0"/>
    <n v="1675751.35"/>
    <s v="Aprobado con notificación"/>
    <s v="Emitido"/>
    <x v="0"/>
    <x v="0"/>
    <x v="1"/>
    <x v="0"/>
    <x v="1"/>
    <x v="0"/>
    <m/>
  </r>
  <r>
    <s v="Factura electrónica"/>
    <s v="58e89a8b98553382810ab71db764cf84c0f5b6c554f92ea5380bc09bb67298bcac664032be465c5764fafa965c2461b9"/>
    <x v="927"/>
    <n v="-1"/>
    <s v="FVE"/>
    <s v="10-02-2026"/>
    <s v="10-02-2026 15:57:19"/>
    <s v="900800595"/>
    <s v="Provexpress SAS"/>
    <s v="900080177"/>
    <x v="460"/>
    <n v="0"/>
    <n v="0"/>
    <n v="0"/>
    <n v="1675751.35"/>
    <s v="Aprobado con notificación"/>
    <s v="Emitido"/>
    <x v="0"/>
    <x v="0"/>
    <x v="1"/>
    <x v="0"/>
    <x v="1"/>
    <x v="0"/>
    <m/>
  </r>
  <r>
    <s v="Factura electrónica"/>
    <s v="90ee17970025371becdfbe8c11ec417c8f99760f3f5b519daf9b9afbb3fe069486d91f4f6fe7e121c293cab41d087866"/>
    <x v="928"/>
    <n v="-1"/>
    <s v="FVE"/>
    <s v="10-02-2026"/>
    <s v="10-02-2026 15:57:23"/>
    <s v="900800595"/>
    <s v="Provexpress SAS"/>
    <s v="800215494"/>
    <x v="461"/>
    <n v="0"/>
    <n v="0"/>
    <n v="0"/>
    <n v="2010901.62"/>
    <s v="Aprobado con notificación"/>
    <s v="Emitido"/>
    <x v="0"/>
    <x v="0"/>
    <x v="1"/>
    <x v="0"/>
    <x v="1"/>
    <x v="0"/>
    <m/>
  </r>
  <r>
    <s v="Factura electrónica"/>
    <s v="59bdbbd6a1d284667ac4636ff129c564c1d980890fc1eed3cb7514304e96e9c2d596531fc025f6fdcb6525b9e860ad69"/>
    <x v="929"/>
    <n v="-1"/>
    <s v="FVE"/>
    <s v="10-02-2026"/>
    <s v="10-02-2026 15:57:28"/>
    <s v="900800595"/>
    <s v="Provexpress SAS"/>
    <s v="860001576"/>
    <x v="462"/>
    <n v="0"/>
    <n v="0"/>
    <n v="0"/>
    <n v="2010901.62"/>
    <s v="Aprobado con notificación"/>
    <s v="Emitido"/>
    <x v="0"/>
    <x v="0"/>
    <x v="1"/>
    <x v="0"/>
    <x v="1"/>
    <x v="0"/>
    <m/>
  </r>
  <r>
    <s v="Factura electrónica"/>
    <s v="80531597f6c01305e72dae2f8d7761f33aa0d5a26da08de30ce9e3e18d415f92d9f4f3e41a854b58d8db6a04596be32d"/>
    <x v="930"/>
    <n v="-1"/>
    <s v="FVE"/>
    <s v="10-02-2026"/>
    <s v="10-02-2026 16:12:39"/>
    <s v="900800595"/>
    <s v="Provexpress SAS"/>
    <s v="900081559"/>
    <x v="365"/>
    <n v="9612599.6999999993"/>
    <n v="0"/>
    <n v="0"/>
    <n v="60205229.700000003"/>
    <s v="Aprobado con notificación"/>
    <s v="Emitido"/>
    <x v="0"/>
    <x v="0"/>
    <x v="1"/>
    <x v="0"/>
    <x v="1"/>
    <x v="0"/>
    <m/>
  </r>
  <r>
    <s v="Factura electrónica"/>
    <s v="06afbf561be9ee559cee8fedf9178ae2aa4a966d9e643a28d92ccf2e1ed04419d9da4e0634c344a6ea6bed29e6d01043"/>
    <x v="931"/>
    <n v="-1"/>
    <s v="FVE"/>
    <s v="10-02-2026"/>
    <s v="10-02-2026 16:12:44"/>
    <s v="900800595"/>
    <s v="Provexpress SAS"/>
    <s v="900081559"/>
    <x v="365"/>
    <n v="1281679.96"/>
    <n v="0"/>
    <n v="0"/>
    <n v="8027363.96"/>
    <s v="Aprobado con notificación"/>
    <s v="Emitido"/>
    <x v="0"/>
    <x v="0"/>
    <x v="1"/>
    <x v="0"/>
    <x v="1"/>
    <x v="0"/>
    <m/>
  </r>
  <r>
    <s v="Factura electrónica"/>
    <s v="996c4bae7e90d79435b34b182c3f56183369a4d545e2545f22fb927162ee6e99f798217d99d2ce9a235fc9fd7a7b2c29"/>
    <x v="932"/>
    <n v="-1"/>
    <s v="FVE"/>
    <s v="10-02-2026"/>
    <s v="10-02-2026 16:12:49"/>
    <s v="900800595"/>
    <s v="Provexpress SAS"/>
    <s v="860000794"/>
    <x v="463"/>
    <n v="19000"/>
    <n v="0"/>
    <n v="0"/>
    <n v="119000"/>
    <s v="Aprobado con notificación"/>
    <s v="Emitido"/>
    <x v="0"/>
    <x v="0"/>
    <x v="1"/>
    <x v="0"/>
    <x v="1"/>
    <x v="0"/>
    <m/>
  </r>
  <r>
    <s v="Factura electrónica"/>
    <s v="4f87cbe771f6e738c56558bbf3e91d278fa52ae8d0f6a8308aed1c85d3b633b8fe09cbcc12c1a883b8856b03b7b86052"/>
    <x v="933"/>
    <n v="-1"/>
    <s v="FVE"/>
    <s v="10-02-2026"/>
    <s v="10-02-2026 16:12:54"/>
    <s v="900800595"/>
    <s v="Provexpress SAS"/>
    <s v="800028326"/>
    <x v="79"/>
    <n v="157047.37"/>
    <n v="0"/>
    <n v="0"/>
    <n v="1159834.3700000001"/>
    <s v="Aprobado con notificación"/>
    <s v="Emitido"/>
    <x v="0"/>
    <x v="0"/>
    <x v="0"/>
    <x v="0"/>
    <x v="0"/>
    <x v="0"/>
    <m/>
  </r>
  <r>
    <s v="Factura electrónica"/>
    <s v="016d306d3500d6798a77c6d031dd0350528bb75a8c6299c8538862095c4b7badcdd38db64347ac60149ac5e88e33c01a"/>
    <x v="934"/>
    <n v="-1"/>
    <s v="FVE"/>
    <s v="10-02-2026"/>
    <s v="10-02-2026 18:43:52"/>
    <s v="900800595"/>
    <s v="Provexpress SAS"/>
    <s v="900554592"/>
    <x v="464"/>
    <n v="46369.5"/>
    <n v="0"/>
    <n v="0"/>
    <n v="290419.5"/>
    <s v="Aprobado con notificación"/>
    <s v="Emitido"/>
    <x v="0"/>
    <x v="0"/>
    <x v="0"/>
    <x v="0"/>
    <x v="0"/>
    <x v="0"/>
    <m/>
  </r>
  <r>
    <s v="Factura electrónica"/>
    <s v="df9b812ef5238d4a9490128f7c566e57b65215d52e8fa1b5bca46c23864f8f0b1557cafcaea542056dc64c834f3eb11a"/>
    <x v="935"/>
    <n v="-1"/>
    <s v="FVE"/>
    <s v="10-02-2026"/>
    <s v="10-02-2026 16:13:01"/>
    <s v="900800595"/>
    <s v="Provexpress SAS"/>
    <s v="901108023"/>
    <x v="455"/>
    <n v="361950"/>
    <n v="0"/>
    <n v="0"/>
    <n v="2266950"/>
    <s v="Aprobado con notificación"/>
    <s v="Emitido"/>
    <x v="0"/>
    <x v="0"/>
    <x v="1"/>
    <x v="0"/>
    <x v="1"/>
    <x v="0"/>
    <m/>
  </r>
  <r>
    <s v="Factura electrónica"/>
    <s v="4cf9d101fe0efa39d6cdd023aaa20e906af990483e897b6db75ee0af621cdb6a8ff31b63b0dde130b16e236824ab898c"/>
    <x v="936"/>
    <n v="-1"/>
    <s v="FVE"/>
    <s v="10-02-2026"/>
    <s v="10-02-2026 16:13:07"/>
    <s v="900800595"/>
    <s v="Provexpress SAS"/>
    <s v="900171388"/>
    <x v="465"/>
    <n v="57000"/>
    <n v="0"/>
    <n v="0"/>
    <n v="357000"/>
    <s v="Aprobado con notificación"/>
    <s v="Emitido"/>
    <x v="0"/>
    <x v="0"/>
    <x v="1"/>
    <x v="0"/>
    <x v="1"/>
    <x v="0"/>
    <m/>
  </r>
  <r>
    <s v="Factura electrónica"/>
    <s v="d0087f76f32091483511f525b2fe7ba412cd0360bef28c8877e89b7c19bdf8c09e408e7ac4f147f971671ac9a5398148"/>
    <x v="937"/>
    <n v="-1"/>
    <s v="FVE"/>
    <s v="10-02-2026"/>
    <s v="10-02-2026 16:13:11"/>
    <s v="900800595"/>
    <s v="Provexpress SAS"/>
    <s v="890333023"/>
    <x v="317"/>
    <n v="13281"/>
    <n v="0"/>
    <n v="0"/>
    <n v="83181"/>
    <s v="Aprobado con notificación"/>
    <s v="Emitido"/>
    <x v="1"/>
    <x v="0"/>
    <x v="1"/>
    <x v="0"/>
    <x v="0"/>
    <x v="0"/>
    <m/>
  </r>
  <r>
    <s v="Factura electrónica"/>
    <s v="72bb6ad6fd13d632a095564fee1f485eadd0bc8bcf0ea3acda3ad058c652a29d5263e78a41b7cdbf2b20cdfdfbcf1a80"/>
    <x v="938"/>
    <n v="-1"/>
    <s v="FVE"/>
    <s v="10-02-2026"/>
    <s v="10-02-2026 16:13:15"/>
    <s v="900800595"/>
    <s v="Provexpress SAS"/>
    <s v="890400246"/>
    <x v="456"/>
    <n v="1297837.75"/>
    <n v="0"/>
    <n v="0"/>
    <n v="8128562.75"/>
    <s v="Aprobado con notificación"/>
    <s v="Emitido"/>
    <x v="1"/>
    <x v="0"/>
    <x v="1"/>
    <x v="0"/>
    <x v="0"/>
    <x v="0"/>
    <m/>
  </r>
  <r>
    <s v="Factura electrónica"/>
    <s v="f55b8b649d6cd30285e3f46ebf6df859c7c952ad361f15500912ae075751c76b061122deb0f9123fbffd8b6e39cb4b0f"/>
    <x v="939"/>
    <n v="-1"/>
    <s v="FVE"/>
    <s v="10-02-2026"/>
    <s v="10-02-2026 16:13:20"/>
    <s v="900800595"/>
    <s v="Provexpress SAS"/>
    <s v="800084728"/>
    <x v="68"/>
    <n v="0"/>
    <n v="0"/>
    <n v="0"/>
    <n v="946600"/>
    <s v="Aprobado con notificación"/>
    <s v="Emitido"/>
    <x v="0"/>
    <x v="0"/>
    <x v="1"/>
    <x v="0"/>
    <x v="0"/>
    <x v="1"/>
    <s v="PAGA 23/02/2026"/>
  </r>
  <r>
    <s v="Factura electrónica"/>
    <s v="10ea190b1ef3bfa72fe279e8617e702d3215b229f43888c6aa25243140e6bf5ee2f6b37813606a0f3b91d1ff532a3f63"/>
    <x v="940"/>
    <n v="-1"/>
    <s v="FVE"/>
    <s v="10-02-2026"/>
    <s v="10-02-2026 16:13:25"/>
    <s v="900800595"/>
    <s v="Provexpress SAS"/>
    <s v="900474794"/>
    <x v="466"/>
    <n v="266000"/>
    <n v="0"/>
    <n v="0"/>
    <n v="1666000"/>
    <s v="Aprobado con notificación"/>
    <s v="Emitido"/>
    <x v="0"/>
    <x v="0"/>
    <x v="1"/>
    <x v="0"/>
    <x v="0"/>
    <x v="1"/>
    <s v="PAGA 16/02/2026"/>
  </r>
  <r>
    <s v="Factura electrónica"/>
    <s v="5e71e0cdc3592df6ac20d9875847b02ec7a9965672a86868c8d9c25089413ba0a483b8c07ca9c55f1f8d8d571d447334"/>
    <x v="941"/>
    <n v="-1"/>
    <s v="FVE"/>
    <s v="10-02-2026"/>
    <s v="10-02-2026 16:28:36"/>
    <s v="900800595"/>
    <s v="Provexpress SAS"/>
    <s v="890912395"/>
    <x v="467"/>
    <n v="6554430"/>
    <n v="0"/>
    <n v="0"/>
    <n v="41051430"/>
    <s v="Aprobado con notificación"/>
    <s v="Emitido"/>
    <x v="1"/>
    <x v="0"/>
    <x v="1"/>
    <x v="0"/>
    <x v="0"/>
    <x v="0"/>
    <m/>
  </r>
  <r>
    <s v="Factura electrónica"/>
    <s v="e8fca23ee88bf1b6096d8a40689bbe0470db9e5207bfe944e5bc6ac2137ae813967d4064e98775052b57cb6ce5b4528b"/>
    <x v="942"/>
    <n v="-1"/>
    <s v="FVE"/>
    <s v="11-02-2026"/>
    <s v="11-02-2026 07:00:02"/>
    <s v="900800595"/>
    <s v="Provexpress SAS"/>
    <s v="901804480"/>
    <x v="167"/>
    <n v="1753320"/>
    <n v="0"/>
    <n v="0"/>
    <n v="10981320"/>
    <s v="Aprobado con notificación"/>
    <s v="Emitido"/>
    <x v="0"/>
    <x v="0"/>
    <x v="0"/>
    <x v="0"/>
    <x v="0"/>
    <x v="0"/>
    <m/>
  </r>
  <r>
    <s v="Factura electrónica"/>
    <s v="0c6b0b155b46e028b443525f1a90308e56671e0f1801d23dcb5820b5bfeaf25eaeabe6f9b79627c5b544c7c30d5073f4"/>
    <x v="943"/>
    <n v="-1"/>
    <s v="FVE"/>
    <s v="11-02-2026"/>
    <s v="11-02-2026 07:15:08"/>
    <s v="900800595"/>
    <s v="Provexpress SAS"/>
    <s v="900604590"/>
    <x v="468"/>
    <n v="50826.9"/>
    <n v="0"/>
    <n v="0"/>
    <n v="318336.90000000002"/>
    <s v="Aprobado con notificación"/>
    <s v="Emitido"/>
    <x v="0"/>
    <x v="0"/>
    <x v="1"/>
    <x v="0"/>
    <x v="1"/>
    <x v="0"/>
    <m/>
  </r>
  <r>
    <s v="Factura electrónica"/>
    <s v="0cab19dedce17f20908c0ab000d807befdccb1737ca58c143beb1d4aa70317bcc673ae6929fd234c66ac86d037d2dba9"/>
    <x v="944"/>
    <n v="-1"/>
    <s v="FVE"/>
    <s v="11-02-2026"/>
    <s v="11-02-2026 07:15:13"/>
    <s v="900800595"/>
    <s v="Provexpress SAS"/>
    <s v="900842071"/>
    <x v="469"/>
    <n v="57000"/>
    <n v="0"/>
    <n v="0"/>
    <n v="357000"/>
    <s v="Aprobado con notificación"/>
    <s v="Emitido"/>
    <x v="0"/>
    <x v="0"/>
    <x v="1"/>
    <x v="0"/>
    <x v="0"/>
    <x v="1"/>
    <s v="PAGA 19/02/2026"/>
  </r>
  <r>
    <s v="Factura electrónica"/>
    <s v="2a1b0c5a4b32210a28c578fc0f5300e8bcbafd3976b8c6a1bfd897bda43dc3b235895dbebf2c553b3427bc0c26ca8180"/>
    <x v="945"/>
    <n v="-1"/>
    <s v="FVE"/>
    <s v="11-02-2026"/>
    <s v="11-02-2026 07:15:17"/>
    <s v="900800595"/>
    <s v="Provexpress SAS"/>
    <s v="901438401"/>
    <x v="470"/>
    <n v="735521.54"/>
    <n v="0"/>
    <n v="0"/>
    <n v="4606687.54"/>
    <s v="Aprobado con notificación"/>
    <s v="Emitido"/>
    <x v="0"/>
    <x v="0"/>
    <x v="1"/>
    <x v="0"/>
    <x v="1"/>
    <x v="0"/>
    <m/>
  </r>
  <r>
    <s v="Factura electrónica"/>
    <s v="276c41229beb10e16cabe79fa08d0d662e28df229435ca4f5e87c58aaec59a99288d5a7439d67186f19d4a9e944cac3a"/>
    <x v="946"/>
    <n v="-1"/>
    <s v="FVE"/>
    <s v="11-02-2026"/>
    <s v="11-02-2026 07:15:23"/>
    <s v="900800595"/>
    <s v="Provexpress SAS"/>
    <s v="860005813"/>
    <x v="471"/>
    <n v="795583.75"/>
    <n v="0"/>
    <n v="0"/>
    <n v="5647108.75"/>
    <s v="Aprobado con notificación"/>
    <s v="Emitido"/>
    <x v="0"/>
    <x v="0"/>
    <x v="1"/>
    <x v="0"/>
    <x v="1"/>
    <x v="0"/>
    <m/>
  </r>
  <r>
    <s v="Factura electrónica"/>
    <s v="628725508fb799bf1969f8a66a0cd5613fdb151d4ce57717100dc0eb6e763c16e6c74b6010c72d165231f69359afc349"/>
    <x v="947"/>
    <n v="-1"/>
    <s v="FVE"/>
    <s v="11-02-2026"/>
    <s v="11-02-2026 07:30:28"/>
    <s v="900800595"/>
    <s v="Provexpress SAS"/>
    <s v="830129823"/>
    <x v="395"/>
    <n v="8953.75"/>
    <n v="0"/>
    <n v="0"/>
    <n v="71078.75"/>
    <s v="Aprobado con notificación"/>
    <s v="Emitido"/>
    <x v="0"/>
    <x v="0"/>
    <x v="1"/>
    <x v="0"/>
    <x v="1"/>
    <x v="0"/>
    <m/>
  </r>
  <r>
    <s v="Factura electrónica"/>
    <s v="7179414827bb5c526067566464610c8ef81f7b3ad6eeb27465054da36cc4f83c6f8d03dba963b32cbfbb0685dfa437fb"/>
    <x v="948"/>
    <n v="-1"/>
    <s v="FVE"/>
    <s v="11-02-2026"/>
    <s v="11-02-2026 07:45:35"/>
    <s v="900800595"/>
    <s v="Provexpress SAS"/>
    <s v="860052872"/>
    <x v="472"/>
    <n v="52250"/>
    <n v="0"/>
    <n v="0"/>
    <n v="327250"/>
    <s v="Aprobado con notificación"/>
    <s v="Emitido"/>
    <x v="0"/>
    <x v="0"/>
    <x v="1"/>
    <x v="0"/>
    <x v="1"/>
    <x v="0"/>
    <m/>
  </r>
  <r>
    <s v="Factura electrónica"/>
    <s v="e0142ed930767ca0e681e0827a5c2428176cff6d29a148f7de86b5457bd0e21d6f77e7b855c3b2e7091b5e557357faaa"/>
    <x v="949"/>
    <n v="-1"/>
    <s v="FVE"/>
    <s v="11-02-2026"/>
    <s v="11-02-2026 08:00:44"/>
    <s v="900800595"/>
    <s v="Provexpress SAS"/>
    <s v="52822678"/>
    <x v="473"/>
    <n v="112007.66"/>
    <n v="0"/>
    <n v="0"/>
    <n v="701521.66"/>
    <s v="Aprobado con notificación"/>
    <s v="Emitido"/>
    <x v="0"/>
    <x v="0"/>
    <x v="1"/>
    <x v="0"/>
    <x v="0"/>
    <x v="1"/>
    <s v="PAGO EN EL SISTEMA 2/03/2026"/>
  </r>
  <r>
    <s v="Factura electrónica"/>
    <s v="88b49f0a1079986d05db9eb404c9b4bd494d5eef0cd7aff7bb334a7407f5883a3d706d6ceb3af29c4433c56d09b7dfdd"/>
    <x v="950"/>
    <n v="-1"/>
    <s v="FVE"/>
    <s v="11-02-2026"/>
    <s v="11-02-2026 08:00:47"/>
    <s v="900800595"/>
    <s v="Provexpress SAS"/>
    <s v="52375029"/>
    <x v="474"/>
    <n v="78337.41"/>
    <n v="0"/>
    <n v="0"/>
    <n v="576912.41"/>
    <s v="Aprobado con notificación"/>
    <s v="Emitido"/>
    <x v="0"/>
    <x v="0"/>
    <x v="1"/>
    <x v="0"/>
    <x v="1"/>
    <x v="0"/>
    <m/>
  </r>
  <r>
    <s v="Factura electrónica"/>
    <s v="654d14c232575244be310b7d8e727e9102eb53beca4a28d5ef2c3d0c145effea14f54b1de46a8fa7f72830e6a8918fba"/>
    <x v="951"/>
    <n v="-1"/>
    <s v="FVE"/>
    <s v="11-02-2026"/>
    <s v="11-02-2026 08:00:51"/>
    <s v="900800595"/>
    <s v="Provexpress SAS"/>
    <s v="901448074"/>
    <x v="475"/>
    <n v="66815.97"/>
    <n v="0"/>
    <n v="0"/>
    <n v="418478.97"/>
    <s v="Aprobado con notificación"/>
    <s v="Emitido"/>
    <x v="0"/>
    <x v="0"/>
    <x v="1"/>
    <x v="0"/>
    <x v="0"/>
    <x v="1"/>
    <s v="PAGA 16/02/2026"/>
  </r>
  <r>
    <s v="Factura electrónica"/>
    <s v="7f9d2d967d9345f4bddedb72a924b66af547fb59b0c3801baf8d05bd77e74ae9e76d581b2487662c4da7efe3c6b99ac1"/>
    <x v="952"/>
    <n v="-1"/>
    <s v="FVE"/>
    <s v="11-02-2026"/>
    <s v="11-02-2026 08:00:56"/>
    <s v="900800595"/>
    <s v="Provexpress SAS"/>
    <s v="860522056"/>
    <x v="85"/>
    <n v="27075"/>
    <n v="0"/>
    <n v="0"/>
    <n v="169575"/>
    <s v="Aprobado con notificación"/>
    <s v="Emitido"/>
    <x v="1"/>
    <x v="0"/>
    <x v="1"/>
    <x v="0"/>
    <x v="0"/>
    <x v="0"/>
    <m/>
  </r>
  <r>
    <s v="Factura electrónica"/>
    <s v="586cc1e315c9d0cc1fa11a5eee5c67083852ff6048374fc988dd2934bd6b29c2b069230965d88897ce94cfb3a7cca741"/>
    <x v="953"/>
    <n v="-1"/>
    <s v="FVE"/>
    <s v="11-02-2026"/>
    <s v="11-02-2026 08:16:02"/>
    <s v="900800595"/>
    <s v="Provexpress SAS"/>
    <s v="901580303"/>
    <x v="476"/>
    <n v="23678.98"/>
    <n v="0"/>
    <n v="0"/>
    <n v="168420.98"/>
    <s v="Aprobado con notificación"/>
    <s v="Emitido"/>
    <x v="0"/>
    <x v="0"/>
    <x v="1"/>
    <x v="0"/>
    <x v="0"/>
    <x v="1"/>
    <s v="PAGA 19/02/2026"/>
  </r>
  <r>
    <s v="Factura electrónica"/>
    <s v="08a4977519375b30c11427955a72918df50eae7b5a802a72a4df67c22cb3e57edde0020a4073328af8c3d49897bf254e"/>
    <x v="954"/>
    <n v="-1"/>
    <s v="FVE"/>
    <s v="11-02-2026"/>
    <s v="11-02-2026 08:16:07"/>
    <s v="900800595"/>
    <s v="Provexpress SAS"/>
    <s v="830105984"/>
    <x v="477"/>
    <n v="183920"/>
    <n v="0"/>
    <n v="0"/>
    <n v="1151920"/>
    <s v="Aprobado con notificación"/>
    <s v="Emitido"/>
    <x v="0"/>
    <x v="0"/>
    <x v="1"/>
    <x v="0"/>
    <x v="1"/>
    <x v="0"/>
    <m/>
  </r>
  <r>
    <s v="Factura electrónica"/>
    <s v="7db15009f55b194ddecc6f2907f6a40906bdfaf6c65e507d1de5b0cafbf36d838584e955883e5ba27cee4e4b801a30b5"/>
    <x v="955"/>
    <n v="-1"/>
    <s v="FVE"/>
    <s v="11-02-2026"/>
    <s v="11-02-2026 08:16:11"/>
    <s v="900800595"/>
    <s v="Provexpress SAS"/>
    <s v="830105984"/>
    <x v="477"/>
    <n v="13222.1"/>
    <n v="0"/>
    <n v="0"/>
    <n v="90132.1"/>
    <s v="Aprobado con notificación"/>
    <s v="Emitido"/>
    <x v="0"/>
    <x v="0"/>
    <x v="1"/>
    <x v="0"/>
    <x v="1"/>
    <x v="0"/>
    <m/>
  </r>
  <r>
    <s v="Factura electrónica"/>
    <s v="833fed5d847e3e296e51a5ff8cbf80c7a3e6ab57f2b6c8f5d634f34431c204e4e438467fa751fc6fbd8983a40452a6e9"/>
    <x v="956"/>
    <n v="-1"/>
    <s v="FVE"/>
    <s v="11-02-2026"/>
    <s v="11-02-2026 08:16:16"/>
    <s v="900800595"/>
    <s v="Provexpress SAS"/>
    <s v="900114346"/>
    <x v="104"/>
    <n v="566072.69999999995"/>
    <n v="0"/>
    <n v="0"/>
    <n v="3594402.7"/>
    <s v="Aprobado con notificación"/>
    <s v="Emitido"/>
    <x v="0"/>
    <x v="1"/>
    <x v="1"/>
    <x v="0"/>
    <x v="0"/>
    <x v="0"/>
    <m/>
  </r>
  <r>
    <s v="Factura electrónica"/>
    <s v="8e4d66cf7ea8afc72fe6485a2bbc279c59cbc575849812ef8d5723db0f29784908f115d3d24d0af6b3ada665c031d65a"/>
    <x v="957"/>
    <n v="-1"/>
    <s v="FVE"/>
    <s v="11-02-2026"/>
    <s v="11-02-2026 08:46:24"/>
    <s v="900800595"/>
    <s v="Provexpress SAS"/>
    <s v="800034362"/>
    <x v="478"/>
    <n v="120846.27"/>
    <n v="0"/>
    <n v="0"/>
    <n v="756879.27"/>
    <s v="Aprobado con notificación"/>
    <s v="Emitido"/>
    <x v="0"/>
    <x v="0"/>
    <x v="0"/>
    <x v="0"/>
    <x v="0"/>
    <x v="0"/>
    <m/>
  </r>
  <r>
    <s v="Factura electrónica"/>
    <s v="3e02a86a641e8387f7159322ca7e910546831199e2831b649afb43749642d1ddc6c78a3f8bb568d70aaf2ec2b96f7194"/>
    <x v="958"/>
    <n v="-1"/>
    <s v="FVE"/>
    <s v="11-02-2026"/>
    <s v="11-02-2026 09:01:34"/>
    <s v="900800595"/>
    <s v="Provexpress SAS"/>
    <s v="860023264"/>
    <x v="279"/>
    <n v="39140"/>
    <n v="0"/>
    <n v="0"/>
    <n v="1575140"/>
    <s v="Aprobado con notificación"/>
    <s v="Emitido"/>
    <x v="0"/>
    <x v="0"/>
    <x v="1"/>
    <x v="0"/>
    <x v="1"/>
    <x v="0"/>
    <m/>
  </r>
  <r>
    <s v="Factura electrónica"/>
    <s v="e2dc291256c1fcff2a7c02fac5c91ba277f719219ecc1b53191534f1106fdcc1abc7862a7d0990ce13342b04cbdbb200"/>
    <x v="959"/>
    <n v="-1"/>
    <s v="FVE"/>
    <s v="11-02-2026"/>
    <s v="11-02-2026 09:01:39"/>
    <s v="900800595"/>
    <s v="Provexpress SAS"/>
    <s v="860023264"/>
    <x v="279"/>
    <n v="39140"/>
    <n v="0"/>
    <n v="0"/>
    <n v="1575140"/>
    <s v="Aprobado con notificación"/>
    <s v="Emitido"/>
    <x v="0"/>
    <x v="0"/>
    <x v="1"/>
    <x v="0"/>
    <x v="1"/>
    <x v="0"/>
    <m/>
  </r>
  <r>
    <s v="X"/>
    <s v="d977a237b9ff39a1442a2b7bd730bdfced9f4c1af9db7eb783e69542a604b92144c525f4167a54f3a7a8e0cb2142ee94"/>
    <x v="960"/>
    <n v="-1"/>
    <s v="FVE"/>
    <s v="11-02-2026"/>
    <s v="11-02-2026 09:01:43"/>
    <s v="900800595"/>
    <s v="Provexpress SAS"/>
    <s v="860023264"/>
    <x v="279"/>
    <n v="12920"/>
    <n v="0"/>
    <n v="0"/>
    <n v="80920"/>
    <s v="Aprobado con notificación"/>
    <s v="Emitido"/>
    <x v="1"/>
    <x v="0"/>
    <x v="1"/>
    <x v="0"/>
    <x v="0"/>
    <x v="0"/>
    <m/>
  </r>
  <r>
    <s v="Factura electrónica"/>
    <s v="75d7da54235d2e0821cf1d597aa2f35777af9115b852a94af91d04be236d9cd0c0a48189fb80504c6c03549efaa38fc9"/>
    <x v="961"/>
    <n v="-1"/>
    <s v="FVE"/>
    <s v="11-02-2026"/>
    <s v="11-02-2026 09:01:49"/>
    <s v="900800595"/>
    <s v="Provexpress SAS"/>
    <s v="830055467"/>
    <x v="232"/>
    <n v="0"/>
    <n v="0"/>
    <n v="0"/>
    <n v="6420000"/>
    <s v="Aprobado con notificación"/>
    <s v="Emitido"/>
    <x v="0"/>
    <x v="1"/>
    <x v="1"/>
    <x v="0"/>
    <x v="0"/>
    <x v="0"/>
    <m/>
  </r>
  <r>
    <s v="Factura electrónica"/>
    <s v="2abfc8d4cc030ad32706a312e6e0325da11226f263c0a7cdf79608425d84ff9e279aab92ca65b0f6efa084c3ed9fea1d"/>
    <x v="962"/>
    <n v="-1"/>
    <s v="FVE"/>
    <s v="11-02-2026"/>
    <s v="11-02-2026 09:01:53"/>
    <s v="900800595"/>
    <s v="Provexpress SAS"/>
    <s v="860522056"/>
    <x v="85"/>
    <n v="45600"/>
    <n v="0"/>
    <n v="0"/>
    <n v="285600"/>
    <s v="Aprobado con notificación"/>
    <s v="Emitido"/>
    <x v="1"/>
    <x v="0"/>
    <x v="1"/>
    <x v="0"/>
    <x v="0"/>
    <x v="0"/>
    <m/>
  </r>
  <r>
    <s v="Factura electrónica"/>
    <s v="9af37bc8eb04afbc1c989f5ba5a1de98ded7493932b7712eecd41179fce88bf47399e383babd02496adbc8aeb4bfac3f"/>
    <x v="963"/>
    <n v="-1"/>
    <s v="FVE"/>
    <s v="11-02-2026"/>
    <s v="11-02-2026 09:01:59"/>
    <s v="900800595"/>
    <s v="Provexpress SAS"/>
    <s v="900418656"/>
    <x v="479"/>
    <n v="1365269.7"/>
    <n v="0"/>
    <n v="0"/>
    <n v="8550899.6999999993"/>
    <s v="Aprobado con notificación"/>
    <s v="Emitido"/>
    <x v="0"/>
    <x v="0"/>
    <x v="0"/>
    <x v="0"/>
    <x v="0"/>
    <x v="0"/>
    <m/>
  </r>
  <r>
    <s v="Factura electrónica"/>
    <s v="ebec37d6489aaec7302a6692736438e2734faf33dc266350248c025bd874741939e82ee5d608bc6197bea2399ebb6bcf"/>
    <x v="964"/>
    <n v="-1"/>
    <s v="FVE"/>
    <s v="11-02-2026"/>
    <s v="11-02-2026 09:17:04"/>
    <s v="900800595"/>
    <s v="Provexpress SAS"/>
    <s v="830092675"/>
    <x v="480"/>
    <n v="0"/>
    <n v="0"/>
    <n v="0"/>
    <n v="21928032"/>
    <s v="Aprobado con notificación"/>
    <s v="Emitido"/>
    <x v="0"/>
    <x v="0"/>
    <x v="0"/>
    <x v="0"/>
    <x v="0"/>
    <x v="0"/>
    <m/>
  </r>
  <r>
    <s v="Factura electrónica"/>
    <s v="1c1fb0fe6a9e8af8b748707f599a43113e9c8030eafd23c5f707b82f9080fa37ec40885f387752de36bd015474d25626"/>
    <x v="965"/>
    <n v="-1"/>
    <s v="FVE"/>
    <s v="11-02-2026"/>
    <s v="11-02-2026 09:47:11"/>
    <s v="900800595"/>
    <s v="Provexpress SAS"/>
    <s v="900554592"/>
    <x v="464"/>
    <n v="987173.5"/>
    <n v="0"/>
    <n v="0"/>
    <n v="6182823.5"/>
    <s v="Aprobado con notificación"/>
    <s v="Emitido"/>
    <x v="0"/>
    <x v="0"/>
    <x v="1"/>
    <x v="0"/>
    <x v="1"/>
    <x v="0"/>
    <m/>
  </r>
  <r>
    <s v="Factura electrónica"/>
    <s v="ae3d66973fb4245b54b129972d1cedffa88a94a3b0e5e1047be8c804f16467289d25b1bcc5ff7ccdc56a55ea5286b812"/>
    <x v="966"/>
    <n v="-1"/>
    <s v="FVE"/>
    <s v="11-02-2026"/>
    <s v="11-02-2026 09:47:16"/>
    <s v="900800595"/>
    <s v="Provexpress SAS"/>
    <s v="860006745"/>
    <x v="481"/>
    <n v="186139.2"/>
    <n v="0"/>
    <n v="0"/>
    <n v="1165819.2"/>
    <s v="Aprobado con notificación"/>
    <s v="Emitido"/>
    <x v="0"/>
    <x v="1"/>
    <x v="1"/>
    <x v="0"/>
    <x v="0"/>
    <x v="0"/>
    <m/>
  </r>
  <r>
    <s v="Factura electrónica"/>
    <s v="40729a1cc6d3e828c9144f20d937f58b6ad7f11fa959d78b10a60a6a20414aee3b697762e015a8e181d114a58026f130"/>
    <x v="967"/>
    <n v="-1"/>
    <s v="FVE"/>
    <s v="11-02-2026"/>
    <s v="11-02-2026 10:17:23"/>
    <s v="900800595"/>
    <s v="Provexpress SAS"/>
    <s v="800134853"/>
    <x v="482"/>
    <n v="196270"/>
    <n v="0"/>
    <n v="0"/>
    <n v="1229270"/>
    <s v="Aprobado con notificación"/>
    <s v="Emitido"/>
    <x v="1"/>
    <x v="0"/>
    <x v="1"/>
    <x v="0"/>
    <x v="0"/>
    <x v="0"/>
    <m/>
  </r>
  <r>
    <s v="Factura electrónica"/>
    <s v="c075154c309725410c81372275f5ddb51a6c16cb6835a84ec57cd43f1ddca8ff9975cf0a96e854a0bc05db669985134c"/>
    <x v="968"/>
    <n v="-1"/>
    <s v="FVE"/>
    <s v="11-02-2026"/>
    <s v="11-02-2026 10:33:40"/>
    <s v="900800595"/>
    <s v="Provexpress SAS"/>
    <s v="830077655"/>
    <x v="186"/>
    <n v="132620"/>
    <n v="0"/>
    <n v="0"/>
    <n v="830620"/>
    <s v="Aprobado con notificación"/>
    <s v="Emitido"/>
    <x v="0"/>
    <x v="0"/>
    <x v="1"/>
    <x v="0"/>
    <x v="0"/>
    <x v="1"/>
    <s v="PAGA 16/02/2026"/>
  </r>
  <r>
    <s v="Factura electrónica"/>
    <s v="f769229a0aafb4b9f18628468d4fe533c6f3b8fce983795a9883de90697299d637b143bfa97751c83ca3535ed0a03818"/>
    <x v="969"/>
    <n v="-1"/>
    <s v="FVE"/>
    <s v="11-02-2026"/>
    <s v="11-02-2026 10:55:54"/>
    <s v="900800595"/>
    <s v="Provexpress SAS"/>
    <s v="901191622"/>
    <x v="483"/>
    <n v="190000"/>
    <n v="0"/>
    <n v="0"/>
    <n v="1190000"/>
    <s v="Aprobado con notificación"/>
    <s v="Emitido"/>
    <x v="0"/>
    <x v="0"/>
    <x v="0"/>
    <x v="0"/>
    <x v="0"/>
    <x v="0"/>
    <m/>
  </r>
  <r>
    <s v="Factura electrónica"/>
    <s v="a7e6a21bd148ff5f1c635d159fef6c4cfde5908bf6ec36759ac41456793080172651382e16c735d27c4f6b7486f649c4"/>
    <x v="970"/>
    <n v="-1"/>
    <s v="FVE"/>
    <s v="11-02-2026"/>
    <s v="11-02-2026 10:55:45"/>
    <s v="900800595"/>
    <s v="Provexpress SAS"/>
    <s v="900904162"/>
    <x v="484"/>
    <n v="36100"/>
    <n v="0"/>
    <n v="0"/>
    <n v="226100"/>
    <s v="Aprobado con notificación"/>
    <s v="Emitido"/>
    <x v="0"/>
    <x v="1"/>
    <x v="1"/>
    <x v="0"/>
    <x v="0"/>
    <x v="0"/>
    <m/>
  </r>
  <r>
    <s v="Factura electrónica"/>
    <s v="3066bddefc2c977965a2ea4eadc17cdc49757be1d45914a47ec6ba094bcda5b5dbbe9b41e0000fa8fa4c31c070d79d26"/>
    <x v="971"/>
    <n v="-1"/>
    <s v="FVE"/>
    <s v="11-02-2026"/>
    <s v="11-02-2026 11:47:43"/>
    <s v="900800595"/>
    <s v="Provexpress SAS"/>
    <s v="860007336"/>
    <x v="2"/>
    <n v="41230"/>
    <n v="0"/>
    <n v="0"/>
    <n v="258230"/>
    <s v="Aprobado con notificación"/>
    <s v="Emitido"/>
    <x v="0"/>
    <x v="0"/>
    <x v="0"/>
    <x v="0"/>
    <x v="0"/>
    <x v="0"/>
    <m/>
  </r>
  <r>
    <s v="Factura electrónica"/>
    <s v="d45ba3cac5ea3d581db9c7dd4ce2ef2b1725128efa039bb3ded4659aa576e85271246c7da49c34eb4726ada6f888cff2"/>
    <x v="972"/>
    <n v="-1"/>
    <s v="FVE"/>
    <s v="11-02-2026"/>
    <s v="11-02-2026 11:47:00"/>
    <s v="900800595"/>
    <s v="Provexpress SAS"/>
    <s v="900652403"/>
    <x v="485"/>
    <n v="384270.06"/>
    <n v="0"/>
    <n v="0"/>
    <n v="2406744.06"/>
    <s v="Aprobado con notificación"/>
    <s v="Emitido"/>
    <x v="0"/>
    <x v="0"/>
    <x v="0"/>
    <x v="0"/>
    <x v="0"/>
    <x v="0"/>
    <m/>
  </r>
  <r>
    <s v="Factura electrónica"/>
    <s v="d18a3682cccd522a28ff4c95bf9d86eb00f23bab5812b226d0d5d69099037033c0ec6bd2f3d12f64abcdf0804a979d07"/>
    <x v="973"/>
    <n v="-1"/>
    <s v="FVE"/>
    <s v="11-02-2026"/>
    <s v="11-02-2026 11:49:00"/>
    <s v="900800595"/>
    <s v="Provexpress SAS"/>
    <s v="860525156"/>
    <x v="6"/>
    <n v="161086.75"/>
    <n v="0"/>
    <n v="0"/>
    <n v="1008911.75"/>
    <s v="Aprobado con notificación"/>
    <s v="Emitido"/>
    <x v="0"/>
    <x v="0"/>
    <x v="0"/>
    <x v="0"/>
    <x v="0"/>
    <x v="0"/>
    <m/>
  </r>
  <r>
    <s v="Factura electrónica"/>
    <s v="598cc61e6a303fed9d8214337b6b4e0ffb635eb3b1916a885036da929ac22a0537ca942cafcbc0f7ddbbf3f540f6f960"/>
    <x v="974"/>
    <n v="-1"/>
    <s v="FVE"/>
    <s v="11-02-2026"/>
    <s v="11-02-2026 11:47:41"/>
    <s v="900800595"/>
    <s v="Provexpress SAS"/>
    <s v="800201648"/>
    <x v="318"/>
    <n v="161086.75"/>
    <n v="0"/>
    <n v="0"/>
    <n v="1008911.75"/>
    <s v="Aprobado con notificación"/>
    <s v="Emitido"/>
    <x v="1"/>
    <x v="0"/>
    <x v="1"/>
    <x v="0"/>
    <x v="0"/>
    <x v="0"/>
    <m/>
  </r>
  <r>
    <s v="Factura electrónica"/>
    <s v="1e6ed34de08f3cb707fb37916870c44d1c8ccc6b7cbd6c18fd138ec22a6c57db0332231fae06ff7b4276f70a09331b49"/>
    <x v="975"/>
    <n v="-1"/>
    <s v="FVE"/>
    <s v="11-02-2026"/>
    <s v="11-02-2026 11:47:45"/>
    <s v="900800595"/>
    <s v="Provexpress SAS"/>
    <s v="860512249"/>
    <x v="382"/>
    <n v="8809.35"/>
    <n v="0"/>
    <n v="0"/>
    <n v="55174.35"/>
    <s v="Aprobado con notificación"/>
    <s v="Emitido"/>
    <x v="0"/>
    <x v="0"/>
    <x v="0"/>
    <x v="0"/>
    <x v="0"/>
    <x v="0"/>
    <m/>
  </r>
  <r>
    <s v="Factura electrónica"/>
    <s v="2ec8302b2941383984db03cd146d0afa1ae339b0184d3c48e94b340380c5d4f5fa8cf3864836ffc1de56f54ec100ef89"/>
    <x v="976"/>
    <n v="-1"/>
    <s v="FVE"/>
    <s v="11-02-2026"/>
    <s v="11-02-2026 11:47:48"/>
    <s v="900800595"/>
    <s v="Provexpress SAS"/>
    <s v="800156889"/>
    <x v="218"/>
    <n v="0"/>
    <n v="0"/>
    <n v="0"/>
    <n v="791099"/>
    <s v="Aprobado con notificación"/>
    <s v="Emitido"/>
    <x v="0"/>
    <x v="0"/>
    <x v="1"/>
    <x v="0"/>
    <x v="1"/>
    <x v="0"/>
    <m/>
  </r>
  <r>
    <s v="Factura electrónica"/>
    <s v="c7073bc26b8020e92c45734e0142a26a7b0b5b3c893fe0c1075d42037281f39e614d81fb970bd0e06f415d0f2780b079"/>
    <x v="977"/>
    <n v="-1"/>
    <s v="FVE"/>
    <s v="11-02-2026"/>
    <s v="11-02-2026 11:49:01"/>
    <s v="900800595"/>
    <s v="Provexpress SAS"/>
    <s v="900592369"/>
    <x v="75"/>
    <n v="2764946.12"/>
    <n v="0"/>
    <n v="0"/>
    <n v="17317294.120000001"/>
    <s v="Aprobado con notificación"/>
    <s v="Emitido"/>
    <x v="0"/>
    <x v="0"/>
    <x v="0"/>
    <x v="0"/>
    <x v="0"/>
    <x v="0"/>
    <m/>
  </r>
  <r>
    <s v="Factura electrónica"/>
    <s v="94cc48c50c53189d80b48c2ef69fc65b68142abd9a9697d89fe32c9ed47a2d7a655b38fd1676b6e701f81d26c6a96bbc"/>
    <x v="978"/>
    <n v="-1"/>
    <s v="FVE"/>
    <s v="11-02-2026"/>
    <s v="11-02-2026 12:33:24"/>
    <s v="900800595"/>
    <s v="Provexpress SAS"/>
    <s v="860000794"/>
    <x v="463"/>
    <n v="114095"/>
    <n v="0"/>
    <n v="0"/>
    <n v="714595"/>
    <s v="Aprobado con notificación"/>
    <s v="Emitido"/>
    <x v="0"/>
    <x v="0"/>
    <x v="1"/>
    <x v="0"/>
    <x v="1"/>
    <x v="0"/>
    <m/>
  </r>
  <r>
    <s v="Factura electrónica"/>
    <s v="e7b8a8b6ded244eb142f3b6728a278f135cfab007d26062425c3eae8bea09088a0a2ac50c0af6cf319021e95db58e7f6"/>
    <x v="979"/>
    <n v="-1"/>
    <s v="FVE"/>
    <s v="11-02-2026"/>
    <s v="11-02-2026 12:34:55"/>
    <s v="900800595"/>
    <s v="Provexpress SAS"/>
    <s v="830077655"/>
    <x v="186"/>
    <n v="132620"/>
    <n v="0"/>
    <n v="0"/>
    <n v="830620"/>
    <s v="Aprobado con notificación"/>
    <s v="Emitido"/>
    <x v="0"/>
    <x v="0"/>
    <x v="1"/>
    <x v="0"/>
    <x v="0"/>
    <x v="1"/>
    <s v="PAGA 16/02/2026"/>
  </r>
  <r>
    <s v="Factura electrónica"/>
    <s v="1f71eaf5242c7ed4a0adeff6ca4b2602016c0a6168b13c40275460f520f0ae9db992dadfd3b5f23fda3e78f79e094e01"/>
    <x v="980"/>
    <n v="-1"/>
    <s v="FVE"/>
    <s v="11-02-2026"/>
    <s v="11-02-2026 13:02:16"/>
    <s v="900800595"/>
    <s v="Provexpress SAS"/>
    <s v="901371316"/>
    <x v="330"/>
    <n v="261250"/>
    <n v="0"/>
    <n v="0"/>
    <n v="1636250"/>
    <s v="Aprobado con notificación"/>
    <s v="Emitido"/>
    <x v="1"/>
    <x v="0"/>
    <x v="1"/>
    <x v="0"/>
    <x v="0"/>
    <x v="0"/>
    <m/>
  </r>
  <r>
    <s v="Factura electrónica"/>
    <s v="e2401ba6728b3668ae2ee1103d3957e655d4595b6b89632dd03e024bbef138022a0e059e31f8b78976c5af351f59a74b"/>
    <x v="981"/>
    <n v="-1"/>
    <s v="FVE"/>
    <s v="11-02-2026"/>
    <s v="11-02-2026 13:02:18"/>
    <s v="900800595"/>
    <s v="Provexpress SAS"/>
    <s v="900091709"/>
    <x v="486"/>
    <n v="2348562.4500000002"/>
    <n v="0"/>
    <n v="0"/>
    <n v="14709417.449999999"/>
    <s v="Aprobado con notificación"/>
    <s v="Emitido"/>
    <x v="1"/>
    <x v="0"/>
    <x v="1"/>
    <x v="0"/>
    <x v="0"/>
    <x v="0"/>
    <m/>
  </r>
  <r>
    <s v="Factura electrónica"/>
    <s v="b7ef1d8bccd507e2de899dcb2cf5da7dc6d47a475d049dd5bf2716632b1012169d57d886b280cb46c0792193f4ff6a12"/>
    <x v="982"/>
    <n v="-1"/>
    <s v="FVE"/>
    <s v="11-02-2026"/>
    <s v="11-02-2026 13:02:21"/>
    <s v="900800595"/>
    <s v="Provexpress SAS"/>
    <s v="817001672"/>
    <x v="64"/>
    <n v="0"/>
    <n v="0"/>
    <n v="0"/>
    <n v="1222400"/>
    <s v="Aprobado con notificación"/>
    <s v="Emitido"/>
    <x v="0"/>
    <x v="0"/>
    <x v="0"/>
    <x v="0"/>
    <x v="0"/>
    <x v="0"/>
    <m/>
  </r>
  <r>
    <s v="Factura electrónica"/>
    <s v="47962e7163fd1494371991980c2d46cc8f46f0971fdc2d4be4daae6344f35adbdac9533bc4bdf9a041d3aa43acfd676c"/>
    <x v="983"/>
    <n v="-1"/>
    <s v="FVE"/>
    <s v="11-02-2026"/>
    <s v="11-02-2026 13:02:24"/>
    <s v="900800595"/>
    <s v="Provexpress SAS"/>
    <s v="860504882"/>
    <x v="300"/>
    <n v="3701469.8"/>
    <n v="0"/>
    <n v="0"/>
    <n v="23182889.800000001"/>
    <s v="Aprobado con notificación"/>
    <s v="Emitido"/>
    <x v="0"/>
    <x v="0"/>
    <x v="1"/>
    <x v="0"/>
    <x v="1"/>
    <x v="0"/>
    <m/>
  </r>
  <r>
    <s v="Factura electrónica"/>
    <s v="3887ceda35abbfc5bbbf2487560170a1c7152bb0435b43c2ecd5bfba09fd46e73afb981153dc3dfe67d0413c0fbfd2eb"/>
    <x v="984"/>
    <n v="-1"/>
    <s v="FVE"/>
    <s v="11-02-2026"/>
    <s v="11-02-2026 13:02:26"/>
    <s v="900800595"/>
    <s v="Provexpress SAS"/>
    <s v="830096376"/>
    <x v="62"/>
    <n v="2434555.5"/>
    <n v="0"/>
    <n v="0"/>
    <n v="15248005.5"/>
    <s v="Aprobado con notificación"/>
    <s v="Emitido"/>
    <x v="1"/>
    <x v="0"/>
    <x v="1"/>
    <x v="0"/>
    <x v="0"/>
    <x v="0"/>
    <m/>
  </r>
  <r>
    <s v="Factura electrónica"/>
    <s v="43eb1bd19aae952798306fe2240e56e99e96546a4045e437d0ec92f81ec0dca1de8dbf5ad353681f8302b46a7ed337fd"/>
    <x v="985"/>
    <n v="-1"/>
    <s v="FVE"/>
    <s v="11-02-2026"/>
    <s v="11-02-2026 13:13:41"/>
    <s v="900800595"/>
    <s v="Provexpress SAS"/>
    <s v="817001672"/>
    <x v="64"/>
    <n v="1391940"/>
    <n v="0"/>
    <n v="0"/>
    <n v="8717940"/>
    <s v="Aprobado con notificación"/>
    <s v="Emitido"/>
    <x v="0"/>
    <x v="0"/>
    <x v="0"/>
    <x v="0"/>
    <x v="0"/>
    <x v="0"/>
    <m/>
  </r>
  <r>
    <s v="Factura electrónica"/>
    <s v="174f7495795ad5f26f317af160ec506a5b08ce29f8cf3aa41ba66ad63e28a598f011ac1d748a255a45abb6bcbbe937ef"/>
    <x v="986"/>
    <n v="-1"/>
    <s v="FVE"/>
    <s v="11-02-2026"/>
    <s v="11-02-2026 13:13:43"/>
    <s v="900800595"/>
    <s v="Provexpress SAS"/>
    <s v="860031615"/>
    <x v="124"/>
    <n v="11400"/>
    <n v="0"/>
    <n v="0"/>
    <n v="71400"/>
    <s v="Aprobado con notificación"/>
    <s v="Emitido"/>
    <x v="0"/>
    <x v="0"/>
    <x v="0"/>
    <x v="0"/>
    <x v="0"/>
    <x v="0"/>
    <m/>
  </r>
  <r>
    <s v="Factura electrónica"/>
    <s v="7bbccd8c43cc67d6037001da6753533dc2dbdddfd11848b32e13348cad3225fe59cca2f58903a98a1d58d69aba43907e"/>
    <x v="987"/>
    <n v="-1"/>
    <s v="FVE"/>
    <s v="11-02-2026"/>
    <s v="11-02-2026 13:13:45"/>
    <s v="900800595"/>
    <s v="Provexpress SAS"/>
    <s v="830000324"/>
    <x v="347"/>
    <n v="662625"/>
    <n v="0"/>
    <n v="0"/>
    <n v="4150125"/>
    <s v="Aprobado con notificación"/>
    <s v="Emitido"/>
    <x v="1"/>
    <x v="0"/>
    <x v="1"/>
    <x v="0"/>
    <x v="0"/>
    <x v="0"/>
    <m/>
  </r>
  <r>
    <s v="Factura electrónica"/>
    <s v="cb77e6877551d46ac278768a69e360636691bddf1d1dbe860384a6dda18a32d871d59ed0e12b24145e821a664e71cf28"/>
    <x v="988"/>
    <n v="-1"/>
    <s v="FVE"/>
    <s v="11-02-2026"/>
    <s v="11-02-2026 13:13:48"/>
    <s v="900800595"/>
    <s v="Provexpress SAS"/>
    <s v="900387076"/>
    <x v="209"/>
    <n v="17147.5"/>
    <n v="0"/>
    <n v="0"/>
    <n v="107397.5"/>
    <s v="Aprobado con notificación"/>
    <s v="Emitido"/>
    <x v="0"/>
    <x v="0"/>
    <x v="1"/>
    <x v="0"/>
    <x v="1"/>
    <x v="0"/>
    <m/>
  </r>
  <r>
    <s v="Factura electrónica"/>
    <s v="18cafb7b0f3ce174933d3a3c4ebb9a5067995c85d0d6f028b9abf846f1c008484c695732d10f30bf8952e989de667143"/>
    <x v="989"/>
    <n v="-1"/>
    <s v="FVE"/>
    <s v="11-02-2026"/>
    <s v="11-02-2026 13:13:49"/>
    <s v="900800595"/>
    <s v="Provexpress SAS"/>
    <s v="860026070"/>
    <x v="249"/>
    <n v="71250"/>
    <n v="0"/>
    <n v="0"/>
    <n v="446250"/>
    <s v="Aprobado con notificación"/>
    <s v="Emitido"/>
    <x v="1"/>
    <x v="0"/>
    <x v="1"/>
    <x v="0"/>
    <x v="0"/>
    <x v="0"/>
    <m/>
  </r>
  <r>
    <s v="Factura electrónica"/>
    <s v="ec3aa13bc081519fa68dff10a753a775f5a644338a1decc9dcac62ea3528e73b375e340c0b52d8edeec5167425d146a1"/>
    <x v="990"/>
    <n v="-1"/>
    <s v="FVE"/>
    <s v="11-02-2026"/>
    <s v="11-02-2026 13:13:51"/>
    <s v="900800595"/>
    <s v="Provexpress SAS"/>
    <s v="860074389"/>
    <x v="487"/>
    <n v="18832.23"/>
    <n v="0"/>
    <n v="0"/>
    <n v="126349.23"/>
    <s v="Aprobado con notificación"/>
    <s v="Emitido"/>
    <x v="1"/>
    <x v="0"/>
    <x v="1"/>
    <x v="0"/>
    <x v="0"/>
    <x v="0"/>
    <m/>
  </r>
  <r>
    <s v="Factura electrónica"/>
    <s v="73b662d64ce43759a46fa0d28f03e7c49b5a68b73c3c125c2ffbcf789368a36d88b5c202907fef5863338d9d2c23b3ea"/>
    <x v="991"/>
    <n v="-1"/>
    <s v="FVE"/>
    <s v="11-02-2026"/>
    <s v="11-02-2026 13:13:53"/>
    <s v="900800595"/>
    <s v="Provexpress SAS"/>
    <s v="860522056"/>
    <x v="85"/>
    <n v="82709.66"/>
    <n v="0"/>
    <n v="0"/>
    <n v="518023.66"/>
    <s v="Aprobado con notificación"/>
    <s v="Emitido"/>
    <x v="1"/>
    <x v="0"/>
    <x v="1"/>
    <x v="0"/>
    <x v="0"/>
    <x v="0"/>
    <m/>
  </r>
  <r>
    <s v="Factura electrónica"/>
    <s v="23d47f4e12fd001d46765db7eff33d2b792f1294df52d18b0c96e06919b3024ee8d15746c1db524b1a6d948f4fb91a7a"/>
    <x v="992"/>
    <n v="-1"/>
    <s v="FVE"/>
    <s v="11-02-2026"/>
    <s v="11-02-2026 13:13:57"/>
    <s v="900800595"/>
    <s v="Provexpress SAS"/>
    <s v="901134016"/>
    <x v="488"/>
    <n v="42302.080000000002"/>
    <n v="0"/>
    <n v="0"/>
    <n v="396714.08"/>
    <s v="Aprobado con notificación"/>
    <s v="Emitido"/>
    <x v="0"/>
    <x v="0"/>
    <x v="1"/>
    <x v="0"/>
    <x v="1"/>
    <x v="0"/>
    <m/>
  </r>
  <r>
    <s v="Factura electrónica"/>
    <s v="2983ac0b96ac7af063729a84ee7a8eb2619dcca8d1e948b303073e5b701306e89b11da943c24ca4d7ba87764b611b42e"/>
    <x v="993"/>
    <n v="-1"/>
    <s v="FVE"/>
    <s v="11-02-2026"/>
    <s v="11-02-2026 13:14:00"/>
    <s v="900800595"/>
    <s v="Provexpress SAS"/>
    <s v="860522056"/>
    <x v="85"/>
    <n v="46863.12"/>
    <n v="0"/>
    <n v="0"/>
    <n v="293511.12"/>
    <s v="Aprobado con notificación"/>
    <s v="Emitido"/>
    <x v="1"/>
    <x v="0"/>
    <x v="1"/>
    <x v="0"/>
    <x v="0"/>
    <x v="0"/>
    <m/>
  </r>
  <r>
    <s v="Factura electrónica"/>
    <s v="c4ca4f636ac828f1c7d29f99166cd0077f49604722e8e010ec49bc3e599bcca5282bf47d068a77bceeab00b376318857"/>
    <x v="994"/>
    <n v="-1"/>
    <s v="FVE"/>
    <s v="11-02-2026"/>
    <s v="11-02-2026 13:14:03"/>
    <s v="900800595"/>
    <s v="Provexpress SAS"/>
    <s v="901478504"/>
    <x v="489"/>
    <n v="113346.4"/>
    <n v="0"/>
    <n v="0"/>
    <n v="735406.4"/>
    <s v="Aprobado con notificación"/>
    <s v="Emitido"/>
    <x v="0"/>
    <x v="0"/>
    <x v="1"/>
    <x v="0"/>
    <x v="1"/>
    <x v="0"/>
    <m/>
  </r>
  <r>
    <s v="Factura electrónica"/>
    <s v="83789d003544b58574729d22f145b165a3fbdbe31455386e7759bb9d8930b008d10739e016029dade66205fb5bc160cf"/>
    <x v="995"/>
    <n v="-1"/>
    <s v="FVE"/>
    <s v="11-02-2026"/>
    <s v="11-02-2026 13:27:28"/>
    <s v="900800595"/>
    <s v="Provexpress SAS"/>
    <s v="830129327"/>
    <x v="490"/>
    <n v="4317750"/>
    <n v="0"/>
    <n v="0"/>
    <n v="31587750"/>
    <s v="Aprobado con notificación"/>
    <s v="Emitido"/>
    <x v="0"/>
    <x v="0"/>
    <x v="0"/>
    <x v="0"/>
    <x v="0"/>
    <x v="0"/>
    <m/>
  </r>
  <r>
    <s v="Factura electrónica"/>
    <s v="afe213dcc739ab0c4d21c22f9aa5fba4dffc22cf7b68f192fd0dbd1b106af981d5ce1970cacab2638c8ad74061e26aeb"/>
    <x v="996"/>
    <n v="-1"/>
    <s v="FVE"/>
    <s v="11-02-2026"/>
    <s v="11-02-2026 13:29:27"/>
    <s v="900800595"/>
    <s v="Provexpress SAS"/>
    <s v="830129327"/>
    <x v="490"/>
    <n v="2323472"/>
    <n v="0"/>
    <n v="0"/>
    <n v="19444772"/>
    <s v="Aprobado con notificación"/>
    <s v="Emitido"/>
    <x v="0"/>
    <x v="0"/>
    <x v="0"/>
    <x v="0"/>
    <x v="0"/>
    <x v="0"/>
    <m/>
  </r>
  <r>
    <s v="Factura electrónica"/>
    <s v="8f8200f8e5d09a70ddc5ea9cd1d94d5a20bb424b4a75964b7a69a2b987786b8e5b04cc7bc2acfbd0e74d041867508ff5"/>
    <x v="997"/>
    <n v="-1"/>
    <s v="FVE"/>
    <s v="11-02-2026"/>
    <s v="11-02-2026 13:41:06"/>
    <s v="900800595"/>
    <s v="Provexpress SAS"/>
    <s v="830129327"/>
    <x v="490"/>
    <n v="1186170"/>
    <n v="0"/>
    <n v="0"/>
    <n v="7429170"/>
    <s v="Aprobado con notificación"/>
    <s v="Emitido"/>
    <x v="0"/>
    <x v="0"/>
    <x v="0"/>
    <x v="0"/>
    <x v="0"/>
    <x v="0"/>
    <m/>
  </r>
  <r>
    <s v="Factura electrónica"/>
    <s v="caabeb8ebec813c87c079b5f09ca01147bb3430fad3bc5a08ab59d5888bb678eba0107c38af2f521ea376879f711ec45"/>
    <x v="998"/>
    <n v="-1"/>
    <s v="FVE"/>
    <s v="11-02-2026"/>
    <s v="11-02-2026 13:41:07"/>
    <s v="900800595"/>
    <s v="Provexpress SAS"/>
    <s v="830129327"/>
    <x v="490"/>
    <n v="5062512"/>
    <n v="0"/>
    <n v="0"/>
    <n v="31707312"/>
    <s v="Aprobado con notificación"/>
    <s v="Emitido"/>
    <x v="0"/>
    <x v="0"/>
    <x v="0"/>
    <x v="0"/>
    <x v="0"/>
    <x v="0"/>
    <m/>
  </r>
  <r>
    <s v="Factura electrónica"/>
    <s v="2a030983b84167e4f0baeec535c79d11a8d496a7dc85b1697a950792a0f5d875a8671c3e0dcf1a2d47c705a2ab59099e"/>
    <x v="999"/>
    <n v="-1"/>
    <s v="FVE"/>
    <s v="11-02-2026"/>
    <s v="11-02-2026 13:52:55"/>
    <s v="900800595"/>
    <s v="Provexpress SAS"/>
    <s v="80408233"/>
    <x v="491"/>
    <n v="16207"/>
    <n v="0"/>
    <n v="0"/>
    <n v="101507"/>
    <s v="Aprobado con notificación"/>
    <s v="Emitido"/>
    <x v="0"/>
    <x v="0"/>
    <x v="1"/>
    <x v="0"/>
    <x v="0"/>
    <x v="1"/>
    <s v="PAGA 2/03/2026"/>
  </r>
  <r>
    <s v="Factura electrónica"/>
    <s v="6120fbbf80a19ad78bd08313959977f3a3a271b523e6abc6e4792ecd4662b62b0cecd642aeac1707727b532a0b2e9e73"/>
    <x v="1000"/>
    <n v="-1"/>
    <s v="FVE"/>
    <s v="11-02-2026"/>
    <s v="11-02-2026 13:52:57"/>
    <s v="900800595"/>
    <s v="Provexpress SAS"/>
    <s v="900682841"/>
    <x v="22"/>
    <n v="818053.36"/>
    <n v="0"/>
    <n v="0"/>
    <n v="135980477.36000001"/>
    <s v="Aprobado con notificación"/>
    <s v="Emitido"/>
    <x v="1"/>
    <x v="0"/>
    <x v="1"/>
    <x v="0"/>
    <x v="0"/>
    <x v="0"/>
    <m/>
  </r>
  <r>
    <s v="Factura electrónica"/>
    <s v="ef53fdc75db6c360087c5f7e9b1c0a784b91beb56ee1745188d0f91d0a7b450030a14c372a292cca83f5682d9a8ee8ea"/>
    <x v="1001"/>
    <n v="-1"/>
    <s v="FVE"/>
    <s v="11-02-2026"/>
    <s v="11-02-2026 14:03:08"/>
    <s v="900800595"/>
    <s v="Provexpress SAS"/>
    <s v="860068182"/>
    <x v="7"/>
    <n v="243269.92"/>
    <n v="0"/>
    <n v="0"/>
    <n v="1523637.92"/>
    <s v="Aprobado con notificación"/>
    <s v="Emitido"/>
    <x v="0"/>
    <x v="0"/>
    <x v="0"/>
    <x v="0"/>
    <x v="0"/>
    <x v="0"/>
    <m/>
  </r>
  <r>
    <s v="Factura electrónica"/>
    <s v="24d9afe39248d6764127531ed40b8a72463c8448790e35167cf5a4651706541b88be428602d7fade6c3a7082e4f8cc12"/>
    <x v="1002"/>
    <n v="-1"/>
    <s v="FVE"/>
    <s v="11-02-2026"/>
    <s v="11-02-2026 14:52:30"/>
    <s v="900800595"/>
    <s v="Provexpress SAS"/>
    <s v="860510863"/>
    <x v="47"/>
    <n v="42750"/>
    <n v="0"/>
    <n v="0"/>
    <n v="267750"/>
    <s v="Aprobado con notificación"/>
    <s v="Emitido"/>
    <x v="0"/>
    <x v="0"/>
    <x v="1"/>
    <x v="0"/>
    <x v="1"/>
    <x v="0"/>
    <m/>
  </r>
  <r>
    <s v="Factura electrónica"/>
    <s v="543dac82a6eaf1297a8a85177746d1eef32fd35a295fa7c5e7b4a2f137c89d273319d15ab7a83b2ff25e52db257aa9ec"/>
    <x v="1003"/>
    <n v="-1"/>
    <s v="FVE"/>
    <s v="11-02-2026"/>
    <s v="11-02-2026 14:52:31"/>
    <s v="900800595"/>
    <s v="Provexpress SAS"/>
    <s v="860031462"/>
    <x v="287"/>
    <n v="207299.5"/>
    <n v="0"/>
    <n v="0"/>
    <n v="1298349.5"/>
    <s v="Aprobado con notificación"/>
    <s v="Emitido"/>
    <x v="0"/>
    <x v="0"/>
    <x v="0"/>
    <x v="0"/>
    <x v="0"/>
    <x v="0"/>
    <m/>
  </r>
  <r>
    <s v="Factura electrónica"/>
    <s v="8aa0ff23aae8a052539ddcada497d538a3f07504e98b3d83cec57910234e4ac57208bf06b266f928ca2bcb8100fba241"/>
    <x v="1004"/>
    <n v="-1"/>
    <s v="FVE"/>
    <s v="11-02-2026"/>
    <s v="11-02-2026 14:52:32"/>
    <s v="900800595"/>
    <s v="Provexpress SAS"/>
    <s v="830129327"/>
    <x v="490"/>
    <n v="3720960"/>
    <n v="0"/>
    <n v="0"/>
    <n v="23304960"/>
    <s v="Aprobado con notificación"/>
    <s v="Emitido"/>
    <x v="0"/>
    <x v="0"/>
    <x v="0"/>
    <x v="0"/>
    <x v="0"/>
    <x v="0"/>
    <m/>
  </r>
  <r>
    <s v="Factura electrónica"/>
    <s v="93cd19b59c53200c77dd9069d9ed32fc257236ae1b354f2f56b9a94ec5855cb1b4203aba4409395ed37d2e294780142b"/>
    <x v="1005"/>
    <n v="-1"/>
    <s v="FVE"/>
    <s v="11-02-2026"/>
    <s v="11-02-2026 14:59:18"/>
    <s v="900800595"/>
    <s v="Provexpress SAS"/>
    <s v="899999123"/>
    <x v="492"/>
    <n v="508000"/>
    <n v="0"/>
    <n v="0"/>
    <n v="10668000"/>
    <s v="Aprobado con notificación"/>
    <s v="Emitido"/>
    <x v="0"/>
    <x v="0"/>
    <x v="0"/>
    <x v="0"/>
    <x v="0"/>
    <x v="0"/>
    <m/>
  </r>
  <r>
    <s v="Factura electrónica"/>
    <s v="5e978cd2b23080a516b2b54208d3aa1ef5094c7c9e1dee583d3ab0f10dba689a08bd34b6c6f658122c0c931f548f271c"/>
    <x v="1006"/>
    <n v="-1"/>
    <s v="FVE"/>
    <s v="11-02-2026"/>
    <s v="11-02-2026 14:59:19"/>
    <s v="900800595"/>
    <s v="Provexpress SAS"/>
    <s v="830513773"/>
    <x v="46"/>
    <n v="425600"/>
    <n v="0"/>
    <n v="0"/>
    <n v="2665600"/>
    <s v="Aprobado con notificación"/>
    <s v="Emitido"/>
    <x v="0"/>
    <x v="0"/>
    <x v="1"/>
    <x v="0"/>
    <x v="1"/>
    <x v="0"/>
    <m/>
  </r>
  <r>
    <s v="Factura electrónica"/>
    <s v="3e0b17395263c2205dac04a8f8a1142065ddbb48a78276dd282b265d2638dae2b80f23e06553c2df19eb5673ae4a8e0f"/>
    <x v="1007"/>
    <n v="-1"/>
    <s v="FVE"/>
    <s v="11-02-2026"/>
    <s v="11-02-2026 14:59:20"/>
    <s v="900800595"/>
    <s v="Provexpress SAS"/>
    <s v="830513773"/>
    <x v="46"/>
    <n v="71250"/>
    <n v="0"/>
    <n v="0"/>
    <n v="446250"/>
    <s v="Aprobado con notificación"/>
    <s v="Emitido"/>
    <x v="0"/>
    <x v="0"/>
    <x v="1"/>
    <x v="0"/>
    <x v="1"/>
    <x v="0"/>
    <m/>
  </r>
  <r>
    <s v="Factura electrónica"/>
    <s v="d15f26b111d24587b1b00007111ab19f3401077d4a170ba455f2a279ea40547afd7d163aa4c73ccc4de03206036ccd3f"/>
    <x v="1008"/>
    <n v="-1"/>
    <s v="FVE"/>
    <s v="11-02-2026"/>
    <s v="11-02-2026 14:59:24"/>
    <s v="900800595"/>
    <s v="Provexpress SAS"/>
    <s v="830513773"/>
    <x v="46"/>
    <n v="424080"/>
    <n v="0"/>
    <n v="0"/>
    <n v="2656080"/>
    <s v="Aprobado con notificación"/>
    <s v="Emitido"/>
    <x v="0"/>
    <x v="0"/>
    <x v="1"/>
    <x v="0"/>
    <x v="1"/>
    <x v="0"/>
    <m/>
  </r>
  <r>
    <s v="Factura electrónica"/>
    <s v="f6fbafa016ea6587d42e8365a865f8f6dd52aa8ebc246a8c081df5ebfec3b54add4be616903a23d528ffca74cafb412f"/>
    <x v="1009"/>
    <n v="-1"/>
    <s v="FVE"/>
    <s v="11-02-2026"/>
    <s v="11-02-2026 15:10:16"/>
    <s v="900800595"/>
    <s v="Provexpress SAS"/>
    <s v="900148177"/>
    <x v="69"/>
    <n v="444535.4"/>
    <n v="0"/>
    <n v="0"/>
    <n v="2784195.4"/>
    <s v="Aprobado con notificación"/>
    <s v="Emitido"/>
    <x v="0"/>
    <x v="0"/>
    <x v="1"/>
    <x v="0"/>
    <x v="1"/>
    <x v="0"/>
    <m/>
  </r>
  <r>
    <s v="Factura electrónica"/>
    <s v="b436de870b60ca34fe03459699fffca6dd30c9bfcd364718746d78d97ded8544675f6c4a89cacb50217037b1bb0d4255"/>
    <x v="1010"/>
    <n v="-1"/>
    <s v="FVE"/>
    <s v="11-02-2026"/>
    <s v="11-02-2026 15:20:27"/>
    <s v="900800595"/>
    <s v="Provexpress SAS"/>
    <s v="800175574"/>
    <x v="493"/>
    <n v="113250"/>
    <n v="0"/>
    <n v="0"/>
    <n v="1099490"/>
    <s v="Aprobado con notificación"/>
    <s v="Emitido"/>
    <x v="0"/>
    <x v="0"/>
    <x v="1"/>
    <x v="0"/>
    <x v="1"/>
    <x v="0"/>
    <m/>
  </r>
  <r>
    <s v="Factura electrónica"/>
    <s v="96501e5d72f93e6fdef393eedc4a9fde791034216d0a23d54ba56f6056acdce616e96b7219ec4f72df821b2a9a1eac92"/>
    <x v="1011"/>
    <n v="-1"/>
    <s v="FVE"/>
    <s v="11-02-2026"/>
    <s v="11-02-2026 15:20:30"/>
    <s v="900800595"/>
    <s v="Provexpress SAS"/>
    <s v="891903392"/>
    <x v="111"/>
    <n v="229985"/>
    <n v="0"/>
    <n v="0"/>
    <n v="1713485"/>
    <s v="Aprobado con notificación"/>
    <s v="Emitido"/>
    <x v="0"/>
    <x v="0"/>
    <x v="0"/>
    <x v="0"/>
    <x v="0"/>
    <x v="0"/>
    <m/>
  </r>
  <r>
    <s v="Factura electrónica"/>
    <s v="4952f292a32701c0f2fd0c1473821eda9efa4a13eb5336905d48c3f5242c5ae0a11ff9dcc7d9b0f3507d47c4637ed90e"/>
    <x v="1012"/>
    <n v="-1"/>
    <s v="FVE"/>
    <s v="11-02-2026"/>
    <s v="11-02-2026 15:20:31"/>
    <s v="900800595"/>
    <s v="Provexpress SAS"/>
    <s v="830031886"/>
    <x v="494"/>
    <n v="169100"/>
    <n v="0"/>
    <n v="0"/>
    <n v="1059100"/>
    <s v="Aprobado con notificación"/>
    <s v="Emitido"/>
    <x v="1"/>
    <x v="0"/>
    <x v="1"/>
    <x v="0"/>
    <x v="0"/>
    <x v="0"/>
    <m/>
  </r>
  <r>
    <s v="Factura electrónica"/>
    <s v="d0e701b02588151d3c2b55f284b57c2c07a306dc7db010973773c6dc16fa7485f529c461b1d7aa2566a28f12afaf58a0"/>
    <x v="1013"/>
    <n v="-1"/>
    <s v="FVE"/>
    <s v="11-02-2026"/>
    <s v="11-02-2026 15:28:08"/>
    <s v="900800595"/>
    <s v="Provexpress SAS"/>
    <s v="901804480"/>
    <x v="167"/>
    <n v="247000"/>
    <n v="0"/>
    <n v="0"/>
    <n v="1547000"/>
    <s v="Aprobado con notificación"/>
    <s v="Emitido"/>
    <x v="0"/>
    <x v="0"/>
    <x v="0"/>
    <x v="0"/>
    <x v="0"/>
    <x v="0"/>
    <m/>
  </r>
  <r>
    <s v="Factura electrónica"/>
    <s v="dbcdba49e1e72858dafc461a112feb7717bc7141fe9728d9aca5bff18d5185327216126ad7ed2a65e8a3514fc3c4e1fd"/>
    <x v="1014"/>
    <n v="-1"/>
    <s v="FVE"/>
    <s v="11-02-2026"/>
    <s v="11-02-2026 15:29:27"/>
    <s v="900800595"/>
    <s v="Provexpress SAS"/>
    <s v="901861678"/>
    <x v="495"/>
    <n v="70041.8"/>
    <n v="0"/>
    <n v="0"/>
    <n v="626621.80000000005"/>
    <s v="Aprobado con notificación"/>
    <s v="Emitido"/>
    <x v="0"/>
    <x v="0"/>
    <x v="1"/>
    <x v="0"/>
    <x v="1"/>
    <x v="0"/>
    <m/>
  </r>
  <r>
    <s v="Factura electrónica"/>
    <s v="3b7dbf4034ba903199fc02195d65626d352f48df2e2df6e01732f6557b6563ab52261eaed0198138b44a32100082168d"/>
    <x v="1015"/>
    <n v="-1"/>
    <s v="FVE"/>
    <s v="11-02-2026"/>
    <s v="11-02-2026 15:28:17"/>
    <s v="900800595"/>
    <s v="Provexpress SAS"/>
    <s v="830040378"/>
    <x v="400"/>
    <n v="121533.5"/>
    <n v="0"/>
    <n v="0"/>
    <n v="801203.5"/>
    <s v="Aprobado con notificación"/>
    <s v="Emitido"/>
    <x v="0"/>
    <x v="0"/>
    <x v="1"/>
    <x v="0"/>
    <x v="1"/>
    <x v="0"/>
    <m/>
  </r>
  <r>
    <s v="Factura electrónica"/>
    <s v="8e91bae53750355de350ea3c5a8c5bdd573a255479931c8c4da28c96037798fea8cb5fa76f917a2aec38036c4f364c6e"/>
    <x v="1016"/>
    <n v="-1"/>
    <s v="FVE"/>
    <s v="11-02-2026"/>
    <s v="11-02-2026 15:38:10"/>
    <s v="900800595"/>
    <s v="Provexpress SAS"/>
    <s v="830047497"/>
    <x v="304"/>
    <n v="110010"/>
    <n v="0"/>
    <n v="0"/>
    <n v="689010"/>
    <s v="Aprobado con notificación"/>
    <s v="Emitido"/>
    <x v="0"/>
    <x v="0"/>
    <x v="1"/>
    <x v="0"/>
    <x v="0"/>
    <x v="1"/>
    <s v="PAGO 18/02/2026"/>
  </r>
  <r>
    <s v="Factura electrónica"/>
    <s v="57b8a62aea4f62ceb72c7c01b32e50efa22a986de2987c53117661b7dadad255a2ae973a42de4d7e2b91dd1c2acb6c0c"/>
    <x v="1017"/>
    <n v="-1"/>
    <s v="FVE"/>
    <s v="11-02-2026"/>
    <s v="11-02-2026 15:38:11"/>
    <s v="900800595"/>
    <s v="Provexpress SAS"/>
    <s v="830047497"/>
    <x v="304"/>
    <n v="62510"/>
    <n v="0"/>
    <n v="0"/>
    <n v="391510"/>
    <s v="Aprobado con notificación"/>
    <s v="Emitido"/>
    <x v="0"/>
    <x v="0"/>
    <x v="1"/>
    <x v="0"/>
    <x v="0"/>
    <x v="1"/>
    <s v="PAGA EN EL SISTEMA 18/02/2026"/>
  </r>
  <r>
    <s v="Factura electrónica"/>
    <s v="4d984682f2c486ec45a44040405e36f22b2a614744aa3e7672f0fc43d17dee43512ad7215179fbc9f5416ee5f46a1630"/>
    <x v="1018"/>
    <n v="-1"/>
    <s v="FVE"/>
    <s v="11-02-2026"/>
    <s v="11-02-2026 15:38:14"/>
    <s v="900800595"/>
    <s v="Provexpress SAS"/>
    <s v="830041970"/>
    <x v="196"/>
    <n v="44650"/>
    <n v="0"/>
    <n v="0"/>
    <n v="279650"/>
    <s v="Aprobado con notificación"/>
    <s v="Emitido"/>
    <x v="0"/>
    <x v="0"/>
    <x v="1"/>
    <x v="0"/>
    <x v="0"/>
    <x v="1"/>
    <s v="PAGA 16/02/2026"/>
  </r>
  <r>
    <s v="Factura electrónica"/>
    <s v="4af26fa8c7762e4abe82bab91cf01c763d4739664226d1bfd0dc71e1e2dc616b88358212e1a7378dc88466b86feb0547"/>
    <x v="1019"/>
    <n v="-1"/>
    <s v="FVE"/>
    <s v="11-02-2026"/>
    <s v="11-02-2026 15:39:03"/>
    <s v="900800595"/>
    <s v="Provexpress SAS"/>
    <s v="1073510389"/>
    <x v="496"/>
    <n v="19142.88"/>
    <n v="0"/>
    <n v="0"/>
    <n v="119894.88"/>
    <s v="Aprobado con notificación"/>
    <s v="Emitido"/>
    <x v="0"/>
    <x v="0"/>
    <x v="1"/>
    <x v="0"/>
    <x v="0"/>
    <x v="1"/>
    <s v="PAGA 2/03/2026"/>
  </r>
  <r>
    <s v="Factura electrónica"/>
    <s v="f5105dcdd107f0924b462e9458467130936d88c5c86a71fa70fd079b64615605f0657dec47e67fcb116cb341de3ccc1a"/>
    <x v="1020"/>
    <n v="-1"/>
    <s v="FVE"/>
    <s v="11-02-2026"/>
    <s v="11-02-2026 15:38:20"/>
    <s v="900800595"/>
    <s v="Provexpress SAS"/>
    <s v="830022818"/>
    <x v="192"/>
    <n v="34105"/>
    <n v="0"/>
    <n v="0"/>
    <n v="213605"/>
    <s v="Aprobado con notificación"/>
    <s v="Emitido"/>
    <x v="0"/>
    <x v="0"/>
    <x v="0"/>
    <x v="0"/>
    <x v="0"/>
    <x v="0"/>
    <m/>
  </r>
  <r>
    <s v="Factura electrónica"/>
    <s v="f99c2dd240dcd0e9656a7c587892150c04eca2a8e301cf149c19781fcd8f96b98ca2cea7bc99871c38f72f7b4c20b5d0"/>
    <x v="1021"/>
    <n v="-1"/>
    <s v="FVE"/>
    <s v="11-02-2026"/>
    <s v="11-02-2026 15:38:23"/>
    <s v="900800595"/>
    <s v="Provexpress SAS"/>
    <s v="800149149"/>
    <x v="352"/>
    <n v="125780"/>
    <n v="0"/>
    <n v="0"/>
    <n v="787780"/>
    <s v="Aprobado con notificación"/>
    <s v="Emitido"/>
    <x v="0"/>
    <x v="0"/>
    <x v="0"/>
    <x v="0"/>
    <x v="0"/>
    <x v="0"/>
    <m/>
  </r>
  <r>
    <s v="Factura electrónica"/>
    <s v="c24af6d07b9383800e87e25f07e60fa7147773018ebcbf229a888c439dc684019a3a4f9722b8bb62496cd41ebb8289d3"/>
    <x v="1022"/>
    <n v="-1"/>
    <s v="FVE"/>
    <s v="11-02-2026"/>
    <s v="11-02-2026 15:38:27"/>
    <s v="900800595"/>
    <s v="Provexpress SAS"/>
    <s v="800149149"/>
    <x v="352"/>
    <n v="125780"/>
    <n v="0"/>
    <n v="0"/>
    <n v="787780"/>
    <s v="Aprobado con notificación"/>
    <s v="Emitido"/>
    <x v="0"/>
    <x v="0"/>
    <x v="0"/>
    <x v="0"/>
    <x v="0"/>
    <x v="0"/>
    <m/>
  </r>
  <r>
    <s v="Factura electrónica"/>
    <s v="1fc4172fe368e9be6f547c0c4ca22ea048725fa1e39896ac60cbe63d1482dd70ef855c6d8156b708132c384f4228750e"/>
    <x v="1023"/>
    <n v="-1"/>
    <s v="FVE"/>
    <s v="11-02-2026"/>
    <s v="11-02-2026 15:38:31"/>
    <s v="900800595"/>
    <s v="Provexpress SAS"/>
    <s v="901134176"/>
    <x v="497"/>
    <n v="147778.20000000001"/>
    <n v="0"/>
    <n v="0"/>
    <n v="925558.2"/>
    <s v="Aprobado con notificación"/>
    <s v="Emitido"/>
    <x v="0"/>
    <x v="0"/>
    <x v="1"/>
    <x v="0"/>
    <x v="1"/>
    <x v="0"/>
    <m/>
  </r>
  <r>
    <s v="Factura electrónica"/>
    <s v="38fbc8cce1621e1e0ac47ec8aff93feff53c8c0cfd06eb3b4c931c915a77a607b8903987eb0d60ff5c55e17a37ff4552"/>
    <x v="1024"/>
    <n v="-1"/>
    <s v="FVE"/>
    <s v="11-02-2026"/>
    <s v="11-02-2026 15:52:41"/>
    <s v="900800595"/>
    <s v="Provexpress SAS"/>
    <s v="900430265"/>
    <x v="28"/>
    <n v="386346"/>
    <n v="0"/>
    <n v="0"/>
    <n v="2419746"/>
    <s v="Aprobado con notificación"/>
    <s v="Emitido"/>
    <x v="0"/>
    <x v="0"/>
    <x v="1"/>
    <x v="0"/>
    <x v="0"/>
    <x v="1"/>
    <s v="PAGO 18/02/2026"/>
  </r>
  <r>
    <s v="Factura electrónica"/>
    <s v="c3ce0ead3c4e98d087f83668653930a03cea68edc43c5ed019ff0e0fba850cd142fe0a083d129f15926cee1284333af8"/>
    <x v="1025"/>
    <n v="-1"/>
    <s v="FVE"/>
    <s v="11-02-2026"/>
    <s v="11-02-2026 15:52:46"/>
    <s v="900800595"/>
    <s v="Provexpress SAS"/>
    <s v="830121897"/>
    <x v="498"/>
    <n v="228000"/>
    <n v="0"/>
    <n v="0"/>
    <n v="1428000"/>
    <s v="Aprobado con notificación"/>
    <s v="Emitido"/>
    <x v="0"/>
    <x v="0"/>
    <x v="1"/>
    <x v="0"/>
    <x v="1"/>
    <x v="0"/>
    <m/>
  </r>
  <r>
    <s v="Factura electrónica"/>
    <s v="a1198765d9bcf577c729d66443585ea3531f20e4fa861b5c6103cf1050d5647b91d7a50ce5c5b57f35f51f10f9d072a3"/>
    <x v="1026"/>
    <n v="-1"/>
    <s v="FVE"/>
    <s v="11-02-2026"/>
    <s v="11-02-2026 15:52:51"/>
    <s v="900800595"/>
    <s v="Provexpress SAS"/>
    <s v="830081058"/>
    <x v="499"/>
    <n v="256500"/>
    <n v="0"/>
    <n v="0"/>
    <n v="1606500"/>
    <s v="Aprobado con notificación"/>
    <s v="Emitido"/>
    <x v="0"/>
    <x v="0"/>
    <x v="1"/>
    <x v="0"/>
    <x v="1"/>
    <x v="0"/>
    <m/>
  </r>
  <r>
    <s v="Factura electrónica"/>
    <s v="293b0c59114a9a02c3546bd297e2caf42e95e1240ef3b38ec09d112de357e6a0388101b0808f671526abb8f3b7631706"/>
    <x v="1027"/>
    <n v="-1"/>
    <s v="FVE"/>
    <s v="11-02-2026"/>
    <s v="11-02-2026 15:52:56"/>
    <s v="900800595"/>
    <s v="Provexpress SAS"/>
    <s v="830068110"/>
    <x v="500"/>
    <n v="171000"/>
    <n v="0"/>
    <n v="0"/>
    <n v="1071000"/>
    <s v="Aprobado con notificación"/>
    <s v="Emitido"/>
    <x v="0"/>
    <x v="0"/>
    <x v="1"/>
    <x v="0"/>
    <x v="1"/>
    <x v="0"/>
    <m/>
  </r>
  <r>
    <s v="Factura electrónica"/>
    <s v="37fc15b2b7ac92ca8f19abfb9602d5bc530e57ac33767626b69a30f8c94acf6556f4bb24cec10c92187d96622dce081f"/>
    <x v="1028"/>
    <n v="-1"/>
    <s v="FVE"/>
    <s v="11-02-2026"/>
    <s v="11-02-2026 15:53:01"/>
    <s v="900800595"/>
    <s v="Provexpress SAS"/>
    <s v="901371316"/>
    <x v="330"/>
    <n v="223250"/>
    <n v="0"/>
    <n v="0"/>
    <n v="1398250"/>
    <s v="Aprobado con notificación"/>
    <s v="Emitido"/>
    <x v="0"/>
    <x v="0"/>
    <x v="0"/>
    <x v="0"/>
    <x v="0"/>
    <x v="0"/>
    <m/>
  </r>
  <r>
    <s v="Factura electrónica"/>
    <s v="be70f1b640cf027c1dee3939ab15272144d2cfc6b2612f51aff7f9e5517837b858d49f281763a27e96b4f4d70bdcfa76"/>
    <x v="1029"/>
    <n v="-1"/>
    <s v="FVE"/>
    <s v="11-02-2026"/>
    <s v="11-02-2026 15:53:06"/>
    <s v="900800595"/>
    <s v="Provexpress SAS"/>
    <s v="901847883"/>
    <x v="3"/>
    <n v="41712.6"/>
    <n v="0"/>
    <n v="0"/>
    <n v="261252.6"/>
    <s v="Aprobado con notificación"/>
    <s v="Emitido"/>
    <x v="1"/>
    <x v="0"/>
    <x v="1"/>
    <x v="0"/>
    <x v="0"/>
    <x v="0"/>
    <m/>
  </r>
  <r>
    <s v="Factura electrónica"/>
    <s v="25e2ca7b59154efa243be21d772fd4274a2dde4c6b086182e157925618e3352673658bf1fd6cac02251457fbb9970954"/>
    <x v="1030"/>
    <n v="-1"/>
    <s v="FVE"/>
    <s v="11-02-2026"/>
    <s v="11-02-2026 15:53:10"/>
    <s v="900800595"/>
    <s v="Provexpress SAS"/>
    <s v="901847883"/>
    <x v="3"/>
    <n v="157194.03"/>
    <n v="0"/>
    <n v="0"/>
    <n v="984531.03"/>
    <s v="Aprobado con notificación"/>
    <s v="Emitido"/>
    <x v="0"/>
    <x v="0"/>
    <x v="0"/>
    <x v="0"/>
    <x v="0"/>
    <x v="0"/>
    <m/>
  </r>
  <r>
    <s v="Factura electrónica"/>
    <s v="0224b2425c053e0a798b51364b0d7443ee24f414a4510a765091a08277a7943c7423ae94180c984203cf012d08311375"/>
    <x v="1031"/>
    <n v="-1"/>
    <s v="FVE"/>
    <s v="11-02-2026"/>
    <s v="11-02-2026 15:53:16"/>
    <s v="900800595"/>
    <s v="Provexpress SAS"/>
    <s v="860007336"/>
    <x v="2"/>
    <n v="510349.5"/>
    <n v="0"/>
    <n v="0"/>
    <n v="3196399.5"/>
    <s v="Aprobado con notificación"/>
    <s v="Emitido"/>
    <x v="0"/>
    <x v="0"/>
    <x v="0"/>
    <x v="0"/>
    <x v="0"/>
    <x v="0"/>
    <m/>
  </r>
  <r>
    <s v="Factura electrónica"/>
    <s v="38c68839e3a89e2c170e9f60af2c52e881b953f68bdb6a2736d74b6c199148d1471e822605806f966562b3c7c8ba93c2"/>
    <x v="1032"/>
    <n v="-1"/>
    <s v="FVE"/>
    <s v="11-02-2026"/>
    <s v="11-02-2026 15:53:21"/>
    <s v="900800595"/>
    <s v="Provexpress SAS"/>
    <s v="900033883"/>
    <x v="17"/>
    <n v="57000"/>
    <n v="0"/>
    <n v="0"/>
    <n v="357000"/>
    <s v="Aprobado con notificación"/>
    <s v="Emitido"/>
    <x v="1"/>
    <x v="0"/>
    <x v="1"/>
    <x v="0"/>
    <x v="0"/>
    <x v="0"/>
    <m/>
  </r>
  <r>
    <s v="Factura electrónica"/>
    <s v="1ff88c8973c32dae8fec1dbc076d48424a6f8a5c9fbaf2c13618164c65792f9d6a676be610192aa4857804ccb58a71c8"/>
    <x v="1033"/>
    <n v="-1"/>
    <s v="FVE"/>
    <s v="11-02-2026"/>
    <s v="11-02-2026 16:08:30"/>
    <s v="900800595"/>
    <s v="Provexpress SAS"/>
    <s v="900356278"/>
    <x v="501"/>
    <n v="33250"/>
    <n v="0"/>
    <n v="0"/>
    <n v="208250"/>
    <s v="Aprobado con notificación"/>
    <s v="Emitido"/>
    <x v="0"/>
    <x v="0"/>
    <x v="1"/>
    <x v="0"/>
    <x v="0"/>
    <x v="1"/>
    <s v="PAGA 2/3/2026"/>
  </r>
  <r>
    <s v="Factura electrónica"/>
    <s v="3fa062debee750abbdf81e719df03fe4b41210b35cdeb1ebde6dac32dede9de2e27ef59996f6c6c5fa9b18b92ed00c6e"/>
    <x v="1034"/>
    <n v="-1"/>
    <s v="FVE"/>
    <s v="11-02-2026"/>
    <s v="11-02-2026 16:08:35"/>
    <s v="900800595"/>
    <s v="Provexpress SAS"/>
    <s v="830077655"/>
    <x v="186"/>
    <n v="154479.5"/>
    <n v="0"/>
    <n v="0"/>
    <n v="967529.5"/>
    <s v="Aprobado con notificación"/>
    <s v="Emitido"/>
    <x v="1"/>
    <x v="0"/>
    <x v="1"/>
    <x v="0"/>
    <x v="0"/>
    <x v="0"/>
    <m/>
  </r>
  <r>
    <s v="Factura electrónica"/>
    <s v="39b4af986df0959620418c747f8dc5e4d7abcd0548a4104339c92b41d69e147b71bfdea41c3dfe65410dfcdac12531a5"/>
    <x v="1035"/>
    <n v="-1"/>
    <s v="FVE"/>
    <s v="11-02-2026"/>
    <s v="11-02-2026 16:23:50"/>
    <s v="900800595"/>
    <s v="Provexpress SAS"/>
    <s v="830102932"/>
    <x v="502"/>
    <n v="97280"/>
    <n v="0"/>
    <n v="0"/>
    <n v="609280"/>
    <s v="Aprobado con notificación"/>
    <s v="Emitido"/>
    <x v="0"/>
    <x v="0"/>
    <x v="1"/>
    <x v="0"/>
    <x v="0"/>
    <x v="1"/>
    <s v="PAGA 18/02/2026"/>
  </r>
  <r>
    <s v="Factura electrónica"/>
    <s v="b4ab3b57902cf177d8492658dc4a4783bad33895a4c8b00d8f2914abecc850551e56cc0f60d052eeca4942e4094ca000"/>
    <x v="1036"/>
    <n v="-1"/>
    <s v="FVE"/>
    <s v="11-02-2026"/>
    <s v="11-02-2026 16:38:55"/>
    <s v="900800595"/>
    <s v="Provexpress SAS"/>
    <s v="830008300"/>
    <x v="503"/>
    <n v="953629"/>
    <n v="0"/>
    <n v="0"/>
    <n v="5972729"/>
    <s v="Aprobado con notificación"/>
    <s v="Emitido"/>
    <x v="0"/>
    <x v="0"/>
    <x v="0"/>
    <x v="0"/>
    <x v="0"/>
    <x v="0"/>
    <m/>
  </r>
  <r>
    <s v="Factura electrónica"/>
    <s v="d20628292b42663403e98179c07369dcca55eb5be445604382632820aea743bac21628b71010b51b0653314d703e2389"/>
    <x v="1037"/>
    <n v="-1"/>
    <s v="FVE"/>
    <s v="11-02-2026"/>
    <s v="11-02-2026 16:39:00"/>
    <s v="900800595"/>
    <s v="Provexpress SAS"/>
    <s v="860074358"/>
    <x v="504"/>
    <n v="43320"/>
    <n v="0"/>
    <n v="0"/>
    <n v="271320"/>
    <s v="Aprobado con notificación"/>
    <s v="Emitido"/>
    <x v="0"/>
    <x v="0"/>
    <x v="0"/>
    <x v="0"/>
    <x v="0"/>
    <x v="0"/>
    <m/>
  </r>
  <r>
    <s v="Factura electrónica"/>
    <s v="0b2d32d91c37cdf70fe54069d48d1dcb7204930d40167d080391ebb313c6fda6dbabae5ef463aceaf6949865317d1dd8"/>
    <x v="1038"/>
    <n v="-1"/>
    <s v="FVE"/>
    <s v="11-02-2026"/>
    <s v="11-02-2026 16:39:04"/>
    <s v="900800595"/>
    <s v="Provexpress SAS"/>
    <s v="860074358"/>
    <x v="504"/>
    <n v="86640"/>
    <n v="0"/>
    <n v="0"/>
    <n v="542640"/>
    <s v="Aprobado con notificación"/>
    <s v="Emitido"/>
    <x v="0"/>
    <x v="0"/>
    <x v="0"/>
    <x v="0"/>
    <x v="0"/>
    <x v="0"/>
    <m/>
  </r>
  <r>
    <s v="Factura electrónica"/>
    <s v="94dd31342b7ed430dba1756658f166fa0d8580538c9cf9ca91630d43a3f5bda3cb09236c39ac12e30347f9c944172e1d"/>
    <x v="1039"/>
    <n v="-1"/>
    <s v="FVE"/>
    <s v="11-02-2026"/>
    <s v="11-02-2026 16:39:09"/>
    <s v="900800595"/>
    <s v="Provexpress SAS"/>
    <s v="900671249"/>
    <x v="313"/>
    <n v="225653.5"/>
    <n v="0"/>
    <n v="0"/>
    <n v="1413303.5"/>
    <s v="Aprobado con notificación"/>
    <s v="Emitido"/>
    <x v="0"/>
    <x v="0"/>
    <x v="1"/>
    <x v="0"/>
    <x v="1"/>
    <x v="0"/>
    <m/>
  </r>
  <r>
    <s v="Factura electrónica"/>
    <s v="8cbf43b90bad5e41ed177ef62114d3de6072fb35dd328ea132e7d2b69d0cdffab462ecd654c51e35d3c32ee185ddb943"/>
    <x v="1040"/>
    <n v="-1"/>
    <s v="FVE"/>
    <s v="12-02-2026"/>
    <s v="12-02-2026 07:25:32"/>
    <s v="900800595"/>
    <s v="Provexpress SAS"/>
    <s v="830054539"/>
    <x v="199"/>
    <n v="486400"/>
    <n v="0"/>
    <n v="0"/>
    <n v="3046400"/>
    <s v="Aprobado con notificación"/>
    <s v="Emitido"/>
    <x v="1"/>
    <x v="0"/>
    <x v="1"/>
    <x v="0"/>
    <x v="0"/>
    <x v="0"/>
    <m/>
  </r>
  <r>
    <s v="Factura electrónica"/>
    <s v="9df4222c1da730dd83cc34f992a53632e578836ff6ab790af3b017d7bc2edd074d951f4f1bb87263be493cb86fc05e6a"/>
    <x v="1041"/>
    <n v="-1"/>
    <s v="FVE"/>
    <s v="12-02-2026"/>
    <s v="12-02-2026 07:55:40"/>
    <s v="900800595"/>
    <s v="Provexpress SAS"/>
    <s v="830130106"/>
    <x v="289"/>
    <n v="928298.96"/>
    <n v="0"/>
    <n v="0"/>
    <n v="5814082.96"/>
    <s v="Aprobado con notificación"/>
    <s v="Emitido"/>
    <x v="0"/>
    <x v="0"/>
    <x v="1"/>
    <x v="0"/>
    <x v="1"/>
    <x v="0"/>
    <m/>
  </r>
  <r>
    <s v="Factura electrónica"/>
    <s v="cf3f12284a969d0e415103a14e864d028ebcb31f970f173ecf136d2f0530b3c9b96699d0e0f9a113f8c02f85f1aac408"/>
    <x v="1042"/>
    <n v="-1"/>
    <s v="FVE"/>
    <s v="12-02-2026"/>
    <s v="12-02-2026 07:55:45"/>
    <s v="900800595"/>
    <s v="Provexpress SAS"/>
    <s v="900050036"/>
    <x v="122"/>
    <n v="33174"/>
    <n v="0"/>
    <n v="0"/>
    <n v="207774"/>
    <s v="Aprobado con notificación"/>
    <s v="Emitido"/>
    <x v="0"/>
    <x v="0"/>
    <x v="1"/>
    <x v="0"/>
    <x v="1"/>
    <x v="0"/>
    <m/>
  </r>
  <r>
    <s v="Factura electrónica"/>
    <s v="4e6e67ee75528777721223bea9276dc698158a162a0de4ddb511c4f53de40ff82368e131243ac7f7095748bc3edb0b75"/>
    <x v="1043"/>
    <n v="-1"/>
    <s v="FVE"/>
    <s v="12-02-2026"/>
    <s v="12-02-2026 07:55:50"/>
    <s v="900800595"/>
    <s v="Provexpress SAS"/>
    <s v="901454191"/>
    <x v="379"/>
    <n v="590658.5"/>
    <n v="0"/>
    <n v="0"/>
    <n v="5254108.5"/>
    <s v="Aprobado con notificación"/>
    <s v="Emitido"/>
    <x v="0"/>
    <x v="0"/>
    <x v="1"/>
    <x v="0"/>
    <x v="1"/>
    <x v="0"/>
    <m/>
  </r>
  <r>
    <s v="Factura electrónica"/>
    <s v="4cb8d70239d064db091f6b090f3fd809ba65afaa25eda738937291db0ed958953c56112b81c3517d8c8bee940109f817"/>
    <x v="1044"/>
    <n v="-1"/>
    <s v="FVE"/>
    <s v="12-02-2026"/>
    <s v="12-02-2026 07:55:54"/>
    <s v="900800595"/>
    <s v="Provexpress SAS"/>
    <s v="830020599"/>
    <x v="505"/>
    <n v="79652.75"/>
    <n v="0"/>
    <n v="0"/>
    <n v="498877.75"/>
    <s v="Aprobado con notificación"/>
    <s v="Emitido"/>
    <x v="0"/>
    <x v="1"/>
    <x v="1"/>
    <x v="0"/>
    <x v="0"/>
    <x v="0"/>
    <m/>
  </r>
  <r>
    <s v="Factura electrónica"/>
    <s v="8fa1123a32ba1b6602111f83d24705db8a1a19754ff87f50eac74b3beaffbfad81f5dd33b04cf4a1feed48d00a8738a2"/>
    <x v="1045"/>
    <n v="-1"/>
    <s v="FVE"/>
    <s v="12-02-2026"/>
    <s v="12-02-2026 08:11:02"/>
    <s v="900800595"/>
    <s v="Provexpress SAS"/>
    <s v="900682561"/>
    <x v="506"/>
    <n v="583176.5"/>
    <n v="0"/>
    <n v="0"/>
    <n v="3652526.5"/>
    <s v="Aprobado con notificación"/>
    <s v="Emitido"/>
    <x v="1"/>
    <x v="0"/>
    <x v="1"/>
    <x v="0"/>
    <x v="0"/>
    <x v="0"/>
    <m/>
  </r>
  <r>
    <s v="Factura electrónica"/>
    <s v="abd6be40cb1c3244cda735357ebc2589d089224f24d13d1cd4c6447e12c7db299512cb367486535c2b6c723d619cfb8d"/>
    <x v="1046"/>
    <n v="-1"/>
    <s v="FVE"/>
    <s v="12-02-2026"/>
    <s v="12-02-2026 09:13:28"/>
    <s v="900800595"/>
    <s v="Provexpress SAS"/>
    <s v="860015118"/>
    <x v="507"/>
    <n v="29564"/>
    <n v="0"/>
    <n v="0"/>
    <n v="185164"/>
    <s v="Aprobado con notificación"/>
    <s v="Emitido"/>
    <x v="0"/>
    <x v="0"/>
    <x v="1"/>
    <x v="0"/>
    <x v="1"/>
    <x v="0"/>
    <m/>
  </r>
  <r>
    <s v="Factura electrónica"/>
    <s v="882442c4e15a93c7430fb7579d4bb60bb2db606d11e5fbbbb91ff6dde4d9c3ca8f5870b6fe7a32ae9c4ba7a99b000ce1"/>
    <x v="1047"/>
    <n v="-1"/>
    <s v="FVE"/>
    <s v="12-02-2026"/>
    <s v="12-02-2026 09:45:00"/>
    <s v="900800595"/>
    <s v="Provexpress SAS"/>
    <s v="860511458"/>
    <x v="508"/>
    <n v="764180"/>
    <n v="0"/>
    <n v="0"/>
    <n v="4786180"/>
    <s v="Aprobado con notificación"/>
    <s v="Emitido"/>
    <x v="0"/>
    <x v="0"/>
    <x v="0"/>
    <x v="0"/>
    <x v="0"/>
    <x v="0"/>
    <m/>
  </r>
  <r>
    <s v="Factura electrónica"/>
    <s v="069e4efd4a58e2c1d13d202931ec7c62372f4b1ed581edb2bd34e9aaabde520e6bcb74f676f6e0dcde72fc012186bede"/>
    <x v="1048"/>
    <n v="-1"/>
    <s v="FVE"/>
    <s v="12-02-2026"/>
    <s v="12-02-2026 09:44:47"/>
    <s v="900800595"/>
    <s v="Provexpress SAS"/>
    <s v="830004748"/>
    <x v="453"/>
    <n v="1331"/>
    <n v="0"/>
    <n v="0"/>
    <n v="27951"/>
    <s v="Aprobado con notificación"/>
    <s v="Emitido"/>
    <x v="1"/>
    <x v="0"/>
    <x v="1"/>
    <x v="0"/>
    <x v="0"/>
    <x v="0"/>
    <m/>
  </r>
  <r>
    <s v="Factura electrónica"/>
    <s v="464b5c40b0fca94f71c8f20f447551d1df8ca989b3fc1699919d9c036657aa7fb54f91831df127822f11bdae991d4583"/>
    <x v="1049"/>
    <n v="-1"/>
    <s v="FVE"/>
    <s v="12-02-2026"/>
    <s v="12-02-2026 09:44:45"/>
    <s v="900800595"/>
    <s v="Provexpress SAS"/>
    <s v="860046645"/>
    <x v="509"/>
    <n v="3993"/>
    <n v="0"/>
    <n v="0"/>
    <n v="83853"/>
    <s v="Aprobado con notificación"/>
    <s v="Emitido"/>
    <x v="1"/>
    <x v="0"/>
    <x v="1"/>
    <x v="0"/>
    <x v="0"/>
    <x v="0"/>
    <m/>
  </r>
  <r>
    <s v="Factura electrónica"/>
    <s v="269dd2f12ce3f14d96402828ca33cc9f5cc82ae2ef3461ff39f33524401a2f41aae20bdd9e21b467e3207ab5e77dc240"/>
    <x v="1050"/>
    <n v="-1"/>
    <s v="FVE"/>
    <s v="12-02-2026"/>
    <s v="12-02-2026 09:44:47"/>
    <s v="900800595"/>
    <s v="Provexpress SAS"/>
    <s v="900943048"/>
    <x v="126"/>
    <n v="5324"/>
    <n v="0"/>
    <n v="0"/>
    <n v="111804"/>
    <s v="Aprobado con notificación"/>
    <s v="Emitido"/>
    <x v="1"/>
    <x v="0"/>
    <x v="1"/>
    <x v="0"/>
    <x v="0"/>
    <x v="0"/>
    <m/>
  </r>
  <r>
    <s v="Factura electrónica"/>
    <s v="c02fcc7a82506dcd2b5dbcc64015fd851a45f8bf7fd469c50a52bde3eedbed9b3fbf9a5ed2d7a77455f8f79d4edeced5"/>
    <x v="1051"/>
    <n v="-1"/>
    <s v="FVE"/>
    <s v="12-02-2026"/>
    <s v="12-02-2026 10:04:27"/>
    <s v="900800595"/>
    <s v="Provexpress SAS"/>
    <s v="830040455"/>
    <x v="510"/>
    <n v="2662"/>
    <n v="0"/>
    <n v="0"/>
    <n v="55902"/>
    <s v="Aprobado con notificación"/>
    <s v="Emitido"/>
    <x v="1"/>
    <x v="0"/>
    <x v="1"/>
    <x v="0"/>
    <x v="0"/>
    <x v="0"/>
    <m/>
  </r>
  <r>
    <s v="Factura electrónica"/>
    <s v="056651bb84cfdd8e4dc06ab9517cc52edd4dc29e4000f784e9c98a0e52a461a79e52581560d45137e1c347c8f040dc36"/>
    <x v="1052"/>
    <n v="-1"/>
    <s v="FVE"/>
    <s v="12-02-2026"/>
    <s v="12-02-2026 10:04:27"/>
    <s v="900800595"/>
    <s v="Provexpress SAS"/>
    <s v="860072279"/>
    <x v="86"/>
    <n v="76344"/>
    <n v="0"/>
    <n v="0"/>
    <n v="509544"/>
    <s v="Aprobado con notificación"/>
    <s v="Emitido"/>
    <x v="1"/>
    <x v="0"/>
    <x v="1"/>
    <x v="0"/>
    <x v="0"/>
    <x v="0"/>
    <m/>
  </r>
  <r>
    <s v="Factura electrónica"/>
    <s v="a26c452dab00cfb7a3c57bbccf09f59d8237f14461aea140d1618a1fc3c7757c05459eaffea3d289db9dcc07842374ae"/>
    <x v="1053"/>
    <n v="-1"/>
    <s v="FVE"/>
    <s v="12-02-2026"/>
    <s v="12-02-2026 10:23:08"/>
    <s v="900800595"/>
    <s v="Provexpress SAS"/>
    <s v="860522056"/>
    <x v="85"/>
    <n v="28500"/>
    <n v="0"/>
    <n v="0"/>
    <n v="178500"/>
    <s v="Aprobado con notificación"/>
    <s v="Emitido"/>
    <x v="1"/>
    <x v="0"/>
    <x v="1"/>
    <x v="0"/>
    <x v="0"/>
    <x v="0"/>
    <m/>
  </r>
  <r>
    <s v="Factura electrónica"/>
    <s v="a62c7f914fec421c88931628158473b71086c107cf2b2b42e8f89663ace950463c76dbc32bd7747aee720570509c589e"/>
    <x v="1054"/>
    <n v="-1"/>
    <s v="FVE"/>
    <s v="12-02-2026"/>
    <s v="12-02-2026 11:08:32"/>
    <s v="900800595"/>
    <s v="Provexpress SAS"/>
    <s v="901847883"/>
    <x v="3"/>
    <n v="76868.3"/>
    <n v="0"/>
    <n v="0"/>
    <n v="481438.3"/>
    <s v="Aprobado con notificación"/>
    <s v="Emitido"/>
    <x v="0"/>
    <x v="0"/>
    <x v="0"/>
    <x v="0"/>
    <x v="0"/>
    <x v="0"/>
    <m/>
  </r>
  <r>
    <s v="Factura electrónica"/>
    <s v="3a9ed148584aec8b1d88cbf4d00828483598f122b21deb0672030cf1650717fb8ba7310042f1feaf2ad278acaf13ea1c"/>
    <x v="1055"/>
    <n v="-1"/>
    <s v="FVE"/>
    <s v="12-02-2026"/>
    <s v="12-02-2026 11:08:42"/>
    <s v="900800595"/>
    <s v="Provexpress SAS"/>
    <s v="901061386"/>
    <x v="157"/>
    <n v="4768358.9400000004"/>
    <n v="0"/>
    <n v="0"/>
    <n v="29864984.940000001"/>
    <s v="Aprobado con notificación"/>
    <s v="Emitido"/>
    <x v="0"/>
    <x v="0"/>
    <x v="1"/>
    <x v="0"/>
    <x v="0"/>
    <x v="1"/>
    <s v="PAGA 2/3/2026"/>
  </r>
  <r>
    <s v="Factura electrónica"/>
    <s v="fab39fc615a579645cafe4a18e95a6015bb7f68cc08ab3a574d3db91e2f3027455fbd65e49dcd30b4a2af7663a5e24a3"/>
    <x v="1056"/>
    <n v="-1"/>
    <s v="FVE"/>
    <s v="12-02-2026"/>
    <s v="12-02-2026 11:08:42"/>
    <s v="900800595"/>
    <s v="Provexpress SAS"/>
    <s v="800149149"/>
    <x v="352"/>
    <n v="156391.66"/>
    <n v="0"/>
    <n v="0"/>
    <n v="979505.66"/>
    <s v="Aprobado con notificación"/>
    <s v="Emitido"/>
    <x v="0"/>
    <x v="0"/>
    <x v="0"/>
    <x v="0"/>
    <x v="0"/>
    <x v="0"/>
    <m/>
  </r>
  <r>
    <s v="Factura electrónica"/>
    <s v="5f400c94449ad6ecc1be222139377762632d947313a662d2586aa88c55f42ce7733c93dbbda7a5313d6f4c06fb186043"/>
    <x v="1057"/>
    <n v="-1"/>
    <s v="FVE"/>
    <s v="12-02-2026"/>
    <s v="12-02-2026 11:07:07"/>
    <s v="900800595"/>
    <s v="Provexpress SAS"/>
    <s v="860079024"/>
    <x v="511"/>
    <n v="56762.5"/>
    <n v="0"/>
    <n v="0"/>
    <n v="355512.5"/>
    <s v="Aprobado con notificación"/>
    <s v="Emitido"/>
    <x v="0"/>
    <x v="0"/>
    <x v="1"/>
    <x v="0"/>
    <x v="1"/>
    <x v="0"/>
    <m/>
  </r>
  <r>
    <s v="Factura electrónica"/>
    <s v="82bb9183b000fd0c141a96175f2a60d9059df32f4a8a5584eac8dd0f58762021dd0912e03bbfb69071dfb4e83de6ed2c"/>
    <x v="1058"/>
    <n v="-1"/>
    <s v="FVE"/>
    <s v="12-02-2026"/>
    <s v="12-02-2026 11:29:25"/>
    <s v="900800595"/>
    <s v="Provexpress SAS"/>
    <s v="900682841"/>
    <x v="22"/>
    <n v="3695604.5"/>
    <n v="0"/>
    <n v="0"/>
    <n v="43109124.5"/>
    <s v="Aprobado con notificación"/>
    <s v="Emitido"/>
    <x v="1"/>
    <x v="0"/>
    <x v="1"/>
    <x v="0"/>
    <x v="0"/>
    <x v="0"/>
    <m/>
  </r>
  <r>
    <s v="Factura electrónica"/>
    <s v="54a0cbfab021c437af617fa370ce471b84e4196a834e2df7b88cffeed5b636b0c25af60c34ec545efeeb5f125f20f0f5"/>
    <x v="1059"/>
    <n v="-1"/>
    <s v="FVE"/>
    <s v="12-02-2026"/>
    <s v="12-02-2026 11:28:34"/>
    <s v="900800595"/>
    <s v="Provexpress SAS"/>
    <s v="900148177"/>
    <x v="69"/>
    <n v="549700.69999999995"/>
    <n v="0"/>
    <n v="0"/>
    <n v="3912230.7"/>
    <s v="Aprobado con notificación"/>
    <s v="Emitido"/>
    <x v="0"/>
    <x v="0"/>
    <x v="1"/>
    <x v="0"/>
    <x v="1"/>
    <x v="0"/>
    <m/>
  </r>
  <r>
    <s v="Factura electrónica"/>
    <s v="3a10d622267b55817f00e36a916f0f54422aecf61e8dd9fa0c11a1d20767270c6c8dece8b21c2bee4f3fa65320ed5968"/>
    <x v="1060"/>
    <n v="-1"/>
    <s v="FVE"/>
    <s v="12-02-2026"/>
    <s v="12-02-2026 11:42:21"/>
    <s v="900800595"/>
    <s v="Provexpress SAS"/>
    <s v="330762869"/>
    <x v="512"/>
    <n v="935439.16"/>
    <n v="0"/>
    <n v="0"/>
    <n v="5858803.1600000001"/>
    <s v="Aprobado con notificación"/>
    <s v="Emitido"/>
    <x v="0"/>
    <x v="0"/>
    <x v="1"/>
    <x v="0"/>
    <x v="0"/>
    <x v="1"/>
    <s v="PAGO 17/02/2026"/>
  </r>
  <r>
    <s v="Factura electrónica"/>
    <s v="29d96f2b0701511d45d06e41aff4dfea6e057c657f71c3bf36dd03aaf3e5848c153273913fb58041d08e0d05a861f629"/>
    <x v="1061"/>
    <n v="-1"/>
    <s v="FVE"/>
    <s v="12-02-2026"/>
    <s v="12-02-2026 11:42:24"/>
    <s v="900800595"/>
    <s v="Provexpress SAS"/>
    <s v="901230120"/>
    <x v="513"/>
    <n v="247570"/>
    <n v="0"/>
    <n v="0"/>
    <n v="1550570"/>
    <s v="Aprobado con notificación"/>
    <s v="Emitido"/>
    <x v="1"/>
    <x v="0"/>
    <x v="1"/>
    <x v="0"/>
    <x v="0"/>
    <x v="0"/>
    <m/>
  </r>
  <r>
    <s v="Factura electrónica"/>
    <s v="da7c8ed92e88a0fc994a03af0ad3c5bfb51a99202b8bddc3e7a43d5dcc58d38eb822ce29fdfb6ea57bb3c33d838e4b20"/>
    <x v="1062"/>
    <n v="-1"/>
    <s v="FVE"/>
    <s v="12-02-2026"/>
    <s v="12-02-2026 11:42:28"/>
    <s v="900800595"/>
    <s v="Provexpress SAS"/>
    <s v="901342093"/>
    <x v="514"/>
    <n v="310650"/>
    <n v="0"/>
    <n v="0"/>
    <n v="1945650"/>
    <s v="Aprobado con notificación"/>
    <s v="Emitido"/>
    <x v="1"/>
    <x v="0"/>
    <x v="1"/>
    <x v="0"/>
    <x v="0"/>
    <x v="0"/>
    <m/>
  </r>
  <r>
    <s v="Factura electrónica"/>
    <s v="abba35d56d431fb21c18eb00de966a4b83c5fbf809534b2155a13c709f85354e7787056c86ab3b07cbe4753cd6399203"/>
    <x v="1063"/>
    <n v="-1"/>
    <s v="FVE"/>
    <s v="12-02-2026"/>
    <s v="12-02-2026 11:52:04"/>
    <s v="900800595"/>
    <s v="Provexpress SAS"/>
    <s v="860023264"/>
    <x v="279"/>
    <n v="496660"/>
    <n v="0"/>
    <n v="0"/>
    <n v="3110660"/>
    <s v="Aprobado con notificación"/>
    <s v="Emitido"/>
    <x v="1"/>
    <x v="0"/>
    <x v="1"/>
    <x v="0"/>
    <x v="0"/>
    <x v="0"/>
    <m/>
  </r>
  <r>
    <s v="Factura electrónica"/>
    <s v="3b169e59b1be72e18dd905b90c246e7a8b1245a4fb1205d2609b828059770c3d93b53f3a13687ba0a67c42bb6b6737ef"/>
    <x v="1064"/>
    <n v="-1"/>
    <s v="FVE"/>
    <s v="12-02-2026"/>
    <s v="12-02-2026 12:02:30"/>
    <s v="900800595"/>
    <s v="Provexpress SAS"/>
    <s v="800022558"/>
    <x v="235"/>
    <n v="189354"/>
    <n v="0"/>
    <n v="0"/>
    <n v="1185954"/>
    <s v="Aprobado con notificación"/>
    <s v="Emitido"/>
    <x v="0"/>
    <x v="0"/>
    <x v="0"/>
    <x v="0"/>
    <x v="0"/>
    <x v="0"/>
    <m/>
  </r>
  <r>
    <s v="Factura electrónica"/>
    <s v="6da0f1668b9f33e88ddf62885dc24ead5899f775fe3074eb2cac7451cb885b241641310a514adc97a219b2a5ae0425c9"/>
    <x v="1065"/>
    <n v="-1"/>
    <s v="FVE"/>
    <s v="12-02-2026"/>
    <s v="12-02-2026 12:04:35"/>
    <s v="900800595"/>
    <s v="Provexpress SAS"/>
    <s v="891700037"/>
    <x v="515"/>
    <n v="142500"/>
    <n v="0"/>
    <n v="0"/>
    <n v="892500"/>
    <s v="Aprobado con notificación"/>
    <s v="Emitido"/>
    <x v="1"/>
    <x v="0"/>
    <x v="1"/>
    <x v="0"/>
    <x v="0"/>
    <x v="0"/>
    <m/>
  </r>
  <r>
    <s v="Factura electrónica"/>
    <s v="1062a6be7e89fd0d6ab55a968d486f0ee7745201be1bca9ef93a0cbf65cefa9c27a3026ff580a4093c2e15187e01057c"/>
    <x v="1066"/>
    <n v="-1"/>
    <s v="FVE"/>
    <s v="12-02-2026"/>
    <s v="12-02-2026 12:02:32"/>
    <s v="900800595"/>
    <s v="Provexpress SAS"/>
    <s v="890301291"/>
    <x v="516"/>
    <n v="649629"/>
    <n v="0"/>
    <n v="0"/>
    <n v="4068729"/>
    <s v="Aprobado con notificación"/>
    <s v="Emitido"/>
    <x v="0"/>
    <x v="0"/>
    <x v="0"/>
    <x v="0"/>
    <x v="0"/>
    <x v="0"/>
    <m/>
  </r>
  <r>
    <s v="Factura electrónica"/>
    <s v="31783917d976b306a535052e628678007861a1d8761604fde44eb8111c6f823122e6928c23a465e315f1dfe9d89876b5"/>
    <x v="1067"/>
    <n v="-1"/>
    <s v="FVE"/>
    <s v="12-02-2026"/>
    <s v="12-02-2026 12:04:34"/>
    <s v="900800595"/>
    <s v="Provexpress SAS"/>
    <s v="900396965"/>
    <x v="197"/>
    <n v="698820"/>
    <n v="0"/>
    <n v="0"/>
    <n v="4376820"/>
    <s v="Aprobado con notificación"/>
    <s v="Emitido"/>
    <x v="0"/>
    <x v="0"/>
    <x v="1"/>
    <x v="0"/>
    <x v="1"/>
    <x v="0"/>
    <m/>
  </r>
  <r>
    <s v="Factura electrónica"/>
    <s v="6f906859a6983257b41df04518ae58cd46562edfa99eea51d1cd1199ad5524910244f68c4d8053d013ac14ade409562a"/>
    <x v="1068"/>
    <n v="-1"/>
    <s v="FVE"/>
    <s v="12-02-2026"/>
    <s v="12-02-2026 12:17:04"/>
    <s v="900800595"/>
    <s v="Provexpress SAS"/>
    <s v="900494141"/>
    <x v="517"/>
    <n v="863426.5"/>
    <n v="0"/>
    <n v="0"/>
    <n v="5407776.5"/>
    <s v="Aprobado con notificación"/>
    <s v="Emitido"/>
    <x v="0"/>
    <x v="0"/>
    <x v="1"/>
    <x v="0"/>
    <x v="1"/>
    <x v="0"/>
    <m/>
  </r>
  <r>
    <s v="Factura electrónica"/>
    <s v="2ecfac1de705f323e619797d1cdff848a56ad1073ab381b8cf916868050a645444616cb3f469ba67a8c02dc2f8892202"/>
    <x v="1069"/>
    <n v="-1"/>
    <s v="FVE"/>
    <s v="12-02-2026"/>
    <s v="12-02-2026 12:17:54"/>
    <s v="900800595"/>
    <s v="Provexpress SAS"/>
    <s v="830139031"/>
    <x v="518"/>
    <n v="4845000"/>
    <n v="0"/>
    <n v="0"/>
    <n v="30345000"/>
    <s v="Aprobado con notificación"/>
    <s v="Emitido"/>
    <x v="1"/>
    <x v="0"/>
    <x v="1"/>
    <x v="0"/>
    <x v="0"/>
    <x v="0"/>
    <m/>
  </r>
  <r>
    <s v="Factura electrónica"/>
    <s v="66998dbe4e60911015332be705201133ff1209b01d38732f86dcbd48a91316b3b0f208f8615efc5c21e694f1c4157acb"/>
    <x v="1070"/>
    <n v="-1"/>
    <s v="FVE"/>
    <s v="12-02-2026"/>
    <s v="12-02-2026 12:17:05"/>
    <s v="900800595"/>
    <s v="Provexpress SAS"/>
    <s v="860006754"/>
    <x v="519"/>
    <n v="70984"/>
    <n v="0"/>
    <n v="0"/>
    <n v="444584"/>
    <s v="Aprobado con notificación"/>
    <s v="Emitido"/>
    <x v="0"/>
    <x v="0"/>
    <x v="1"/>
    <x v="0"/>
    <x v="1"/>
    <x v="0"/>
    <m/>
  </r>
  <r>
    <s v="Factura electrónica"/>
    <s v="b711c31b2a3af59b49268988687df14ee0612af6bf824a256ed34323341b445b9e6cd8e4ad1e031b2205b4da8b4be251"/>
    <x v="1071"/>
    <n v="-1"/>
    <s v="FVE"/>
    <s v="12-02-2026"/>
    <s v="12-02-2026 12:17:06"/>
    <s v="900800595"/>
    <s v="Provexpress SAS"/>
    <s v="800120681"/>
    <x v="182"/>
    <n v="578345.75"/>
    <n v="0"/>
    <n v="0"/>
    <n v="3622270.75"/>
    <s v="Aprobado con notificación"/>
    <s v="Emitido"/>
    <x v="0"/>
    <x v="0"/>
    <x v="1"/>
    <x v="0"/>
    <x v="1"/>
    <x v="0"/>
    <m/>
  </r>
  <r>
    <s v="Factura electrónica"/>
    <s v="8f063eedcb7e13f9ed9fe46c41d4d3d0c984278134875209080c15e74ed761505c054fb79c64582cc94bc5817a8dfab5"/>
    <x v="1072"/>
    <n v="-1"/>
    <s v="FVE"/>
    <s v="12-02-2026"/>
    <s v="12-02-2026 12:17:50"/>
    <s v="900800595"/>
    <s v="Provexpress SAS"/>
    <s v="830067414"/>
    <x v="307"/>
    <n v="50350"/>
    <n v="0"/>
    <n v="0"/>
    <n v="315350"/>
    <s v="Aprobado con notificación"/>
    <s v="Emitido"/>
    <x v="1"/>
    <x v="0"/>
    <x v="1"/>
    <x v="0"/>
    <x v="0"/>
    <x v="0"/>
    <m/>
  </r>
  <r>
    <s v="Factura electrónica"/>
    <s v="01e4ed1a4e1f5ab8bdd5bf52c1b964e2c6e11b9dacfdb26c87fd52dadfd7d930d76fdf5a79af6bcaa7fa51f045c6690f"/>
    <x v="1073"/>
    <n v="-1"/>
    <s v="FVE"/>
    <s v="12-02-2026"/>
    <s v="12-02-2026 12:28:41"/>
    <s v="900800595"/>
    <s v="Provexpress SAS"/>
    <s v="900682841"/>
    <x v="22"/>
    <n v="7391209"/>
    <n v="0"/>
    <n v="0"/>
    <n v="46292309"/>
    <s v="Aprobado con notificación"/>
    <s v="Emitido"/>
    <x v="1"/>
    <x v="0"/>
    <x v="1"/>
    <x v="0"/>
    <x v="0"/>
    <x v="0"/>
    <m/>
  </r>
  <r>
    <s v="Factura electrónica"/>
    <s v="dbd9081597475e7f41b5e9c0855fe078679d711aa75c5cbe5d6945f63b70fb9ea0598176e24c2835dc65916e20b333ea"/>
    <x v="1074"/>
    <n v="-1"/>
    <s v="FVE"/>
    <s v="12-02-2026"/>
    <s v="12-02-2026 12:30:08"/>
    <s v="900800595"/>
    <s v="Provexpress SAS"/>
    <s v="900682841"/>
    <x v="22"/>
    <n v="0"/>
    <n v="0"/>
    <n v="0"/>
    <n v="7666668"/>
    <s v="Aprobado con notificación"/>
    <s v="Emitido"/>
    <x v="1"/>
    <x v="0"/>
    <x v="1"/>
    <x v="0"/>
    <x v="0"/>
    <x v="0"/>
    <m/>
  </r>
  <r>
    <s v="Factura electrónica"/>
    <s v="184a651925b04dc6ef5eabff64f646a9f338978ba344a2978ca3b7c967aa416b57e3f9899aa9cf46ca17b5e26080c52d"/>
    <x v="1075"/>
    <n v="-1"/>
    <s v="FVE"/>
    <s v="12-02-2026"/>
    <s v="12-02-2026 12:28:44"/>
    <s v="900800595"/>
    <s v="Provexpress SAS"/>
    <s v="900682841"/>
    <x v="22"/>
    <n v="0"/>
    <n v="0"/>
    <n v="0"/>
    <n v="15333336"/>
    <s v="Aprobado con notificación"/>
    <s v="Emitido"/>
    <x v="1"/>
    <x v="0"/>
    <x v="1"/>
    <x v="0"/>
    <x v="0"/>
    <x v="0"/>
    <m/>
  </r>
  <r>
    <s v="Factura electrónica"/>
    <s v="e89846050a6e195d9f9f6bf2288e00dba0e4ccec8ab5619c87545ada56ff593cdccc2df686abe88d9ac97e588883c45b"/>
    <x v="1076"/>
    <n v="-1"/>
    <s v="FVE"/>
    <s v="12-02-2026"/>
    <s v="12-02-2026 12:42:04"/>
    <s v="900800595"/>
    <s v="Provexpress SAS"/>
    <s v="800120681"/>
    <x v="182"/>
    <n v="613510"/>
    <n v="0"/>
    <n v="0"/>
    <n v="3842510"/>
    <s v="Aprobado con notificación"/>
    <s v="Emitido"/>
    <x v="0"/>
    <x v="0"/>
    <x v="1"/>
    <x v="0"/>
    <x v="1"/>
    <x v="0"/>
    <m/>
  </r>
  <r>
    <s v="Factura electrónica"/>
    <s v="699a2c58f8910e38bc3d43004c7b252bb5816b9e37c326d26696a706b0fef115dfec0f779ad18e394219cf9d38779829"/>
    <x v="1077"/>
    <n v="-1"/>
    <s v="FVE"/>
    <s v="12-02-2026"/>
    <s v="12-02-2026 13:08:19"/>
    <s v="900800595"/>
    <s v="Provexpress SAS"/>
    <s v="901054874"/>
    <x v="248"/>
    <n v="1932043.5"/>
    <n v="0"/>
    <n v="0"/>
    <n v="12100693.5"/>
    <s v="Aprobado con notificación"/>
    <s v="Emitido"/>
    <x v="0"/>
    <x v="0"/>
    <x v="1"/>
    <x v="1"/>
    <x v="0"/>
    <x v="0"/>
    <m/>
  </r>
  <r>
    <s v="Factura electrónica"/>
    <s v="fdfcf6df9e90124e7b0569e0d1a562600a3f7c3fc7f6434f7e9ca71bdb9b961d63c276b2ea0e2f7fcd853f95b3a9a3bd"/>
    <x v="1078"/>
    <n v="-1"/>
    <s v="FVE"/>
    <s v="12-02-2026"/>
    <s v="12-02-2026 13:26:26"/>
    <s v="900800595"/>
    <s v="Provexpress SAS"/>
    <s v="900339803"/>
    <x v="520"/>
    <n v="2695474.71"/>
    <n v="0"/>
    <n v="0"/>
    <n v="16882183.710000001"/>
    <s v="Aprobado con notificación"/>
    <s v="Emitido"/>
    <x v="0"/>
    <x v="0"/>
    <x v="1"/>
    <x v="0"/>
    <x v="1"/>
    <x v="0"/>
    <m/>
  </r>
  <r>
    <s v="Factura electrónica"/>
    <s v="1040f3fe0e859e5b522ab764fefd1a63db0b831ee04ecb980718bbc318ddd23ca1ecd74f7b09555f9029e7ede3bdf47d"/>
    <x v="1079"/>
    <n v="-1"/>
    <s v="FVE"/>
    <s v="12-02-2026"/>
    <s v="12-02-2026 13:25:58"/>
    <s v="900800595"/>
    <s v="Provexpress SAS"/>
    <s v="860524163"/>
    <x v="171"/>
    <n v="68400"/>
    <n v="0"/>
    <n v="0"/>
    <n v="428400"/>
    <s v="Aprobado con notificación"/>
    <s v="Emitido"/>
    <x v="0"/>
    <x v="0"/>
    <x v="0"/>
    <x v="0"/>
    <x v="0"/>
    <x v="0"/>
    <m/>
  </r>
  <r>
    <s v="Factura electrónica"/>
    <s v="bae2eacb6e50baa3e1850ec5b943cd642402c2dbf111b55ddba23e16b96978c3c06f08ceed9e622a466654895ab2b1a5"/>
    <x v="1080"/>
    <n v="-1"/>
    <s v="FVE"/>
    <s v="12-02-2026"/>
    <s v="12-02-2026 13:26:26"/>
    <s v="900800595"/>
    <s v="Provexpress SAS"/>
    <s v="900283577"/>
    <x v="521"/>
    <n v="20675"/>
    <n v="0"/>
    <n v="0"/>
    <n v="154175"/>
    <s v="Aprobado con notificación"/>
    <s v="Emitido"/>
    <x v="0"/>
    <x v="0"/>
    <x v="1"/>
    <x v="0"/>
    <x v="1"/>
    <x v="0"/>
    <m/>
  </r>
  <r>
    <s v="Factura electrónica"/>
    <s v="516cad3bef008392e4390aefd3b567fc9f1acc747c45bd596e60c6f6d412365548623d42433021dd972c932904d568be"/>
    <x v="1081"/>
    <n v="-1"/>
    <s v="FVE"/>
    <s v="12-02-2026"/>
    <s v="12-02-2026 13:48:34"/>
    <s v="900800595"/>
    <s v="Provexpress SAS"/>
    <s v="830016145"/>
    <x v="522"/>
    <n v="149622.29999999999"/>
    <n v="0"/>
    <n v="0"/>
    <n v="943452.3"/>
    <s v="Aprobado con notificación"/>
    <s v="Emitido"/>
    <x v="0"/>
    <x v="0"/>
    <x v="1"/>
    <x v="0"/>
    <x v="1"/>
    <x v="0"/>
    <m/>
  </r>
  <r>
    <s v="Factura electrónica"/>
    <s v="3b623b9b8d77b4eefd2f84ce9fb275f9304783bf858adf0984263a10ade4122fec111814ba67eb262d0aa5380c9a3a6f"/>
    <x v="1082"/>
    <n v="-1"/>
    <s v="FVE"/>
    <s v="12-02-2026"/>
    <s v="12-02-2026 13:48:37"/>
    <s v="900800595"/>
    <s v="Provexpress SAS"/>
    <s v="890311875"/>
    <x v="129"/>
    <n v="30945.3"/>
    <n v="0"/>
    <n v="0"/>
    <n v="193815.3"/>
    <s v="Aprobado con notificación"/>
    <s v="Emitido"/>
    <x v="1"/>
    <x v="0"/>
    <x v="1"/>
    <x v="0"/>
    <x v="0"/>
    <x v="0"/>
    <m/>
  </r>
  <r>
    <s v="Factura electrónica"/>
    <s v="425f7ad5e91290ddf73a3e9afd7f24ad6a53ee38a96d6b82263d3382564b65bfaca9fec5db7f53a7374b65d8764181e6"/>
    <x v="1083"/>
    <n v="-1"/>
    <s v="FVE"/>
    <s v="12-02-2026"/>
    <s v="12-02-2026 13:48:45"/>
    <s v="900800595"/>
    <s v="Provexpress SAS"/>
    <s v="804007055"/>
    <x v="523"/>
    <n v="95541.119999999995"/>
    <n v="0"/>
    <n v="0"/>
    <n v="598389.12"/>
    <s v="Aprobado con notificación"/>
    <s v="Emitido"/>
    <x v="0"/>
    <x v="0"/>
    <x v="1"/>
    <x v="0"/>
    <x v="1"/>
    <x v="0"/>
    <m/>
  </r>
  <r>
    <s v="Factura electrónica"/>
    <s v="3b15833569e66f926365defec9401920e506fa1db0b03fd2e4cf49106fa011fe9590290fe1808e5c30ca5474af78609d"/>
    <x v="1084"/>
    <n v="-1"/>
    <s v="FVE"/>
    <s v="12-02-2026"/>
    <s v="12-02-2026 13:51:34"/>
    <s v="900800595"/>
    <s v="Provexpress SAS"/>
    <s v="804007055"/>
    <x v="523"/>
    <n v="45600"/>
    <n v="0"/>
    <n v="0"/>
    <n v="285600"/>
    <s v="Aprobado con notificación"/>
    <s v="Emitido"/>
    <x v="0"/>
    <x v="0"/>
    <x v="1"/>
    <x v="0"/>
    <x v="1"/>
    <x v="0"/>
    <m/>
  </r>
  <r>
    <s v="Factura electrónica"/>
    <s v="74b01ee38b17bfa9a173253d655138770339d2676dbc51df262738a0ad6af691aa5fb13328bdbb37452d1a9b3c84c0da"/>
    <x v="1085"/>
    <n v="-1"/>
    <s v="FVE"/>
    <s v="12-02-2026"/>
    <s v="12-02-2026 14:51:01"/>
    <s v="900800595"/>
    <s v="Provexpress SAS"/>
    <s v="830017184"/>
    <x v="293"/>
    <n v="986951.2"/>
    <n v="0"/>
    <n v="0"/>
    <n v="6181431.2000000002"/>
    <s v="Aprobado con notificación"/>
    <s v="Emitido"/>
    <x v="0"/>
    <x v="0"/>
    <x v="1"/>
    <x v="0"/>
    <x v="0"/>
    <x v="0"/>
    <m/>
  </r>
  <r>
    <s v="Factura electrónica"/>
    <s v="1979ff7dcc31041c3dc97ffdb5400a04481c7b76ea695287a3718e4b403fee994d24e2ca7b3701470161a96f7ffcae7d"/>
    <x v="1086"/>
    <n v="-1"/>
    <s v="FVE"/>
    <s v="12-02-2026"/>
    <s v="12-02-2026 14:50:50"/>
    <s v="900800595"/>
    <s v="Provexpress SAS"/>
    <s v="320715287"/>
    <x v="115"/>
    <n v="902042.29"/>
    <n v="0"/>
    <n v="0"/>
    <n v="5649633.29"/>
    <s v="Aprobado con notificación"/>
    <s v="Emitido"/>
    <x v="0"/>
    <x v="0"/>
    <x v="1"/>
    <x v="0"/>
    <x v="0"/>
    <x v="0"/>
    <m/>
  </r>
  <r>
    <s v="Factura electrónica"/>
    <s v="4564342cfb6ffab3a9c6a095359627d89b72c86b0f2cd5decfe2799de9e844753f28f8bde6d9e2ec8fa411c18cf62294"/>
    <x v="1087"/>
    <n v="-1"/>
    <s v="FVE"/>
    <s v="12-02-2026"/>
    <s v="12-02-2026 15:00:54"/>
    <s v="900800595"/>
    <s v="Provexpress SAS"/>
    <s v="900542743"/>
    <x v="524"/>
    <n v="25099722"/>
    <n v="0"/>
    <n v="0"/>
    <n v="157203522"/>
    <s v="Aprobado con notificación"/>
    <s v="Emitido"/>
    <x v="1"/>
    <x v="0"/>
    <x v="1"/>
    <x v="0"/>
    <x v="0"/>
    <x v="0"/>
    <m/>
  </r>
  <r>
    <s v="Factura electrónica"/>
    <s v="0c327dd517155987835178b2323a3ba47402fdf6b15eb285a5c71503e721d8b9cbb589b39df4a9e3df6e76ee305d7e52"/>
    <x v="1088"/>
    <n v="-1"/>
    <s v="FVE"/>
    <s v="12-02-2026"/>
    <s v="12-02-2026 15:14:54"/>
    <s v="900800595"/>
    <s v="Provexpress SAS"/>
    <s v="860000996"/>
    <x v="261"/>
    <n v="38380"/>
    <n v="0"/>
    <n v="0"/>
    <n v="240380"/>
    <s v="Aprobado con notificación"/>
    <s v="Emitido"/>
    <x v="1"/>
    <x v="0"/>
    <x v="1"/>
    <x v="0"/>
    <x v="0"/>
    <x v="0"/>
    <m/>
  </r>
  <r>
    <s v="Factura electrónica"/>
    <s v="76c4bf25857592cf740955278311b7b2c97d2b5c4e5c0fe7d12331a8722516fe85dcf7a21fb148ff49147b076fe182c5"/>
    <x v="1089"/>
    <n v="-1"/>
    <s v="FVE"/>
    <s v="12-02-2026"/>
    <s v="12-02-2026 15:16:41"/>
    <s v="900800595"/>
    <s v="Provexpress SAS"/>
    <s v="900682841"/>
    <x v="22"/>
    <n v="0"/>
    <n v="0"/>
    <n v="0"/>
    <n v="1916667"/>
    <s v="Aprobado con notificación"/>
    <s v="Emitido"/>
    <x v="1"/>
    <x v="0"/>
    <x v="1"/>
    <x v="0"/>
    <x v="0"/>
    <x v="0"/>
    <m/>
  </r>
  <r>
    <s v="Factura electrónica"/>
    <s v="1235c60a670ccd072ea87c6df7c5bf85304d96ea410f51eac410a1a4d6788ea16c4c9544c1f15e52821468726e02cf9f"/>
    <x v="1090"/>
    <n v="-1"/>
    <s v="FVE"/>
    <s v="12-02-2026"/>
    <s v="12-02-2026 15:16:35"/>
    <s v="900800595"/>
    <s v="Provexpress SAS"/>
    <s v="900682841"/>
    <x v="22"/>
    <n v="0"/>
    <n v="0"/>
    <n v="0"/>
    <n v="19166670"/>
    <s v="Aprobado con notificación"/>
    <s v="Emitido"/>
    <x v="1"/>
    <x v="0"/>
    <x v="1"/>
    <x v="0"/>
    <x v="0"/>
    <x v="0"/>
    <m/>
  </r>
  <r>
    <s v="Factura electrónica"/>
    <s v="027ca186649a79fe28d76622f1cc6d892d8b7568d67c7e2259e714b379dfa03bb1954927125f024fdfd84d6a9165149f"/>
    <x v="1091"/>
    <n v="-1"/>
    <s v="FVE"/>
    <s v="12-02-2026"/>
    <s v="12-02-2026 15:15:00"/>
    <s v="900800595"/>
    <s v="Provexpress SAS"/>
    <s v="900682841"/>
    <x v="22"/>
    <n v="739120.9"/>
    <n v="0"/>
    <n v="0"/>
    <n v="8462564.9000000004"/>
    <s v="Aprobado con notificación"/>
    <s v="Emitido"/>
    <x v="1"/>
    <x v="0"/>
    <x v="1"/>
    <x v="0"/>
    <x v="0"/>
    <x v="0"/>
    <m/>
  </r>
  <r>
    <s v="Factura electrónica"/>
    <s v="e9891f5b4caca9203812b6de0395f5829f44844043bf2e8647f6da37bfe289913755a2b77305ecdf08c013463c7aa5c0"/>
    <x v="1092"/>
    <n v="-1"/>
    <s v="FVE"/>
    <s v="12-02-2026"/>
    <s v="12-02-2026 15:30:57"/>
    <s v="900800595"/>
    <s v="Provexpress SAS"/>
    <s v="900682841"/>
    <x v="22"/>
    <n v="0"/>
    <n v="0"/>
    <n v="0"/>
    <n v="9583335"/>
    <s v="Aprobado con notificación"/>
    <s v="Emitido"/>
    <x v="1"/>
    <x v="0"/>
    <x v="1"/>
    <x v="0"/>
    <x v="0"/>
    <x v="0"/>
    <m/>
  </r>
  <r>
    <s v="Factura electrónica"/>
    <s v="0e68873d8e578b34a0596eba57a972a0bc4f6b217555dd29908ab78378e32b0502c25bacfdc8a08481e58d67f943941b"/>
    <x v="1093"/>
    <n v="-1"/>
    <s v="FVE"/>
    <s v="12-02-2026"/>
    <s v="12-02-2026 15:31:12"/>
    <s v="900800595"/>
    <s v="Provexpress SAS"/>
    <s v="899999123"/>
    <x v="492"/>
    <n v="25104.13"/>
    <n v="0"/>
    <n v="0"/>
    <n v="157231.13"/>
    <s v="Aprobado con notificación"/>
    <s v="Emitido"/>
    <x v="0"/>
    <x v="0"/>
    <x v="0"/>
    <x v="0"/>
    <x v="0"/>
    <x v="0"/>
    <m/>
  </r>
  <r>
    <s v="Factura electrónica"/>
    <s v="ac3256efcfeb820f73dfb5185156d63d202095bcda2a6150dbd063c21fcc2e234d64e24e73be9c3863f456762cab20f7"/>
    <x v="1094"/>
    <n v="-1"/>
    <s v="FVE"/>
    <s v="12-02-2026"/>
    <s v="12-02-2026 15:32:32"/>
    <s v="900800595"/>
    <s v="Provexpress SAS"/>
    <s v="900335275"/>
    <x v="525"/>
    <n v="496850"/>
    <n v="0"/>
    <n v="0"/>
    <n v="3111850"/>
    <s v="Aprobado con notificación"/>
    <s v="Emitido"/>
    <x v="1"/>
    <x v="0"/>
    <x v="1"/>
    <x v="0"/>
    <x v="0"/>
    <x v="0"/>
    <m/>
  </r>
  <r>
    <s v="Factura electrónica"/>
    <s v="d3745a18cd947ee468fdb79f28a5b5a16e7317f2c3d64455e71542afed0924d22353a727f913f41c0b8a73d21bf05647"/>
    <x v="1095"/>
    <n v="-1"/>
    <s v="FVE"/>
    <s v="12-02-2026"/>
    <s v="12-02-2026 15:32:22"/>
    <s v="900800595"/>
    <s v="Provexpress SAS"/>
    <s v="901240494"/>
    <x v="241"/>
    <n v="119335.2"/>
    <n v="0"/>
    <n v="0"/>
    <n v="747415.2"/>
    <s v="Aprobado con notificación"/>
    <s v="Emitido"/>
    <x v="0"/>
    <x v="0"/>
    <x v="1"/>
    <x v="0"/>
    <x v="0"/>
    <x v="0"/>
    <m/>
  </r>
  <r>
    <s v="Factura electrónica"/>
    <s v="553c88384ca271f163271de4f2a0a2457b928ddd74a2ab1ee0b299a2546c1f285829d58b084ff3519be5fb2a7ad1b893"/>
    <x v="1096"/>
    <n v="-1"/>
    <s v="FVE"/>
    <s v="12-02-2026"/>
    <s v="12-02-2026 15:31:15"/>
    <s v="900800595"/>
    <s v="Provexpress SAS"/>
    <s v="860075558"/>
    <x v="260"/>
    <n v="57000"/>
    <n v="0"/>
    <n v="0"/>
    <n v="357000"/>
    <s v="Aprobado con notificación"/>
    <s v="Emitido"/>
    <x v="0"/>
    <x v="1"/>
    <x v="1"/>
    <x v="0"/>
    <x v="0"/>
    <x v="0"/>
    <m/>
  </r>
  <r>
    <s v="Factura electrónica"/>
    <s v="0933c0255d981b3d7aa2b8d55fa02c505bd923f05913369e09a9ff0b2b841c8663504275da95f9c4f4e6215977d08624"/>
    <x v="1097"/>
    <n v="-1"/>
    <s v="FVE"/>
    <s v="12-02-2026"/>
    <s v="12-02-2026 15:31:20"/>
    <s v="900800595"/>
    <s v="Provexpress SAS"/>
    <s v="800170118"/>
    <x v="526"/>
    <n v="4157200"/>
    <n v="0"/>
    <n v="0"/>
    <n v="29787200"/>
    <s v="Aprobado con notificación"/>
    <s v="Emitido"/>
    <x v="0"/>
    <x v="0"/>
    <x v="1"/>
    <x v="0"/>
    <x v="1"/>
    <x v="0"/>
    <m/>
  </r>
  <r>
    <s v="Factura electrónica"/>
    <s v="2a6b4a5dc84fae16e4ca3bd8856565cdb893b23a90f4bc41132716c072cd0e7ffb762fb8ef18c51bec674701b4b47c13"/>
    <x v="1098"/>
    <n v="-1"/>
    <s v="FVE"/>
    <s v="12-02-2026"/>
    <s v="12-02-2026 15:31:24"/>
    <s v="900800595"/>
    <s v="Provexpress SAS"/>
    <s v="800170118"/>
    <x v="526"/>
    <n v="1482000"/>
    <n v="0"/>
    <n v="0"/>
    <n v="9282000"/>
    <s v="Aprobado con notificación"/>
    <s v="Emitido"/>
    <x v="0"/>
    <x v="0"/>
    <x v="1"/>
    <x v="0"/>
    <x v="1"/>
    <x v="0"/>
    <m/>
  </r>
  <r>
    <s v="Factura electrónica"/>
    <s v="553332550ee2fdc33e3913cd4b6ac8ddb4c0d844f39c3b31dc2f6c4cad6e897565179d1824a2553a3020d84664e8674f"/>
    <x v="1099"/>
    <n v="-1"/>
    <s v="FVE"/>
    <s v="12-02-2026"/>
    <s v="12-02-2026 15:31:31"/>
    <s v="900800595"/>
    <s v="Provexpress SAS"/>
    <s v="800170118"/>
    <x v="526"/>
    <n v="3230000"/>
    <n v="0"/>
    <n v="0"/>
    <n v="20230000"/>
    <s v="Aprobado con notificación"/>
    <s v="Emitido"/>
    <x v="0"/>
    <x v="0"/>
    <x v="1"/>
    <x v="0"/>
    <x v="1"/>
    <x v="0"/>
    <m/>
  </r>
  <r>
    <s v="Factura electrónica"/>
    <s v="5e2f43d770d711251523880dae3a4099b8fcf25e35cad2e633edae4e463b0e96b3fbbf0176f2d0b176affd4aaabab7a3"/>
    <x v="1100"/>
    <n v="-1"/>
    <s v="FVE"/>
    <s v="12-02-2026"/>
    <s v="12-02-2026 15:31:38"/>
    <s v="900800595"/>
    <s v="Provexpress SAS"/>
    <s v="901054874"/>
    <x v="248"/>
    <n v="1942351"/>
    <n v="0"/>
    <n v="0"/>
    <n v="12165251"/>
    <s v="Aprobado con notificación"/>
    <s v="Emitido"/>
    <x v="0"/>
    <x v="0"/>
    <x v="1"/>
    <x v="0"/>
    <x v="1"/>
    <x v="0"/>
    <m/>
  </r>
  <r>
    <s v="Factura electrónica"/>
    <s v="3cbf4c931bd7e20b53906ae0502f5e649f9a4ad600d726c0f473387fe2705460aaf727a26c6b660c2c31c0ab6c0aa0b5"/>
    <x v="1101"/>
    <n v="-1"/>
    <s v="FVE"/>
    <s v="12-02-2026"/>
    <s v="12-02-2026 15:45:23"/>
    <s v="900800595"/>
    <s v="Provexpress SAS"/>
    <s v="860522056"/>
    <x v="85"/>
    <n v="12564.7"/>
    <n v="0"/>
    <n v="0"/>
    <n v="78694.7"/>
    <s v="Aprobado con notificación"/>
    <s v="Emitido"/>
    <x v="1"/>
    <x v="0"/>
    <x v="1"/>
    <x v="0"/>
    <x v="0"/>
    <x v="0"/>
    <m/>
  </r>
  <r>
    <s v="Factura electrónica"/>
    <s v="407866a110058159e54a228468cb8553c562416151727e5be56c1f9f908d5a803ccf26b7aef18f6f410b1d32f11a28a9"/>
    <x v="1102"/>
    <n v="-1"/>
    <s v="FVE"/>
    <s v="12-02-2026"/>
    <s v="12-02-2026 15:43:49"/>
    <s v="900800595"/>
    <s v="Provexpress SAS"/>
    <s v="860522056"/>
    <x v="85"/>
    <n v="66279.41"/>
    <n v="0"/>
    <n v="0"/>
    <n v="415118.41"/>
    <s v="Aprobado con notificación"/>
    <s v="Emitido"/>
    <x v="0"/>
    <x v="0"/>
    <x v="0"/>
    <x v="0"/>
    <x v="0"/>
    <x v="0"/>
    <m/>
  </r>
  <r>
    <s v="Factura electrónica"/>
    <s v="7bdfbfa8594aa0f0d292814e5de02e289a30a5a5e2bc64b11fef5d1e34c3c594e3f27ab5e1d65f2e7088e9832156fa0e"/>
    <x v="1103"/>
    <n v="-1"/>
    <s v="FVE"/>
    <s v="12-02-2026"/>
    <s v="12-02-2026 15:43:51"/>
    <s v="900800595"/>
    <s v="Provexpress SAS"/>
    <s v="830109997"/>
    <x v="66"/>
    <n v="142500"/>
    <n v="0"/>
    <n v="0"/>
    <n v="892500"/>
    <s v="Aprobado con notificación"/>
    <s v="Emitido"/>
    <x v="0"/>
    <x v="0"/>
    <x v="1"/>
    <x v="0"/>
    <x v="1"/>
    <x v="0"/>
    <m/>
  </r>
  <r>
    <s v="Factura electrónica"/>
    <s v="3c8b12e22815eb9096577a151b10c9366a77a5e5f9f1fc5b6dd178ee1ab0404fe1539fea3cd0717cb498dacd33a91cca"/>
    <x v="1104"/>
    <n v="-1"/>
    <s v="FVE"/>
    <s v="12-02-2026"/>
    <s v="12-02-2026 15:43:52"/>
    <s v="900800595"/>
    <s v="Provexpress SAS"/>
    <s v="830502282"/>
    <x v="445"/>
    <n v="28500"/>
    <n v="0"/>
    <n v="0"/>
    <n v="178500"/>
    <s v="Aprobado con notificación"/>
    <s v="Emitido"/>
    <x v="0"/>
    <x v="0"/>
    <x v="1"/>
    <x v="0"/>
    <x v="1"/>
    <x v="0"/>
    <m/>
  </r>
  <r>
    <s v="Factura electrónica"/>
    <s v="86fa91d38478d8c6796b47f8aa2b2469cf09564d437cea394cbb7ea56f8c49f4e94496ba3109873bbc0496eb86d738aa"/>
    <x v="1105"/>
    <n v="-1"/>
    <s v="FVE"/>
    <s v="12-02-2026"/>
    <s v="12-02-2026 15:43:54"/>
    <s v="900800595"/>
    <s v="Provexpress SAS"/>
    <s v="901751651"/>
    <x v="527"/>
    <n v="35340"/>
    <n v="0"/>
    <n v="0"/>
    <n v="221340"/>
    <s v="Aprobado con notificación"/>
    <s v="Emitido"/>
    <x v="0"/>
    <x v="0"/>
    <x v="1"/>
    <x v="0"/>
    <x v="1"/>
    <x v="0"/>
    <m/>
  </r>
  <r>
    <s v="Factura electrónica"/>
    <s v="5a2e49298b437b454e92726dc9410d857f69c5121d96ce52b9b2e9b9e6208bd62762fb9cc55527efcf443945a2087019"/>
    <x v="1106"/>
    <n v="-1"/>
    <s v="FVE"/>
    <s v="12-02-2026"/>
    <s v="12-02-2026 15:45:24"/>
    <s v="900800595"/>
    <s v="Provexpress SAS"/>
    <s v="900132714"/>
    <x v="208"/>
    <n v="21538.59"/>
    <n v="0"/>
    <n v="0"/>
    <n v="134899.59"/>
    <s v="Aprobado con notificación"/>
    <s v="Emitido"/>
    <x v="0"/>
    <x v="0"/>
    <x v="1"/>
    <x v="0"/>
    <x v="1"/>
    <x v="0"/>
    <m/>
  </r>
  <r>
    <s v="Factura electrónica"/>
    <s v="ff82810845fdc0694a7bacb991dd083b097be0d22eac05db5b93fcc6eca5902e318df5da9f3eacef5799a10b3465eb3d"/>
    <x v="1107"/>
    <n v="-1"/>
    <s v="FVE"/>
    <s v="12-02-2026"/>
    <s v="12-02-2026 15:43:58"/>
    <s v="900800595"/>
    <s v="Provexpress SAS"/>
    <s v="901442422"/>
    <x v="528"/>
    <n v="0"/>
    <n v="0"/>
    <n v="0"/>
    <n v="639000"/>
    <s v="Aprobado con notificación"/>
    <s v="Emitido"/>
    <x v="0"/>
    <x v="0"/>
    <x v="1"/>
    <x v="0"/>
    <x v="1"/>
    <x v="0"/>
    <m/>
  </r>
  <r>
    <s v="Factura electrónica"/>
    <s v="404edc810e5ef5533207b36f956a6c2d9d00f500588fbdd7dde1b1f950a2804f734184daba1d8dfab3684700b07f3be9"/>
    <x v="1108"/>
    <n v="-1"/>
    <s v="FVE"/>
    <s v="12-02-2026"/>
    <s v="12-02-2026 15:44:02"/>
    <s v="900800595"/>
    <s v="Provexpress SAS"/>
    <s v="901552668"/>
    <x v="529"/>
    <n v="0"/>
    <n v="0"/>
    <n v="0"/>
    <n v="639000"/>
    <s v="Aprobado con notificación"/>
    <s v="Emitido"/>
    <x v="0"/>
    <x v="0"/>
    <x v="1"/>
    <x v="0"/>
    <x v="1"/>
    <x v="0"/>
    <m/>
  </r>
  <r>
    <s v="Factura electrónica"/>
    <s v="6ae94d4ad6a74fc4db747e7cc06fd8cec39a8cfbe4a983ace109246bdb65fad15065afb8f3308cc4ac386ff4322c5d8e"/>
    <x v="1109"/>
    <n v="-1"/>
    <s v="FVE"/>
    <s v="12-02-2026"/>
    <s v="12-02-2026 15:58:46"/>
    <s v="900800595"/>
    <s v="Provexpress SAS"/>
    <s v="900671249"/>
    <x v="313"/>
    <n v="35218.78"/>
    <n v="0"/>
    <n v="0"/>
    <n v="220580.78"/>
    <s v="Aprobado con notificación"/>
    <s v="Emitido"/>
    <x v="0"/>
    <x v="0"/>
    <x v="1"/>
    <x v="0"/>
    <x v="1"/>
    <x v="0"/>
    <m/>
  </r>
  <r>
    <s v="Factura electrónica"/>
    <s v="c8c5ad431de0a853ffb0e733029b6632686ea4d4321e53771055940034bfe2ccfbcafe3a68bc2e7c14f097520997f28f"/>
    <x v="1110"/>
    <n v="-1"/>
    <s v="FVE"/>
    <s v="12-02-2026"/>
    <s v="12-02-2026 15:58:48"/>
    <s v="900800595"/>
    <s v="Provexpress SAS"/>
    <s v="901442421"/>
    <x v="530"/>
    <n v="0"/>
    <n v="0"/>
    <n v="0"/>
    <n v="1278000"/>
    <s v="Aprobado con notificación"/>
    <s v="Emitido"/>
    <x v="0"/>
    <x v="0"/>
    <x v="1"/>
    <x v="0"/>
    <x v="1"/>
    <x v="0"/>
    <m/>
  </r>
  <r>
    <s v="Factura electrónica"/>
    <s v="e63f4e2c9ccec982fdeffd499a6b4deaf2918554d5bb808d62e19cbe42a4e304c3c95298af5f82706468c5763980b4d9"/>
    <x v="1111"/>
    <n v="-1"/>
    <s v="FVE"/>
    <s v="12-02-2026"/>
    <s v="12-02-2026 15:58:52"/>
    <s v="900800595"/>
    <s v="Provexpress SAS"/>
    <s v="901774386"/>
    <x v="531"/>
    <n v="0"/>
    <n v="0"/>
    <n v="0"/>
    <n v="1278000"/>
    <s v="Aprobado con notificación"/>
    <s v="Emitido"/>
    <x v="0"/>
    <x v="0"/>
    <x v="1"/>
    <x v="0"/>
    <x v="1"/>
    <x v="0"/>
    <m/>
  </r>
  <r>
    <s v="Factura electrónica"/>
    <s v="5431fec783ca4449e3311d20d1c39fe224c85d3d236462110096185b505ce8106664036f3d7bbd4533bf07f1c777d7e7"/>
    <x v="1112"/>
    <n v="-1"/>
    <s v="FVE"/>
    <s v="12-02-2026"/>
    <s v="12-02-2026 16:00:22"/>
    <s v="900800595"/>
    <s v="Provexpress SAS"/>
    <s v="902010784"/>
    <x v="360"/>
    <n v="0"/>
    <n v="0"/>
    <n v="0"/>
    <n v="639000"/>
    <s v="Aprobado con notificación"/>
    <s v="Emitido"/>
    <x v="0"/>
    <x v="0"/>
    <x v="1"/>
    <x v="0"/>
    <x v="1"/>
    <x v="0"/>
    <m/>
  </r>
  <r>
    <s v="Factura electrónica"/>
    <s v="5d675c464797e1948726d5987e23400b1af57525a12c6ad767f550a784c0a960441500ed4d7f8751e101eeca497b5287"/>
    <x v="1113"/>
    <n v="-1"/>
    <s v="FVE"/>
    <s v="12-02-2026"/>
    <s v="12-02-2026 15:59:14"/>
    <s v="900800595"/>
    <s v="Provexpress SAS"/>
    <s v="901898439"/>
    <x v="532"/>
    <n v="0"/>
    <n v="0"/>
    <n v="0"/>
    <n v="639000"/>
    <s v="Aprobado con notificación"/>
    <s v="Emitido"/>
    <x v="0"/>
    <x v="0"/>
    <x v="1"/>
    <x v="0"/>
    <x v="1"/>
    <x v="0"/>
    <m/>
  </r>
  <r>
    <s v="Factura electrónica"/>
    <s v="5e054581d3fa9ec42bca0f44e635cfbad0f1030ff05b5b9fb2ee3cfbbb3f7df9a94174ade34a2b64acf72adb1313ff31"/>
    <x v="1114"/>
    <n v="-1"/>
    <s v="FVE"/>
    <s v="12-02-2026"/>
    <s v="12-02-2026 15:59:54"/>
    <s v="900800595"/>
    <s v="Provexpress SAS"/>
    <s v="901373695"/>
    <x v="533"/>
    <n v="0"/>
    <n v="0"/>
    <n v="0"/>
    <n v="639000"/>
    <s v="Aprobado con notificación"/>
    <s v="Emitido"/>
    <x v="0"/>
    <x v="0"/>
    <x v="1"/>
    <x v="0"/>
    <x v="1"/>
    <x v="0"/>
    <m/>
  </r>
  <r>
    <s v="Factura electrónica"/>
    <s v="32e241312dfac0b04f89819efd38ed82e114df39701130ecfdfede2beffcbf35021646d84a0b401065edb3112230f194"/>
    <x v="1115"/>
    <n v="-1"/>
    <s v="FVE"/>
    <s v="12-02-2026"/>
    <s v="12-02-2026 16:00:03"/>
    <s v="900800595"/>
    <s v="Provexpress SAS"/>
    <s v="860067561"/>
    <x v="534"/>
    <n v="0"/>
    <n v="0"/>
    <n v="0"/>
    <n v="5751000"/>
    <s v="Aprobado con notificación"/>
    <s v="Emitido"/>
    <x v="0"/>
    <x v="0"/>
    <x v="1"/>
    <x v="0"/>
    <x v="1"/>
    <x v="0"/>
    <m/>
  </r>
  <r>
    <s v="Factura electrónica"/>
    <s v="430c3b5678571e73504a17bde7e7218dc06004a219483c8d5b22f9ca9b8e0a982c88045fbb44e090cc88fc5451cefce4"/>
    <x v="1116"/>
    <n v="-1"/>
    <s v="FVE"/>
    <s v="12-02-2026"/>
    <s v="12-02-2026 16:00:06"/>
    <s v="900800595"/>
    <s v="Provexpress SAS"/>
    <s v="860067561"/>
    <x v="534"/>
    <n v="0"/>
    <n v="0"/>
    <n v="0"/>
    <n v="1278000"/>
    <s v="Aprobado con notificación"/>
    <s v="Emitido"/>
    <x v="0"/>
    <x v="0"/>
    <x v="1"/>
    <x v="0"/>
    <x v="1"/>
    <x v="0"/>
    <m/>
  </r>
  <r>
    <s v="Factura electrónica"/>
    <s v="b3876ba57d3352d0484c1052de9fe83f0d02dd8716a6c102fff6ef48f49e8c92e4969a5a2f482b8067ae3bc3c9a20f97"/>
    <x v="1117"/>
    <n v="-1"/>
    <s v="FVE"/>
    <s v="12-02-2026"/>
    <s v="12-02-2026 16:00:10"/>
    <s v="900800595"/>
    <s v="Provexpress SAS"/>
    <s v="900815663"/>
    <x v="535"/>
    <n v="62586"/>
    <n v="0"/>
    <n v="0"/>
    <n v="391986"/>
    <s v="Aprobado con notificación"/>
    <s v="Emitido"/>
    <x v="0"/>
    <x v="0"/>
    <x v="1"/>
    <x v="0"/>
    <x v="0"/>
    <x v="1"/>
    <s v="PAGA 02/03/2026"/>
  </r>
  <r>
    <s v="Factura electrónica"/>
    <s v="ddcd72e677b9c2e4164e861e4b7b944d27163d20996fb90d2d2aae202e292f0ad69ceab345cc56e706ae2930e33cca88"/>
    <x v="1118"/>
    <n v="-1"/>
    <s v="FVE"/>
    <s v="12-02-2026"/>
    <s v="12-02-2026 16:00:17"/>
    <s v="900800595"/>
    <s v="Provexpress SAS"/>
    <s v="817001672"/>
    <x v="64"/>
    <n v="46740"/>
    <n v="0"/>
    <n v="0"/>
    <n v="292740"/>
    <s v="Aprobado con notificación"/>
    <s v="Emitido"/>
    <x v="0"/>
    <x v="0"/>
    <x v="0"/>
    <x v="0"/>
    <x v="0"/>
    <x v="0"/>
    <m/>
  </r>
  <r>
    <s v="Factura electrónica"/>
    <s v="78f87b9b8efa5c59c41f7891b695b63eb879caad5f9244b347378ba43a2be17bd15c9658b3baa849f0c42eb1ef14e589"/>
    <x v="1119"/>
    <n v="-1"/>
    <s v="FVE"/>
    <s v="12-02-2026"/>
    <s v="12-02-2026 16:01:11"/>
    <s v="900800595"/>
    <s v="Provexpress SAS"/>
    <s v="830096376"/>
    <x v="62"/>
    <n v="33630"/>
    <n v="0"/>
    <n v="0"/>
    <n v="210630"/>
    <s v="Aprobado con notificación"/>
    <s v="Emitido"/>
    <x v="1"/>
    <x v="0"/>
    <x v="1"/>
    <x v="0"/>
    <x v="0"/>
    <x v="0"/>
    <m/>
  </r>
  <r>
    <s v="Factura electrónica"/>
    <s v="536c9a0132cb064050ebd72d6e3bb42c15a7cccd9057d89e2c0b3df6ff56f7949537539ffebb253f3fddfedcbefebd88"/>
    <x v="1120"/>
    <n v="-1"/>
    <s v="FVE"/>
    <s v="12-02-2026"/>
    <s v="12-02-2026 16:14:20"/>
    <s v="900800595"/>
    <s v="Provexpress SAS"/>
    <s v="830096376"/>
    <x v="62"/>
    <n v="193904.5"/>
    <n v="0"/>
    <n v="0"/>
    <n v="1214454.5"/>
    <s v="Aprobado con notificación"/>
    <s v="Emitido"/>
    <x v="1"/>
    <x v="0"/>
    <x v="1"/>
    <x v="0"/>
    <x v="0"/>
    <x v="0"/>
    <m/>
  </r>
  <r>
    <s v="Factura electrónica"/>
    <s v="c3dbb8b846046d0aaad216fb0db585c691497307a4248187498b34e4f775201e007c3064ba65601cc27f912e1ce2ca65"/>
    <x v="1121"/>
    <n v="-1"/>
    <s v="FVE"/>
    <s v="12-02-2026"/>
    <s v="12-02-2026 16:12:43"/>
    <s v="900800595"/>
    <s v="Provexpress SAS"/>
    <s v="901847883"/>
    <x v="3"/>
    <n v="679094.01"/>
    <n v="0"/>
    <n v="0"/>
    <n v="4253273.01"/>
    <s v="Aprobado con notificación"/>
    <s v="Emitido"/>
    <x v="0"/>
    <x v="0"/>
    <x v="0"/>
    <x v="0"/>
    <x v="0"/>
    <x v="0"/>
    <m/>
  </r>
  <r>
    <s v="Factura electrónica"/>
    <s v="2be670a18736890a7dab18f00385154d29dde68db6a91cfa456b15caf7c4083103702f37185436f5d2ade2fed1d87d7b"/>
    <x v="1122"/>
    <n v="-1"/>
    <s v="FVE"/>
    <s v="12-02-2026"/>
    <s v="12-02-2026 16:14:20"/>
    <s v="900800595"/>
    <s v="Provexpress SAS"/>
    <s v="830092963"/>
    <x v="536"/>
    <n v="305662.5"/>
    <n v="0"/>
    <n v="0"/>
    <n v="1914412.5"/>
    <s v="Aprobado con notificación"/>
    <s v="Emitido"/>
    <x v="0"/>
    <x v="0"/>
    <x v="1"/>
    <x v="0"/>
    <x v="1"/>
    <x v="0"/>
    <m/>
  </r>
  <r>
    <s v="Factura electrónica"/>
    <s v="40f77f33d099b3a62e0b7e1e9e639e8b5e69a7fcc0cd9f1bf7ab1b9d95f1f32598dc134ab0462b2c983f933953d1cfba"/>
    <x v="1123"/>
    <n v="-1"/>
    <s v="FVE"/>
    <s v="12-02-2026"/>
    <s v="12-02-2026 16:12:45"/>
    <s v="900800595"/>
    <s v="Provexpress SAS"/>
    <s v="900682841"/>
    <x v="22"/>
    <n v="0"/>
    <n v="0"/>
    <n v="0"/>
    <n v="32714220"/>
    <s v="Aprobado con notificación"/>
    <s v="Emitido"/>
    <x v="1"/>
    <x v="0"/>
    <x v="1"/>
    <x v="0"/>
    <x v="0"/>
    <x v="0"/>
    <m/>
  </r>
  <r>
    <s v="Factura electrónica"/>
    <s v="14fa3be6e36f0516af3966a06e49a1cf3db0ed56f14c46cb77be852e738ea5016512ccf8c7cd1e69d886c0888102ffe3"/>
    <x v="1124"/>
    <n v="-1"/>
    <s v="FVE"/>
    <s v="12-02-2026"/>
    <s v="12-02-2026 16:12:50"/>
    <s v="900800595"/>
    <s v="Provexpress SAS"/>
    <s v="800149149"/>
    <x v="352"/>
    <n v="273637.81"/>
    <n v="0"/>
    <n v="0"/>
    <n v="1713836.81"/>
    <s v="Aprobado con notificación"/>
    <s v="Emitido"/>
    <x v="0"/>
    <x v="0"/>
    <x v="0"/>
    <x v="0"/>
    <x v="0"/>
    <x v="0"/>
    <m/>
  </r>
  <r>
    <s v="Factura electrónica"/>
    <s v="95b9bfb0d5613b928693db36deed00d833b54c405a0fbcec2bdcecb4b044c1be77551f36e4141e99c194de2595ca4b1b"/>
    <x v="1125"/>
    <n v="-1"/>
    <s v="FVE"/>
    <s v="12-02-2026"/>
    <s v="12-02-2026 16:27:37"/>
    <s v="900800595"/>
    <s v="Provexpress SAS"/>
    <s v="860076008"/>
    <x v="537"/>
    <n v="128250"/>
    <n v="0"/>
    <n v="0"/>
    <n v="803250"/>
    <s v="Aprobado con notificación"/>
    <s v="Emitido"/>
    <x v="1"/>
    <x v="0"/>
    <x v="1"/>
    <x v="0"/>
    <x v="0"/>
    <x v="0"/>
    <m/>
  </r>
  <r>
    <s v="Factura electrónica"/>
    <s v="58eac5342a4ceeb7f48b5db389da216cdecf2e6bedfe6b6b5001f9f8632249ae6205caa5c2dc0a7bee47662736433632"/>
    <x v="1126"/>
    <n v="-1"/>
    <s v="FVE"/>
    <s v="12-02-2026"/>
    <s v="12-02-2026 16:29:15"/>
    <s v="900800595"/>
    <s v="Provexpress SAS"/>
    <s v="901043512"/>
    <x v="538"/>
    <n v="67925"/>
    <n v="0"/>
    <n v="0"/>
    <n v="425425"/>
    <s v="Aprobado con notificación"/>
    <s v="Emitido"/>
    <x v="0"/>
    <x v="0"/>
    <x v="1"/>
    <x v="0"/>
    <x v="1"/>
    <x v="0"/>
    <m/>
  </r>
  <r>
    <s v="Factura electrónica"/>
    <s v="e8695b61b73a1b8eae3cb7f8854c889a97127e560fc1dbec8adafd0c66d1eafed42053740c8661dea0e5b7d2a847f65f"/>
    <x v="1127"/>
    <n v="-1"/>
    <s v="FVE"/>
    <s v="12-02-2026"/>
    <s v="12-02-2026 16:27:46"/>
    <s v="900800595"/>
    <s v="Provexpress SAS"/>
    <s v="860023264"/>
    <x v="279"/>
    <n v="39140"/>
    <n v="0"/>
    <n v="0"/>
    <n v="1575140"/>
    <s v="Aprobado con notificación"/>
    <s v="Emitido"/>
    <x v="1"/>
    <x v="0"/>
    <x v="1"/>
    <x v="0"/>
    <x v="0"/>
    <x v="0"/>
    <m/>
  </r>
  <r>
    <s v="Factura electrónica"/>
    <s v="f86c633baf580a604f3b6dac3db1fa9bcd7c2a306abc9b1794d5ca9c8acc740d9302ff5ec06ff2d1e778011acaae10f1"/>
    <x v="1128"/>
    <n v="-1"/>
    <s v="FVE"/>
    <s v="12-02-2026"/>
    <s v="12-02-2026 16:27:53"/>
    <s v="900800595"/>
    <s v="Provexpress SAS"/>
    <s v="800241469"/>
    <x v="48"/>
    <n v="112100"/>
    <n v="0"/>
    <n v="0"/>
    <n v="702100"/>
    <s v="Aprobado con notificación"/>
    <s v="Emitido"/>
    <x v="0"/>
    <x v="0"/>
    <x v="1"/>
    <x v="0"/>
    <x v="0"/>
    <x v="1"/>
    <s v="PAGA 02/03/2026"/>
  </r>
  <r>
    <s v="Factura electrónica"/>
    <s v="b95d8b111dcceddac3aca5f6625dd0c1ab5a2c19dc6e1bb64739bbc4c43a98c2a8fd3a16d543ab56ab95ac84ac4146d5"/>
    <x v="1129"/>
    <n v="-1"/>
    <s v="FVE"/>
    <s v="12-02-2026"/>
    <s v="12-02-2026 16:40:51"/>
    <s v="900800595"/>
    <s v="Provexpress SAS"/>
    <s v="860533413"/>
    <x v="30"/>
    <n v="2048200"/>
    <n v="0"/>
    <n v="0"/>
    <n v="12828200"/>
    <s v="Aprobado con notificación"/>
    <s v="Emitido"/>
    <x v="1"/>
    <x v="0"/>
    <x v="1"/>
    <x v="0"/>
    <x v="0"/>
    <x v="0"/>
    <m/>
  </r>
  <r>
    <s v="Factura electrónica"/>
    <s v="4bf64c07750ac6768f38822d36fdd5b0a6c0cce85059035e8b05481c127a5bf6a177e36740169d8a9449665940259649"/>
    <x v="1130"/>
    <n v="-1"/>
    <s v="FVE"/>
    <s v="13-02-2026"/>
    <s v="13-02-2026 09:50:22"/>
    <s v="900800595"/>
    <s v="Provexpress SAS"/>
    <s v="830513773"/>
    <x v="46"/>
    <n v="63992.95"/>
    <n v="0"/>
    <n v="0"/>
    <n v="449421.95"/>
    <s v="Aprobado con notificación"/>
    <s v="Emitido"/>
    <x v="0"/>
    <x v="0"/>
    <x v="1"/>
    <x v="0"/>
    <x v="1"/>
    <x v="0"/>
    <m/>
  </r>
  <r>
    <s v="Factura electrónica"/>
    <s v="c1cee3d0dd5591468fec31ba4e5a16fe8001189bf8bd0fc44a5a9ad34122eb8713b9ac245f30f0532017d24a15499e6f"/>
    <x v="1131"/>
    <n v="-1"/>
    <s v="FVE"/>
    <s v="13-02-2026"/>
    <s v="13-02-2026 09:50:26"/>
    <s v="900800595"/>
    <s v="Provexpress SAS"/>
    <s v="830513773"/>
    <x v="46"/>
    <n v="57120.08"/>
    <n v="0"/>
    <n v="0"/>
    <n v="357752.08"/>
    <s v="Aprobado con notificación"/>
    <s v="Emitido"/>
    <x v="0"/>
    <x v="0"/>
    <x v="1"/>
    <x v="0"/>
    <x v="1"/>
    <x v="0"/>
    <m/>
  </r>
  <r>
    <s v="Factura electrónica"/>
    <s v="f96f86556094a23b8f281adf718ffba0f84e6d2e0958e0925945f3b0450d0ce0f30184502db2bf197ebe81ee26ff51a1"/>
    <x v="1132"/>
    <n v="0"/>
    <s v="FVE"/>
    <s v="13-02-2026"/>
    <s v="13-02-2026 09:50:30"/>
    <s v="900800595"/>
    <s v="Provexpress SAS"/>
    <s v="900106694"/>
    <x v="205"/>
    <n v="9369850"/>
    <n v="0"/>
    <n v="0"/>
    <n v="58684850"/>
    <s v="Aprobado con notificación"/>
    <s v="Emitido"/>
    <x v="0"/>
    <x v="0"/>
    <x v="1"/>
    <x v="0"/>
    <x v="1"/>
    <x v="0"/>
    <m/>
  </r>
  <r>
    <s v="Factura electrónica"/>
    <s v="f96f86556094a23b8f281adf718ffba0f84e6d2e0958e0925945f3b0450d0ce0f30184502db2bf197ebe81ee26ff51a1"/>
    <x v="1132"/>
    <n v="-1"/>
    <s v="FVE"/>
    <s v="13-02-2026"/>
    <s v="13-02-2026 09:50:30"/>
    <s v="900800595"/>
    <s v="Provexpress SAS"/>
    <s v="900106694"/>
    <x v="205"/>
    <n v="9369850"/>
    <n v="0"/>
    <n v="0"/>
    <n v="58684850"/>
    <s v="Aprobado con notificación"/>
    <s v="Emitido"/>
    <x v="0"/>
    <x v="0"/>
    <x v="1"/>
    <x v="0"/>
    <x v="1"/>
    <x v="0"/>
    <m/>
  </r>
  <r>
    <s v="Factura electrónica"/>
    <s v="a49ed8bb73b46d2c1bb68ca1f12f98cb73277b1ac422f619df62d688f6d82072f3f4ce70b3ae4991894079d92895617e"/>
    <x v="1133"/>
    <n v="-1"/>
    <s v="FVE"/>
    <s v="13-02-2026"/>
    <s v="13-02-2026 10:05:41"/>
    <s v="900800595"/>
    <s v="Provexpress SAS"/>
    <s v="900450226"/>
    <x v="539"/>
    <n v="1495300"/>
    <n v="0"/>
    <n v="0"/>
    <n v="9365300"/>
    <s v="Aprobado con notificación"/>
    <s v="Emitido"/>
    <x v="0"/>
    <x v="0"/>
    <x v="0"/>
    <x v="0"/>
    <x v="0"/>
    <x v="0"/>
    <m/>
  </r>
  <r>
    <s v="Factura electrónica"/>
    <s v="cd24d0567147b109886213cc000085c0bc452aefcb906efe1dd3f4522158c98dbc63449dad9a3d63e95af82a9364f093"/>
    <x v="1134"/>
    <n v="-1"/>
    <s v="FVE"/>
    <s v="13-02-2026"/>
    <s v="13-02-2026 10:05:46"/>
    <s v="900800595"/>
    <s v="Provexpress SAS"/>
    <s v="900033883"/>
    <x v="17"/>
    <n v="71516"/>
    <n v="0"/>
    <n v="0"/>
    <n v="447916"/>
    <s v="Aprobado con notificación"/>
    <s v="Emitido"/>
    <x v="1"/>
    <x v="0"/>
    <x v="1"/>
    <x v="0"/>
    <x v="0"/>
    <x v="0"/>
    <m/>
  </r>
  <r>
    <s v="Factura electrónica"/>
    <s v="bf88447255daaa045a5180ba975ac611e1b74be6a679c4c0ce46d047f1cd9eb2ec35031b060afd8199bae00cef2d5d60"/>
    <x v="1135"/>
    <n v="-1"/>
    <s v="FVE"/>
    <s v="13-02-2026"/>
    <s v="13-02-2026 10:20:52"/>
    <s v="900800595"/>
    <s v="Provexpress SAS"/>
    <s v="900237022"/>
    <x v="540"/>
    <n v="111764.65"/>
    <n v="0"/>
    <n v="0"/>
    <n v="699999.65"/>
    <s v="Aprobado con notificación"/>
    <s v="Emitido"/>
    <x v="0"/>
    <x v="0"/>
    <x v="1"/>
    <x v="0"/>
    <x v="1"/>
    <x v="0"/>
    <m/>
  </r>
  <r>
    <s v="Factura electrónica"/>
    <s v="2ab36b8fc8efc9de6d9888d7669f8ae4c900cf73eb7205e09d7a8b3f5b3230b07951ef7f933e9c47c97ac8c2e763c075"/>
    <x v="1136"/>
    <n v="-1"/>
    <s v="FVE"/>
    <s v="13-02-2026"/>
    <s v="13-02-2026 10:22:48"/>
    <s v="900800595"/>
    <s v="Provexpress SAS"/>
    <s v="830130106"/>
    <x v="289"/>
    <n v="305900"/>
    <n v="0"/>
    <n v="0"/>
    <n v="1915900"/>
    <s v="Aprobado con notificación"/>
    <s v="Emitido"/>
    <x v="0"/>
    <x v="0"/>
    <x v="1"/>
    <x v="0"/>
    <x v="1"/>
    <x v="0"/>
    <m/>
  </r>
  <r>
    <s v="Factura electrónica"/>
    <s v="ef37fe819a45358b06d9057db33bfd3e3c6c3f12c2c1e4ebe386619a6457fab51d463058b61b0aa5ea1e13865a0d7bbc"/>
    <x v="1137"/>
    <n v="-1"/>
    <s v="FVE"/>
    <s v="13-02-2026"/>
    <s v="13-02-2026 10:21:25"/>
    <s v="900800595"/>
    <s v="Provexpress SAS"/>
    <s v="900203461"/>
    <x v="286"/>
    <n v="220780"/>
    <n v="0"/>
    <n v="0"/>
    <n v="1382780"/>
    <s v="Aprobado con notificación"/>
    <s v="Emitido"/>
    <x v="0"/>
    <x v="0"/>
    <x v="0"/>
    <x v="0"/>
    <x v="0"/>
    <x v="0"/>
    <m/>
  </r>
  <r>
    <s v="Factura electrónica"/>
    <s v="89ae6771b2deb40b3d8eb19b6975b0c727cb3be3c7e65ff01315197796b270cf4260d2f3cc6ccc1d7ac8dbdc9edb50af"/>
    <x v="1138"/>
    <n v="-1"/>
    <s v="FVE"/>
    <s v="13-02-2026"/>
    <s v="13-02-2026 16:28:41"/>
    <s v="900800595"/>
    <s v="Provexpress SAS"/>
    <s v="901476079"/>
    <x v="541"/>
    <n v="1097820"/>
    <n v="0"/>
    <n v="0"/>
    <n v="6875820"/>
    <s v="Aprobado con notificación"/>
    <s v="Emitido"/>
    <x v="0"/>
    <x v="0"/>
    <x v="1"/>
    <x v="0"/>
    <x v="1"/>
    <x v="0"/>
    <m/>
  </r>
  <r>
    <s v="Factura electrónica"/>
    <s v="86d833b5e5fb752efb5b66cb30fb93ea9049ed039ee6c9737f49f4e3a83aedf1431e2ba9954d298a0b18d48030622a44"/>
    <x v="1139"/>
    <n v="-1"/>
    <s v="FVE"/>
    <s v="13-02-2026"/>
    <s v="13-02-2026 10:21:16"/>
    <s v="900800595"/>
    <s v="Provexpress SAS"/>
    <s v="800164874"/>
    <x v="542"/>
    <n v="9500"/>
    <n v="0"/>
    <n v="0"/>
    <n v="59500"/>
    <s v="Aprobado con notificación"/>
    <s v="Emitido"/>
    <x v="0"/>
    <x v="0"/>
    <x v="1"/>
    <x v="0"/>
    <x v="1"/>
    <x v="0"/>
    <m/>
  </r>
  <r>
    <s v="Factura electrónica"/>
    <s v="4a65d99df1c5f8024835364f4df548ae0d02766246d684f2861c71054e72861dc0ce029203c01d854d6a05e334e45562"/>
    <x v="1140"/>
    <n v="-1"/>
    <s v="FVE"/>
    <s v="13-02-2026"/>
    <s v="13-02-2026 10:36:21"/>
    <s v="900800595"/>
    <s v="Provexpress SAS"/>
    <s v="52078556"/>
    <x v="198"/>
    <n v="6181.65"/>
    <n v="0"/>
    <n v="0"/>
    <n v="38716.65"/>
    <s v="Aprobado con notificación"/>
    <s v="Emitido"/>
    <x v="0"/>
    <x v="0"/>
    <x v="1"/>
    <x v="0"/>
    <x v="0"/>
    <x v="1"/>
    <s v="PAGA 02/03/2026"/>
  </r>
  <r>
    <s v="Factura electrónica"/>
    <s v="e1913bce16f85da979adb309b9ea1cce92e55ff558996e6ff51395a7487fd0b9eece86d0ac55e16c437f837dece27ed6"/>
    <x v="1141"/>
    <n v="-1"/>
    <s v="FVE"/>
    <s v="13-02-2026"/>
    <s v="13-02-2026 10:37:59"/>
    <s v="900800595"/>
    <s v="Provexpress SAS"/>
    <s v="830013774"/>
    <x v="441"/>
    <n v="881980"/>
    <n v="0"/>
    <n v="0"/>
    <n v="5523980"/>
    <s v="Aprobado con notificación"/>
    <s v="Emitido"/>
    <x v="0"/>
    <x v="0"/>
    <x v="1"/>
    <x v="0"/>
    <x v="0"/>
    <x v="1"/>
    <s v="PAGA 02/03/2026"/>
  </r>
  <r>
    <s v="Factura electrónica"/>
    <s v="68692e2b24a00faa061015c2f2796836bb09becedc6dc2cb8f2a05e93d38a7649f8080c351d09496af0175807ccf6b36"/>
    <x v="1142"/>
    <n v="-1"/>
    <s v="FVE"/>
    <s v="13-02-2026"/>
    <s v="13-02-2026 10:37:58"/>
    <s v="900800595"/>
    <s v="Provexpress SAS"/>
    <s v="860053716"/>
    <x v="543"/>
    <n v="223400.1"/>
    <n v="0"/>
    <n v="0"/>
    <n v="1399190.1"/>
    <s v="Aprobado con notificación"/>
    <s v="Emitido"/>
    <x v="0"/>
    <x v="0"/>
    <x v="0"/>
    <x v="0"/>
    <x v="0"/>
    <x v="0"/>
    <m/>
  </r>
  <r>
    <s v="Factura electrónica"/>
    <s v="7fb4aa1714f6c8970c5353b0dba173c8459e062a3d7fe761576216e6008d6a73fabca025174fc6ea3af04ccdde5fa911"/>
    <x v="1143"/>
    <n v="-1"/>
    <s v="FVE"/>
    <s v="13-02-2026"/>
    <s v="13-02-2026 10:36:34"/>
    <s v="900800595"/>
    <s v="Provexpress SAS"/>
    <s v="800114672"/>
    <x v="544"/>
    <n v="191749.9"/>
    <n v="0"/>
    <n v="0"/>
    <n v="1200959.8999999999"/>
    <s v="Aprobado con notificación"/>
    <s v="Emitido"/>
    <x v="0"/>
    <x v="0"/>
    <x v="1"/>
    <x v="1"/>
    <x v="0"/>
    <x v="0"/>
    <m/>
  </r>
  <r>
    <s v="Factura electrónica"/>
    <s v="dd77c2657184f66bd9ae2e72469a36fc413e885ce2af9b9a40124934d3968c298ba17337455da2409e0d407ecb370d91"/>
    <x v="1144"/>
    <n v="-1"/>
    <s v="FVE"/>
    <s v="13-02-2026"/>
    <s v="13-02-2026 10:36:41"/>
    <s v="900800595"/>
    <s v="Provexpress SAS"/>
    <s v="900706422"/>
    <x v="545"/>
    <n v="930167.89"/>
    <n v="0"/>
    <n v="0"/>
    <n v="6014840.8899999997"/>
    <s v="Aprobado con notificación"/>
    <s v="Emitido"/>
    <x v="0"/>
    <x v="0"/>
    <x v="1"/>
    <x v="0"/>
    <x v="1"/>
    <x v="0"/>
    <m/>
  </r>
  <r>
    <s v="Factura electrónica"/>
    <s v="b6e362ae104020b3261928810b3e53a60500cd63a443b6316b23c89a0e0a96a6d9dc3f5ec7377aa264ea100c7641b914"/>
    <x v="1145"/>
    <n v="-1"/>
    <s v="FVE"/>
    <s v="13-02-2026"/>
    <s v="13-02-2026 10:36:44"/>
    <s v="900800595"/>
    <s v="Provexpress SAS"/>
    <s v="900502435"/>
    <x v="546"/>
    <n v="10280.9"/>
    <n v="0"/>
    <n v="0"/>
    <n v="64390.9"/>
    <s v="Aprobado con notificación"/>
    <s v="Emitido"/>
    <x v="0"/>
    <x v="0"/>
    <x v="0"/>
    <x v="0"/>
    <x v="0"/>
    <x v="0"/>
    <m/>
  </r>
  <r>
    <s v="Factura electrónica"/>
    <s v="b044c847a1cff0c718c3fdf4d3e926ba21ad6cc54c4291ba5429764bccd56b284017dfb989f4fb81ae1742e9c65f0418"/>
    <x v="1146"/>
    <n v="-1"/>
    <s v="FVE"/>
    <s v="13-02-2026"/>
    <s v="13-02-2026 10:36:57"/>
    <s v="900800595"/>
    <s v="Provexpress SAS"/>
    <s v="900502435"/>
    <x v="546"/>
    <n v="13355.1"/>
    <n v="0"/>
    <n v="0"/>
    <n v="163369.1"/>
    <s v="Aprobado con notificación"/>
    <s v="Emitido"/>
    <x v="0"/>
    <x v="0"/>
    <x v="0"/>
    <x v="0"/>
    <x v="0"/>
    <x v="0"/>
    <m/>
  </r>
  <r>
    <s v="Factura electrónica"/>
    <s v="dc85177d15b5c19f9f9f015b2594680c68b1d48fc7e9ea6a9842abac0a2b293f152f1f3e2fb9feb3e896a63152b6ed4c"/>
    <x v="1147"/>
    <n v="-1"/>
    <s v="FVE"/>
    <s v="13-02-2026"/>
    <s v="13-02-2026 10:37:05"/>
    <s v="900800595"/>
    <s v="Provexpress SAS"/>
    <s v="900502435"/>
    <x v="546"/>
    <n v="127361.09"/>
    <n v="0"/>
    <n v="0"/>
    <n v="856666.09"/>
    <s v="Aprobado con notificación"/>
    <s v="Emitido"/>
    <x v="0"/>
    <x v="0"/>
    <x v="0"/>
    <x v="0"/>
    <x v="0"/>
    <x v="0"/>
    <m/>
  </r>
  <r>
    <s v="Factura electrónica"/>
    <s v="135c8513c42205bde5932f9599cbc494da0033dd52819e6c920a7ff331b1f1478c3c22b01dbc40c2c780fcbe0f2d6429"/>
    <x v="1148"/>
    <n v="-1"/>
    <s v="FVE"/>
    <s v="13-02-2026"/>
    <s v="13-02-2026 10:53:45"/>
    <s v="900800595"/>
    <s v="Provexpress SAS"/>
    <s v="900502435"/>
    <x v="546"/>
    <n v="84013.06"/>
    <n v="0"/>
    <n v="0"/>
    <n v="526187.06000000006"/>
    <s v="Aprobado con notificación"/>
    <s v="Emitido"/>
    <x v="0"/>
    <x v="0"/>
    <x v="0"/>
    <x v="0"/>
    <x v="0"/>
    <x v="0"/>
    <m/>
  </r>
  <r>
    <s v="Factura electrónica"/>
    <s v="9769dfb80a114dc178d682c72f387c129e2ee8a1fbbff26094b2220d4be72cda12a599a43f8cb59598f6249eb3465407"/>
    <x v="1149"/>
    <n v="-1"/>
    <s v="FVE"/>
    <s v="13-02-2026"/>
    <s v="13-02-2026 10:53:45"/>
    <s v="900800595"/>
    <s v="Provexpress SAS"/>
    <s v="900860858"/>
    <x v="547"/>
    <n v="9363.2000000000007"/>
    <n v="0"/>
    <n v="0"/>
    <n v="58643.199999999997"/>
    <s v="Aprobado con notificación"/>
    <s v="Emitido"/>
    <x v="0"/>
    <x v="0"/>
    <x v="0"/>
    <x v="0"/>
    <x v="0"/>
    <x v="0"/>
    <m/>
  </r>
  <r>
    <s v="Factura electrónica"/>
    <s v="a8185e97e7a5280a621fe2d750808924865824b901c640291e1935bc32ba990be98285d5aa02a4ed817161a2e2fb6152"/>
    <x v="1150"/>
    <n v="-1"/>
    <s v="FVE"/>
    <s v="13-02-2026"/>
    <s v="13-02-2026 10:54:58"/>
    <s v="900800595"/>
    <s v="Provexpress SAS"/>
    <s v="890903858"/>
    <x v="548"/>
    <n v="26511.65"/>
    <n v="0"/>
    <n v="0"/>
    <n v="166046.65"/>
    <s v="Aprobado con notificación"/>
    <s v="Emitido"/>
    <x v="0"/>
    <x v="1"/>
    <x v="1"/>
    <x v="0"/>
    <x v="0"/>
    <x v="0"/>
    <m/>
  </r>
  <r>
    <s v="Factura electrónica"/>
    <s v="003d475de821e28f9b266fede828f7244c411eee6cddebb0a4ec08866be8c4201d8bbba10bec584502cb329c4ede72ea"/>
    <x v="1151"/>
    <n v="-1"/>
    <s v="FVE"/>
    <s v="13-02-2026"/>
    <s v="13-02-2026 10:54:58"/>
    <s v="900800595"/>
    <s v="Provexpress SAS"/>
    <s v="899999123"/>
    <x v="492"/>
    <n v="331326.94"/>
    <n v="0"/>
    <n v="0"/>
    <n v="2075152.94"/>
    <s v="Aprobado con notificación"/>
    <s v="Emitido"/>
    <x v="1"/>
    <x v="0"/>
    <x v="1"/>
    <x v="0"/>
    <x v="0"/>
    <x v="0"/>
    <m/>
  </r>
  <r>
    <s v="Factura electrónica"/>
    <s v="9e2adb5fd7f63d685d93d2e509c22f9043208c5814df8cb83c928f4ebdfcb586c39dd3232807bf34ce9fafe0d1724290"/>
    <x v="1152"/>
    <n v="-1"/>
    <s v="FVE"/>
    <s v="13-02-2026"/>
    <s v="13-02-2026 10:53:48"/>
    <s v="900800595"/>
    <s v="Provexpress SAS"/>
    <s v="890204496"/>
    <x v="549"/>
    <n v="161363.20000000001"/>
    <n v="0"/>
    <n v="0"/>
    <n v="1010643.2"/>
    <s v="Aprobado con notificación"/>
    <s v="Emitido"/>
    <x v="0"/>
    <x v="0"/>
    <x v="1"/>
    <x v="0"/>
    <x v="1"/>
    <x v="0"/>
    <m/>
  </r>
  <r>
    <s v="Factura electrónica"/>
    <s v="cef6205f663b77c9c293339989651aee124b40bcbe7310fbf192b1924a240d03e0b9d0df43bd936372909abc3c37eddd"/>
    <x v="1153"/>
    <n v="-1"/>
    <s v="FVE"/>
    <s v="13-02-2026"/>
    <s v="13-02-2026 10:54:40"/>
    <s v="900800595"/>
    <s v="Provexpress SAS"/>
    <s v="900215394"/>
    <x v="550"/>
    <n v="126160"/>
    <n v="0"/>
    <n v="0"/>
    <n v="790160"/>
    <s v="Aprobado con notificación"/>
    <s v="Emitido"/>
    <x v="1"/>
    <x v="0"/>
    <x v="1"/>
    <x v="0"/>
    <x v="0"/>
    <x v="0"/>
    <m/>
  </r>
  <r>
    <s v="Factura electrónica"/>
    <s v="1898e1cd7bc9c87067487296f8589259ef621429b320aa4202a4261987762bf137ece4322430184afc8e17c996b9ad4a"/>
    <x v="1154"/>
    <n v="-1"/>
    <s v="FVE"/>
    <s v="13-02-2026"/>
    <s v="13-02-2026 10:53:54"/>
    <s v="900800595"/>
    <s v="Provexpress SAS"/>
    <s v="900450226"/>
    <x v="539"/>
    <n v="4018500"/>
    <n v="0"/>
    <n v="0"/>
    <n v="25168500"/>
    <s v="Aprobado con notificación"/>
    <s v="Emitido"/>
    <x v="0"/>
    <x v="0"/>
    <x v="0"/>
    <x v="0"/>
    <x v="0"/>
    <x v="0"/>
    <m/>
  </r>
  <r>
    <s v="Factura electrónica"/>
    <s v="7ccc1d12a7529ced945834849a1a18c54b03da5c4fc59b4a2a0e1729448756caddddaf9d709a2a5e74fd276b19177395"/>
    <x v="1155"/>
    <n v="-1"/>
    <s v="FVE"/>
    <s v="13-02-2026"/>
    <s v="13-02-2026 10:53:57"/>
    <s v="900800595"/>
    <s v="Provexpress SAS"/>
    <s v="860031615"/>
    <x v="124"/>
    <n v="2907000"/>
    <n v="0"/>
    <n v="0"/>
    <n v="18207000"/>
    <s v="Aprobado con notificación"/>
    <s v="Emitido"/>
    <x v="0"/>
    <x v="0"/>
    <x v="0"/>
    <x v="0"/>
    <x v="0"/>
    <x v="0"/>
    <m/>
  </r>
  <r>
    <s v="Factura electrónica"/>
    <s v="a95d3bc54c91901c552305fb03f16eef890b3face15fec179fffaf4617ca8ad1fd52d446a1e2a472e8f35cfd2a92fc91"/>
    <x v="1156"/>
    <n v="-1"/>
    <s v="FVE"/>
    <s v="13-02-2026"/>
    <s v="13-02-2026 11:21:46"/>
    <s v="900800595"/>
    <s v="Provexpress SAS"/>
    <s v="901137873"/>
    <x v="551"/>
    <n v="35625"/>
    <n v="0"/>
    <n v="0"/>
    <n v="223125"/>
    <s v="Aprobado con notificación"/>
    <s v="Emitido"/>
    <x v="0"/>
    <x v="0"/>
    <x v="1"/>
    <x v="0"/>
    <x v="0"/>
    <x v="1"/>
    <s v="PAGA 02/03/2026"/>
  </r>
  <r>
    <s v="Factura electrónica"/>
    <s v="0e74ccd54eedaeb0ea123365c3d7dc53280f1aca72b2c157089edd690526b3ad5ba9c444fb00b83bdbd11a948cf27b1d"/>
    <x v="1157"/>
    <n v="-1"/>
    <s v="FVE"/>
    <s v="13-02-2026"/>
    <s v="13-02-2026 11:21:47"/>
    <s v="900800595"/>
    <s v="Provexpress SAS"/>
    <s v="860026123"/>
    <x v="142"/>
    <n v="777145.6"/>
    <n v="0"/>
    <n v="0"/>
    <n v="4867385.5999999996"/>
    <s v="Aprobado con notificación"/>
    <s v="Emitido"/>
    <x v="0"/>
    <x v="0"/>
    <x v="1"/>
    <x v="0"/>
    <x v="0"/>
    <x v="1"/>
    <s v="PAGA 02/03/2026"/>
  </r>
  <r>
    <s v="Factura electrónica"/>
    <s v="36884915c224701c42ba84972a0f0b4ec736f3f1eb23142dcb2b6dcb381fb39a51d20b89936d5ada197a049b66b8c263"/>
    <x v="1158"/>
    <n v="-1"/>
    <s v="FVE"/>
    <s v="13-02-2026"/>
    <s v="13-02-2026 11:52:05"/>
    <s v="900800595"/>
    <s v="Provexpress SAS"/>
    <s v="860026123"/>
    <x v="142"/>
    <n v="5336340"/>
    <n v="0"/>
    <n v="0"/>
    <n v="33422340"/>
    <s v="Aprobado con notificación"/>
    <s v="Emitido"/>
    <x v="0"/>
    <x v="0"/>
    <x v="1"/>
    <x v="0"/>
    <x v="0"/>
    <x v="1"/>
    <s v="PAGA 02/03/2026"/>
  </r>
  <r>
    <s v="Factura electrónica"/>
    <s v="57ca68925bc8b5c60b9d5f877b04a3561d11eca385f4a5158fa9c44646199fa94efc07cd9a2adad4298e2554f7eb62f8"/>
    <x v="1159"/>
    <n v="-1"/>
    <s v="FVE"/>
    <s v="13-02-2026"/>
    <s v="13-02-2026 11:52:05"/>
    <s v="900800595"/>
    <s v="Provexpress SAS"/>
    <s v="860026123"/>
    <x v="142"/>
    <n v="742140"/>
    <n v="0"/>
    <n v="0"/>
    <n v="4648140"/>
    <s v="Aprobado con notificación"/>
    <s v="Emitido"/>
    <x v="0"/>
    <x v="0"/>
    <x v="1"/>
    <x v="0"/>
    <x v="0"/>
    <x v="1"/>
    <s v="PAGA 02/03/2026"/>
  </r>
  <r>
    <s v="Factura electrónica"/>
    <s v="3e1dd53790b3622c234771b1ce727509a1e29b7e418009828d65b08904bfd7d57029ae495f6e6b6793ffafad75608454"/>
    <x v="1160"/>
    <n v="-1"/>
    <s v="FVE"/>
    <s v="13-02-2026"/>
    <s v="13-02-2026 11:52:05"/>
    <s v="900800595"/>
    <s v="Provexpress SAS"/>
    <s v="860026123"/>
    <x v="142"/>
    <n v="28405"/>
    <n v="0"/>
    <n v="0"/>
    <n v="1063224"/>
    <s v="Aprobado con notificación"/>
    <s v="Emitido"/>
    <x v="0"/>
    <x v="0"/>
    <x v="1"/>
    <x v="0"/>
    <x v="1"/>
    <x v="0"/>
    <m/>
  </r>
  <r>
    <s v="Factura electrónica"/>
    <s v="b72d6fc5e96633002d22769a8da4c0ac46819195b1e0bb81b659386f5332ee488ceb82f694e69838f398efaf9b6bb3d9"/>
    <x v="1161"/>
    <n v="-1"/>
    <s v="FVE"/>
    <s v="13-02-2026"/>
    <s v="13-02-2026 11:52:12"/>
    <s v="900800595"/>
    <s v="Provexpress SAS"/>
    <s v="901054874"/>
    <x v="248"/>
    <n v="103854"/>
    <n v="0"/>
    <n v="0"/>
    <n v="650454"/>
    <s v="Aprobado con notificación"/>
    <s v="Emitido"/>
    <x v="0"/>
    <x v="0"/>
    <x v="1"/>
    <x v="0"/>
    <x v="1"/>
    <x v="0"/>
    <m/>
  </r>
  <r>
    <s v="Factura electrónica"/>
    <s v="cc363204bb7af38eb69363c6019b301308b2d043acc9de37895e75195aa8a87701289a474f4b7329a5cff634b78bf08a"/>
    <x v="1162"/>
    <n v="-1"/>
    <s v="FVE"/>
    <s v="13-02-2026"/>
    <s v="13-02-2026 11:52:58"/>
    <s v="900800595"/>
    <s v="Provexpress SAS"/>
    <s v="860005289"/>
    <x v="552"/>
    <n v="0"/>
    <n v="0"/>
    <n v="0"/>
    <n v="1816020"/>
    <s v="Aprobado con notificación"/>
    <s v="Emitido"/>
    <x v="0"/>
    <x v="0"/>
    <x v="1"/>
    <x v="0"/>
    <x v="1"/>
    <x v="0"/>
    <m/>
  </r>
  <r>
    <s v="Factura electrónica"/>
    <s v="fad3025ec75f34207f63ef7fdc18055d4fb2568477b0f72eda7fa332b08dcb52a61bca60677e0a508c92115fa47231f7"/>
    <x v="1163"/>
    <n v="-1"/>
    <s v="FVE"/>
    <s v="13-02-2026"/>
    <s v="13-02-2026 11:52:58"/>
    <s v="900800595"/>
    <s v="Provexpress SAS"/>
    <s v="830513773"/>
    <x v="46"/>
    <n v="4218000"/>
    <n v="0"/>
    <n v="0"/>
    <n v="26418000"/>
    <s v="Aprobado con notificación"/>
    <s v="Emitido"/>
    <x v="0"/>
    <x v="0"/>
    <x v="1"/>
    <x v="0"/>
    <x v="1"/>
    <x v="0"/>
    <m/>
  </r>
  <r>
    <s v="Factura electrónica"/>
    <s v="cab6aff840636386ccb6037456d0d6f356059c5a8836527ee105bf0e048793fc16894745b1484f5c8f3f5e836d0f7c6a"/>
    <x v="1164"/>
    <n v="-1"/>
    <s v="FVE"/>
    <s v="13-02-2026"/>
    <s v="13-02-2026 12:16:27"/>
    <s v="900800595"/>
    <s v="Provexpress SAS"/>
    <s v="900208029"/>
    <x v="417"/>
    <n v="925300"/>
    <n v="0"/>
    <n v="0"/>
    <n v="5795300"/>
    <s v="Aprobado con notificación"/>
    <s v="Emitido"/>
    <x v="1"/>
    <x v="0"/>
    <x v="1"/>
    <x v="0"/>
    <x v="0"/>
    <x v="0"/>
    <m/>
  </r>
  <r>
    <s v="Factura electrónica"/>
    <s v="59e3be656bc6d61fd81f7cc9482cdc6c066e23d971c48faf167630d59fa72e9e87bd86ee11c55c1ac1d6c07ef8b039ca"/>
    <x v="1165"/>
    <n v="-1"/>
    <s v="FVE"/>
    <s v="13-02-2026"/>
    <s v="13-02-2026 12:16:32"/>
    <s v="900800595"/>
    <s v="Provexpress SAS"/>
    <s v="900208029"/>
    <x v="417"/>
    <n v="136040"/>
    <n v="0"/>
    <n v="0"/>
    <n v="852040"/>
    <s v="Aprobado con notificación"/>
    <s v="Emitido"/>
    <x v="1"/>
    <x v="0"/>
    <x v="1"/>
    <x v="0"/>
    <x v="0"/>
    <x v="0"/>
    <m/>
  </r>
  <r>
    <s v="Factura electrónica"/>
    <s v="06a3c10ea557d9f97f1586ca285b25223facba2f605b41bafd665c58609c410711c3c86bb0ece8c098aa0d2b1e7557bc"/>
    <x v="1166"/>
    <n v="-1"/>
    <s v="FVE"/>
    <s v="13-02-2026"/>
    <s v="13-02-2026 12:16:37"/>
    <s v="900800595"/>
    <s v="Provexpress SAS"/>
    <s v="830128434"/>
    <x v="553"/>
    <n v="1696681"/>
    <n v="0"/>
    <n v="0"/>
    <n v="10626581"/>
    <s v="Aprobado con notificación"/>
    <s v="Emitido"/>
    <x v="0"/>
    <x v="0"/>
    <x v="1"/>
    <x v="0"/>
    <x v="1"/>
    <x v="0"/>
    <m/>
  </r>
  <r>
    <s v="Factura electrónica"/>
    <s v="97021a91c2930213ecf60ba7ac69ed300253a0474023cd1ad92b513f99465eb80e76a03570ab3541cf77819087d795ee"/>
    <x v="1167"/>
    <n v="-1"/>
    <s v="FVE"/>
    <s v="13-02-2026"/>
    <s v="13-02-2026 12:16:41"/>
    <s v="900800595"/>
    <s v="Provexpress SAS"/>
    <s v="860053976"/>
    <x v="554"/>
    <n v="249660"/>
    <n v="0"/>
    <n v="0"/>
    <n v="1563660"/>
    <s v="Aprobado con notificación"/>
    <s v="Emitido"/>
    <x v="0"/>
    <x v="0"/>
    <x v="1"/>
    <x v="0"/>
    <x v="1"/>
    <x v="0"/>
    <m/>
  </r>
  <r>
    <s v="Factura electrónica"/>
    <s v="ae234916c1acd4a3798fe4ecb48b81a1621789dd8d3ffee6b5f00f65953dfc9e87c2a2a9b3638825aa10ddba637e6026"/>
    <x v="1168"/>
    <n v="-1"/>
    <s v="FVE"/>
    <s v="13-02-2026"/>
    <s v="13-02-2026 12:16:54"/>
    <s v="900800595"/>
    <s v="Provexpress SAS"/>
    <s v="900824185"/>
    <x v="555"/>
    <n v="1100385"/>
    <n v="0"/>
    <n v="0"/>
    <n v="6891885"/>
    <s v="Aprobado con notificación"/>
    <s v="Emitido"/>
    <x v="1"/>
    <x v="0"/>
    <x v="1"/>
    <x v="0"/>
    <x v="0"/>
    <x v="0"/>
    <m/>
  </r>
  <r>
    <s v="Factura electrónica"/>
    <s v="95a6de8e9e04ff28ece3e388de072993a086a2f229a53918b9f474c7911cf365fa2f6939f30e088752e93c02b3781261"/>
    <x v="1169"/>
    <n v="-1"/>
    <s v="FVE"/>
    <s v="13-02-2026"/>
    <s v="13-02-2026 12:28:05"/>
    <s v="900800595"/>
    <s v="Provexpress SAS"/>
    <s v="901938866"/>
    <x v="556"/>
    <n v="171000"/>
    <n v="0"/>
    <n v="0"/>
    <n v="1071000"/>
    <s v="Aprobado con notificación"/>
    <s v="Emitido"/>
    <x v="0"/>
    <x v="0"/>
    <x v="1"/>
    <x v="0"/>
    <x v="1"/>
    <x v="0"/>
    <m/>
  </r>
  <r>
    <s v="Factura electrónica"/>
    <s v="b3dd3b5e9995da79cf1b55468f5245e1f4af34d85d0cb4cdcab08adfe365850074b03501e71c25ee3799cdb53459b214"/>
    <x v="1170"/>
    <n v="-1"/>
    <s v="FVE"/>
    <s v="13-02-2026"/>
    <s v="13-02-2026 12:28:06"/>
    <s v="900800595"/>
    <s v="Provexpress SAS"/>
    <s v="800103903"/>
    <x v="143"/>
    <n v="1683400"/>
    <n v="0"/>
    <n v="0"/>
    <n v="10543400"/>
    <s v="Aprobado con notificación"/>
    <s v="Emitido"/>
    <x v="0"/>
    <x v="0"/>
    <x v="0"/>
    <x v="0"/>
    <x v="0"/>
    <x v="0"/>
    <m/>
  </r>
  <r>
    <s v="Factura electrónica"/>
    <s v="f7f4e1734980e3063eb797c32bc806948aa7ef35f8e0d1f3cea19c1c01f259bb85ecfce2677dd64aa4ee0f19759f4acf"/>
    <x v="1171"/>
    <n v="-1"/>
    <s v="FVE"/>
    <s v="13-02-2026"/>
    <s v="13-02-2026 12:28:06"/>
    <s v="900800595"/>
    <s v="Provexpress SAS"/>
    <s v="900682841"/>
    <x v="22"/>
    <n v="1108681.3500000001"/>
    <n v="0"/>
    <n v="0"/>
    <n v="6943846.3499999996"/>
    <s v="Aprobado con notificación"/>
    <s v="Emitido"/>
    <x v="1"/>
    <x v="0"/>
    <x v="1"/>
    <x v="0"/>
    <x v="0"/>
    <x v="0"/>
    <m/>
  </r>
  <r>
    <s v="Factura electrónica"/>
    <s v="b4faad10df004cbecb1beb6b93cfd92746644e66cd7d6415e210e1cc75dd271b0f6063f4c09fd78110fe6feca7596583"/>
    <x v="1172"/>
    <n v="-1"/>
    <s v="FVE"/>
    <s v="13-02-2026"/>
    <s v="13-02-2026 12:28:09"/>
    <s v="900800595"/>
    <s v="Provexpress SAS"/>
    <s v="860522056"/>
    <x v="85"/>
    <n v="19000"/>
    <n v="0"/>
    <n v="0"/>
    <n v="119000"/>
    <s v="Aprobado con notificación"/>
    <s v="Emitido"/>
    <x v="1"/>
    <x v="0"/>
    <x v="1"/>
    <x v="0"/>
    <x v="0"/>
    <x v="0"/>
    <m/>
  </r>
  <r>
    <s v="Factura electrónica"/>
    <s v="130a124959ef7ce51e95027cd225060b0bd01912f182cc07fb6a3c55fdb90e2e1bce0da611f27e9671239a2fecf293a4"/>
    <x v="1173"/>
    <n v="-1"/>
    <s v="FVE"/>
    <s v="13-02-2026"/>
    <s v="13-02-2026 12:39:22"/>
    <s v="900800595"/>
    <s v="Provexpress SAS"/>
    <s v="902018293"/>
    <x v="557"/>
    <n v="4200330"/>
    <n v="0"/>
    <n v="0"/>
    <n v="26307330"/>
    <s v="Aprobado con notificación"/>
    <s v="Emitido"/>
    <x v="0"/>
    <x v="0"/>
    <x v="0"/>
    <x v="0"/>
    <x v="0"/>
    <x v="0"/>
    <m/>
  </r>
  <r>
    <s v="Factura electrónica"/>
    <s v="1ae01876cd95c23982bb042bdabaa3f92de0d8ac8f84cec86fe43b45613d5d1a5bf285a825255d7a4128deee56eaf53a"/>
    <x v="1174"/>
    <n v="-1"/>
    <s v="FVE"/>
    <s v="13-02-2026"/>
    <s v="13-02-2026 12:39:23"/>
    <s v="900800595"/>
    <s v="Provexpress SAS"/>
    <s v="902018293"/>
    <x v="557"/>
    <n v="85481"/>
    <n v="0"/>
    <n v="0"/>
    <n v="535381"/>
    <s v="Aprobado con notificación"/>
    <s v="Emitido"/>
    <x v="0"/>
    <x v="0"/>
    <x v="0"/>
    <x v="0"/>
    <x v="0"/>
    <x v="0"/>
    <m/>
  </r>
  <r>
    <s v="Factura electrónica"/>
    <s v="4b90dc3eb651e990662b28cca48b6777a2bbb1234e7b49a30ec6692da2bee5c6acbec5c842eebb2969c2f08668e7b646"/>
    <x v="1175"/>
    <n v="-1"/>
    <s v="FVE"/>
    <s v="13-02-2026"/>
    <s v="13-02-2026 12:39:24"/>
    <s v="900800595"/>
    <s v="Provexpress SAS"/>
    <s v="800018165"/>
    <x v="393"/>
    <n v="84060.75"/>
    <n v="0"/>
    <n v="0"/>
    <n v="534885.75"/>
    <s v="Aprobado con notificación"/>
    <s v="Emitido"/>
    <x v="0"/>
    <x v="0"/>
    <x v="1"/>
    <x v="0"/>
    <x v="0"/>
    <x v="1"/>
    <s v="PAGA 02/03/2026"/>
  </r>
  <r>
    <s v="Factura electrónica"/>
    <s v="230516e96a8355f826272c47d22ac2ff4a2b06a500d37b42a99f4af50d7f7bf2cae6e017d3103618d46dc3b3ffc7315d"/>
    <x v="1176"/>
    <n v="-1"/>
    <s v="FVE"/>
    <s v="13-02-2026"/>
    <s v="13-02-2026 12:39:25"/>
    <s v="900800595"/>
    <s v="Provexpress SAS"/>
    <s v="860450450"/>
    <x v="231"/>
    <n v="4001286"/>
    <n v="0"/>
    <n v="0"/>
    <n v="25060686"/>
    <s v="Aprobado con notificación"/>
    <s v="Emitido"/>
    <x v="1"/>
    <x v="0"/>
    <x v="1"/>
    <x v="0"/>
    <x v="0"/>
    <x v="0"/>
    <m/>
  </r>
  <r>
    <s v="Factura electrónica"/>
    <s v="bccc1168c0b8167e752707fe3f4daf578d144691d019fcbccd0709dd8687c14a656d96dc76627b669c348eaf5ea702cb"/>
    <x v="1177"/>
    <n v="-1"/>
    <s v="FVE"/>
    <s v="13-02-2026"/>
    <s v="13-02-2026 12:39:26"/>
    <s v="900800595"/>
    <s v="Provexpress SAS"/>
    <s v="860007336"/>
    <x v="2"/>
    <n v="295906.38"/>
    <n v="0"/>
    <n v="0"/>
    <n v="1853308.38"/>
    <s v="Aprobado con notificación"/>
    <s v="Emitido"/>
    <x v="0"/>
    <x v="0"/>
    <x v="0"/>
    <x v="0"/>
    <x v="0"/>
    <x v="0"/>
    <m/>
  </r>
  <r>
    <s v="Factura electrónica"/>
    <s v="6c5e166ed8768be874e62ca6d053dba14c207d864bcbcde9db44eff18b0fd3b5b7effdf58080f91d3fc65254edfc3cb9"/>
    <x v="1178"/>
    <n v="-1"/>
    <s v="FVE"/>
    <s v="13-02-2026"/>
    <s v="13-02-2026 12:39:27"/>
    <s v="900800595"/>
    <s v="Provexpress SAS"/>
    <s v="890333023"/>
    <x v="317"/>
    <n v="150674.56"/>
    <n v="0"/>
    <n v="0"/>
    <n v="943698.56"/>
    <s v="Aprobado con notificación"/>
    <s v="Emitido"/>
    <x v="1"/>
    <x v="0"/>
    <x v="1"/>
    <x v="0"/>
    <x v="0"/>
    <x v="0"/>
    <m/>
  </r>
  <r>
    <s v="Factura electrónica"/>
    <s v="ccde736956d1d13aefedd4f487e73adc48b27ec256a0a74468e991a65b46fdd45c10d1e74584daece49339dd03aac6ff"/>
    <x v="1179"/>
    <n v="-1"/>
    <s v="FVE"/>
    <s v="13-02-2026"/>
    <s v="13-02-2026 12:39:28"/>
    <s v="900800595"/>
    <s v="Provexpress SAS"/>
    <s v="830513773"/>
    <x v="46"/>
    <n v="23306.54"/>
    <n v="0"/>
    <n v="0"/>
    <n v="145972.54"/>
    <s v="Aprobado con notificación"/>
    <s v="Emitido"/>
    <x v="0"/>
    <x v="0"/>
    <x v="1"/>
    <x v="0"/>
    <x v="1"/>
    <x v="0"/>
    <m/>
  </r>
  <r>
    <s v="Factura electrónica"/>
    <s v="97aca7c8b0a82ede6a74036b93552d6a7d7ee544d90b282efb4a0be14120f329bf8a2b59176f09d0506bfd9953009495"/>
    <x v="1180"/>
    <n v="-1"/>
    <s v="FVE"/>
    <s v="13-02-2026"/>
    <s v="13-02-2026 12:39:29"/>
    <s v="900800595"/>
    <s v="Provexpress SAS"/>
    <s v="52822678"/>
    <x v="473"/>
    <n v="10504.53"/>
    <n v="0"/>
    <n v="0"/>
    <n v="65791.53"/>
    <s v="Aprobado con notificación"/>
    <s v="Emitido"/>
    <x v="0"/>
    <x v="0"/>
    <x v="1"/>
    <x v="0"/>
    <x v="0"/>
    <x v="1"/>
    <s v="PAGA 02/03/2026"/>
  </r>
  <r>
    <s v="Factura electrónica"/>
    <s v="2d0b5c6ad14e7f7099165242adcb2cddad6a5a449c83e799479316b1ce6ecea84cebb67f71ef8e26f7567ed130bdee36"/>
    <x v="1181"/>
    <n v="-1"/>
    <s v="FVE"/>
    <s v="13-02-2026"/>
    <s v="13-02-2026 12:39:31"/>
    <s v="900800595"/>
    <s v="Provexpress SAS"/>
    <s v="830051928"/>
    <x v="398"/>
    <n v="352162.02"/>
    <n v="0"/>
    <n v="0"/>
    <n v="4161828.02"/>
    <s v="Aprobado con notificación"/>
    <s v="Emitido"/>
    <x v="1"/>
    <x v="0"/>
    <x v="1"/>
    <x v="0"/>
    <x v="0"/>
    <x v="0"/>
    <m/>
  </r>
  <r>
    <s v="Factura electrónica"/>
    <s v="6c8a6c0a603ea7ae7a7e56083d42d2c8f31a7834d1442ea73d5505fcb8098928a68aea50e360a870c3eea90cfe0219ca"/>
    <x v="1182"/>
    <n v="-1"/>
    <s v="FVE"/>
    <s v="13-02-2026"/>
    <s v="13-02-2026 12:39:34"/>
    <s v="900800595"/>
    <s v="Provexpress SAS"/>
    <s v="901847883"/>
    <x v="3"/>
    <n v="3232.47"/>
    <n v="0"/>
    <n v="0"/>
    <n v="20245.47"/>
    <s v="Aprobado con notificación"/>
    <s v="Emitido"/>
    <x v="0"/>
    <x v="0"/>
    <x v="0"/>
    <x v="0"/>
    <x v="0"/>
    <x v="0"/>
    <m/>
  </r>
  <r>
    <s v="Factura electrónica"/>
    <s v="c8f17b9d65d5c632895f5a1333596d672fd80021fcc162a4e9b6bac759c7e71dbf2c504080363d4a69b61e6ceaf7b150"/>
    <x v="1183"/>
    <n v="-1"/>
    <s v="FVE"/>
    <s v="13-02-2026"/>
    <s v="13-02-2026 12:40:57"/>
    <s v="900800595"/>
    <s v="Provexpress SAS"/>
    <s v="860536003"/>
    <x v="225"/>
    <n v="55100"/>
    <n v="0"/>
    <n v="0"/>
    <n v="345100"/>
    <s v="Aprobado con notificación"/>
    <s v="Emitido"/>
    <x v="0"/>
    <x v="0"/>
    <x v="1"/>
    <x v="0"/>
    <x v="1"/>
    <x v="0"/>
    <m/>
  </r>
  <r>
    <s v="Factura electrónica"/>
    <s v="c8af1aafb4c48ed19492735d41b6ce4f907ef54f85d85dba017a8149cf511326994c4a5ebdc0fb0f75f19dcf1cd5dda8"/>
    <x v="1184"/>
    <n v="-1"/>
    <s v="FVE"/>
    <s v="13-02-2026"/>
    <s v="13-02-2026 12:39:41"/>
    <s v="900800595"/>
    <s v="Provexpress SAS"/>
    <s v="860536003"/>
    <x v="225"/>
    <n v="402420"/>
    <n v="0"/>
    <n v="0"/>
    <n v="2520420"/>
    <s v="Aprobado con notificación"/>
    <s v="Emitido"/>
    <x v="0"/>
    <x v="0"/>
    <x v="1"/>
    <x v="0"/>
    <x v="1"/>
    <x v="0"/>
    <m/>
  </r>
  <r>
    <s v="Factura electrónica"/>
    <s v="db7fdb2b3086bc6d8fd17cd053e3c8bfc5a4f22862824ae7c46ccfb3233199edad1d30c7e75efe4928421679e193db26"/>
    <x v="1185"/>
    <n v="-1"/>
    <s v="FVE"/>
    <s v="13-02-2026"/>
    <s v="13-02-2026 12:39:45"/>
    <s v="900800595"/>
    <s v="Provexpress SAS"/>
    <s v="900975788"/>
    <x v="558"/>
    <n v="57000"/>
    <n v="0"/>
    <n v="0"/>
    <n v="357000"/>
    <s v="Aprobado con notificación"/>
    <s v="Emitido"/>
    <x v="1"/>
    <x v="0"/>
    <x v="1"/>
    <x v="0"/>
    <x v="0"/>
    <x v="0"/>
    <m/>
  </r>
  <r>
    <s v="Factura electrónica"/>
    <s v="5fc99333c96e7565cdf3f17801606f485eae2091e68b0d0de007d68591f620cdebcc0deecce571547698e09fc17ea04a"/>
    <x v="1186"/>
    <n v="-1"/>
    <s v="FVE"/>
    <s v="13-02-2026"/>
    <s v="13-02-2026 12:49:54"/>
    <s v="900800595"/>
    <s v="Provexpress SAS"/>
    <s v="830051928"/>
    <x v="398"/>
    <n v="398925.62"/>
    <n v="0"/>
    <n v="0"/>
    <n v="2498533.54"/>
    <s v="Aprobado con notificación"/>
    <s v="Emitido"/>
    <x v="0"/>
    <x v="1"/>
    <x v="1"/>
    <x v="0"/>
    <x v="0"/>
    <x v="0"/>
    <m/>
  </r>
  <r>
    <s v="Factura electrónica"/>
    <s v="f72d7c394c85f203c249b89b217d92c0fecfd4f349dca35e86645ef59ea2b3faecb5128e0b580252d81c7296fa563dc9"/>
    <x v="1187"/>
    <n v="-1"/>
    <s v="FVE"/>
    <s v="13-02-2026"/>
    <s v="13-02-2026 12:50:02"/>
    <s v="900800595"/>
    <s v="Provexpress SAS"/>
    <s v="830051928"/>
    <x v="398"/>
    <n v="0"/>
    <n v="0"/>
    <n v="0"/>
    <n v="302600"/>
    <s v="Aprobado con notificación"/>
    <s v="Emitido"/>
    <x v="0"/>
    <x v="1"/>
    <x v="1"/>
    <x v="0"/>
    <x v="0"/>
    <x v="0"/>
    <m/>
  </r>
  <r>
    <s v="Factura electrónica"/>
    <s v="0b6042047e28a6dde93af5c11abcc9653424302cbc8a2a73226d2ea9b5737ce05f57a6c3aa0179d6781d15bdac4d3ef6"/>
    <x v="1188"/>
    <n v="-1"/>
    <s v="FVE"/>
    <s v="13-02-2026"/>
    <s v="13-02-2026 12:50:03"/>
    <s v="900800595"/>
    <s v="Provexpress SAS"/>
    <s v="860006848"/>
    <x v="316"/>
    <n v="46196.98"/>
    <n v="0"/>
    <n v="0"/>
    <n v="289338.98"/>
    <s v="Aprobado con notificación"/>
    <s v="Emitido"/>
    <x v="1"/>
    <x v="0"/>
    <x v="1"/>
    <x v="0"/>
    <x v="0"/>
    <x v="0"/>
    <m/>
  </r>
  <r>
    <s v="Factura electrónica"/>
    <s v="d79848edd5bd8871e1fb103de0c801255bc798664f84e25085acc09e3c0d1e11360aefb96971413a88ec13df288eb539"/>
    <x v="1189"/>
    <n v="-1"/>
    <s v="FVE"/>
    <s v="13-02-2026"/>
    <s v="13-02-2026 12:56:28"/>
    <s v="900800595"/>
    <s v="Provexpress SAS"/>
    <s v="800154155"/>
    <x v="559"/>
    <n v="156644.54999999999"/>
    <n v="0"/>
    <n v="0"/>
    <n v="981089.55"/>
    <s v="Aprobado con notificación"/>
    <s v="Emitido"/>
    <x v="0"/>
    <x v="0"/>
    <x v="0"/>
    <x v="0"/>
    <x v="0"/>
    <x v="0"/>
    <m/>
  </r>
  <r>
    <s v="Factura electrónica"/>
    <s v="40d7e654d57f096875f940d2399bf18b628ead349d1d62762f19bccbf8822896fc664da9cb10e6be5f45a05ae56f2c4f"/>
    <x v="1190"/>
    <n v="-1"/>
    <s v="FVE"/>
    <s v="13-02-2026"/>
    <s v="13-02-2026 12:56:31"/>
    <s v="900800595"/>
    <s v="Provexpress SAS"/>
    <s v="800154155"/>
    <x v="559"/>
    <n v="241606.66"/>
    <n v="0"/>
    <n v="0"/>
    <n v="1513220.66"/>
    <s v="Aprobado con notificación"/>
    <s v="Emitido"/>
    <x v="0"/>
    <x v="0"/>
    <x v="0"/>
    <x v="0"/>
    <x v="0"/>
    <x v="0"/>
    <m/>
  </r>
  <r>
    <s v="Factura electrónica"/>
    <s v="704afe8b4cdce958857f94f6bf173de7fad2aabcbfe21466e859433b80cba42997e95a4f83ded595226a406e7173d10f"/>
    <x v="1191"/>
    <n v="-1"/>
    <s v="FVE"/>
    <s v="13-02-2026"/>
    <s v="13-02-2026 12:57:17"/>
    <s v="900800595"/>
    <s v="Provexpress SAS"/>
    <s v="860025614"/>
    <x v="560"/>
    <n v="11196206"/>
    <n v="0"/>
    <n v="0"/>
    <n v="70123606"/>
    <s v="Aprobado con notificación"/>
    <s v="Emitido"/>
    <x v="1"/>
    <x v="0"/>
    <x v="1"/>
    <x v="0"/>
    <x v="0"/>
    <x v="0"/>
    <m/>
  </r>
  <r>
    <s v="Factura electrónica"/>
    <s v="f4f84339711a949e3e4d016954875806f4ddd40da096ae1941c5c38dbfe39fcd4744c7228314e3d6162f0e010a1967e7"/>
    <x v="1192"/>
    <n v="-1"/>
    <s v="FVE"/>
    <s v="13-02-2026"/>
    <s v="13-02-2026 13:05:46"/>
    <s v="900800595"/>
    <s v="Provexpress SAS"/>
    <s v="890903938"/>
    <x v="561"/>
    <n v="27294133.079999998"/>
    <n v="0"/>
    <n v="0"/>
    <n v="170947465.08000001"/>
    <s v="Aprobado con notificación"/>
    <s v="Emitido"/>
    <x v="1"/>
    <x v="0"/>
    <x v="1"/>
    <x v="0"/>
    <x v="0"/>
    <x v="0"/>
    <m/>
  </r>
  <r>
    <s v="Factura electrónica"/>
    <s v="785a8b51a091b71116a2cb4520659bc9fd3a6d8e9f36bed35fe2a6652c2dd5f1154bffacbb88e19a94fe0107d83c9b72"/>
    <x v="1193"/>
    <n v="-1"/>
    <s v="FVE"/>
    <s v="13-02-2026"/>
    <s v="13-02-2026 13:06:04"/>
    <s v="900800595"/>
    <s v="Provexpress SAS"/>
    <s v="860536003"/>
    <x v="225"/>
    <n v="14440"/>
    <n v="0"/>
    <n v="0"/>
    <n v="90440"/>
    <s v="Aprobado con notificación"/>
    <s v="Emitido"/>
    <x v="0"/>
    <x v="0"/>
    <x v="1"/>
    <x v="0"/>
    <x v="0"/>
    <x v="1"/>
    <s v="PAGA 02/03/2026"/>
  </r>
  <r>
    <s v="Factura electrónica"/>
    <s v="d05395e1d2298f68fc698103ec91608bf2a455a004705d7ba5939948aaf7ba0bc50c3d667b98b3b6a6b1ab1321208b69"/>
    <x v="1194"/>
    <n v="-1"/>
    <s v="FVE"/>
    <s v="13-02-2026"/>
    <s v="13-02-2026 13:06:11"/>
    <s v="900800595"/>
    <s v="Provexpress SAS"/>
    <s v="901043512"/>
    <x v="538"/>
    <n v="23375"/>
    <n v="0"/>
    <n v="0"/>
    <n v="490875"/>
    <s v="Aprobado con notificación"/>
    <s v="Emitido"/>
    <x v="0"/>
    <x v="0"/>
    <x v="1"/>
    <x v="0"/>
    <x v="1"/>
    <x v="0"/>
    <m/>
  </r>
  <r>
    <s v="Factura electrónica"/>
    <s v="ce0446cfd51f59b49ad90e296d3995caff6c6c2f7c05dfbb3b08334556aa1eee226bb199c4b3f6b17e4b5d2cd1205933"/>
    <x v="1195"/>
    <n v="-1"/>
    <s v="FVE"/>
    <s v="13-02-2026"/>
    <s v="13-02-2026 13:06:16"/>
    <s v="900800595"/>
    <s v="Provexpress SAS"/>
    <s v="860522056"/>
    <x v="85"/>
    <n v="7239"/>
    <n v="0"/>
    <n v="0"/>
    <n v="45339"/>
    <s v="Aprobado con notificación"/>
    <s v="Emitido"/>
    <x v="0"/>
    <x v="0"/>
    <x v="1"/>
    <x v="0"/>
    <x v="1"/>
    <x v="0"/>
    <m/>
  </r>
  <r>
    <s v="Factura electrónica"/>
    <s v="28a9e44caf2cc11a77868f61df473d147d4d69bb1a2bc2bbda39646e16c050e353ca2677dfee70387ac7e870f62e4556"/>
    <x v="1196"/>
    <n v="-1"/>
    <s v="FVE"/>
    <s v="13-02-2026"/>
    <s v="13-02-2026 13:06:28"/>
    <s v="900800595"/>
    <s v="Provexpress SAS"/>
    <s v="860005813"/>
    <x v="471"/>
    <n v="103815.8"/>
    <n v="0"/>
    <n v="0"/>
    <n v="899460.8"/>
    <s v="Aprobado con notificación"/>
    <s v="Emitido"/>
    <x v="0"/>
    <x v="0"/>
    <x v="1"/>
    <x v="0"/>
    <x v="1"/>
    <x v="0"/>
    <m/>
  </r>
  <r>
    <s v="Factura electrónica"/>
    <s v="fd94cf997184e6b230ef745624165a8d10328220845d804421eecf752f646ba45f4334586d1736aee22e2f6b90224527"/>
    <x v="1197"/>
    <n v="-1"/>
    <s v="FVE"/>
    <s v="13-02-2026"/>
    <s v="13-02-2026 13:18:46"/>
    <s v="900800595"/>
    <s v="Provexpress SAS"/>
    <s v="901381693"/>
    <x v="272"/>
    <n v="1173611"/>
    <n v="0"/>
    <n v="0"/>
    <n v="7350511"/>
    <s v="Aprobado con notificación"/>
    <s v="Emitido"/>
    <x v="0"/>
    <x v="0"/>
    <x v="1"/>
    <x v="0"/>
    <x v="0"/>
    <x v="1"/>
    <s v="PAGA 2/03/2026"/>
  </r>
  <r>
    <s v="Factura electrónica"/>
    <s v="08864050a82d5c5f0c2430b045135b24d5e59a8cc261f8113ac01fbb676dd85a641444c21fa392c5879d746437bbdf69"/>
    <x v="1198"/>
    <n v="-1"/>
    <s v="FVE"/>
    <s v="13-02-2026"/>
    <s v="13-02-2026 13:18:52"/>
    <s v="900800595"/>
    <s v="Provexpress SAS"/>
    <s v="860006848"/>
    <x v="316"/>
    <n v="396663"/>
    <n v="0"/>
    <n v="0"/>
    <n v="2484363"/>
    <s v="Aprobado con notificación"/>
    <s v="Emitido"/>
    <x v="1"/>
    <x v="0"/>
    <x v="1"/>
    <x v="0"/>
    <x v="0"/>
    <x v="0"/>
    <m/>
  </r>
  <r>
    <s v="Factura electrónica"/>
    <s v="0da064c2ec29fd1785ce3eb27f18d0673c0454e56f8936b7b1ae866d5cbff047dcdabbb72407af7e39bef3398eee349a"/>
    <x v="1199"/>
    <n v="-1"/>
    <s v="FVE"/>
    <s v="13-02-2026"/>
    <s v="13-02-2026 13:18:58"/>
    <s v="900800595"/>
    <s v="Provexpress SAS"/>
    <s v="899999123"/>
    <x v="492"/>
    <n v="9690"/>
    <n v="0"/>
    <n v="0"/>
    <n v="60690"/>
    <s v="Aprobado con notificación"/>
    <s v="Emitido"/>
    <x v="0"/>
    <x v="0"/>
    <x v="0"/>
    <x v="0"/>
    <x v="0"/>
    <x v="0"/>
    <m/>
  </r>
  <r>
    <s v="Factura electrónica"/>
    <s v="3ea1d367b879ce8946091c1e4501ac2005584c5ed6f1288e5a6245d14f0eb93acbf7c4a13d0a8fc49af79412d5b46dc7"/>
    <x v="1200"/>
    <n v="-1"/>
    <s v="FVE"/>
    <s v="13-02-2026"/>
    <s v="13-02-2026 14:27:10"/>
    <s v="900800595"/>
    <s v="Provexpress SAS"/>
    <s v="900138425"/>
    <x v="562"/>
    <n v="5188653"/>
    <n v="0"/>
    <n v="0"/>
    <n v="32497353"/>
    <s v="Aprobado con notificación"/>
    <s v="Emitido"/>
    <x v="0"/>
    <x v="0"/>
    <x v="1"/>
    <x v="0"/>
    <x v="1"/>
    <x v="0"/>
    <m/>
  </r>
  <r>
    <s v="Factura electrónica"/>
    <s v="e2ff8c47abab5216acf19b6fc731ad3937051243eaa7dc12c79b9220b588006c1e489110f8e6a6016a9e3a3687053063"/>
    <x v="1201"/>
    <n v="-1"/>
    <s v="FVE"/>
    <s v="13-02-2026"/>
    <s v="13-02-2026 14:27:33"/>
    <s v="900800595"/>
    <s v="Provexpress SAS"/>
    <s v="901847883"/>
    <x v="3"/>
    <n v="33959.46"/>
    <n v="0"/>
    <n v="0"/>
    <n v="212693.46"/>
    <s v="Aprobado con notificación"/>
    <s v="Emitido"/>
    <x v="1"/>
    <x v="0"/>
    <x v="1"/>
    <x v="0"/>
    <x v="0"/>
    <x v="0"/>
    <m/>
  </r>
  <r>
    <s v="Factura electrónica"/>
    <s v="aaeca220763dfb51ef1c95a29475e4d07fc31e5cb8d1d6cae04f74457be982f22171046dbecb05ebac0c154193188a34"/>
    <x v="1202"/>
    <n v="-1"/>
    <s v="FVE"/>
    <s v="13-02-2026"/>
    <s v="13-02-2026 14:27:35"/>
    <s v="900800595"/>
    <s v="Provexpress SAS"/>
    <s v="830051928"/>
    <x v="398"/>
    <n v="92557.36"/>
    <n v="0"/>
    <n v="0"/>
    <n v="624117.36"/>
    <s v="Aprobado con notificación"/>
    <s v="Emitido"/>
    <x v="0"/>
    <x v="1"/>
    <x v="1"/>
    <x v="0"/>
    <x v="0"/>
    <x v="0"/>
    <m/>
  </r>
  <r>
    <s v="Factura electrónica"/>
    <s v="de585c1ab5d8f9093b4fffaa15fb4fd23d564ffc3f07fc6053ed66664bf3cdd8b4e0ab644bc5b9f58b8f87ecefd50669"/>
    <x v="1203"/>
    <n v="-1"/>
    <s v="FVE"/>
    <s v="13-02-2026"/>
    <s v="13-02-2026 14:27:43"/>
    <s v="900800595"/>
    <s v="Provexpress SAS"/>
    <s v="901847883"/>
    <x v="3"/>
    <n v="54598.02"/>
    <n v="0"/>
    <n v="0"/>
    <n v="341956.02"/>
    <s v="Aprobado con notificación"/>
    <s v="Emitido"/>
    <x v="1"/>
    <x v="0"/>
    <x v="1"/>
    <x v="0"/>
    <x v="0"/>
    <x v="0"/>
    <m/>
  </r>
  <r>
    <s v="Factura electrónica"/>
    <s v="1a7330b1a7723fdadcd63296cc20c0f6d4c7d1a28de4b3bc4f1da6112a8cabb272c6340a990668d50b44dfe129a166c4"/>
    <x v="1204"/>
    <n v="-1"/>
    <s v="FVE"/>
    <s v="13-02-2026"/>
    <s v="13-02-2026 14:27:45"/>
    <s v="900800595"/>
    <s v="Provexpress SAS"/>
    <s v="901847883"/>
    <x v="3"/>
    <n v="7470.8"/>
    <n v="0"/>
    <n v="0"/>
    <n v="46790.8"/>
    <s v="Aprobado con notificación"/>
    <s v="Emitido"/>
    <x v="0"/>
    <x v="0"/>
    <x v="0"/>
    <x v="0"/>
    <x v="0"/>
    <x v="0"/>
    <m/>
  </r>
  <r>
    <s v="Factura electrónica"/>
    <s v="35f38236da9823e03a688019acfe4ba14dfe0e66f70ff9e4869ff5455ead75f37c3499f7835113d601e17443200b1fef"/>
    <x v="1205"/>
    <n v="-1"/>
    <s v="FVE"/>
    <s v="13-02-2026"/>
    <s v="13-02-2026 14:27:51"/>
    <s v="900800595"/>
    <s v="Provexpress SAS"/>
    <s v="901847883"/>
    <x v="3"/>
    <n v="10712.2"/>
    <n v="0"/>
    <n v="0"/>
    <n v="67092.2"/>
    <s v="Aprobado con notificación"/>
    <s v="Emitido"/>
    <x v="0"/>
    <x v="0"/>
    <x v="0"/>
    <x v="0"/>
    <x v="0"/>
    <x v="0"/>
    <m/>
  </r>
  <r>
    <s v="Factura electrónica"/>
    <s v="d63810081a1c13b36c9a9d46ef3bcca2cd7dc03b7a87d51e054292052350e6daecf63f98cb9b53b920d84e84106ec33e"/>
    <x v="1206"/>
    <n v="-1"/>
    <s v="FVE"/>
    <s v="13-02-2026"/>
    <s v="13-02-2026 14:27:51"/>
    <s v="900800595"/>
    <s v="Provexpress SAS"/>
    <s v="860079024"/>
    <x v="511"/>
    <n v="69306.3"/>
    <n v="0"/>
    <n v="0"/>
    <n v="434076.3"/>
    <s v="Aprobado con notificación"/>
    <s v="Emitido"/>
    <x v="0"/>
    <x v="0"/>
    <x v="1"/>
    <x v="0"/>
    <x v="1"/>
    <x v="0"/>
    <m/>
  </r>
  <r>
    <s v="Factura electrónica"/>
    <s v="17d811a9fa60a58a7d8fc6b2c331da1c40531dc6b62157c021464be3bff6466dff52cab58f0097a9375d043c6baf10e8"/>
    <x v="1207"/>
    <n v="-1"/>
    <s v="FVE"/>
    <s v="13-02-2026"/>
    <s v="13-02-2026 14:27:53"/>
    <s v="900800595"/>
    <s v="Provexpress SAS"/>
    <s v="901054874"/>
    <x v="248"/>
    <n v="3663827"/>
    <n v="0"/>
    <n v="0"/>
    <n v="22947127"/>
    <s v="Aprobado con notificación"/>
    <s v="Emitido"/>
    <x v="0"/>
    <x v="1"/>
    <x v="1"/>
    <x v="0"/>
    <x v="0"/>
    <x v="0"/>
    <m/>
  </r>
  <r>
    <s v="Factura electrónica"/>
    <s v="e97c9b55f2cc550387e25ef84549303fbbbdb092f49b638762134986395437b404602a1f3a90d765e064cb935cc5d062"/>
    <x v="1208"/>
    <n v="-1"/>
    <s v="FVE"/>
    <s v="13-02-2026"/>
    <s v="13-02-2026 14:42:12"/>
    <s v="900800595"/>
    <s v="Provexpress SAS"/>
    <s v="830077866"/>
    <x v="563"/>
    <n v="0"/>
    <n v="0"/>
    <n v="0"/>
    <n v="1400000"/>
    <s v="Aprobado con notificación"/>
    <s v="Emitido"/>
    <x v="0"/>
    <x v="0"/>
    <x v="1"/>
    <x v="0"/>
    <x v="0"/>
    <x v="1"/>
    <s v="PAGA 27/02/2026"/>
  </r>
  <r>
    <s v="Factura electrónica"/>
    <s v="2b500bdf9a644f33fda7abd79f4d9907050baa5772c05ec918a8280117a6ecf399a3770379daf82052efaca7a9915495"/>
    <x v="1209"/>
    <n v="-1"/>
    <s v="FVE"/>
    <s v="13-02-2026"/>
    <s v="13-02-2026 14:42:17"/>
    <s v="900800595"/>
    <s v="Provexpress SAS"/>
    <s v="860023338"/>
    <x v="252"/>
    <n v="93726.05"/>
    <n v="0"/>
    <n v="0"/>
    <n v="587021.05000000005"/>
    <s v="Aprobado con notificación"/>
    <s v="Emitido"/>
    <x v="1"/>
    <x v="0"/>
    <x v="1"/>
    <x v="0"/>
    <x v="0"/>
    <x v="0"/>
    <m/>
  </r>
  <r>
    <s v="Factura electrónica"/>
    <s v="def2a1eb69ddf6beb79e85120f157ffef34f93adbfc7db3b8b188d236ab40da49c39296d8e70f8babee41baba32d0001"/>
    <x v="1210"/>
    <n v="-1"/>
    <s v="FVE"/>
    <s v="13-02-2026"/>
    <s v="13-02-2026 14:57:23"/>
    <s v="900800595"/>
    <s v="Provexpress SAS"/>
    <s v="899999123"/>
    <x v="492"/>
    <n v="41230"/>
    <n v="0"/>
    <n v="0"/>
    <n v="258230"/>
    <s v="Aprobado con notificación"/>
    <s v="Emitido"/>
    <x v="0"/>
    <x v="0"/>
    <x v="0"/>
    <x v="0"/>
    <x v="0"/>
    <x v="0"/>
    <m/>
  </r>
  <r>
    <s v="Factura electrónica"/>
    <s v="b9147726a26f1e517d88ebda2ab6e781769702b72a88f1889d1e40d1a38d39ac175e768fee850fca9273d96f39ceddf1"/>
    <x v="1211"/>
    <n v="-1"/>
    <s v="FVE"/>
    <s v="13-02-2026"/>
    <s v="13-02-2026 14:57:28"/>
    <s v="900800595"/>
    <s v="Provexpress SAS"/>
    <s v="860052872"/>
    <x v="472"/>
    <n v="50160"/>
    <n v="0"/>
    <n v="0"/>
    <n v="314160"/>
    <s v="Aprobado con notificación"/>
    <s v="Emitido"/>
    <x v="0"/>
    <x v="0"/>
    <x v="1"/>
    <x v="0"/>
    <x v="1"/>
    <x v="0"/>
    <m/>
  </r>
  <r>
    <s v="Factura electrónica"/>
    <s v="037d73ca94072a64d2b93aecd9a4129b230d853bd57d87909484fc2426bb18fd6b7711988f6fad34f7afbe5138207469"/>
    <x v="1212"/>
    <n v="-1"/>
    <s v="FVE"/>
    <s v="13-02-2026"/>
    <s v="13-02-2026 15:12:34"/>
    <s v="900800595"/>
    <s v="Provexpress SAS"/>
    <s v="860025596"/>
    <x v="255"/>
    <n v="50058664.829999998"/>
    <n v="0"/>
    <n v="0"/>
    <n v="313525321.82999998"/>
    <s v="Aprobado con notificación"/>
    <s v="Emitido"/>
    <x v="0"/>
    <x v="0"/>
    <x v="1"/>
    <x v="0"/>
    <x v="1"/>
    <x v="0"/>
    <m/>
  </r>
  <r>
    <s v="Factura electrónica"/>
    <s v="dd23667a3967fae82d0bb5451526bdb5944098a0673126a3aa60fbe4a049f706f7e08a57d764db1bac93f81f6ecfe893"/>
    <x v="1213"/>
    <n v="-1"/>
    <s v="FVE"/>
    <s v="13-02-2026"/>
    <s v="13-02-2026 15:12:39"/>
    <s v="900800595"/>
    <s v="Provexpress SAS"/>
    <s v="830083714"/>
    <x v="326"/>
    <n v="6422000"/>
    <n v="0"/>
    <n v="0"/>
    <n v="40222000"/>
    <s v="Aprobado con notificación"/>
    <s v="Emitido"/>
    <x v="1"/>
    <x v="0"/>
    <x v="1"/>
    <x v="0"/>
    <x v="0"/>
    <x v="0"/>
    <m/>
  </r>
  <r>
    <s v="Factura electrónica"/>
    <s v="7692809c5c8f50ce9c773b973a7a872f557f2e33d2a33a7698ad0d84e3381ba16e3dbd90e549b2d39e018928b25bc9d1"/>
    <x v="1214"/>
    <n v="-1"/>
    <s v="FVE"/>
    <s v="13-02-2026"/>
    <s v="13-02-2026 15:27:45"/>
    <s v="900800595"/>
    <s v="Provexpress SAS"/>
    <s v="860508470"/>
    <x v="240"/>
    <n v="1534250"/>
    <n v="0"/>
    <n v="0"/>
    <n v="9609250"/>
    <s v="Aprobado con notificación"/>
    <s v="Emitido"/>
    <x v="1"/>
    <x v="0"/>
    <x v="1"/>
    <x v="0"/>
    <x v="0"/>
    <x v="0"/>
    <m/>
  </r>
  <r>
    <s v="Factura electrónica"/>
    <s v="866a88f58bf38106e58f26c40936fe2a6310eb6c172c45a4da1f546a307efc3a3075f51c4056de07b027c5cef05ff559"/>
    <x v="1215"/>
    <n v="-1"/>
    <s v="FVE"/>
    <s v="13-02-2026"/>
    <s v="13-02-2026 15:27:50"/>
    <s v="900800595"/>
    <s v="Provexpress SAS"/>
    <s v="830111257"/>
    <x v="145"/>
    <n v="15200"/>
    <n v="0"/>
    <n v="0"/>
    <n v="95200"/>
    <s v="Aprobado con notificación"/>
    <s v="Emitido"/>
    <x v="0"/>
    <x v="0"/>
    <x v="0"/>
    <x v="0"/>
    <x v="0"/>
    <x v="0"/>
    <m/>
  </r>
  <r>
    <s v="Factura electrónica"/>
    <s v="d02de442e8bf3a36f1b0a9bd0cf74c03c96f8910b4e53ce366378bf3985db127850bf91380de5dba56d341c78435a425"/>
    <x v="1216"/>
    <n v="-1"/>
    <s v="FVE"/>
    <s v="13-02-2026"/>
    <s v="13-02-2026 15:27:55"/>
    <s v="900800595"/>
    <s v="Provexpress SAS"/>
    <s v="900194642"/>
    <x v="564"/>
    <n v="961942.83"/>
    <n v="0"/>
    <n v="0"/>
    <n v="6024799.8300000001"/>
    <s v="Aprobado con notificación"/>
    <s v="Emitido"/>
    <x v="0"/>
    <x v="0"/>
    <x v="1"/>
    <x v="0"/>
    <x v="0"/>
    <x v="1"/>
    <s v="PAGA 17/02/2026"/>
  </r>
  <r>
    <s v="Factura electrónica"/>
    <s v="c1a323c9f910a6cd55f984392dbf2423d6e34e1fcb5fd276d574bdd65e9c446aa146e280715bec7a4bd8bd48c9d26209"/>
    <x v="1217"/>
    <n v="-1"/>
    <s v="FVE"/>
    <s v="13-02-2026"/>
    <s v="13-02-2026 15:43:01"/>
    <s v="900800595"/>
    <s v="Provexpress SAS"/>
    <s v="830040378"/>
    <x v="400"/>
    <n v="237737.5"/>
    <n v="0"/>
    <n v="0"/>
    <n v="1488987.5"/>
    <s v="Aprobado con notificación"/>
    <s v="Emitido"/>
    <x v="0"/>
    <x v="0"/>
    <x v="1"/>
    <x v="0"/>
    <x v="1"/>
    <x v="0"/>
    <m/>
  </r>
  <r>
    <s v="Factura electrónica"/>
    <s v="b1a1dad6b3460b5f7d40bf4c6e25ce341986b9cee53949f9d34e4a01305ad6a4b106396bacdc454766c483ea9f1391b0"/>
    <x v="1218"/>
    <n v="-1"/>
    <s v="FVE"/>
    <s v="13-02-2026"/>
    <s v="13-02-2026 15:43:06"/>
    <s v="900800595"/>
    <s v="Provexpress SAS"/>
    <s v="830135173"/>
    <x v="368"/>
    <n v="122634.36"/>
    <n v="0"/>
    <n v="0"/>
    <n v="768078.36"/>
    <s v="Aprobado con notificación"/>
    <s v="Emitido"/>
    <x v="0"/>
    <x v="0"/>
    <x v="0"/>
    <x v="0"/>
    <x v="0"/>
    <x v="0"/>
    <m/>
  </r>
  <r>
    <s v="Factura electrónica"/>
    <s v="18d8a71eabb82995bcc8e8d659893661df0793c9034c4e32b6eb45e11710ffdec8075df90f1537aff382f9918967a544"/>
    <x v="1219"/>
    <n v="-1"/>
    <s v="FVE"/>
    <s v="13-02-2026"/>
    <s v="13-02-2026 16:07:10"/>
    <s v="900800595"/>
    <s v="Provexpress SAS"/>
    <s v="860525156"/>
    <x v="6"/>
    <n v="679094.01"/>
    <n v="0"/>
    <n v="0"/>
    <n v="4253273.01"/>
    <s v="Aprobado con notificación"/>
    <s v="Emitido"/>
    <x v="1"/>
    <x v="0"/>
    <x v="1"/>
    <x v="0"/>
    <x v="0"/>
    <x v="0"/>
    <m/>
  </r>
  <r>
    <s v="Factura electrónica"/>
    <s v="e0062ceddeb8714c787efb18d26b0c447d0b9a3a095131916106bd6764b032924dc1376b5b62e379894d2dd48114d38a"/>
    <x v="1220"/>
    <n v="-1"/>
    <s v="FVE"/>
    <s v="13-02-2026"/>
    <s v="13-02-2026 15:58:22"/>
    <s v="900800595"/>
    <s v="Provexpress SAS"/>
    <s v="860525156"/>
    <x v="6"/>
    <n v="679094.01"/>
    <n v="0"/>
    <n v="0"/>
    <n v="4253273.01"/>
    <s v="Aprobado con notificación"/>
    <s v="Emitido"/>
    <x v="0"/>
    <x v="0"/>
    <x v="0"/>
    <x v="0"/>
    <x v="0"/>
    <x v="0"/>
    <m/>
  </r>
  <r>
    <s v="Factura electrónica"/>
    <s v="3c1a4533caae65446124a324072112155d1ec2630581f9b60077b23f8ccaea79952e133f86b8c743480781a9c534b9e2"/>
    <x v="1221"/>
    <n v="-1"/>
    <s v="FVE"/>
    <s v="13-02-2026"/>
    <s v="13-02-2026 15:58:34"/>
    <s v="900800595"/>
    <s v="Provexpress SAS"/>
    <s v="860031615"/>
    <x v="124"/>
    <n v="89300"/>
    <n v="0"/>
    <n v="0"/>
    <n v="559300"/>
    <s v="Aprobado con notificación"/>
    <s v="Emitido"/>
    <x v="0"/>
    <x v="0"/>
    <x v="0"/>
    <x v="0"/>
    <x v="0"/>
    <x v="0"/>
    <m/>
  </r>
  <r>
    <s v="Factura electrónica"/>
    <s v="cd1f777ed97d741509e28dca3a76c22e21fbcc81c8911ab5def8136614c82b917fa1360eb6fa4196d80b62e532047ffe"/>
    <x v="1222"/>
    <n v="-1"/>
    <s v="FVE"/>
    <s v="13-02-2026"/>
    <s v="13-02-2026 15:59:33"/>
    <s v="900800595"/>
    <s v="Provexpress SAS"/>
    <s v="900326523"/>
    <x v="372"/>
    <n v="40280"/>
    <n v="0"/>
    <n v="0"/>
    <n v="252280"/>
    <s v="Aprobado con notificación"/>
    <s v="Emitido"/>
    <x v="0"/>
    <x v="0"/>
    <x v="1"/>
    <x v="0"/>
    <x v="1"/>
    <x v="0"/>
    <m/>
  </r>
  <r>
    <s v="Factura electrónica"/>
    <s v="d10c09a8a6d6f9d7a99d1b005f886f62ee427a8bd09c9a20766c4f7b409f204edba62da0a9f07950307712f325c1c87a"/>
    <x v="1223"/>
    <n v="-1"/>
    <s v="FVE"/>
    <s v="13-02-2026"/>
    <s v="13-02-2026 15:59:36"/>
    <s v="900800595"/>
    <s v="Provexpress SAS"/>
    <s v="860006754"/>
    <x v="519"/>
    <n v="91200"/>
    <n v="0"/>
    <n v="0"/>
    <n v="571200"/>
    <s v="Aprobado con notificación"/>
    <s v="Emitido"/>
    <x v="0"/>
    <x v="0"/>
    <x v="1"/>
    <x v="0"/>
    <x v="1"/>
    <x v="0"/>
    <m/>
  </r>
  <r>
    <s v="Factura electrónica"/>
    <s v="b2896fb13ae60c5ea56273815e71ca97aa10965976b5f16790845c20aae1ab8f2d6eb6c44c308cdcb57badc1200c23ef"/>
    <x v="1224"/>
    <n v="-1"/>
    <s v="FVE"/>
    <s v="13-02-2026"/>
    <s v="13-02-2026 16:43:48"/>
    <s v="900800595"/>
    <s v="Provexpress SAS"/>
    <s v="800024265"/>
    <x v="24"/>
    <n v="0"/>
    <n v="0"/>
    <n v="0"/>
    <n v="152666360"/>
    <s v="Aprobado con notificación"/>
    <s v="Emitido"/>
    <x v="1"/>
    <x v="0"/>
    <x v="1"/>
    <x v="0"/>
    <x v="0"/>
    <x v="0"/>
    <m/>
  </r>
  <r>
    <s v="Factura electrónica"/>
    <s v="b464f26b14bf523e7b37c9918bc38c5906cedd9670d9ec3b4171fb9188bf2be9c3b6b961478a9b82d8998b904832ae3d"/>
    <x v="1225"/>
    <n v="-1"/>
    <s v="FVE"/>
    <s v="16-02-2026"/>
    <s v="16-02-2026 07:49:30"/>
    <s v="900800595"/>
    <s v="Provexpress SAS"/>
    <s v="800153970"/>
    <x v="565"/>
    <n v="1305837.32"/>
    <n v="0"/>
    <n v="0"/>
    <n v="8214792.3200000003"/>
    <s v="Aprobado con notificación"/>
    <s v="Emitido"/>
    <x v="0"/>
    <x v="0"/>
    <x v="1"/>
    <x v="0"/>
    <x v="1"/>
    <x v="0"/>
    <m/>
  </r>
  <r>
    <s v="Factura electrónica"/>
    <s v="18661863edefc7f5175a99733a83968414fbc1f3fec09aae7f9821051fa61f43945ec37678bc802b9c7812cefb060aec"/>
    <x v="1226"/>
    <n v="-1"/>
    <s v="FVE"/>
    <s v="16-02-2026"/>
    <s v="16-02-2026 08:04:36"/>
    <s v="900800595"/>
    <s v="Provexpress SAS"/>
    <s v="860007759"/>
    <x v="566"/>
    <n v="347700"/>
    <n v="0"/>
    <n v="0"/>
    <n v="2177700"/>
    <s v="Aprobado con notificación"/>
    <s v="Emitido"/>
    <x v="0"/>
    <x v="0"/>
    <x v="1"/>
    <x v="0"/>
    <x v="1"/>
    <x v="0"/>
    <m/>
  </r>
  <r>
    <s v="Factura electrónica"/>
    <s v="d3b246eb3532bc2ad184334ac6830dd21429968279735dee479a1cce8a9bc970a4dd3f2987868b4b9150563ab4c84286"/>
    <x v="1227"/>
    <n v="-1"/>
    <s v="FVE"/>
    <s v="16-02-2026"/>
    <s v="16-02-2026 08:34:43"/>
    <s v="900800595"/>
    <s v="Provexpress SAS"/>
    <s v="800066123"/>
    <x v="33"/>
    <n v="57760"/>
    <n v="0"/>
    <n v="0"/>
    <n v="361760"/>
    <s v="Aprobado con notificación"/>
    <s v="Emitido"/>
    <x v="0"/>
    <x v="0"/>
    <x v="1"/>
    <x v="0"/>
    <x v="1"/>
    <x v="0"/>
    <m/>
  </r>
  <r>
    <s v="Factura electrónica"/>
    <s v="3c30be5d60acde64902dd497c2a12e95a7f7386e8c60e68f78e65557da5893f9799ea17d0e3c020ccb7e15f6f4c8e8d1"/>
    <x v="1228"/>
    <n v="-1"/>
    <s v="FVE"/>
    <s v="16-02-2026"/>
    <s v="16-02-2026 08:34:49"/>
    <s v="900800595"/>
    <s v="Provexpress SAS"/>
    <s v="900148177"/>
    <x v="69"/>
    <n v="55100"/>
    <n v="0"/>
    <n v="0"/>
    <n v="345100"/>
    <s v="Aprobado con notificación"/>
    <s v="Emitido"/>
    <x v="0"/>
    <x v="0"/>
    <x v="1"/>
    <x v="0"/>
    <x v="1"/>
    <x v="0"/>
    <m/>
  </r>
  <r>
    <s v="Factura electrónica"/>
    <s v="a889401ed960219d8f2e3f225bf430aa28fab50bc7aeb5e386fbba9c10f73cf9bfd70d134ffa3cc88bbe4a790434ef84"/>
    <x v="1229"/>
    <n v="-1"/>
    <s v="FVE"/>
    <s v="16-02-2026"/>
    <s v="16-02-2026 09:34:59"/>
    <s v="900800595"/>
    <s v="Provexpress SAS"/>
    <s v="800149384"/>
    <x v="12"/>
    <n v="245161.18"/>
    <n v="0"/>
    <n v="0"/>
    <n v="1535483.18"/>
    <s v="Aprobado con notificación"/>
    <s v="Emitido"/>
    <x v="1"/>
    <x v="0"/>
    <x v="1"/>
    <x v="0"/>
    <x v="0"/>
    <x v="0"/>
    <m/>
  </r>
  <r>
    <s v="Factura electrónica"/>
    <s v="dd5105528ddf087f58f1084334f98fbdeca906228b1326b7352516803e7c8386cd61a417f1c23e39a95cf0a087890ae4"/>
    <x v="1230"/>
    <n v="-1"/>
    <s v="FVE"/>
    <s v="16-02-2026"/>
    <s v="16-02-2026 09:35:59"/>
    <s v="900800595"/>
    <s v="Provexpress SAS"/>
    <s v="860078828"/>
    <x v="154"/>
    <n v="19894.14"/>
    <n v="0"/>
    <n v="0"/>
    <n v="124600.14"/>
    <s v="Aprobado con notificación"/>
    <s v="Emitido"/>
    <x v="1"/>
    <x v="0"/>
    <x v="1"/>
    <x v="0"/>
    <x v="0"/>
    <x v="0"/>
    <m/>
  </r>
  <r>
    <s v="Factura electrónica"/>
    <s v="71471d77152efbd49ccfe2d8a68f97f8443d7d15d44441d98268f1c72cea81c9060383c29ed00272d635cb3bc5c58a4e"/>
    <x v="1231"/>
    <n v="-1"/>
    <s v="FVE"/>
    <s v="16-02-2026"/>
    <s v="16-02-2026 09:35:08"/>
    <s v="900800595"/>
    <s v="Provexpress SAS"/>
    <s v="800149384"/>
    <x v="12"/>
    <n v="4024311.91"/>
    <n v="0"/>
    <n v="0"/>
    <n v="25204900.91"/>
    <s v="Aprobado con notificación"/>
    <s v="Emitido"/>
    <x v="1"/>
    <x v="0"/>
    <x v="1"/>
    <x v="0"/>
    <x v="0"/>
    <x v="0"/>
    <m/>
  </r>
  <r>
    <s v="Factura electrónica"/>
    <s v="7e38fdd54d642df0bb1bca768957c08e058eecd2ab83516d295c0487e4fba3af733e64c722965f58cfe2338dc53aef0b"/>
    <x v="1232"/>
    <n v="-1"/>
    <s v="FVE"/>
    <s v="16-02-2026"/>
    <s v="16-02-2026 09:35:14"/>
    <s v="900800595"/>
    <s v="Provexpress SAS"/>
    <s v="800125872"/>
    <x v="359"/>
    <n v="0"/>
    <n v="0"/>
    <n v="0"/>
    <n v="1088448"/>
    <s v="Aprobado con notificación"/>
    <s v="Emitido"/>
    <x v="1"/>
    <x v="0"/>
    <x v="1"/>
    <x v="0"/>
    <x v="0"/>
    <x v="0"/>
    <m/>
  </r>
  <r>
    <s v="Factura electrónica"/>
    <s v="a6f64a8b5986e6e0dd369117ac86fc39286b5edbae1876f9cb8736f07d70e7696e0f42563cceee3d9c4ad42df6ff7336"/>
    <x v="1233"/>
    <n v="-1"/>
    <s v="FVE"/>
    <s v="16-02-2026"/>
    <s v="16-02-2026 09:50:30"/>
    <s v="900800595"/>
    <s v="Provexpress SAS"/>
    <s v="860503184"/>
    <x v="296"/>
    <n v="19697.11"/>
    <n v="0"/>
    <n v="0"/>
    <n v="123366.11"/>
    <s v="Aprobado con notificación"/>
    <s v="Emitido"/>
    <x v="0"/>
    <x v="0"/>
    <x v="1"/>
    <x v="0"/>
    <x v="1"/>
    <x v="0"/>
    <m/>
  </r>
  <r>
    <s v="Factura electrónica"/>
    <s v="a8fb7d88d589d3f716d71bb8ac4398e24729a67cd60af584c8e84510563700da966d27c47197e6f9457db5c0bfc0a408"/>
    <x v="1234"/>
    <n v="-1"/>
    <s v="FVE"/>
    <s v="16-02-2026"/>
    <s v="16-02-2026 09:50:29"/>
    <s v="900800595"/>
    <s v="Provexpress SAS"/>
    <s v="830130106"/>
    <x v="289"/>
    <n v="342371.44"/>
    <n v="0"/>
    <n v="0"/>
    <n v="2653643.44"/>
    <s v="Aprobado con notificación"/>
    <s v="Emitido"/>
    <x v="0"/>
    <x v="0"/>
    <x v="1"/>
    <x v="0"/>
    <x v="1"/>
    <x v="0"/>
    <m/>
  </r>
  <r>
    <s v="Factura electrónica"/>
    <s v="eb5335fa2175c99e1350d5424a3ec56339903cfc8bc03b66e01b4a465f823be4122fdf3300dd34b5c53776676271b2fa"/>
    <x v="1235"/>
    <n v="-1"/>
    <s v="FVE"/>
    <s v="16-02-2026"/>
    <s v="16-02-2026 09:50:33"/>
    <s v="900800595"/>
    <s v="Provexpress SAS"/>
    <s v="830130106"/>
    <x v="289"/>
    <n v="2269021.04"/>
    <n v="0"/>
    <n v="0"/>
    <n v="14211237.039999999"/>
    <s v="Aprobado con notificación"/>
    <s v="Emitido"/>
    <x v="0"/>
    <x v="0"/>
    <x v="1"/>
    <x v="0"/>
    <x v="1"/>
    <x v="0"/>
    <m/>
  </r>
  <r>
    <s v="Factura electrónica"/>
    <s v="c61b36f977ce339d1ffec3d33d7d327013698ea6d1681dce2804343771fa234bbe87a98747817fa1d4196ca3d10c0a9b"/>
    <x v="1236"/>
    <n v="-1"/>
    <s v="FVE"/>
    <s v="16-02-2026"/>
    <s v="16-02-2026 10:05:52"/>
    <s v="900800595"/>
    <s v="Provexpress SAS"/>
    <s v="900354637"/>
    <x v="567"/>
    <n v="81829.2"/>
    <n v="0"/>
    <n v="0"/>
    <n v="512509.2"/>
    <s v="Aprobado con notificación"/>
    <s v="Emitido"/>
    <x v="0"/>
    <x v="0"/>
    <x v="0"/>
    <x v="0"/>
    <x v="0"/>
    <x v="0"/>
    <m/>
  </r>
  <r>
    <s v="Factura electrónica"/>
    <s v="db3c1534c2d2dd5c2b03043f7396e995ec701c19c43eb43feaf6890d663149b966bdf5aa5c3936570f9c53c84d13bf43"/>
    <x v="1237"/>
    <n v="-1"/>
    <s v="FVE"/>
    <s v="16-02-2026"/>
    <s v="16-02-2026 10:06:04"/>
    <s v="900800595"/>
    <s v="Provexpress SAS"/>
    <s v="860025614"/>
    <x v="560"/>
    <n v="50646.400000000001"/>
    <n v="0"/>
    <n v="0"/>
    <n v="317206.40000000002"/>
    <s v="Aprobado con notificación"/>
    <s v="Emitido"/>
    <x v="0"/>
    <x v="1"/>
    <x v="1"/>
    <x v="0"/>
    <x v="0"/>
    <x v="0"/>
    <m/>
  </r>
  <r>
    <s v="Factura electrónica"/>
    <s v="6d0ba4ba7cd232fc0246d442e52c2115449dcf79e6757905d914515c9d3470511ef4940e365953dd1669445a97e47130"/>
    <x v="1238"/>
    <n v="-1"/>
    <s v="FVE"/>
    <s v="16-02-2026"/>
    <s v="16-02-2026 10:06:06"/>
    <s v="900800595"/>
    <s v="Provexpress SAS"/>
    <s v="830003900"/>
    <x v="568"/>
    <n v="51765.5"/>
    <n v="0"/>
    <n v="0"/>
    <n v="324215.5"/>
    <s v="Aprobado con notificación"/>
    <s v="Emitido"/>
    <x v="0"/>
    <x v="0"/>
    <x v="1"/>
    <x v="0"/>
    <x v="1"/>
    <x v="0"/>
    <m/>
  </r>
  <r>
    <s v="Factura electrónica"/>
    <s v="69e04e0434a37d7001e2b1b52977d611c257ff558d4950c00bb4ee5189910891cb3f3e0b288907ec58d6724cc594a401"/>
    <x v="1239"/>
    <n v="-1"/>
    <s v="FVE"/>
    <s v="16-02-2026"/>
    <s v="16-02-2026 10:20:56"/>
    <s v="900800595"/>
    <s v="Provexpress SAS"/>
    <s v="900081559"/>
    <x v="365"/>
    <n v="2642718.7400000002"/>
    <n v="0"/>
    <n v="0"/>
    <n v="16551764.74"/>
    <s v="Aprobado con notificación"/>
    <s v="Emitido"/>
    <x v="0"/>
    <x v="0"/>
    <x v="1"/>
    <x v="0"/>
    <x v="1"/>
    <x v="0"/>
    <m/>
  </r>
  <r>
    <s v="Factura electrónica"/>
    <s v="089d2c17388ddb42061ee4292ef1231ebb4b34d670695351df014c8237cef5e2615fd71b4de9e82b14791688fdcfb52e"/>
    <x v="1240"/>
    <n v="-1"/>
    <s v="FVE"/>
    <s v="16-02-2026"/>
    <s v="16-02-2026 10:54:57"/>
    <s v="900800595"/>
    <s v="Provexpress SAS"/>
    <s v="900241101"/>
    <x v="569"/>
    <n v="20233736.879999999"/>
    <n v="0"/>
    <n v="0"/>
    <n v="126727088.88"/>
    <s v="Aprobado con notificación"/>
    <s v="Emitido"/>
    <x v="0"/>
    <x v="0"/>
    <x v="1"/>
    <x v="0"/>
    <x v="0"/>
    <x v="1"/>
    <s v="PAGA 24/02/2026"/>
  </r>
  <r>
    <s v="Factura electrónica"/>
    <s v="86abedebda5f1b2f0a68618854594b029a76baf29b871426a99e3b10b11a919787de559ddec87df989228e685e1aa218"/>
    <x v="1241"/>
    <n v="-1"/>
    <s v="FVE"/>
    <s v="16-02-2026"/>
    <s v="16-02-2026 11:39:09"/>
    <s v="900800595"/>
    <s v="Provexpress SAS"/>
    <s v="900148177"/>
    <x v="69"/>
    <n v="559802"/>
    <n v="0"/>
    <n v="0"/>
    <n v="4304902"/>
    <s v="Aprobado con notificación"/>
    <s v="Emitido"/>
    <x v="0"/>
    <x v="0"/>
    <x v="1"/>
    <x v="0"/>
    <x v="1"/>
    <x v="0"/>
    <m/>
  </r>
  <r>
    <s v="Factura electrónica"/>
    <s v="107c828e361c04a2df6d4904a7f70d0ed09f3e4a9a22d0fee91c1e6965f4d4b87ec8d56d42c6fc80aa5857a0e5d0f061"/>
    <x v="1242"/>
    <n v="-1"/>
    <s v="FVE"/>
    <s v="16-02-2026"/>
    <s v="16-02-2026 11:39:16"/>
    <s v="900800595"/>
    <s v="Provexpress SAS"/>
    <s v="900682841"/>
    <x v="22"/>
    <n v="818053.36"/>
    <n v="0"/>
    <n v="0"/>
    <n v="9485493.3599999994"/>
    <s v="Aprobado con notificación"/>
    <s v="Emitido"/>
    <x v="0"/>
    <x v="0"/>
    <x v="1"/>
    <x v="0"/>
    <x v="1"/>
    <x v="0"/>
    <m/>
  </r>
  <r>
    <s v="Factura electrónica"/>
    <s v="312bd33e2e06ac0f7a84bb9e4859e2fa8ad860b48ac17beac3a70db23f2e89860ae0d8e3ef786f8bbc3219ebb03e3d66"/>
    <x v="1243"/>
    <n v="-1"/>
    <s v="FVE"/>
    <s v="16-02-2026"/>
    <s v="16-02-2026 11:39:23"/>
    <s v="900800595"/>
    <s v="Provexpress SAS"/>
    <s v="900977303"/>
    <x v="570"/>
    <n v="36364.300000000003"/>
    <n v="0"/>
    <n v="0"/>
    <n v="475334.3"/>
    <s v="Aprobado con notificación"/>
    <s v="Emitido"/>
    <x v="0"/>
    <x v="0"/>
    <x v="1"/>
    <x v="0"/>
    <x v="1"/>
    <x v="0"/>
    <m/>
  </r>
  <r>
    <s v="Factura electrónica"/>
    <s v="205667ffb9bde07c3503aa28ae782abffdac847fb06ed5ac806f486c3a18cba2cf6646c49f7f7eaa55100739b84b05ea"/>
    <x v="1244"/>
    <n v="-1"/>
    <s v="FVE"/>
    <s v="16-02-2026"/>
    <s v="16-02-2026 11:39:10"/>
    <s v="900800595"/>
    <s v="Provexpress SAS"/>
    <s v="860009985"/>
    <x v="81"/>
    <n v="49020"/>
    <n v="0"/>
    <n v="0"/>
    <n v="307020"/>
    <s v="Aprobado con notificación"/>
    <s v="Emitido"/>
    <x v="0"/>
    <x v="0"/>
    <x v="1"/>
    <x v="0"/>
    <x v="1"/>
    <x v="0"/>
    <m/>
  </r>
  <r>
    <s v="Factura electrónica"/>
    <s v="79f47566c32b35c9da650fc15002665c5f753e3bb015d9d070b8fe17766820a53f2be883ed6c7353c9f8f04b2b5a49fb"/>
    <x v="1245"/>
    <n v="-1"/>
    <s v="FVE"/>
    <s v="16-02-2026"/>
    <s v="16-02-2026 11:39:11"/>
    <s v="900800595"/>
    <s v="Provexpress SAS"/>
    <s v="830092675"/>
    <x v="480"/>
    <n v="1102927.2"/>
    <n v="0"/>
    <n v="0"/>
    <n v="6907807.2000000002"/>
    <s v="Aprobado con notificación"/>
    <s v="Emitido"/>
    <x v="0"/>
    <x v="0"/>
    <x v="1"/>
    <x v="0"/>
    <x v="1"/>
    <x v="0"/>
    <m/>
  </r>
  <r>
    <s v="Factura electrónica"/>
    <s v="cc7f34eb32acd57831a9bf6ebdcabdce40bc83f9c797c031705846bc0779f08d2d416989e52525abc4a734343f71ad2d"/>
    <x v="1246"/>
    <n v="-1"/>
    <s v="FVE"/>
    <s v="16-02-2026"/>
    <s v="16-02-2026 11:39:57"/>
    <s v="900800595"/>
    <s v="Provexpress SAS"/>
    <s v="860059851"/>
    <x v="381"/>
    <n v="771090.67"/>
    <n v="0"/>
    <n v="0"/>
    <n v="5116703.67"/>
    <s v="Aprobado con notificación"/>
    <s v="Emitido"/>
    <x v="0"/>
    <x v="0"/>
    <x v="1"/>
    <x v="0"/>
    <x v="1"/>
    <x v="0"/>
    <m/>
  </r>
  <r>
    <s v="Factura electrónica"/>
    <s v="ef00357a5f2c759e672ce41530acb5b9e5277f90dcf3593c9f9c5a1a3ce95e28fafa9c3974d33d9b7d08c60af837c6dc"/>
    <x v="1247"/>
    <n v="-1"/>
    <s v="FVE"/>
    <s v="16-02-2026"/>
    <s v="16-02-2026 11:39:57"/>
    <s v="900800595"/>
    <s v="Provexpress SAS"/>
    <s v="860071562"/>
    <x v="242"/>
    <n v="22363.95"/>
    <n v="0"/>
    <n v="0"/>
    <n v="140068.95000000001"/>
    <s v="Aprobado con notificación"/>
    <s v="Emitido"/>
    <x v="1"/>
    <x v="0"/>
    <x v="1"/>
    <x v="0"/>
    <x v="0"/>
    <x v="0"/>
    <m/>
  </r>
  <r>
    <s v="Factura electrónica"/>
    <s v="9c9e59e76b47fb7e48e7ec21a27f8ef3c2a6da4a6cd485ad8b79d2a00943955b39fd12f265a7a134c2bd66bb83d5a253"/>
    <x v="1248"/>
    <n v="-1"/>
    <s v="FVE"/>
    <s v="16-02-2026"/>
    <s v="16-02-2026 11:39:57"/>
    <s v="900800595"/>
    <s v="Provexpress SAS"/>
    <s v="860071562"/>
    <x v="242"/>
    <n v="5320"/>
    <n v="0"/>
    <n v="0"/>
    <n v="33320"/>
    <s v="Aprobado con notificación"/>
    <s v="Emitido"/>
    <x v="1"/>
    <x v="0"/>
    <x v="1"/>
    <x v="0"/>
    <x v="0"/>
    <x v="0"/>
    <m/>
  </r>
  <r>
    <s v="Factura electrónica"/>
    <s v="e6281ab7167fbd1acc88f0e881df248f4fc65bc36eac9b8c0b3cd3cecdd8fc83cf7d566c7b7750b53969eb71fe445383"/>
    <x v="1249"/>
    <n v="-1"/>
    <s v="FVE"/>
    <s v="16-02-2026"/>
    <s v="16-02-2026 11:39:57"/>
    <s v="900800595"/>
    <s v="Provexpress SAS"/>
    <s v="830033494"/>
    <x v="233"/>
    <n v="145967.5"/>
    <n v="0"/>
    <n v="0"/>
    <n v="914217.5"/>
    <s v="Aprobado con notificación"/>
    <s v="Emitido"/>
    <x v="1"/>
    <x v="0"/>
    <x v="1"/>
    <x v="0"/>
    <x v="0"/>
    <x v="0"/>
    <m/>
  </r>
  <r>
    <s v="Factura electrónica"/>
    <s v="f04cf8d7ac54eca98555fe6af4af9c377deb12a4a77413122442f6db8dbebf223cb0896536458be112b80400881bcea4"/>
    <x v="1250"/>
    <n v="-1"/>
    <s v="FVE"/>
    <s v="16-02-2026"/>
    <s v="16-02-2026 12:30:32"/>
    <s v="900800595"/>
    <s v="Provexpress SAS"/>
    <s v="901685370"/>
    <x v="571"/>
    <n v="33402"/>
    <n v="0"/>
    <n v="0"/>
    <n v="209202"/>
    <s v="Aprobado con notificación"/>
    <s v="Emitido"/>
    <x v="0"/>
    <x v="0"/>
    <x v="1"/>
    <x v="0"/>
    <x v="1"/>
    <x v="0"/>
    <m/>
  </r>
  <r>
    <s v="Factura electrónica"/>
    <s v="87f75b5c01c6341456154be2bc171ac392cf7b75a11687b046fd20fdbe0c55a7c37a8a0b3987d3dc27d2bc6f0ee73335"/>
    <x v="1251"/>
    <n v="-1"/>
    <s v="FVE"/>
    <s v="16-02-2026"/>
    <s v="16-02-2026 12:29:40"/>
    <s v="900800595"/>
    <s v="Provexpress SAS"/>
    <s v="901817892"/>
    <x v="572"/>
    <n v="86969.27"/>
    <n v="0"/>
    <n v="0"/>
    <n v="544702.27"/>
    <s v="Aprobado con notificación"/>
    <s v="Emitido"/>
    <x v="0"/>
    <x v="0"/>
    <x v="1"/>
    <x v="0"/>
    <x v="1"/>
    <x v="0"/>
    <m/>
  </r>
  <r>
    <s v="Factura electrónica"/>
    <s v="5d349018590fb1cee54766468b55cf28f31c5c3b64e99a9909b653f44a15aec7febda5ce40ac31771c1d18a2ec01f639"/>
    <x v="1252"/>
    <n v="-1"/>
    <s v="FVE"/>
    <s v="16-02-2026"/>
    <s v="16-02-2026 12:29:48"/>
    <s v="900800595"/>
    <s v="Provexpress SAS"/>
    <s v="901847883"/>
    <x v="3"/>
    <n v="662837.04"/>
    <n v="0"/>
    <n v="0"/>
    <n v="4151453.04"/>
    <s v="Aprobado con notificación"/>
    <s v="Emitido"/>
    <x v="1"/>
    <x v="0"/>
    <x v="1"/>
    <x v="0"/>
    <x v="0"/>
    <x v="0"/>
    <m/>
  </r>
  <r>
    <s v="Factura electrónica"/>
    <s v="7121871046475ea3191b71ce5493d0ce224e292ee4c898fa80aedf4b2c7ae75d33e8dccd0bff314fdaa170189bff53c5"/>
    <x v="1253"/>
    <n v="-1"/>
    <s v="FVE"/>
    <s v="16-02-2026"/>
    <s v="16-02-2026 12:29:49"/>
    <s v="900800595"/>
    <s v="Provexpress SAS"/>
    <s v="830027574"/>
    <x v="55"/>
    <n v="456000"/>
    <n v="0"/>
    <n v="0"/>
    <n v="2856000"/>
    <s v="Aprobado con notificación"/>
    <s v="Emitido"/>
    <x v="0"/>
    <x v="0"/>
    <x v="1"/>
    <x v="0"/>
    <x v="1"/>
    <x v="0"/>
    <m/>
  </r>
  <r>
    <s v="Factura electrónica"/>
    <s v="29dc375e677dd40cf42f4351ea39da9ab9ee597674fa5832a68c0bc301440cd6ad774388cf00cec97ff729654815cf9c"/>
    <x v="1254"/>
    <n v="-1"/>
    <s v="FVE"/>
    <s v="16-02-2026"/>
    <s v="16-02-2026 12:29:58"/>
    <s v="900800595"/>
    <s v="Provexpress SAS"/>
    <s v="860029415"/>
    <x v="29"/>
    <n v="140011"/>
    <n v="0"/>
    <n v="0"/>
    <n v="876911"/>
    <s v="Aprobado con notificación"/>
    <s v="Emitido"/>
    <x v="0"/>
    <x v="0"/>
    <x v="0"/>
    <x v="0"/>
    <x v="0"/>
    <x v="0"/>
    <m/>
  </r>
  <r>
    <s v="Factura electrónica"/>
    <s v="d3f1edb04280d76d30f21e116cac8cdefe40b40ce03a0b3619898ed082bd8a3dcabe1157b582c6fa2c1a6c19b3ee450b"/>
    <x v="1255"/>
    <n v="-1"/>
    <s v="FVE"/>
    <s v="16-02-2026"/>
    <s v="16-02-2026 12:30:00"/>
    <s v="900800595"/>
    <s v="Provexpress SAS"/>
    <s v="830513773"/>
    <x v="46"/>
    <n v="62340.52"/>
    <n v="0"/>
    <n v="0"/>
    <n v="390448.52"/>
    <s v="Aprobado con notificación"/>
    <s v="Emitido"/>
    <x v="0"/>
    <x v="0"/>
    <x v="1"/>
    <x v="0"/>
    <x v="1"/>
    <x v="0"/>
    <m/>
  </r>
  <r>
    <s v="Factura electrónica"/>
    <s v="85daf04fcd7c3afe094f5c8d530d8ae30dcb7aefae154aa3d588a75f17275cf45fbe08e230bc4680ce8fbee68394ad79"/>
    <x v="1256"/>
    <n v="-1"/>
    <s v="FVE"/>
    <s v="16-02-2026"/>
    <s v="16-02-2026 12:30:04"/>
    <s v="900800595"/>
    <s v="Provexpress SAS"/>
    <s v="830050228"/>
    <x v="39"/>
    <n v="114000"/>
    <n v="0"/>
    <n v="0"/>
    <n v="714000"/>
    <s v="Aprobado con notificación"/>
    <s v="Emitido"/>
    <x v="0"/>
    <x v="0"/>
    <x v="0"/>
    <x v="0"/>
    <x v="0"/>
    <x v="0"/>
    <m/>
  </r>
  <r>
    <s v="Factura electrónica"/>
    <s v="cd445cf8bab73862cac54887ec38a3f700a8dc482dd3a65e919890e807d29e4988553f3600828404d4369bb8c0c79785"/>
    <x v="1257"/>
    <n v="-1"/>
    <s v="FVE"/>
    <s v="16-02-2026"/>
    <s v="16-02-2026 12:30:16"/>
    <s v="900800595"/>
    <s v="Provexpress SAS"/>
    <s v="900749690"/>
    <x v="573"/>
    <n v="1612838.85"/>
    <n v="0"/>
    <n v="0"/>
    <n v="10490497.85"/>
    <s v="Aprobado con notificación"/>
    <s v="Emitido"/>
    <x v="0"/>
    <x v="0"/>
    <x v="1"/>
    <x v="0"/>
    <x v="1"/>
    <x v="0"/>
    <m/>
  </r>
  <r>
    <s v="Factura electrónica"/>
    <s v="d8099e21530480468dd912ae3ba89641afb2e1d07de24166a8c25dfcffce51ee95d3929a172128e576dcfdbc5414e86b"/>
    <x v="1258"/>
    <n v="-1"/>
    <s v="FVE"/>
    <s v="16-02-2026"/>
    <s v="16-02-2026 12:52:10"/>
    <s v="900800595"/>
    <s v="Provexpress SAS"/>
    <s v="900207085"/>
    <x v="574"/>
    <n v="21458.98"/>
    <n v="0"/>
    <n v="0"/>
    <n v="134400.98000000001"/>
    <s v="Aprobado con notificación"/>
    <s v="Emitido"/>
    <x v="1"/>
    <x v="0"/>
    <x v="1"/>
    <x v="0"/>
    <x v="0"/>
    <x v="0"/>
    <m/>
  </r>
  <r>
    <s v="Factura electrónica"/>
    <s v="030fcc547e0653f1e07b54358db4cd5eecd6f9b24504b56dfad0f1e43dcdc60f6e92c0b3393ed728fc1e48f1ceaa713d"/>
    <x v="1259"/>
    <n v="-1"/>
    <s v="FVE"/>
    <s v="16-02-2026"/>
    <s v="16-02-2026 12:54:34"/>
    <s v="900800595"/>
    <s v="Provexpress SAS"/>
    <s v="800158149"/>
    <x v="575"/>
    <n v="40850"/>
    <n v="0"/>
    <n v="0"/>
    <n v="255850"/>
    <s v="Aprobado con notificación"/>
    <s v="Emitido"/>
    <x v="0"/>
    <x v="0"/>
    <x v="1"/>
    <x v="0"/>
    <x v="1"/>
    <x v="0"/>
    <m/>
  </r>
  <r>
    <s v="Factura electrónica"/>
    <s v="cfc97ab9e561b2e137a5416b2432a70ac0c6aa18439696564a4c19287c5174b32381625b4511a175a01d30bd812a1ed0"/>
    <x v="1260"/>
    <n v="-1"/>
    <s v="FVE"/>
    <s v="16-02-2026"/>
    <s v="16-02-2026 12:52:21"/>
    <s v="900800595"/>
    <s v="Provexpress SAS"/>
    <s v="830109997"/>
    <x v="66"/>
    <n v="147109.4"/>
    <n v="0"/>
    <n v="0"/>
    <n v="921369.4"/>
    <s v="Aprobado con notificación"/>
    <s v="Emitido"/>
    <x v="0"/>
    <x v="0"/>
    <x v="1"/>
    <x v="0"/>
    <x v="1"/>
    <x v="0"/>
    <m/>
  </r>
  <r>
    <s v="Factura electrónica"/>
    <s v="c421639ea072a6b2cced388cc33e6f23a3c44f407663608587d6d17178f75858058f8b2a8a13d5de128ab40e7d9e7b21"/>
    <x v="1261"/>
    <n v="-1"/>
    <s v="FVE"/>
    <s v="16-02-2026"/>
    <s v="16-02-2026 13:05:06"/>
    <s v="900800595"/>
    <s v="Provexpress SAS"/>
    <s v="900161454"/>
    <x v="576"/>
    <n v="1052209.55"/>
    <n v="0"/>
    <n v="0"/>
    <n v="6590154.5499999998"/>
    <s v="Aprobado con notificación"/>
    <s v="Emitido"/>
    <x v="1"/>
    <x v="0"/>
    <x v="1"/>
    <x v="0"/>
    <x v="0"/>
    <x v="0"/>
    <m/>
  </r>
  <r>
    <s v="Factura electrónica"/>
    <s v="3be7d63000572469b9b96a8d56b0dbf478ddfc9b410a13096ccffffe23721ab1b36f0e4e153aa3a9bfccdbd2d035a3a9"/>
    <x v="1262"/>
    <n v="-1"/>
    <s v="FVE"/>
    <s v="16-02-2026"/>
    <s v="16-02-2026 13:05:08"/>
    <s v="900800595"/>
    <s v="Provexpress SAS"/>
    <s v="830095970"/>
    <x v="23"/>
    <n v="0"/>
    <n v="0"/>
    <n v="0"/>
    <n v="34500006"/>
    <s v="Aprobado con notificación"/>
    <s v="Emitido"/>
    <x v="1"/>
    <x v="0"/>
    <x v="1"/>
    <x v="0"/>
    <x v="0"/>
    <x v="0"/>
    <m/>
  </r>
  <r>
    <s v="Factura electrónica"/>
    <s v="5adeecac3e3555fdb067dcdc2aaef54e61f2a8897b8abbbda3bc0d132e9359c1eefee1b9efa6e34bdfa98efbe58d87cb"/>
    <x v="1263"/>
    <n v="-1"/>
    <s v="FVE"/>
    <s v="16-02-2026"/>
    <s v="16-02-2026 13:05:10"/>
    <s v="900800595"/>
    <s v="Provexpress SAS"/>
    <s v="800024265"/>
    <x v="24"/>
    <n v="0"/>
    <n v="0"/>
    <n v="0"/>
    <n v="11500002"/>
    <s v="Aprobado con notificación"/>
    <s v="Emitido"/>
    <x v="1"/>
    <x v="0"/>
    <x v="1"/>
    <x v="0"/>
    <x v="0"/>
    <x v="0"/>
    <m/>
  </r>
  <r>
    <s v="Factura electrónica"/>
    <s v="3e8bb332f2e944a1c0e20dd10b6075dbe418fe87539473ac77b040751f47f1aeb4e156e9ad4065adf9b0589b57f96adc"/>
    <x v="1264"/>
    <n v="-1"/>
    <s v="FVE"/>
    <s v="16-02-2026"/>
    <s v="16-02-2026 13:05:16"/>
    <s v="900800595"/>
    <s v="Provexpress SAS"/>
    <s v="800024265"/>
    <x v="24"/>
    <n v="369560.45"/>
    <n v="0"/>
    <n v="0"/>
    <n v="4231282.45"/>
    <s v="Aprobado con notificación"/>
    <s v="Emitido"/>
    <x v="1"/>
    <x v="0"/>
    <x v="1"/>
    <x v="0"/>
    <x v="0"/>
    <x v="0"/>
    <m/>
  </r>
  <r>
    <s v="Factura electrónica"/>
    <s v="3fed00c88cdfa48e4ea334b98338ebc4d918ae076604d52ab24011cc3b94e934e951ef4be006e0a1def03ae0ad0f4dbd"/>
    <x v="1265"/>
    <n v="-1"/>
    <s v="FVE"/>
    <s v="16-02-2026"/>
    <s v="16-02-2026 13:05:18"/>
    <s v="900800595"/>
    <s v="Provexpress SAS"/>
    <s v="830001445"/>
    <x v="577"/>
    <n v="181830"/>
    <n v="0"/>
    <n v="0"/>
    <n v="1138830"/>
    <s v="Aprobado con notificación"/>
    <s v="Emitido"/>
    <x v="1"/>
    <x v="0"/>
    <x v="1"/>
    <x v="0"/>
    <x v="0"/>
    <x v="0"/>
    <m/>
  </r>
  <r>
    <s v="Factura electrónica"/>
    <s v="ee582a1beddba51b8ab9b1159a1aece78760955b2a63ca5b27ef9814301d58737cb4465561149f6c13a7802b0292f819"/>
    <x v="1266"/>
    <n v="-1"/>
    <s v="FVE"/>
    <s v="16-02-2026"/>
    <s v="16-02-2026 13:05:23"/>
    <s v="900800595"/>
    <s v="Provexpress SAS"/>
    <s v="830077515"/>
    <x v="71"/>
    <n v="120270"/>
    <n v="0"/>
    <n v="0"/>
    <n v="753270"/>
    <s v="Aprobado con notificación"/>
    <s v="Emitido"/>
    <x v="0"/>
    <x v="0"/>
    <x v="1"/>
    <x v="0"/>
    <x v="0"/>
    <x v="1"/>
    <s v="PAGA 27/02/2026"/>
  </r>
  <r>
    <s v="Factura electrónica"/>
    <s v="670d3794ddc7d5983ca0766b3d5f2c2701fb7832902f628c33c4c6ad62897a2dcca15f42fdf3f16bb7f685cc9e16677f"/>
    <x v="1267"/>
    <n v="-1"/>
    <s v="FVE"/>
    <s v="16-02-2026"/>
    <s v="16-02-2026 13:05:34"/>
    <s v="900800595"/>
    <s v="Provexpress SAS"/>
    <s v="900497906"/>
    <x v="578"/>
    <n v="28500"/>
    <n v="0"/>
    <n v="0"/>
    <n v="178500"/>
    <s v="Aprobado con notificación"/>
    <s v="Emitido"/>
    <x v="1"/>
    <x v="0"/>
    <x v="1"/>
    <x v="0"/>
    <x v="0"/>
    <x v="0"/>
    <m/>
  </r>
  <r>
    <s v="Factura electrónica"/>
    <s v="98b246336c514bea2aeb5a2da8aef8b19181e051da337bc9ebcf097bdc8714b2170a9ec34d07a1b42b4f341120f3a0be"/>
    <x v="1268"/>
    <n v="-1"/>
    <s v="FVE"/>
    <s v="16-02-2026"/>
    <s v="16-02-2026 13:05:49"/>
    <s v="900800595"/>
    <s v="Provexpress SAS"/>
    <s v="860072279"/>
    <x v="86"/>
    <n v="48640"/>
    <n v="0"/>
    <n v="0"/>
    <n v="304640"/>
    <s v="Aprobado con notificación"/>
    <s v="Emitido"/>
    <x v="0"/>
    <x v="0"/>
    <x v="1"/>
    <x v="0"/>
    <x v="1"/>
    <x v="0"/>
    <m/>
  </r>
  <r>
    <s v="Factura electrónica"/>
    <s v="66b8cff59f88de7efda1617e1142aca84daa9490fa2df706efec38e7a669f5ab10a2d40e45b4ae2f73766636a042dd7b"/>
    <x v="1269"/>
    <n v="-1"/>
    <s v="FVE"/>
    <s v="16-02-2026"/>
    <s v="16-02-2026 13:16:45"/>
    <s v="900800595"/>
    <s v="Provexpress SAS"/>
    <s v="900208445"/>
    <x v="67"/>
    <n v="28842"/>
    <n v="0"/>
    <n v="0"/>
    <n v="180642"/>
    <s v="Aprobado con notificación"/>
    <s v="Emitido"/>
    <x v="1"/>
    <x v="0"/>
    <x v="1"/>
    <x v="0"/>
    <x v="0"/>
    <x v="0"/>
    <m/>
  </r>
  <r>
    <s v="Factura electrónica"/>
    <s v="df17f8951c648a50ff03cf987c1ff280c370e07ec4d2b376b83ee95e2cda5bed25ba292274883e8afdf96555014e795b"/>
    <x v="1270"/>
    <n v="-1"/>
    <s v="FVE"/>
    <s v="16-02-2026"/>
    <s v="16-02-2026 13:16:46"/>
    <s v="900800595"/>
    <s v="Provexpress SAS"/>
    <s v="860048112"/>
    <x v="227"/>
    <n v="37425"/>
    <n v="0"/>
    <n v="0"/>
    <n v="246925"/>
    <s v="Aprobado con notificación"/>
    <s v="Emitido"/>
    <x v="0"/>
    <x v="0"/>
    <x v="1"/>
    <x v="1"/>
    <x v="0"/>
    <x v="0"/>
    <m/>
  </r>
  <r>
    <s v="Factura electrónica"/>
    <s v="2cf70f08639e54b58932bdcd6105ae5005d745d48327c264974c208910097d2019d7c73b8d8659e1abeeda7294909690"/>
    <x v="1271"/>
    <n v="-1"/>
    <s v="FVE"/>
    <s v="16-02-2026"/>
    <s v="16-02-2026 13:16:48"/>
    <s v="900800595"/>
    <s v="Provexpress SAS"/>
    <s v="900297009"/>
    <x v="336"/>
    <n v="472850.72"/>
    <n v="0"/>
    <n v="0"/>
    <n v="2961538.72"/>
    <s v="Aprobado con notificación"/>
    <s v="Emitido"/>
    <x v="0"/>
    <x v="0"/>
    <x v="1"/>
    <x v="0"/>
    <x v="1"/>
    <x v="0"/>
    <m/>
  </r>
  <r>
    <s v="Factura electrónica"/>
    <s v="3528b2701df8fcb3ed8cb332833216932f2c9fb8b283ba74b382c0e8da74d6f49d1f991504cc72440ccc66b46b13cf6e"/>
    <x v="1272"/>
    <n v="-1"/>
    <s v="FVE"/>
    <s v="16-02-2026"/>
    <s v="16-02-2026 13:28:56"/>
    <s v="900800595"/>
    <s v="Provexpress SAS"/>
    <s v="900356846"/>
    <x v="106"/>
    <n v="205502.8"/>
    <n v="0"/>
    <n v="0"/>
    <n v="1355622.8"/>
    <s v="Aprobado con notificación"/>
    <s v="Emitido"/>
    <x v="0"/>
    <x v="0"/>
    <x v="0"/>
    <x v="0"/>
    <x v="0"/>
    <x v="0"/>
    <m/>
  </r>
  <r>
    <s v="Factura electrónica"/>
    <s v="aff77f474264026694750ba897f9ba35c4639242a43320354f2856d0b3462d73f0a46dc4020066ba507a8c1210729332"/>
    <x v="1273"/>
    <n v="-1"/>
    <s v="FVE"/>
    <s v="16-02-2026"/>
    <s v="16-02-2026 13:36:25"/>
    <s v="900800595"/>
    <s v="Provexpress SAS"/>
    <s v="830004861"/>
    <x v="579"/>
    <n v="60610"/>
    <n v="0"/>
    <n v="0"/>
    <n v="379610"/>
    <s v="Aprobado con notificación"/>
    <s v="Emitido"/>
    <x v="0"/>
    <x v="0"/>
    <x v="1"/>
    <x v="1"/>
    <x v="0"/>
    <x v="0"/>
    <m/>
  </r>
  <r>
    <s v="Factura electrónica"/>
    <s v="90c2daaebaa1d43c264e4cc31d124ff4c696df3b04ab58325cabc17e71c3b52ce54aaf54acfea33a4d3df9bcad4966f4"/>
    <x v="1274"/>
    <n v="-1"/>
    <s v="FVE"/>
    <s v="16-02-2026"/>
    <s v="16-02-2026 13:47:27"/>
    <s v="900800595"/>
    <s v="Provexpress SAS"/>
    <s v="860067697"/>
    <x v="580"/>
    <n v="553641"/>
    <n v="0"/>
    <n v="0"/>
    <n v="3467541"/>
    <s v="Aprobado con notificación"/>
    <s v="Emitido"/>
    <x v="0"/>
    <x v="0"/>
    <x v="1"/>
    <x v="0"/>
    <x v="1"/>
    <x v="0"/>
    <m/>
  </r>
  <r>
    <s v="Factura electrónica"/>
    <s v="135da1ad734ca28cd8e28f62e0a674ef86ac3a9059a49997ee92168a03d879ee8d88796535a99efda3e3600cfefc127a"/>
    <x v="1275"/>
    <n v="-1"/>
    <s v="FVE"/>
    <s v="16-02-2026"/>
    <s v="16-02-2026 13:48:37"/>
    <s v="900800595"/>
    <s v="Provexpress SAS"/>
    <s v="890112475"/>
    <x v="180"/>
    <n v="16492"/>
    <n v="0"/>
    <n v="0"/>
    <n v="103292"/>
    <s v="Aprobado con notificación"/>
    <s v="Emitido"/>
    <x v="1"/>
    <x v="0"/>
    <x v="1"/>
    <x v="0"/>
    <x v="0"/>
    <x v="0"/>
    <m/>
  </r>
  <r>
    <s v="Factura electrónica"/>
    <s v="d34dca99370cab4ba4566f4c2c725f4c45a738111a46c4c2fccae6c612f769736636a290040880b8595b915fb75abff8"/>
    <x v="1276"/>
    <n v="-1"/>
    <s v="FVE"/>
    <s v="16-02-2026"/>
    <s v="16-02-2026 13:49:00"/>
    <s v="900800595"/>
    <s v="Provexpress SAS"/>
    <s v="890112475"/>
    <x v="180"/>
    <n v="976273.2"/>
    <n v="0"/>
    <n v="0"/>
    <n v="6114553.2000000002"/>
    <s v="Aprobado con notificación"/>
    <s v="Emitido"/>
    <x v="1"/>
    <x v="0"/>
    <x v="1"/>
    <x v="0"/>
    <x v="0"/>
    <x v="0"/>
    <m/>
  </r>
  <r>
    <s v="Factura electrónica"/>
    <s v="fcfb7ab227bbcdad033c92679fe383994fa0af3f23fe653d59f2dda85360fd2f3890d4df848a82748fec78e50cebc740"/>
    <x v="1277"/>
    <n v="-1"/>
    <s v="FVE"/>
    <s v="16-02-2026"/>
    <s v="16-02-2026 13:47:36"/>
    <s v="900800595"/>
    <s v="Provexpress SAS"/>
    <s v="800120681"/>
    <x v="182"/>
    <n v="77020.87"/>
    <n v="0"/>
    <n v="0"/>
    <n v="482393.87"/>
    <s v="Aprobado con notificación"/>
    <s v="Emitido"/>
    <x v="0"/>
    <x v="0"/>
    <x v="1"/>
    <x v="0"/>
    <x v="1"/>
    <x v="0"/>
    <m/>
  </r>
  <r>
    <s v="Factura electrónica"/>
    <s v="72c0ed426cee773d9ee3d397e9b88aca93d4f4025cc7dd50e6e25bf650f374a602f7ad917ae340d14431968d0e1ad747"/>
    <x v="1278"/>
    <n v="-1"/>
    <s v="FVE"/>
    <s v="16-02-2026"/>
    <s v="16-02-2026 13:47:40"/>
    <s v="900800595"/>
    <s v="Provexpress SAS"/>
    <s v="800120681"/>
    <x v="182"/>
    <n v="613510"/>
    <n v="0"/>
    <n v="0"/>
    <n v="3842510"/>
    <s v="Aprobado con notificación"/>
    <s v="Emitido"/>
    <x v="0"/>
    <x v="0"/>
    <x v="1"/>
    <x v="0"/>
    <x v="1"/>
    <x v="0"/>
    <m/>
  </r>
  <r>
    <s v="Factura electrónica"/>
    <s v="bd747f7cc00b23acecf50ba2680988d0a6cbfa736e1be13b4cf90b4b81cc7b4c32a22a714368227bb010b06ba03d658b"/>
    <x v="1279"/>
    <n v="-1"/>
    <s v="FVE"/>
    <s v="16-02-2026"/>
    <s v="16-02-2026 13:47:41"/>
    <s v="900800595"/>
    <s v="Provexpress SAS"/>
    <s v="830129327"/>
    <x v="490"/>
    <n v="202160"/>
    <n v="0"/>
    <n v="0"/>
    <n v="1266160"/>
    <s v="Aprobado con notificación"/>
    <s v="Emitido"/>
    <x v="0"/>
    <x v="0"/>
    <x v="0"/>
    <x v="0"/>
    <x v="0"/>
    <x v="0"/>
    <m/>
  </r>
  <r>
    <s v="Factura electrónica"/>
    <s v="a34aab612ab82a25082cb507db642651d61afde1dfa36a2a553a0db5680342317bc4999d1356b720660b541316e765e5"/>
    <x v="1280"/>
    <n v="-1"/>
    <s v="FVE"/>
    <s v="16-02-2026"/>
    <s v="16-02-2026 13:58:46"/>
    <s v="900800595"/>
    <s v="Provexpress SAS"/>
    <s v="830129327"/>
    <x v="490"/>
    <n v="5309550"/>
    <n v="0"/>
    <n v="0"/>
    <n v="41904550"/>
    <s v="Aprobado con notificación"/>
    <s v="Emitido"/>
    <x v="0"/>
    <x v="0"/>
    <x v="0"/>
    <x v="0"/>
    <x v="0"/>
    <x v="0"/>
    <m/>
  </r>
  <r>
    <s v="Factura electrónica"/>
    <s v="db475866148edd052c860882ff625b7c81c3d92532034c461d3238d05979306a73f75b00e4f887324c7ce14fca17a0af"/>
    <x v="1281"/>
    <n v="-1"/>
    <s v="FVE"/>
    <s v="16-02-2026"/>
    <s v="16-02-2026 13:58:46"/>
    <s v="900800595"/>
    <s v="Provexpress SAS"/>
    <s v="830129327"/>
    <x v="490"/>
    <n v="6572100"/>
    <n v="0"/>
    <n v="0"/>
    <n v="41162100"/>
    <s v="Aprobado con notificación"/>
    <s v="Emitido"/>
    <x v="0"/>
    <x v="0"/>
    <x v="0"/>
    <x v="0"/>
    <x v="0"/>
    <x v="0"/>
    <m/>
  </r>
  <r>
    <s v="Factura electrónica"/>
    <s v="710491be750f8e5b23b2087701615863c0d98ee93f9c6b0f7e1e7ae1cd6cd8b0fb1d5deedae323cd0630ed86466af867"/>
    <x v="1282"/>
    <n v="-1"/>
    <s v="FVE"/>
    <s v="16-02-2026"/>
    <s v="16-02-2026 14:44:11"/>
    <s v="900800595"/>
    <s v="Provexpress SAS"/>
    <s v="860516806"/>
    <x v="16"/>
    <n v="1115739.47"/>
    <n v="0"/>
    <n v="0"/>
    <n v="6988052.4699999997"/>
    <s v="Aprobado con notificación"/>
    <s v="Emitido"/>
    <x v="1"/>
    <x v="0"/>
    <x v="1"/>
    <x v="0"/>
    <x v="0"/>
    <x v="0"/>
    <m/>
  </r>
  <r>
    <s v="Factura electrónica"/>
    <s v="936afa7fbf8afb18b2f78e30dab992f488d97dda4467d723e5829bb2deaaf961afb81ad5c5db6a0d1af1ffe0047ba8de"/>
    <x v="1283"/>
    <n v="-1"/>
    <s v="FVE"/>
    <s v="16-02-2026"/>
    <s v="16-02-2026 14:43:12"/>
    <s v="900800595"/>
    <s v="Provexpress SAS"/>
    <s v="860024041"/>
    <x v="581"/>
    <n v="148200"/>
    <n v="0"/>
    <n v="0"/>
    <n v="24418200"/>
    <s v="Aprobado con notificación"/>
    <s v="Emitido"/>
    <x v="0"/>
    <x v="0"/>
    <x v="1"/>
    <x v="0"/>
    <x v="1"/>
    <x v="0"/>
    <m/>
  </r>
  <r>
    <s v="Factura electrónica"/>
    <s v="a37f60aa0f4bec0c6a3ad5b04876e8c9d351e74e45248ca7e06e209c7c9246681ecb9875cf1194d9c6b22e63740cc151"/>
    <x v="1284"/>
    <n v="-1"/>
    <s v="FVE"/>
    <s v="16-02-2026"/>
    <s v="16-02-2026 14:53:21"/>
    <s v="900800595"/>
    <s v="Provexpress SAS"/>
    <s v="901345524"/>
    <x v="582"/>
    <n v="7581760"/>
    <n v="0"/>
    <n v="0"/>
    <n v="47485760"/>
    <s v="Aprobado con notificación"/>
    <s v="Emitido"/>
    <x v="0"/>
    <x v="0"/>
    <x v="1"/>
    <x v="0"/>
    <x v="1"/>
    <x v="0"/>
    <m/>
  </r>
  <r>
    <s v="Factura electrónica"/>
    <s v="ec54f280afa89de6b7a761a0863e7314b33f6d319b6e0c4ffc02d4d10b9d20aaa7d2d07043f52c0485756bb6c2ddb695"/>
    <x v="1285"/>
    <n v="-1"/>
    <s v="FVE"/>
    <s v="16-02-2026"/>
    <s v="16-02-2026 14:53:23"/>
    <s v="900800595"/>
    <s v="Provexpress SAS"/>
    <s v="900682841"/>
    <x v="22"/>
    <n v="0"/>
    <n v="0"/>
    <n v="0"/>
    <n v="1916667"/>
    <s v="Aprobado con notificación"/>
    <s v="Emitido"/>
    <x v="0"/>
    <x v="0"/>
    <x v="1"/>
    <x v="0"/>
    <x v="1"/>
    <x v="0"/>
    <m/>
  </r>
  <r>
    <s v="Factura electrónica"/>
    <s v="b2427839cfd4a6ee5f9279203286da6902d94c74aec89b2456599d775ca429873240ef25de9467eb0ccbe33ca12a519a"/>
    <x v="1286"/>
    <n v="-1"/>
    <s v="FVE"/>
    <s v="16-02-2026"/>
    <s v="16-02-2026 14:53:27"/>
    <s v="900800595"/>
    <s v="Provexpress SAS"/>
    <s v="860525156"/>
    <x v="6"/>
    <n v="679094.01"/>
    <n v="0"/>
    <n v="0"/>
    <n v="4253273.01"/>
    <s v="Aprobado con notificación"/>
    <s v="Emitido"/>
    <x v="0"/>
    <x v="0"/>
    <x v="1"/>
    <x v="0"/>
    <x v="1"/>
    <x v="0"/>
    <m/>
  </r>
  <r>
    <s v="Factura electrónica"/>
    <s v="2440e33ffcce339925168e97e919a378fbd042def8d195f933d101cc8bb4834651989858f6b094cda0738a336e07c526"/>
    <x v="1287"/>
    <n v="-1"/>
    <s v="FVE"/>
    <s v="16-02-2026"/>
    <s v="16-02-2026 14:55:12"/>
    <s v="900800595"/>
    <s v="Provexpress SAS"/>
    <s v="860525156"/>
    <x v="6"/>
    <n v="679094.01"/>
    <n v="0"/>
    <n v="0"/>
    <n v="4253273.01"/>
    <s v="Aprobado con notificación"/>
    <s v="Emitido"/>
    <x v="0"/>
    <x v="0"/>
    <x v="1"/>
    <x v="0"/>
    <x v="1"/>
    <x v="0"/>
    <m/>
  </r>
  <r>
    <s v="Factura electrónica"/>
    <s v="a9aa392e57b9ec628b219b77dcde22e2238ac7b13b8bd6a0767c16d2895177e5dea520f8128a9c487b35b19eec4bba2b"/>
    <x v="1288"/>
    <n v="-1"/>
    <s v="FVE"/>
    <s v="16-02-2026"/>
    <s v="16-02-2026 14:53:42"/>
    <s v="900800595"/>
    <s v="Provexpress SAS"/>
    <s v="830021423"/>
    <x v="297"/>
    <n v="141550"/>
    <n v="0"/>
    <n v="0"/>
    <n v="886550"/>
    <s v="Aprobado con notificación"/>
    <s v="Emitido"/>
    <x v="0"/>
    <x v="0"/>
    <x v="1"/>
    <x v="0"/>
    <x v="1"/>
    <x v="0"/>
    <m/>
  </r>
  <r>
    <s v="Factura electrónica"/>
    <s v="ba2a200673be7e0bb3d74ff12c47eacf0a121bc0b40ec1c5d2ba8fd4213b30d10a53d47dfae153600f13b37fbb3ed3dd"/>
    <x v="1289"/>
    <n v="-1"/>
    <s v="FVE"/>
    <s v="16-02-2026"/>
    <s v="16-02-2026 14:53:57"/>
    <s v="900800595"/>
    <s v="Provexpress SAS"/>
    <s v="901371316"/>
    <x v="330"/>
    <n v="0"/>
    <n v="0"/>
    <n v="0"/>
    <n v="999000"/>
    <s v="Aprobado con notificación"/>
    <s v="Emitido"/>
    <x v="1"/>
    <x v="0"/>
    <x v="1"/>
    <x v="0"/>
    <x v="0"/>
    <x v="0"/>
    <m/>
  </r>
  <r>
    <s v="Factura electrónica"/>
    <s v="7918294e8bb380500fa32133da6b355f8cc8f3c01b4c08d030240899d8431e6151decd4809fe312170f4437280f782d3"/>
    <x v="1290"/>
    <n v="-1"/>
    <s v="FVE"/>
    <s v="16-02-2026"/>
    <s v="16-02-2026 14:54:00"/>
    <s v="900800595"/>
    <s v="Provexpress SAS"/>
    <s v="800149149"/>
    <x v="352"/>
    <n v="682020.2"/>
    <n v="0"/>
    <n v="0"/>
    <n v="4271600.2"/>
    <s v="Aprobado con notificación"/>
    <s v="Emitido"/>
    <x v="0"/>
    <x v="0"/>
    <x v="1"/>
    <x v="0"/>
    <x v="1"/>
    <x v="0"/>
    <m/>
  </r>
  <r>
    <s v="Factura electrónica"/>
    <s v="cca8ede0705ffaea8a43b9e524f01322163e9958d309b502d5b51a5e3a36fe779ce2f27f8bae90fa1a66e71e3677843b"/>
    <x v="1291"/>
    <n v="-1"/>
    <s v="FVE"/>
    <s v="16-02-2026"/>
    <s v="16-02-2026 14:55:11"/>
    <s v="900800595"/>
    <s v="Provexpress SAS"/>
    <s v="860002566"/>
    <x v="54"/>
    <n v="128820"/>
    <n v="0"/>
    <n v="0"/>
    <n v="806820"/>
    <s v="Aprobado con notificación"/>
    <s v="Emitido"/>
    <x v="0"/>
    <x v="0"/>
    <x v="1"/>
    <x v="0"/>
    <x v="1"/>
    <x v="0"/>
    <m/>
  </r>
  <r>
    <s v="Factura electrónica"/>
    <s v="33594b108e5ce7d257430490738d1367fa4176136fbb0b6d99f0518eb78af79c68ef21451dd8837d1d8be67d14d74c3b"/>
    <x v="1292"/>
    <n v="-1"/>
    <s v="FVE"/>
    <s v="16-02-2026"/>
    <s v="16-02-2026 14:55:12"/>
    <s v="900800595"/>
    <s v="Provexpress SAS"/>
    <s v="830080641"/>
    <x v="110"/>
    <n v="101840"/>
    <n v="0"/>
    <n v="0"/>
    <n v="637840"/>
    <s v="Aprobado con notificación"/>
    <s v="Emitido"/>
    <x v="0"/>
    <x v="0"/>
    <x v="0"/>
    <x v="0"/>
    <x v="0"/>
    <x v="0"/>
    <m/>
  </r>
  <r>
    <s v="Factura electrónica"/>
    <s v="f747f0a6883edac7ac31eaf07f02b3bba46287d21aed2ad8e386a6ef56a7d174a3f8329387e9fa83deebf924b03ec49c"/>
    <x v="1293"/>
    <n v="-1"/>
    <s v="FVE"/>
    <s v="16-02-2026"/>
    <s v="16-02-2026 14:54:16"/>
    <s v="900800595"/>
    <s v="Provexpress SAS"/>
    <s v="860536003"/>
    <x v="225"/>
    <n v="57000"/>
    <n v="0"/>
    <n v="0"/>
    <n v="357000"/>
    <s v="Aprobado con notificación"/>
    <s v="Emitido"/>
    <x v="0"/>
    <x v="0"/>
    <x v="1"/>
    <x v="0"/>
    <x v="1"/>
    <x v="0"/>
    <m/>
  </r>
  <r>
    <s v="Factura electrónica"/>
    <s v="373991ec7b6067561a26584c1e1eb08b4088d5bc83ffc9f267d61cef90a48fd27f0dd14dfae1b17329cec52824e2c027"/>
    <x v="1294"/>
    <n v="-1"/>
    <s v="FVE"/>
    <s v="16-02-2026"/>
    <s v="16-02-2026 15:05:51"/>
    <s v="900800595"/>
    <s v="Provexpress SAS"/>
    <s v="901454191"/>
    <x v="379"/>
    <n v="73292.5"/>
    <n v="0"/>
    <n v="0"/>
    <n v="459042.5"/>
    <s v="Aprobado con notificación"/>
    <s v="Emitido"/>
    <x v="0"/>
    <x v="0"/>
    <x v="1"/>
    <x v="0"/>
    <x v="0"/>
    <x v="1"/>
    <s v="PAGA 18/02/2026"/>
  </r>
  <r>
    <s v="Factura electrónica"/>
    <s v="bccaa83aba225035e2227959b5d4c5fbbc0d1b7a6f9a37437cbd7d3d1bd1a6045f98487b2362d9bae7f3e907abbc95dd"/>
    <x v="1295"/>
    <n v="-1"/>
    <s v="FVE"/>
    <s v="16-02-2026"/>
    <s v="16-02-2026 15:05:54"/>
    <s v="900800595"/>
    <s v="Provexpress SAS"/>
    <s v="830022818"/>
    <x v="192"/>
    <n v="1041960"/>
    <n v="0"/>
    <n v="0"/>
    <n v="6525960"/>
    <s v="Aprobado con notificación"/>
    <s v="Emitido"/>
    <x v="0"/>
    <x v="0"/>
    <x v="1"/>
    <x v="0"/>
    <x v="1"/>
    <x v="0"/>
    <m/>
  </r>
  <r>
    <s v="Factura electrónica"/>
    <s v="18c8b211041a6020f52bbca071318d9e052d5d81fbfd9505323005363d2699684a1dfc4300a42c8e042f5ee6e613a4a2"/>
    <x v="1296"/>
    <n v="-1"/>
    <s v="FVE"/>
    <s v="16-02-2026"/>
    <s v="16-02-2026 15:07:32"/>
    <s v="900800595"/>
    <s v="Provexpress SAS"/>
    <s v="805001632"/>
    <x v="428"/>
    <n v="844422.7"/>
    <n v="0"/>
    <n v="0"/>
    <n v="5288752.7"/>
    <s v="Aprobado con notificación"/>
    <s v="Emitido"/>
    <x v="0"/>
    <x v="0"/>
    <x v="1"/>
    <x v="0"/>
    <x v="1"/>
    <x v="0"/>
    <m/>
  </r>
  <r>
    <s v="Factura electrónica"/>
    <s v="a95da1cbe737d0c7b9a73eca3a1bbc985f83b450ec0d130a8b88b041e102f3aa2ce35183990aa91d8dc45cfb0afc00d5"/>
    <x v="1297"/>
    <n v="-1"/>
    <s v="FVE"/>
    <s v="16-02-2026"/>
    <s v="16-02-2026 15:17:16"/>
    <s v="900800595"/>
    <s v="Provexpress SAS"/>
    <s v="800208834"/>
    <x v="583"/>
    <n v="844422.7"/>
    <n v="0"/>
    <n v="0"/>
    <n v="5288752.7"/>
    <s v="Aprobado con notificación"/>
    <s v="Emitido"/>
    <x v="0"/>
    <x v="0"/>
    <x v="1"/>
    <x v="0"/>
    <x v="1"/>
    <x v="0"/>
    <m/>
  </r>
  <r>
    <s v="Factura electrónica"/>
    <s v="b7da4675523b2205b3fbca523dfc3b1b94b051c48be7bff2ea586f32767690a7e749ab5707a7f410aee800a956182c18"/>
    <x v="1298"/>
    <n v="-1"/>
    <s v="FVE"/>
    <s v="16-02-2026"/>
    <s v="16-02-2026 15:18:18"/>
    <s v="900800595"/>
    <s v="Provexpress SAS"/>
    <s v="805011478"/>
    <x v="584"/>
    <n v="252700"/>
    <n v="0"/>
    <n v="0"/>
    <n v="1582700"/>
    <s v="Aprobado con notificación"/>
    <s v="Emitido"/>
    <x v="0"/>
    <x v="0"/>
    <x v="1"/>
    <x v="0"/>
    <x v="1"/>
    <x v="0"/>
    <m/>
  </r>
  <r>
    <s v="Factura electrónica"/>
    <s v="83e64d96b1137c29486807d2515530c4541564846361ffebcc9d121fbf2649df64230ceda53e112f98d2a9a6ac41645b"/>
    <x v="1299"/>
    <n v="-1"/>
    <s v="FVE"/>
    <s v="16-02-2026"/>
    <s v="16-02-2026 15:17:22"/>
    <s v="900800595"/>
    <s v="Provexpress SAS"/>
    <s v="900824185"/>
    <x v="555"/>
    <n v="733590"/>
    <n v="0"/>
    <n v="0"/>
    <n v="4594590"/>
    <s v="Aprobado con notificación"/>
    <s v="Emitido"/>
    <x v="1"/>
    <x v="0"/>
    <x v="1"/>
    <x v="0"/>
    <x v="0"/>
    <x v="0"/>
    <m/>
  </r>
  <r>
    <s v="Factura electrónica"/>
    <s v="465a75f798a7abf9805f307925daa81222fd15cabe155266979342d87abbffc985e8d75a5ad4e8a7bda79d5e2c7be240"/>
    <x v="1300"/>
    <n v="-1"/>
    <s v="FVE"/>
    <s v="16-02-2026"/>
    <s v="16-02-2026 15:17:24"/>
    <s v="900800595"/>
    <s v="Provexpress SAS"/>
    <s v="860030551"/>
    <x v="585"/>
    <n v="330772.52"/>
    <n v="0"/>
    <n v="0"/>
    <n v="2071680.52"/>
    <s v="Aprobado con notificación"/>
    <s v="Emitido"/>
    <x v="0"/>
    <x v="0"/>
    <x v="1"/>
    <x v="0"/>
    <x v="1"/>
    <x v="0"/>
    <m/>
  </r>
  <r>
    <s v="Factura electrónica"/>
    <s v="5a2a002dd0dc478d047e3ede6888840f7ef87df8df535696469245d94ffb45da90436e0f3ea1a55689120611836e91d6"/>
    <x v="1301"/>
    <n v="-1"/>
    <s v="FVE"/>
    <s v="16-02-2026"/>
    <s v="16-02-2026 15:17:29"/>
    <s v="900800595"/>
    <s v="Provexpress SAS"/>
    <s v="900483711"/>
    <x v="430"/>
    <n v="17239.84"/>
    <n v="0"/>
    <n v="0"/>
    <n v="107975.84"/>
    <s v="Aprobado con notificación"/>
    <s v="Emitido"/>
    <x v="1"/>
    <x v="0"/>
    <x v="1"/>
    <x v="0"/>
    <x v="0"/>
    <x v="0"/>
    <m/>
  </r>
  <r>
    <s v="Factura electrónica"/>
    <s v="5eb171545d04fa50326110ba7ed5fa9be652c36ed3fc5aedc3f823fa875cf32c4b3174cf7b66197718c370778f715ade"/>
    <x v="1302"/>
    <n v="-1"/>
    <s v="FVE"/>
    <s v="16-02-2026"/>
    <s v="16-02-2026 15:30:26"/>
    <s v="900800595"/>
    <s v="Provexpress SAS"/>
    <s v="860005050"/>
    <x v="586"/>
    <n v="169013.55"/>
    <n v="0"/>
    <n v="0"/>
    <n v="1058558.55"/>
    <s v="Aprobado con notificación"/>
    <s v="Emitido"/>
    <x v="1"/>
    <x v="0"/>
    <x v="1"/>
    <x v="0"/>
    <x v="0"/>
    <x v="0"/>
    <m/>
  </r>
  <r>
    <s v="Factura electrónica"/>
    <s v="4aa390f36a16a916d894f1593e287d6a9b4bc05000429c2452b7fad9004a8ac8e4df2ea104f216245aa62eb545e95035"/>
    <x v="1303"/>
    <n v="-1"/>
    <s v="FVE"/>
    <s v="16-02-2026"/>
    <s v="16-02-2026 15:30:31"/>
    <s v="900800595"/>
    <s v="Provexpress SAS"/>
    <s v="813008120"/>
    <x v="587"/>
    <n v="86289.26"/>
    <n v="0"/>
    <n v="0"/>
    <n v="4987251.26"/>
    <s v="Aprobado con notificación"/>
    <s v="Emitido"/>
    <x v="1"/>
    <x v="0"/>
    <x v="1"/>
    <x v="0"/>
    <x v="0"/>
    <x v="0"/>
    <m/>
  </r>
  <r>
    <s v="Factura electrónica"/>
    <s v="e71db96395af87675bfb872b163c56986635a77e770f845b5b5d8e8ce8337cc490a559c161450ddebaa568e325e54c05"/>
    <x v="1304"/>
    <n v="-1"/>
    <s v="FVE"/>
    <s v="16-02-2026"/>
    <s v="16-02-2026 15:41:46"/>
    <s v="900800595"/>
    <s v="Provexpress SAS"/>
    <s v="901999619"/>
    <x v="588"/>
    <n v="258867.78"/>
    <n v="0"/>
    <n v="0"/>
    <n v="14961753.779999999"/>
    <s v="Aprobado con notificación"/>
    <s v="Emitido"/>
    <x v="0"/>
    <x v="0"/>
    <x v="1"/>
    <x v="0"/>
    <x v="1"/>
    <x v="0"/>
    <m/>
  </r>
  <r>
    <s v="Factura electrónica"/>
    <s v="acd7f381a7fbe38eaa976c9f686fcf0596f288fc946a1a5fc6355e0df7a8ac6f8fdbcd34dfd20cdc14a5fb499d307d2f"/>
    <x v="1305"/>
    <n v="-1"/>
    <s v="FVE"/>
    <s v="16-02-2026"/>
    <s v="16-02-2026 15:41:49"/>
    <s v="900800595"/>
    <s v="Provexpress SAS"/>
    <s v="902017521"/>
    <x v="589"/>
    <n v="302012.40999999997"/>
    <n v="0"/>
    <n v="0"/>
    <n v="17455379.41"/>
    <s v="Aprobado con notificación"/>
    <s v="Emitido"/>
    <x v="0"/>
    <x v="0"/>
    <x v="1"/>
    <x v="0"/>
    <x v="1"/>
    <x v="0"/>
    <m/>
  </r>
  <r>
    <s v="Factura electrónica"/>
    <s v="bc82a742465e3a0baa28d455a94e48ff48210d7066c46dad9a66be6c0a98555ba1f6b610374bf78e64b013592f82ed21"/>
    <x v="1306"/>
    <n v="-1"/>
    <s v="FVE"/>
    <s v="16-02-2026"/>
    <s v="16-02-2026 15:41:52"/>
    <s v="900800595"/>
    <s v="Provexpress SAS"/>
    <s v="900822643"/>
    <x v="429"/>
    <n v="14762968.65"/>
    <n v="0"/>
    <n v="0"/>
    <n v="92462803.650000006"/>
    <s v="Aprobado con notificación"/>
    <s v="Emitido"/>
    <x v="0"/>
    <x v="0"/>
    <x v="1"/>
    <x v="0"/>
    <x v="0"/>
    <x v="1"/>
    <s v="PAGA 27/02/2026"/>
  </r>
  <r>
    <s v="Factura electrónica"/>
    <s v="3fd2d2ede1dd7326b5f53be26b7209653539c4e6f22f4ec167670f325bb3d524f0694a0aba42a633e867620309c236dc"/>
    <x v="1307"/>
    <n v="-1"/>
    <s v="FVE"/>
    <s v="16-02-2026"/>
    <s v="16-02-2026 15:44:09"/>
    <s v="900800595"/>
    <s v="Provexpress SAS"/>
    <s v="817001528"/>
    <x v="590"/>
    <n v="15732"/>
    <n v="0"/>
    <n v="0"/>
    <n v="98532"/>
    <s v="Aprobado con notificación"/>
    <s v="Emitido"/>
    <x v="1"/>
    <x v="0"/>
    <x v="1"/>
    <x v="0"/>
    <x v="0"/>
    <x v="0"/>
    <m/>
  </r>
  <r>
    <s v="Factura electrónica"/>
    <s v="391a80c1fbd94d1157fcd015182dd673cf3b1767e90ca15863c546eb801b7b3656e77ffd123fdb2886e7a8f4d2ece1c8"/>
    <x v="1308"/>
    <n v="-1"/>
    <s v="FVE"/>
    <s v="16-02-2026"/>
    <s v="16-02-2026 15:54:07"/>
    <s v="900800595"/>
    <s v="Provexpress SAS"/>
    <s v="860031361"/>
    <x v="147"/>
    <n v="25650"/>
    <n v="0"/>
    <n v="0"/>
    <n v="160650"/>
    <s v="Aprobado con notificación"/>
    <s v="Emitido"/>
    <x v="0"/>
    <x v="0"/>
    <x v="1"/>
    <x v="0"/>
    <x v="1"/>
    <x v="0"/>
    <m/>
  </r>
  <r>
    <s v="Factura electrónica"/>
    <s v="2831dd098b9cccfbe6d3fc57efd4e51b6678548d2c49f479be759af045c17eea536ba080231d4f39d88b82b9a1b8ac11"/>
    <x v="1309"/>
    <n v="-1"/>
    <s v="FVE"/>
    <s v="16-02-2026"/>
    <s v="16-02-2026 15:54:08"/>
    <s v="900800595"/>
    <s v="Provexpress SAS"/>
    <s v="860001074"/>
    <x v="591"/>
    <n v="62700"/>
    <n v="0"/>
    <n v="0"/>
    <n v="392700"/>
    <s v="Aprobado con notificación"/>
    <s v="Emitido"/>
    <x v="0"/>
    <x v="0"/>
    <x v="1"/>
    <x v="0"/>
    <x v="1"/>
    <x v="0"/>
    <m/>
  </r>
  <r>
    <s v="Factura electrónica"/>
    <s v="9e0fa63f0a63664c7fbafc319769c2e0eb5b6512deceeedc9230b3b09cb295196ac588a179c18ecddffeb5d9451fab05"/>
    <x v="1310"/>
    <n v="-1"/>
    <s v="FVE"/>
    <s v="16-02-2026"/>
    <s v="16-02-2026 15:54:09"/>
    <s v="900800595"/>
    <s v="Provexpress SAS"/>
    <s v="901273335"/>
    <x v="592"/>
    <n v="0"/>
    <n v="0"/>
    <n v="0"/>
    <n v="3216000"/>
    <s v="Aprobado con notificación"/>
    <s v="Emitido"/>
    <x v="0"/>
    <x v="0"/>
    <x v="1"/>
    <x v="0"/>
    <x v="1"/>
    <x v="0"/>
    <m/>
  </r>
  <r>
    <s v="Factura electrónica"/>
    <s v="cb14913dce0e9964b276b9ff908b8cf3ad50a5577ae7f9e0a461c12c46119a3f1b4c99e538a8e0174432a90984f69a04"/>
    <x v="1311"/>
    <n v="-1"/>
    <s v="FVE"/>
    <s v="16-02-2026"/>
    <s v="16-02-2026 15:54:09"/>
    <s v="900800595"/>
    <s v="Provexpress SAS"/>
    <s v="830511597"/>
    <x v="593"/>
    <n v="140410"/>
    <n v="0"/>
    <n v="0"/>
    <n v="879410"/>
    <s v="Aprobado con notificación"/>
    <s v="Emitido"/>
    <x v="1"/>
    <x v="0"/>
    <x v="1"/>
    <x v="0"/>
    <x v="0"/>
    <x v="0"/>
    <m/>
  </r>
  <r>
    <s v="Factura electrónica"/>
    <s v="81b13b4b04bce4cbf8a754cfe29675d4ac1f9eb4a1a09f395d95b07d68b4e1c0909a05c1a9f8218ad3466c18ee5fbf5e"/>
    <x v="1312"/>
    <n v="-1"/>
    <s v="FVE"/>
    <s v="16-02-2026"/>
    <s v="16-02-2026 15:54:12"/>
    <s v="900800595"/>
    <s v="Provexpress SAS"/>
    <s v="811033238"/>
    <x v="594"/>
    <n v="431870"/>
    <n v="0"/>
    <n v="0"/>
    <n v="2704870"/>
    <s v="Aprobado con notificación"/>
    <s v="Emitido"/>
    <x v="0"/>
    <x v="0"/>
    <x v="0"/>
    <x v="0"/>
    <x v="0"/>
    <x v="0"/>
    <m/>
  </r>
  <r>
    <s v="Factura electrónica"/>
    <s v="bf49ef9fa7c0a8c39b533252dd057c357e331c438b4c9ec8077d6025c7151053fc7cb69ac24fbb8bff5001a217f93e99"/>
    <x v="1313"/>
    <n v="-1"/>
    <s v="FVE"/>
    <s v="16-02-2026"/>
    <s v="16-02-2026 15:54:14"/>
    <s v="900800595"/>
    <s v="Provexpress SAS"/>
    <s v="830123869"/>
    <x v="595"/>
    <n v="140828"/>
    <n v="0"/>
    <n v="0"/>
    <n v="882028"/>
    <s v="Aprobado con notificación"/>
    <s v="Emitido"/>
    <x v="1"/>
    <x v="0"/>
    <x v="1"/>
    <x v="0"/>
    <x v="0"/>
    <x v="0"/>
    <m/>
  </r>
  <r>
    <s v="Factura electrónica"/>
    <s v="4726fedf128d596d50bbd656b8e5ed51ff518c6c08931260c7a77915642cbd615c0e828f028626a1bbd25ebbde375964"/>
    <x v="1314"/>
    <n v="-1"/>
    <s v="FVE"/>
    <s v="16-02-2026"/>
    <s v="16-02-2026 15:54:17"/>
    <s v="900800595"/>
    <s v="Provexpress SAS"/>
    <s v="800019102"/>
    <x v="271"/>
    <n v="97179.3"/>
    <n v="0"/>
    <n v="0"/>
    <n v="608649.30000000005"/>
    <s v="Aprobado con notificación"/>
    <s v="Emitido"/>
    <x v="0"/>
    <x v="0"/>
    <x v="0"/>
    <x v="0"/>
    <x v="0"/>
    <x v="0"/>
    <m/>
  </r>
  <r>
    <s v="Factura electrónica"/>
    <s v="2c5882f1e80e9a7034762a86c3ebdb24d82ed67c16db025b401860ae1e8602706f63d06739369119fd5527ef71408cc6"/>
    <x v="1315"/>
    <n v="-1"/>
    <s v="FVE"/>
    <s v="16-02-2026"/>
    <s v="16-02-2026 15:54:17"/>
    <s v="900800595"/>
    <s v="Provexpress SAS"/>
    <s v="900353873"/>
    <x v="596"/>
    <n v="2765811"/>
    <n v="0"/>
    <n v="0"/>
    <n v="17322711"/>
    <s v="Aprobado con notificación"/>
    <s v="Emitido"/>
    <x v="1"/>
    <x v="0"/>
    <x v="1"/>
    <x v="0"/>
    <x v="0"/>
    <x v="0"/>
    <m/>
  </r>
  <r>
    <s v="Factura electrónica"/>
    <s v="1faf35f672ebb725a786c2b9c1a2ba1e97563e956128149db10cefe311f30c8a64e1430bf01f77f4665f29b59aaeca0e"/>
    <x v="1316"/>
    <n v="-1"/>
    <s v="FVE"/>
    <s v="16-02-2026"/>
    <s v="16-02-2026 16:06:14"/>
    <s v="900800595"/>
    <s v="Provexpress SAS"/>
    <s v="900189945"/>
    <x v="277"/>
    <n v="92758"/>
    <n v="0"/>
    <n v="0"/>
    <n v="580958"/>
    <s v="Aprobado con notificación"/>
    <s v="Emitido"/>
    <x v="0"/>
    <x v="0"/>
    <x v="1"/>
    <x v="0"/>
    <x v="1"/>
    <x v="0"/>
    <m/>
  </r>
  <r>
    <s v="Factura electrónica"/>
    <s v="5d693a3b821bdb9a7f9e3aa8deb67834b1cde3f173e7d7268b88fd425edda52d05a152bc472c6e48c976d362c7863024"/>
    <x v="1317"/>
    <n v="-1"/>
    <s v="FVE"/>
    <s v="16-02-2026"/>
    <s v="16-02-2026 16:06:20"/>
    <s v="900800595"/>
    <s v="Provexpress SAS"/>
    <s v="901681272"/>
    <x v="380"/>
    <n v="16169"/>
    <n v="0"/>
    <n v="0"/>
    <n v="101269"/>
    <s v="Aprobado con notificación"/>
    <s v="Emitido"/>
    <x v="0"/>
    <x v="0"/>
    <x v="1"/>
    <x v="0"/>
    <x v="0"/>
    <x v="1"/>
    <s v="PAGA 26/02/2026"/>
  </r>
  <r>
    <s v="Factura electrónica"/>
    <s v="185506fc7f30b57612cf072c75a6cbb9b4b12eeb4817fd96556e8cabaaa2943dac4f462ec990f64c5d48df54a65966bf"/>
    <x v="1318"/>
    <n v="-1"/>
    <s v="FVE"/>
    <s v="16-02-2026"/>
    <s v="16-02-2026 16:06:28"/>
    <s v="900800595"/>
    <s v="Provexpress SAS"/>
    <s v="830109997"/>
    <x v="66"/>
    <n v="3602400"/>
    <n v="0"/>
    <n v="0"/>
    <n v="22562400"/>
    <s v="Aprobado con notificación"/>
    <s v="Emitido"/>
    <x v="0"/>
    <x v="0"/>
    <x v="1"/>
    <x v="0"/>
    <x v="1"/>
    <x v="0"/>
    <m/>
  </r>
  <r>
    <s v="Factura electrónica"/>
    <s v="6df63b45861767aaa5457cd02569f8d07d46fcc4b5d64e444c64740f902b4dd4abb5e25d5d2a64c67843d970c8cd812f"/>
    <x v="1319"/>
    <n v="-1"/>
    <s v="FVE"/>
    <s v="16-02-2026"/>
    <s v="16-02-2026 16:06:36"/>
    <s v="900800595"/>
    <s v="Provexpress SAS"/>
    <s v="830073329"/>
    <x v="597"/>
    <n v="654151"/>
    <n v="0"/>
    <n v="0"/>
    <n v="4097051"/>
    <s v="Aprobado con notificación"/>
    <s v="Emitido"/>
    <x v="0"/>
    <x v="0"/>
    <x v="1"/>
    <x v="0"/>
    <x v="1"/>
    <x v="0"/>
    <m/>
  </r>
  <r>
    <s v="Factura electrónica"/>
    <s v="7316c0269fb62da3223f73ad5a787b6cf1cc1c7b845072fe5b6523186f110f5859b32e6470ba7fdf3fc85a7cc85d5348"/>
    <x v="1320"/>
    <n v="-1"/>
    <s v="FVE"/>
    <s v="16-02-2026"/>
    <s v="16-02-2026 16:06:42"/>
    <s v="900800595"/>
    <s v="Provexpress SAS"/>
    <s v="860063830"/>
    <x v="598"/>
    <n v="3087500"/>
    <n v="0"/>
    <n v="0"/>
    <n v="19337500"/>
    <s v="Aprobado con notificación"/>
    <s v="Emitido"/>
    <x v="0"/>
    <x v="0"/>
    <x v="1"/>
    <x v="0"/>
    <x v="1"/>
    <x v="0"/>
    <m/>
  </r>
  <r>
    <s v="Factura electrónica"/>
    <s v="a365faa25e7df64c3f53c7f06736fec7f9b92a5449131d9f012ae89e3ea59f990857cc9c9bc5d5ac3f379f9a6bd2aa7d"/>
    <x v="1321"/>
    <n v="-1"/>
    <s v="FVE"/>
    <s v="16-02-2026"/>
    <s v="16-02-2026 16:21:15"/>
    <s v="900800595"/>
    <s v="Provexpress SAS"/>
    <s v="900459737"/>
    <x v="599"/>
    <n v="281361.5"/>
    <n v="0"/>
    <n v="0"/>
    <n v="1762211.5"/>
    <s v="Aprobado con notificación"/>
    <s v="Emitido"/>
    <x v="0"/>
    <x v="0"/>
    <x v="0"/>
    <x v="0"/>
    <x v="0"/>
    <x v="0"/>
    <m/>
  </r>
  <r>
    <s v="Factura electrónica"/>
    <s v="8d28f94b6a63d303f3cf559d0560ec2c25fe125f35cd65b0917bd318f0eea128c2157dd790b8d698ba4f3be125b074d7"/>
    <x v="1322"/>
    <n v="-1"/>
    <s v="FVE"/>
    <s v="16-02-2026"/>
    <s v="16-02-2026 16:20:15"/>
    <s v="900800595"/>
    <s v="Provexpress SAS"/>
    <s v="901122393"/>
    <x v="452"/>
    <n v="222300"/>
    <n v="0"/>
    <n v="0"/>
    <n v="1392300"/>
    <s v="Aprobado con notificación"/>
    <s v="Emitido"/>
    <x v="0"/>
    <x v="0"/>
    <x v="1"/>
    <x v="0"/>
    <x v="1"/>
    <x v="0"/>
    <m/>
  </r>
  <r>
    <s v="Factura electrónica"/>
    <s v="8563d5a0038b9ce10336295bb6aba31a4a9d9c64bb5734ec96ae18b2de029a31867c690b0cd472666dd837b293d79793"/>
    <x v="1323"/>
    <n v="-1"/>
    <s v="FVE"/>
    <s v="16-02-2026"/>
    <s v="16-02-2026 16:20:19"/>
    <s v="900800595"/>
    <s v="Provexpress SAS"/>
    <s v="800129465"/>
    <x v="600"/>
    <n v="47500"/>
    <n v="0"/>
    <n v="0"/>
    <n v="297500"/>
    <s v="Aprobado con notificación"/>
    <s v="Emitido"/>
    <x v="0"/>
    <x v="0"/>
    <x v="1"/>
    <x v="0"/>
    <x v="1"/>
    <x v="0"/>
    <m/>
  </r>
  <r>
    <s v="Factura electrónica"/>
    <s v="04594fe2f1ad2bffa388e63dba38d8a501b1bf4370e40a7a6b6e808909c4318658fe97bf1cb4e889ba620383b067d6e6"/>
    <x v="1324"/>
    <n v="-1"/>
    <s v="FVE"/>
    <s v="16-02-2026"/>
    <s v="16-02-2026 16:34:02"/>
    <s v="900800595"/>
    <s v="Provexpress SAS"/>
    <s v="900301478"/>
    <x v="601"/>
    <n v="266000"/>
    <n v="0"/>
    <n v="0"/>
    <n v="1666000"/>
    <s v="Aprobado con notificación"/>
    <s v="Emitido"/>
    <x v="0"/>
    <x v="0"/>
    <x v="1"/>
    <x v="1"/>
    <x v="0"/>
    <x v="0"/>
    <m/>
  </r>
  <r>
    <s v="Factura electrónica"/>
    <s v="7f3bd3f512423b6ccf3c0488cc87d2d76be016150d1da9b790d7d0588625362981b396024da71e08c767deaa690c1f5a"/>
    <x v="1325"/>
    <n v="-1"/>
    <s v="FVE"/>
    <s v="16-02-2026"/>
    <s v="16-02-2026 16:34:08"/>
    <s v="900800595"/>
    <s v="Provexpress SAS"/>
    <s v="891856718"/>
    <x v="602"/>
    <n v="3127065.41"/>
    <n v="0"/>
    <n v="0"/>
    <n v="19585304.41"/>
    <s v="Aprobado con notificación"/>
    <s v="Emitido"/>
    <x v="0"/>
    <x v="0"/>
    <x v="1"/>
    <x v="0"/>
    <x v="1"/>
    <x v="0"/>
    <m/>
  </r>
  <r>
    <s v="Factura electrónica"/>
    <s v="0734f3f0ec86f4f09d530ac6de23a1f6db4266f2451c8bbe255d44d34999e4083c553937e9010a3254175ce5fa1b7ca0"/>
    <x v="1326"/>
    <n v="-1"/>
    <s v="FVE"/>
    <s v="17-02-2026"/>
    <s v="17-02-2026 08:30:23"/>
    <s v="900800595"/>
    <s v="Provexpress SAS"/>
    <s v="860066942"/>
    <x v="603"/>
    <n v="534850"/>
    <n v="0"/>
    <n v="0"/>
    <n v="3349850"/>
    <s v="Aprobado con notificación"/>
    <s v="Emitido"/>
    <x v="1"/>
    <x v="0"/>
    <x v="1"/>
    <x v="0"/>
    <x v="0"/>
    <x v="0"/>
    <m/>
  </r>
  <r>
    <s v="Factura electrónica"/>
    <s v="8ff2c3a0c9aafa2f159ee0a5987f01a7ca34e3b0bf73306720ccb2ab2470713269dc9db66ce7ba127a1a26cc2b77461c"/>
    <x v="1327"/>
    <n v="-1"/>
    <s v="FVE"/>
    <s v="17-02-2026"/>
    <s v="17-02-2026 08:30:28"/>
    <s v="900800595"/>
    <s v="Provexpress SAS"/>
    <s v="860066942"/>
    <x v="603"/>
    <n v="12730"/>
    <n v="0"/>
    <n v="0"/>
    <n v="79730"/>
    <s v="Aprobado con notificación"/>
    <s v="Emitido"/>
    <x v="1"/>
    <x v="0"/>
    <x v="1"/>
    <x v="0"/>
    <x v="0"/>
    <x v="0"/>
    <m/>
  </r>
  <r>
    <s v="Factura electrónica"/>
    <s v="2c559e5778129ca9c211fada4e2e5f52802ea9ca74a1bf3253e4611e1afa46c34394d074c40a60ace59911b0957ea971"/>
    <x v="1328"/>
    <n v="-1"/>
    <s v="FVE"/>
    <s v="17-02-2026"/>
    <s v="17-02-2026 08:30:32"/>
    <s v="900800595"/>
    <s v="Provexpress SAS"/>
    <s v="860066942"/>
    <x v="603"/>
    <n v="104500"/>
    <n v="0"/>
    <n v="0"/>
    <n v="654500"/>
    <s v="Aprobado con notificación"/>
    <s v="Emitido"/>
    <x v="1"/>
    <x v="0"/>
    <x v="1"/>
    <x v="0"/>
    <x v="0"/>
    <x v="0"/>
    <m/>
  </r>
  <r>
    <s v="Factura electrónica"/>
    <s v="69e64ee475ee037521166e0b3f37fc576f828e88578aa4a5815b8062b868d25b41cec0071d438cdb7c6711e342b266ca"/>
    <x v="1329"/>
    <n v="-1"/>
    <s v="FVE"/>
    <s v="17-02-2026"/>
    <s v="17-02-2026 09:15:46"/>
    <s v="900800595"/>
    <s v="Provexpress SAS"/>
    <s v="900324784"/>
    <x v="339"/>
    <n v="7837.5"/>
    <n v="0"/>
    <n v="0"/>
    <n v="49087.5"/>
    <s v="Aprobado con notificación"/>
    <s v="Emitido"/>
    <x v="0"/>
    <x v="0"/>
    <x v="1"/>
    <x v="0"/>
    <x v="1"/>
    <x v="0"/>
    <m/>
  </r>
  <r>
    <s v="Factura electrónica"/>
    <s v="0f2d5eb4cda865454b0c6d698b1dd8c2d5e1f6e17edee056a65ada47a8503ecf0cfc0f3165d4bf142a03852783bea7f9"/>
    <x v="1330"/>
    <n v="-1"/>
    <s v="FVE"/>
    <s v="17-02-2026"/>
    <s v="17-02-2026 09:15:51"/>
    <s v="900800595"/>
    <s v="Provexpress SAS"/>
    <s v="900324784"/>
    <x v="339"/>
    <n v="9500"/>
    <n v="0"/>
    <n v="0"/>
    <n v="59500"/>
    <s v="Aprobado con notificación"/>
    <s v="Emitido"/>
    <x v="0"/>
    <x v="0"/>
    <x v="1"/>
    <x v="0"/>
    <x v="1"/>
    <x v="0"/>
    <m/>
  </r>
  <r>
    <s v="Factura electrónica"/>
    <s v="9540c8caff2d8f9b75c9a3169d1bc337a6245939270fe9a36988ebdda38586e49bc887456881fe4e962c1f9faa931d12"/>
    <x v="1331"/>
    <n v="-1"/>
    <s v="FVE"/>
    <s v="17-02-2026"/>
    <s v="17-02-2026 09:30:57"/>
    <s v="900800595"/>
    <s v="Provexpress SAS"/>
    <s v="901186367"/>
    <x v="604"/>
    <n v="4086900"/>
    <n v="0"/>
    <n v="0"/>
    <n v="25596900"/>
    <s v="Aprobado con notificación"/>
    <s v="Emitido"/>
    <x v="0"/>
    <x v="0"/>
    <x v="1"/>
    <x v="0"/>
    <x v="1"/>
    <x v="0"/>
    <m/>
  </r>
  <r>
    <s v="Factura electrónica"/>
    <s v="84a607f5387af931ef7d6a778b954934e0d244293aeff2611df627d73f6e8e5b6111d7681d9c92c88cce3e9220d9cccc"/>
    <x v="1332"/>
    <n v="-1"/>
    <s v="FVE"/>
    <s v="17-02-2026"/>
    <s v="17-02-2026 09:31:02"/>
    <s v="900800595"/>
    <s v="Provexpress SAS"/>
    <s v="800154155"/>
    <x v="559"/>
    <n v="3430975.35"/>
    <n v="0"/>
    <n v="0"/>
    <n v="21488740.350000001"/>
    <s v="Aprobado con notificación"/>
    <s v="Emitido"/>
    <x v="0"/>
    <x v="0"/>
    <x v="0"/>
    <x v="0"/>
    <x v="0"/>
    <x v="0"/>
    <m/>
  </r>
  <r>
    <s v="Factura electrónica"/>
    <s v="fc1ecb4aa70a32b378180379fc1978303703628e68f6e312b637262db41a4538955dba2df7db6338d66dfa7e241069a8"/>
    <x v="1333"/>
    <n v="-1"/>
    <s v="FVE"/>
    <s v="17-02-2026"/>
    <s v="17-02-2026 09:31:06"/>
    <s v="900800595"/>
    <s v="Provexpress SAS"/>
    <s v="860072279"/>
    <x v="86"/>
    <n v="3135"/>
    <n v="0"/>
    <n v="0"/>
    <n v="19635"/>
    <s v="Aprobado con notificación"/>
    <s v="Emitido"/>
    <x v="0"/>
    <x v="0"/>
    <x v="1"/>
    <x v="0"/>
    <x v="1"/>
    <x v="0"/>
    <m/>
  </r>
  <r>
    <s v="Factura electrónica"/>
    <s v="bd55ebbe773eb1929a025700ab7d62894122e2e0af52898e29c1c70fa67497acd8bba079499d37c98a4f3b78974c7a83"/>
    <x v="1334"/>
    <n v="-1"/>
    <s v="FVE"/>
    <s v="17-02-2026"/>
    <s v="17-02-2026 09:46:15"/>
    <s v="900800595"/>
    <s v="Provexpress SAS"/>
    <s v="860028238"/>
    <x v="605"/>
    <n v="114000"/>
    <n v="0"/>
    <n v="0"/>
    <n v="714000"/>
    <s v="Aprobado con notificación"/>
    <s v="Emitido"/>
    <x v="1"/>
    <x v="0"/>
    <x v="1"/>
    <x v="0"/>
    <x v="0"/>
    <x v="0"/>
    <m/>
  </r>
  <r>
    <s v="Factura electrónica"/>
    <s v="f252d76d4a525ed3f5d6d20b224d3510cd1190cd7e0b62f0699cd6424850b7038d1d779b1b6fe278c48d60b40a840ffd"/>
    <x v="1335"/>
    <n v="-1"/>
    <s v="FVE"/>
    <s v="17-02-2026"/>
    <s v="17-02-2026 09:46:19"/>
    <s v="900800595"/>
    <s v="Provexpress SAS"/>
    <s v="830513773"/>
    <x v="46"/>
    <n v="0"/>
    <n v="0"/>
    <n v="0"/>
    <n v="1062366"/>
    <s v="Aprobado con notificación"/>
    <s v="Emitido"/>
    <x v="0"/>
    <x v="0"/>
    <x v="1"/>
    <x v="0"/>
    <x v="1"/>
    <x v="0"/>
    <m/>
  </r>
  <r>
    <s v="Factura electrónica"/>
    <s v="177dbba8f5eba6d44e8415f0638eaf4e040be5ef8fa4b1d8f886d969ffe4b6b6be84be92084eb0a4143155d595cb3b2f"/>
    <x v="1336"/>
    <n v="-1"/>
    <s v="FVE"/>
    <s v="17-02-2026"/>
    <s v="17-02-2026 10:01:26"/>
    <s v="900800595"/>
    <s v="Provexpress SAS"/>
    <s v="860024586"/>
    <x v="606"/>
    <n v="49286"/>
    <n v="0"/>
    <n v="0"/>
    <n v="308686"/>
    <s v="Aprobado con notificación"/>
    <s v="Emitido"/>
    <x v="0"/>
    <x v="0"/>
    <x v="1"/>
    <x v="0"/>
    <x v="0"/>
    <x v="1"/>
    <s v="FACTURA PAGA 27/02/2026"/>
  </r>
  <r>
    <s v="Factura electrónica"/>
    <s v="aa3720963356068425b5a66edeac846ea49d8875ec99d3ce4359d6f59b54d01eaa0062c622c49c212b89c3e7bc7eceb9"/>
    <x v="1337"/>
    <n v="-1"/>
    <s v="FVE"/>
    <s v="17-02-2026"/>
    <s v="17-02-2026 10:16:32"/>
    <s v="900800595"/>
    <s v="Provexpress SAS"/>
    <s v="860028415"/>
    <x v="119"/>
    <n v="261964.78"/>
    <n v="0"/>
    <n v="0"/>
    <n v="1640726.78"/>
    <s v="Aprobado con notificación"/>
    <s v="Emitido"/>
    <x v="0"/>
    <x v="0"/>
    <x v="0"/>
    <x v="0"/>
    <x v="0"/>
    <x v="0"/>
    <m/>
  </r>
  <r>
    <s v="Factura electrónica"/>
    <s v="ed99f1bd0119220e7cc1e8a2d8b342643dc17d0314135b55151991661e1cb709ce0ce2a8f105429e74cf2f43ecd7c1f5"/>
    <x v="1338"/>
    <n v="-1"/>
    <s v="FVE"/>
    <s v="17-02-2026"/>
    <s v="17-02-2026 10:16:36"/>
    <s v="900800595"/>
    <s v="Provexpress SAS"/>
    <s v="900825795"/>
    <x v="607"/>
    <n v="43163.25"/>
    <n v="0"/>
    <n v="0"/>
    <n v="270338.25"/>
    <s v="Aprobado con notificación"/>
    <s v="Emitido"/>
    <x v="0"/>
    <x v="0"/>
    <x v="1"/>
    <x v="0"/>
    <x v="0"/>
    <x v="1"/>
    <s v="PAGA 18/02/2026"/>
  </r>
  <r>
    <s v="Factura electrónica"/>
    <s v="71fd183363d7269381e1a9c91624f87d1044b3793ae981e312445f677c11498fa2efe21fe2b86f1e54f509e08c18d7f9"/>
    <x v="1339"/>
    <n v="-1"/>
    <s v="FVE"/>
    <s v="17-02-2026"/>
    <s v="17-02-2026 10:16:41"/>
    <s v="900800595"/>
    <s v="Provexpress SAS"/>
    <s v="830103661"/>
    <x v="608"/>
    <n v="114615.6"/>
    <n v="0"/>
    <n v="0"/>
    <n v="746845.6"/>
    <s v="Aprobado con notificación"/>
    <s v="Emitido"/>
    <x v="0"/>
    <x v="0"/>
    <x v="1"/>
    <x v="0"/>
    <x v="1"/>
    <x v="0"/>
    <m/>
  </r>
  <r>
    <s v="Factura electrónica"/>
    <s v="871ccf32f4604b498551da913a6a2ce536d4846fc8bf79e7372906aca6e229110a8047d6eb5e9c4fbd6cfad67fa9453e"/>
    <x v="1340"/>
    <n v="-1"/>
    <s v="FVE"/>
    <s v="17-02-2026"/>
    <s v="17-02-2026 10:46:49"/>
    <s v="900800595"/>
    <s v="Provexpress SAS"/>
    <s v="830067414"/>
    <x v="307"/>
    <n v="107444"/>
    <n v="0"/>
    <n v="0"/>
    <n v="1593844"/>
    <s v="Aprobado con notificación"/>
    <s v="Emitido"/>
    <x v="1"/>
    <x v="0"/>
    <x v="1"/>
    <x v="0"/>
    <x v="0"/>
    <x v="0"/>
    <m/>
  </r>
  <r>
    <s v="Factura electrónica"/>
    <s v="4d9736f7e7343e60ae7133758e9b0fb36dc6cc83d5372de93a093ae0368b34ce4c9d9d07b74479506ad2001bd6a77744"/>
    <x v="1341"/>
    <n v="-1"/>
    <s v="FVE"/>
    <s v="17-02-2026"/>
    <s v="17-02-2026 10:46:53"/>
    <s v="900800595"/>
    <s v="Provexpress SAS"/>
    <s v="900979802"/>
    <x v="57"/>
    <n v="54667"/>
    <n v="0"/>
    <n v="0"/>
    <n v="399567"/>
    <s v="Aprobado con notificación"/>
    <s v="Emitido"/>
    <x v="0"/>
    <x v="0"/>
    <x v="1"/>
    <x v="0"/>
    <x v="1"/>
    <x v="0"/>
    <m/>
  </r>
  <r>
    <s v="Factura electrónica"/>
    <s v="b23520cac7c6287de12ae8828e207ca10365d9c38add7b4bb7d3f494d75ed12525d88d4170a1d040899b355b76413282"/>
    <x v="1342"/>
    <n v="-1"/>
    <s v="FVE"/>
    <s v="17-02-2026"/>
    <s v="17-02-2026 10:46:58"/>
    <s v="900800595"/>
    <s v="Provexpress SAS"/>
    <s v="830096376"/>
    <x v="62"/>
    <n v="38038"/>
    <n v="0"/>
    <n v="0"/>
    <n v="238238"/>
    <s v="Aprobado con notificación"/>
    <s v="Emitido"/>
    <x v="1"/>
    <x v="0"/>
    <x v="1"/>
    <x v="0"/>
    <x v="0"/>
    <x v="0"/>
    <m/>
  </r>
  <r>
    <s v="Factura electrónica"/>
    <s v="6fec7122fc7020c034b04920325e02fb26670ce0816368a801b9e54972309ea1ef5c1af3014f692787405304484ea51b"/>
    <x v="1343"/>
    <n v="-1"/>
    <s v="FVE"/>
    <s v="17-02-2026"/>
    <s v="17-02-2026 10:47:03"/>
    <s v="900800595"/>
    <s v="Provexpress SAS"/>
    <s v="817001672"/>
    <x v="64"/>
    <n v="240293"/>
    <n v="0"/>
    <n v="0"/>
    <n v="1504993"/>
    <s v="Aprobado con notificación"/>
    <s v="Emitido"/>
    <x v="0"/>
    <x v="0"/>
    <x v="0"/>
    <x v="0"/>
    <x v="0"/>
    <x v="0"/>
    <m/>
  </r>
  <r>
    <s v="Factura electrónica"/>
    <s v="cd316184734a254c224c154aa0cfc60f1ae531d9a2e996f2d03acebc9949202ecb6f8333dee1d103fa25a9ce85e08d17"/>
    <x v="1344"/>
    <n v="-1"/>
    <s v="FVE"/>
    <s v="17-02-2026"/>
    <s v="17-02-2026 11:03:20"/>
    <s v="900800595"/>
    <s v="Provexpress SAS"/>
    <s v="817001672"/>
    <x v="64"/>
    <n v="47671"/>
    <n v="0"/>
    <n v="0"/>
    <n v="298571"/>
    <s v="Aprobado con notificación"/>
    <s v="Emitido"/>
    <x v="0"/>
    <x v="0"/>
    <x v="0"/>
    <x v="0"/>
    <x v="0"/>
    <x v="0"/>
    <m/>
  </r>
  <r>
    <s v="Factura electrónica"/>
    <s v="4bae5f4030c814dbfa4abf82c0a318dc33ea11864ab3c9a264b5b37962c35b8e13f6dbcc460d840cdc36a69be5ab8bf1"/>
    <x v="1345"/>
    <n v="-1"/>
    <s v="FVE"/>
    <s v="17-02-2026"/>
    <s v="17-02-2026 11:03:34"/>
    <s v="900800595"/>
    <s v="Provexpress SAS"/>
    <s v="900502435"/>
    <x v="546"/>
    <n v="265591.5"/>
    <n v="0"/>
    <n v="0"/>
    <n v="1663441.5"/>
    <s v="Aprobado con notificación"/>
    <s v="Emitido"/>
    <x v="0"/>
    <x v="0"/>
    <x v="0"/>
    <x v="0"/>
    <x v="0"/>
    <x v="0"/>
    <m/>
  </r>
  <r>
    <s v="Factura electrónica"/>
    <s v="571fcd2d3e3a56039d1dc7ed2e03a3f0df3cd84b00dba3311495ce4d45623d6a8d9e9c165d4bcfe902d602fb28cad5b8"/>
    <x v="1346"/>
    <n v="-1"/>
    <s v="FVE"/>
    <s v="17-02-2026"/>
    <s v="17-02-2026 11:03:33"/>
    <s v="900800595"/>
    <s v="Provexpress SAS"/>
    <s v="860001778"/>
    <x v="78"/>
    <n v="674481"/>
    <n v="0"/>
    <n v="0"/>
    <n v="4224381"/>
    <s v="Aprobado con notificación"/>
    <s v="Emitido"/>
    <x v="1"/>
    <x v="0"/>
    <x v="1"/>
    <x v="0"/>
    <x v="0"/>
    <x v="0"/>
    <m/>
  </r>
  <r>
    <s v="Factura electrónica"/>
    <s v="cc79578f9d86f65d9ea8c8f2492c5ebd8c41632a148efb8f08568fe97e3aebb0d056117940bf43406f1069c38c5280fc"/>
    <x v="1347"/>
    <n v="-1"/>
    <s v="FVE"/>
    <s v="17-02-2026"/>
    <s v="17-02-2026 11:03:41"/>
    <s v="900800595"/>
    <s v="Provexpress SAS"/>
    <s v="901038007"/>
    <x v="609"/>
    <n v="98800"/>
    <n v="0"/>
    <n v="0"/>
    <n v="618800"/>
    <s v="Aprobado con notificación"/>
    <s v="Emitido"/>
    <x v="0"/>
    <x v="0"/>
    <x v="1"/>
    <x v="0"/>
    <x v="1"/>
    <x v="0"/>
    <m/>
  </r>
  <r>
    <s v="Factura electrónica"/>
    <s v="8110037d40a608523d4b441b6fb35591417a9789351b3ee84c2f9a9d32c5b6f1f36ab805fa687db221c7ee57c541c0d0"/>
    <x v="1348"/>
    <n v="-1"/>
    <s v="FVE"/>
    <s v="17-02-2026"/>
    <s v="17-02-2026 11:03:44"/>
    <s v="900800595"/>
    <s v="Provexpress SAS"/>
    <s v="800202909"/>
    <x v="610"/>
    <n v="45600"/>
    <n v="0"/>
    <n v="0"/>
    <n v="285600"/>
    <s v="Aprobado con notificación"/>
    <s v="Emitido"/>
    <x v="0"/>
    <x v="0"/>
    <x v="1"/>
    <x v="0"/>
    <x v="1"/>
    <x v="0"/>
    <m/>
  </r>
  <r>
    <s v="Factura electrónica"/>
    <s v="f8a91ecdc09e35c8f3ed279e3173add9cfc29ae8a13b7847767b3fe07c0b6681e5ef408fcf313005b37938c375f6f086"/>
    <x v="1349"/>
    <n v="-1"/>
    <s v="FVE"/>
    <s v="17-02-2026"/>
    <s v="17-02-2026 11:03:46"/>
    <s v="900800595"/>
    <s v="Provexpress SAS"/>
    <s v="900320056"/>
    <x v="611"/>
    <n v="781205.9"/>
    <n v="0"/>
    <n v="0"/>
    <n v="4892815.9000000004"/>
    <s v="Aprobado con notificación"/>
    <s v="Emitido"/>
    <x v="0"/>
    <x v="0"/>
    <x v="0"/>
    <x v="0"/>
    <x v="0"/>
    <x v="0"/>
    <m/>
  </r>
  <r>
    <s v="Factura electrónica"/>
    <s v="e3944bf604d7479943515715dadba78e5247dede9f6118c081b50481e9c91591d65aada1b333767c41135ce88e6bb27a"/>
    <x v="1350"/>
    <n v="-1"/>
    <s v="FVE"/>
    <s v="17-02-2026"/>
    <s v="17-02-2026 11:03:46"/>
    <s v="900800595"/>
    <s v="Provexpress SAS"/>
    <s v="860051534"/>
    <x v="262"/>
    <n v="102600"/>
    <n v="0"/>
    <n v="0"/>
    <n v="642600"/>
    <s v="Aprobado con notificación"/>
    <s v="Emitido"/>
    <x v="0"/>
    <x v="0"/>
    <x v="1"/>
    <x v="0"/>
    <x v="1"/>
    <x v="0"/>
    <m/>
  </r>
  <r>
    <s v="Factura electrónica"/>
    <s v="b4b03faa6c4f80b1555de5b213682bf88ec283023749c28d93a3d548974374d5b91fec900818bf0421e2bf5268f2a8cc"/>
    <x v="1351"/>
    <n v="-1"/>
    <s v="FVE"/>
    <s v="17-02-2026"/>
    <s v="17-02-2026 11:03:46"/>
    <s v="900800595"/>
    <s v="Provexpress SAS"/>
    <s v="860025596"/>
    <x v="255"/>
    <n v="547906.99"/>
    <n v="0"/>
    <n v="0"/>
    <n v="3431627.99"/>
    <s v="Aprobado con notificación"/>
    <s v="Emitido"/>
    <x v="0"/>
    <x v="0"/>
    <x v="1"/>
    <x v="0"/>
    <x v="1"/>
    <x v="0"/>
    <m/>
  </r>
  <r>
    <s v="Factura electrónica"/>
    <s v="637e12efa2607d80607e3ab1b12bed6cd72f0adbdc4dd0218708b1fb794abf6efeba557ee63cf645adeb83772e314655"/>
    <x v="1352"/>
    <n v="-1"/>
    <s v="FVE"/>
    <s v="17-02-2026"/>
    <s v="17-02-2026 11:03:42"/>
    <s v="900800595"/>
    <s v="Provexpress SAS"/>
    <s v="860025596"/>
    <x v="255"/>
    <n v="502142.83"/>
    <n v="0"/>
    <n v="0"/>
    <n v="3144999.83"/>
    <s v="Aprobado con notificación"/>
    <s v="Emitido"/>
    <x v="0"/>
    <x v="0"/>
    <x v="1"/>
    <x v="0"/>
    <x v="1"/>
    <x v="0"/>
    <m/>
  </r>
  <r>
    <s v="Factura electrónica"/>
    <s v="0c3a44991b4585f029a382aa219e42ba914483ea7d6f8efd5388862e5a1a6d9c10f415a2b02dbab809591daff6afbbdc"/>
    <x v="1353"/>
    <n v="-1"/>
    <s v="FVE"/>
    <s v="17-02-2026"/>
    <s v="17-02-2026 11:03:51"/>
    <s v="900800595"/>
    <s v="Provexpress SAS"/>
    <s v="900509172"/>
    <x v="439"/>
    <n v="54720"/>
    <n v="0"/>
    <n v="0"/>
    <n v="342720"/>
    <s v="Aprobado con notificación"/>
    <s v="Emitido"/>
    <x v="0"/>
    <x v="0"/>
    <x v="1"/>
    <x v="0"/>
    <x v="1"/>
    <x v="0"/>
    <m/>
  </r>
  <r>
    <s v="Factura electrónica"/>
    <s v="14070379d7081c119e1586ff3517cdcb32bf4b296690bd286975b2b0e4a4fc3bcc9a89fbe65eefe0f50e40c1c5d9b8c5"/>
    <x v="1354"/>
    <n v="-1"/>
    <s v="FVE"/>
    <s v="17-02-2026"/>
    <s v="17-02-2026 11:03:56"/>
    <s v="900800595"/>
    <s v="Provexpress SAS"/>
    <s v="860522056"/>
    <x v="85"/>
    <n v="467457"/>
    <n v="0"/>
    <n v="0"/>
    <n v="2927757"/>
    <s v="Aprobado con notificación"/>
    <s v="Emitido"/>
    <x v="0"/>
    <x v="0"/>
    <x v="0"/>
    <x v="0"/>
    <x v="0"/>
    <x v="0"/>
    <m/>
  </r>
  <r>
    <s v="Factura electrónica"/>
    <s v="84bcacea24604d8d729cb9b77cb45499ad36e893c2423596ad59829ccabbe797a8dabcdbcae78c157beaca62b2d95c95"/>
    <x v="1355"/>
    <n v="-1"/>
    <s v="FVE"/>
    <s v="17-02-2026"/>
    <s v="17-02-2026 11:03:53"/>
    <s v="900800595"/>
    <s v="Provexpress SAS"/>
    <s v="901371316"/>
    <x v="330"/>
    <n v="292600"/>
    <n v="0"/>
    <n v="0"/>
    <n v="2831600"/>
    <s v="Aprobado con notificación"/>
    <s v="Emitido"/>
    <x v="1"/>
    <x v="0"/>
    <x v="1"/>
    <x v="0"/>
    <x v="0"/>
    <x v="0"/>
    <m/>
  </r>
  <r>
    <s v="Factura electrónica"/>
    <s v="4939b28c9a773fa8593ac3a308f0c04582335cee80c8f21c6ab5ed34d4880785c1b7427251f3f9a21277b18cb7f63181"/>
    <x v="1356"/>
    <n v="-1"/>
    <s v="FVE"/>
    <s v="17-02-2026"/>
    <s v="17-02-2026 11:04:04"/>
    <s v="900800595"/>
    <s v="Provexpress SAS"/>
    <s v="860508470"/>
    <x v="240"/>
    <n v="110200"/>
    <n v="0"/>
    <n v="0"/>
    <n v="690200"/>
    <s v="Aprobado con notificación"/>
    <s v="Emitido"/>
    <x v="1"/>
    <x v="0"/>
    <x v="1"/>
    <x v="0"/>
    <x v="0"/>
    <x v="0"/>
    <m/>
  </r>
  <r>
    <s v="Factura electrónica"/>
    <s v="77dfdbdd1e5f4102f0b1ef958172d5de489808cbbc34044c6d640d0c02574e03ee949ca10c09e80fccdb8f4be5f6f5ed"/>
    <x v="1357"/>
    <n v="-1"/>
    <s v="FVE"/>
    <s v="17-02-2026"/>
    <s v="17-02-2026 11:04:06"/>
    <s v="900800595"/>
    <s v="Provexpress SAS"/>
    <s v="860000332"/>
    <x v="290"/>
    <n v="39672"/>
    <n v="0"/>
    <n v="0"/>
    <n v="248472"/>
    <s v="Aprobado con notificación"/>
    <s v="Emitido"/>
    <x v="0"/>
    <x v="0"/>
    <x v="1"/>
    <x v="0"/>
    <x v="1"/>
    <x v="0"/>
    <m/>
  </r>
  <r>
    <s v="Factura electrónica"/>
    <s v="f904d00d6f7ed16277ca16bfd14f00cc0332cd129cd0c2a6a9cb17b3aa2476e18b769e83e4bf6c51bd27441cca92a7b1"/>
    <x v="1358"/>
    <n v="-1"/>
    <s v="FVE"/>
    <s v="17-02-2026"/>
    <s v="17-02-2026 11:18:17"/>
    <s v="900800595"/>
    <s v="Provexpress SAS"/>
    <s v="860067561"/>
    <x v="534"/>
    <n v="50665.59"/>
    <n v="0"/>
    <n v="0"/>
    <n v="317326.59000000003"/>
    <s v="Aprobado con notificación"/>
    <s v="Emitido"/>
    <x v="0"/>
    <x v="0"/>
    <x v="1"/>
    <x v="0"/>
    <x v="1"/>
    <x v="0"/>
    <m/>
  </r>
  <r>
    <s v="Factura electrónica"/>
    <s v="a640d0276def98649fc11099feeffc212e7e9bc0bd1934e3225e01b3c66127754262b5380ef596153d48f993884c54ba"/>
    <x v="1359"/>
    <n v="-1"/>
    <s v="FVE"/>
    <s v="17-02-2026"/>
    <s v="17-02-2026 11:18:22"/>
    <s v="900800595"/>
    <s v="Provexpress SAS"/>
    <s v="860062703"/>
    <x v="612"/>
    <n v="206612.89"/>
    <n v="0"/>
    <n v="0"/>
    <n v="2052443.89"/>
    <s v="Aprobado con notificación"/>
    <s v="Emitido"/>
    <x v="1"/>
    <x v="0"/>
    <x v="1"/>
    <x v="0"/>
    <x v="0"/>
    <x v="0"/>
    <m/>
  </r>
  <r>
    <s v="Factura electrónica"/>
    <s v="ec852b530c7efafd96b4974c8d1a65883f5d332f24e3953eb9df2a493e9b48b528b36d50439da40e3889e745529df428"/>
    <x v="1360"/>
    <n v="-1"/>
    <s v="FVE"/>
    <s v="17-02-2026"/>
    <s v="17-02-2026 11:18:27"/>
    <s v="900800595"/>
    <s v="Provexpress SAS"/>
    <s v="900387076"/>
    <x v="209"/>
    <n v="49400"/>
    <n v="0"/>
    <n v="0"/>
    <n v="309400"/>
    <s v="Aprobado con notificación"/>
    <s v="Emitido"/>
    <x v="0"/>
    <x v="0"/>
    <x v="1"/>
    <x v="0"/>
    <x v="1"/>
    <x v="0"/>
    <m/>
  </r>
  <r>
    <s v="Factura electrónica"/>
    <s v="8be27d661a80cef59520d2cbc81484b56658bf82600b01c86b1f6ca6c9627fc8402a1b9feb15773b318895f3e65fe8e5"/>
    <x v="1361"/>
    <n v="-1"/>
    <s v="FVE"/>
    <s v="17-02-2026"/>
    <s v="17-02-2026 11:18:31"/>
    <s v="900800595"/>
    <s v="Provexpress SAS"/>
    <s v="830115738"/>
    <x v="613"/>
    <n v="275543.49"/>
    <n v="0"/>
    <n v="0"/>
    <n v="2390304.4900000002"/>
    <s v="Aprobado con notificación"/>
    <s v="Emitido"/>
    <x v="0"/>
    <x v="0"/>
    <x v="1"/>
    <x v="0"/>
    <x v="1"/>
    <x v="0"/>
    <m/>
  </r>
  <r>
    <s v="Factura electrónica"/>
    <s v="014c6e1c891e974f31e20ebdb1a7f2579cb65883c422a6e4da36592977bbca7ab07459155ca7cc0a2787ffc6755b68be"/>
    <x v="1362"/>
    <n v="-1"/>
    <s v="FVE"/>
    <s v="17-02-2026"/>
    <s v="17-02-2026 11:18:36"/>
    <s v="900800595"/>
    <s v="Provexpress SAS"/>
    <s v="860002566"/>
    <x v="54"/>
    <n v="229425"/>
    <n v="0"/>
    <n v="0"/>
    <n v="1436925"/>
    <s v="Aprobado con notificación"/>
    <s v="Emitido"/>
    <x v="1"/>
    <x v="0"/>
    <x v="1"/>
    <x v="0"/>
    <x v="0"/>
    <x v="0"/>
    <m/>
  </r>
  <r>
    <s v="Factura electrónica"/>
    <s v="5ae8cc3d33629d6e227afd282906f763bb26a653490f87900f92e6ae6eac7619498fb98b693501b4e5d9eb745fcbba26"/>
    <x v="1363"/>
    <n v="-1"/>
    <s v="FVE"/>
    <s v="17-02-2026"/>
    <s v="17-02-2026 11:18:41"/>
    <s v="900800595"/>
    <s v="Provexpress SAS"/>
    <s v="860074520"/>
    <x v="56"/>
    <n v="30050.400000000001"/>
    <n v="0"/>
    <n v="0"/>
    <n v="188210.4"/>
    <s v="Aprobado con notificación"/>
    <s v="Emitido"/>
    <x v="0"/>
    <x v="0"/>
    <x v="1"/>
    <x v="0"/>
    <x v="1"/>
    <x v="0"/>
    <m/>
  </r>
  <r>
    <s v="Factura electrónica"/>
    <s v="593974f36f75208358c1296dabedf63a461886855cdf012301199a45a5dd4a29e988a9ffe703d806a749b56afce7df14"/>
    <x v="1364"/>
    <n v="-1"/>
    <s v="FVE"/>
    <s v="17-02-2026"/>
    <s v="17-02-2026 11:18:46"/>
    <s v="900800595"/>
    <s v="Provexpress SAS"/>
    <s v="860050262"/>
    <x v="614"/>
    <n v="21090"/>
    <n v="0"/>
    <n v="0"/>
    <n v="132090"/>
    <s v="Aprobado con notificación"/>
    <s v="Emitido"/>
    <x v="0"/>
    <x v="0"/>
    <x v="1"/>
    <x v="0"/>
    <x v="1"/>
    <x v="0"/>
    <m/>
  </r>
  <r>
    <s v="Factura electrónica"/>
    <s v="d8cc8feaa34c1d9e2bc903b87fa51e0ac1dda61507ff476bda2a3380c9df457c2e7f1bf130f1f62ba0f45d3237a5bac5"/>
    <x v="1365"/>
    <n v="-1"/>
    <s v="FVE"/>
    <s v="17-02-2026"/>
    <s v="17-02-2026 11:18:51"/>
    <s v="900800595"/>
    <s v="Provexpress SAS"/>
    <s v="860012340"/>
    <x v="615"/>
    <n v="124260"/>
    <n v="0"/>
    <n v="0"/>
    <n v="778260"/>
    <s v="Aprobado con notificación"/>
    <s v="Emitido"/>
    <x v="0"/>
    <x v="1"/>
    <x v="1"/>
    <x v="0"/>
    <x v="0"/>
    <x v="0"/>
    <m/>
  </r>
  <r>
    <s v="Factura electrónica"/>
    <s v="3881079f7e9e988ce50d76bd5d6e1f72fc7b41a9012e8e8c83797216af216463fd5304671610051e4f398fa379d4b0b2"/>
    <x v="1366"/>
    <n v="-1"/>
    <s v="FVE"/>
    <s v="17-02-2026"/>
    <s v="17-02-2026 11:18:56"/>
    <s v="900800595"/>
    <s v="Provexpress SAS"/>
    <s v="800156889"/>
    <x v="218"/>
    <n v="240835.07"/>
    <n v="0"/>
    <n v="0"/>
    <n v="1508388.07"/>
    <s v="Aprobado con notificación"/>
    <s v="Emitido"/>
    <x v="0"/>
    <x v="0"/>
    <x v="1"/>
    <x v="0"/>
    <x v="1"/>
    <x v="0"/>
    <m/>
  </r>
  <r>
    <s v="Factura electrónica"/>
    <s v="a2ee9f704087e0261733715947ec9414d6fb2fb13b06bd7b3a3c8fe016ca7bad0e0e68a3177a95d9dca9298c7db89b9d"/>
    <x v="1367"/>
    <n v="-1"/>
    <s v="FVE"/>
    <s v="17-02-2026"/>
    <s v="17-02-2026 11:19:00"/>
    <s v="900800595"/>
    <s v="Provexpress SAS"/>
    <s v="830036108"/>
    <x v="117"/>
    <n v="52915"/>
    <n v="0"/>
    <n v="0"/>
    <n v="331415"/>
    <s v="Aprobado con notificación"/>
    <s v="Emitido"/>
    <x v="1"/>
    <x v="0"/>
    <x v="1"/>
    <x v="0"/>
    <x v="0"/>
    <x v="0"/>
    <m/>
  </r>
  <r>
    <s v="Factura electrónica"/>
    <s v="a136747c4791c432a782a67569adcb1b29c14f7c20f2b35edafcab1a5f2309d405b3bc8406488bc52d93fc4bcb094a81"/>
    <x v="1368"/>
    <n v="-1"/>
    <s v="FVE"/>
    <s v="17-02-2026"/>
    <s v="17-02-2026 11:34:06"/>
    <s v="900800595"/>
    <s v="Provexpress SAS"/>
    <s v="830054539"/>
    <x v="199"/>
    <n v="227240"/>
    <n v="0"/>
    <n v="0"/>
    <n v="1423240"/>
    <s v="Aprobado con notificación"/>
    <s v="Emitido"/>
    <x v="1"/>
    <x v="0"/>
    <x v="1"/>
    <x v="0"/>
    <x v="0"/>
    <x v="0"/>
    <m/>
  </r>
  <r>
    <s v="Factura electrónica"/>
    <s v="e30c643796ac395cc11a3b057f50f6d5ccf75ff9e45b8d9eafa3194fe20f901d023146c3d253ecfd51630384f170f1a3"/>
    <x v="1369"/>
    <n v="-1"/>
    <s v="FVE"/>
    <s v="17-02-2026"/>
    <s v="17-02-2026 11:34:11"/>
    <s v="900800595"/>
    <s v="Provexpress SAS"/>
    <s v="830092675"/>
    <x v="480"/>
    <n v="1338097.8"/>
    <n v="0"/>
    <n v="0"/>
    <n v="8380717.7999999998"/>
    <s v="Aprobado con notificación"/>
    <s v="Emitido"/>
    <x v="0"/>
    <x v="0"/>
    <x v="1"/>
    <x v="0"/>
    <x v="1"/>
    <x v="0"/>
    <m/>
  </r>
  <r>
    <s v="Factura electrónica"/>
    <s v="29130db3a972f16acb99dd8344d57e783a59789c6bdb35e3aa6d889d93d6df04ec8cca6ad130414c8ed5168c906586c6"/>
    <x v="1370"/>
    <n v="-1"/>
    <s v="FVE"/>
    <s v="17-02-2026"/>
    <s v="17-02-2026 11:34:16"/>
    <s v="900800595"/>
    <s v="Provexpress SAS"/>
    <s v="902018293"/>
    <x v="557"/>
    <n v="351500"/>
    <n v="0"/>
    <n v="0"/>
    <n v="2201500"/>
    <s v="Aprobado con notificación"/>
    <s v="Emitido"/>
    <x v="0"/>
    <x v="0"/>
    <x v="0"/>
    <x v="0"/>
    <x v="0"/>
    <x v="0"/>
    <m/>
  </r>
  <r>
    <s v="Factura electrónica"/>
    <s v="8f0e6b9730fcb680ae513dada17ae46d527c715fae9e1ca1f2593b3c49dfb6b7fe76205f2b509b31b8f52e75922b644f"/>
    <x v="1371"/>
    <n v="-1"/>
    <s v="FVE"/>
    <s v="17-02-2026"/>
    <s v="17-02-2026 11:34:21"/>
    <s v="900800595"/>
    <s v="Provexpress SAS"/>
    <s v="902018293"/>
    <x v="557"/>
    <n v="0"/>
    <n v="0"/>
    <n v="0"/>
    <n v="689000"/>
    <s v="Aprobado con notificación"/>
    <s v="Emitido"/>
    <x v="0"/>
    <x v="0"/>
    <x v="0"/>
    <x v="0"/>
    <x v="0"/>
    <x v="0"/>
    <m/>
  </r>
  <r>
    <s v="Factura electrónica"/>
    <s v="ae8cb70e39aeb5a2d4386a135dac4220d0e2fcf6edac9f5974c37146292f0fa31411955e0be534331be181e7b916e2ff"/>
    <x v="1372"/>
    <n v="-1"/>
    <s v="FVE"/>
    <s v="17-02-2026"/>
    <s v="17-02-2026 11:34:25"/>
    <s v="900800595"/>
    <s v="Provexpress SAS"/>
    <s v="900037743"/>
    <x v="76"/>
    <n v="16511311.6"/>
    <n v="0"/>
    <n v="0"/>
    <n v="103412951.59999999"/>
    <s v="Aprobado con notificación"/>
    <s v="Emitido"/>
    <x v="0"/>
    <x v="0"/>
    <x v="0"/>
    <x v="0"/>
    <x v="0"/>
    <x v="0"/>
    <m/>
  </r>
  <r>
    <s v="Factura electrónica"/>
    <s v="48c32e0003f42480ece5560ad19e435dcee5c7a154c878f3cd51eb5f282549e6edf2a9c5e217ee733ca13af6dd177382"/>
    <x v="1373"/>
    <n v="-1"/>
    <s v="FVE"/>
    <s v="17-02-2026"/>
    <s v="17-02-2026 11:49:32"/>
    <s v="900800595"/>
    <s v="Provexpress SAS"/>
    <s v="860050906"/>
    <x v="34"/>
    <n v="17290"/>
    <n v="0"/>
    <n v="0"/>
    <n v="108290"/>
    <s v="Aprobado con notificación"/>
    <s v="Emitido"/>
    <x v="1"/>
    <x v="0"/>
    <x v="1"/>
    <x v="0"/>
    <x v="0"/>
    <x v="0"/>
    <m/>
  </r>
  <r>
    <s v="Factura electrónica"/>
    <s v="b44ac9b8bf352cbfec3bac071c1515c3a6464abb7b554de6bc6fef4cb8036330bb2121c8142559830ed570a9ed5a6bd3"/>
    <x v="1374"/>
    <n v="-1"/>
    <s v="FVE"/>
    <s v="17-02-2026"/>
    <s v="17-02-2026 11:49:36"/>
    <s v="900800595"/>
    <s v="Provexpress SAS"/>
    <s v="830513773"/>
    <x v="46"/>
    <n v="422592.49"/>
    <n v="0"/>
    <n v="0"/>
    <n v="2646763.4900000002"/>
    <s v="Aprobado con notificación"/>
    <s v="Emitido"/>
    <x v="0"/>
    <x v="0"/>
    <x v="1"/>
    <x v="0"/>
    <x v="1"/>
    <x v="0"/>
    <m/>
  </r>
  <r>
    <s v="Factura electrónica"/>
    <s v="8ed2f105889e2fd52df68641368df26f0c57002e97569ec620292f8abb00a487de06bc0833204a89557978302edca678"/>
    <x v="1375"/>
    <n v="-1"/>
    <s v="FVE"/>
    <s v="17-02-2026"/>
    <s v="17-02-2026 11:49:41"/>
    <s v="900800595"/>
    <s v="Provexpress SAS"/>
    <s v="830513773"/>
    <x v="46"/>
    <n v="15179.1"/>
    <n v="0"/>
    <n v="0"/>
    <n v="95069.1"/>
    <s v="Aprobado con notificación"/>
    <s v="Emitido"/>
    <x v="0"/>
    <x v="0"/>
    <x v="1"/>
    <x v="0"/>
    <x v="1"/>
    <x v="0"/>
    <m/>
  </r>
  <r>
    <s v="Factura electrónica"/>
    <s v="fbb7b708ebd5e9539e91a1d9254fbd379441a953f69f64d4c1b469a63b2f62825a675bdcdd287ae30860c440753aa0da"/>
    <x v="1376"/>
    <n v="-1"/>
    <s v="FVE"/>
    <s v="17-02-2026"/>
    <s v="17-02-2026 11:49:46"/>
    <s v="900800595"/>
    <s v="Provexpress SAS"/>
    <s v="830513773"/>
    <x v="46"/>
    <n v="255207.81"/>
    <n v="0"/>
    <n v="0"/>
    <n v="1598406.81"/>
    <s v="Aprobado con notificación"/>
    <s v="Emitido"/>
    <x v="0"/>
    <x v="0"/>
    <x v="1"/>
    <x v="0"/>
    <x v="1"/>
    <x v="0"/>
    <m/>
  </r>
  <r>
    <s v="Factura electrónica"/>
    <s v="36f323dcbad6e6512bd19fad8f7336bc496f66be02c6f4cdb47518f3fec70604ac3d4f85415e67bb1636ee2f5b2c5976"/>
    <x v="1377"/>
    <n v="-1"/>
    <s v="FVE"/>
    <s v="17-02-2026"/>
    <s v="17-02-2026 12:04:52"/>
    <s v="900800595"/>
    <s v="Provexpress SAS"/>
    <s v="805017818"/>
    <x v="616"/>
    <n v="74100.19"/>
    <n v="0"/>
    <n v="0"/>
    <n v="464101.19"/>
    <s v="Aprobado con notificación"/>
    <s v="Emitido"/>
    <x v="0"/>
    <x v="0"/>
    <x v="1"/>
    <x v="0"/>
    <x v="1"/>
    <x v="0"/>
    <m/>
  </r>
  <r>
    <s v="Factura electrónica"/>
    <s v="3db5304a19c3186e8b848ea0cb1c39ecf56bcc88c64676648c709d90d414244c25cce414849fc59897344ca75e291d12"/>
    <x v="1378"/>
    <n v="-1"/>
    <s v="FVE"/>
    <s v="17-02-2026"/>
    <s v="17-02-2026 12:04:57"/>
    <s v="900800595"/>
    <s v="Provexpress SAS"/>
    <s v="900407987"/>
    <x v="617"/>
    <n v="296020"/>
    <n v="0"/>
    <n v="0"/>
    <n v="1854020"/>
    <s v="Aprobado con notificación"/>
    <s v="Emitido"/>
    <x v="0"/>
    <x v="0"/>
    <x v="1"/>
    <x v="0"/>
    <x v="1"/>
    <x v="0"/>
    <m/>
  </r>
  <r>
    <s v="Factura electrónica"/>
    <s v="a8d7c23af7248ba5fe59c216fd5343888f7a523faa964f892e70dea7b186c12733f5cd026c9e43c5ca4adc74fdbb8f86"/>
    <x v="1379"/>
    <n v="-1"/>
    <s v="FVE"/>
    <s v="17-02-2026"/>
    <s v="17-02-2026 12:05:02"/>
    <s v="900800595"/>
    <s v="Provexpress SAS"/>
    <s v="800172871"/>
    <x v="121"/>
    <n v="25938.42"/>
    <n v="0"/>
    <n v="0"/>
    <n v="162456.42000000001"/>
    <s v="Aprobado con notificación"/>
    <s v="Emitido"/>
    <x v="0"/>
    <x v="0"/>
    <x v="1"/>
    <x v="0"/>
    <x v="1"/>
    <x v="0"/>
    <m/>
  </r>
  <r>
    <s v="Factura electrónica"/>
    <s v="c585133832b300512d8ab26c72b54da2bc565edfbd91befaacec3c7786a6c22bb6a6df17948a9aa867428bb314aee098"/>
    <x v="1380"/>
    <n v="-1"/>
    <s v="FVE"/>
    <s v="17-02-2026"/>
    <s v="17-02-2026 12:05:06"/>
    <s v="900800595"/>
    <s v="Provexpress SAS"/>
    <s v="830117370"/>
    <x v="263"/>
    <n v="210976.95"/>
    <n v="0"/>
    <n v="0"/>
    <n v="1321381.95"/>
    <s v="Aprobado con notificación"/>
    <s v="Emitido"/>
    <x v="0"/>
    <x v="0"/>
    <x v="0"/>
    <x v="0"/>
    <x v="0"/>
    <x v="0"/>
    <m/>
  </r>
  <r>
    <s v="Factura electrónica"/>
    <s v="b74629ca788eb44ef3d7bdfb3433c8b318393aad2d8667eb80cd92a43e507150edf73915276868d6b3a769fe88410419"/>
    <x v="1381"/>
    <n v="-1"/>
    <s v="FVE"/>
    <s v="17-02-2026"/>
    <s v="17-02-2026 12:05:11"/>
    <s v="900800595"/>
    <s v="Provexpress SAS"/>
    <s v="901443323"/>
    <x v="423"/>
    <n v="1005166.5"/>
    <n v="0"/>
    <n v="0"/>
    <n v="6295516.5"/>
    <s v="Aprobado con notificación"/>
    <s v="Emitido"/>
    <x v="1"/>
    <x v="0"/>
    <x v="1"/>
    <x v="0"/>
    <x v="0"/>
    <x v="0"/>
    <m/>
  </r>
  <r>
    <s v="Factura electrónica"/>
    <s v="219085917a8d16ba5412ab5c1dccf0dc4d50bcd85527503b471575f8bb79fdda5dd98072629ee1e017aa9ee4dd61381d"/>
    <x v="1382"/>
    <n v="-1"/>
    <s v="FVE"/>
    <s v="17-02-2026"/>
    <s v="17-02-2026 12:05:16"/>
    <s v="900800595"/>
    <s v="Provexpress SAS"/>
    <s v="900184924"/>
    <x v="618"/>
    <n v="189285.6"/>
    <n v="0"/>
    <n v="0"/>
    <n v="1185525.6000000001"/>
    <s v="Aprobado con notificación"/>
    <s v="Emitido"/>
    <x v="1"/>
    <x v="0"/>
    <x v="1"/>
    <x v="0"/>
    <x v="0"/>
    <x v="0"/>
    <m/>
  </r>
  <r>
    <s v="Factura electrónica"/>
    <s v="ca0fd232a3ca4a0bf23bf1e65cb6b8d3831815fdc8fe8eb6dd526237709048c1e91ff2f740ac93eee942e44e65abf857"/>
    <x v="1383"/>
    <n v="-1"/>
    <s v="FVE"/>
    <s v="17-02-2026"/>
    <s v="17-02-2026 12:05:21"/>
    <s v="900800595"/>
    <s v="Provexpress SAS"/>
    <s v="860048112"/>
    <x v="227"/>
    <n v="222490"/>
    <n v="0"/>
    <n v="0"/>
    <n v="1393490"/>
    <s v="Aprobado con notificación"/>
    <s v="Emitido"/>
    <x v="0"/>
    <x v="0"/>
    <x v="1"/>
    <x v="0"/>
    <x v="1"/>
    <x v="0"/>
    <m/>
  </r>
  <r>
    <s v="Factura electrónica"/>
    <s v="105f4a6d9fc88f1fa11cf7a5a9399ec63a72badd80e1230979158781b9fe144e03cf704caaca5ed6b781be715364e569"/>
    <x v="1384"/>
    <n v="-1"/>
    <s v="FVE"/>
    <s v="17-02-2026"/>
    <s v="17-02-2026 12:20:29"/>
    <s v="900800595"/>
    <s v="Provexpress SAS"/>
    <s v="860007336"/>
    <x v="2"/>
    <n v="84544.68"/>
    <n v="0"/>
    <n v="0"/>
    <n v="529516.68000000005"/>
    <s v="Aprobado con notificación"/>
    <s v="Emitido"/>
    <x v="0"/>
    <x v="0"/>
    <x v="0"/>
    <x v="0"/>
    <x v="0"/>
    <x v="0"/>
    <m/>
  </r>
  <r>
    <s v="Factura electrónica"/>
    <s v="b055c3d7b7e201fe0d8216c3dedd5a5eeebba401a5f78ad9dcb04936afff54049e990065f82a72e07aaa4fecc44f20ca"/>
    <x v="1385"/>
    <n v="-1"/>
    <s v="FVE"/>
    <s v="17-02-2026"/>
    <s v="17-02-2026 12:20:34"/>
    <s v="900800595"/>
    <s v="Provexpress SAS"/>
    <s v="900323811"/>
    <x v="619"/>
    <n v="717100.85"/>
    <n v="0"/>
    <n v="0"/>
    <n v="4491315.8499999996"/>
    <s v="Aprobado con notificación"/>
    <s v="Emitido"/>
    <x v="0"/>
    <x v="0"/>
    <x v="1"/>
    <x v="0"/>
    <x v="1"/>
    <x v="0"/>
    <m/>
  </r>
  <r>
    <s v="Factura electrónica"/>
    <s v="6ab68ff6739b92ab64634d943f52d6b4e5fc1d767adc90a99ea890bd8441778182138f6da5c77386b173ef4114cf66e9"/>
    <x v="1386"/>
    <n v="-1"/>
    <s v="FVE"/>
    <s v="17-02-2026"/>
    <s v="17-02-2026 12:35:40"/>
    <s v="900800595"/>
    <s v="Provexpress SAS"/>
    <s v="800127780"/>
    <x v="620"/>
    <n v="40938.400000000001"/>
    <n v="0"/>
    <n v="0"/>
    <n v="318298.40000000002"/>
    <s v="Aprobado con notificación"/>
    <s v="Emitido"/>
    <x v="0"/>
    <x v="0"/>
    <x v="1"/>
    <x v="0"/>
    <x v="0"/>
    <x v="1"/>
    <s v="PAGA 20/02/2026"/>
  </r>
  <r>
    <s v="Factura electrónica"/>
    <s v="7b316bc30ed6577516785a43007856dab2c25e786319ab9d32bbe672456cf49bf893c75668691cba638df0644f794550"/>
    <x v="1387"/>
    <n v="-1"/>
    <s v="FVE"/>
    <s v="17-02-2026"/>
    <s v="17-02-2026 13:05:48"/>
    <s v="900800595"/>
    <s v="Provexpress SAS"/>
    <s v="900720758"/>
    <x v="621"/>
    <n v="429713.1"/>
    <n v="0"/>
    <n v="0"/>
    <n v="4163203.1"/>
    <s v="Aprobado con notificación"/>
    <s v="Emitido"/>
    <x v="0"/>
    <x v="0"/>
    <x v="1"/>
    <x v="0"/>
    <x v="1"/>
    <x v="0"/>
    <m/>
  </r>
  <r>
    <s v="Factura electrónica"/>
    <s v="3e44ce7d4f072c3ddff1c917a8862d3cda9821b6aba0ff25a6fe526f3e6c753b11118ec1fb19bb0efd44a82b3a39550d"/>
    <x v="1388"/>
    <n v="-1"/>
    <s v="FVE"/>
    <s v="17-02-2026"/>
    <s v="17-02-2026 13:05:53"/>
    <s v="900800595"/>
    <s v="Provexpress SAS"/>
    <s v="900774333"/>
    <x v="622"/>
    <n v="521182.94"/>
    <n v="0"/>
    <n v="0"/>
    <n v="5094801.9400000004"/>
    <s v="Aprobado con notificación"/>
    <s v="Emitido"/>
    <x v="0"/>
    <x v="0"/>
    <x v="1"/>
    <x v="0"/>
    <x v="1"/>
    <x v="0"/>
    <m/>
  </r>
  <r>
    <s v="Factura electrónica"/>
    <s v="e9c7c81b58094d2df701bf56f3a6e5e47539743601ac6f965da7d499c0b1700f3b3644c6262a77a8ef8d02357d0674ba"/>
    <x v="1389"/>
    <n v="-1"/>
    <s v="FVE"/>
    <s v="17-02-2026"/>
    <s v="17-02-2026 14:21:05"/>
    <s v="900800595"/>
    <s v="Provexpress SAS"/>
    <s v="804007055"/>
    <x v="523"/>
    <n v="0"/>
    <n v="0"/>
    <n v="0"/>
    <n v="1062366"/>
    <s v="Aprobado con notificación"/>
    <s v="Emitido"/>
    <x v="0"/>
    <x v="0"/>
    <x v="0"/>
    <x v="0"/>
    <x v="0"/>
    <x v="0"/>
    <m/>
  </r>
  <r>
    <s v="Factura electrónica"/>
    <s v="9d609fe994888e642a076658fa1f659887b2923422844311caeac2b11132601ea326dd251b5507c41bf43e1fea58ebf5"/>
    <x v="1390"/>
    <n v="-1"/>
    <s v="FVE"/>
    <s v="17-02-2026"/>
    <s v="17-02-2026 14:21:10"/>
    <s v="900800595"/>
    <s v="Provexpress SAS"/>
    <s v="860024586"/>
    <x v="606"/>
    <n v="0"/>
    <n v="0"/>
    <n v="0"/>
    <n v="2728344"/>
    <s v="Aprobado con notificación"/>
    <s v="Emitido"/>
    <x v="0"/>
    <x v="0"/>
    <x v="1"/>
    <x v="0"/>
    <x v="1"/>
    <x v="0"/>
    <m/>
  </r>
  <r>
    <s v="Factura electrónica"/>
    <s v="3306fc3b32206533dfb30e3032df0fa77c663c17830c465b2d5399a6e9aa8d591b4b32ca64b7a06b804439e277ac1d65"/>
    <x v="1391"/>
    <n v="-1"/>
    <s v="FVE"/>
    <s v="17-02-2026"/>
    <s v="17-02-2026 14:36:16"/>
    <s v="900800595"/>
    <s v="Provexpress SAS"/>
    <s v="860024586"/>
    <x v="606"/>
    <n v="0"/>
    <n v="0"/>
    <n v="0"/>
    <n v="9839462"/>
    <s v="Aprobado con notificación"/>
    <s v="Emitido"/>
    <x v="0"/>
    <x v="0"/>
    <x v="1"/>
    <x v="0"/>
    <x v="1"/>
    <x v="0"/>
    <m/>
  </r>
  <r>
    <s v="Factura electrónica"/>
    <s v="508defab3c93c9458e94f4c97b195dfe53c5e8c59f5796c53a234c734be7c63639bb6fc07aae29960bbf8a75ffef585a"/>
    <x v="1392"/>
    <n v="-1"/>
    <s v="FVE"/>
    <s v="17-02-2026"/>
    <s v="17-02-2026 14:36:20"/>
    <s v="900800595"/>
    <s v="Provexpress SAS"/>
    <s v="860024586"/>
    <x v="606"/>
    <n v="290706.84000000003"/>
    <n v="0"/>
    <n v="0"/>
    <n v="1820742.84"/>
    <s v="Aprobado con notificación"/>
    <s v="Emitido"/>
    <x v="0"/>
    <x v="0"/>
    <x v="1"/>
    <x v="0"/>
    <x v="1"/>
    <x v="0"/>
    <m/>
  </r>
  <r>
    <s v="Factura electrónica"/>
    <s v="2ce93e639c998999561335820cee3b32e9070451d5f638d99f36d1d58b4b35db2c08a8b81dc14ccb803b36f7c44d3a0f"/>
    <x v="1393"/>
    <n v="-1"/>
    <s v="FVE"/>
    <s v="17-02-2026"/>
    <s v="17-02-2026 14:36:27"/>
    <s v="900800595"/>
    <s v="Provexpress SAS"/>
    <s v="890903858"/>
    <x v="548"/>
    <n v="489824.56"/>
    <n v="0"/>
    <n v="0"/>
    <n v="3067848.56"/>
    <s v="Aprobado con notificación"/>
    <s v="Emitido"/>
    <x v="0"/>
    <x v="0"/>
    <x v="1"/>
    <x v="1"/>
    <x v="0"/>
    <x v="0"/>
    <m/>
  </r>
  <r>
    <s v="Factura electrónica"/>
    <s v="a48cd8fbdcfbd53a4b60648effabd268f0fb22f1ab9774c89eb3bd0ef6c066d9979125d2a828752f06c91d0aa1e7f2f3"/>
    <x v="1394"/>
    <n v="-1"/>
    <s v="FVE"/>
    <s v="17-02-2026"/>
    <s v="17-02-2026 14:36:32"/>
    <s v="900800595"/>
    <s v="Provexpress SAS"/>
    <s v="890333023"/>
    <x v="317"/>
    <n v="51178.59"/>
    <n v="0"/>
    <n v="0"/>
    <n v="320539.59000000003"/>
    <s v="Aprobado con notificación"/>
    <s v="Emitido"/>
    <x v="1"/>
    <x v="0"/>
    <x v="1"/>
    <x v="0"/>
    <x v="0"/>
    <x v="0"/>
    <m/>
  </r>
  <r>
    <s v="Factura electrónica"/>
    <s v="081970291f957a67a5d85a3292e7806e4bc9f9b0caa40a2b757f0014e7bab66f1dbbe85274407d1a2987c9932c5f33a3"/>
    <x v="1395"/>
    <n v="-1"/>
    <s v="FVE"/>
    <s v="17-02-2026"/>
    <s v="17-02-2026 14:36:36"/>
    <s v="900800595"/>
    <s v="Provexpress SAS"/>
    <s v="890333023"/>
    <x v="317"/>
    <n v="113599.1"/>
    <n v="0"/>
    <n v="0"/>
    <n v="711489.1"/>
    <s v="Aprobado con notificación"/>
    <s v="Emitido"/>
    <x v="1"/>
    <x v="0"/>
    <x v="1"/>
    <x v="0"/>
    <x v="0"/>
    <x v="0"/>
    <m/>
  </r>
  <r>
    <s v="Factura electrónica"/>
    <s v="48c7b77593ac0b06af16fa1ae18e989b3c612436b52c8a95b740adb7c5df640fcdaac08dad4111aa98162049a127aef1"/>
    <x v="1396"/>
    <n v="-1"/>
    <s v="FVE"/>
    <s v="17-02-2026"/>
    <s v="17-02-2026 14:52:18"/>
    <s v="900800595"/>
    <s v="Provexpress SAS"/>
    <s v="860023338"/>
    <x v="252"/>
    <n v="442587.9"/>
    <n v="0"/>
    <n v="0"/>
    <n v="2771997.9"/>
    <s v="Aprobado con notificación"/>
    <s v="Emitido"/>
    <x v="1"/>
    <x v="0"/>
    <x v="1"/>
    <x v="0"/>
    <x v="0"/>
    <x v="0"/>
    <m/>
  </r>
  <r>
    <s v="Factura electrónica"/>
    <s v="4a9d4ffb950fe9e65c131d666b059b77f6480052781864055734d943385697ab1e435ddfa568f318401683efab07e9c9"/>
    <x v="1397"/>
    <n v="-1"/>
    <s v="FVE"/>
    <s v="17-02-2026"/>
    <s v="17-02-2026 14:52:19"/>
    <s v="900800595"/>
    <s v="Provexpress SAS"/>
    <s v="800201648"/>
    <x v="318"/>
    <n v="95521.17"/>
    <n v="0"/>
    <n v="0"/>
    <n v="598264.17000000004"/>
    <s v="Aprobado con notificación"/>
    <s v="Emitido"/>
    <x v="1"/>
    <x v="0"/>
    <x v="1"/>
    <x v="0"/>
    <x v="0"/>
    <x v="0"/>
    <m/>
  </r>
  <r>
    <s v="Factura electrónica"/>
    <s v="83c0bb8e277c70a5fc57bb99359c638253fb1cf461ba07ec1a4fd7bbdf97c317f177d339acea11f06948986bce4fa36b"/>
    <x v="1398"/>
    <n v="-1"/>
    <s v="FVE"/>
    <s v="17-02-2026"/>
    <s v="17-02-2026 14:52:20"/>
    <s v="900800595"/>
    <s v="Provexpress SAS"/>
    <s v="890903858"/>
    <x v="548"/>
    <n v="489824.56"/>
    <n v="0"/>
    <n v="0"/>
    <n v="3067848.56"/>
    <s v="Aprobado con notificación"/>
    <s v="Emitido"/>
    <x v="0"/>
    <x v="1"/>
    <x v="1"/>
    <x v="0"/>
    <x v="0"/>
    <x v="0"/>
    <m/>
  </r>
  <r>
    <s v="Factura electrónica"/>
    <s v="a744d2aa50b9c4fc8226ac4c5873be0495087da7394fcb40ec713841eaf3492899440038941379f162df4c781c7ed32a"/>
    <x v="1399"/>
    <n v="-1"/>
    <s v="FVE"/>
    <s v="17-02-2026"/>
    <s v="17-02-2026 14:52:26"/>
    <s v="900800595"/>
    <s v="Provexpress SAS"/>
    <s v="900556186"/>
    <x v="623"/>
    <n v="95762.85"/>
    <n v="0"/>
    <n v="0"/>
    <n v="638705.85"/>
    <s v="Aprobado con notificación"/>
    <s v="Emitido"/>
    <x v="0"/>
    <x v="0"/>
    <x v="1"/>
    <x v="0"/>
    <x v="0"/>
    <x v="1"/>
    <s v="PAGA 19/02/2026"/>
  </r>
  <r>
    <s v="Factura electrónica"/>
    <s v="fe403f7ec4e80dd065eb3b3196d09a35ea9cc64454379420394f941bd94e49dfb581206468c8d65a4adb1a40cfd6bd96"/>
    <x v="1400"/>
    <n v="-1"/>
    <s v="FVE"/>
    <s v="17-02-2026"/>
    <s v="17-02-2026 14:52:27"/>
    <s v="900800595"/>
    <s v="Provexpress SAS"/>
    <s v="800148312"/>
    <x v="624"/>
    <n v="2114972.84"/>
    <n v="0"/>
    <n v="0"/>
    <n v="13246408.84"/>
    <s v="Aprobado con notificación"/>
    <s v="Emitido"/>
    <x v="0"/>
    <x v="0"/>
    <x v="1"/>
    <x v="0"/>
    <x v="1"/>
    <x v="0"/>
    <m/>
  </r>
  <r>
    <s v="Factura electrónica"/>
    <s v="b59aead1c19091a35dd385dbc3ae1253967d639b8fbbaadd441beb75161758ce6ed2772505eb2bd273af86060ebc8640"/>
    <x v="1401"/>
    <n v="-1"/>
    <s v="FVE"/>
    <s v="17-02-2026"/>
    <s v="17-02-2026 15:14:40"/>
    <s v="900800595"/>
    <s v="Provexpress SAS"/>
    <s v="800148312"/>
    <x v="624"/>
    <n v="35993134.119999997"/>
    <n v="0"/>
    <n v="0"/>
    <n v="225430682.12"/>
    <s v="Aprobado con notificación"/>
    <s v="Emitido"/>
    <x v="0"/>
    <x v="0"/>
    <x v="1"/>
    <x v="0"/>
    <x v="1"/>
    <x v="0"/>
    <m/>
  </r>
  <r>
    <s v="Factura electrónica"/>
    <s v="9932decf2013d1b8f4d97f5fe4fc1beb7d6081511cc442bbb13d108dfcaa96198867d528a1b0230e7ed157aa5b09a45e"/>
    <x v="1402"/>
    <n v="-1"/>
    <s v="FVE"/>
    <s v="17-02-2026"/>
    <s v="17-02-2026 15:13:02"/>
    <s v="900800595"/>
    <s v="Provexpress SAS"/>
    <s v="901847883"/>
    <x v="3"/>
    <n v="0"/>
    <n v="0"/>
    <n v="0"/>
    <n v="2572448"/>
    <s v="Aprobado con notificación"/>
    <s v="Emitido"/>
    <x v="0"/>
    <x v="0"/>
    <x v="0"/>
    <x v="0"/>
    <x v="0"/>
    <x v="0"/>
    <m/>
  </r>
  <r>
    <s v="Factura electrónica"/>
    <s v="a6777f0fedb91c004fd1236d577443f9ee940ef6a73047b1380f88de30fbfbead9aa505fe0eb3b068de7e3ca4d6ab6f7"/>
    <x v="1403"/>
    <n v="-1"/>
    <s v="FVE"/>
    <s v="17-02-2026"/>
    <s v="17-02-2026 15:14:40"/>
    <s v="900800595"/>
    <s v="Provexpress SAS"/>
    <s v="1055272690"/>
    <x v="625"/>
    <n v="42337.7"/>
    <n v="0"/>
    <n v="0"/>
    <n v="265167.7"/>
    <s v="Aprobado con notificación"/>
    <s v="Emitido"/>
    <x v="0"/>
    <x v="0"/>
    <x v="1"/>
    <x v="0"/>
    <x v="0"/>
    <x v="1"/>
    <s v="PAGA 20/02/2026"/>
  </r>
  <r>
    <s v="Factura electrónica"/>
    <s v="3b111e1b23cb44a1e769375c647cde6236d1806034aa51cf2a4599c23f7074ec06fd355b442f4c3307a6ce82c04bc960"/>
    <x v="1404"/>
    <n v="-1"/>
    <s v="FVE"/>
    <s v="17-02-2026"/>
    <s v="17-02-2026 15:13:06"/>
    <s v="900800595"/>
    <s v="Provexpress SAS"/>
    <s v="860028462"/>
    <x v="626"/>
    <n v="1019540"/>
    <n v="0"/>
    <n v="0"/>
    <n v="6385540"/>
    <s v="Aprobado con notificación"/>
    <s v="Emitido"/>
    <x v="0"/>
    <x v="0"/>
    <x v="1"/>
    <x v="0"/>
    <x v="1"/>
    <x v="0"/>
    <m/>
  </r>
  <r>
    <s v="Factura electrónica"/>
    <s v="e6f4ee6c0fd3bfc17e46dab280d3bc0adfe8b926b51d4c0eee82343b2ee77a13285fa6c71ae05df3cebef4037266bb33"/>
    <x v="1405"/>
    <n v="-1"/>
    <s v="FVE"/>
    <s v="17-02-2026"/>
    <s v="17-02-2026 15:14:47"/>
    <s v="900800595"/>
    <s v="Provexpress SAS"/>
    <s v="830117370"/>
    <x v="263"/>
    <n v="92154.559999999998"/>
    <n v="0"/>
    <n v="0"/>
    <n v="577178.56000000006"/>
    <s v="Aprobado con notificación"/>
    <s v="Emitido"/>
    <x v="0"/>
    <x v="0"/>
    <x v="0"/>
    <x v="0"/>
    <x v="0"/>
    <x v="0"/>
    <m/>
  </r>
  <r>
    <s v="Factura electrónica"/>
    <s v="1fd9bb5a02125b47ce458109451578792677ebd733762d12d016a00bb440241a4fd588f3db37d1e8cbf9a52a4211a29f"/>
    <x v="1406"/>
    <n v="-1"/>
    <s v="FVE"/>
    <s v="17-02-2026"/>
    <s v="17-02-2026 15:14:38"/>
    <s v="900800595"/>
    <s v="Provexpress SAS"/>
    <s v="901874052"/>
    <x v="627"/>
    <n v="128250"/>
    <n v="0"/>
    <n v="0"/>
    <n v="803250"/>
    <s v="Aprobado con notificación"/>
    <s v="Emitido"/>
    <x v="0"/>
    <x v="0"/>
    <x v="1"/>
    <x v="0"/>
    <x v="1"/>
    <x v="0"/>
    <m/>
  </r>
  <r>
    <s v="Factura electrónica"/>
    <s v="8964d103bee850b9d846ec32d50893ec16e9885aabc7922b7ad84035b099d1bb353efe5bfd5dd392593e9179628d8342"/>
    <x v="1407"/>
    <n v="-1"/>
    <s v="FVE"/>
    <s v="17-02-2026"/>
    <s v="17-02-2026 15:14:52"/>
    <s v="900800595"/>
    <s v="Provexpress SAS"/>
    <s v="901144843"/>
    <x v="628"/>
    <n v="2509520"/>
    <n v="0"/>
    <n v="0"/>
    <n v="15717520"/>
    <s v="Aprobado con notificación"/>
    <s v="Emitido"/>
    <x v="0"/>
    <x v="1"/>
    <x v="1"/>
    <x v="0"/>
    <x v="0"/>
    <x v="0"/>
    <m/>
  </r>
  <r>
    <s v="Factura electrónica"/>
    <s v="096c91037fe378f086d0ed548e021f5b8e386672e343d87d80e4718501e59a86a4b7db9ef7bc1eb44c049492f55e47c1"/>
    <x v="1408"/>
    <n v="-1"/>
    <s v="FVE"/>
    <s v="17-02-2026"/>
    <s v="17-02-2026 15:37:46"/>
    <s v="900800595"/>
    <s v="Provexpress SAS"/>
    <s v="900725066"/>
    <x v="629"/>
    <n v="2694570.5"/>
    <n v="0"/>
    <n v="0"/>
    <n v="16876520.5"/>
    <s v="Aprobado con notificación"/>
    <s v="Emitido"/>
    <x v="0"/>
    <x v="0"/>
    <x v="1"/>
    <x v="0"/>
    <x v="1"/>
    <x v="0"/>
    <m/>
  </r>
  <r>
    <s v="Factura electrónica"/>
    <s v="082a7a94d0c693b42d0ad970a052dbe2d913209397de21a74aa81e8e92090d0f838c9bf89ef9fbd0f537162c7636623e"/>
    <x v="1409"/>
    <n v="-1"/>
    <s v="FVE"/>
    <s v="17-02-2026"/>
    <s v="17-02-2026 15:37:51"/>
    <s v="900800595"/>
    <s v="Provexpress SAS"/>
    <s v="830054539"/>
    <x v="199"/>
    <n v="169856.2"/>
    <n v="0"/>
    <n v="0"/>
    <n v="2653636.2000000002"/>
    <s v="Aprobado con notificación"/>
    <s v="Emitido"/>
    <x v="0"/>
    <x v="0"/>
    <x v="1"/>
    <x v="0"/>
    <x v="1"/>
    <x v="0"/>
    <m/>
  </r>
  <r>
    <s v="Factura electrónica"/>
    <s v="9e3c41af9ec905e54807256518aca611de68ef68c43da0638173eee3676a13e063af59d278ab463abafa9a71502af56f"/>
    <x v="1410"/>
    <n v="-1"/>
    <s v="FVE"/>
    <s v="17-02-2026"/>
    <s v="17-02-2026 15:37:56"/>
    <s v="900800595"/>
    <s v="Provexpress SAS"/>
    <s v="901229878"/>
    <x v="140"/>
    <n v="9500"/>
    <n v="0"/>
    <n v="0"/>
    <n v="59500"/>
    <s v="Aprobado con notificación"/>
    <s v="Emitido"/>
    <x v="1"/>
    <x v="0"/>
    <x v="1"/>
    <x v="0"/>
    <x v="0"/>
    <x v="0"/>
    <m/>
  </r>
  <r>
    <s v="Factura electrónica"/>
    <s v="e098aa463569d6818a93c2384acf8ebff957d4ddc868cd5af0bf64e420ab46d73ce03f1bb68a76ce71859c06fea696ae"/>
    <x v="1411"/>
    <n v="-1"/>
    <s v="FVE"/>
    <s v="17-02-2026"/>
    <s v="17-02-2026 15:53:03"/>
    <s v="900800595"/>
    <s v="Provexpress SAS"/>
    <s v="900714469"/>
    <x v="222"/>
    <n v="17290"/>
    <n v="0"/>
    <n v="0"/>
    <n v="108290"/>
    <s v="Aprobado con notificación"/>
    <s v="Emitido"/>
    <x v="1"/>
    <x v="0"/>
    <x v="1"/>
    <x v="0"/>
    <x v="0"/>
    <x v="0"/>
    <m/>
  </r>
  <r>
    <s v="Factura electrónica"/>
    <s v="e4dc3314f5c03a2f0a04e7d9c681686c37b57fdc4ebd8d7988409f10e0bc00ea85ab1020560e3b26700cec3261eb4264"/>
    <x v="1412"/>
    <n v="-1"/>
    <s v="FVE"/>
    <s v="17-02-2026"/>
    <s v="17-02-2026 15:53:07"/>
    <s v="900800595"/>
    <s v="Provexpress SAS"/>
    <s v="860048182"/>
    <x v="630"/>
    <n v="149340"/>
    <n v="0"/>
    <n v="0"/>
    <n v="935340"/>
    <s v="Aprobado con notificación"/>
    <s v="Emitido"/>
    <x v="1"/>
    <x v="0"/>
    <x v="1"/>
    <x v="0"/>
    <x v="0"/>
    <x v="0"/>
    <m/>
  </r>
  <r>
    <s v="Factura electrónica"/>
    <s v="d0f645d6de0276f8fda0061d1f7718c620803293753261bc89e9564e9dc42817b5abeb54aabe31af9260fb2eff15023b"/>
    <x v="1413"/>
    <n v="-1"/>
    <s v="FVE"/>
    <s v="17-02-2026"/>
    <s v="17-02-2026 15:53:12"/>
    <s v="900800595"/>
    <s v="Provexpress SAS"/>
    <s v="900148177"/>
    <x v="69"/>
    <n v="52069.5"/>
    <n v="0"/>
    <n v="0"/>
    <n v="326119.5"/>
    <s v="Aprobado con notificación"/>
    <s v="Emitido"/>
    <x v="0"/>
    <x v="0"/>
    <x v="1"/>
    <x v="0"/>
    <x v="1"/>
    <x v="0"/>
    <m/>
  </r>
  <r>
    <s v="Factura electrónica"/>
    <s v="2a4673fd0a5effbb792f220edebe71188c6613198d71f8ebad5685f6f124498737ac4fbf92e6f860723a1078f1b7ce52"/>
    <x v="1414"/>
    <n v="-1"/>
    <s v="FVE"/>
    <s v="17-02-2026"/>
    <s v="17-02-2026 15:53:16"/>
    <s v="900800595"/>
    <s v="Provexpress SAS"/>
    <s v="860020089"/>
    <x v="631"/>
    <n v="119095"/>
    <n v="0"/>
    <n v="0"/>
    <n v="903595"/>
    <s v="Aprobado con notificación"/>
    <s v="Emitido"/>
    <x v="0"/>
    <x v="0"/>
    <x v="1"/>
    <x v="0"/>
    <x v="1"/>
    <x v="0"/>
    <m/>
  </r>
  <r>
    <s v="Factura electrónica"/>
    <s v="aa3799a24bfcc6002e213689da18edeec00650a38d8fb24fa666169241471d3e1e03b48bff8720e76166c85e2016afe6"/>
    <x v="1415"/>
    <n v="-1"/>
    <s v="FVE"/>
    <s v="17-02-2026"/>
    <s v="17-02-2026 16:08:23"/>
    <s v="900800595"/>
    <s v="Provexpress SAS"/>
    <s v="901847883"/>
    <x v="3"/>
    <n v="10712.2"/>
    <n v="0"/>
    <n v="0"/>
    <n v="67092.2"/>
    <s v="Aprobado con notificación"/>
    <s v="Emitido"/>
    <x v="1"/>
    <x v="0"/>
    <x v="1"/>
    <x v="0"/>
    <x v="0"/>
    <x v="0"/>
    <m/>
  </r>
  <r>
    <s v="Factura electrónica"/>
    <s v="15e59df5a193cdc7e25a3facf0be2047e27bd2c104da83ded7e8545281141592be53616d34fc21fcd65390e83d168def"/>
    <x v="1416"/>
    <n v="-1"/>
    <s v="FVE"/>
    <s v="17-02-2026"/>
    <s v="17-02-2026 16:08:27"/>
    <s v="900800595"/>
    <s v="Provexpress SAS"/>
    <s v="900620832"/>
    <x v="632"/>
    <n v="367650"/>
    <n v="0"/>
    <n v="0"/>
    <n v="2302650"/>
    <s v="Aprobado con notificación"/>
    <s v="Emitido"/>
    <x v="0"/>
    <x v="1"/>
    <x v="1"/>
    <x v="0"/>
    <x v="0"/>
    <x v="0"/>
    <m/>
  </r>
  <r>
    <s v="Factura electrónica"/>
    <s v="b3581bd15c19531509599594592ee6b7eb9702da2cdbc805ad733b8d716c200b06fdf03c81b299e0299b4990ab10129a"/>
    <x v="1417"/>
    <n v="-1"/>
    <s v="FVE"/>
    <s v="17-02-2026"/>
    <s v="17-02-2026 16:08:33"/>
    <s v="900800595"/>
    <s v="Provexpress SAS"/>
    <s v="901180401"/>
    <x v="333"/>
    <n v="153418.54"/>
    <n v="0"/>
    <n v="0"/>
    <n v="960884.54"/>
    <s v="Aprobado con notificación"/>
    <s v="Emitido"/>
    <x v="1"/>
    <x v="0"/>
    <x v="1"/>
    <x v="0"/>
    <x v="0"/>
    <x v="0"/>
    <m/>
  </r>
  <r>
    <s v="Factura electrónica"/>
    <s v="a1fe1b08a4150888fd6398b30d356d0c55baab321725a4be5e3fe6a599b1838abfe0344b52eb0eae8c3c6108e7517b59"/>
    <x v="1418"/>
    <n v="-1"/>
    <s v="FVE"/>
    <s v="17-02-2026"/>
    <s v="17-02-2026 16:08:37"/>
    <s v="900800595"/>
    <s v="Provexpress SAS"/>
    <s v="860046192"/>
    <x v="633"/>
    <n v="88920"/>
    <n v="0"/>
    <n v="0"/>
    <n v="556920"/>
    <s v="Aprobado con notificación"/>
    <s v="Emitido"/>
    <x v="0"/>
    <x v="0"/>
    <x v="0"/>
    <x v="0"/>
    <x v="0"/>
    <x v="0"/>
    <m/>
  </r>
  <r>
    <s v="Factura electrónica"/>
    <s v="f45164030924484a9339fb779c7b97272d3b487f9c05bb372965c3fd10d298a8119476a118c84236ddee291e2663902c"/>
    <x v="1419"/>
    <n v="-2"/>
    <s v="FVE"/>
    <s v="17-02-2026"/>
    <s v="17-02-2026 16:08:42"/>
    <s v="900800595"/>
    <s v="Provexpress SAS"/>
    <s v="901281572"/>
    <x v="141"/>
    <n v="2419175"/>
    <n v="0"/>
    <n v="0"/>
    <n v="15151675"/>
    <s v="Aprobado con notificación"/>
    <s v="Emitido"/>
    <x v="0"/>
    <x v="0"/>
    <x v="0"/>
    <x v="0"/>
    <x v="0"/>
    <x v="0"/>
    <m/>
  </r>
  <r>
    <s v="Factura electrónica"/>
    <s v="4592d810ca7891cef27d5fc60ed19cb298dd3e77c89bac93747667b4c05eb9adb4810e6b70039beebcfc3dc7f634eab0"/>
    <x v="1420"/>
    <n v="-1"/>
    <s v="FVE"/>
    <s v="17-02-2026"/>
    <s v="17-02-2026 16:23:48"/>
    <s v="900800595"/>
    <s v="Provexpress SAS"/>
    <s v="860000996"/>
    <x v="261"/>
    <n v="252410.82"/>
    <n v="0"/>
    <n v="0"/>
    <n v="1580888.82"/>
    <s v="Aprobado con notificación"/>
    <s v="Emitido"/>
    <x v="1"/>
    <x v="0"/>
    <x v="1"/>
    <x v="0"/>
    <x v="0"/>
    <x v="0"/>
    <m/>
  </r>
  <r>
    <s v="Factura electrónica"/>
    <s v="67dca4309a3a173b342ff8a68ff640170bda68facbeb0d76ecb10cf6b25ae58398095f7fd063ac570fba2f0889f287b5"/>
    <x v="1421"/>
    <n v="-1"/>
    <s v="FVE"/>
    <s v="18-02-2026"/>
    <s v="18-02-2026 07:25:18"/>
    <s v="900800595"/>
    <s v="Provexpress SAS"/>
    <s v="901066786"/>
    <x v="634"/>
    <n v="0"/>
    <n v="0"/>
    <n v="0"/>
    <n v="352932"/>
    <s v="Aprobado con notificación"/>
    <s v="Emitido"/>
    <x v="1"/>
    <x v="0"/>
    <x v="1"/>
    <x v="0"/>
    <x v="0"/>
    <x v="0"/>
    <m/>
  </r>
  <r>
    <s v="Factura electrónica"/>
    <s v="a0cdd11cb61f3e7e34fa04c7221ae81c8fa58aa6f0a92c171042b76cac19a27004147b4263395c2ab1e04ef796d31707"/>
    <x v="1422"/>
    <n v="-1"/>
    <s v="FVE"/>
    <s v="18-02-2026"/>
    <s v="18-02-2026 07:40:24"/>
    <s v="900800595"/>
    <s v="Provexpress SAS"/>
    <s v="830130106"/>
    <x v="289"/>
    <n v="267801.96000000002"/>
    <n v="0"/>
    <n v="0"/>
    <n v="1677285.96"/>
    <s v="Aprobado con notificación"/>
    <s v="Emitido"/>
    <x v="0"/>
    <x v="0"/>
    <x v="1"/>
    <x v="0"/>
    <x v="1"/>
    <x v="0"/>
    <m/>
  </r>
  <r>
    <s v="Factura electrónica"/>
    <s v="ea6c92922d81ffa35b0a4ddb3dfde41b352cd02ff34554c2a5ae1a802b942208498ab13964946da2e1cf85330631d66d"/>
    <x v="1423"/>
    <n v="-1"/>
    <s v="FVE"/>
    <s v="18-02-2026"/>
    <s v="18-02-2026 07:40:28"/>
    <s v="900800595"/>
    <s v="Provexpress SAS"/>
    <s v="830130106"/>
    <x v="289"/>
    <n v="533801.96"/>
    <n v="0"/>
    <n v="0"/>
    <n v="3343285.96"/>
    <s v="Aprobado con notificación"/>
    <s v="Emitido"/>
    <x v="0"/>
    <x v="0"/>
    <x v="1"/>
    <x v="0"/>
    <x v="1"/>
    <x v="0"/>
    <m/>
  </r>
  <r>
    <s v="Factura electrónica"/>
    <s v="9f90a78e753110320d40240ccbc40e563c9d1f4198c641d387e794db87776c9b06e31e0136d4f499b677f114ec083bc4"/>
    <x v="1424"/>
    <n v="-1"/>
    <s v="FVE"/>
    <s v="18-02-2026"/>
    <s v="18-02-2026 07:55:35"/>
    <s v="900800595"/>
    <s v="Provexpress SAS"/>
    <s v="830130106"/>
    <x v="289"/>
    <n v="533801.96"/>
    <n v="0"/>
    <n v="0"/>
    <n v="3343285.96"/>
    <s v="Aprobado con notificación"/>
    <s v="Emitido"/>
    <x v="0"/>
    <x v="0"/>
    <x v="1"/>
    <x v="0"/>
    <x v="1"/>
    <x v="0"/>
    <m/>
  </r>
  <r>
    <s v="Factura electrónica"/>
    <s v="0e0f08e63f92f2cc10db8e4ffda70bed0a6fb9948ef98feae3eb6d638c7177d6faf32251f129721497865af557d6928e"/>
    <x v="1425"/>
    <n v="-1"/>
    <s v="FVE"/>
    <s v="18-02-2026"/>
    <s v="18-02-2026 07:55:40"/>
    <s v="900800595"/>
    <s v="Provexpress SAS"/>
    <s v="830130106"/>
    <x v="289"/>
    <n v="2741806.59"/>
    <n v="0"/>
    <n v="0"/>
    <n v="17172367.59"/>
    <s v="Aprobado con notificación"/>
    <s v="Emitido"/>
    <x v="0"/>
    <x v="0"/>
    <x v="1"/>
    <x v="0"/>
    <x v="1"/>
    <x v="0"/>
    <m/>
  </r>
  <r>
    <s v="Factura electrónica"/>
    <s v="274d2a629bac272af394c0eb13f3c79350ec409165e7728c590c15e7f2d7f0c50a30f58f1a7e0eafd3f704454d10a3c7"/>
    <x v="1426"/>
    <n v="-1"/>
    <s v="FVE"/>
    <s v="18-02-2026"/>
    <s v="18-02-2026 07:55:44"/>
    <s v="900800595"/>
    <s v="Provexpress SAS"/>
    <s v="900208445"/>
    <x v="67"/>
    <n v="112223.5"/>
    <n v="0"/>
    <n v="0"/>
    <n v="702873.5"/>
    <s v="Aprobado con notificación"/>
    <s v="Emitido"/>
    <x v="1"/>
    <x v="0"/>
    <x v="1"/>
    <x v="0"/>
    <x v="0"/>
    <x v="0"/>
    <m/>
  </r>
  <r>
    <s v="Factura electrónica"/>
    <s v="29e118d08ea9fde96b371d9a8cf42b1149bb13f62f1b7a11456f73161a3c6106443ff795ba110e02a71f1d2463a04245"/>
    <x v="1427"/>
    <n v="-1"/>
    <s v="FVE"/>
    <s v="18-02-2026"/>
    <s v="18-02-2026 08:10:50"/>
    <s v="900800595"/>
    <s v="Provexpress SAS"/>
    <s v="900412189"/>
    <x v="635"/>
    <n v="285000"/>
    <n v="0"/>
    <n v="0"/>
    <n v="1785000"/>
    <s v="Aprobado con notificación"/>
    <s v="Emitido"/>
    <x v="0"/>
    <x v="1"/>
    <x v="1"/>
    <x v="0"/>
    <x v="0"/>
    <x v="0"/>
    <m/>
  </r>
  <r>
    <s v="Factura electrónica"/>
    <s v="330f26b33dfd6d271fbacb65a745366ba2261ca8d93d4103b7730ffac014a6bac51876e5fa50ad92e6e41cc485ddaae9"/>
    <x v="1428"/>
    <n v="-1"/>
    <s v="FVE"/>
    <s v="18-02-2026"/>
    <s v="18-02-2026 08:10:55"/>
    <s v="900800595"/>
    <s v="Provexpress SAS"/>
    <s v="800014656"/>
    <x v="636"/>
    <n v="55458.91"/>
    <n v="0"/>
    <n v="0"/>
    <n v="347347.91"/>
    <s v="Aprobado con notificación"/>
    <s v="Emitido"/>
    <x v="0"/>
    <x v="0"/>
    <x v="1"/>
    <x v="0"/>
    <x v="1"/>
    <x v="0"/>
    <m/>
  </r>
  <r>
    <s v="Factura electrónica"/>
    <s v="c0e9ef8fb112fe9b67489c224fbb0a1e688ef9f36dde078bd1103b31b4093dfd8e321e64daeb357301ba4de1952dc50c"/>
    <x v="1429"/>
    <n v="-1"/>
    <s v="FVE"/>
    <s v="18-02-2026"/>
    <s v="18-02-2026 08:11:01"/>
    <s v="900800595"/>
    <s v="Provexpress SAS"/>
    <s v="800118776"/>
    <x v="13"/>
    <n v="200070.76"/>
    <n v="0"/>
    <n v="0"/>
    <n v="1253074.76"/>
    <s v="Aprobado con notificación"/>
    <s v="Emitido"/>
    <x v="0"/>
    <x v="0"/>
    <x v="1"/>
    <x v="0"/>
    <x v="1"/>
    <x v="0"/>
    <m/>
  </r>
  <r>
    <s v="Factura electrónica"/>
    <s v="8d604788d4c18e5fada26bdc82122d44dc8bf2a0831a873370c4a071e0ce52a5afdca680f4fd73f2d9e7822bfccf9615"/>
    <x v="1430"/>
    <n v="-1"/>
    <s v="FVE"/>
    <s v="18-02-2026"/>
    <s v="18-02-2026 08:42:11"/>
    <s v="900800595"/>
    <s v="Provexpress SAS"/>
    <s v="900845767"/>
    <x v="278"/>
    <n v="0"/>
    <n v="0"/>
    <n v="0"/>
    <n v="2350000"/>
    <s v="Aprobado con notificación"/>
    <s v="Emitido"/>
    <x v="0"/>
    <x v="0"/>
    <x v="1"/>
    <x v="0"/>
    <x v="1"/>
    <x v="0"/>
    <m/>
  </r>
  <r>
    <s v="Factura electrónica"/>
    <s v="efce7bf0e90587de0481b0a1249056a8b64ffeed2b7cda6a8a3055b231638f2458a3ba195116c425b58e66e614e1d015"/>
    <x v="1431"/>
    <n v="-1"/>
    <s v="FVE"/>
    <s v="18-02-2026"/>
    <s v="18-02-2026 08:42:06"/>
    <s v="900800595"/>
    <s v="Provexpress SAS"/>
    <s v="901255563"/>
    <x v="637"/>
    <n v="0"/>
    <n v="0"/>
    <n v="0"/>
    <n v="2350000"/>
    <s v="Aprobado con notificación"/>
    <s v="Emitido"/>
    <x v="0"/>
    <x v="0"/>
    <x v="1"/>
    <x v="0"/>
    <x v="1"/>
    <x v="0"/>
    <m/>
  </r>
  <r>
    <s v="Factura electrónica"/>
    <s v="31378e49d3143df011e07e2288fe0bbfe74698773e5487c9a142b6c6d3cfdcbdf830a9c3007237cd2e25bbc2571f2d30"/>
    <x v="1432"/>
    <n v="-1"/>
    <s v="FVE"/>
    <s v="18-02-2026"/>
    <s v="18-02-2026 08:42:11"/>
    <s v="900800595"/>
    <s v="Provexpress SAS"/>
    <s v="900342297"/>
    <x v="15"/>
    <n v="399000"/>
    <n v="0"/>
    <n v="0"/>
    <n v="2499000"/>
    <s v="Aprobado con notificación"/>
    <s v="Emitido"/>
    <x v="0"/>
    <x v="0"/>
    <x v="1"/>
    <x v="1"/>
    <x v="0"/>
    <x v="0"/>
    <m/>
  </r>
  <r>
    <s v="Factura electrónica"/>
    <s v="5e7015b869162053d2afe1dfa6ce398b582b5c6ee0beb95e56fb31f96266d0f2c28a7891687ea6f8f869d60d8e27cddd"/>
    <x v="1433"/>
    <n v="-1"/>
    <s v="FVE"/>
    <s v="18-02-2026"/>
    <s v="18-02-2026 08:56:27"/>
    <s v="900800595"/>
    <s v="Provexpress SAS"/>
    <s v="901924401"/>
    <x v="638"/>
    <n v="45486"/>
    <n v="0"/>
    <n v="0"/>
    <n v="284886"/>
    <s v="Aprobado con notificación"/>
    <s v="Emitido"/>
    <x v="0"/>
    <x v="0"/>
    <x v="1"/>
    <x v="0"/>
    <x v="1"/>
    <x v="0"/>
    <m/>
  </r>
  <r>
    <s v="Factura electrónica"/>
    <s v="41d25431665110bcaff339f7a02945f07a41d81ab10027711f36c802f0df02b64616564be341ee1ce26a07a2013da6ee"/>
    <x v="1434"/>
    <n v="-1"/>
    <s v="FVE"/>
    <s v="18-02-2026"/>
    <s v="18-02-2026 08:57:35"/>
    <s v="900800595"/>
    <s v="Provexpress SAS"/>
    <s v="830073329"/>
    <x v="597"/>
    <n v="41040"/>
    <n v="0"/>
    <n v="0"/>
    <n v="257040"/>
    <s v="Aprobado con notificación"/>
    <s v="Emitido"/>
    <x v="0"/>
    <x v="0"/>
    <x v="1"/>
    <x v="0"/>
    <x v="1"/>
    <x v="0"/>
    <m/>
  </r>
  <r>
    <s v="Factura electrónica"/>
    <s v="2b52c6ea38b35dbf083e153850c3882cccaa8468140c03f7e54d0e89ef8816dbbe8a34a2edc5e6ee2b602ea443b9cfc5"/>
    <x v="1435"/>
    <n v="-1"/>
    <s v="FVE"/>
    <s v="18-02-2026"/>
    <s v="18-02-2026 08:57:22"/>
    <s v="900800595"/>
    <s v="Provexpress SAS"/>
    <s v="800201648"/>
    <x v="318"/>
    <n v="230906.23999999999"/>
    <n v="0"/>
    <n v="0"/>
    <n v="1446202.24"/>
    <s v="Aprobado con notificación"/>
    <s v="Emitido"/>
    <x v="1"/>
    <x v="0"/>
    <x v="1"/>
    <x v="0"/>
    <x v="0"/>
    <x v="0"/>
    <m/>
  </r>
  <r>
    <s v="Factura electrónica"/>
    <s v="dac87421e287fe8b0d3231ab47102712753b4f70f870f060b98e317891f4777a7e093aa396feb4dd25813290a7356635"/>
    <x v="1436"/>
    <n v="-1"/>
    <s v="FVE"/>
    <s v="18-02-2026"/>
    <s v="18-02-2026 09:11:42"/>
    <s v="900800595"/>
    <s v="Provexpress SAS"/>
    <s v="860007336"/>
    <x v="2"/>
    <n v="56620"/>
    <n v="0"/>
    <n v="0"/>
    <n v="354620"/>
    <s v="Aprobado con notificación"/>
    <s v="Emitido"/>
    <x v="0"/>
    <x v="0"/>
    <x v="0"/>
    <x v="0"/>
    <x v="0"/>
    <x v="0"/>
    <m/>
  </r>
  <r>
    <s v="Factura electrónica"/>
    <s v="0d523c65d02979ed1850ae3dc9fe4fa7b46394b6e18428b5d53e3727e078766da01de031f5e464a456bcefdd55d41652"/>
    <x v="1437"/>
    <n v="-1"/>
    <s v="FVE"/>
    <s v="18-02-2026"/>
    <s v="18-02-2026 09:11:48"/>
    <s v="900800595"/>
    <s v="Provexpress SAS"/>
    <s v="860007336"/>
    <x v="2"/>
    <n v="74575"/>
    <n v="0"/>
    <n v="0"/>
    <n v="467075"/>
    <s v="Aprobado con notificación"/>
    <s v="Emitido"/>
    <x v="0"/>
    <x v="0"/>
    <x v="0"/>
    <x v="0"/>
    <x v="0"/>
    <x v="0"/>
    <m/>
  </r>
  <r>
    <s v="Factura electrónica"/>
    <s v="a20c10cf96ad3fb95411d5e1144f255e29ea4f2fd3943ff0d102f20ba82a4f7e0e7ee943903b40c89f39c4a0963c7c77"/>
    <x v="1438"/>
    <n v="-1"/>
    <s v="FVE"/>
    <s v="18-02-2026"/>
    <s v="18-02-2026 09:11:52"/>
    <s v="900800595"/>
    <s v="Provexpress SAS"/>
    <s v="901134016"/>
    <x v="488"/>
    <n v="29307.5"/>
    <n v="0"/>
    <n v="0"/>
    <n v="183557.5"/>
    <s v="Aprobado con notificación"/>
    <s v="Emitido"/>
    <x v="0"/>
    <x v="0"/>
    <x v="1"/>
    <x v="0"/>
    <x v="1"/>
    <x v="0"/>
    <m/>
  </r>
  <r>
    <s v="Factura electrónica"/>
    <s v="32e3090a44fec5c55dd85c0b70be27c827b0203b87213a18a5c8588e8d4dda3a375be3e9ff2cefaea234f1864352e9b3"/>
    <x v="1439"/>
    <n v="-1"/>
    <s v="FVE"/>
    <s v="18-02-2026"/>
    <s v="18-02-2026 09:26:58"/>
    <s v="900800595"/>
    <s v="Provexpress SAS"/>
    <s v="830055897"/>
    <x v="639"/>
    <n v="183730"/>
    <n v="0"/>
    <n v="0"/>
    <n v="1150730"/>
    <s v="Aprobado con notificación"/>
    <s v="Emitido"/>
    <x v="0"/>
    <x v="0"/>
    <x v="1"/>
    <x v="0"/>
    <x v="1"/>
    <x v="0"/>
    <m/>
  </r>
  <r>
    <s v="Factura electrónica"/>
    <s v="89b41b08d9634fd5d3082c10d08fe932042f719aecff188462fba75027f142fb184dc88fd72cd696f60c50407fe3de2d"/>
    <x v="1440"/>
    <n v="-1"/>
    <s v="FVE"/>
    <s v="18-02-2026"/>
    <s v="18-02-2026 09:27:03"/>
    <s v="900800595"/>
    <s v="Provexpress SAS"/>
    <s v="900132714"/>
    <x v="208"/>
    <n v="126730"/>
    <n v="0"/>
    <n v="0"/>
    <n v="793730"/>
    <s v="Aprobado con notificación"/>
    <s v="Emitido"/>
    <x v="0"/>
    <x v="0"/>
    <x v="1"/>
    <x v="0"/>
    <x v="1"/>
    <x v="0"/>
    <m/>
  </r>
  <r>
    <s v="Factura electrónica"/>
    <s v="b891cb2e1aa80eebb0a7c9d08bc2968c0337009b612461715b287678d40d29c71bd5ade76a78e98ad868d276b75120c6"/>
    <x v="1441"/>
    <n v="-1"/>
    <s v="FVE"/>
    <s v="18-02-2026"/>
    <s v="18-02-2026 09:28:57"/>
    <s v="900800595"/>
    <s v="Provexpress SAS"/>
    <s v="900132714"/>
    <x v="208"/>
    <n v="39941.800000000003"/>
    <n v="0"/>
    <n v="0"/>
    <n v="250161.8"/>
    <s v="Aprobado con notificación"/>
    <s v="Emitido"/>
    <x v="0"/>
    <x v="0"/>
    <x v="1"/>
    <x v="0"/>
    <x v="1"/>
    <x v="0"/>
    <m/>
  </r>
  <r>
    <s v="Factura electrónica"/>
    <s v="9e5af9fddb21ddcc2934d93b695411b5c919bc8dc2faa03726be7146aeed75f5824625238aaa91f678206b23a76e60a6"/>
    <x v="1442"/>
    <n v="-1"/>
    <s v="FVE"/>
    <s v="18-02-2026"/>
    <s v="18-02-2026 09:27:14"/>
    <s v="900800595"/>
    <s v="Provexpress SAS"/>
    <s v="900391130"/>
    <x v="105"/>
    <n v="143194.95000000001"/>
    <n v="0"/>
    <n v="0"/>
    <n v="1552099.95"/>
    <s v="Aprobado con notificación"/>
    <s v="Emitido"/>
    <x v="0"/>
    <x v="0"/>
    <x v="1"/>
    <x v="0"/>
    <x v="1"/>
    <x v="0"/>
    <m/>
  </r>
  <r>
    <s v="Factura electrónica"/>
    <s v="2a313acf8988483bad2f62ea1588b9a28d1eeac2f90a9e7c4af65179595a599edde27b85231822d15219a7fd870e3752"/>
    <x v="1443"/>
    <n v="-1"/>
    <s v="FVE"/>
    <s v="18-02-2026"/>
    <s v="18-02-2026 09:27:24"/>
    <s v="900800595"/>
    <s v="Provexpress SAS"/>
    <s v="830067414"/>
    <x v="307"/>
    <n v="347509.05"/>
    <n v="0"/>
    <n v="0"/>
    <n v="2176504.0499999998"/>
    <s v="Aprobado con notificación"/>
    <s v="Emitido"/>
    <x v="1"/>
    <x v="0"/>
    <x v="1"/>
    <x v="0"/>
    <x v="0"/>
    <x v="0"/>
    <m/>
  </r>
  <r>
    <s v="Factura electrónica"/>
    <s v="78ab219c9ecf7f16a2943f64534b24a6565b6c0d7d7019275b5dee4ce32e0ae56a3ceb52170c3c303bbb925118510b41"/>
    <x v="1444"/>
    <n v="-1"/>
    <s v="FVE"/>
    <s v="18-02-2026"/>
    <s v="18-02-2026 09:43:38"/>
    <s v="900800595"/>
    <s v="Provexpress SAS"/>
    <s v="800155413"/>
    <x v="640"/>
    <n v="1658928"/>
    <n v="0"/>
    <n v="0"/>
    <n v="10390128"/>
    <s v="Aprobado con notificación"/>
    <s v="Emitido"/>
    <x v="0"/>
    <x v="0"/>
    <x v="0"/>
    <x v="0"/>
    <x v="0"/>
    <x v="0"/>
    <m/>
  </r>
  <r>
    <s v="Factura electrónica"/>
    <s v="f1b388f802378d5d27057ea9090c395588486d3958f5f17b95957cf01b2f1d24cb7e10459b07527c1b9abf2b044df5af"/>
    <x v="1445"/>
    <n v="-1"/>
    <s v="FVE"/>
    <s v="18-02-2026"/>
    <s v="18-02-2026 09:43:38"/>
    <s v="900800595"/>
    <s v="Provexpress SAS"/>
    <s v="860000656"/>
    <x v="332"/>
    <n v="123500"/>
    <n v="0"/>
    <n v="0"/>
    <n v="773500"/>
    <s v="Aprobado con notificación"/>
    <s v="Emitido"/>
    <x v="0"/>
    <x v="0"/>
    <x v="1"/>
    <x v="0"/>
    <x v="1"/>
    <x v="0"/>
    <m/>
  </r>
  <r>
    <s v="Factura electrónica"/>
    <s v="128e8302fba21ad08709f148b2aea0944dbb0dd48aa90021c73af312a2daa0304cb4d96dfe3109c6db8e1f1392d6f1e9"/>
    <x v="1446"/>
    <n v="-1"/>
    <s v="FVE"/>
    <s v="18-02-2026"/>
    <s v="18-02-2026 09:44:38"/>
    <s v="900800595"/>
    <s v="Provexpress SAS"/>
    <s v="830137844"/>
    <x v="641"/>
    <n v="57680"/>
    <n v="0"/>
    <n v="0"/>
    <n v="511280"/>
    <s v="Aprobado con notificación"/>
    <s v="Emitido"/>
    <x v="0"/>
    <x v="0"/>
    <x v="1"/>
    <x v="0"/>
    <x v="0"/>
    <x v="1"/>
    <s v="PAGA 24/02/2026"/>
  </r>
  <r>
    <s v="Factura electrónica"/>
    <s v="4d66b14b2c240084f538b52160afa2a080166bb950eaefe2ac64f4d685627e16db704d062872fa90f7cbdee85d04cc30"/>
    <x v="1447"/>
    <n v="-1"/>
    <s v="FVE"/>
    <s v="18-02-2026"/>
    <s v="18-02-2026 09:43:37"/>
    <s v="900800595"/>
    <s v="Provexpress SAS"/>
    <s v="860012357"/>
    <x v="642"/>
    <n v="64600"/>
    <n v="0"/>
    <n v="0"/>
    <n v="404600"/>
    <s v="Aprobado con notificación"/>
    <s v="Emitido"/>
    <x v="1"/>
    <x v="0"/>
    <x v="1"/>
    <x v="0"/>
    <x v="0"/>
    <x v="0"/>
    <m/>
  </r>
  <r>
    <s v="Factura electrónica"/>
    <s v="cbad30f3f18bde8cd40091f72c987c2b2c5dd8e183471ea992d16f7e9bb8f8d9c9dd8dcf55a64fa75c758fa8ee02b1b3"/>
    <x v="1448"/>
    <n v="-1"/>
    <s v="FVE"/>
    <s v="18-02-2026"/>
    <s v="18-02-2026 09:43:36"/>
    <s v="900800595"/>
    <s v="Provexpress SAS"/>
    <s v="860000656"/>
    <x v="332"/>
    <n v="202540"/>
    <n v="0"/>
    <n v="0"/>
    <n v="1268540"/>
    <s v="Aprobado con notificación"/>
    <s v="Emitido"/>
    <x v="0"/>
    <x v="0"/>
    <x v="1"/>
    <x v="0"/>
    <x v="1"/>
    <x v="0"/>
    <m/>
  </r>
  <r>
    <s v="Factura electrónica"/>
    <s v="73ee66d621c1f0c06cee1cfb821b6ab92e6cbc23eedd300bd915ad9c3d073985f25cc2a962d9e25152973f43932114ab"/>
    <x v="1449"/>
    <n v="-1"/>
    <s v="FVE"/>
    <s v="18-02-2026"/>
    <s v="18-02-2026 09:44:37"/>
    <s v="900800595"/>
    <s v="Provexpress SAS"/>
    <s v="901487659"/>
    <x v="643"/>
    <n v="648171.51"/>
    <n v="0"/>
    <n v="0"/>
    <n v="4059600.51"/>
    <s v="Aprobado con notificación"/>
    <s v="Emitido"/>
    <x v="0"/>
    <x v="0"/>
    <x v="1"/>
    <x v="0"/>
    <x v="1"/>
    <x v="0"/>
    <m/>
  </r>
  <r>
    <s v="Factura electrónica"/>
    <s v="1e29a7d4ee61d407bee5a89eb66ee64c30670c6414a024743badffe95b0344a32b2e0df0747f169bf483a6b5a29f8347"/>
    <x v="1450"/>
    <n v="-1"/>
    <s v="FVE"/>
    <s v="18-02-2026"/>
    <s v="18-02-2026 09:57:55"/>
    <s v="900800595"/>
    <s v="Provexpress SAS"/>
    <s v="800251569"/>
    <x v="175"/>
    <n v="1032614.47"/>
    <n v="0"/>
    <n v="0"/>
    <n v="6467427.4699999997"/>
    <s v="Aprobado con notificación"/>
    <s v="Emitido"/>
    <x v="0"/>
    <x v="0"/>
    <x v="1"/>
    <x v="0"/>
    <x v="1"/>
    <x v="0"/>
    <m/>
  </r>
  <r>
    <s v="Factura electrónica"/>
    <s v="5f26779e27a9703192f891f10e355adf1697a54faef8ab64c48ea61ec562098482b8969e6b89d0a16f43a4af940b887a"/>
    <x v="1451"/>
    <n v="-1"/>
    <s v="FVE"/>
    <s v="18-02-2026"/>
    <s v="18-02-2026 09:58:00"/>
    <s v="900800595"/>
    <s v="Provexpress SAS"/>
    <s v="800154155"/>
    <x v="559"/>
    <n v="102680.94"/>
    <n v="0"/>
    <n v="0"/>
    <n v="643106.93999999994"/>
    <s v="Aprobado con notificación"/>
    <s v="Emitido"/>
    <x v="0"/>
    <x v="0"/>
    <x v="0"/>
    <x v="0"/>
    <x v="0"/>
    <x v="0"/>
    <m/>
  </r>
  <r>
    <s v="Factura electrónica"/>
    <s v="c2c692b01133316f014e2ee06e9963d762ad3f2783fc381c71c467cd07d3a9e1277f0595dfa00b304d3ae0ef20416b22"/>
    <x v="1452"/>
    <n v="-1"/>
    <s v="FVE"/>
    <s v="18-02-2026"/>
    <s v="18-02-2026 09:58:05"/>
    <s v="900800595"/>
    <s v="Provexpress SAS"/>
    <s v="860025614"/>
    <x v="560"/>
    <n v="413250"/>
    <n v="0"/>
    <n v="0"/>
    <n v="2588250"/>
    <s v="Aprobado con notificación"/>
    <s v="Emitido"/>
    <x v="1"/>
    <x v="0"/>
    <x v="1"/>
    <x v="0"/>
    <x v="0"/>
    <x v="0"/>
    <m/>
  </r>
  <r>
    <s v="Factura electrónica"/>
    <s v="3a1d47bb5ed5083bd983dd1967377e904622049eb4f831570bdbcea2361b71fa92d279e8854921c6f4969cd46af50403"/>
    <x v="1453"/>
    <n v="-1"/>
    <s v="FVE"/>
    <s v="18-02-2026"/>
    <s v="18-02-2026 09:58:10"/>
    <s v="900800595"/>
    <s v="Provexpress SAS"/>
    <s v="860509514"/>
    <x v="644"/>
    <n v="207879"/>
    <n v="0"/>
    <n v="0"/>
    <n v="1301979"/>
    <s v="Aprobado con notificación"/>
    <s v="Emitido"/>
    <x v="1"/>
    <x v="0"/>
    <x v="1"/>
    <x v="0"/>
    <x v="0"/>
    <x v="0"/>
    <m/>
  </r>
  <r>
    <s v="Factura electrónica"/>
    <s v="ea1f79045c8f25bf0f3611c8eb5711c313df635965cc69473242cae87088d20196ed76dd1fa54f6651ef8a77299a0e07"/>
    <x v="1454"/>
    <n v="-1"/>
    <s v="FVE"/>
    <s v="18-02-2026"/>
    <s v="18-02-2026 09:58:19"/>
    <s v="900800595"/>
    <s v="Provexpress SAS"/>
    <s v="860536003"/>
    <x v="225"/>
    <n v="72580"/>
    <n v="0"/>
    <n v="0"/>
    <n v="454580"/>
    <s v="Aprobado con notificación"/>
    <s v="Emitido"/>
    <x v="0"/>
    <x v="0"/>
    <x v="1"/>
    <x v="0"/>
    <x v="1"/>
    <x v="0"/>
    <m/>
  </r>
  <r>
    <s v="Factura electrónica"/>
    <s v="453c4db52b6c5410facd93b3f50b9fc56a00e21f4741590ceda954f149036369261561ee0018bb0fb2e7794412e7b2c6"/>
    <x v="1455"/>
    <n v="-1"/>
    <s v="FVE"/>
    <s v="18-02-2026"/>
    <s v="18-02-2026 09:59:32"/>
    <s v="900800595"/>
    <s v="Provexpress SAS"/>
    <s v="805020771"/>
    <x v="645"/>
    <n v="148200"/>
    <n v="0"/>
    <n v="0"/>
    <n v="928200"/>
    <s v="Aprobado con notificación"/>
    <s v="Emitido"/>
    <x v="0"/>
    <x v="0"/>
    <x v="1"/>
    <x v="0"/>
    <x v="1"/>
    <x v="0"/>
    <m/>
  </r>
  <r>
    <s v="Factura electrónica"/>
    <s v="a98522a66e3c5c1efa37c2c77cf630dcb972816a7ee533ded40ad86e16db09bcf7ca4fed96641e7397ac9016a3d652db"/>
    <x v="1456"/>
    <n v="-1"/>
    <s v="FVE"/>
    <s v="18-02-2026"/>
    <s v="18-02-2026 09:58:24"/>
    <s v="900800595"/>
    <s v="Provexpress SAS"/>
    <s v="860511458"/>
    <x v="508"/>
    <n v="493050"/>
    <n v="0"/>
    <n v="0"/>
    <n v="3088050"/>
    <s v="Aprobado con notificación"/>
    <s v="Emitido"/>
    <x v="0"/>
    <x v="0"/>
    <x v="1"/>
    <x v="0"/>
    <x v="1"/>
    <x v="0"/>
    <m/>
  </r>
  <r>
    <s v="Factura electrónica"/>
    <s v="6952dd79cc86d8c2d92c60e5027ae317bb76dfadd11c7a35ea5f7ae7eada4c2cc45aa154674ffe03957cedaefeb2b297"/>
    <x v="1457"/>
    <n v="-1"/>
    <s v="FVE"/>
    <s v="18-02-2026"/>
    <s v="18-02-2026 10:28:46"/>
    <s v="900800595"/>
    <s v="Provexpress SAS"/>
    <s v="860006848"/>
    <x v="316"/>
    <n v="50742.73"/>
    <n v="0"/>
    <n v="0"/>
    <n v="317809.73"/>
    <s v="Aprobado con notificación"/>
    <s v="Emitido"/>
    <x v="1"/>
    <x v="0"/>
    <x v="1"/>
    <x v="0"/>
    <x v="0"/>
    <x v="0"/>
    <m/>
  </r>
  <r>
    <s v="Factura electrónica"/>
    <s v="044da8f9d915f08e1d09f26bbb7bfb72ba4e4b964757e93a7980f91174ad9726baa18e0192896187d646c8c675192bcb"/>
    <x v="1458"/>
    <n v="-1"/>
    <s v="FVE"/>
    <s v="18-02-2026"/>
    <s v="18-02-2026 10:30:46"/>
    <s v="900800595"/>
    <s v="Provexpress SAS"/>
    <s v="900383203"/>
    <x v="646"/>
    <n v="638400"/>
    <n v="0"/>
    <n v="0"/>
    <n v="3998400"/>
    <s v="Aprobado con notificación"/>
    <s v="Emitido"/>
    <x v="0"/>
    <x v="0"/>
    <x v="1"/>
    <x v="0"/>
    <x v="1"/>
    <x v="0"/>
    <m/>
  </r>
  <r>
    <s v="Factura electrónica"/>
    <s v="b380f09e6ae55fdab2bcf00aeaf092ee68bfe2a47a705b3157513821678f495decaf12cc0f1b1d0867718ea618496988"/>
    <x v="1459"/>
    <n v="-1"/>
    <s v="FVE"/>
    <s v="18-02-2026"/>
    <s v="18-02-2026 10:44:39"/>
    <s v="900800595"/>
    <s v="Provexpress SAS"/>
    <s v="901345524"/>
    <x v="582"/>
    <n v="8626494"/>
    <n v="0"/>
    <n v="0"/>
    <n v="54029094"/>
    <s v="Aprobado con notificación"/>
    <s v="Emitido"/>
    <x v="0"/>
    <x v="0"/>
    <x v="1"/>
    <x v="0"/>
    <x v="1"/>
    <x v="0"/>
    <m/>
  </r>
  <r>
    <s v="Factura electrónica"/>
    <s v="8ea8c4a40d3bbda463eb4e3d9ff682b614003115713be374793cd4687f919a9255d43dd5885f4e977b4c6ddc525345d0"/>
    <x v="1460"/>
    <n v="-1"/>
    <s v="FVE"/>
    <s v="18-02-2026"/>
    <s v="18-02-2026 10:58:53"/>
    <s v="900800595"/>
    <s v="Provexpress SAS"/>
    <s v="860025614"/>
    <x v="560"/>
    <n v="14250"/>
    <n v="0"/>
    <n v="0"/>
    <n v="89250"/>
    <s v="Aprobado con notificación"/>
    <s v="Emitido"/>
    <x v="1"/>
    <x v="0"/>
    <x v="1"/>
    <x v="0"/>
    <x v="0"/>
    <x v="0"/>
    <m/>
  </r>
  <r>
    <s v="Factura electrónica"/>
    <s v="08e1f13920f2ab39a554ebb3b81b2a005a98f8aaac7d0246ab5af601ebe6f830f0cc458fe6a0956ad7323b2da1ed6fcf"/>
    <x v="1461"/>
    <n v="-1"/>
    <s v="FVE"/>
    <s v="18-02-2026"/>
    <s v="18-02-2026 11:14:00"/>
    <s v="900800595"/>
    <s v="Provexpress SAS"/>
    <s v="830126784"/>
    <x v="647"/>
    <n v="35150"/>
    <n v="0"/>
    <n v="0"/>
    <n v="220150"/>
    <s v="Aprobado con notificación"/>
    <s v="Emitido"/>
    <x v="0"/>
    <x v="0"/>
    <x v="0"/>
    <x v="0"/>
    <x v="0"/>
    <x v="0"/>
    <m/>
  </r>
  <r>
    <s v="Factura electrónica"/>
    <s v="7d8ca0ac2c871d02ee2046f103c2564eb3bae973f90627ffed70845f417a583bda24538a76a014796a72b07b8949a856"/>
    <x v="1462"/>
    <n v="-1"/>
    <s v="FVE"/>
    <s v="18-02-2026"/>
    <s v="18-02-2026 11:14:04"/>
    <s v="900800595"/>
    <s v="Provexpress SAS"/>
    <s v="830126784"/>
    <x v="647"/>
    <n v="121600"/>
    <n v="0"/>
    <n v="0"/>
    <n v="761600"/>
    <s v="Aprobado con notificación"/>
    <s v="Emitido"/>
    <x v="0"/>
    <x v="0"/>
    <x v="0"/>
    <x v="0"/>
    <x v="0"/>
    <x v="0"/>
    <m/>
  </r>
  <r>
    <s v="Factura electrónica"/>
    <s v="d04b756218f1c0c6009e8e93374d1760ad6931dd015bf89dcf98758219f0985761a30c7d0dfd099174ae12c9ed25852e"/>
    <x v="1463"/>
    <n v="-1"/>
    <s v="FVE"/>
    <s v="18-02-2026"/>
    <s v="18-02-2026 11:14:09"/>
    <s v="900800595"/>
    <s v="Provexpress SAS"/>
    <s v="800145882"/>
    <x v="648"/>
    <n v="133950"/>
    <n v="0"/>
    <n v="0"/>
    <n v="838950"/>
    <s v="Aprobado con notificación"/>
    <s v="Emitido"/>
    <x v="1"/>
    <x v="0"/>
    <x v="1"/>
    <x v="0"/>
    <x v="0"/>
    <x v="0"/>
    <m/>
  </r>
  <r>
    <s v="Factura electrónica"/>
    <s v="fbff7129ba819051a5e8373e690bbd9af98f6dabfd9a538841fdab468596d2b849eb9e2d7651d6199d4af2d3d6944040"/>
    <x v="1464"/>
    <n v="-1"/>
    <s v="FVE"/>
    <s v="18-02-2026"/>
    <s v="18-02-2026 11:14:14"/>
    <s v="900800595"/>
    <s v="Provexpress SAS"/>
    <s v="830120157"/>
    <x v="649"/>
    <n v="93347"/>
    <n v="0"/>
    <n v="0"/>
    <n v="584647"/>
    <s v="Aprobado con notificación"/>
    <s v="Emitido"/>
    <x v="0"/>
    <x v="0"/>
    <x v="1"/>
    <x v="0"/>
    <x v="1"/>
    <x v="0"/>
    <m/>
  </r>
  <r>
    <s v="Factura electrónica"/>
    <s v="a0acf93b61cc741b739f5ca1dc3f6c2023cd395ff8f97908fcb59657e81b0a39055cf51cb1b5fc59b6ea81c232ffbe74"/>
    <x v="1465"/>
    <n v="-1"/>
    <s v="FVE"/>
    <s v="18-02-2026"/>
    <s v="18-02-2026 11:29:20"/>
    <s v="900800595"/>
    <s v="Provexpress SAS"/>
    <s v="830050228"/>
    <x v="39"/>
    <n v="14782"/>
    <n v="0"/>
    <n v="0"/>
    <n v="92582"/>
    <s v="Aprobado con notificación"/>
    <s v="Emitido"/>
    <x v="0"/>
    <x v="0"/>
    <x v="0"/>
    <x v="0"/>
    <x v="0"/>
    <x v="0"/>
    <m/>
  </r>
  <r>
    <s v="Factura electrónica"/>
    <s v="36e16a274e25e9f4b5bf8b6d9e34d065789a6132e3f4e014f0e28d294b264afac9e04d0531299a434c1780356060ba8a"/>
    <x v="1466"/>
    <n v="-1"/>
    <s v="FVE"/>
    <s v="18-02-2026"/>
    <s v="18-02-2026 11:29:28"/>
    <s v="900800595"/>
    <s v="Provexpress SAS"/>
    <s v="830050228"/>
    <x v="39"/>
    <n v="49400"/>
    <n v="0"/>
    <n v="0"/>
    <n v="309400"/>
    <s v="Aprobado con notificación"/>
    <s v="Emitido"/>
    <x v="0"/>
    <x v="0"/>
    <x v="0"/>
    <x v="0"/>
    <x v="0"/>
    <x v="0"/>
    <m/>
  </r>
  <r>
    <s v="Factura electrónica"/>
    <s v="450338059b98a57bde96746ec80fb470656c215e900d23d03c5d753144476db51f9bb34044aa1790ee95ea87b6cbb342"/>
    <x v="1467"/>
    <n v="-1"/>
    <s v="FVE"/>
    <s v="18-02-2026"/>
    <s v="18-02-2026 11:29:31"/>
    <s v="900800595"/>
    <s v="Provexpress SAS"/>
    <s v="901532834"/>
    <x v="650"/>
    <n v="3332600"/>
    <n v="0"/>
    <n v="0"/>
    <n v="20872600"/>
    <s v="Aprobado con notificación"/>
    <s v="Emitido"/>
    <x v="0"/>
    <x v="0"/>
    <x v="1"/>
    <x v="0"/>
    <x v="1"/>
    <x v="0"/>
    <m/>
  </r>
  <r>
    <s v="Factura electrónica"/>
    <s v="c4072b7a6e53fc3ab6e343255366a4bcab24d70390d0b8417e129250866bf4d881f227fbd93a819447f45dfc56cec650"/>
    <x v="1468"/>
    <n v="-1"/>
    <s v="FVE"/>
    <s v="18-02-2026"/>
    <s v="18-02-2026 11:31:03"/>
    <s v="900800595"/>
    <s v="Provexpress SAS"/>
    <s v="900391130"/>
    <x v="105"/>
    <n v="148656"/>
    <n v="0"/>
    <n v="0"/>
    <n v="931056"/>
    <s v="Aprobado con notificación"/>
    <s v="Emitido"/>
    <x v="0"/>
    <x v="0"/>
    <x v="1"/>
    <x v="0"/>
    <x v="1"/>
    <x v="0"/>
    <m/>
  </r>
  <r>
    <s v="Factura electrónica"/>
    <s v="4da27dadf1a03a4b1da67920690bb4babf27c5753d0221ef089cfce314c93344106237b3b180c5584a046ec145f4d6e8"/>
    <x v="1469"/>
    <n v="-1"/>
    <s v="FVE"/>
    <s v="18-02-2026"/>
    <s v="18-02-2026 11:29:39"/>
    <s v="900800595"/>
    <s v="Provexpress SAS"/>
    <s v="900208029"/>
    <x v="417"/>
    <n v="2808846"/>
    <n v="0"/>
    <n v="0"/>
    <n v="17592246"/>
    <s v="Aprobado con notificación"/>
    <s v="Emitido"/>
    <x v="1"/>
    <x v="0"/>
    <x v="1"/>
    <x v="0"/>
    <x v="0"/>
    <x v="0"/>
    <m/>
  </r>
  <r>
    <s v="Factura electrónica"/>
    <s v="949b53bd9aaa5bc7faa3ff6bf391fbbf26592e97f634c6823eb1bd6ef2ea2478e7741e78b9d8ac85b7f6a2ada4eb58ff"/>
    <x v="1470"/>
    <n v="-1"/>
    <s v="FVE"/>
    <s v="18-02-2026"/>
    <s v="18-02-2026 11:44:46"/>
    <s v="900800595"/>
    <s v="Provexpress SAS"/>
    <s v="900033883"/>
    <x v="17"/>
    <n v="118076"/>
    <n v="0"/>
    <n v="0"/>
    <n v="1268476"/>
    <s v="Aprobado con notificación"/>
    <s v="Emitido"/>
    <x v="1"/>
    <x v="0"/>
    <x v="1"/>
    <x v="0"/>
    <x v="0"/>
    <x v="0"/>
    <m/>
  </r>
  <r>
    <s v="Factura electrónica"/>
    <s v="aa46d4c025d7dde9b12232b5f8980748cb883cc35adb41cdb6204d09b55c088e19180edcc48f689ed63cdb4127139000"/>
    <x v="1471"/>
    <n v="-1"/>
    <s v="FVE"/>
    <s v="18-02-2026"/>
    <s v="18-02-2026 11:44:50"/>
    <s v="900800595"/>
    <s v="Provexpress SAS"/>
    <s v="860536003"/>
    <x v="225"/>
    <n v="77140"/>
    <n v="0"/>
    <n v="0"/>
    <n v="483140"/>
    <s v="Aprobado con notificación"/>
    <s v="Emitido"/>
    <x v="0"/>
    <x v="0"/>
    <x v="1"/>
    <x v="1"/>
    <x v="0"/>
    <x v="0"/>
    <m/>
  </r>
  <r>
    <s v="Factura electrónica"/>
    <s v="4dc0ba9a3b50955b75afe7895422c224f5d37dadba281aa489990ee4110b05ef880d996cd10223f407b7e9ac3e4f4a53"/>
    <x v="1472"/>
    <n v="-1"/>
    <s v="FVE"/>
    <s v="18-02-2026"/>
    <s v="18-02-2026 11:44:55"/>
    <s v="900800595"/>
    <s v="Provexpress SAS"/>
    <s v="860002566"/>
    <x v="54"/>
    <n v="128820"/>
    <n v="0"/>
    <n v="0"/>
    <n v="806820"/>
    <s v="Aprobado con notificación"/>
    <s v="Emitido"/>
    <x v="0"/>
    <x v="0"/>
    <x v="0"/>
    <x v="0"/>
    <x v="0"/>
    <x v="0"/>
    <m/>
  </r>
  <r>
    <s v="Factura electrónica"/>
    <s v="b5b0257dcb5ca0c2b10f1be7e9694b2f3145a2dcef30fc589f8f02d6243fae5471338d48b80f0589d7d531a69e9305f0"/>
    <x v="1473"/>
    <n v="-1"/>
    <s v="FVE"/>
    <s v="18-02-2026"/>
    <s v="18-02-2026 11:45:00"/>
    <s v="900800595"/>
    <s v="Provexpress SAS"/>
    <s v="900132714"/>
    <x v="208"/>
    <n v="157700"/>
    <n v="0"/>
    <n v="0"/>
    <n v="987700"/>
    <s v="Aprobado con notificación"/>
    <s v="Emitido"/>
    <x v="0"/>
    <x v="0"/>
    <x v="1"/>
    <x v="0"/>
    <x v="1"/>
    <x v="0"/>
    <m/>
  </r>
  <r>
    <s v="Factura electrónica"/>
    <s v="ba391fc2e7c7f5ec29e69e8717bcec203c0f88fde720c31856baeb6717878966556edbed372cbb1e8ab4fb125fb74778"/>
    <x v="1474"/>
    <n v="-1"/>
    <s v="FVE"/>
    <s v="18-02-2026"/>
    <s v="18-02-2026 12:00:06"/>
    <s v="900800595"/>
    <s v="Provexpress SAS"/>
    <s v="900412189"/>
    <x v="635"/>
    <n v="68400"/>
    <n v="0"/>
    <n v="0"/>
    <n v="428400"/>
    <s v="Aprobado con notificación"/>
    <s v="Emitido"/>
    <x v="0"/>
    <x v="0"/>
    <x v="0"/>
    <x v="0"/>
    <x v="0"/>
    <x v="0"/>
    <m/>
  </r>
  <r>
    <s v="Factura electrónica"/>
    <s v="7745ab7a4cf5045949d57db83e0a14f7439373219bdaeeb88b3e3278f087cda23a0e687eccd011be37949e5f3b1197a3"/>
    <x v="1475"/>
    <n v="-1"/>
    <s v="FVE"/>
    <s v="18-02-2026"/>
    <s v="18-02-2026 12:15:18"/>
    <s v="900800595"/>
    <s v="Provexpress SAS"/>
    <s v="830081407"/>
    <x v="410"/>
    <n v="0"/>
    <n v="0"/>
    <n v="0"/>
    <n v="77000"/>
    <s v="Aprobado con notificación"/>
    <s v="Emitido"/>
    <x v="0"/>
    <x v="1"/>
    <x v="1"/>
    <x v="0"/>
    <x v="0"/>
    <x v="0"/>
    <m/>
  </r>
  <r>
    <s v="Factura electrónica"/>
    <s v="cbaa1b2eec39e8d60180e8deafca3bf4ce27390bcc57a5abd007f887997b59bcc19a70174e8eefb3cc3051e219312cc1"/>
    <x v="1476"/>
    <n v="-1"/>
    <s v="FVE"/>
    <s v="18-02-2026"/>
    <s v="18-02-2026 12:15:22"/>
    <s v="900800595"/>
    <s v="Provexpress SAS"/>
    <s v="830137348"/>
    <x v="651"/>
    <n v="380000"/>
    <n v="0"/>
    <n v="0"/>
    <n v="2380000"/>
    <s v="Aprobado con notificación"/>
    <s v="Emitido"/>
    <x v="0"/>
    <x v="0"/>
    <x v="1"/>
    <x v="0"/>
    <x v="1"/>
    <x v="0"/>
    <m/>
  </r>
  <r>
    <s v="Factura electrónica"/>
    <s v="ca978de1ee75165bf47d75de68455823ec4f95c34eff5f55586442cc18afddca4306fa78192737574514b1795ddf30e9"/>
    <x v="1477"/>
    <n v="-1"/>
    <s v="FVE"/>
    <s v="18-02-2026"/>
    <s v="18-02-2026 12:30:29"/>
    <s v="900800595"/>
    <s v="Provexpress SAS"/>
    <s v="900158685"/>
    <x v="652"/>
    <n v="1480100"/>
    <n v="0"/>
    <n v="0"/>
    <n v="9270100"/>
    <s v="Aprobado con notificación"/>
    <s v="Emitido"/>
    <x v="0"/>
    <x v="0"/>
    <x v="0"/>
    <x v="0"/>
    <x v="0"/>
    <x v="0"/>
    <m/>
  </r>
  <r>
    <s v="Factura electrónica"/>
    <s v="e0ae1cd013f224e3cf04210d1532f795b2699978f15aa6c534d9e097e2d1d5b33c16679fe30645daefdd3aa5be465ca8"/>
    <x v="1478"/>
    <n v="-1"/>
    <s v="FVE"/>
    <s v="18-02-2026"/>
    <s v="18-02-2026 12:30:33"/>
    <s v="900800595"/>
    <s v="Provexpress SAS"/>
    <s v="860023264"/>
    <x v="279"/>
    <n v="234840"/>
    <n v="0"/>
    <n v="0"/>
    <n v="9450840"/>
    <s v="Aprobado con notificación"/>
    <s v="Emitido"/>
    <x v="0"/>
    <x v="0"/>
    <x v="1"/>
    <x v="0"/>
    <x v="1"/>
    <x v="0"/>
    <m/>
  </r>
  <r>
    <s v="Factura electrónica"/>
    <s v="85b5fcfdae161d1c493743ef81a0ed2f9d6ef13d2ddc35103b0d71559f9c2a3eefa4823102221ac823f9be32f9d7ff14"/>
    <x v="1479"/>
    <n v="-1"/>
    <s v="FVE"/>
    <s v="18-02-2026"/>
    <s v="18-02-2026 12:30:38"/>
    <s v="900800595"/>
    <s v="Provexpress SAS"/>
    <s v="830024974"/>
    <x v="212"/>
    <n v="215270"/>
    <n v="0"/>
    <n v="0"/>
    <n v="1348270"/>
    <s v="Aprobado con notificación"/>
    <s v="Emitido"/>
    <x v="1"/>
    <x v="0"/>
    <x v="1"/>
    <x v="0"/>
    <x v="0"/>
    <x v="0"/>
    <m/>
  </r>
  <r>
    <s v="Factura electrónica"/>
    <s v="969083ac421c059af3df8eccb0a5fa0fd14db53920df66a9cf80c8a454b1770d1b767361b2a9fc5d8e7c23644a16cdd1"/>
    <x v="1480"/>
    <n v="-1"/>
    <s v="FVE"/>
    <s v="18-02-2026"/>
    <s v="18-02-2026 12:30:43"/>
    <s v="900800595"/>
    <s v="Provexpress SAS"/>
    <s v="860002459"/>
    <x v="653"/>
    <n v="146680"/>
    <n v="0"/>
    <n v="0"/>
    <n v="918680"/>
    <s v="Aprobado con notificación"/>
    <s v="Emitido"/>
    <x v="1"/>
    <x v="0"/>
    <x v="1"/>
    <x v="0"/>
    <x v="0"/>
    <x v="0"/>
    <m/>
  </r>
  <r>
    <s v="Factura electrónica"/>
    <s v="8ab5d4eef00c1e80595180ea4b7bb2f1233e492a4fe66110718cf952608fb06f059662d3f7e729a3b9f233cc8b078814"/>
    <x v="1481"/>
    <n v="-1"/>
    <s v="FVE"/>
    <s v="18-02-2026"/>
    <s v="18-02-2026 12:45:54"/>
    <s v="900800595"/>
    <s v="Provexpress SAS"/>
    <s v="800239928"/>
    <x v="654"/>
    <n v="56154.5"/>
    <n v="0"/>
    <n v="0"/>
    <n v="351704.5"/>
    <s v="Aprobado con notificación"/>
    <s v="Emitido"/>
    <x v="0"/>
    <x v="0"/>
    <x v="1"/>
    <x v="0"/>
    <x v="1"/>
    <x v="0"/>
    <m/>
  </r>
  <r>
    <s v="Factura electrónica"/>
    <s v="b84407831e90b5c4ba2670f91486c031fa947ee07abbd082ec427e9a9b592ec24351b17ae7e81ef0d71e6efa86be110e"/>
    <x v="1482"/>
    <n v="-1"/>
    <s v="FVE"/>
    <s v="18-02-2026"/>
    <s v="18-02-2026 14:17:00"/>
    <s v="900800595"/>
    <s v="Provexpress SAS"/>
    <s v="900647719"/>
    <x v="655"/>
    <n v="0"/>
    <n v="0"/>
    <n v="0"/>
    <n v="9981485"/>
    <s v="Aprobado con notificación"/>
    <s v="Emitido"/>
    <x v="0"/>
    <x v="0"/>
    <x v="1"/>
    <x v="0"/>
    <x v="1"/>
    <x v="0"/>
    <m/>
  </r>
  <r>
    <s v="Factura electrónica"/>
    <s v="5dcf042b2c7262dd9b47288286807a8c5efaec00df5c00fb987b7be062003de9127252d29ffe8979d8d3a94ada9f4c7c"/>
    <x v="1483"/>
    <n v="-1"/>
    <s v="FVE"/>
    <s v="18-02-2026"/>
    <s v="18-02-2026 14:32:27"/>
    <s v="900800595"/>
    <s v="Provexpress SAS"/>
    <s v="900682841"/>
    <x v="22"/>
    <n v="0"/>
    <n v="0"/>
    <n v="0"/>
    <n v="19962970"/>
    <s v="Aprobado con notificación"/>
    <s v="Emitido"/>
    <x v="0"/>
    <x v="0"/>
    <x v="1"/>
    <x v="0"/>
    <x v="1"/>
    <x v="0"/>
    <m/>
  </r>
  <r>
    <s v="Factura electrónica"/>
    <s v="a7faeafe682011c6728ca72581256f2f7be4a913ac144b31c4ee08a34deff00e189956f1be73d44b32ab38f52bd94abe"/>
    <x v="1484"/>
    <n v="-1"/>
    <s v="FVE"/>
    <s v="18-02-2026"/>
    <s v="18-02-2026 14:32:30"/>
    <s v="900800595"/>
    <s v="Provexpress SAS"/>
    <s v="900936456"/>
    <x v="258"/>
    <n v="142840.1"/>
    <n v="0"/>
    <n v="0"/>
    <n v="894630.1"/>
    <s v="Aprobado con notificación"/>
    <s v="Emitido"/>
    <x v="0"/>
    <x v="0"/>
    <x v="1"/>
    <x v="0"/>
    <x v="1"/>
    <x v="0"/>
    <m/>
  </r>
  <r>
    <s v="Factura electrónica"/>
    <s v="4395387a613248888be5c39632962ea29587c80fb835f64e196f4a2f8afbbe5ff73940f579fa49541555ff33cc0a524c"/>
    <x v="1485"/>
    <n v="-1"/>
    <s v="FVE"/>
    <s v="18-02-2026"/>
    <s v="18-02-2026 14:32:29"/>
    <s v="900800595"/>
    <s v="Provexpress SAS"/>
    <s v="900418860"/>
    <x v="354"/>
    <n v="17670"/>
    <n v="0"/>
    <n v="0"/>
    <n v="110670"/>
    <s v="Aprobado con notificación"/>
    <s v="Emitido"/>
    <x v="0"/>
    <x v="0"/>
    <x v="1"/>
    <x v="0"/>
    <x v="1"/>
    <x v="0"/>
    <m/>
  </r>
  <r>
    <s v="Factura electrónica"/>
    <s v="bd0ccc3b95cb0827686a538e52cd7fad1d754ca4e35f8866f62e8c9d99311a7f2c16d94dbc634ec7179a0b2c8c33c4aa"/>
    <x v="1486"/>
    <n v="-1"/>
    <s v="FVE"/>
    <s v="18-02-2026"/>
    <s v="18-02-2026 14:32:33"/>
    <s v="900800595"/>
    <s v="Provexpress SAS"/>
    <s v="901847883"/>
    <x v="3"/>
    <n v="1139155.6399999999"/>
    <n v="0"/>
    <n v="0"/>
    <n v="7134711.6399999997"/>
    <s v="Aprobado con notificación"/>
    <s v="Emitido"/>
    <x v="0"/>
    <x v="0"/>
    <x v="0"/>
    <x v="0"/>
    <x v="0"/>
    <x v="0"/>
    <m/>
  </r>
  <r>
    <s v="Factura electrónica"/>
    <s v="2cc30e53e8c0de900aa1eebe4f5c9cbe1b639c678e7f2b6203096f6aa2f65553efbc02a50b9cec3a7f0cbb1a70603c66"/>
    <x v="1487"/>
    <n v="-1"/>
    <s v="FVE"/>
    <s v="18-02-2026"/>
    <s v="18-02-2026 14:48:52"/>
    <s v="900800595"/>
    <s v="Provexpress SAS"/>
    <s v="830050228"/>
    <x v="39"/>
    <n v="1750280"/>
    <n v="0"/>
    <n v="0"/>
    <n v="27331780"/>
    <s v="Aprobado con notificación"/>
    <s v="Emitido"/>
    <x v="1"/>
    <x v="0"/>
    <x v="1"/>
    <x v="0"/>
    <x v="0"/>
    <x v="0"/>
    <m/>
  </r>
  <r>
    <s v="Factura electrónica"/>
    <s v="59b01c816c09a389a1f74deb3980f73fbbe75f97e7a1b97403c0b36046239f5961cfc1d337ba0b408cc5c0d95361e23a"/>
    <x v="1488"/>
    <n v="-1"/>
    <s v="FVE"/>
    <s v="18-02-2026"/>
    <s v="18-02-2026 14:48:47"/>
    <s v="900800595"/>
    <s v="Provexpress SAS"/>
    <s v="900647720"/>
    <x v="656"/>
    <n v="399000"/>
    <n v="0"/>
    <n v="0"/>
    <n v="2499000"/>
    <s v="Aprobado con notificación"/>
    <s v="Emitido"/>
    <x v="1"/>
    <x v="0"/>
    <x v="1"/>
    <x v="0"/>
    <x v="0"/>
    <x v="0"/>
    <m/>
  </r>
  <r>
    <s v="Factura electrónica"/>
    <s v="87c3a06897ddd227ce813654c5dab934d981b226ca9374b7a97aa75209fd913c5df8143d6c075752bf3bb74397885c06"/>
    <x v="1489"/>
    <n v="-1"/>
    <s v="FVE"/>
    <s v="18-02-2026"/>
    <s v="18-02-2026 14:48:50"/>
    <s v="900800595"/>
    <s v="Provexpress SAS"/>
    <s v="813000008"/>
    <x v="409"/>
    <n v="82650"/>
    <n v="0"/>
    <n v="0"/>
    <n v="517650"/>
    <s v="Aprobado con notificación"/>
    <s v="Emitido"/>
    <x v="0"/>
    <x v="0"/>
    <x v="1"/>
    <x v="0"/>
    <x v="1"/>
    <x v="0"/>
    <m/>
  </r>
  <r>
    <s v="Factura electrónica"/>
    <s v="b043bef0a3a4cf6f722a6d18dd49b626a623b7dd873cf1a8a50de2e2a9305ac40e88b3f034688366177f0071f822fd2c"/>
    <x v="1490"/>
    <n v="-1"/>
    <s v="FVE"/>
    <s v="18-02-2026"/>
    <s v="18-02-2026 14:48:43"/>
    <s v="900800595"/>
    <s v="Provexpress SAS"/>
    <s v="900527898"/>
    <x v="657"/>
    <n v="695400"/>
    <n v="0"/>
    <n v="0"/>
    <n v="4355400"/>
    <s v="Aprobado con notificación"/>
    <s v="Emitido"/>
    <x v="0"/>
    <x v="0"/>
    <x v="1"/>
    <x v="0"/>
    <x v="1"/>
    <x v="0"/>
    <m/>
  </r>
  <r>
    <s v="Factura electrónica"/>
    <s v="e5b85723d885a53c9a27f63454136f3efc99658415c5b85a45139b033e8776dff6d25eebd5c038c6ab49830f90420e5f"/>
    <x v="1491"/>
    <n v="-1"/>
    <s v="FVE"/>
    <s v="18-02-2026"/>
    <s v="18-02-2026 14:48:49"/>
    <s v="900800595"/>
    <s v="Provexpress SAS"/>
    <s v="900527898"/>
    <x v="657"/>
    <n v="695400"/>
    <n v="0"/>
    <n v="0"/>
    <n v="4355400"/>
    <s v="Aprobado con notificación"/>
    <s v="Emitido"/>
    <x v="0"/>
    <x v="0"/>
    <x v="1"/>
    <x v="0"/>
    <x v="1"/>
    <x v="0"/>
    <m/>
  </r>
  <r>
    <s v="Factura electrónica"/>
    <s v="da189230572d036c6249b596a4c4ff6e60789f469b4701e87b11a8a424a13ea1ac97d92e57cea0f18fc3c22900dd81b7"/>
    <x v="1492"/>
    <n v="-1"/>
    <s v="FVE"/>
    <s v="18-02-2026"/>
    <s v="18-02-2026 14:48:48"/>
    <s v="900800595"/>
    <s v="Provexpress SAS"/>
    <s v="860523795"/>
    <x v="658"/>
    <n v="8540"/>
    <n v="0"/>
    <n v="0"/>
    <n v="162540"/>
    <s v="Aprobado con notificación"/>
    <s v="Emitido"/>
    <x v="0"/>
    <x v="0"/>
    <x v="1"/>
    <x v="0"/>
    <x v="1"/>
    <x v="0"/>
    <m/>
  </r>
  <r>
    <s v="Factura electrónica"/>
    <s v="5aadf3b36426e5e015c46fed4a454e76dea1d11b27461d8f418024221e3196a560fe4d43919179990a0ff37b5b47f68d"/>
    <x v="1493"/>
    <n v="-1"/>
    <s v="FVE"/>
    <s v="18-02-2026"/>
    <s v="18-02-2026 15:03:40"/>
    <s v="900800595"/>
    <s v="Provexpress SAS"/>
    <s v="900182389"/>
    <x v="659"/>
    <n v="33250"/>
    <n v="0"/>
    <n v="0"/>
    <n v="208250"/>
    <s v="Aprobado con notificación"/>
    <s v="Emitido"/>
    <x v="0"/>
    <x v="0"/>
    <x v="1"/>
    <x v="0"/>
    <x v="1"/>
    <x v="0"/>
    <m/>
  </r>
  <r>
    <s v="Factura electrónica"/>
    <s v="4b9c519d4598c7400ac20e4fd5ba256f2cfe05cb3cd05b1e346b577ad11b4cc50062ec20a29ecfa83f2cc018f875f78a"/>
    <x v="1494"/>
    <n v="-1"/>
    <s v="FVE"/>
    <s v="18-02-2026"/>
    <s v="18-02-2026 15:04:57"/>
    <s v="900800595"/>
    <s v="Provexpress SAS"/>
    <s v="830515294"/>
    <x v="405"/>
    <n v="125020"/>
    <n v="0"/>
    <n v="0"/>
    <n v="783020"/>
    <s v="Aprobado con notificación"/>
    <s v="Emitido"/>
    <x v="0"/>
    <x v="0"/>
    <x v="1"/>
    <x v="0"/>
    <x v="1"/>
    <x v="0"/>
    <m/>
  </r>
  <r>
    <s v="Factura electrónica"/>
    <s v="40c4eb12b32e00c3e91cca89183ba0b936b60829ab03b63a363e71655608ea8f3754473679966472609824c5fc3d14eb"/>
    <x v="1495"/>
    <n v="-1"/>
    <s v="FVE"/>
    <s v="18-02-2026"/>
    <s v="18-02-2026 15:03:51"/>
    <s v="900800595"/>
    <s v="Provexpress SAS"/>
    <s v="900134877"/>
    <x v="660"/>
    <n v="115069.7"/>
    <n v="0"/>
    <n v="0"/>
    <n v="732819.7"/>
    <s v="Aprobado con notificación"/>
    <s v="Emitido"/>
    <x v="0"/>
    <x v="0"/>
    <x v="1"/>
    <x v="0"/>
    <x v="1"/>
    <x v="0"/>
    <m/>
  </r>
  <r>
    <s v="Factura electrónica"/>
    <s v="9a681a83062f2dcddbe89c8f9faeb288798a766d44bd69e87550a2751b8808321110086baa0c80711d9620d2ea364fe8"/>
    <x v="1496"/>
    <n v="-1"/>
    <s v="FVE"/>
    <s v="18-02-2026"/>
    <s v="18-02-2026 15:03:56"/>
    <s v="900800595"/>
    <s v="Provexpress SAS"/>
    <s v="860006848"/>
    <x v="316"/>
    <n v="576587.87"/>
    <n v="0"/>
    <n v="0"/>
    <n v="3687472.87"/>
    <s v="Aprobado con notificación"/>
    <s v="Emitido"/>
    <x v="0"/>
    <x v="0"/>
    <x v="1"/>
    <x v="0"/>
    <x v="1"/>
    <x v="0"/>
    <m/>
  </r>
  <r>
    <s v="Factura electrónica"/>
    <s v="35df67fa3824bf51c55d47247ffd00b4e1278fea0909233b04283cd54204fba6e64430c0f5a29ee9517664f1b53453c4"/>
    <x v="1497"/>
    <n v="-1"/>
    <s v="FVE"/>
    <s v="18-02-2026"/>
    <s v="18-02-2026 15:04:00"/>
    <s v="900800595"/>
    <s v="Provexpress SAS"/>
    <s v="900391130"/>
    <x v="105"/>
    <n v="8991.75"/>
    <n v="0"/>
    <n v="0"/>
    <n v="56316.75"/>
    <s v="Aprobado con notificación"/>
    <s v="Emitido"/>
    <x v="0"/>
    <x v="0"/>
    <x v="1"/>
    <x v="0"/>
    <x v="1"/>
    <x v="0"/>
    <m/>
  </r>
  <r>
    <s v="Factura electrónica"/>
    <s v="777b31e8278eb22a73446733991a428e9362185064a104e94fbdb6f53ef2562406b0dbac7773a19fa881af98e0a7a117"/>
    <x v="1498"/>
    <n v="-1"/>
    <s v="FVE"/>
    <s v="18-02-2026"/>
    <s v="18-02-2026 15:19:15"/>
    <s v="900800595"/>
    <s v="Provexpress SAS"/>
    <s v="901882241"/>
    <x v="661"/>
    <n v="3027442.14"/>
    <n v="0"/>
    <n v="0"/>
    <n v="18961348.140000001"/>
    <s v="Aprobado con notificación"/>
    <s v="Emitido"/>
    <x v="0"/>
    <x v="0"/>
    <x v="1"/>
    <x v="0"/>
    <x v="1"/>
    <x v="0"/>
    <m/>
  </r>
  <r>
    <s v="Factura electrónica"/>
    <s v="ebd5392a1f600e18eb5a19d8f21bd5ab9b7c273dd3c6402a1b7fd6b91cc5de5678e86c4daccf03638acb3973fb055178"/>
    <x v="1499"/>
    <n v="-1"/>
    <s v="FVE"/>
    <s v="18-02-2026"/>
    <s v="18-02-2026 15:19:11"/>
    <s v="900800595"/>
    <s v="Provexpress SAS"/>
    <s v="860076008"/>
    <x v="537"/>
    <n v="209000"/>
    <n v="0"/>
    <n v="0"/>
    <n v="1309000"/>
    <s v="Aprobado con notificación"/>
    <s v="Emitido"/>
    <x v="1"/>
    <x v="0"/>
    <x v="1"/>
    <x v="0"/>
    <x v="0"/>
    <x v="0"/>
    <m/>
  </r>
  <r>
    <s v="Factura electrónica"/>
    <s v="1f3ed3ece22d2f7bb5797e64922206e38133d471fd92dfac60bf5b0ba2afe0e485bc8e9cd36d9f145158e1d03761cca7"/>
    <x v="1500"/>
    <n v="-1"/>
    <s v="FVE"/>
    <s v="18-02-2026"/>
    <s v="18-02-2026 15:19:19"/>
    <s v="900800595"/>
    <s v="Provexpress SAS"/>
    <s v="860023264"/>
    <x v="279"/>
    <n v="58710"/>
    <n v="0"/>
    <n v="0"/>
    <n v="2362710"/>
    <s v="Aprobado con notificación"/>
    <s v="Emitido"/>
    <x v="1"/>
    <x v="0"/>
    <x v="1"/>
    <x v="0"/>
    <x v="0"/>
    <x v="0"/>
    <m/>
  </r>
  <r>
    <s v="Factura electrónica"/>
    <s v="799fbdec21c9152071afcf45f08e987ddd0e5402005ed63671f6539de44bd7b0bd6fd5dbb478ae3df8f7afbcb9399c96"/>
    <x v="1501"/>
    <n v="-1"/>
    <s v="FVE"/>
    <s v="18-02-2026"/>
    <s v="18-02-2026 15:34:23"/>
    <s v="900800595"/>
    <s v="Provexpress SAS"/>
    <s v="901580139"/>
    <x v="662"/>
    <n v="60800"/>
    <n v="0"/>
    <n v="0"/>
    <n v="380800"/>
    <s v="Aprobado con notificación"/>
    <s v="Emitido"/>
    <x v="1"/>
    <x v="0"/>
    <x v="1"/>
    <x v="0"/>
    <x v="0"/>
    <x v="0"/>
    <m/>
  </r>
  <r>
    <s v="Factura electrónica"/>
    <s v="3c24d0f1c1c761cec195ed5699d71f4970160266db9ef609ef2bc08448f46e9eb9ac65a0e6fe49a6103562800c9e1d22"/>
    <x v="1502"/>
    <n v="-1"/>
    <s v="FVE"/>
    <s v="18-02-2026"/>
    <s v="18-02-2026 15:34:26"/>
    <s v="900800595"/>
    <s v="Provexpress SAS"/>
    <s v="830133183"/>
    <x v="663"/>
    <n v="1761300"/>
    <n v="0"/>
    <n v="0"/>
    <n v="11031300"/>
    <s v="Aprobado con notificación"/>
    <s v="Emitido"/>
    <x v="0"/>
    <x v="0"/>
    <x v="1"/>
    <x v="0"/>
    <x v="0"/>
    <x v="1"/>
    <s v="PAGA 20/02/2026"/>
  </r>
  <r>
    <s v="Factura electrónica"/>
    <s v="6ad5ef9af29728e74e0e94128baf5a0e2eca2f248c47456e373e4487b18e3bff85117cf1434707f8c069a1ab5259277d"/>
    <x v="1503"/>
    <n v="-1"/>
    <s v="FVE"/>
    <s v="18-02-2026"/>
    <s v="18-02-2026 15:34:32"/>
    <s v="900800595"/>
    <s v="Provexpress SAS"/>
    <s v="891101577"/>
    <x v="664"/>
    <n v="0"/>
    <n v="0"/>
    <n v="0"/>
    <n v="664515"/>
    <s v="Aprobado con notificación"/>
    <s v="Emitido"/>
    <x v="1"/>
    <x v="0"/>
    <x v="1"/>
    <x v="0"/>
    <x v="0"/>
    <x v="0"/>
    <m/>
  </r>
  <r>
    <s v="Factura electrónica"/>
    <s v="a5879e6794dbfe5a0e794697ec2f389a455b0525e0898ea3398bee3c1a75b1b51682db71965a199c50fefef3623d9757"/>
    <x v="1504"/>
    <n v="-1"/>
    <s v="FVE"/>
    <s v="18-02-2026"/>
    <s v="18-02-2026 15:34:37"/>
    <s v="900800595"/>
    <s v="Provexpress SAS"/>
    <s v="900418860"/>
    <x v="354"/>
    <n v="805957.2"/>
    <n v="0"/>
    <n v="0"/>
    <n v="5047837.2"/>
    <s v="Aprobado con notificación"/>
    <s v="Emitido"/>
    <x v="0"/>
    <x v="0"/>
    <x v="1"/>
    <x v="0"/>
    <x v="1"/>
    <x v="0"/>
    <m/>
  </r>
  <r>
    <s v="Factura electrónica"/>
    <s v="2c5e3294c8fe22b71a3f7877c81ac58cd7b347bcb05658882216917c546ff314390a2323cf3c8920dea2dfdde5fe1ee1"/>
    <x v="1505"/>
    <n v="-1"/>
    <s v="FVE"/>
    <s v="18-02-2026"/>
    <s v="18-02-2026 15:34:41"/>
    <s v="900800595"/>
    <s v="Provexpress SAS"/>
    <s v="24735641815229"/>
    <x v="665"/>
    <n v="0"/>
    <n v="0"/>
    <n v="0"/>
    <n v="2499000"/>
    <s v="Aprobado con notificación"/>
    <s v="Emitido"/>
    <x v="0"/>
    <x v="0"/>
    <x v="1"/>
    <x v="0"/>
    <x v="1"/>
    <x v="0"/>
    <m/>
  </r>
  <r>
    <s v="Factura electrónica"/>
    <s v="fcf2087770a1fb5a26053b26242ef0bbe36f34ad230688ef602bad59d0ec925bc7d6d0ea6226ac5a0e1a569bdbb99586"/>
    <x v="1506"/>
    <n v="-1"/>
    <s v="FVE"/>
    <s v="18-02-2026"/>
    <s v="18-02-2026 15:34:46"/>
    <s v="900800595"/>
    <s v="Provexpress SAS"/>
    <s v="900158685"/>
    <x v="652"/>
    <n v="771115"/>
    <n v="0"/>
    <n v="0"/>
    <n v="4829615"/>
    <s v="Aprobado con notificación"/>
    <s v="Emitido"/>
    <x v="0"/>
    <x v="0"/>
    <x v="0"/>
    <x v="0"/>
    <x v="0"/>
    <x v="0"/>
    <m/>
  </r>
  <r>
    <s v="Factura electrónica"/>
    <s v="54b4ab78e59b7ba6f4f397a9da64eea3cacc89693cee929e043450a1263651525b6a2a7c6bf5d4492febd19f1a00b05e"/>
    <x v="1507"/>
    <n v="-1"/>
    <s v="FVE"/>
    <s v="18-02-2026"/>
    <s v="18-02-2026 15:34:51"/>
    <s v="900800595"/>
    <s v="Provexpress SAS"/>
    <s v="900597369"/>
    <x v="152"/>
    <n v="830870"/>
    <n v="0"/>
    <n v="0"/>
    <n v="5203870"/>
    <s v="Aprobado con notificación"/>
    <s v="Emitido"/>
    <x v="1"/>
    <x v="0"/>
    <x v="1"/>
    <x v="0"/>
    <x v="0"/>
    <x v="0"/>
    <m/>
  </r>
  <r>
    <s v="Factura electrónica"/>
    <s v="a10fb04892ba5acc3faf66ba7fc7f20e7e3f141813ab0b83b6fab5525da18c5a465b80e60868bcc22e5d48951c25744a"/>
    <x v="1508"/>
    <n v="-1"/>
    <s v="FVE"/>
    <s v="18-02-2026"/>
    <s v="18-02-2026 15:49:56"/>
    <s v="900800595"/>
    <s v="Provexpress SAS"/>
    <s v="901057541"/>
    <x v="80"/>
    <n v="712215"/>
    <n v="0"/>
    <n v="0"/>
    <n v="4460715"/>
    <s v="Aprobado con notificación"/>
    <s v="Emitido"/>
    <x v="0"/>
    <x v="0"/>
    <x v="1"/>
    <x v="0"/>
    <x v="1"/>
    <x v="0"/>
    <m/>
  </r>
  <r>
    <s v="Factura electrónica"/>
    <s v="fea08dd5263591a5def8773374c0f073b61c492d4c171ff6aa9813e5dc2c24d45db1344b4dfd59d5a55005e533e59778"/>
    <x v="1509"/>
    <n v="-1"/>
    <s v="FVE"/>
    <s v="18-02-2026"/>
    <s v="18-02-2026 15:50:01"/>
    <s v="900800595"/>
    <s v="Provexpress SAS"/>
    <s v="800200139"/>
    <x v="449"/>
    <n v="58265.4"/>
    <n v="0"/>
    <n v="0"/>
    <n v="364925.4"/>
    <s v="Aprobado con notificación"/>
    <s v="Emitido"/>
    <x v="0"/>
    <x v="0"/>
    <x v="1"/>
    <x v="0"/>
    <x v="1"/>
    <x v="0"/>
    <m/>
  </r>
  <r>
    <s v="Factura electrónica"/>
    <s v="a73af1dd01e3e59f984d431434ceaafa20c3c5213a3185a9d8e3725454dffb22004b06f5b62f7940d7377ef7aa0780da"/>
    <x v="1510"/>
    <n v="-1"/>
    <s v="FVE"/>
    <s v="18-02-2026"/>
    <s v="18-02-2026 15:50:06"/>
    <s v="900800595"/>
    <s v="Provexpress SAS"/>
    <s v="891101577"/>
    <x v="664"/>
    <n v="0"/>
    <n v="0"/>
    <n v="0"/>
    <n v="12692000"/>
    <s v="Aprobado con notificación"/>
    <s v="Emitido"/>
    <x v="0"/>
    <x v="0"/>
    <x v="0"/>
    <x v="0"/>
    <x v="0"/>
    <x v="0"/>
    <m/>
  </r>
  <r>
    <s v="Factura electrónica"/>
    <s v="96130a4228677a47a475e8ed9ec3b3e9a33c9325d7f99b32fb3e4d9e9af4fe7ee5556b9d0ef36eae951eba3217f850fe"/>
    <x v="1511"/>
    <n v="-1"/>
    <s v="FVE"/>
    <s v="18-02-2026"/>
    <s v="18-02-2026 15:50:10"/>
    <s v="900800595"/>
    <s v="Provexpress SAS"/>
    <s v="860525156"/>
    <x v="6"/>
    <n v="1139155.6399999999"/>
    <n v="0"/>
    <n v="0"/>
    <n v="7134711.6399999997"/>
    <s v="Aprobado con notificación"/>
    <s v="Emitido"/>
    <x v="0"/>
    <x v="0"/>
    <x v="0"/>
    <x v="0"/>
    <x v="0"/>
    <x v="0"/>
    <m/>
  </r>
  <r>
    <s v="Factura electrónica"/>
    <s v="7235dde00bc43445a8f8261393ca071a7915177eb2a301467fb0db37415d7f9d052b73ee8d155938a0f949e678740be5"/>
    <x v="1512"/>
    <n v="-1"/>
    <s v="FVE"/>
    <s v="18-02-2026"/>
    <s v="18-02-2026 16:06:17"/>
    <s v="900800595"/>
    <s v="Provexpress SAS"/>
    <s v="800042119"/>
    <x v="187"/>
    <n v="143334.67000000001"/>
    <n v="0"/>
    <n v="0"/>
    <n v="897727.67"/>
    <s v="Aprobado con notificación"/>
    <s v="Emitido"/>
    <x v="1"/>
    <x v="0"/>
    <x v="1"/>
    <x v="0"/>
    <x v="0"/>
    <x v="0"/>
    <m/>
  </r>
  <r>
    <s v="Factura electrónica"/>
    <s v="d087025366ac3ee1ecc84b75ff03edef0cdb669fb2e7fda86de96c3a893d3a13a24635f1c876ffd854cec05e608e0a1a"/>
    <x v="1513"/>
    <n v="-1"/>
    <s v="FVE"/>
    <s v="18-02-2026"/>
    <s v="18-02-2026 16:20:28"/>
    <s v="900800595"/>
    <s v="Provexpress SAS"/>
    <s v="900095054"/>
    <x v="666"/>
    <n v="81168"/>
    <n v="0"/>
    <n v="0"/>
    <n v="508368"/>
    <s v="Aprobado con notificación"/>
    <s v="Emitido"/>
    <x v="0"/>
    <x v="0"/>
    <x v="1"/>
    <x v="0"/>
    <x v="1"/>
    <x v="0"/>
    <m/>
  </r>
  <r>
    <s v="Factura electrónica"/>
    <s v="1386e1aef93be53a3be312bbe2173dafa751281cb3ba857569caa3a112a32823d1cad1e99246a98dab4aab73bd5a322e"/>
    <x v="1514"/>
    <n v="-1"/>
    <s v="FVE"/>
    <s v="19-02-2026"/>
    <s v="19-02-2026 07:06:51"/>
    <s v="900800595"/>
    <s v="Provexpress SAS"/>
    <s v="900418860"/>
    <x v="354"/>
    <n v="85308.1"/>
    <n v="0"/>
    <n v="0"/>
    <n v="534298.1"/>
    <s v="Aprobado con notificación"/>
    <s v="Emitido"/>
    <x v="0"/>
    <x v="0"/>
    <x v="1"/>
    <x v="0"/>
    <x v="1"/>
    <x v="0"/>
    <m/>
  </r>
  <r>
    <s v="Factura electrónica"/>
    <s v="ca7903d8f0d561b8addb415a905c6955e383a855658f70e31ea1fd70e2dda9a71ed45cacaf90d039aa68c936e24e4d3f"/>
    <x v="1515"/>
    <n v="-1"/>
    <s v="FVE"/>
    <s v="19-02-2026"/>
    <s v="19-02-2026 07:06:55"/>
    <s v="900800595"/>
    <s v="Provexpress SAS"/>
    <s v="900418860"/>
    <x v="354"/>
    <n v="85308.1"/>
    <n v="0"/>
    <n v="0"/>
    <n v="534298.1"/>
    <s v="Aprobado con notificación"/>
    <s v="Emitido"/>
    <x v="0"/>
    <x v="0"/>
    <x v="1"/>
    <x v="0"/>
    <x v="1"/>
    <x v="0"/>
    <m/>
  </r>
  <r>
    <s v="Factura electrónica"/>
    <s v="4a439417a754a2117696eae2a158a1c833a9ca11ad16884558c77c042df38af2088ef6e64aba1ba4426cfa3dc4382e49"/>
    <x v="1516"/>
    <n v="-1"/>
    <s v="FVE"/>
    <s v="19-02-2026"/>
    <s v="19-02-2026 07:07:00"/>
    <s v="900800595"/>
    <s v="Provexpress SAS"/>
    <s v="900480172"/>
    <x v="413"/>
    <n v="85308.1"/>
    <n v="0"/>
    <n v="0"/>
    <n v="534298.1"/>
    <s v="Aprobado con notificación"/>
    <s v="Emitido"/>
    <x v="0"/>
    <x v="0"/>
    <x v="1"/>
    <x v="0"/>
    <x v="1"/>
    <x v="0"/>
    <m/>
  </r>
  <r>
    <s v="Factura electrónica"/>
    <s v="8ecaac3f43044d78658fb18a9942a89ffa877492e6a02347e9379d826db9066f784ba73e8ddb00630fefa8d0efcb43e9"/>
    <x v="1517"/>
    <n v="-1"/>
    <s v="FVE"/>
    <s v="19-02-2026"/>
    <s v="19-02-2026 07:07:05"/>
    <s v="900800595"/>
    <s v="Provexpress SAS"/>
    <s v="800210556"/>
    <x v="324"/>
    <n v="424950.58"/>
    <n v="0"/>
    <n v="0"/>
    <n v="2661532.58"/>
    <s v="Aprobado con notificación"/>
    <s v="Emitido"/>
    <x v="0"/>
    <x v="0"/>
    <x v="1"/>
    <x v="0"/>
    <x v="1"/>
    <x v="0"/>
    <m/>
  </r>
  <r>
    <s v="Factura electrónica"/>
    <s v="0537fc222d00d18e3c124973fc7856eacf434b5502a1baece74856bc4f66acfaba7765e6cbfe64eeccdd7c72e9a54e21"/>
    <x v="1518"/>
    <n v="-1"/>
    <s v="FVE"/>
    <s v="19-02-2026"/>
    <s v="19-02-2026 07:22:11"/>
    <s v="900800595"/>
    <s v="Provexpress SAS"/>
    <s v="890921972"/>
    <x v="667"/>
    <n v="123405"/>
    <n v="0"/>
    <n v="0"/>
    <n v="772905"/>
    <s v="Aprobado con notificación"/>
    <s v="Emitido"/>
    <x v="1"/>
    <x v="0"/>
    <x v="1"/>
    <x v="0"/>
    <x v="0"/>
    <x v="0"/>
    <m/>
  </r>
  <r>
    <s v="Factura electrónica"/>
    <s v="78f830e2bbab6133871bb92d345955550a282a51a878b8276a700c11af72db058bd891f55db02bea30ecba659381f07f"/>
    <x v="1519"/>
    <n v="-1"/>
    <s v="FVE"/>
    <s v="19-02-2026"/>
    <s v="19-02-2026 08:22:23"/>
    <s v="900800595"/>
    <s v="Provexpress SAS"/>
    <s v="800084728"/>
    <x v="68"/>
    <n v="968240"/>
    <n v="0"/>
    <n v="0"/>
    <n v="6064240"/>
    <s v="Aprobado con notificación"/>
    <s v="Emitido"/>
    <x v="0"/>
    <x v="0"/>
    <x v="1"/>
    <x v="0"/>
    <x v="1"/>
    <x v="0"/>
    <m/>
  </r>
  <r>
    <s v="Factura electrónica"/>
    <s v="a15be3b285d3c2a158d1286fd3cc689e2dff2408ce777278c695041b7b78aab23112efdf919adc00ddd00627785220b5"/>
    <x v="1520"/>
    <n v="-1"/>
    <s v="FVE"/>
    <s v="19-02-2026"/>
    <s v="19-02-2026 08:22:27"/>
    <s v="900800595"/>
    <s v="Provexpress SAS"/>
    <s v="860017005"/>
    <x v="668"/>
    <n v="138700"/>
    <n v="0"/>
    <n v="0"/>
    <n v="868700"/>
    <s v="Aprobado con notificación"/>
    <s v="Emitido"/>
    <x v="1"/>
    <x v="0"/>
    <x v="1"/>
    <x v="0"/>
    <x v="0"/>
    <x v="0"/>
    <m/>
  </r>
  <r>
    <s v="Factura electrónica"/>
    <s v="55d28e034138a902510b002631071e99ad407b85e10b2e64ec2633fc2612a49bea42887db92b3537e89147486e122f6a"/>
    <x v="1521"/>
    <n v="-1"/>
    <s v="FVE"/>
    <s v="19-02-2026"/>
    <s v="19-02-2026 08:37:33"/>
    <s v="900800595"/>
    <s v="Provexpress SAS"/>
    <s v="900268896"/>
    <x v="669"/>
    <n v="29393"/>
    <n v="0"/>
    <n v="0"/>
    <n v="184093"/>
    <s v="Aprobado con notificación"/>
    <s v="Emitido"/>
    <x v="0"/>
    <x v="0"/>
    <x v="1"/>
    <x v="0"/>
    <x v="1"/>
    <x v="0"/>
    <m/>
  </r>
  <r>
    <s v="Factura electrónica"/>
    <s v="83a9945448ca3f7611998507c0fa8e887f47d446e981478065e8f268994005b498cfd71acb858af3dcbab62a58b38463"/>
    <x v="1522"/>
    <n v="-1"/>
    <s v="FVE"/>
    <s v="19-02-2026"/>
    <s v="19-02-2026 08:37:38"/>
    <s v="900800595"/>
    <s v="Provexpress SAS"/>
    <s v="900268896"/>
    <x v="669"/>
    <n v="59382.6"/>
    <n v="0"/>
    <n v="0"/>
    <n v="375472.6"/>
    <s v="Aprobado con notificación"/>
    <s v="Emitido"/>
    <x v="0"/>
    <x v="0"/>
    <x v="1"/>
    <x v="0"/>
    <x v="1"/>
    <x v="0"/>
    <m/>
  </r>
  <r>
    <s v="Factura electrónica"/>
    <s v="dd8ea3e4a220d0d8194a6e0a4217d5e459a540bc940622fcfccf95de032b23bda658ed08836609cf92903562fc382ccc"/>
    <x v="1523"/>
    <n v="-1"/>
    <s v="FVE"/>
    <s v="19-02-2026"/>
    <s v="19-02-2026 09:09:11"/>
    <s v="900800595"/>
    <s v="Provexpress SAS"/>
    <s v="900200435"/>
    <x v="670"/>
    <n v="981468.94"/>
    <n v="0"/>
    <n v="0"/>
    <n v="6147094.9400000004"/>
    <s v="Aprobado con notificación"/>
    <s v="Emitido"/>
    <x v="0"/>
    <x v="0"/>
    <x v="1"/>
    <x v="0"/>
    <x v="0"/>
    <x v="1"/>
    <s v="paga 2/032026"/>
  </r>
  <r>
    <s v="Factura electrónica"/>
    <s v="6405204362566f6d9e282cf5e12d4594650b47d725148b7a45965b7d913696cda1673e498b74b1d6b4b97f02d66b237a"/>
    <x v="1524"/>
    <n v="-1"/>
    <s v="FVE"/>
    <s v="19-02-2026"/>
    <s v="19-02-2026 09:08:16"/>
    <s v="900800595"/>
    <s v="Provexpress SAS"/>
    <s v="830093443"/>
    <x v="671"/>
    <n v="7200165.1399999997"/>
    <n v="0"/>
    <n v="0"/>
    <n v="45095771.140000001"/>
    <s v="Aprobado con notificación"/>
    <s v="Emitido"/>
    <x v="0"/>
    <x v="0"/>
    <x v="1"/>
    <x v="0"/>
    <x v="1"/>
    <x v="0"/>
    <m/>
  </r>
  <r>
    <s v="Factura electrónica"/>
    <s v="90e0fd8daee73bb151d84ef8dc524e448f6c7ab71b05a9365b0cdada228b7074ec0ec0787f7935f02ae71b3a48c9844a"/>
    <x v="1525"/>
    <n v="-1"/>
    <s v="FVE"/>
    <s v="19-02-2026"/>
    <s v="19-02-2026 09:25:20"/>
    <s v="900800595"/>
    <s v="Provexpress SAS"/>
    <s v="901318397"/>
    <x v="672"/>
    <n v="180557"/>
    <n v="0"/>
    <n v="0"/>
    <n v="1130857"/>
    <s v="Aprobado con notificación"/>
    <s v="Emitido"/>
    <x v="0"/>
    <x v="0"/>
    <x v="1"/>
    <x v="0"/>
    <x v="0"/>
    <x v="1"/>
    <s v="paga 26/02/2026"/>
  </r>
  <r>
    <s v="Factura electrónica"/>
    <s v="fec584f02c4b6de77f8a6619f4bb2f971dce664a3363983ea58a79bc541218530b763465cad98dcf3928ad9101ac1d47"/>
    <x v="1526"/>
    <n v="-1"/>
    <s v="FVE"/>
    <s v="19-02-2026"/>
    <s v="19-02-2026 09:53:19"/>
    <s v="900800595"/>
    <s v="Provexpress SAS"/>
    <s v="860517606"/>
    <x v="673"/>
    <n v="38206.639999999999"/>
    <n v="0"/>
    <n v="0"/>
    <n v="394780.17"/>
    <s v="Aprobado con notificación"/>
    <s v="Emitido"/>
    <x v="0"/>
    <x v="0"/>
    <x v="1"/>
    <x v="0"/>
    <x v="1"/>
    <x v="0"/>
    <m/>
  </r>
  <r>
    <s v="Factura electrónica"/>
    <s v="6d06491a0c1c597f10ceaf2e3b1f0a8a52ba182d2034bef88bac90b40c1beb20c0161f441bd6f794b615a5467f8ab461"/>
    <x v="1527"/>
    <n v="-1"/>
    <s v="FVE"/>
    <s v="19-02-2026"/>
    <s v="19-02-2026 09:53:23"/>
    <s v="900800595"/>
    <s v="Provexpress SAS"/>
    <s v="860030839"/>
    <x v="674"/>
    <n v="120682.68"/>
    <n v="0"/>
    <n v="0"/>
    <n v="755854.68"/>
    <s v="Aprobado con notificación"/>
    <s v="Emitido"/>
    <x v="0"/>
    <x v="0"/>
    <x v="1"/>
    <x v="0"/>
    <x v="1"/>
    <x v="0"/>
    <m/>
  </r>
  <r>
    <s v="Factura electrónica"/>
    <s v="6a467c1239397acff3fa11f9770be3dc4d1b79544126da3f4e49c6609b86c920e80d0b1ca13193dd3460a53109181093"/>
    <x v="1528"/>
    <n v="-1"/>
    <s v="FVE"/>
    <s v="19-02-2026"/>
    <s v="19-02-2026 09:53:28"/>
    <s v="900800595"/>
    <s v="Provexpress SAS"/>
    <s v="860030839"/>
    <x v="674"/>
    <n v="53789.03"/>
    <n v="0"/>
    <n v="0"/>
    <n v="360978.03"/>
    <s v="Aprobado con notificación"/>
    <s v="Emitido"/>
    <x v="0"/>
    <x v="0"/>
    <x v="1"/>
    <x v="0"/>
    <x v="1"/>
    <x v="0"/>
    <m/>
  </r>
  <r>
    <s v="Factura electrónica"/>
    <s v="9da7dc525fea1fed52c12a0f640f4c6d6248f34cd3fa9c6a0df74d1049a227f2cc7cf498f3f3a420568a648e14147ca2"/>
    <x v="1529"/>
    <n v="-1"/>
    <s v="FVE"/>
    <s v="19-02-2026"/>
    <s v="19-02-2026 09:53:32"/>
    <s v="900800595"/>
    <s v="Provexpress SAS"/>
    <s v="860030839"/>
    <x v="674"/>
    <n v="68258.070000000007"/>
    <n v="0"/>
    <n v="0"/>
    <n v="427511.07"/>
    <s v="Aprobado con notificación"/>
    <s v="Emitido"/>
    <x v="0"/>
    <x v="0"/>
    <x v="1"/>
    <x v="0"/>
    <x v="1"/>
    <x v="0"/>
    <m/>
  </r>
  <r>
    <s v="Factura electrónica"/>
    <s v="59921c7b7c9e872454dc000b26410c5aa2c7521b27227b103a6945d2fa49975b29162d99def6ecf97ced1ac645fd83ed"/>
    <x v="1530"/>
    <n v="-1"/>
    <s v="FVE"/>
    <s v="19-02-2026"/>
    <s v="19-02-2026 09:53:37"/>
    <s v="900800595"/>
    <s v="Provexpress SAS"/>
    <s v="860049363"/>
    <x v="675"/>
    <n v="245832.83"/>
    <n v="0"/>
    <n v="0"/>
    <n v="1560229.83"/>
    <s v="Aprobado con notificación"/>
    <s v="Emitido"/>
    <x v="0"/>
    <x v="0"/>
    <x v="0"/>
    <x v="0"/>
    <x v="0"/>
    <x v="0"/>
    <m/>
  </r>
  <r>
    <s v="Factura electrónica"/>
    <s v="eb25f4faf1e9f52237af033a483a8d575046e171b6f4d2e4816536c742225abdd7c09c7e022df6b6cd768dd9eb30dd4b"/>
    <x v="1531"/>
    <n v="-1"/>
    <s v="FVE"/>
    <s v="19-02-2026"/>
    <s v="19-02-2026 09:53:42"/>
    <s v="900800595"/>
    <s v="Provexpress SAS"/>
    <s v="830094312"/>
    <x v="676"/>
    <n v="39824"/>
    <n v="0"/>
    <n v="0"/>
    <n v="249424"/>
    <s v="Aprobado con notificación"/>
    <s v="Emitido"/>
    <x v="0"/>
    <x v="0"/>
    <x v="1"/>
    <x v="0"/>
    <x v="1"/>
    <x v="0"/>
    <m/>
  </r>
  <r>
    <s v="Factura electrónica"/>
    <s v="9cc0e1d1d3744053eaa016cdd025ebbdb8dfe6a5005088fe6276e55fb564de2713df2f6eddf973809d4223ea7f72bba6"/>
    <x v="1532"/>
    <n v="-1"/>
    <s v="FVE"/>
    <s v="19-02-2026"/>
    <s v="19-02-2026 10:09:05"/>
    <s v="900800595"/>
    <s v="Provexpress SAS"/>
    <s v="900948028"/>
    <x v="677"/>
    <n v="311600"/>
    <n v="0"/>
    <n v="0"/>
    <n v="10251600"/>
    <s v="Aprobado con notificación"/>
    <s v="Emitido"/>
    <x v="0"/>
    <x v="0"/>
    <x v="1"/>
    <x v="0"/>
    <x v="1"/>
    <x v="0"/>
    <m/>
  </r>
  <r>
    <s v="Factura electrónica"/>
    <s v="391baf23b2cf9aa341560523359b217e5b5a29191f073199ee98cabdb1eea0979ee88652cb806e6a3c53cdd8e214d3f7"/>
    <x v="1533"/>
    <n v="-1"/>
    <s v="FVE"/>
    <s v="19-02-2026"/>
    <s v="19-02-2026 10:09:10"/>
    <s v="900800595"/>
    <s v="Provexpress SAS"/>
    <s v="860403251"/>
    <x v="678"/>
    <n v="141219.4"/>
    <n v="0"/>
    <n v="0"/>
    <n v="884479.4"/>
    <s v="Aprobado con notificación"/>
    <s v="Emitido"/>
    <x v="0"/>
    <x v="0"/>
    <x v="1"/>
    <x v="0"/>
    <x v="1"/>
    <x v="0"/>
    <m/>
  </r>
  <r>
    <s v="Factura electrónica"/>
    <s v="0a1645e504e497ff6ed488a786f69688e092010b6647c66d69b04c13142dc1301edb14de11fa61b2cc38151c442abd65"/>
    <x v="1534"/>
    <n v="-1"/>
    <s v="FVE"/>
    <s v="19-02-2026"/>
    <s v="19-02-2026 10:09:15"/>
    <s v="900800595"/>
    <s v="Provexpress SAS"/>
    <s v="860403251"/>
    <x v="678"/>
    <n v="25598.38"/>
    <n v="0"/>
    <n v="0"/>
    <n v="173028.38"/>
    <s v="Aprobado con notificación"/>
    <s v="Emitido"/>
    <x v="0"/>
    <x v="0"/>
    <x v="1"/>
    <x v="0"/>
    <x v="1"/>
    <x v="0"/>
    <m/>
  </r>
  <r>
    <s v="Factura electrónica"/>
    <s v="51103a0837527403d74afa9e3279ce387dbbdd6370993fa674355129422f28f449d21e86284178eaf7bfc5589850e89b"/>
    <x v="1535"/>
    <n v="-1"/>
    <s v="FVE"/>
    <s v="19-02-2026"/>
    <s v="19-02-2026 10:09:19"/>
    <s v="900800595"/>
    <s v="Provexpress SAS"/>
    <s v="860403251"/>
    <x v="678"/>
    <n v="45725.04"/>
    <n v="0"/>
    <n v="0"/>
    <n v="434947.04"/>
    <s v="Aprobado con notificación"/>
    <s v="Emitido"/>
    <x v="0"/>
    <x v="0"/>
    <x v="1"/>
    <x v="0"/>
    <x v="1"/>
    <x v="0"/>
    <m/>
  </r>
  <r>
    <s v="Factura electrónica"/>
    <s v="afe827d61e7803689569dd8fb0dda37a4ca212b868577b649da0fd7e30ac9de234118ec0375c5bdde3df24dc3f266d0a"/>
    <x v="1536"/>
    <n v="-1"/>
    <s v="FVE"/>
    <s v="19-02-2026"/>
    <s v="19-02-2026 10:09:24"/>
    <s v="900800595"/>
    <s v="Provexpress SAS"/>
    <s v="830013819"/>
    <x v="84"/>
    <n v="136442.23000000001"/>
    <n v="0"/>
    <n v="0"/>
    <n v="854559.23"/>
    <s v="Aprobado con notificación"/>
    <s v="Emitido"/>
    <x v="1"/>
    <x v="0"/>
    <x v="1"/>
    <x v="0"/>
    <x v="0"/>
    <x v="0"/>
    <m/>
  </r>
  <r>
    <s v="Factura electrónica"/>
    <s v="68717f9ac0ec49ec447c8c412d222f97bdb6c1dcf9a9a9421df9ea42ae4f001c42cf6c82efef5bac32fc3836de610cfe"/>
    <x v="1537"/>
    <n v="-1"/>
    <s v="FVE"/>
    <s v="19-02-2026"/>
    <s v="19-02-2026 10:09:29"/>
    <s v="900800595"/>
    <s v="Provexpress SAS"/>
    <s v="860023053"/>
    <x v="679"/>
    <n v="382123.06"/>
    <n v="0"/>
    <n v="0"/>
    <n v="2393297.06"/>
    <s v="Aprobado con notificación"/>
    <s v="Emitido"/>
    <x v="1"/>
    <x v="0"/>
    <x v="1"/>
    <x v="0"/>
    <x v="0"/>
    <x v="0"/>
    <m/>
  </r>
  <r>
    <s v="Factura electrónica"/>
    <s v="f1ae887381789dc487ec53569a3c311cc0d7f0bc50b6cf5f9d97ccc97f2b6d47d39cb111152205ec12dbfb8b55b016d8"/>
    <x v="1538"/>
    <n v="-1"/>
    <s v="FVE"/>
    <s v="19-02-2026"/>
    <s v="19-02-2026 10:24:44"/>
    <s v="900800595"/>
    <s v="Provexpress SAS"/>
    <s v="830513769"/>
    <x v="680"/>
    <n v="2669605.23"/>
    <n v="0"/>
    <n v="0"/>
    <n v="16720159.189999999"/>
    <s v="Aprobado con notificación"/>
    <s v="Emitido"/>
    <x v="0"/>
    <x v="0"/>
    <x v="0"/>
    <x v="0"/>
    <x v="0"/>
    <x v="0"/>
    <m/>
  </r>
  <r>
    <s v="Factura electrónica"/>
    <s v="6d2af8a0feb8ab73003046ccf8c352619f8421956f1a7ad91bb3d841d6e50c1d02b83215d29a6353d49334bf271467dc"/>
    <x v="1539"/>
    <n v="-1"/>
    <s v="FVE"/>
    <s v="19-02-2026"/>
    <s v="19-02-2026 10:24:50"/>
    <s v="900800595"/>
    <s v="Provexpress SAS"/>
    <s v="860015905"/>
    <x v="314"/>
    <n v="0"/>
    <n v="0"/>
    <n v="0"/>
    <n v="13591143.039999999"/>
    <s v="Aprobado con notificación"/>
    <s v="Emitido"/>
    <x v="0"/>
    <x v="0"/>
    <x v="1"/>
    <x v="0"/>
    <x v="1"/>
    <x v="0"/>
    <m/>
  </r>
  <r>
    <s v="Factura electrónica"/>
    <s v="03b6e0106f6004ee780fd02c7ec31393bea205e274da7cea2ff26ff26676dc772a26681cd7f381c7859d01b8b290e8df"/>
    <x v="1540"/>
    <n v="-1"/>
    <s v="FVE"/>
    <s v="19-02-2026"/>
    <s v="19-02-2026 10:24:54"/>
    <s v="900800595"/>
    <s v="Provexpress SAS"/>
    <s v="900218578"/>
    <x v="681"/>
    <n v="86431"/>
    <n v="0"/>
    <n v="0"/>
    <n v="541331"/>
    <s v="Aprobado con notificación"/>
    <s v="Emitido"/>
    <x v="1"/>
    <x v="0"/>
    <x v="1"/>
    <x v="0"/>
    <x v="0"/>
    <x v="0"/>
    <m/>
  </r>
  <r>
    <s v="Factura electrónica"/>
    <s v="6016384e656918238518694b5dd059183798de9f2d9ec6fa3adcdb5868386de4d44114d061cb0d0a96edfbc077c25e4b"/>
    <x v="1541"/>
    <n v="-1"/>
    <s v="FVE"/>
    <s v="19-02-2026"/>
    <s v="19-02-2026 10:24:59"/>
    <s v="900800595"/>
    <s v="Provexpress SAS"/>
    <s v="900037743"/>
    <x v="76"/>
    <n v="0"/>
    <n v="0"/>
    <n v="0"/>
    <n v="1378000"/>
    <s v="Aprobado con notificación"/>
    <s v="Emitido"/>
    <x v="0"/>
    <x v="0"/>
    <x v="0"/>
    <x v="0"/>
    <x v="0"/>
    <x v="0"/>
    <m/>
  </r>
  <r>
    <s v="Factura electrónica"/>
    <s v="d86fa54f5e93e4565e7b7848b6c7ef8e501d48997a59c2c0a0a71c81fb460374c8d312c65226c8eb5cf1fec5044b2896"/>
    <x v="1542"/>
    <n v="-1"/>
    <s v="FVE"/>
    <s v="19-02-2026"/>
    <s v="19-02-2026 10:25:03"/>
    <s v="900800595"/>
    <s v="Provexpress SAS"/>
    <s v="900206480"/>
    <x v="219"/>
    <n v="878073.68"/>
    <n v="0"/>
    <n v="0"/>
    <n v="5606665.6799999997"/>
    <s v="Aprobado con notificación"/>
    <s v="Emitido"/>
    <x v="0"/>
    <x v="0"/>
    <x v="1"/>
    <x v="0"/>
    <x v="1"/>
    <x v="0"/>
    <m/>
  </r>
  <r>
    <s v="Factura electrónica"/>
    <s v="991f0f1acfa9f8cb563ec6cce34bd2d06fff29237629baf376c510531a5083a7fd1f55d21cda3dacce041f9c15f7a9b2"/>
    <x v="1543"/>
    <n v="-1"/>
    <s v="FVE"/>
    <s v="19-02-2026"/>
    <s v="19-02-2026 10:40:10"/>
    <s v="900800595"/>
    <s v="Provexpress SAS"/>
    <s v="900206480"/>
    <x v="219"/>
    <n v="27402.560000000001"/>
    <n v="0"/>
    <n v="0"/>
    <n v="171626.56"/>
    <s v="Aprobado con notificación"/>
    <s v="Emitido"/>
    <x v="0"/>
    <x v="0"/>
    <x v="1"/>
    <x v="0"/>
    <x v="1"/>
    <x v="0"/>
    <m/>
  </r>
  <r>
    <s v="Factura electrónica"/>
    <s v="3f8ff4f798b447979eaed44e4715dd510fff54945767528a5d8ae28327194d6b8c86efe9197d3166d69e8b4f541f35a0"/>
    <x v="1544"/>
    <n v="-1"/>
    <s v="FVE"/>
    <s v="19-02-2026"/>
    <s v="19-02-2026 10:40:14"/>
    <s v="900800595"/>
    <s v="Provexpress SAS"/>
    <s v="900206480"/>
    <x v="219"/>
    <n v="13701.28"/>
    <n v="0"/>
    <n v="0"/>
    <n v="85813.28"/>
    <s v="Aprobado con notificación"/>
    <s v="Emitido"/>
    <x v="0"/>
    <x v="0"/>
    <x v="1"/>
    <x v="0"/>
    <x v="1"/>
    <x v="0"/>
    <m/>
  </r>
  <r>
    <s v="Factura electrónica"/>
    <s v="1e670551ef484fe63ed786cd50f54734f89d8f8fdee963302eaed8e276844e3b0011250cd102d75f3d2fadd18eac40eb"/>
    <x v="1545"/>
    <n v="-1"/>
    <s v="FVE"/>
    <s v="19-02-2026"/>
    <s v="19-02-2026 10:40:19"/>
    <s v="900800595"/>
    <s v="Provexpress SAS"/>
    <s v="830103877"/>
    <x v="682"/>
    <n v="13684.55"/>
    <n v="0"/>
    <n v="0"/>
    <n v="85708.5"/>
    <s v="Aprobado con notificación"/>
    <s v="Emitido"/>
    <x v="0"/>
    <x v="0"/>
    <x v="0"/>
    <x v="0"/>
    <x v="0"/>
    <x v="0"/>
    <m/>
  </r>
  <r>
    <s v="Factura electrónica"/>
    <s v="030de30fdf297f533d898d9ed8c6443622080b5668af9fe42157850f517a0e53411fb798134d37803ff1f65175cd4b69"/>
    <x v="1546"/>
    <n v="-1"/>
    <s v="FVE"/>
    <s v="19-02-2026"/>
    <s v="19-02-2026 10:40:24"/>
    <s v="900800595"/>
    <s v="Provexpress SAS"/>
    <s v="830103877"/>
    <x v="682"/>
    <n v="648746.16"/>
    <n v="0"/>
    <n v="0"/>
    <n v="4063199.67"/>
    <s v="Aprobado con notificación"/>
    <s v="Emitido"/>
    <x v="0"/>
    <x v="0"/>
    <x v="0"/>
    <x v="0"/>
    <x v="0"/>
    <x v="0"/>
    <m/>
  </r>
  <r>
    <s v="Factura electrónica"/>
    <s v="86141f39ef2b09af81e42745942794ef116bf20dc01cb168e8285ead3d0a512816e329c80e375f9a12512279e8b5dffd"/>
    <x v="1547"/>
    <n v="-1"/>
    <s v="FVE"/>
    <s v="19-02-2026"/>
    <s v="19-02-2026 10:40:29"/>
    <s v="900800595"/>
    <s v="Provexpress SAS"/>
    <s v="900383203"/>
    <x v="646"/>
    <n v="2853744.9"/>
    <n v="0"/>
    <n v="0"/>
    <n v="17873454.899999999"/>
    <s v="Aprobado con notificación"/>
    <s v="Emitido"/>
    <x v="0"/>
    <x v="0"/>
    <x v="1"/>
    <x v="0"/>
    <x v="1"/>
    <x v="0"/>
    <m/>
  </r>
  <r>
    <s v="Factura electrónica"/>
    <s v="c621a97a83de020b039f65eb12b3747295075a089d183ae5bee62d11c646154352f0fafc9a8449160d348cbe61274e69"/>
    <x v="1548"/>
    <n v="-1"/>
    <s v="FVE"/>
    <s v="19-02-2026"/>
    <s v="19-02-2026 10:55:40"/>
    <s v="900800595"/>
    <s v="Provexpress SAS"/>
    <s v="860059851"/>
    <x v="381"/>
    <n v="104575.11"/>
    <n v="0"/>
    <n v="0"/>
    <n v="916050.11"/>
    <s v="Aprobado con notificación"/>
    <s v="Emitido"/>
    <x v="0"/>
    <x v="0"/>
    <x v="1"/>
    <x v="0"/>
    <x v="1"/>
    <x v="0"/>
    <m/>
  </r>
  <r>
    <s v="Factura electrónica"/>
    <s v="606e6a08966e786387f9e6932e9bf4e83d0ea68aa87a3bc2563780652e37a673a8518c50bc44a76ba3dd614cf2f6168f"/>
    <x v="1549"/>
    <n v="-1"/>
    <s v="FVE"/>
    <s v="19-02-2026"/>
    <s v="19-02-2026 10:55:44"/>
    <s v="900800595"/>
    <s v="Provexpress SAS"/>
    <s v="800156354"/>
    <x v="683"/>
    <n v="150089.75"/>
    <n v="0"/>
    <n v="0"/>
    <n v="1106114.75"/>
    <s v="Aprobado con notificación"/>
    <s v="Emitido"/>
    <x v="0"/>
    <x v="0"/>
    <x v="1"/>
    <x v="0"/>
    <x v="1"/>
    <x v="0"/>
    <m/>
  </r>
  <r>
    <s v="Factura electrónica"/>
    <s v="313d9d2e55731867f4d410b20bded2360e2d13f4766177a4dad644223301252d841f59ac6dd6b20fda20ec5b8a98e5d1"/>
    <x v="1550"/>
    <n v="-1"/>
    <s v="FVE"/>
    <s v="19-02-2026"/>
    <s v="19-02-2026 10:55:49"/>
    <s v="900800595"/>
    <s v="Provexpress SAS"/>
    <s v="830050619"/>
    <x v="684"/>
    <n v="513000"/>
    <n v="0"/>
    <n v="0"/>
    <n v="3213000"/>
    <s v="Aprobado con notificación"/>
    <s v="Emitido"/>
    <x v="0"/>
    <x v="0"/>
    <x v="1"/>
    <x v="0"/>
    <x v="1"/>
    <x v="0"/>
    <m/>
  </r>
  <r>
    <s v="Factura electrónica"/>
    <s v="0f058b866c9d1051768e6adf7d9b3c415073e1a4ecac449165d74441aeb344e871f0d795385d2f198525f251be315b1e"/>
    <x v="1551"/>
    <n v="-1"/>
    <s v="FVE"/>
    <s v="19-02-2026"/>
    <s v="19-02-2026 10:55:54"/>
    <s v="900800595"/>
    <s v="Provexpress SAS"/>
    <s v="830050619"/>
    <x v="684"/>
    <n v="169130.97"/>
    <n v="0"/>
    <n v="0"/>
    <n v="1059293.97"/>
    <s v="Aprobado con notificación"/>
    <s v="Emitido"/>
    <x v="0"/>
    <x v="0"/>
    <x v="1"/>
    <x v="0"/>
    <x v="1"/>
    <x v="0"/>
    <m/>
  </r>
  <r>
    <s v="Factura electrónica"/>
    <s v="a81dc7b9fed1128131696c2c0c3d57ba451ff879ddede910b844985370aea3c47623d5d2acc05e0e87078c5fa675faf3"/>
    <x v="1552"/>
    <n v="-1"/>
    <s v="FVE"/>
    <s v="19-02-2026"/>
    <s v="19-02-2026 10:55:59"/>
    <s v="900800595"/>
    <s v="Provexpress SAS"/>
    <s v="890903858"/>
    <x v="548"/>
    <n v="1153412.1000000001"/>
    <n v="0"/>
    <n v="0"/>
    <n v="7224002.0999999996"/>
    <s v="Aprobado con notificación"/>
    <s v="Emitido"/>
    <x v="0"/>
    <x v="1"/>
    <x v="1"/>
    <x v="0"/>
    <x v="0"/>
    <x v="0"/>
    <m/>
  </r>
  <r>
    <s v="Factura electrónica"/>
    <s v="c44ffd3d550b65fe471d16648f0bf06792c0131bea98a75c0fbf03fb47dd9b80d0cab8bc993bfb3065d635ce892fd943"/>
    <x v="1553"/>
    <n v="-1"/>
    <s v="FVE"/>
    <s v="19-02-2026"/>
    <s v="19-02-2026 10:56:03"/>
    <s v="900800595"/>
    <s v="Provexpress SAS"/>
    <s v="900114346"/>
    <x v="104"/>
    <n v="10425.299999999999"/>
    <n v="0"/>
    <n v="0"/>
    <n v="130295.3"/>
    <s v="Aprobado con notificación"/>
    <s v="Emitido"/>
    <x v="0"/>
    <x v="1"/>
    <x v="1"/>
    <x v="0"/>
    <x v="0"/>
    <x v="0"/>
    <m/>
  </r>
  <r>
    <s v="Factura electrónica"/>
    <s v="1dd4c28c7cdad2df527f5359c5812b78c7ab94d354643be263d07b208d87491a8456dfdc0b33494422cbd55809fa0f8d"/>
    <x v="1554"/>
    <n v="-1"/>
    <s v="FVE"/>
    <s v="19-02-2026"/>
    <s v="19-02-2026 10:56:08"/>
    <s v="900800595"/>
    <s v="Provexpress SAS"/>
    <s v="830041970"/>
    <x v="196"/>
    <n v="633460"/>
    <n v="0"/>
    <n v="0"/>
    <n v="3967460"/>
    <s v="Aprobado con notificación"/>
    <s v="Emitido"/>
    <x v="0"/>
    <x v="0"/>
    <x v="1"/>
    <x v="0"/>
    <x v="1"/>
    <x v="0"/>
    <m/>
  </r>
  <r>
    <s v="Factura electrónica"/>
    <s v="94061dd02a497b87e09c4d571f367d05e69948eba08415fb5e8a5d7571325d99a95fd02d6fedce8ffeac9c4cff0bcc46"/>
    <x v="1555"/>
    <n v="-1"/>
    <s v="FVE"/>
    <s v="19-02-2026"/>
    <s v="19-02-2026 10:56:13"/>
    <s v="900800595"/>
    <s v="Provexpress SAS"/>
    <s v="860031462"/>
    <x v="287"/>
    <n v="205200"/>
    <n v="0"/>
    <n v="0"/>
    <n v="1285200"/>
    <s v="Aprobado con notificación"/>
    <s v="Emitido"/>
    <x v="0"/>
    <x v="0"/>
    <x v="1"/>
    <x v="0"/>
    <x v="1"/>
    <x v="0"/>
    <m/>
  </r>
  <r>
    <s v="Factura electrónica"/>
    <s v="403234a0fa51ae7ee803217e6704add86160ddda62a0cad99ab2a9b1d97d3106581a60ce2b182955f229b7192642f317"/>
    <x v="1556"/>
    <n v="-1"/>
    <s v="FVE"/>
    <s v="19-02-2026"/>
    <s v="19-02-2026 11:12:42"/>
    <s v="900800595"/>
    <s v="Provexpress SAS"/>
    <s v="860511911"/>
    <x v="685"/>
    <n v="237019.9"/>
    <n v="0"/>
    <n v="0"/>
    <n v="1804889.56"/>
    <s v="Aprobado con notificación"/>
    <s v="Emitido"/>
    <x v="0"/>
    <x v="0"/>
    <x v="1"/>
    <x v="0"/>
    <x v="1"/>
    <x v="0"/>
    <m/>
  </r>
  <r>
    <s v="Factura electrónica"/>
    <s v="e4550ee44df2e6df0ab4125bcfdb0739a4b6ef573f271950f6406dd47a39509c460121cc16ba153331d157dd8fc1c78e"/>
    <x v="1557"/>
    <n v="-1"/>
    <s v="FVE"/>
    <s v="19-02-2026"/>
    <s v="19-02-2026 11:11:24"/>
    <s v="900800595"/>
    <s v="Provexpress SAS"/>
    <s v="900521357"/>
    <x v="686"/>
    <n v="46293.5"/>
    <n v="0"/>
    <n v="0"/>
    <n v="289943.5"/>
    <s v="Aprobado con notificación"/>
    <s v="Emitido"/>
    <x v="0"/>
    <x v="0"/>
    <x v="1"/>
    <x v="0"/>
    <x v="1"/>
    <x v="0"/>
    <m/>
  </r>
  <r>
    <s v="Factura electrónica"/>
    <s v="e3334b0c2d6e1a00e501cec26b451882917b22f6fe2545d579c26ca40b50fffa6f79042f5b14a55f3a2d60bf5fbddd12"/>
    <x v="1558"/>
    <n v="-1"/>
    <s v="FVE"/>
    <s v="19-02-2026"/>
    <s v="19-02-2026 11:11:30"/>
    <s v="900800595"/>
    <s v="Provexpress SAS"/>
    <s v="900521357"/>
    <x v="686"/>
    <n v="36876"/>
    <n v="0"/>
    <n v="0"/>
    <n v="321626"/>
    <s v="Aprobado con notificación"/>
    <s v="Emitido"/>
    <x v="0"/>
    <x v="0"/>
    <x v="1"/>
    <x v="0"/>
    <x v="1"/>
    <x v="0"/>
    <m/>
  </r>
  <r>
    <s v="Factura electrónica"/>
    <s v="e8520daa526f662c7c6f4839500a225afb665221b648bf49faa4e5ff307679de8077de445505bbc5f6b809a3ef633df6"/>
    <x v="1559"/>
    <n v="-1"/>
    <s v="FVE"/>
    <s v="19-02-2026"/>
    <s v="19-02-2026 11:11:34"/>
    <s v="900800595"/>
    <s v="Provexpress SAS"/>
    <s v="900521357"/>
    <x v="686"/>
    <n v="36020.5"/>
    <n v="0"/>
    <n v="0"/>
    <n v="326070.5"/>
    <s v="Aprobado con notificación"/>
    <s v="Emitido"/>
    <x v="0"/>
    <x v="0"/>
    <x v="1"/>
    <x v="0"/>
    <x v="1"/>
    <x v="0"/>
    <m/>
  </r>
  <r>
    <s v="Factura electrónica"/>
    <s v="d9f1f25597ca618eaee0189b067f6b8a9da05c721e685b4cba5fc77110ea074733bd454901cd9be1e317d5bffa79a2e5"/>
    <x v="1560"/>
    <n v="-1"/>
    <s v="FVE"/>
    <s v="19-02-2026"/>
    <s v="19-02-2026 11:12:54"/>
    <s v="900800595"/>
    <s v="Provexpress SAS"/>
    <s v="900521357"/>
    <x v="686"/>
    <n v="50611.5"/>
    <n v="0"/>
    <n v="0"/>
    <n v="458461.5"/>
    <s v="Aprobado con notificación"/>
    <s v="Emitido"/>
    <x v="0"/>
    <x v="0"/>
    <x v="1"/>
    <x v="0"/>
    <x v="1"/>
    <x v="0"/>
    <m/>
  </r>
  <r>
    <s v="Factura electrónica"/>
    <s v="9d1f4675ad4b38a7bfa931c51483a48ccfc569faf79b2ecbde3a864c3c0bd34560c5a87ecf1847209e12e9350700777f"/>
    <x v="1561"/>
    <n v="-1"/>
    <s v="FVE"/>
    <s v="19-02-2026"/>
    <s v="19-02-2026 11:11:43"/>
    <s v="900800595"/>
    <s v="Provexpress SAS"/>
    <s v="900521357"/>
    <x v="686"/>
    <n v="2755"/>
    <n v="0"/>
    <n v="0"/>
    <n v="17255"/>
    <s v="Aprobado con notificación"/>
    <s v="Emitido"/>
    <x v="0"/>
    <x v="0"/>
    <x v="1"/>
    <x v="0"/>
    <x v="1"/>
    <x v="0"/>
    <m/>
  </r>
  <r>
    <s v="Factura electrónica"/>
    <s v="992addf76d7390f4813e806423eeda52bfc408a5d3260e9b4707463ccb73f927a87f85a7574df9e83e241be2462b58b6"/>
    <x v="1562"/>
    <n v="-1"/>
    <s v="FVE"/>
    <s v="19-02-2026"/>
    <s v="19-02-2026 11:26:51"/>
    <s v="900800595"/>
    <s v="Provexpress SAS"/>
    <s v="890301291"/>
    <x v="516"/>
    <n v="6507500"/>
    <n v="0"/>
    <n v="0"/>
    <n v="40757500"/>
    <s v="Aprobado con notificación"/>
    <s v="Emitido"/>
    <x v="0"/>
    <x v="0"/>
    <x v="0"/>
    <x v="0"/>
    <x v="0"/>
    <x v="0"/>
    <m/>
  </r>
  <r>
    <s v="Factura electrónica"/>
    <s v="93367bf08755bee24630ca10a210dca6e346a299ecdcf5ca6265862d0f2c09bd395ba835e5e320061b4c79c241e4ff26"/>
    <x v="1563"/>
    <n v="-1"/>
    <s v="FVE"/>
    <s v="19-02-2026"/>
    <s v="19-02-2026 11:26:55"/>
    <s v="900800595"/>
    <s v="Provexpress SAS"/>
    <s v="901152286"/>
    <x v="687"/>
    <n v="25460"/>
    <n v="0"/>
    <n v="0"/>
    <n v="159460"/>
    <s v="Aprobado con notificación"/>
    <s v="Emitido"/>
    <x v="0"/>
    <x v="0"/>
    <x v="1"/>
    <x v="0"/>
    <x v="1"/>
    <x v="0"/>
    <m/>
  </r>
  <r>
    <s v="Factura electrónica"/>
    <s v="b21afed811fe84fab68dce7db5f80681439c98484f4680f48b54852e9406b5c9d0fbe7d69d020d8f18b6e0f69d4eb399"/>
    <x v="1564"/>
    <n v="-1"/>
    <s v="FVE"/>
    <s v="19-02-2026"/>
    <s v="19-02-2026 11:27:00"/>
    <s v="900800595"/>
    <s v="Provexpress SAS"/>
    <s v="901042801"/>
    <x v="688"/>
    <n v="25923.599999999999"/>
    <n v="0"/>
    <n v="0"/>
    <n v="162363.6"/>
    <s v="Aprobado con notificación"/>
    <s v="Emitido"/>
    <x v="0"/>
    <x v="0"/>
    <x v="1"/>
    <x v="0"/>
    <x v="0"/>
    <x v="1"/>
    <s v="PAGA 27/02/2026"/>
  </r>
  <r>
    <s v="Factura electrónica"/>
    <s v="121da6f6c6790c9d90d495af8e13c45c95db3e42b20d45e4a494c1d1767517a55b79b044480739f76bfdc171579ef408"/>
    <x v="1565"/>
    <n v="-1"/>
    <s v="FVE"/>
    <s v="19-02-2026"/>
    <s v="19-02-2026 11:27:05"/>
    <s v="900800595"/>
    <s v="Provexpress SAS"/>
    <s v="830000135"/>
    <x v="401"/>
    <n v="109758.65"/>
    <n v="0"/>
    <n v="0"/>
    <n v="1197041.6499999999"/>
    <s v="Aprobado con notificación"/>
    <s v="Emitido"/>
    <x v="0"/>
    <x v="0"/>
    <x v="0"/>
    <x v="0"/>
    <x v="0"/>
    <x v="0"/>
    <m/>
  </r>
  <r>
    <s v="Factura electrónica"/>
    <s v="7fb6023e450b9abae0fb0f0d51a7e1f23d7dadb782d4f9fc377db2aa1664e52199360bff0549668c2ea4cfbabf80c757"/>
    <x v="1566"/>
    <n v="-1"/>
    <s v="FVE"/>
    <s v="19-02-2026"/>
    <s v="19-02-2026 11:43:08"/>
    <s v="900800595"/>
    <s v="Provexpress SAS"/>
    <s v="860015905"/>
    <x v="314"/>
    <n v="8276903.8799999999"/>
    <n v="0"/>
    <n v="0"/>
    <n v="51839555.880000003"/>
    <s v="Aprobado con notificación"/>
    <s v="Emitido"/>
    <x v="0"/>
    <x v="0"/>
    <x v="1"/>
    <x v="0"/>
    <x v="1"/>
    <x v="0"/>
    <m/>
  </r>
  <r>
    <s v="Factura electrónica"/>
    <s v="b363e1c51cc31edda54a513daf5b03cde5d1b775991e8187c244724d5139b73ee384a1192108ccd65cbe135f1c6ac34e"/>
    <x v="1567"/>
    <n v="-1"/>
    <s v="FVE"/>
    <s v="19-02-2026"/>
    <s v="19-02-2026 11:43:11"/>
    <s v="900800595"/>
    <s v="Provexpress SAS"/>
    <s v="830083714"/>
    <x v="326"/>
    <n v="201476.38"/>
    <n v="0"/>
    <n v="0"/>
    <n v="1261878.3799999999"/>
    <s v="Aprobado con notificación"/>
    <s v="Emitido"/>
    <x v="0"/>
    <x v="0"/>
    <x v="1"/>
    <x v="0"/>
    <x v="0"/>
    <x v="1"/>
    <s v="PAGA 27/02/2026"/>
  </r>
  <r>
    <s v="Factura electrónica"/>
    <s v="cae7d4197e3686b1d8c02457570858d5b9b8a8b6a101bc1baa8ce476569db720fa813d0ce6b31781b81f4ef18607bdf5"/>
    <x v="1568"/>
    <n v="-1"/>
    <s v="FVE"/>
    <s v="19-02-2026"/>
    <s v="19-02-2026 11:43:16"/>
    <s v="900800595"/>
    <s v="Provexpress SAS"/>
    <s v="860001093"/>
    <x v="689"/>
    <n v="0"/>
    <n v="0"/>
    <n v="0"/>
    <n v="7712066.2699999996"/>
    <s v="Aprobado con notificación"/>
    <s v="Emitido"/>
    <x v="0"/>
    <x v="0"/>
    <x v="1"/>
    <x v="0"/>
    <x v="1"/>
    <x v="0"/>
    <m/>
  </r>
  <r>
    <s v="Factura electrónica"/>
    <s v="cef62e309814dee6290236db6cc3b1928fb7dbe4e583f9769d82ba890a5875f5532056b2e862b183c14a63337791f1be"/>
    <x v="1569"/>
    <n v="-1"/>
    <s v="FVE"/>
    <s v="19-02-2026"/>
    <s v="19-02-2026 11:43:19"/>
    <s v="900800595"/>
    <s v="Provexpress SAS"/>
    <s v="830033494"/>
    <x v="233"/>
    <n v="363919.92"/>
    <n v="0"/>
    <n v="0"/>
    <n v="2279287.92"/>
    <s v="Aprobado con notificación"/>
    <s v="Emitido"/>
    <x v="1"/>
    <x v="0"/>
    <x v="1"/>
    <x v="0"/>
    <x v="0"/>
    <x v="0"/>
    <m/>
  </r>
  <r>
    <s v="Factura electrónica"/>
    <s v="c68666dec2f01b686b18ac1a161b8d4ba9f5330121c7094a2cd7d88cafb925dab24e665b2deba77ed6cefd12345463c1"/>
    <x v="1570"/>
    <n v="-1"/>
    <s v="FVE"/>
    <s v="19-02-2026"/>
    <s v="19-02-2026 11:43:22"/>
    <s v="900800595"/>
    <s v="Provexpress SAS"/>
    <s v="830090773"/>
    <x v="690"/>
    <n v="294496.2"/>
    <n v="0"/>
    <n v="0"/>
    <n v="1844476.2"/>
    <s v="Aprobado con notificación"/>
    <s v="Emitido"/>
    <x v="0"/>
    <x v="0"/>
    <x v="0"/>
    <x v="0"/>
    <x v="0"/>
    <x v="0"/>
    <m/>
  </r>
  <r>
    <s v="Factura electrónica"/>
    <s v="7de7fe6a3a63fac00c6cc7195991a829eb57538d5cb698e41c1cea97b694f6ba0385028e0f331467a216b1a60b04dfde"/>
    <x v="1571"/>
    <n v="-1"/>
    <s v="FVE"/>
    <s v="19-02-2026"/>
    <s v="19-02-2026 11:57:37"/>
    <s v="900800595"/>
    <s v="Provexpress SAS"/>
    <s v="830055467"/>
    <x v="232"/>
    <n v="640680"/>
    <n v="0"/>
    <n v="0"/>
    <n v="4012680"/>
    <s v="Aprobado con notificación"/>
    <s v="Emitido"/>
    <x v="0"/>
    <x v="0"/>
    <x v="1"/>
    <x v="0"/>
    <x v="1"/>
    <x v="0"/>
    <m/>
  </r>
  <r>
    <s v="Factura electrónica"/>
    <s v="05b389c1235a73b430905dcdaa62e995166f5fa95a84496b5edaa2da64338690298bee69a3f463833a5755c2a88d1e9b"/>
    <x v="1572"/>
    <n v="-1"/>
    <s v="FVE"/>
    <s v="19-02-2026"/>
    <s v="19-02-2026 11:57:42"/>
    <s v="900800595"/>
    <s v="Provexpress SAS"/>
    <s v="860536003"/>
    <x v="225"/>
    <n v="13680"/>
    <n v="0"/>
    <n v="0"/>
    <n v="85680"/>
    <s v="Aprobado con notificación"/>
    <s v="Emitido"/>
    <x v="0"/>
    <x v="0"/>
    <x v="1"/>
    <x v="0"/>
    <x v="1"/>
    <x v="0"/>
    <m/>
  </r>
  <r>
    <s v="Factura electrónica"/>
    <s v="67c4f8466febcb5fb969789a05b2432bc494b8a881fea28b164177fdb17c74200cc0f0a104d7d0349c34a47a2644c33b"/>
    <x v="1573"/>
    <n v="-1"/>
    <s v="FVE"/>
    <s v="19-02-2026"/>
    <s v="19-02-2026 11:57:47"/>
    <s v="900800595"/>
    <s v="Provexpress SAS"/>
    <s v="830021423"/>
    <x v="297"/>
    <n v="34200"/>
    <n v="0"/>
    <n v="0"/>
    <n v="214200"/>
    <s v="Aprobado con notificación"/>
    <s v="Emitido"/>
    <x v="0"/>
    <x v="1"/>
    <x v="1"/>
    <x v="0"/>
    <x v="0"/>
    <x v="0"/>
    <m/>
  </r>
  <r>
    <s v="Factura electrónica"/>
    <s v="f582a89fb0899d4e6ee0c94bbf216c425fdc5aeafff3b123ed1cae619add77176ecb33fb2bc7c7f9fc36e04aa5a231c6"/>
    <x v="1574"/>
    <n v="-1"/>
    <s v="FVE"/>
    <s v="19-02-2026"/>
    <s v="19-02-2026 11:57:52"/>
    <s v="900800595"/>
    <s v="Provexpress SAS"/>
    <s v="900948028"/>
    <x v="677"/>
    <n v="545300"/>
    <n v="0"/>
    <n v="0"/>
    <n v="17940300"/>
    <s v="Aprobado con notificación"/>
    <s v="Emitido"/>
    <x v="0"/>
    <x v="0"/>
    <x v="1"/>
    <x v="0"/>
    <x v="1"/>
    <x v="0"/>
    <m/>
  </r>
  <r>
    <s v="Factura electrónica"/>
    <s v="ff41d39d593329bc1434668002d4d0a2236d07aa6322ce1b84770b4e0ea4bbdcd1bf3b8d12d06c6f5db6dfcf50f7b2e6"/>
    <x v="1575"/>
    <n v="-1"/>
    <s v="FVE"/>
    <s v="19-02-2026"/>
    <s v="19-02-2026 11:57:56"/>
    <s v="900800595"/>
    <s v="Provexpress SAS"/>
    <s v="860513970"/>
    <x v="224"/>
    <n v="649819"/>
    <n v="0"/>
    <n v="0"/>
    <n v="4069919"/>
    <s v="Aprobado con notificación"/>
    <s v="Emitido"/>
    <x v="1"/>
    <x v="0"/>
    <x v="1"/>
    <x v="0"/>
    <x v="0"/>
    <x v="0"/>
    <m/>
  </r>
  <r>
    <s v="Factura electrónica"/>
    <s v="2bef15f040f9c025bf0abd48ad520244f660fcdf71f20f4d3fd772f69d5ccd0adbf1b45bad3dfff3e421cc7ebf2ab1f7"/>
    <x v="1576"/>
    <n v="-1"/>
    <s v="FVE"/>
    <s v="19-02-2026"/>
    <s v="19-02-2026 11:58:01"/>
    <s v="900800595"/>
    <s v="Provexpress SAS"/>
    <s v="900457412"/>
    <x v="691"/>
    <n v="150318.5"/>
    <n v="0"/>
    <n v="0"/>
    <n v="941468.5"/>
    <s v="Aprobado con notificación"/>
    <s v="Emitido"/>
    <x v="0"/>
    <x v="0"/>
    <x v="1"/>
    <x v="0"/>
    <x v="0"/>
    <x v="1"/>
    <s v="PAGA 23/02/2026"/>
  </r>
  <r>
    <s v="Factura electrónica"/>
    <s v="05943fd0fbdb424bb64db318416909d1960858263f42f3690c200af936c40c5fc1922f31760dba41bb1eeb5293cf0cb6"/>
    <x v="1577"/>
    <n v="-1"/>
    <s v="FVE"/>
    <s v="19-02-2026"/>
    <s v="19-02-2026 11:58:06"/>
    <s v="900800595"/>
    <s v="Provexpress SAS"/>
    <s v="900425918"/>
    <x v="692"/>
    <n v="478385.6"/>
    <n v="0"/>
    <n v="0"/>
    <n v="4331243.5999999996"/>
    <s v="Aprobado con notificación"/>
    <s v="Emitido"/>
    <x v="0"/>
    <x v="0"/>
    <x v="1"/>
    <x v="0"/>
    <x v="1"/>
    <x v="0"/>
    <m/>
  </r>
  <r>
    <s v="Factura electrónica"/>
    <s v="be82efed54801a5b7f4263a9567c10d96858cabde97c11b04a457a243fe75e413b35d2a08467005331bc1142d14d2749"/>
    <x v="1578"/>
    <n v="-1"/>
    <s v="FVE"/>
    <s v="19-02-2026"/>
    <s v="19-02-2026 12:13:12"/>
    <s v="900800595"/>
    <s v="Provexpress SAS"/>
    <s v="800125872"/>
    <x v="359"/>
    <n v="7936.3"/>
    <n v="0"/>
    <n v="0"/>
    <n v="49706.3"/>
    <s v="Aprobado con notificación"/>
    <s v="Emitido"/>
    <x v="1"/>
    <x v="0"/>
    <x v="1"/>
    <x v="0"/>
    <x v="0"/>
    <x v="0"/>
    <m/>
  </r>
  <r>
    <s v="Factura electrónica"/>
    <s v="ceb3fe4e732fae7269ca56933cb88fa5489c95ccbd67ead3b8522c0b2f81497ff6d115b4b4a862225758caac28115562"/>
    <x v="1579"/>
    <n v="-1"/>
    <s v="FVE"/>
    <s v="19-02-2026"/>
    <s v="19-02-2026 12:13:17"/>
    <s v="900800595"/>
    <s v="Provexpress SAS"/>
    <s v="900824185"/>
    <x v="555"/>
    <n v="1100385"/>
    <n v="0"/>
    <n v="0"/>
    <n v="6891885"/>
    <s v="Aprobado con notificación"/>
    <s v="Emitido"/>
    <x v="1"/>
    <x v="0"/>
    <x v="1"/>
    <x v="0"/>
    <x v="0"/>
    <x v="0"/>
    <m/>
  </r>
  <r>
    <s v="Factura electrónica"/>
    <s v="2f1f044cc32c6f599edb3ffff3a1686f150e8a434c99fb256b385a167031e6243c1eff99aa6d48587ee1a8ae64f13704"/>
    <x v="1580"/>
    <n v="-1"/>
    <s v="FVE"/>
    <s v="19-02-2026"/>
    <s v="19-02-2026 12:13:22"/>
    <s v="900800595"/>
    <s v="Provexpress SAS"/>
    <s v="860039333"/>
    <x v="385"/>
    <n v="157653.5"/>
    <n v="0"/>
    <n v="0"/>
    <n v="1001703.5"/>
    <s v="Aprobado con notificación"/>
    <s v="Emitido"/>
    <x v="0"/>
    <x v="0"/>
    <x v="0"/>
    <x v="0"/>
    <x v="0"/>
    <x v="0"/>
    <m/>
  </r>
  <r>
    <s v="Factura electrónica"/>
    <s v="353a3c5fd25baf528a207584eb7c094563d7664a2cb7d52bba91c81b126fc417c0909f51404c2695ad26eca52c4da212"/>
    <x v="1581"/>
    <n v="-1"/>
    <s v="FVE"/>
    <s v="19-02-2026"/>
    <s v="19-02-2026 12:13:27"/>
    <s v="900800595"/>
    <s v="Provexpress SAS"/>
    <s v="900354637"/>
    <x v="567"/>
    <n v="717215.14"/>
    <n v="0"/>
    <n v="0"/>
    <n v="4878055.1399999997"/>
    <s v="Aprobado con notificación"/>
    <s v="Emitido"/>
    <x v="0"/>
    <x v="0"/>
    <x v="1"/>
    <x v="0"/>
    <x v="1"/>
    <x v="0"/>
    <m/>
  </r>
  <r>
    <s v="Factura electrónica"/>
    <s v="3acd6785b81cfc1376af92ebf15730641ff06cdf546649b302a9093d45ebc72de6e0ce74c9953a1786c3665dcfc4418a"/>
    <x v="1582"/>
    <n v="-1"/>
    <s v="FVE"/>
    <s v="19-02-2026"/>
    <s v="19-02-2026 12:13:31"/>
    <s v="900800595"/>
    <s v="Provexpress SAS"/>
    <s v="901485933"/>
    <x v="693"/>
    <n v="208259.76"/>
    <n v="0"/>
    <n v="0"/>
    <n v="1304363.76"/>
    <s v="Aprobado con notificación"/>
    <s v="Emitido"/>
    <x v="0"/>
    <x v="0"/>
    <x v="1"/>
    <x v="0"/>
    <x v="1"/>
    <x v="0"/>
    <m/>
  </r>
  <r>
    <s v="Factura electrónica"/>
    <s v="a77938a62317d730aff0589e5c8b4ff6f9a10e75bbb84e7a10ec127714debbf50d3f8b890c276e796b571141290fb752"/>
    <x v="1583"/>
    <n v="-1"/>
    <s v="FVE"/>
    <s v="19-02-2026"/>
    <s v="19-02-2026 12:13:36"/>
    <s v="900800595"/>
    <s v="Provexpress SAS"/>
    <s v="901041691"/>
    <x v="334"/>
    <n v="59111.09"/>
    <n v="0"/>
    <n v="0"/>
    <n v="370222.09"/>
    <s v="Aprobado con notificación"/>
    <s v="Emitido"/>
    <x v="1"/>
    <x v="0"/>
    <x v="1"/>
    <x v="0"/>
    <x v="0"/>
    <x v="0"/>
    <m/>
  </r>
  <r>
    <s v="Factura electrónica"/>
    <s v="a33ec8eeb6916aade0375be1c4fad353ea834284b1a3a4705ec7eed5c9d9f0c2f2fb7f62b02c7db989992841c77285d8"/>
    <x v="1584"/>
    <n v="-1"/>
    <s v="FVE"/>
    <s v="19-02-2026"/>
    <s v="19-02-2026 12:13:41"/>
    <s v="900800595"/>
    <s v="Provexpress SAS"/>
    <s v="860078828"/>
    <x v="154"/>
    <n v="7936.3"/>
    <n v="0"/>
    <n v="0"/>
    <n v="49706.3"/>
    <s v="Aprobado con notificación"/>
    <s v="Emitido"/>
    <x v="0"/>
    <x v="0"/>
    <x v="1"/>
    <x v="0"/>
    <x v="1"/>
    <x v="0"/>
    <m/>
  </r>
  <r>
    <s v="Factura electrónica"/>
    <s v="6f434b4541467f1e692e515bed7a9adc7aa932718db49a056057004fc3d6969ae10bef10ea3ea7cd47a96a2b4fb48b11"/>
    <x v="1585"/>
    <n v="-1"/>
    <s v="FVE"/>
    <s v="19-02-2026"/>
    <s v="19-02-2026 12:13:45"/>
    <s v="900800595"/>
    <s v="Provexpress SAS"/>
    <s v="860078828"/>
    <x v="154"/>
    <n v="31667.3"/>
    <n v="0"/>
    <n v="0"/>
    <n v="198337.3"/>
    <s v="Aprobado con notificación"/>
    <s v="Emitido"/>
    <x v="0"/>
    <x v="0"/>
    <x v="1"/>
    <x v="0"/>
    <x v="1"/>
    <x v="0"/>
    <m/>
  </r>
  <r>
    <s v="Factura electrónica"/>
    <s v="db137eae99abc9ad6a3ba438d0af192b52ac77648933ad16763405fbb5a891a1ea68b369d91d988136f1c92a96247828"/>
    <x v="1586"/>
    <n v="-1"/>
    <s v="FVE"/>
    <s v="19-02-2026"/>
    <s v="19-02-2026 12:28:56"/>
    <s v="900800595"/>
    <s v="Provexpress SAS"/>
    <s v="800149384"/>
    <x v="12"/>
    <n v="78097.41"/>
    <n v="0"/>
    <n v="0"/>
    <n v="489136.41"/>
    <s v="Aprobado con notificación"/>
    <s v="Emitido"/>
    <x v="1"/>
    <x v="0"/>
    <x v="1"/>
    <x v="0"/>
    <x v="0"/>
    <x v="0"/>
    <m/>
  </r>
  <r>
    <s v="Factura electrónica"/>
    <s v="ff5c2c5b6e81c0075499543cfd691fc34df670b5c6036a1ec8665f1252e2781d31bfe5e51f4eea55eaf883ec17c188ec"/>
    <x v="1587"/>
    <n v="-1"/>
    <s v="FVE"/>
    <s v="19-02-2026"/>
    <s v="19-02-2026 12:29:00"/>
    <s v="900800595"/>
    <s v="Provexpress SAS"/>
    <s v="901449584"/>
    <x v="694"/>
    <n v="59111.09"/>
    <n v="0"/>
    <n v="0"/>
    <n v="370222.09"/>
    <s v="Aprobado con notificación"/>
    <s v="Emitido"/>
    <x v="1"/>
    <x v="0"/>
    <x v="1"/>
    <x v="0"/>
    <x v="0"/>
    <x v="0"/>
    <m/>
  </r>
  <r>
    <s v="Factura electrónica"/>
    <s v="9e0b35f5dfa9ab624588a76a8195cd3cc73c09ee39466b33fbaa98e4829c7c3cff5084f126d126de4bb6e428bdea3d19"/>
    <x v="1588"/>
    <n v="-1"/>
    <s v="FVE"/>
    <s v="19-02-2026"/>
    <s v="19-02-2026 12:29:05"/>
    <s v="900800595"/>
    <s v="Provexpress SAS"/>
    <s v="901449584"/>
    <x v="694"/>
    <n v="59111.09"/>
    <n v="0"/>
    <n v="0"/>
    <n v="370222.09"/>
    <s v="Aprobado con notificación"/>
    <s v="Emitido"/>
    <x v="1"/>
    <x v="0"/>
    <x v="1"/>
    <x v="0"/>
    <x v="0"/>
    <x v="0"/>
    <m/>
  </r>
  <r>
    <s v="Factura electrónica"/>
    <s v="b2f69d21b80c359fd38551759cf894c829ae88221bf1a712b4247484aff61a565361b3d2cf582d7efad4b6a8e276e8e0"/>
    <x v="1589"/>
    <n v="-1"/>
    <s v="FVE"/>
    <s v="19-02-2026"/>
    <s v="19-02-2026 12:29:10"/>
    <s v="900800595"/>
    <s v="Provexpress SAS"/>
    <s v="860069265"/>
    <x v="695"/>
    <n v="798000"/>
    <n v="0"/>
    <n v="0"/>
    <n v="4998000"/>
    <s v="Aprobado con notificación"/>
    <s v="Emitido"/>
    <x v="1"/>
    <x v="0"/>
    <x v="1"/>
    <x v="0"/>
    <x v="0"/>
    <x v="0"/>
    <m/>
  </r>
  <r>
    <s v="Factura electrónica"/>
    <s v="38ef06f096e9c2c298f96ac9b261292ddc855ab0f189e183d18a9c2ea36d4579b7aaa1db90dad92feacbc2b39a36e83f"/>
    <x v="1590"/>
    <n v="-1"/>
    <s v="FVE"/>
    <s v="19-02-2026"/>
    <s v="19-02-2026 12:29:15"/>
    <s v="900800595"/>
    <s v="Provexpress SAS"/>
    <s v="860533413"/>
    <x v="30"/>
    <n v="185060"/>
    <n v="0"/>
    <n v="0"/>
    <n v="1159060"/>
    <s v="Aprobado con notificación"/>
    <s v="Emitido"/>
    <x v="1"/>
    <x v="0"/>
    <x v="1"/>
    <x v="0"/>
    <x v="0"/>
    <x v="0"/>
    <m/>
  </r>
  <r>
    <s v="Factura electrónica"/>
    <s v="b5ede1bf7d8e224dac87785a3fbfbb8702f59c6739cbe6e43cb17869dfd18ae43df6d1ccda15739acafafd764d770fb5"/>
    <x v="1591"/>
    <n v="-1"/>
    <s v="FVE"/>
    <s v="19-02-2026"/>
    <s v="19-02-2026 12:59:22"/>
    <s v="900800595"/>
    <s v="Provexpress SAS"/>
    <s v="900154405"/>
    <x v="696"/>
    <n v="939550"/>
    <n v="0"/>
    <n v="0"/>
    <n v="5884550"/>
    <s v="Aprobado con notificación"/>
    <s v="Emitido"/>
    <x v="0"/>
    <x v="0"/>
    <x v="1"/>
    <x v="0"/>
    <x v="1"/>
    <x v="0"/>
    <m/>
  </r>
  <r>
    <s v="Factura electrónica"/>
    <s v="e1f703d6a98f77e03c8e6c4fdb50a098ec527da7e185f73a9e2fb8591d3db058493a369a9a08f52312abe02007aef72a"/>
    <x v="1592"/>
    <n v="-1"/>
    <s v="FVE"/>
    <s v="19-02-2026"/>
    <s v="19-02-2026 13:14:29"/>
    <s v="900800595"/>
    <s v="Provexpress SAS"/>
    <s v="805001632"/>
    <x v="428"/>
    <n v="1669199.02"/>
    <n v="0"/>
    <n v="0"/>
    <n v="10454457.02"/>
    <s v="Aprobado con notificación"/>
    <s v="Emitido"/>
    <x v="0"/>
    <x v="0"/>
    <x v="1"/>
    <x v="0"/>
    <x v="1"/>
    <x v="0"/>
    <m/>
  </r>
  <r>
    <s v="Factura electrónica"/>
    <s v="ba324aba86142da47f6b492f6ba52fafcdbfc7d3c2dc5532539aeca1dd62eccea220bd4c01c44b3ee7c6ae56e0c7852b"/>
    <x v="1593"/>
    <n v="-1"/>
    <s v="FVE"/>
    <s v="19-02-2026"/>
    <s v="19-02-2026 13:14:34"/>
    <s v="900800595"/>
    <s v="Provexpress SAS"/>
    <s v="900483711"/>
    <x v="430"/>
    <n v="177460"/>
    <n v="0"/>
    <n v="0"/>
    <n v="1111460"/>
    <s v="Aprobado con notificación"/>
    <s v="Emitido"/>
    <x v="1"/>
    <x v="0"/>
    <x v="1"/>
    <x v="0"/>
    <x v="0"/>
    <x v="0"/>
    <m/>
  </r>
  <r>
    <s v="Factura electrónica"/>
    <s v="adc8e435d579d94db2a60c3fb77ccc890a372a70a373b11c163715daa0513b68af6fe0384ea13f283207fddf2aa3ce60"/>
    <x v="1594"/>
    <n v="-1"/>
    <s v="FVE"/>
    <s v="19-02-2026"/>
    <s v="19-02-2026 13:14:38"/>
    <s v="900800595"/>
    <s v="Provexpress SAS"/>
    <s v="901754811"/>
    <x v="697"/>
    <n v="1013162.65"/>
    <n v="0"/>
    <n v="0"/>
    <n v="6345597.6500000004"/>
    <s v="Aprobado con notificación"/>
    <s v="Emitido"/>
    <x v="0"/>
    <x v="0"/>
    <x v="1"/>
    <x v="0"/>
    <x v="1"/>
    <x v="0"/>
    <m/>
  </r>
  <r>
    <s v="Factura electrónica"/>
    <s v="98b8ea14d9fb8e4abe2d4b7fa830d20b85e8d7b14581b08bc32005a6c47b88f6f2ce96fc5334346af2e2dd6aff62c67c"/>
    <x v="1595"/>
    <n v="-1"/>
    <s v="FVE"/>
    <s v="19-02-2026"/>
    <s v="19-02-2026 13:14:43"/>
    <s v="900800595"/>
    <s v="Provexpress SAS"/>
    <s v="800153832"/>
    <x v="414"/>
    <n v="751136.69"/>
    <n v="0"/>
    <n v="0"/>
    <n v="4704487.6900000004"/>
    <s v="Aprobado con notificación"/>
    <s v="Emitido"/>
    <x v="0"/>
    <x v="0"/>
    <x v="1"/>
    <x v="0"/>
    <x v="1"/>
    <x v="0"/>
    <m/>
  </r>
  <r>
    <s v="Factura electrónica"/>
    <s v="b2aec9484184b91ebefd12925c337a51d1831a345a41137e332f6b59c1e9be179ee03dee702f189a78aa547c4884a9e1"/>
    <x v="1596"/>
    <n v="-1"/>
    <s v="FVE"/>
    <s v="19-02-2026"/>
    <s v="19-02-2026 13:14:49"/>
    <s v="900800595"/>
    <s v="Provexpress SAS"/>
    <s v="900483711"/>
    <x v="430"/>
    <n v="65903.399999999994"/>
    <n v="0"/>
    <n v="0"/>
    <n v="412763.4"/>
    <s v="Aprobado con notificación"/>
    <s v="Emitido"/>
    <x v="1"/>
    <x v="0"/>
    <x v="1"/>
    <x v="0"/>
    <x v="0"/>
    <x v="0"/>
    <m/>
  </r>
  <r>
    <s v="Factura electrónica"/>
    <s v="f15f696f3dc241f0465255f48d5b23f7a1f95a6d394dd4a812b575caae0bf887566a9eb1ed1c5036b7572a010c9c838c"/>
    <x v="1597"/>
    <n v="-1"/>
    <s v="FVE"/>
    <s v="19-02-2026"/>
    <s v="19-02-2026 13:14:52"/>
    <s v="900800595"/>
    <s v="Provexpress SAS"/>
    <s v="900558342"/>
    <x v="698"/>
    <n v="56563.19"/>
    <n v="0"/>
    <n v="0"/>
    <n v="354264.19"/>
    <s v="Aprobado con notificación"/>
    <s v="Emitido"/>
    <x v="0"/>
    <x v="0"/>
    <x v="1"/>
    <x v="1"/>
    <x v="0"/>
    <x v="0"/>
    <m/>
  </r>
  <r>
    <s v="Factura electrónica"/>
    <s v="89407ce08eaff215f3f1528a8214e1b5526ceea62057d8c60cca625f613bc9793401c514b7d34672ff61eaccab86e026"/>
    <x v="1598"/>
    <n v="-1"/>
    <s v="FVE"/>
    <s v="19-02-2026"/>
    <s v="19-02-2026 13:14:57"/>
    <s v="900800595"/>
    <s v="Provexpress SAS"/>
    <s v="830047444"/>
    <x v="437"/>
    <n v="146372.57999999999"/>
    <n v="0"/>
    <n v="0"/>
    <n v="916754.58"/>
    <s v="Aprobado con notificación"/>
    <s v="Emitido"/>
    <x v="0"/>
    <x v="0"/>
    <x v="1"/>
    <x v="0"/>
    <x v="1"/>
    <x v="0"/>
    <m/>
  </r>
  <r>
    <s v="Factura electrónica"/>
    <s v="83b57e32063158e7e0385b2cf861a1869dd78268d426be83338eecb1287ac151043ce806a5d1aa45168c502e5028c7bb"/>
    <x v="1599"/>
    <n v="-1"/>
    <s v="FVE"/>
    <s v="19-02-2026"/>
    <s v="19-02-2026 14:15:08"/>
    <s v="900800595"/>
    <s v="Provexpress SAS"/>
    <s v="800016635"/>
    <x v="699"/>
    <n v="428735"/>
    <n v="0"/>
    <n v="0"/>
    <n v="2685235"/>
    <s v="Aprobado con notificación"/>
    <s v="Emitido"/>
    <x v="1"/>
    <x v="0"/>
    <x v="1"/>
    <x v="0"/>
    <x v="0"/>
    <x v="0"/>
    <m/>
  </r>
  <r>
    <s v="Factura electrónica"/>
    <s v="06017d4e6659dbb77f49e7152b1a87f510a137d08bb1331251be388c2655f849521b1cea564b2dd2bad05a6bfa0cde7a"/>
    <x v="1600"/>
    <n v="-1"/>
    <s v="FVE"/>
    <s v="19-02-2026"/>
    <s v="19-02-2026 14:15:11"/>
    <s v="900800595"/>
    <s v="Provexpress SAS"/>
    <s v="860040585"/>
    <x v="436"/>
    <n v="52286.29"/>
    <n v="0"/>
    <n v="0"/>
    <n v="327477.28999999998"/>
    <s v="Aprobado con notificación"/>
    <s v="Emitido"/>
    <x v="0"/>
    <x v="0"/>
    <x v="1"/>
    <x v="0"/>
    <x v="1"/>
    <x v="0"/>
    <m/>
  </r>
  <r>
    <s v="Factura electrónica"/>
    <s v="09522c631a7c39efba7b3891dc9b60a8e07f8acfff044622dd3132885098a935bac9baff1be1e0a738213c3f0b2442b9"/>
    <x v="1601"/>
    <n v="-1"/>
    <s v="FVE"/>
    <s v="19-02-2026"/>
    <s v="19-02-2026 14:15:18"/>
    <s v="900800595"/>
    <s v="Provexpress SAS"/>
    <s v="900483711"/>
    <x v="430"/>
    <n v="47500"/>
    <n v="0"/>
    <n v="0"/>
    <n v="297500"/>
    <s v="Aprobado con notificación"/>
    <s v="Emitido"/>
    <x v="1"/>
    <x v="0"/>
    <x v="1"/>
    <x v="0"/>
    <x v="0"/>
    <x v="0"/>
    <m/>
  </r>
  <r>
    <s v="Factura electrónica"/>
    <s v="38a254066f54dfa6dfd3be14a546896078cfd6738d79d7997dc972cd8530f570a856a7a4095f42655dbbff8843a7b1f7"/>
    <x v="1602"/>
    <n v="-1"/>
    <s v="FVE"/>
    <s v="19-02-2026"/>
    <s v="19-02-2026 14:32:21"/>
    <s v="900800595"/>
    <s v="Provexpress SAS"/>
    <s v="860062703"/>
    <x v="612"/>
    <n v="165125.20000000001"/>
    <n v="0"/>
    <n v="0"/>
    <n v="1254205.2"/>
    <s v="Aprobado con notificación"/>
    <s v="Emitido"/>
    <x v="0"/>
    <x v="0"/>
    <x v="1"/>
    <x v="0"/>
    <x v="1"/>
    <x v="0"/>
    <m/>
  </r>
  <r>
    <s v="Factura electrónica"/>
    <s v="8580bed3e2a1096968f0041ff41064c826cc3b3c7975eac07d81746db04a72414c166f91b088e8fa85f313d62ab64a6e"/>
    <x v="1603"/>
    <n v="-1"/>
    <s v="FVE"/>
    <s v="19-02-2026"/>
    <s v="19-02-2026 14:33:52"/>
    <s v="900800595"/>
    <s v="Provexpress SAS"/>
    <s v="860067561"/>
    <x v="534"/>
    <n v="196270"/>
    <n v="0"/>
    <n v="0"/>
    <n v="1229270"/>
    <s v="Aprobado con notificación"/>
    <s v="Emitido"/>
    <x v="0"/>
    <x v="0"/>
    <x v="1"/>
    <x v="0"/>
    <x v="1"/>
    <x v="0"/>
    <m/>
  </r>
  <r>
    <s v="Factura electrónica"/>
    <s v="190525fa50509776b434bb12606ee387416addc42945c759f0e20b971bbc5c99447b6d56a903151c5c9ac04684a0f317"/>
    <x v="1604"/>
    <n v="-1"/>
    <s v="FVE"/>
    <s v="19-02-2026"/>
    <s v="19-02-2026 14:32:26"/>
    <s v="900800595"/>
    <s v="Provexpress SAS"/>
    <s v="900842071"/>
    <x v="469"/>
    <n v="42750"/>
    <n v="0"/>
    <n v="0"/>
    <n v="267750"/>
    <s v="Aprobado con notificación"/>
    <s v="Emitido"/>
    <x v="1"/>
    <x v="0"/>
    <x v="1"/>
    <x v="0"/>
    <x v="0"/>
    <x v="0"/>
    <m/>
  </r>
  <r>
    <s v="Factura electrónica"/>
    <s v="fcd77b4789e1203f327e70cf085679b76b1f409c5ecc7066794401fe8c4d5a76d8a410e7d8c9e3021c0cdb9ba90d883f"/>
    <x v="1605"/>
    <n v="-1"/>
    <s v="FVE"/>
    <s v="19-02-2026"/>
    <s v="19-02-2026 14:45:37"/>
    <s v="900800595"/>
    <s v="Provexpress SAS"/>
    <s v="800204652"/>
    <x v="700"/>
    <n v="452120.2"/>
    <n v="0"/>
    <n v="0"/>
    <n v="2831700.2"/>
    <s v="Aprobado con notificación"/>
    <s v="Emitido"/>
    <x v="1"/>
    <x v="0"/>
    <x v="1"/>
    <x v="0"/>
    <x v="0"/>
    <x v="0"/>
    <m/>
  </r>
  <r>
    <s v="Factura electrónica"/>
    <s v="7f5a548ec474f5090a19ccf059bbdfc22bbbdad27667ce3cf4692ecafd53b462bf038df33613255d3182a47bcae3502a"/>
    <x v="1606"/>
    <n v="-1"/>
    <s v="FVE"/>
    <s v="19-02-2026"/>
    <s v="19-02-2026 14:45:42"/>
    <s v="900800595"/>
    <s v="Provexpress SAS"/>
    <s v="900575843"/>
    <x v="193"/>
    <n v="300480.06"/>
    <n v="0"/>
    <n v="0"/>
    <n v="1881954.06"/>
    <s v="Aprobado con notificación"/>
    <s v="Emitido"/>
    <x v="0"/>
    <x v="0"/>
    <x v="1"/>
    <x v="0"/>
    <x v="1"/>
    <x v="0"/>
    <m/>
  </r>
  <r>
    <s v="Factura electrónica"/>
    <s v="2b28812282f263025f3de9b2fc32c94ba86429f2d62352481c15ac1f4b459aa82359071a49159e6730b305b5c7e40c85"/>
    <x v="1607"/>
    <n v="-1"/>
    <s v="FVE"/>
    <s v="19-02-2026"/>
    <s v="19-02-2026 14:45:47"/>
    <s v="900800595"/>
    <s v="Provexpress SAS"/>
    <s v="860065666"/>
    <x v="701"/>
    <n v="50514.35"/>
    <n v="0"/>
    <n v="0"/>
    <n v="316379.34999999998"/>
    <s v="Aprobado con notificación"/>
    <s v="Emitido"/>
    <x v="0"/>
    <x v="1"/>
    <x v="1"/>
    <x v="0"/>
    <x v="0"/>
    <x v="0"/>
    <m/>
  </r>
  <r>
    <s v="Factura electrónica"/>
    <s v="74720d959da7480a4b68f1aa139b6155fb18d0be5a9eb4c5a1c9a1763211bcd010a5bd7f4a9cef4e4601e920912b4c53"/>
    <x v="1608"/>
    <n v="-1"/>
    <s v="FVE"/>
    <s v="19-02-2026"/>
    <s v="19-02-2026 14:45:51"/>
    <s v="900800595"/>
    <s v="Provexpress SAS"/>
    <s v="901134016"/>
    <x v="488"/>
    <n v="78104.98"/>
    <n v="0"/>
    <n v="0"/>
    <n v="507948.98"/>
    <s v="Aprobado con notificación"/>
    <s v="Emitido"/>
    <x v="0"/>
    <x v="0"/>
    <x v="1"/>
    <x v="0"/>
    <x v="1"/>
    <x v="0"/>
    <m/>
  </r>
  <r>
    <s v="Factura electrónica"/>
    <s v="b82ae4a6c46c1a71efc4443867e6d77a8609c441400acaa8a85048f9b7630d05a6649761ade0b9a4a612f78ef38e32db"/>
    <x v="1609"/>
    <n v="-1"/>
    <s v="FVE"/>
    <s v="19-02-2026"/>
    <s v="19-02-2026 14:45:56"/>
    <s v="900800595"/>
    <s v="Provexpress SAS"/>
    <s v="901134016"/>
    <x v="488"/>
    <n v="67178.600000000006"/>
    <n v="0"/>
    <n v="0"/>
    <n v="577152.6"/>
    <s v="Aprobado con notificación"/>
    <s v="Emitido"/>
    <x v="0"/>
    <x v="0"/>
    <x v="1"/>
    <x v="0"/>
    <x v="1"/>
    <x v="0"/>
    <m/>
  </r>
  <r>
    <s v="Factura electrónica"/>
    <s v="2c8ff8e19f941da7cbf7b0cf519945e3b4c60b032bfa0b00bdef51c3775707bf48707cdb5874e5c39fd6e740b894ac8e"/>
    <x v="1610"/>
    <n v="-1"/>
    <s v="FVE"/>
    <s v="19-02-2026"/>
    <s v="19-02-2026 14:46:00"/>
    <s v="900800595"/>
    <s v="Provexpress SAS"/>
    <s v="901037870"/>
    <x v="702"/>
    <n v="755250"/>
    <n v="0"/>
    <n v="0"/>
    <n v="4730250"/>
    <s v="Aprobado con notificación"/>
    <s v="Emitido"/>
    <x v="0"/>
    <x v="0"/>
    <x v="1"/>
    <x v="0"/>
    <x v="1"/>
    <x v="0"/>
    <m/>
  </r>
  <r>
    <s v="Factura electrónica"/>
    <s v="30169fbabbd79771822dc4244d9907c37f26287874177feffd63b79dad9a04d793eff43da3ad7e06e2ab98baedc4f346"/>
    <x v="1611"/>
    <n v="-1"/>
    <s v="FVE"/>
    <s v="19-02-2026"/>
    <s v="19-02-2026 14:46:05"/>
    <s v="900800595"/>
    <s v="Provexpress SAS"/>
    <s v="890333023"/>
    <x v="317"/>
    <n v="47034.12"/>
    <n v="0"/>
    <n v="0"/>
    <n v="294582.12"/>
    <s v="Aprobado con notificación"/>
    <s v="Emitido"/>
    <x v="1"/>
    <x v="0"/>
    <x v="1"/>
    <x v="0"/>
    <x v="0"/>
    <x v="0"/>
    <m/>
  </r>
  <r>
    <s v="Factura electrónica"/>
    <s v="078fb5f0c0c1b9da52ef3abe9ad8e478fe29c3795e93a833e7d9b3fe4cc595da16e2b48b1ad714d1403e9fdc961c9b81"/>
    <x v="1612"/>
    <n v="-1"/>
    <s v="FVE"/>
    <s v="19-02-2026"/>
    <s v="19-02-2026 14:46:10"/>
    <s v="900800595"/>
    <s v="Provexpress SAS"/>
    <s v="860012357"/>
    <x v="642"/>
    <n v="820268"/>
    <n v="0"/>
    <n v="0"/>
    <n v="5137468"/>
    <s v="Aprobado con notificación"/>
    <s v="Emitido"/>
    <x v="0"/>
    <x v="0"/>
    <x v="1"/>
    <x v="0"/>
    <x v="1"/>
    <x v="0"/>
    <m/>
  </r>
  <r>
    <s v="Factura electrónica"/>
    <s v="d47a12b68d33fa097d784982bed07d8b7a699730a902879bc6fd161fe111ae509fd2d4cc0bd3b1123e9097c01a2f13c9"/>
    <x v="1613"/>
    <n v="-1"/>
    <s v="FVE"/>
    <s v="19-02-2026"/>
    <s v="19-02-2026 15:01:23"/>
    <s v="900800595"/>
    <s v="Provexpress SAS"/>
    <s v="900521357"/>
    <x v="686"/>
    <n v="7011"/>
    <n v="0"/>
    <n v="0"/>
    <n v="43911"/>
    <s v="Aprobado con notificación"/>
    <s v="Emitido"/>
    <x v="0"/>
    <x v="0"/>
    <x v="1"/>
    <x v="0"/>
    <x v="1"/>
    <x v="0"/>
    <m/>
  </r>
  <r>
    <s v="Factura electrónica"/>
    <s v="87562777dbcff5a51b0a62c885ed4f34fe0d35ee24d2ce5814170b0bee86234fa6aff9bbb7d71c1d86c1337ecf5f6fe2"/>
    <x v="1614"/>
    <n v="-1"/>
    <s v="FVE"/>
    <s v="19-02-2026"/>
    <s v="19-02-2026 15:01:28"/>
    <s v="900800595"/>
    <s v="Provexpress SAS"/>
    <s v="901290132"/>
    <x v="444"/>
    <n v="1397412"/>
    <n v="0"/>
    <n v="0"/>
    <n v="8752212"/>
    <s v="Aprobado con notificación"/>
    <s v="Emitido"/>
    <x v="0"/>
    <x v="0"/>
    <x v="1"/>
    <x v="1"/>
    <x v="0"/>
    <x v="0"/>
    <m/>
  </r>
  <r>
    <s v="Factura electrónica"/>
    <s v="231f1b06534e3e74cd6cc41b2a2e7afb764a3fbf11e7af915412c9b95b852c75371f1ffb0a2728c2e7dda6a5682e6d10"/>
    <x v="1615"/>
    <n v="-1"/>
    <s v="FVE"/>
    <s v="19-02-2026"/>
    <s v="19-02-2026 15:01:33"/>
    <s v="900800595"/>
    <s v="Provexpress SAS"/>
    <s v="901290132"/>
    <x v="444"/>
    <n v="1397412"/>
    <n v="0"/>
    <n v="0"/>
    <n v="8752212"/>
    <s v="Aprobado con notificación"/>
    <s v="Emitido"/>
    <x v="0"/>
    <x v="0"/>
    <x v="1"/>
    <x v="0"/>
    <x v="1"/>
    <x v="0"/>
    <m/>
  </r>
  <r>
    <s v="Factura electrónica"/>
    <s v="349edb1d8f85f0306529687083b1cef9c6b310b07c1b818769d19fc75a6f4ef6cc9ca39bae5f45450ffdd0842f3383a2"/>
    <x v="1616"/>
    <n v="-1"/>
    <s v="FVE"/>
    <s v="19-02-2026"/>
    <s v="19-02-2026 15:01:37"/>
    <s v="900800595"/>
    <s v="Provexpress SAS"/>
    <s v="901290132"/>
    <x v="444"/>
    <n v="1397412"/>
    <n v="0"/>
    <n v="0"/>
    <n v="8752212"/>
    <s v="Aprobado con notificación"/>
    <s v="Emitido"/>
    <x v="0"/>
    <x v="0"/>
    <x v="1"/>
    <x v="0"/>
    <x v="1"/>
    <x v="0"/>
    <m/>
  </r>
  <r>
    <s v="Factura electrónica"/>
    <s v="a43149f0935f1e182e4a2742af6da7d15199265eb269b0f036fe7dbe920d607af6c1aa996bd2ff3138de512a9d172df5"/>
    <x v="1617"/>
    <n v="-1"/>
    <s v="FVE"/>
    <s v="19-02-2026"/>
    <s v="19-02-2026 15:16:43"/>
    <s v="900800595"/>
    <s v="Provexpress SAS"/>
    <s v="900208029"/>
    <x v="417"/>
    <n v="603060"/>
    <n v="0"/>
    <n v="0"/>
    <n v="3777060"/>
    <s v="Aprobado con notificación"/>
    <s v="Emitido"/>
    <x v="1"/>
    <x v="0"/>
    <x v="1"/>
    <x v="0"/>
    <x v="0"/>
    <x v="0"/>
    <m/>
  </r>
  <r>
    <s v="Factura electrónica"/>
    <s v="283264c0972ed71b7ac7a0f75460f478ce3b1615d2590ab8dea7f75ab7f896c93945bbf4a39af95fddfd81e6001d8f16"/>
    <x v="1618"/>
    <n v="-1"/>
    <s v="FVE"/>
    <s v="19-02-2026"/>
    <s v="19-02-2026 15:31:49"/>
    <s v="900800595"/>
    <s v="Provexpress SAS"/>
    <s v="830054539"/>
    <x v="199"/>
    <n v="114000"/>
    <n v="0"/>
    <n v="0"/>
    <n v="714000"/>
    <s v="Aprobado con notificación"/>
    <s v="Emitido"/>
    <x v="0"/>
    <x v="0"/>
    <x v="1"/>
    <x v="0"/>
    <x v="1"/>
    <x v="0"/>
    <m/>
  </r>
  <r>
    <s v="Factura electrónica"/>
    <s v="6d3b739f90ef4514c26d98acf1a874a7540a81db308e36cae16298239fb249b8710a1f4e5cad3998da20a769941fab74"/>
    <x v="1619"/>
    <n v="-1"/>
    <s v="FVE"/>
    <s v="19-02-2026"/>
    <s v="19-02-2026 15:47:00"/>
    <s v="900800595"/>
    <s v="Provexpress SAS"/>
    <s v="830054539"/>
    <x v="199"/>
    <n v="48640"/>
    <n v="0"/>
    <n v="0"/>
    <n v="304640"/>
    <s v="Aprobado con notificación"/>
    <s v="Emitido"/>
    <x v="0"/>
    <x v="0"/>
    <x v="1"/>
    <x v="0"/>
    <x v="1"/>
    <x v="0"/>
    <m/>
  </r>
  <r>
    <s v="Factura electrónica"/>
    <s v="a6bf3415019c0cacdbdb3487f6b1ce7c6f391a85bcc86d5dfe2b91fefcb99a08062751270bc25b6d3146c91d93fa0120"/>
    <x v="1620"/>
    <n v="-1"/>
    <s v="FVE"/>
    <s v="19-02-2026"/>
    <s v="19-02-2026 15:47:05"/>
    <s v="900800595"/>
    <s v="Provexpress SAS"/>
    <s v="860009107"/>
    <x v="189"/>
    <n v="114627"/>
    <n v="0"/>
    <n v="0"/>
    <n v="717927"/>
    <s v="Aprobado con notificación"/>
    <s v="Emitido"/>
    <x v="1"/>
    <x v="0"/>
    <x v="1"/>
    <x v="0"/>
    <x v="0"/>
    <x v="0"/>
    <m/>
  </r>
  <r>
    <s v="Factura electrónica"/>
    <s v="7540cac9b479bcd39c32a3517f3a84c17520172019fc17e836db8aa2df7b27557c68fd609cce4750cc5ded4293defa05"/>
    <x v="1621"/>
    <n v="-1"/>
    <s v="FVE"/>
    <s v="19-02-2026"/>
    <s v="19-02-2026 15:47:10"/>
    <s v="900800595"/>
    <s v="Provexpress SAS"/>
    <s v="860533413"/>
    <x v="30"/>
    <n v="914850"/>
    <n v="0"/>
    <n v="0"/>
    <n v="5729850"/>
    <s v="Aprobado con notificación"/>
    <s v="Emitido"/>
    <x v="1"/>
    <x v="0"/>
    <x v="1"/>
    <x v="0"/>
    <x v="0"/>
    <x v="0"/>
    <m/>
  </r>
  <r>
    <s v="Factura electrónica"/>
    <s v="9d7998b398d0241e8706ef910c6e42e47e057d60edfb9213f716f0b7fb5393c39ea38adea8a88d2b04b28bcd8f9ba155"/>
    <x v="1622"/>
    <n v="-1"/>
    <s v="FVE"/>
    <s v="19-02-2026"/>
    <s v="19-02-2026 15:47:14"/>
    <s v="900800595"/>
    <s v="Provexpress SAS"/>
    <s v="860031699"/>
    <x v="703"/>
    <n v="50350"/>
    <n v="0"/>
    <n v="0"/>
    <n v="315350"/>
    <s v="Aprobado con notificación"/>
    <s v="Emitido"/>
    <x v="0"/>
    <x v="0"/>
    <x v="0"/>
    <x v="0"/>
    <x v="0"/>
    <x v="0"/>
    <m/>
  </r>
  <r>
    <s v="Factura electrónica"/>
    <s v="dedd8d8aab5825cab67c3f9646d09a72c0cbe4991c5b8366e09705cdd724eb6cbed35ba5ba657716959d6706e6c55922"/>
    <x v="1623"/>
    <n v="-1"/>
    <s v="FVE"/>
    <s v="19-02-2026"/>
    <s v="19-02-2026 15:47:19"/>
    <s v="900800595"/>
    <s v="Provexpress SAS"/>
    <s v="860066789"/>
    <x v="19"/>
    <n v="41800"/>
    <n v="0"/>
    <n v="0"/>
    <n v="261800"/>
    <s v="Aprobado con notificación"/>
    <s v="Emitido"/>
    <x v="0"/>
    <x v="0"/>
    <x v="1"/>
    <x v="0"/>
    <x v="1"/>
    <x v="0"/>
    <m/>
  </r>
  <r>
    <s v="Factura electrónica"/>
    <s v="0a9fedb4d5b1eb3495c3a101a36479a5afd4b87eb81cfe92ee1bcda561787870ce96c5827e8cf9989c867ced989ccdaf"/>
    <x v="1624"/>
    <n v="-1"/>
    <s v="FVE"/>
    <s v="19-02-2026"/>
    <s v="19-02-2026 15:47:24"/>
    <s v="900800595"/>
    <s v="Provexpress SAS"/>
    <s v="900033883"/>
    <x v="17"/>
    <n v="591850"/>
    <n v="0"/>
    <n v="0"/>
    <n v="3706850"/>
    <s v="Aprobado con notificación"/>
    <s v="Emitido"/>
    <x v="0"/>
    <x v="0"/>
    <x v="1"/>
    <x v="0"/>
    <x v="1"/>
    <x v="0"/>
    <m/>
  </r>
  <r>
    <s v="Factura electrónica"/>
    <s v="5d0bda07859d1e3ba6861ee0bd989de7b5478e64d084b1b93b591544cad60a5102d51117c96a62231a0cbdebebd21705"/>
    <x v="1625"/>
    <n v="-1"/>
    <s v="FVE"/>
    <s v="19-02-2026"/>
    <s v="19-02-2026 16:02:33"/>
    <s v="900800595"/>
    <s v="Provexpress SAS"/>
    <s v="860072279"/>
    <x v="86"/>
    <n v="183160"/>
    <n v="0"/>
    <n v="0"/>
    <n v="1147160"/>
    <s v="Aprobado con notificación"/>
    <s v="Emitido"/>
    <x v="0"/>
    <x v="0"/>
    <x v="1"/>
    <x v="0"/>
    <x v="1"/>
    <x v="0"/>
    <m/>
  </r>
  <r>
    <s v="Factura electrónica"/>
    <s v="3d57eca156d3881ee4b2f81d0044284124c148150bacf8a10242a53ad8ca0476f851d66e5c5aff3a67d3cf1b6abbe083"/>
    <x v="1626"/>
    <n v="-1"/>
    <s v="FVE"/>
    <s v="19-02-2026"/>
    <s v="19-02-2026 16:02:37"/>
    <s v="900800595"/>
    <s v="Provexpress SAS"/>
    <s v="901290132"/>
    <x v="444"/>
    <n v="1397412"/>
    <n v="0"/>
    <n v="0"/>
    <n v="8752212"/>
    <s v="Aprobado con notificación"/>
    <s v="Emitido"/>
    <x v="0"/>
    <x v="0"/>
    <x v="1"/>
    <x v="0"/>
    <x v="1"/>
    <x v="0"/>
    <m/>
  </r>
  <r>
    <s v="Factura electrónica"/>
    <s v="3d5d888bd7c1469ef3995f530e310f4c9bfd490beae9c95ac7b28924c672e5be7838b4c2fa900e50ea260630d788c55e"/>
    <x v="1627"/>
    <n v="-1"/>
    <s v="FVE"/>
    <s v="19-02-2026"/>
    <s v="19-02-2026 16:02:42"/>
    <s v="900800595"/>
    <s v="Provexpress SAS"/>
    <s v="832000957"/>
    <x v="704"/>
    <n v="516800"/>
    <n v="0"/>
    <n v="0"/>
    <n v="3236800"/>
    <s v="Aprobado con notificación"/>
    <s v="Emitido"/>
    <x v="0"/>
    <x v="0"/>
    <x v="1"/>
    <x v="0"/>
    <x v="0"/>
    <x v="1"/>
    <s v="PAGA EN EL SISTEMA 2/03/2026"/>
  </r>
  <r>
    <s v="Factura electrónica"/>
    <s v="2510ea88d642cb78219c77f2c98abc769b1fba085dc942ccb9b6e430eb98768252b2db1b2cddf13060853e05214b5694"/>
    <x v="1628"/>
    <n v="-1"/>
    <s v="FVE"/>
    <s v="19-02-2026"/>
    <s v="19-02-2026 16:02:47"/>
    <s v="900800595"/>
    <s v="Provexpress SAS"/>
    <s v="800185039"/>
    <x v="705"/>
    <n v="1086884.74"/>
    <n v="0"/>
    <n v="0"/>
    <n v="6807330.7400000002"/>
    <s v="Aprobado con notificación"/>
    <s v="Emitido"/>
    <x v="0"/>
    <x v="0"/>
    <x v="0"/>
    <x v="0"/>
    <x v="0"/>
    <x v="0"/>
    <m/>
  </r>
  <r>
    <s v="Factura electrónica"/>
    <s v="8dc8f710ea9fcceccbf4eafebaf8f1e98992b46c43bde64079366b60e8947e83b8ea2f873a42e6a84f6f22a8220c4150"/>
    <x v="1629"/>
    <n v="-1"/>
    <s v="FVE"/>
    <s v="19-02-2026"/>
    <s v="19-02-2026 16:02:51"/>
    <s v="900800595"/>
    <s v="Provexpress SAS"/>
    <s v="830051928"/>
    <x v="398"/>
    <n v="46468.3"/>
    <n v="0"/>
    <n v="0"/>
    <n v="291038.3"/>
    <s v="Aprobado con notificación"/>
    <s v="Emitido"/>
    <x v="0"/>
    <x v="1"/>
    <x v="1"/>
    <x v="0"/>
    <x v="0"/>
    <x v="0"/>
    <m/>
  </r>
  <r>
    <s v="Factura electrónica"/>
    <s v="413deb0201ec483b9923f28f19d40b96e793d101e63372dfdd8ffbf11ef4ecd893f057aa4e23f7c4068e1d5fa309ad16"/>
    <x v="1630"/>
    <n v="-1"/>
    <s v="FVE"/>
    <s v="19-02-2026"/>
    <s v="19-02-2026 16:18:05"/>
    <s v="900800595"/>
    <s v="Provexpress SAS"/>
    <s v="860517438"/>
    <x v="706"/>
    <n v="33307"/>
    <n v="0"/>
    <n v="0"/>
    <n v="208607"/>
    <s v="Aprobado con notificación"/>
    <s v="Emitido"/>
    <x v="0"/>
    <x v="0"/>
    <x v="1"/>
    <x v="0"/>
    <x v="1"/>
    <x v="0"/>
    <m/>
  </r>
  <r>
    <s v="Factura electrónica"/>
    <s v="f2ce80f1c087523ba0b0e756a1d8b0f61a629fd3d3c56302dfdbab01a230310761bace07084d16b642510144ee02c913"/>
    <x v="1631"/>
    <n v="-1"/>
    <s v="FVE"/>
    <s v="19-02-2026"/>
    <s v="19-02-2026 16:19:22"/>
    <s v="900800595"/>
    <s v="Provexpress SAS"/>
    <s v="901146434"/>
    <x v="707"/>
    <n v="0"/>
    <n v="0"/>
    <n v="0"/>
    <n v="1420000"/>
    <s v="Aprobado con notificación"/>
    <s v="Emitido"/>
    <x v="0"/>
    <x v="0"/>
    <x v="1"/>
    <x v="0"/>
    <x v="1"/>
    <x v="0"/>
    <m/>
  </r>
  <r>
    <s v="Factura electrónica"/>
    <s v="8a53668f77dfb6a3da0a4f2b14edfef585b35fa73ac3f363cd07f63a1e3eda923e2ead9f0c2859a7c49aaec0ab75038d"/>
    <x v="1632"/>
    <n v="-1"/>
    <s v="FVE"/>
    <s v="19-02-2026"/>
    <s v="19-02-2026 16:18:11"/>
    <s v="900800595"/>
    <s v="Provexpress SAS"/>
    <s v="901146434"/>
    <x v="707"/>
    <n v="96900"/>
    <n v="0"/>
    <n v="0"/>
    <n v="606900"/>
    <s v="Aprobado con notificación"/>
    <s v="Emitido"/>
    <x v="0"/>
    <x v="0"/>
    <x v="1"/>
    <x v="0"/>
    <x v="1"/>
    <x v="0"/>
    <m/>
  </r>
  <r>
    <s v="Factura electrónica"/>
    <s v="b4bfc8eb62832b4bd48e2098683aeff32a527a8f89cce18271a65927a85f41a621c5637e85ffdc332e9e04c74521a280"/>
    <x v="1633"/>
    <n v="-1"/>
    <s v="FVE"/>
    <s v="19-02-2026"/>
    <s v="19-02-2026 16:18:15"/>
    <s v="900800595"/>
    <s v="Provexpress SAS"/>
    <s v="900095054"/>
    <x v="666"/>
    <n v="61750"/>
    <n v="0"/>
    <n v="0"/>
    <n v="386750"/>
    <s v="Aprobado con notificación"/>
    <s v="Emitido"/>
    <x v="0"/>
    <x v="0"/>
    <x v="1"/>
    <x v="0"/>
    <x v="1"/>
    <x v="0"/>
    <m/>
  </r>
  <r>
    <s v="Factura electrónica"/>
    <s v="46a702959c5d651e88bf044454e2752d5e182515832bc29b130ba0a020c3b6618211202c7143ed2237359e36d382963a"/>
    <x v="1634"/>
    <n v="-1"/>
    <s v="FVE"/>
    <s v="19-02-2026"/>
    <s v="19-02-2026 16:19:22"/>
    <s v="900800595"/>
    <s v="Provexpress SAS"/>
    <s v="901154681"/>
    <x v="708"/>
    <n v="0"/>
    <n v="0"/>
    <n v="0"/>
    <n v="7281522"/>
    <s v="Aprobado con notificación"/>
    <s v="Emitido"/>
    <x v="0"/>
    <x v="0"/>
    <x v="1"/>
    <x v="0"/>
    <x v="1"/>
    <x v="0"/>
    <m/>
  </r>
  <r>
    <s v="Factura electrónica"/>
    <s v="fa99a145c57a4f246717b58e32e2e44c0a13b3c12e4ab66c12922abea2a2b234580e1568c67ce6faa86be56743dbea57"/>
    <x v="1635"/>
    <n v="-1"/>
    <s v="FVE"/>
    <s v="19-02-2026"/>
    <s v="19-02-2026 16:33:58"/>
    <s v="900800595"/>
    <s v="Provexpress SAS"/>
    <s v="901044854"/>
    <x v="709"/>
    <n v="151050"/>
    <n v="0"/>
    <n v="0"/>
    <n v="946050"/>
    <s v="Aprobado con notificación"/>
    <s v="Emitido"/>
    <x v="0"/>
    <x v="0"/>
    <x v="1"/>
    <x v="0"/>
    <x v="1"/>
    <x v="0"/>
    <m/>
  </r>
  <r>
    <s v="Factura electrónica"/>
    <s v="b34bb3e47362b0b0b2ba14d11ad15cf31c431a8ba629c1b69bc4e693de2f821e22f020da16d405c4775c8097c0feedd5"/>
    <x v="1636"/>
    <n v="-1"/>
    <s v="FVE"/>
    <s v="19-02-2026"/>
    <s v="19-02-2026 16:34:00"/>
    <s v="900800595"/>
    <s v="Provexpress SAS"/>
    <s v="901568020"/>
    <x v="710"/>
    <n v="1788356"/>
    <n v="0"/>
    <n v="0"/>
    <n v="11200756"/>
    <s v="Aprobado con notificación"/>
    <s v="Emitido"/>
    <x v="0"/>
    <x v="0"/>
    <x v="1"/>
    <x v="0"/>
    <x v="1"/>
    <x v="0"/>
    <m/>
  </r>
  <r>
    <s v="Factura electrónica"/>
    <s v="09b64cced8f32ba2e04241fdeda1806a00e33a27cb2a1eaad0aea35f1f417543a2200014b0d93f1039b5ff71293e3d1f"/>
    <x v="1637"/>
    <n v="-1"/>
    <s v="FVE"/>
    <s v="19-02-2026"/>
    <s v="19-02-2026 16:35:37"/>
    <s v="900800595"/>
    <s v="Provexpress SAS"/>
    <s v="860517438"/>
    <x v="706"/>
    <n v="55500.14"/>
    <n v="0"/>
    <n v="0"/>
    <n v="356006.14"/>
    <s v="Aprobado con notificación"/>
    <s v="Emitido"/>
    <x v="0"/>
    <x v="0"/>
    <x v="1"/>
    <x v="0"/>
    <x v="1"/>
    <x v="0"/>
    <m/>
  </r>
  <r>
    <s v="Factura electrónica"/>
    <s v="176a8815ea0136817da197fb5c650d55b00fb02bf9d1f68a41a9f03d2bd168937f1ca5182661cd9c033180385f3b5b61"/>
    <x v="1638"/>
    <n v="-1"/>
    <s v="FVE"/>
    <s v="19-02-2026"/>
    <s v="19-02-2026 16:34:07"/>
    <s v="900800595"/>
    <s v="Provexpress SAS"/>
    <s v="860074389"/>
    <x v="487"/>
    <n v="110116.21"/>
    <n v="0"/>
    <n v="0"/>
    <n v="689675.21"/>
    <s v="Aprobado con notificación"/>
    <s v="Emitido"/>
    <x v="1"/>
    <x v="0"/>
    <x v="1"/>
    <x v="0"/>
    <x v="0"/>
    <x v="0"/>
    <m/>
  </r>
  <r>
    <s v="Factura electrónica"/>
    <s v="92af18b10b570851cb3c4dacdf72c6407e58b18c6961fbb9daadd9583d39f514d22ea942bb68327eaedeee326b60cea7"/>
    <x v="1639"/>
    <n v="-1"/>
    <s v="FVE"/>
    <s v="19-02-2026"/>
    <s v="19-02-2026 16:34:11"/>
    <s v="900800595"/>
    <s v="Provexpress SAS"/>
    <s v="860074389"/>
    <x v="487"/>
    <n v="52281.16"/>
    <n v="0"/>
    <n v="0"/>
    <n v="327445.15999999997"/>
    <s v="Aprobado con notificación"/>
    <s v="Emitido"/>
    <x v="1"/>
    <x v="0"/>
    <x v="1"/>
    <x v="0"/>
    <x v="0"/>
    <x v="0"/>
    <m/>
  </r>
  <r>
    <s v="Factura electrónica"/>
    <s v="25890f13f1af062ac80ef888174b60d738e4fbd53a223b24cdf664d4017fd08c9fa6780ededc1fa2805bd782f18b210f"/>
    <x v="1640"/>
    <n v="-1"/>
    <s v="FVE"/>
    <s v="19-02-2026"/>
    <s v="19-02-2026 16:34:14"/>
    <s v="900800595"/>
    <s v="Provexpress SAS"/>
    <s v="860074389"/>
    <x v="487"/>
    <n v="35476.230000000003"/>
    <n v="0"/>
    <n v="0"/>
    <n v="230593.23"/>
    <s v="Aprobado con notificación"/>
    <s v="Emitido"/>
    <x v="1"/>
    <x v="0"/>
    <x v="1"/>
    <x v="0"/>
    <x v="0"/>
    <x v="0"/>
    <m/>
  </r>
  <r>
    <s v="Factura electrónica"/>
    <s v="85b5ad63303732e530ae2c973dd09feb3891984819a903b753399112ae4ac2deb7b2879cac2db36e49a64ca356f37087"/>
    <x v="1641"/>
    <n v="-1"/>
    <s v="FVE"/>
    <s v="19-02-2026"/>
    <s v="19-02-2026 16:34:18"/>
    <s v="900800595"/>
    <s v="Provexpress SAS"/>
    <s v="860074389"/>
    <x v="487"/>
    <n v="58061.53"/>
    <n v="0"/>
    <n v="0"/>
    <n v="372048.53"/>
    <s v="Aprobado con notificación"/>
    <s v="Emitido"/>
    <x v="1"/>
    <x v="0"/>
    <x v="1"/>
    <x v="0"/>
    <x v="0"/>
    <x v="0"/>
    <m/>
  </r>
  <r>
    <s v="Factura electrónica"/>
    <s v="c900115997454807c76abdaa4ddc9e860e11d0d32c8a5eb1115e0b92dd8aa7d97c7920ee16200c314bc4b0be97ba9e0b"/>
    <x v="1642"/>
    <n v="-1"/>
    <s v="FVE"/>
    <s v="19-02-2026"/>
    <s v="19-02-2026 16:34:26"/>
    <s v="900800595"/>
    <s v="Provexpress SAS"/>
    <s v="860074389"/>
    <x v="487"/>
    <n v="17829.22"/>
    <n v="0"/>
    <n v="0"/>
    <n v="111667.22"/>
    <s v="Aprobado con notificación"/>
    <s v="Emitido"/>
    <x v="1"/>
    <x v="0"/>
    <x v="1"/>
    <x v="0"/>
    <x v="0"/>
    <x v="0"/>
    <m/>
  </r>
  <r>
    <s v="Factura electrónica"/>
    <s v="38e9734b18775a7b8766e7ac12a05cb610e667a1b970ec01049500d3988f33fce207389b78d81eb9644ac49e99761441"/>
    <x v="1643"/>
    <n v="-1"/>
    <s v="FVE"/>
    <s v="19-02-2026"/>
    <s v="19-02-2026 16:34:32"/>
    <s v="900800595"/>
    <s v="Provexpress SAS"/>
    <s v="860074389"/>
    <x v="487"/>
    <n v="6137.76"/>
    <n v="0"/>
    <n v="0"/>
    <n v="46841.760000000002"/>
    <s v="Aprobado con notificación"/>
    <s v="Emitido"/>
    <x v="1"/>
    <x v="0"/>
    <x v="1"/>
    <x v="0"/>
    <x v="0"/>
    <x v="0"/>
    <m/>
  </r>
  <r>
    <s v="Factura electrónica"/>
    <s v="4696af38d31f8a6f8207def97de3b67cc9bb1f244d8e5ff5cc73410a0e02d4a36ca512b91d1e65f01bd599754434ca96"/>
    <x v="1644"/>
    <n v="-1"/>
    <s v="FVE"/>
    <s v="19-02-2026"/>
    <s v="19-02-2026 16:34:40"/>
    <s v="900800595"/>
    <s v="Provexpress SAS"/>
    <s v="860074389"/>
    <x v="487"/>
    <n v="3446.41"/>
    <n v="0"/>
    <n v="0"/>
    <n v="21585.41"/>
    <s v="Aprobado con notificación"/>
    <s v="Emitido"/>
    <x v="1"/>
    <x v="0"/>
    <x v="1"/>
    <x v="0"/>
    <x v="0"/>
    <x v="0"/>
    <m/>
  </r>
  <r>
    <s v="Factura electrónica"/>
    <s v="23df27d69c2bd4d211b603d7d76becba794f7aa3921e0cfe31606cfae0f5edd9b287f7da10cf56bae9c2d4eeb0d7d836"/>
    <x v="1645"/>
    <n v="-1"/>
    <s v="FVE"/>
    <s v="19-02-2026"/>
    <s v="19-02-2026 16:35:02"/>
    <s v="900800595"/>
    <s v="Provexpress SAS"/>
    <s v="860074389"/>
    <x v="487"/>
    <n v="19995.03"/>
    <n v="0"/>
    <n v="0"/>
    <n v="125232.03"/>
    <s v="Aprobado con notificación"/>
    <s v="Emitido"/>
    <x v="1"/>
    <x v="0"/>
    <x v="1"/>
    <x v="0"/>
    <x v="0"/>
    <x v="0"/>
    <m/>
  </r>
  <r>
    <s v="Factura electrónica"/>
    <s v="eebef87ee59cb8bb03ef085f0d8fe949fea543271ea126cfdc8a3ffcff8f0fb985edb7fda8231a967c03c07566dc1994"/>
    <x v="1646"/>
    <n v="-1"/>
    <s v="FVE"/>
    <s v="19-02-2026"/>
    <s v="19-02-2026 16:35:24"/>
    <s v="900800595"/>
    <s v="Provexpress SAS"/>
    <s v="860074389"/>
    <x v="487"/>
    <n v="6388.18"/>
    <n v="0"/>
    <n v="0"/>
    <n v="40010.18"/>
    <s v="Aprobado con notificación"/>
    <s v="Emitido"/>
    <x v="1"/>
    <x v="0"/>
    <x v="1"/>
    <x v="0"/>
    <x v="0"/>
    <x v="0"/>
    <m/>
  </r>
  <r>
    <s v="Factura electrónica"/>
    <s v="5333488605f9a057979216cb6af7e680289b919c2f6ea3946a9c694dc07fde81c797dbeb43bbcd26d930a9c62380698a"/>
    <x v="1647"/>
    <n v="-1"/>
    <s v="FVE"/>
    <s v="19-02-2026"/>
    <s v="19-02-2026 16:35:28"/>
    <s v="900800595"/>
    <s v="Provexpress SAS"/>
    <s v="860074389"/>
    <x v="487"/>
    <n v="15587.79"/>
    <n v="0"/>
    <n v="0"/>
    <n v="97628.79"/>
    <s v="Aprobado con notificación"/>
    <s v="Emitido"/>
    <x v="1"/>
    <x v="0"/>
    <x v="1"/>
    <x v="0"/>
    <x v="0"/>
    <x v="0"/>
    <m/>
  </r>
  <r>
    <s v="Factura electrónica"/>
    <s v="48029b57c53afe8ffdb6d7cdd3ce59947a26f948d8f6b640a0759a3dc88154d13b3ddc429e2cbaba0a65063c10338d40"/>
    <x v="1648"/>
    <n v="-1"/>
    <s v="FVE"/>
    <s v="19-02-2026"/>
    <s v="19-02-2026 16:35:32"/>
    <s v="900800595"/>
    <s v="Provexpress SAS"/>
    <s v="900030829"/>
    <x v="711"/>
    <n v="969"/>
    <n v="0"/>
    <n v="0"/>
    <n v="6069"/>
    <s v="Aprobado con notificación"/>
    <s v="Emitido"/>
    <x v="1"/>
    <x v="0"/>
    <x v="1"/>
    <x v="0"/>
    <x v="0"/>
    <x v="0"/>
    <m/>
  </r>
  <r>
    <s v="Factura electrónica"/>
    <s v="b60110d96ffd20b6b3ae5adf7772eb78f2036aca5716c1021d11a2eeee86f05b5b3cde0360596736c90d2bfc293784ee"/>
    <x v="1649"/>
    <n v="-1"/>
    <s v="FVE"/>
    <s v="19-02-2026"/>
    <s v="19-02-2026 16:35:34"/>
    <s v="900800595"/>
    <s v="Provexpress SAS"/>
    <s v="900030829"/>
    <x v="711"/>
    <n v="49227.29"/>
    <n v="0"/>
    <n v="0"/>
    <n v="311090.28999999998"/>
    <s v="Aprobado con notificación"/>
    <s v="Emitido"/>
    <x v="1"/>
    <x v="0"/>
    <x v="1"/>
    <x v="0"/>
    <x v="0"/>
    <x v="0"/>
    <m/>
  </r>
  <r>
    <s v="Factura electrónica"/>
    <s v="f3086842f3b39efabe71dba87ff2c9240dbdec960057aaf5890788eab3aa737462bf7738d80598169c0be65ee519e396"/>
    <x v="1650"/>
    <n v="-1"/>
    <s v="FVE"/>
    <s v="19-02-2026"/>
    <s v="19-02-2026 16:35:36"/>
    <s v="900800595"/>
    <s v="Provexpress SAS"/>
    <s v="900030829"/>
    <x v="711"/>
    <n v="28494.87"/>
    <n v="0"/>
    <n v="0"/>
    <n v="181239.87"/>
    <s v="Aprobado con notificación"/>
    <s v="Emitido"/>
    <x v="1"/>
    <x v="0"/>
    <x v="1"/>
    <x v="0"/>
    <x v="0"/>
    <x v="0"/>
    <m/>
  </r>
  <r>
    <s v="Factura electrónica"/>
    <s v="10629d1c2865fe577633788bdef04baeafc701f10ea0591bcecd7bd15360082dcdc453bd8f399ab689ac395c6f4010ce"/>
    <x v="1651"/>
    <n v="-1"/>
    <s v="FVE"/>
    <s v="19-02-2026"/>
    <s v="19-02-2026 16:36:49"/>
    <s v="900800595"/>
    <s v="Provexpress SAS"/>
    <s v="900030829"/>
    <x v="711"/>
    <n v="14265.01"/>
    <n v="0"/>
    <n v="0"/>
    <n v="97744.01"/>
    <s v="Aprobado con notificación"/>
    <s v="Emitido"/>
    <x v="1"/>
    <x v="0"/>
    <x v="1"/>
    <x v="0"/>
    <x v="0"/>
    <x v="0"/>
    <m/>
  </r>
  <r>
    <s v="Factura electrónica"/>
    <s v="03c881ce3e9d81789eca22f6d3e3e035bb3d2d22212cf9a5dc6e7bdd99675d68393b7b1d3e268d43f7722c4ffa73b303"/>
    <x v="1652"/>
    <n v="-1"/>
    <s v="FVE"/>
    <s v="19-02-2026"/>
    <s v="19-02-2026 16:49:48"/>
    <s v="900800595"/>
    <s v="Provexpress SAS"/>
    <s v="900030829"/>
    <x v="711"/>
    <n v="59382.03"/>
    <n v="0"/>
    <n v="0"/>
    <n v="374691.03"/>
    <s v="Aprobado con notificación"/>
    <s v="Emitido"/>
    <x v="0"/>
    <x v="0"/>
    <x v="1"/>
    <x v="1"/>
    <x v="0"/>
    <x v="0"/>
    <m/>
  </r>
  <r>
    <s v="Factura electrónica"/>
    <s v="606e1e39c77c59c388890a2b31a0f51c03faa0808d4884022781dd8db1bee66cf7c642b1c15734f1016e2d2d521eb545"/>
    <x v="1653"/>
    <n v="-1"/>
    <s v="FVE"/>
    <s v="20-02-2026"/>
    <s v="20-02-2026 07:36:12"/>
    <s v="900800595"/>
    <s v="Provexpress SAS"/>
    <s v="900502435"/>
    <x v="546"/>
    <n v="19722"/>
    <n v="0"/>
    <n v="0"/>
    <n v="164270"/>
    <s v="Aprobado con notificación"/>
    <s v="Emitido"/>
    <x v="0"/>
    <x v="0"/>
    <x v="0"/>
    <x v="0"/>
    <x v="0"/>
    <x v="0"/>
    <m/>
  </r>
  <r>
    <s v="Factura electrónica"/>
    <s v="9316f327a650f970538dada058af2aac177ae3d4d8a26f0118d5d2d4785914caa966fd5d0f6efb415676b3dc6752580e"/>
    <x v="1654"/>
    <n v="-1"/>
    <s v="FVE"/>
    <s v="20-02-2026"/>
    <s v="20-02-2026 07:36:16"/>
    <s v="900800595"/>
    <s v="Provexpress SAS"/>
    <s v="901031225"/>
    <x v="712"/>
    <n v="703950"/>
    <n v="0"/>
    <n v="0"/>
    <n v="4408950"/>
    <s v="Aprobado con notificación"/>
    <s v="Emitido"/>
    <x v="0"/>
    <x v="0"/>
    <x v="1"/>
    <x v="0"/>
    <x v="1"/>
    <x v="0"/>
    <m/>
  </r>
  <r>
    <s v="Factura electrónica"/>
    <s v="f57784e81f6b4c4c201ddb0d0015f2714643c913a27e65c1824a8f0ffe5b061dc5a699ad390cc1886e85dc2b9437932a"/>
    <x v="1655"/>
    <n v="-1"/>
    <s v="FVE"/>
    <s v="20-02-2026"/>
    <s v="20-02-2026 09:21:51"/>
    <s v="900800595"/>
    <s v="Provexpress SAS"/>
    <s v="830047411"/>
    <x v="211"/>
    <n v="117173"/>
    <n v="0"/>
    <n v="0"/>
    <n v="733873"/>
    <s v="Aprobado con notificación"/>
    <s v="Emitido"/>
    <x v="1"/>
    <x v="0"/>
    <x v="1"/>
    <x v="0"/>
    <x v="0"/>
    <x v="0"/>
    <m/>
  </r>
  <r>
    <s v="Factura electrónica"/>
    <s v="1307a832990065fa87d38f4e47657c0a7c10a2dc054a9ee3f305028149db00e77e700b9ef7c69b891b080509e17dc81c"/>
    <x v="1656"/>
    <n v="-1"/>
    <s v="FVE"/>
    <s v="20-02-2026"/>
    <s v="20-02-2026 09:39:01"/>
    <s v="900800595"/>
    <s v="Provexpress SAS"/>
    <s v="800149149"/>
    <x v="352"/>
    <n v="121020.12"/>
    <n v="0"/>
    <n v="0"/>
    <n v="757968.12"/>
    <s v="Aprobado con notificación"/>
    <s v="Emitido"/>
    <x v="0"/>
    <x v="0"/>
    <x v="0"/>
    <x v="0"/>
    <x v="0"/>
    <x v="0"/>
    <m/>
  </r>
  <r>
    <s v="Factura electrónica"/>
    <s v="dbacc41697fa54d9f983bc50871976e948afea467cec97c0ff3b9c38715036d8896855348a7ec478458e4898cd018250"/>
    <x v="1657"/>
    <n v="-1"/>
    <s v="FVE"/>
    <s v="20-02-2026"/>
    <s v="20-02-2026 10:21:57"/>
    <s v="900800595"/>
    <s v="Provexpress SAS"/>
    <s v="830035263"/>
    <x v="89"/>
    <n v="683620"/>
    <n v="0"/>
    <n v="0"/>
    <n v="4281620"/>
    <s v="Aprobado con notificación"/>
    <s v="Emitido"/>
    <x v="0"/>
    <x v="0"/>
    <x v="1"/>
    <x v="1"/>
    <x v="0"/>
    <x v="0"/>
    <m/>
  </r>
  <r>
    <s v="Factura electrónica"/>
    <s v="5c9ca591147e14184025eb07ddffb123834f7a3841c2633c9df0610c0999de83b8b4690fe70001c87704b8fd2764f0b0"/>
    <x v="1658"/>
    <n v="-1"/>
    <s v="FVE"/>
    <s v="20-02-2026"/>
    <s v="20-02-2026 10:22:02"/>
    <s v="900800595"/>
    <s v="Provexpress SAS"/>
    <s v="860053966"/>
    <x v="713"/>
    <n v="112100"/>
    <n v="0"/>
    <n v="0"/>
    <n v="702100"/>
    <s v="Aprobado con notificación"/>
    <s v="Emitido"/>
    <x v="0"/>
    <x v="0"/>
    <x v="1"/>
    <x v="0"/>
    <x v="1"/>
    <x v="0"/>
    <m/>
  </r>
  <r>
    <s v="Factura electrónica"/>
    <s v="ec3bf763e1d1d1fe88cd05bb925446191ccf2872033621eee77a49689f270bd8f92051041fd413e795faac7671913d69"/>
    <x v="1659"/>
    <n v="-1"/>
    <s v="FVE"/>
    <s v="20-02-2026"/>
    <s v="20-02-2026 11:10:15"/>
    <s v="900800595"/>
    <s v="Provexpress SAS"/>
    <s v="860006815"/>
    <x v="714"/>
    <n v="171000"/>
    <n v="0"/>
    <n v="0"/>
    <n v="1071000"/>
    <s v="Aprobado con notificación"/>
    <s v="Emitido"/>
    <x v="1"/>
    <x v="0"/>
    <x v="1"/>
    <x v="0"/>
    <x v="0"/>
    <x v="0"/>
    <m/>
  </r>
  <r>
    <s v="Factura electrónica"/>
    <s v="d2f2c1cbfc3e3f5d0c09eb40fd4a2c940837307b3bec77ca773c76de0310c814659b1e2d87a45639e55a5b48f4a6a422"/>
    <x v="1660"/>
    <n v="-1"/>
    <s v="FVE"/>
    <s v="20-02-2026"/>
    <s v="20-02-2026 11:38:15"/>
    <s v="900800595"/>
    <s v="Provexpress SAS"/>
    <s v="830076882"/>
    <x v="715"/>
    <n v="26647500"/>
    <n v="0"/>
    <n v="0"/>
    <n v="166897500"/>
    <s v="Aprobado con notificación"/>
    <s v="Emitido"/>
    <x v="1"/>
    <x v="0"/>
    <x v="1"/>
    <x v="0"/>
    <x v="0"/>
    <x v="0"/>
    <m/>
  </r>
  <r>
    <s v="Factura electrónica"/>
    <s v="95a6f44dd43f8ea3e7942f96b94666bd979c28fed98ccf3c238cdc6bdf63c4cbbdf57a3757cd3b88c600086c99285daf"/>
    <x v="1661"/>
    <n v="-1"/>
    <s v="FVE"/>
    <s v="20-02-2026"/>
    <s v="20-02-2026 11:38:19"/>
    <s v="900800595"/>
    <s v="Provexpress SAS"/>
    <s v="830054539"/>
    <x v="199"/>
    <n v="318250"/>
    <n v="0"/>
    <n v="0"/>
    <n v="1993250"/>
    <s v="Aprobado con notificación"/>
    <s v="Emitido"/>
    <x v="1"/>
    <x v="0"/>
    <x v="1"/>
    <x v="0"/>
    <x v="0"/>
    <x v="0"/>
    <m/>
  </r>
  <r>
    <s v="Factura electrónica"/>
    <s v="2e29bf91f90cb68ae07472f7f58aa725eed024972774025bd71febf42a9d7ce877961d9a3acc72fe5066f8e56d3280a9"/>
    <x v="1662"/>
    <n v="-1"/>
    <s v="FVE"/>
    <s v="20-02-2026"/>
    <s v="20-02-2026 11:38:24"/>
    <s v="900800595"/>
    <s v="Provexpress SAS"/>
    <s v="830054539"/>
    <x v="199"/>
    <n v="461092"/>
    <n v="0"/>
    <n v="0"/>
    <n v="2887892"/>
    <s v="Aprobado con notificación"/>
    <s v="Emitido"/>
    <x v="1"/>
    <x v="0"/>
    <x v="1"/>
    <x v="0"/>
    <x v="0"/>
    <x v="0"/>
    <m/>
  </r>
  <r>
    <s v="Factura electrónica"/>
    <s v="13bf68f103a4da33f0e18df9f1c0a539f4b72635096adc417ed2f8fe426e73ed115e58780a570f21e5786d78104acf8a"/>
    <x v="1663"/>
    <n v="-1"/>
    <s v="FVE"/>
    <s v="20-02-2026"/>
    <s v="20-02-2026 11:38:29"/>
    <s v="900800595"/>
    <s v="Provexpress SAS"/>
    <s v="835000149"/>
    <x v="716"/>
    <n v="154071"/>
    <n v="0"/>
    <n v="0"/>
    <n v="964971"/>
    <s v="Aprobado con notificación"/>
    <s v="Emitido"/>
    <x v="0"/>
    <x v="0"/>
    <x v="1"/>
    <x v="0"/>
    <x v="1"/>
    <x v="0"/>
    <m/>
  </r>
  <r>
    <s v="Factura electrónica"/>
    <s v="f6febd86af3ffe56ccae6a913b14e761c1bf9e61d81837de6de01bac8627cc8be7e4e0c5e4497c1d8ce21014e64634cb"/>
    <x v="1664"/>
    <n v="-1"/>
    <s v="FVE"/>
    <s v="20-02-2026"/>
    <s v="20-02-2026 11:38:33"/>
    <s v="900800595"/>
    <s v="Provexpress SAS"/>
    <s v="860017005"/>
    <x v="668"/>
    <n v="71060"/>
    <n v="0"/>
    <n v="0"/>
    <n v="445060"/>
    <s v="Aprobado con notificación"/>
    <s v="Emitido"/>
    <x v="1"/>
    <x v="0"/>
    <x v="1"/>
    <x v="0"/>
    <x v="0"/>
    <x v="0"/>
    <m/>
  </r>
  <r>
    <s v="Factura electrónica"/>
    <s v="8403f513cba89d2dec29e9de64545a78a4569cdbf9bf337caeed3be22791578cbe76e996ec588cc24887de55651a4d04"/>
    <x v="1665"/>
    <n v="-1"/>
    <s v="FVE"/>
    <s v="20-02-2026"/>
    <s v="20-02-2026 11:53:54"/>
    <s v="900800595"/>
    <s v="Provexpress SAS"/>
    <s v="860023053"/>
    <x v="679"/>
    <n v="1153587.6599999999"/>
    <n v="0"/>
    <n v="0"/>
    <n v="7225101.6600000001"/>
    <s v="Aprobado con notificación"/>
    <s v="Emitido"/>
    <x v="1"/>
    <x v="0"/>
    <x v="1"/>
    <x v="0"/>
    <x v="0"/>
    <x v="0"/>
    <m/>
  </r>
  <r>
    <s v="Factura electrónica"/>
    <s v="56e55f8e89370aed013ff412e67d45af8d7b1a3a9a66c5aa34771aa35a89a6b1dc487eb6d29385b9393193d6a1823562"/>
    <x v="1666"/>
    <n v="-1"/>
    <s v="FVE"/>
    <s v="20-02-2026"/>
    <s v="20-02-2026 11:53:58"/>
    <s v="900800595"/>
    <s v="Provexpress SAS"/>
    <s v="830000687"/>
    <x v="392"/>
    <n v="606972.9"/>
    <n v="0"/>
    <n v="0"/>
    <n v="4077042.9"/>
    <s v="Aprobado con notificación"/>
    <s v="Emitido"/>
    <x v="0"/>
    <x v="0"/>
    <x v="1"/>
    <x v="0"/>
    <x v="1"/>
    <x v="0"/>
    <m/>
  </r>
  <r>
    <s v="Factura electrónica"/>
    <s v="c05cff9c429f2563a5862879fa75268dcf464a82b1043a6eaaa9846350914f5a68544a0007181197e1e6ba0d8125390b"/>
    <x v="1667"/>
    <n v="-1"/>
    <s v="FVE"/>
    <s v="20-02-2026"/>
    <s v="20-02-2026 11:54:02"/>
    <s v="900800595"/>
    <s v="Provexpress SAS"/>
    <s v="830050228"/>
    <x v="39"/>
    <n v="57095"/>
    <n v="0"/>
    <n v="0"/>
    <n v="357595"/>
    <s v="Aprobado con notificación"/>
    <s v="Emitido"/>
    <x v="1"/>
    <x v="0"/>
    <x v="1"/>
    <x v="0"/>
    <x v="0"/>
    <x v="0"/>
    <m/>
  </r>
  <r>
    <s v="Factura electrónica"/>
    <s v="f6f9a73376a913cef1a02e021dcfcbe7143798976dc6a021ac9c9d7e360c1d95fd78f217e506fed9f2ac2a675107c379"/>
    <x v="1668"/>
    <n v="-1"/>
    <s v="FVE"/>
    <s v="20-02-2026"/>
    <s v="20-02-2026 12:09:09"/>
    <s v="900800595"/>
    <s v="Provexpress SAS"/>
    <s v="860074358"/>
    <x v="504"/>
    <n v="0"/>
    <n v="0"/>
    <n v="0"/>
    <n v="2372000"/>
    <s v="Aprobado con notificación"/>
    <s v="Emitido"/>
    <x v="0"/>
    <x v="0"/>
    <x v="1"/>
    <x v="0"/>
    <x v="0"/>
    <x v="1"/>
    <d v="2026-02-27T00:00:00"/>
  </r>
  <r>
    <s v="Factura electrónica"/>
    <s v="4314fa2af59af2c4007245af6aaf13efb72e348360229b804fcaf27e25d43e964d7a552b17c9b83f9f341bf40e17bfa3"/>
    <x v="1669"/>
    <n v="-1"/>
    <s v="FVE"/>
    <s v="20-02-2026"/>
    <s v="20-02-2026 12:09:14"/>
    <s v="900800595"/>
    <s v="Provexpress SAS"/>
    <s v="900095054"/>
    <x v="666"/>
    <n v="64550.6"/>
    <n v="0"/>
    <n v="0"/>
    <n v="491890.6"/>
    <s v="Aprobado con notificación"/>
    <s v="Emitido"/>
    <x v="0"/>
    <x v="0"/>
    <x v="1"/>
    <x v="0"/>
    <x v="1"/>
    <x v="0"/>
    <m/>
  </r>
  <r>
    <s v="Factura electrónica"/>
    <s v="d778a6e517a861097b6920e0b030f827ddb6db7bc66c9cec872ae1a9c8bae638d5e156fc6a0f1a859ca637f4b2896709"/>
    <x v="1670"/>
    <n v="-1"/>
    <s v="FVE"/>
    <s v="20-02-2026"/>
    <s v="20-02-2026 12:09:19"/>
    <s v="900800595"/>
    <s v="Provexpress SAS"/>
    <s v="860015536"/>
    <x v="305"/>
    <n v="18981"/>
    <n v="0"/>
    <n v="0"/>
    <n v="118881"/>
    <s v="Aprobado con notificación"/>
    <s v="Emitido"/>
    <x v="1"/>
    <x v="0"/>
    <x v="1"/>
    <x v="0"/>
    <x v="0"/>
    <x v="0"/>
    <m/>
  </r>
  <r>
    <s v="Factura electrónica"/>
    <s v="70f55e390778f5a9b737f3e8b3df3682a7772ac53ca1adcbe2163fe9bd9d1938fd9506b12c9ee872da33e8f63f8b8f2d"/>
    <x v="1671"/>
    <n v="-1"/>
    <s v="FVE"/>
    <s v="20-02-2026"/>
    <s v="20-02-2026 12:09:24"/>
    <s v="900800595"/>
    <s v="Provexpress SAS"/>
    <s v="860078643"/>
    <x v="717"/>
    <n v="183084"/>
    <n v="0"/>
    <n v="0"/>
    <n v="1146684"/>
    <s v="Aprobado con notificación"/>
    <s v="Emitido"/>
    <x v="0"/>
    <x v="0"/>
    <x v="1"/>
    <x v="0"/>
    <x v="1"/>
    <x v="0"/>
    <m/>
  </r>
  <r>
    <s v="Factura electrónica"/>
    <s v="88b2e1ed0f17150765b1c552918bafe0c7469272afd48dff36e050577e7904cde4a25b81837679de43df201b2d57fe86"/>
    <x v="1672"/>
    <n v="-1"/>
    <s v="FVE"/>
    <s v="20-02-2026"/>
    <s v="20-02-2026 12:24:39"/>
    <s v="900800595"/>
    <s v="Provexpress SAS"/>
    <s v="830037893"/>
    <x v="718"/>
    <n v="19000"/>
    <n v="0"/>
    <n v="0"/>
    <n v="119000"/>
    <s v="Aprobado con notificación"/>
    <s v="Emitido"/>
    <x v="0"/>
    <x v="0"/>
    <x v="1"/>
    <x v="0"/>
    <x v="1"/>
    <x v="0"/>
    <m/>
  </r>
  <r>
    <s v="Factura electrónica"/>
    <s v="c5b3b3b2161e52cbe43e2150a02ad93f70973c2ce2c4836cd8d37d95f1337c960cd6ad01bc16e3e78fb0d628d52feccf"/>
    <x v="1673"/>
    <n v="-1"/>
    <s v="FVE"/>
    <s v="20-02-2026"/>
    <s v="20-02-2026 12:24:43"/>
    <s v="900800595"/>
    <s v="Provexpress SAS"/>
    <s v="800241469"/>
    <x v="48"/>
    <n v="2315340"/>
    <n v="0"/>
    <n v="0"/>
    <n v="14501340"/>
    <s v="Aprobado con notificación"/>
    <s v="Emitido"/>
    <x v="0"/>
    <x v="0"/>
    <x v="1"/>
    <x v="0"/>
    <x v="0"/>
    <x v="1"/>
    <s v="PAGA 2/02/2026"/>
  </r>
  <r>
    <s v="Factura electrónica"/>
    <s v="03235a73b94d9de0edc3c07a18c5cd559f7a2d82ab5aa9edf19b79bccbb8f352147d6f04241596596a4d068d9a1deffc"/>
    <x v="1674"/>
    <n v="-1"/>
    <s v="FVE"/>
    <s v="20-02-2026"/>
    <s v="20-02-2026 12:24:48"/>
    <s v="900800595"/>
    <s v="Provexpress SAS"/>
    <s v="830120215"/>
    <x v="97"/>
    <n v="932250.2"/>
    <n v="0"/>
    <n v="0"/>
    <n v="5838830.2000000002"/>
    <s v="Aprobado con notificación"/>
    <s v="Emitido"/>
    <x v="0"/>
    <x v="0"/>
    <x v="1"/>
    <x v="0"/>
    <x v="1"/>
    <x v="0"/>
    <m/>
  </r>
  <r>
    <s v="Factura electrónica"/>
    <s v="2303c6f3a51163dd766d7c660677752d10b5ca0c13085fc71233b0fee68e3a728ccffdabfb77d4fa9969623042d11a0a"/>
    <x v="1675"/>
    <n v="-1"/>
    <s v="FVE"/>
    <s v="20-02-2026"/>
    <s v="20-02-2026 12:24:53"/>
    <s v="900800595"/>
    <s v="Provexpress SAS"/>
    <s v="860072279"/>
    <x v="86"/>
    <n v="41040"/>
    <n v="0"/>
    <n v="0"/>
    <n v="257040"/>
    <s v="Aprobado con notificación"/>
    <s v="Emitido"/>
    <x v="0"/>
    <x v="0"/>
    <x v="1"/>
    <x v="0"/>
    <x v="1"/>
    <x v="0"/>
    <m/>
  </r>
  <r>
    <s v="Factura electrónica"/>
    <s v="b9803d997590438c2ed912cfaedba41ede84ac17859d59046462b6af5485ef4fe97ff0ec2b70d03a36462db181d6c694"/>
    <x v="1676"/>
    <n v="-1"/>
    <s v="FVE"/>
    <s v="20-02-2026"/>
    <s v="20-02-2026 12:39:59"/>
    <s v="900800595"/>
    <s v="Provexpress SAS"/>
    <s v="860025596"/>
    <x v="255"/>
    <n v="1721213.04"/>
    <n v="0"/>
    <n v="0"/>
    <n v="10780229.039999999"/>
    <s v="Aprobado con notificación"/>
    <s v="Emitido"/>
    <x v="0"/>
    <x v="0"/>
    <x v="1"/>
    <x v="0"/>
    <x v="1"/>
    <x v="0"/>
    <m/>
  </r>
  <r>
    <s v="Factura electrónica"/>
    <s v="9279d0eb7977dacd6c363b64e3c86233228482919f6a0ce79f3fbc7119c1417429170f5f59d6d9c0c5da83d37c1af47d"/>
    <x v="1677"/>
    <n v="-1"/>
    <s v="FVE"/>
    <s v="20-02-2026"/>
    <s v="20-02-2026 12:40:03"/>
    <s v="900800595"/>
    <s v="Provexpress SAS"/>
    <s v="830125837"/>
    <x v="719"/>
    <n v="6346"/>
    <n v="0"/>
    <n v="0"/>
    <n v="39746"/>
    <s v="Aprobado con notificación"/>
    <s v="Emitido"/>
    <x v="0"/>
    <x v="0"/>
    <x v="1"/>
    <x v="0"/>
    <x v="1"/>
    <x v="0"/>
    <m/>
  </r>
  <r>
    <s v="Factura electrónica"/>
    <s v="0211d0f3e72069205f9e2f3be09dd427b41bb1423646ee653945c10df234d45fb492c32ff621e596f55281dc39377b88"/>
    <x v="1678"/>
    <n v="-1"/>
    <s v="FVE"/>
    <s v="20-02-2026"/>
    <s v="20-02-2026 12:40:08"/>
    <s v="900800595"/>
    <s v="Provexpress SAS"/>
    <s v="830125837"/>
    <x v="719"/>
    <n v="34030"/>
    <n v="0"/>
    <n v="0"/>
    <n v="714630"/>
    <s v="Aprobado con notificación"/>
    <s v="Emitido"/>
    <x v="0"/>
    <x v="0"/>
    <x v="1"/>
    <x v="0"/>
    <x v="1"/>
    <x v="0"/>
    <m/>
  </r>
  <r>
    <s v="Factura electrónica"/>
    <s v="2072c1e73eaf9d36784bb6ff4914d8b2a8485be4295b7e7fde408c55ad2b19cb34b9e1d3ed008fb79a141aa0e8cbcd2a"/>
    <x v="1679"/>
    <n v="-1"/>
    <s v="FVE"/>
    <s v="20-02-2026"/>
    <s v="20-02-2026 12:40:13"/>
    <s v="900800595"/>
    <s v="Provexpress SAS"/>
    <s v="830125837"/>
    <x v="719"/>
    <n v="147367.99"/>
    <n v="0"/>
    <n v="0"/>
    <n v="922988.99"/>
    <s v="Aprobado con notificación"/>
    <s v="Emitido"/>
    <x v="1"/>
    <x v="0"/>
    <x v="1"/>
    <x v="0"/>
    <x v="0"/>
    <x v="0"/>
    <m/>
  </r>
  <r>
    <s v="Factura electrónica"/>
    <s v="d186079364f03eac37d3cc87d7885dc8216f416b3bb379b45ea826d114c3a02371cb18ef3ef5d99b0cd2af63f0d28a52"/>
    <x v="1680"/>
    <n v="-1"/>
    <s v="FVE"/>
    <s v="20-02-2026"/>
    <s v="20-02-2026 12:40:17"/>
    <s v="900800595"/>
    <s v="Provexpress SAS"/>
    <s v="830125837"/>
    <x v="719"/>
    <n v="49358.2"/>
    <n v="0"/>
    <n v="0"/>
    <n v="309138.2"/>
    <s v="Aprobado con notificación"/>
    <s v="Emitido"/>
    <x v="1"/>
    <x v="0"/>
    <x v="1"/>
    <x v="0"/>
    <x v="0"/>
    <x v="0"/>
    <m/>
  </r>
  <r>
    <s v="Factura electrónica"/>
    <s v="299de488bd760ce430b677e13691f0d1aac3cb77392b56e9d7dc2d594fa54918c89e4c2560c015c6a1d8217f9dd97f76"/>
    <x v="1681"/>
    <n v="-1"/>
    <s v="FVE"/>
    <s v="20-02-2026"/>
    <s v="20-02-2026 12:40:22"/>
    <s v="900800595"/>
    <s v="Provexpress SAS"/>
    <s v="860524513"/>
    <x v="720"/>
    <n v="80750"/>
    <n v="0"/>
    <n v="0"/>
    <n v="1695750"/>
    <s v="Aprobado con notificación"/>
    <s v="Emitido"/>
    <x v="1"/>
    <x v="0"/>
    <x v="1"/>
    <x v="0"/>
    <x v="0"/>
    <x v="0"/>
    <m/>
  </r>
  <r>
    <s v="Factura electrónica"/>
    <s v="48050bee446ccd7aac8692d605ffdfe162e28c2510d317ad3e6cc9da5fa98cdead0800939d94496b69c53bf2676c6efe"/>
    <x v="1682"/>
    <n v="-1"/>
    <s v="FVE"/>
    <s v="20-02-2026"/>
    <s v="20-02-2026 12:40:27"/>
    <s v="900800595"/>
    <s v="Provexpress SAS"/>
    <s v="860524513"/>
    <x v="720"/>
    <n v="143993.4"/>
    <n v="0"/>
    <n v="0"/>
    <n v="901853.4"/>
    <s v="Aprobado con notificación"/>
    <s v="Emitido"/>
    <x v="1"/>
    <x v="0"/>
    <x v="1"/>
    <x v="0"/>
    <x v="0"/>
    <x v="0"/>
    <m/>
  </r>
  <r>
    <s v="Factura electrónica"/>
    <s v="411c3f8f81715f00a3ce59369a015be708054ca5099f4f995d06cb05d01ac980c8455e707ed4c53812ffc30b46a78c7d"/>
    <x v="1683"/>
    <n v="-1"/>
    <s v="FVE"/>
    <s v="20-02-2026"/>
    <s v="20-02-2026 12:55:33"/>
    <s v="900800595"/>
    <s v="Provexpress SAS"/>
    <s v="830067414"/>
    <x v="307"/>
    <n v="114271.7"/>
    <n v="0"/>
    <n v="0"/>
    <n v="715701.7"/>
    <s v="Aprobado con notificación"/>
    <s v="Emitido"/>
    <x v="1"/>
    <x v="0"/>
    <x v="1"/>
    <x v="0"/>
    <x v="0"/>
    <x v="0"/>
    <m/>
  </r>
  <r>
    <s v="Factura electrónica"/>
    <s v="04dcf88de0acd14ce1df4923d0b26968ec30caab60bddb68ae5c563ce890ed1e858974ab4eaac54f4c7f3b055d29354e"/>
    <x v="1684"/>
    <n v="-1"/>
    <s v="FVE"/>
    <s v="20-02-2026"/>
    <s v="20-02-2026 12:55:37"/>
    <s v="900800595"/>
    <s v="Provexpress SAS"/>
    <s v="830106265"/>
    <x v="102"/>
    <n v="400323.35"/>
    <n v="0"/>
    <n v="0"/>
    <n v="2507288.35"/>
    <s v="Aprobado con notificación"/>
    <s v="Emitido"/>
    <x v="1"/>
    <x v="0"/>
    <x v="1"/>
    <x v="0"/>
    <x v="0"/>
    <x v="0"/>
    <m/>
  </r>
  <r>
    <s v="Factura electrónica"/>
    <s v="52e807ec253df47fffd521e47c307ece655223c65a3bbdae95351e9f58322da4f83cff9de9c86a2eb42b08169e6afba1"/>
    <x v="1685"/>
    <n v="-1"/>
    <s v="FVE"/>
    <s v="20-02-2026"/>
    <s v="20-02-2026 12:55:42"/>
    <s v="900800595"/>
    <s v="Provexpress SAS"/>
    <s v="900725066"/>
    <x v="629"/>
    <n v="209953.8"/>
    <n v="0"/>
    <n v="0"/>
    <n v="1314973.8"/>
    <s v="Aprobado con notificación"/>
    <s v="Emitido"/>
    <x v="0"/>
    <x v="0"/>
    <x v="1"/>
    <x v="0"/>
    <x v="1"/>
    <x v="0"/>
    <m/>
  </r>
  <r>
    <s v="Factura electrónica"/>
    <s v="ad78e09d569d11d66e75dd7ad0ce0b937f4372d7f2ba5dcbd20aaaa24bc92e78132c10bdb53ffd3e1b2a21d1b55afeea"/>
    <x v="1686"/>
    <n v="-1"/>
    <s v="FVE"/>
    <s v="20-02-2026"/>
    <s v="20-02-2026 12:55:47"/>
    <s v="900800595"/>
    <s v="Provexpress SAS"/>
    <s v="900725066"/>
    <x v="629"/>
    <n v="2507126.5699999998"/>
    <n v="0"/>
    <n v="0"/>
    <n v="15702529.57"/>
    <s v="Aprobado con notificación"/>
    <s v="Emitido"/>
    <x v="0"/>
    <x v="0"/>
    <x v="1"/>
    <x v="0"/>
    <x v="1"/>
    <x v="0"/>
    <m/>
  </r>
  <r>
    <s v="Factura electrónica"/>
    <s v="c6db8343293e22c24285c9c2f10a87193c475a56a904a9ee0a7234ad210c7b06fcba5bc3694b0af0bd442d37b5cd8ea4"/>
    <x v="1687"/>
    <n v="-1"/>
    <s v="FVE"/>
    <s v="20-02-2026"/>
    <s v="20-02-2026 13:10:53"/>
    <s v="900800595"/>
    <s v="Provexpress SAS"/>
    <s v="860517423"/>
    <x v="721"/>
    <n v="268755"/>
    <n v="0"/>
    <n v="0"/>
    <n v="1683255"/>
    <s v="Aprobado con notificación"/>
    <s v="Emitido"/>
    <x v="0"/>
    <x v="0"/>
    <x v="1"/>
    <x v="0"/>
    <x v="1"/>
    <x v="0"/>
    <m/>
  </r>
  <r>
    <s v="Factura electrónica"/>
    <s v="6459e5dd14722df087959f8bc2c335eb8cbe65242904cc285fddf3894b315a5b399e208107d0e6786896b3f04bb99123"/>
    <x v="1688"/>
    <n v="-1"/>
    <s v="FVE"/>
    <s v="20-02-2026"/>
    <s v="20-02-2026 14:11:04"/>
    <s v="900800595"/>
    <s v="Provexpress SAS"/>
    <s v="860031462"/>
    <x v="287"/>
    <n v="52945"/>
    <n v="0"/>
    <n v="0"/>
    <n v="682045"/>
    <s v="Aprobado con notificación"/>
    <s v="Emitido"/>
    <x v="0"/>
    <x v="0"/>
    <x v="1"/>
    <x v="0"/>
    <x v="1"/>
    <x v="0"/>
    <m/>
  </r>
  <r>
    <s v="Factura electrónica"/>
    <s v="f2e9ef33b9ecc01362d62032d475c71088353c4e8d7dfaf3bbc518e723b1c05e1285e12d6678fdeaa6a5fc285b8e3b92"/>
    <x v="1689"/>
    <n v="-1"/>
    <s v="FVE"/>
    <s v="20-02-2026"/>
    <s v="20-02-2026 14:26:09"/>
    <s v="900800595"/>
    <s v="Provexpress SAS"/>
    <s v="900396965"/>
    <x v="197"/>
    <n v="7346.35"/>
    <n v="0"/>
    <n v="0"/>
    <n v="188301.35"/>
    <s v="Aprobado con notificación"/>
    <s v="Emitido"/>
    <x v="0"/>
    <x v="0"/>
    <x v="1"/>
    <x v="0"/>
    <x v="1"/>
    <x v="0"/>
    <m/>
  </r>
  <r>
    <s v="Factura electrónica"/>
    <s v="273719ae1536a5f7ed68af5ffcb7335e39b1306c766b98b2538db1e3c65b88f4daa71a76525d2b96dd04ae2507f7b4fd"/>
    <x v="1690"/>
    <n v="-1"/>
    <s v="FVE"/>
    <s v="20-02-2026"/>
    <s v="20-02-2026 14:26:14"/>
    <s v="900800595"/>
    <s v="Provexpress SAS"/>
    <s v="860029924"/>
    <x v="722"/>
    <n v="83600"/>
    <n v="0"/>
    <n v="0"/>
    <n v="523600"/>
    <s v="Aprobado con notificación"/>
    <s v="Emitido"/>
    <x v="0"/>
    <x v="0"/>
    <x v="1"/>
    <x v="0"/>
    <x v="1"/>
    <x v="0"/>
    <m/>
  </r>
  <r>
    <s v="Factura electrónica"/>
    <s v="03f8a7c556b72ebbad9117089a15bc1bd3ba786dfe9a605b24d9ca857cc77767136312340965c8db29b9199879100b42"/>
    <x v="1691"/>
    <n v="-1"/>
    <s v="FVE"/>
    <s v="20-02-2026"/>
    <s v="20-02-2026 14:41:20"/>
    <s v="900800595"/>
    <s v="Provexpress SAS"/>
    <s v="830051573"/>
    <x v="88"/>
    <n v="817112.1"/>
    <n v="0"/>
    <n v="0"/>
    <n v="5133862.0999999996"/>
    <s v="Aprobado con notificación"/>
    <s v="Emitido"/>
    <x v="1"/>
    <x v="0"/>
    <x v="1"/>
    <x v="0"/>
    <x v="0"/>
    <x v="0"/>
    <m/>
  </r>
  <r>
    <s v="Factura electrónica"/>
    <s v="5b2806f906ed6fd3c8cfa380193ce86b194edc253527cfa2d28361185e0ced391cc6075ecbda25d27624cf256c9b8c36"/>
    <x v="1692"/>
    <n v="-1"/>
    <s v="FVE"/>
    <s v="20-02-2026"/>
    <s v="20-02-2026 14:41:25"/>
    <s v="900800595"/>
    <s v="Provexpress SAS"/>
    <s v="830050228"/>
    <x v="39"/>
    <n v="738530"/>
    <n v="0"/>
    <n v="0"/>
    <n v="4625530"/>
    <s v="Aprobado con notificación"/>
    <s v="Emitido"/>
    <x v="1"/>
    <x v="0"/>
    <x v="1"/>
    <x v="0"/>
    <x v="0"/>
    <x v="0"/>
    <m/>
  </r>
  <r>
    <s v="Factura electrónica"/>
    <s v="04db089f985355fe739aa2dccde6b0c8e909338bef420f6ed3975c5ad4f91a7d2d6abe5008721a5e4e8249ae7d7e4023"/>
    <x v="1693"/>
    <n v="-1"/>
    <s v="FVE"/>
    <s v="20-02-2026"/>
    <s v="20-02-2026 14:56:30"/>
    <s v="900800595"/>
    <s v="Provexpress SAS"/>
    <s v="860012357"/>
    <x v="642"/>
    <n v="120615.42"/>
    <n v="0"/>
    <n v="0"/>
    <n v="755433.42"/>
    <s v="Aprobado con notificación"/>
    <s v="Emitido"/>
    <x v="0"/>
    <x v="0"/>
    <x v="1"/>
    <x v="0"/>
    <x v="1"/>
    <x v="0"/>
    <m/>
  </r>
  <r>
    <s v="Factura electrónica"/>
    <s v="8e6a312aff9835d6595c81b02c0379ab8942a204e29be876ff7ce15e958697d0be6a997a663f64620d5e9b5a6f0913ca"/>
    <x v="1694"/>
    <n v="-1"/>
    <s v="FVE"/>
    <s v="20-02-2026"/>
    <s v="20-02-2026 14:56:35"/>
    <s v="900800595"/>
    <s v="Provexpress SAS"/>
    <s v="900394791"/>
    <x v="319"/>
    <n v="31558.43"/>
    <n v="0"/>
    <n v="0"/>
    <n v="197655.43"/>
    <s v="Aprobado con notificación"/>
    <s v="Emitido"/>
    <x v="0"/>
    <x v="0"/>
    <x v="1"/>
    <x v="0"/>
    <x v="1"/>
    <x v="0"/>
    <m/>
  </r>
  <r>
    <s v="Factura electrónica"/>
    <s v="ea4257e7a527f7e48bf2c66a763d5c789acf911bb3bf1215af48e4d55b5389da448fff0163da03a2c8f439ca32866935"/>
    <x v="1695"/>
    <n v="-1"/>
    <s v="FVE"/>
    <s v="20-02-2026"/>
    <s v="20-02-2026 14:56:39"/>
    <s v="900800595"/>
    <s v="Provexpress SAS"/>
    <s v="830035263"/>
    <x v="89"/>
    <n v="17670"/>
    <n v="0"/>
    <n v="0"/>
    <n v="110670"/>
    <s v="Aprobado con notificación"/>
    <s v="Emitido"/>
    <x v="0"/>
    <x v="0"/>
    <x v="1"/>
    <x v="1"/>
    <x v="0"/>
    <x v="0"/>
    <m/>
  </r>
  <r>
    <s v="Factura electrónica"/>
    <s v="ff301b20bf0a000100f3f7f5b10345c89bb7d54a0a96c5d42e1abf6fd028b84b2f472ffd89db105eb484a5867ee83ef6"/>
    <x v="1696"/>
    <n v="-1"/>
    <s v="FVE"/>
    <s v="20-02-2026"/>
    <s v="20-02-2026 15:11:45"/>
    <s v="900800595"/>
    <s v="Provexpress SAS"/>
    <s v="860002503"/>
    <x v="723"/>
    <n v="237789.56"/>
    <n v="0"/>
    <n v="0"/>
    <n v="1489313.56"/>
    <s v="Aprobado con notificación"/>
    <s v="Emitido"/>
    <x v="1"/>
    <x v="0"/>
    <x v="1"/>
    <x v="0"/>
    <x v="0"/>
    <x v="0"/>
    <m/>
  </r>
  <r>
    <s v="Factura electrónica"/>
    <s v="ead05899b20c9a146daf8843a68be54b0c99f75cb60819d25543b9d0d0923294bc1d4b32cf7fd8edc191a72a2c67a6ff"/>
    <x v="1697"/>
    <n v="-1"/>
    <s v="FVE"/>
    <s v="20-02-2026"/>
    <s v="20-02-2026 15:11:51"/>
    <s v="900800595"/>
    <s v="Provexpress SAS"/>
    <s v="860002503"/>
    <x v="723"/>
    <n v="98979.93"/>
    <n v="0"/>
    <n v="0"/>
    <n v="619926.93000000005"/>
    <s v="Aprobado con notificación"/>
    <s v="Emitido"/>
    <x v="1"/>
    <x v="0"/>
    <x v="1"/>
    <x v="0"/>
    <x v="0"/>
    <x v="0"/>
    <m/>
  </r>
  <r>
    <s v="Factura electrónica"/>
    <s v="5e05c13f8b08b93d40ad9fb800ebc8abd0c0659cb74e263d82ae73b854f8257167940449729b6406ab0ab0bb60e5f0c7"/>
    <x v="1698"/>
    <n v="-1"/>
    <s v="FVE"/>
    <s v="20-02-2026"/>
    <s v="20-02-2026 15:11:55"/>
    <s v="900800595"/>
    <s v="Provexpress SAS"/>
    <s v="860038299"/>
    <x v="200"/>
    <n v="978500"/>
    <n v="0"/>
    <n v="0"/>
    <n v="6128500"/>
    <s v="Aprobado con notificación"/>
    <s v="Emitido"/>
    <x v="0"/>
    <x v="0"/>
    <x v="1"/>
    <x v="0"/>
    <x v="0"/>
    <x v="1"/>
    <s v="PAGA 27/02/2026"/>
  </r>
  <r>
    <s v="Factura electrónica"/>
    <s v="68e260835a62c212be862f84f803cab9ea43163826a3ff8e1c76f073a4bec216d743cfcabf0cff488a75a48df4795428"/>
    <x v="1699"/>
    <n v="-1"/>
    <s v="FVE"/>
    <s v="20-02-2026"/>
    <s v="20-02-2026 15:11:59"/>
    <s v="900800595"/>
    <s v="Provexpress SAS"/>
    <s v="860508392"/>
    <x v="724"/>
    <n v="36100"/>
    <n v="0"/>
    <n v="0"/>
    <n v="226100"/>
    <s v="Aprobado con notificación"/>
    <s v="Emitido"/>
    <x v="0"/>
    <x v="0"/>
    <x v="0"/>
    <x v="0"/>
    <x v="0"/>
    <x v="0"/>
    <m/>
  </r>
  <r>
    <s v="Factura electrónica"/>
    <s v="7588dcf5da1f2c7e5f158fa625a0bef178633df846c99d259e32eaf061f1819ebcfc46b29c45bbc5748bb075439fb55b"/>
    <x v="1700"/>
    <n v="-1"/>
    <s v="FVE"/>
    <s v="20-02-2026"/>
    <s v="20-02-2026 15:12:05"/>
    <s v="900800595"/>
    <s v="Provexpress SAS"/>
    <s v="830077866"/>
    <x v="563"/>
    <n v="0"/>
    <n v="0"/>
    <n v="0"/>
    <n v="825000"/>
    <s v="Aprobado con notificación"/>
    <s v="Emitido"/>
    <x v="0"/>
    <x v="0"/>
    <x v="1"/>
    <x v="0"/>
    <x v="1"/>
    <x v="0"/>
    <m/>
  </r>
  <r>
    <s v="Factura electrónica"/>
    <s v="6f8c7f9aabfd1c226b1a1a8f39fef60e43b8204ce0f44b5b19c19b96aa826b7eda67ebb8a49aa609bb277ac746aee7f8"/>
    <x v="1701"/>
    <n v="-1"/>
    <s v="FVE"/>
    <s v="20-02-2026"/>
    <s v="20-02-2026 15:12:09"/>
    <s v="900800595"/>
    <s v="Provexpress SAS"/>
    <s v="830077866"/>
    <x v="563"/>
    <n v="0"/>
    <n v="0"/>
    <n v="0"/>
    <n v="275000"/>
    <s v="Aprobado con notificación"/>
    <s v="Emitido"/>
    <x v="0"/>
    <x v="0"/>
    <x v="1"/>
    <x v="0"/>
    <x v="1"/>
    <x v="0"/>
    <m/>
  </r>
  <r>
    <s v="Factura electrónica"/>
    <s v="af7857360047ae1f331065c529eafc05360bac64cf6062b5f5fdf0a1cd0e59cf5ce641db22406ac4c397e59d3a512b34"/>
    <x v="1702"/>
    <n v="-1"/>
    <s v="FVE"/>
    <s v="20-02-2026"/>
    <s v="20-02-2026 15:12:13"/>
    <s v="900800595"/>
    <s v="Provexpress SAS"/>
    <s v="830077866"/>
    <x v="563"/>
    <n v="0"/>
    <n v="0"/>
    <n v="0"/>
    <n v="250000"/>
    <s v="Aprobado con notificación"/>
    <s v="Emitido"/>
    <x v="0"/>
    <x v="0"/>
    <x v="1"/>
    <x v="0"/>
    <x v="1"/>
    <x v="0"/>
    <m/>
  </r>
  <r>
    <s v="Factura electrónica"/>
    <s v="c9c86fb579320beb280e1925fa0abf5462583d11593cdd126e5e5e3596122764d2686eadc69d5493c9646d9d48c670ad"/>
    <x v="1703"/>
    <n v="-1"/>
    <s v="FVE"/>
    <s v="20-02-2026"/>
    <s v="20-02-2026 15:12:18"/>
    <s v="900800595"/>
    <s v="Provexpress SAS"/>
    <s v="890106278"/>
    <x v="725"/>
    <n v="608815.48"/>
    <n v="0"/>
    <n v="0"/>
    <n v="3813107.48"/>
    <s v="Aprobado con notificación"/>
    <s v="Emitido"/>
    <x v="0"/>
    <x v="0"/>
    <x v="1"/>
    <x v="0"/>
    <x v="1"/>
    <x v="0"/>
    <m/>
  </r>
  <r>
    <s v="Factura electrónica"/>
    <s v="15bd4b4ad0ad38c24ef9045e6e93da9efe9cf54fd34e79f2d65e20aa69ea5741acc47a44c64955e0b2addd123bae4a7c"/>
    <x v="1704"/>
    <n v="-1"/>
    <s v="FVE"/>
    <s v="20-02-2026"/>
    <s v="20-02-2026 15:12:23"/>
    <s v="900800595"/>
    <s v="Provexpress SAS"/>
    <s v="860009985"/>
    <x v="81"/>
    <n v="157871"/>
    <n v="0"/>
    <n v="0"/>
    <n v="988771"/>
    <s v="Aprobado con notificación"/>
    <s v="Emitido"/>
    <x v="0"/>
    <x v="0"/>
    <x v="1"/>
    <x v="0"/>
    <x v="1"/>
    <x v="0"/>
    <m/>
  </r>
  <r>
    <s v="Factura electrónica"/>
    <s v="010d68d161ba71453aac66cb4bd829a9869f31eb15e561e78bf71d558db3483320e3626115ed736253756e2256c544c8"/>
    <x v="1705"/>
    <n v="-1"/>
    <s v="FVE"/>
    <s v="20-02-2026"/>
    <s v="20-02-2026 15:12:27"/>
    <s v="900800595"/>
    <s v="Provexpress SAS"/>
    <s v="800013879"/>
    <x v="726"/>
    <n v="71259.45"/>
    <n v="0"/>
    <n v="0"/>
    <n v="464634.45"/>
    <s v="Aprobado con notificación"/>
    <s v="Emitido"/>
    <x v="0"/>
    <x v="0"/>
    <x v="1"/>
    <x v="0"/>
    <x v="1"/>
    <x v="0"/>
    <m/>
  </r>
  <r>
    <s v="Factura electrónica"/>
    <s v="b4c84a4538fef1e8c110105fd77a86b1998809a51bc7d266c7b270f7c37171b4822efaa86133b317c43cf037e5a5aa51"/>
    <x v="1706"/>
    <n v="-1"/>
    <s v="FVE"/>
    <s v="20-02-2026"/>
    <s v="20-02-2026 15:27:33"/>
    <s v="900800595"/>
    <s v="Provexpress SAS"/>
    <s v="900749690"/>
    <x v="573"/>
    <n v="1246628"/>
    <n v="0"/>
    <n v="0"/>
    <n v="7807828"/>
    <s v="Aprobado con notificación"/>
    <s v="Emitido"/>
    <x v="0"/>
    <x v="0"/>
    <x v="1"/>
    <x v="0"/>
    <x v="1"/>
    <x v="0"/>
    <m/>
  </r>
  <r>
    <s v="Factura electrónica"/>
    <s v="6c098576b2784785e3f958d1d673a572dff10cce98634c2b00fd49aa3e3e0cbe737233b667001fc5679bb927187b2402"/>
    <x v="1707"/>
    <n v="-1"/>
    <s v="FVE"/>
    <s v="20-02-2026"/>
    <s v="20-02-2026 15:27:38"/>
    <s v="900800595"/>
    <s v="Provexpress SAS"/>
    <s v="860015542"/>
    <x v="727"/>
    <n v="50032.7"/>
    <n v="0"/>
    <n v="0"/>
    <n v="313362.7"/>
    <s v="Aprobado con notificación"/>
    <s v="Emitido"/>
    <x v="1"/>
    <x v="0"/>
    <x v="1"/>
    <x v="0"/>
    <x v="0"/>
    <x v="0"/>
    <m/>
  </r>
  <r>
    <s v="Factura electrónica"/>
    <s v="43420093a8f6a2345985e8530bfed9b7778a2c792cb9ceb2452c97de513a43ac53f2d98a801473b51c3250e77785adfc"/>
    <x v="1708"/>
    <n v="-1"/>
    <s v="FVE"/>
    <s v="20-02-2026"/>
    <s v="20-02-2026 15:42:53"/>
    <s v="900800595"/>
    <s v="Provexpress SAS"/>
    <s v="830513366"/>
    <x v="728"/>
    <n v="3054820"/>
    <n v="0"/>
    <n v="0"/>
    <n v="19132820"/>
    <s v="Aprobado con notificación"/>
    <s v="Emitido"/>
    <x v="0"/>
    <x v="0"/>
    <x v="1"/>
    <x v="0"/>
    <x v="1"/>
    <x v="0"/>
    <m/>
  </r>
  <r>
    <s v="Factura electrónica"/>
    <s v="0b3919a4f526bdeaceff12bdee5e0a491942b613f4ca8f380eae2fc82ce0b6bce9837a59ded8cd26b8e047b8a95d12c4"/>
    <x v="1709"/>
    <n v="-1"/>
    <s v="FVE"/>
    <s v="20-02-2026"/>
    <s v="20-02-2026 15:42:58"/>
    <s v="900800595"/>
    <s v="Provexpress SAS"/>
    <s v="800116871"/>
    <x v="204"/>
    <n v="3755371"/>
    <n v="0"/>
    <n v="0"/>
    <n v="27000481.5"/>
    <s v="Aprobado con notificación"/>
    <s v="Emitido"/>
    <x v="0"/>
    <x v="1"/>
    <x v="1"/>
    <x v="0"/>
    <x v="0"/>
    <x v="0"/>
    <m/>
  </r>
  <r>
    <s v="Factura electrónica"/>
    <s v="5820694358775c8374ed60e5cfeadf4908fb9f8e9b55c8d53e711b5764f801d9857bd2e377c9e2c4b6da1590453ae4da"/>
    <x v="1710"/>
    <n v="-1"/>
    <s v="FVE"/>
    <s v="20-02-2026"/>
    <s v="20-02-2026 15:43:03"/>
    <s v="900800595"/>
    <s v="Provexpress SAS"/>
    <s v="35476985"/>
    <x v="729"/>
    <n v="4653.4799999999996"/>
    <n v="0"/>
    <n v="0"/>
    <n v="29145.48"/>
    <s v="Aprobado con notificación"/>
    <s v="Emitido"/>
    <x v="0"/>
    <x v="0"/>
    <x v="1"/>
    <x v="0"/>
    <x v="1"/>
    <x v="0"/>
    <m/>
  </r>
  <r>
    <s v="Factura electrónica"/>
    <s v="0bafec3095b19103f07a1c4e00922c7496f13c40e3b9600c9feb6d8f1c4e2390fb61bd0fd3cdf18e60cb57bfbe687692"/>
    <x v="1711"/>
    <n v="-1"/>
    <s v="FVE"/>
    <s v="20-02-2026"/>
    <s v="20-02-2026 15:43:07"/>
    <s v="900800595"/>
    <s v="Provexpress SAS"/>
    <s v="860401826"/>
    <x v="730"/>
    <n v="968240"/>
    <n v="0"/>
    <n v="0"/>
    <n v="6064240"/>
    <s v="Aprobado con notificación"/>
    <s v="Emitido"/>
    <x v="1"/>
    <x v="0"/>
    <x v="1"/>
    <x v="0"/>
    <x v="0"/>
    <x v="0"/>
    <m/>
  </r>
  <r>
    <s v="Factura electrónica"/>
    <s v="96d4055ad3ca241d869d1f5e76b1d7870370c0e8db2059905667c5c4e2b7f18cb28d0d554013069e06d6f06b81e59b76"/>
    <x v="1712"/>
    <n v="-1"/>
    <s v="FVE"/>
    <s v="20-02-2026"/>
    <s v="20-02-2026 15:43:11"/>
    <s v="900800595"/>
    <s v="Provexpress SAS"/>
    <s v="901819545"/>
    <x v="731"/>
    <n v="30590"/>
    <n v="0"/>
    <n v="0"/>
    <n v="191590"/>
    <s v="Aprobado con notificación"/>
    <s v="Emitido"/>
    <x v="0"/>
    <x v="0"/>
    <x v="1"/>
    <x v="0"/>
    <x v="1"/>
    <x v="0"/>
    <m/>
  </r>
  <r>
    <s v="Factura electrónica"/>
    <s v="82ddc008ff6412fc83d60cc38eff59fad96711df49f5d1b5e19d73c4daea112cb959d973901de4f2ea23c594f039af00"/>
    <x v="1713"/>
    <n v="-1"/>
    <s v="FVE"/>
    <s v="20-02-2026"/>
    <s v="20-02-2026 15:43:16"/>
    <s v="900800595"/>
    <s v="Provexpress SAS"/>
    <s v="860512249"/>
    <x v="382"/>
    <n v="132768.01"/>
    <n v="0"/>
    <n v="0"/>
    <n v="831547.01"/>
    <s v="Aprobado con notificación"/>
    <s v="Emitido"/>
    <x v="0"/>
    <x v="0"/>
    <x v="1"/>
    <x v="0"/>
    <x v="1"/>
    <x v="0"/>
    <m/>
  </r>
  <r>
    <s v="Factura electrónica"/>
    <s v="e3c378682bd636ba09cc76682f66f41192a0073a068e30d018594319b8e3288ab55039b774d98e97181614fb95367ea0"/>
    <x v="1714"/>
    <n v="-1"/>
    <s v="FVE"/>
    <s v="20-02-2026"/>
    <s v="20-02-2026 15:58:22"/>
    <s v="900800595"/>
    <s v="Provexpress SAS"/>
    <s v="901847883"/>
    <x v="3"/>
    <n v="2594.4499999999998"/>
    <n v="0"/>
    <n v="0"/>
    <n v="16249.45"/>
    <s v="Aprobado con notificación"/>
    <s v="Emitido"/>
    <x v="1"/>
    <x v="0"/>
    <x v="1"/>
    <x v="0"/>
    <x v="0"/>
    <x v="0"/>
    <m/>
  </r>
  <r>
    <s v="Factura electrónica"/>
    <s v="24bcc5462368eaf02f7ce46ce7b1f7b3febf7822a53caa4100f7b75751e7aaee87e94b86740353d80f5394ec0f2b87dd"/>
    <x v="1715"/>
    <n v="-1"/>
    <s v="FVE"/>
    <s v="20-02-2026"/>
    <s v="20-02-2026 16:14:22"/>
    <s v="900800595"/>
    <s v="Provexpress SAS"/>
    <s v="900439672"/>
    <x v="452"/>
    <n v="27550"/>
    <n v="0"/>
    <n v="0"/>
    <n v="172550"/>
    <s v="Aprobado con notificación"/>
    <s v="Emitido"/>
    <x v="0"/>
    <x v="0"/>
    <x v="1"/>
    <x v="0"/>
    <x v="1"/>
    <x v="0"/>
    <m/>
  </r>
  <r>
    <s v="Factura electrónica"/>
    <s v="40aaf5e65a12e32388640e5a7599f27fde542eee85f0511ab689a95b9db4dee96bcd0114156416f0181eefb900b00c9c"/>
    <x v="1716"/>
    <n v="-1"/>
    <s v="FVE"/>
    <s v="20-02-2026"/>
    <s v="20-02-2026 16:14:25"/>
    <s v="900800595"/>
    <s v="Provexpress SAS"/>
    <s v="900439672"/>
    <x v="452"/>
    <n v="110200"/>
    <n v="0"/>
    <n v="0"/>
    <n v="690200"/>
    <s v="Aprobado con notificación"/>
    <s v="Emitido"/>
    <x v="1"/>
    <x v="0"/>
    <x v="1"/>
    <x v="0"/>
    <x v="0"/>
    <x v="0"/>
    <m/>
  </r>
  <r>
    <s v="Factura electrónica"/>
    <s v="a5cf6215c265317ae4e837f64c0653488cbcde53be0f41efee53ce2afc7b2a6927840d097e781707855608cab8c16cd5"/>
    <x v="1717"/>
    <n v="-1"/>
    <s v="FVE"/>
    <s v="20-02-2026"/>
    <s v="20-02-2026 16:14:29"/>
    <s v="900800595"/>
    <s v="Provexpress SAS"/>
    <s v="900439672"/>
    <x v="452"/>
    <n v="27550"/>
    <n v="0"/>
    <n v="0"/>
    <n v="172550"/>
    <s v="Aprobado con notificación"/>
    <s v="Emitido"/>
    <x v="0"/>
    <x v="0"/>
    <x v="1"/>
    <x v="0"/>
    <x v="1"/>
    <x v="0"/>
    <m/>
  </r>
  <r>
    <s v="Factura electrónica"/>
    <s v="58d2d35eaa29fb71b631f60ae6a11dabffa39e580794a89674aa8f44202befdd751c8b2345d3fbeb41ebb8b4d3a66a17"/>
    <x v="1718"/>
    <n v="-1"/>
    <s v="FVE"/>
    <s v="20-02-2026"/>
    <s v="20-02-2026 16:14:34"/>
    <s v="900800595"/>
    <s v="Provexpress SAS"/>
    <s v="860000452"/>
    <x v="118"/>
    <n v="4437098.5"/>
    <n v="0"/>
    <n v="0"/>
    <n v="27790248.5"/>
    <s v="Aprobado con notificación"/>
    <s v="Emitido"/>
    <x v="1"/>
    <x v="0"/>
    <x v="1"/>
    <x v="0"/>
    <x v="0"/>
    <x v="0"/>
    <m/>
  </r>
  <r>
    <s v="Factura electrónica"/>
    <s v="9a8247ca75e9c6c7bb7bc9572b8fd1540ea89ccc66d4f4edcdf2479739798afe69698d6ff4f22d88f20c6980d4512f23"/>
    <x v="1719"/>
    <n v="-1"/>
    <s v="FVE"/>
    <s v="20-02-2026"/>
    <s v="20-02-2026 16:14:38"/>
    <s v="900800595"/>
    <s v="Provexpress SAS"/>
    <s v="900423222"/>
    <x v="732"/>
    <n v="25555"/>
    <n v="0"/>
    <n v="0"/>
    <n v="160055"/>
    <s v="Aprobado con notificación"/>
    <s v="Emitido"/>
    <x v="0"/>
    <x v="0"/>
    <x v="1"/>
    <x v="0"/>
    <x v="1"/>
    <x v="0"/>
    <m/>
  </r>
  <r>
    <s v="Factura electrónica"/>
    <s v="ee2b487f00247be936ac782e0471bfed4d0f9359c221cfe8552d75aa658579b1f76ec9ddc30c124283db88d2fcf5a8a4"/>
    <x v="1720"/>
    <n v="-1"/>
    <s v="FVE"/>
    <s v="20-02-2026"/>
    <s v="20-02-2026 16:15:38"/>
    <s v="900800595"/>
    <s v="Provexpress SAS"/>
    <s v="830129327"/>
    <x v="490"/>
    <n v="25813704"/>
    <n v="0"/>
    <n v="0"/>
    <n v="161675304"/>
    <s v="Aprobado con notificación"/>
    <s v="Emitido"/>
    <x v="0"/>
    <x v="0"/>
    <x v="0"/>
    <x v="0"/>
    <x v="0"/>
    <x v="0"/>
    <m/>
  </r>
  <r>
    <s v="Factura electrónica"/>
    <s v="e55a643560887e8e063c0812c8c30f78835ab2231cb01743ac69254d5d7a492c7ac325d4901de0b5002f7e804ca92e43"/>
    <x v="1721"/>
    <n v="-1"/>
    <s v="FVE"/>
    <s v="20-02-2026"/>
    <s v="20-02-2026 16:15:36"/>
    <s v="900800595"/>
    <s v="Provexpress SAS"/>
    <s v="860052601"/>
    <x v="733"/>
    <n v="492670"/>
    <n v="0"/>
    <n v="0"/>
    <n v="3085670"/>
    <s v="Aprobado con notificación"/>
    <s v="Emitido"/>
    <x v="0"/>
    <x v="0"/>
    <x v="1"/>
    <x v="0"/>
    <x v="1"/>
    <x v="0"/>
    <m/>
  </r>
  <r>
    <s v="Factura electrónica"/>
    <s v="c1eb1a289aa42dd2ee0a26f7f28f27b8d37c05703dbdcfe4c513c6ae12fc97a9d394b73760cf07346d169e8ae40102ec"/>
    <x v="1722"/>
    <n v="-1"/>
    <s v="FVE"/>
    <s v="20-02-2026"/>
    <s v="20-02-2026 16:14:57"/>
    <s v="900800595"/>
    <s v="Provexpress SAS"/>
    <s v="900577604"/>
    <x v="734"/>
    <n v="495140"/>
    <n v="0"/>
    <n v="0"/>
    <n v="3101140"/>
    <s v="Aprobado con notificación"/>
    <s v="Emitido"/>
    <x v="0"/>
    <x v="0"/>
    <x v="1"/>
    <x v="0"/>
    <x v="1"/>
    <x v="0"/>
    <m/>
  </r>
  <r>
    <s v="Factura electrónica"/>
    <s v="6d1041b784c16b0b9a8f5d18c5714deb4050bee51b88ae664f4b3fbab769073e5eb855443496a7e6986edba173992f28"/>
    <x v="1723"/>
    <n v="-1"/>
    <s v="FVE"/>
    <s v="20-02-2026"/>
    <s v="20-02-2026 16:15:10"/>
    <s v="900800595"/>
    <s v="Provexpress SAS"/>
    <s v="900423222"/>
    <x v="732"/>
    <n v="34361.5"/>
    <n v="0"/>
    <n v="0"/>
    <n v="215211.5"/>
    <s v="Aprobado con notificación"/>
    <s v="Emitido"/>
    <x v="0"/>
    <x v="0"/>
    <x v="1"/>
    <x v="0"/>
    <x v="1"/>
    <x v="0"/>
    <m/>
  </r>
  <r>
    <s v="Factura electrónica"/>
    <s v="8a277f508023df71be70f08d31553286906293d744614683713f4ff7dbaf4c4aa214241df851712e14efa3e8450643cb"/>
    <x v="1724"/>
    <n v="-1"/>
    <s v="FVE"/>
    <s v="20-02-2026"/>
    <s v="20-02-2026 16:29:12"/>
    <s v="900800595"/>
    <s v="Provexpress SAS"/>
    <s v="900555485"/>
    <x v="425"/>
    <n v="0"/>
    <n v="0"/>
    <n v="0"/>
    <n v="4030360"/>
    <s v="Aprobado con notificación"/>
    <s v="Emitido"/>
    <x v="0"/>
    <x v="0"/>
    <x v="1"/>
    <x v="0"/>
    <x v="1"/>
    <x v="0"/>
    <m/>
  </r>
  <r>
    <s v="Factura electrónica"/>
    <s v="34d8bbce0351ca2b4a1d72351e5da68737e35995a339a5044b40914048c72c71dfcb8b3c9e9c095ab0fc2c9859dee203"/>
    <x v="1725"/>
    <n v="-1"/>
    <s v="FVE"/>
    <s v="20-02-2026"/>
    <s v="20-02-2026 16:29:16"/>
    <s v="900800595"/>
    <s v="Provexpress SAS"/>
    <s v="830121897"/>
    <x v="498"/>
    <n v="0"/>
    <n v="0"/>
    <n v="0"/>
    <n v="19800"/>
    <s v="Aprobado con notificación"/>
    <s v="Emitido"/>
    <x v="0"/>
    <x v="0"/>
    <x v="1"/>
    <x v="0"/>
    <x v="1"/>
    <x v="0"/>
    <m/>
  </r>
  <r>
    <s v="Factura electrónica"/>
    <s v="84ab719d8d840caff4fa25ae645cb2b9056c7a13ed563df69543829b09a301f4aa78b6523daae3ebdbaaaa001e36024e"/>
    <x v="1726"/>
    <n v="-1"/>
    <s v="FVE"/>
    <s v="23-02-2026"/>
    <s v="23-02-2026 07:35:00"/>
    <s v="900800595"/>
    <s v="Provexpress SAS"/>
    <s v="901122559"/>
    <x v="229"/>
    <n v="30590"/>
    <n v="0"/>
    <n v="0"/>
    <n v="191590"/>
    <s v="Aprobado con notificación"/>
    <s v="Emitido"/>
    <x v="1"/>
    <x v="0"/>
    <x v="1"/>
    <x v="0"/>
    <x v="0"/>
    <x v="0"/>
    <m/>
  </r>
  <r>
    <s v="Factura electrónica"/>
    <s v="b6e9ac2d87060abd1da5ae1316ed6f266d64c0acec692920533e2afdd9fe0c0215e61214e994b5976a72ecd7b2a71a7c"/>
    <x v="1727"/>
    <n v="-1"/>
    <s v="FVE"/>
    <s v="23-02-2026"/>
    <s v="23-02-2026 07:35:04"/>
    <s v="900800595"/>
    <s v="Provexpress SAS"/>
    <s v="901122559"/>
    <x v="229"/>
    <n v="3705"/>
    <n v="0"/>
    <n v="0"/>
    <n v="23205"/>
    <s v="Aprobado con notificación"/>
    <s v="Emitido"/>
    <x v="1"/>
    <x v="0"/>
    <x v="1"/>
    <x v="0"/>
    <x v="0"/>
    <x v="0"/>
    <m/>
  </r>
  <r>
    <s v="Factura electrónica"/>
    <s v="d4912e9307fefc23af639f43ba87f39aab04067efd490c51924069a7202b474ead6ec0b638cbf70c8fd3858f3f2572c8"/>
    <x v="1728"/>
    <n v="-1"/>
    <s v="FVE"/>
    <s v="23-02-2026"/>
    <s v="23-02-2026 07:35:09"/>
    <s v="900800595"/>
    <s v="Provexpress SAS"/>
    <s v="860000794"/>
    <x v="463"/>
    <n v="43700"/>
    <n v="0"/>
    <n v="0"/>
    <n v="273700"/>
    <s v="Aprobado con notificación"/>
    <s v="Emitido"/>
    <x v="0"/>
    <x v="0"/>
    <x v="1"/>
    <x v="0"/>
    <x v="1"/>
    <x v="0"/>
    <m/>
  </r>
  <r>
    <s v="Factura electrónica"/>
    <s v="e011140eff5cfe77d197bd9efb9e398dbe2ce0afe47836bd3f7fc2357a9db4597654a94b68c84975e7d57de095038ecb"/>
    <x v="1729"/>
    <n v="-1"/>
    <s v="FVE"/>
    <s v="23-02-2026"/>
    <s v="23-02-2026 08:35:19"/>
    <s v="900800595"/>
    <s v="Provexpress SAS"/>
    <s v="800161633"/>
    <x v="735"/>
    <n v="30536.799999999999"/>
    <n v="0"/>
    <n v="0"/>
    <n v="191256.8"/>
    <s v="Aprobado con notificación"/>
    <s v="Emitido"/>
    <x v="0"/>
    <x v="0"/>
    <x v="1"/>
    <x v="0"/>
    <x v="1"/>
    <x v="0"/>
    <m/>
  </r>
  <r>
    <s v="Factura electrónica"/>
    <s v="37442e7a3d19f9d8994ffd790bb5d0083637f4cf677245bb82432a93f0b0ee2af0916a72667725cf01430f160af9ca9c"/>
    <x v="1730"/>
    <n v="-1"/>
    <s v="FVE"/>
    <s v="23-02-2026"/>
    <s v="23-02-2026 08:35:24"/>
    <s v="900800595"/>
    <s v="Provexpress SAS"/>
    <s v="800161633"/>
    <x v="735"/>
    <n v="110386.32"/>
    <n v="0"/>
    <n v="0"/>
    <n v="767114.32"/>
    <s v="Aprobado con notificación"/>
    <s v="Emitido"/>
    <x v="0"/>
    <x v="0"/>
    <x v="1"/>
    <x v="0"/>
    <x v="1"/>
    <x v="0"/>
    <m/>
  </r>
  <r>
    <s v="Factura electrónica"/>
    <s v="bc8906ba06dbf990422d3ec8a355445f493198b7c32e557d9225c53d25e3a262f37d8861919e271fbf370ac981c50bda"/>
    <x v="1731"/>
    <n v="-1"/>
    <s v="FVE"/>
    <s v="23-02-2026"/>
    <s v="23-02-2026 08:50:30"/>
    <s v="900800595"/>
    <s v="Provexpress SAS"/>
    <s v="830120157"/>
    <x v="649"/>
    <n v="441056.18"/>
    <n v="0"/>
    <n v="0"/>
    <n v="2956678.18"/>
    <s v="Aprobado con notificación"/>
    <s v="Emitido"/>
    <x v="0"/>
    <x v="0"/>
    <x v="1"/>
    <x v="0"/>
    <x v="1"/>
    <x v="0"/>
    <m/>
  </r>
  <r>
    <s v="Factura electrónica"/>
    <s v="14807e9032ef45ae606d84f215f7e4a9d897e59ddb3632324a25709eb9c207d38afe8770bf6ec1c313dc9eaa19c7bf55"/>
    <x v="1732"/>
    <n v="-1"/>
    <s v="FVE"/>
    <s v="23-02-2026"/>
    <s v="23-02-2026 09:05:42"/>
    <s v="900800595"/>
    <s v="Provexpress SAS"/>
    <s v="860503634"/>
    <x v="736"/>
    <n v="1559459.47"/>
    <n v="0"/>
    <n v="0"/>
    <n v="63519020.890000001"/>
    <s v="Aprobado con notificación"/>
    <s v="Emitido"/>
    <x v="0"/>
    <x v="0"/>
    <x v="1"/>
    <x v="1"/>
    <x v="0"/>
    <x v="0"/>
    <m/>
  </r>
  <r>
    <s v="Factura electrónica"/>
    <s v="0c78fdc515b6d4d36e6b6b8237ee1c08f62a25c27439fabc4d77b05b98da957a189bbc5dbed189c426ce054d5486789a"/>
    <x v="1733"/>
    <n v="-1"/>
    <s v="FVE"/>
    <s v="23-02-2026"/>
    <s v="23-02-2026 10:06:06"/>
    <s v="900800595"/>
    <s v="Provexpress SAS"/>
    <s v="860007590"/>
    <x v="737"/>
    <n v="17100"/>
    <n v="0"/>
    <n v="0"/>
    <n v="107100"/>
    <s v="Aprobado con notificación"/>
    <s v="Emitido"/>
    <x v="0"/>
    <x v="0"/>
    <x v="1"/>
    <x v="0"/>
    <x v="1"/>
    <x v="0"/>
    <m/>
  </r>
  <r>
    <s v="Factura electrónica"/>
    <s v="8944c1f5bb413dccdda8add2df577674b57917086d66ca7867b2da19516cd6f0a27cd51375154c73f4ef556638955f9f"/>
    <x v="1734"/>
    <n v="-1"/>
    <s v="FVE"/>
    <s v="23-02-2026"/>
    <s v="23-02-2026 10:21:22"/>
    <s v="900800595"/>
    <s v="Provexpress SAS"/>
    <s v="860503634"/>
    <x v="736"/>
    <n v="11772316.67"/>
    <n v="0"/>
    <n v="0"/>
    <n v="73731878.090000004"/>
    <s v="Aprobado con notificación"/>
    <s v="Emitido"/>
    <x v="0"/>
    <x v="0"/>
    <x v="1"/>
    <x v="1"/>
    <x v="0"/>
    <x v="0"/>
    <m/>
  </r>
  <r>
    <s v="Factura electrónica"/>
    <s v="5f393ca53c09d577728ddbef9449697313a2a6ea760161f936e25a98e9edb010f580937f55064b21d5c4ac8f36c3ee96"/>
    <x v="1735"/>
    <n v="-1"/>
    <s v="FVE"/>
    <s v="23-02-2026"/>
    <s v="23-02-2026 10:36:28"/>
    <s v="900800595"/>
    <s v="Provexpress SAS"/>
    <s v="860522056"/>
    <x v="85"/>
    <n v="1520"/>
    <n v="0"/>
    <n v="0"/>
    <n v="9520"/>
    <s v="Aprobado con notificación"/>
    <s v="Emitido"/>
    <x v="1"/>
    <x v="0"/>
    <x v="1"/>
    <x v="0"/>
    <x v="0"/>
    <x v="0"/>
    <m/>
  </r>
  <r>
    <s v="Factura electrónica"/>
    <s v="99c42f9cdb31c918e4bba75a84c9a56d5cb82ca7d0e4c8da229335b89b3184700510e9daed03173270cd3680b307071e"/>
    <x v="1736"/>
    <n v="-1"/>
    <s v="FVE"/>
    <s v="23-02-2026"/>
    <s v="23-02-2026 10:36:33"/>
    <s v="900800595"/>
    <s v="Provexpress SAS"/>
    <s v="830035263"/>
    <x v="89"/>
    <n v="19000"/>
    <n v="0"/>
    <n v="0"/>
    <n v="119000"/>
    <s v="Aprobado con notificación"/>
    <s v="Emitido"/>
    <x v="0"/>
    <x v="0"/>
    <x v="1"/>
    <x v="0"/>
    <x v="1"/>
    <x v="0"/>
    <m/>
  </r>
  <r>
    <s v="Factura electrónica"/>
    <s v="c2efbec6a038789f114550ddebdbb6b15fbb17075b87d6723c1fac74c1531a8ce07f2b16393d08231aa3b429e2907019"/>
    <x v="1737"/>
    <n v="-1"/>
    <s v="FVE"/>
    <s v="23-02-2026"/>
    <s v="23-02-2026 10:51:39"/>
    <s v="900800595"/>
    <s v="Provexpress SAS"/>
    <s v="860513970"/>
    <x v="224"/>
    <n v="319200"/>
    <n v="0"/>
    <n v="0"/>
    <n v="1999200"/>
    <s v="Aprobado con notificación"/>
    <s v="Emitido"/>
    <x v="1"/>
    <x v="0"/>
    <x v="1"/>
    <x v="0"/>
    <x v="0"/>
    <x v="0"/>
    <m/>
  </r>
  <r>
    <s v="Factura electrónica"/>
    <s v="18f4b3df7acbbd7d454ac8b7fbc13bdb77cf6840870a18c989a3ea73061dd6d0f4383d43234c506129f777bedf3e995f"/>
    <x v="1738"/>
    <n v="-1"/>
    <s v="FVE"/>
    <s v="23-02-2026"/>
    <s v="23-02-2026 11:06:47"/>
    <s v="900800595"/>
    <s v="Provexpress SAS"/>
    <s v="1022437877"/>
    <x v="738"/>
    <n v="212412.4"/>
    <n v="0"/>
    <n v="0"/>
    <n v="1330372.3999999999"/>
    <s v="Aprobado con notificación"/>
    <s v="Emitido"/>
    <x v="0"/>
    <x v="0"/>
    <x v="1"/>
    <x v="0"/>
    <x v="1"/>
    <x v="0"/>
    <m/>
  </r>
  <r>
    <s v="Factura electrónica"/>
    <s v="3a6d1780ed2f16470e07d232f9ce2c76a22ca224e63f1ca90e77e3be9556193b4c1206d5fe24e9c76de2c1962787c027"/>
    <x v="1739"/>
    <n v="-1"/>
    <s v="FVE"/>
    <s v="23-02-2026"/>
    <s v="23-02-2026 11:06:52"/>
    <s v="900800595"/>
    <s v="Provexpress SAS"/>
    <s v="809012325"/>
    <x v="739"/>
    <n v="5985126.3499999996"/>
    <n v="0"/>
    <n v="0"/>
    <n v="37485791.350000001"/>
    <s v="Aprobado con notificación"/>
    <s v="Emitido"/>
    <x v="0"/>
    <x v="0"/>
    <x v="1"/>
    <x v="0"/>
    <x v="0"/>
    <x v="1"/>
    <s v="paga 27/02/2026"/>
  </r>
  <r>
    <s v="Factura electrónica"/>
    <s v="a730aabef7ac0d8653ae3668c74e9b5c925220009fcc02026fea994f658a5bbc6e3091dcf80005850f8c97a285203acf"/>
    <x v="1740"/>
    <n v="-1"/>
    <s v="FVE"/>
    <s v="23-02-2026"/>
    <s v="23-02-2026 11:37:04"/>
    <s v="900800595"/>
    <s v="Provexpress SAS"/>
    <s v="800174633"/>
    <x v="740"/>
    <n v="142500"/>
    <n v="0"/>
    <n v="0"/>
    <n v="892500"/>
    <s v="Aprobado con notificación"/>
    <s v="Emitido"/>
    <x v="1"/>
    <x v="0"/>
    <x v="1"/>
    <x v="0"/>
    <x v="0"/>
    <x v="0"/>
    <m/>
  </r>
  <r>
    <s v="Factura electrónica"/>
    <s v="a74a82afa7011594954427cae472fff83a298dd4467fe4e047de2d8ae9b07dc87478e1f15d7cc9962e202f9a68502b3b"/>
    <x v="1741"/>
    <n v="-1"/>
    <s v="FVE"/>
    <s v="23-02-2026"/>
    <s v="23-02-2026 11:52:10"/>
    <s v="900800595"/>
    <s v="Provexpress SAS"/>
    <s v="830041970"/>
    <x v="196"/>
    <n v="3670800"/>
    <n v="0"/>
    <n v="0"/>
    <n v="22990800"/>
    <s v="Aprobado con notificación"/>
    <s v="Emitido"/>
    <x v="0"/>
    <x v="0"/>
    <x v="1"/>
    <x v="0"/>
    <x v="1"/>
    <x v="0"/>
    <m/>
  </r>
  <r>
    <s v="Factura electrónica"/>
    <s v="ebf3a6f16758fdfe57419235dc81140fd4b6c744467029ae8d09ff521f1cdc9df492146cedeafae2987ccdf6cd0df671"/>
    <x v="1742"/>
    <n v="-1"/>
    <s v="FVE"/>
    <s v="23-02-2026"/>
    <s v="23-02-2026 12:07:31"/>
    <s v="900800595"/>
    <s v="Provexpress SAS"/>
    <s v="830050619"/>
    <x v="684"/>
    <n v="5030177.99"/>
    <n v="0"/>
    <n v="0"/>
    <n v="31504798.989999998"/>
    <s v="Aprobado con notificación"/>
    <s v="Emitido"/>
    <x v="0"/>
    <x v="0"/>
    <x v="1"/>
    <x v="0"/>
    <x v="1"/>
    <x v="0"/>
    <m/>
  </r>
  <r>
    <s v="Factura electrónica"/>
    <s v="41c67388872788a0d2a6f7f0e5f6be07460119bc075f1f962c1b08768558a09e340082cbff78a9bd957f7379d4489957"/>
    <x v="1743"/>
    <n v="-1"/>
    <s v="FVE"/>
    <s v="23-02-2026"/>
    <s v="23-02-2026 12:26:07"/>
    <s v="900800595"/>
    <s v="Provexpress SAS"/>
    <s v="800165377"/>
    <x v="741"/>
    <n v="0"/>
    <n v="0"/>
    <n v="0"/>
    <n v="8504848"/>
    <s v="Aprobado con notificación"/>
    <s v="Emitido"/>
    <x v="1"/>
    <x v="0"/>
    <x v="1"/>
    <x v="0"/>
    <x v="0"/>
    <x v="0"/>
    <m/>
  </r>
  <r>
    <s v="Factura electrónica"/>
    <s v="2a24a4e713456b47f190426911fef9826b74efbec00e9c356dd4f1635d123faaf905e5a479b6a177e6f295390a2e35ee"/>
    <x v="1744"/>
    <n v="-1"/>
    <s v="FVE"/>
    <s v="23-02-2026"/>
    <s v="23-02-2026 12:26:07"/>
    <s v="900800595"/>
    <s v="Provexpress SAS"/>
    <s v="901784106"/>
    <x v="742"/>
    <n v="136016.46"/>
    <n v="0"/>
    <n v="0"/>
    <n v="1612574.46"/>
    <s v="Aprobado con notificación"/>
    <s v="Emitido"/>
    <x v="0"/>
    <x v="0"/>
    <x v="1"/>
    <x v="0"/>
    <x v="1"/>
    <x v="0"/>
    <m/>
  </r>
  <r>
    <s v="Factura electrónica"/>
    <s v="b1733c23411f0ca9181612c6f53f39218928a41de391115115deb08518a72c6b23c8877ce4aad33161cdf14fc5ac6530"/>
    <x v="1745"/>
    <n v="-1"/>
    <s v="FVE"/>
    <s v="23-02-2026"/>
    <s v="23-02-2026 12:26:08"/>
    <s v="900800595"/>
    <s v="Provexpress SAS"/>
    <s v="900021547"/>
    <x v="202"/>
    <n v="189297"/>
    <n v="0"/>
    <n v="0"/>
    <n v="1185597"/>
    <s v="Aprobado con notificación"/>
    <s v="Emitido"/>
    <x v="0"/>
    <x v="0"/>
    <x v="1"/>
    <x v="0"/>
    <x v="1"/>
    <x v="0"/>
    <m/>
  </r>
  <r>
    <s v="Factura electrónica"/>
    <s v="e5102743885844d901a81e08ae29dd9a2afff1686880a967ebf02eb33e05606fc1089d77cd5f5cf94e5fa679c23ea069"/>
    <x v="1746"/>
    <n v="-1"/>
    <s v="FVE"/>
    <s v="23-02-2026"/>
    <s v="23-02-2026 12:26:15"/>
    <s v="900800595"/>
    <s v="Provexpress SAS"/>
    <s v="800151175"/>
    <x v="743"/>
    <n v="0"/>
    <n v="0"/>
    <n v="0"/>
    <n v="445000"/>
    <s v="Aprobado con notificación"/>
    <s v="Emitido"/>
    <x v="0"/>
    <x v="0"/>
    <x v="1"/>
    <x v="0"/>
    <x v="1"/>
    <x v="0"/>
    <m/>
  </r>
  <r>
    <s v="Factura electrónica"/>
    <s v="a85641c9805c6d30afa91614f97c0a1218d885445a4ff5b121f463d9192823037f6c6b659c69fdb8d549bb7b0998dda4"/>
    <x v="1747"/>
    <n v="-1"/>
    <s v="FVE"/>
    <s v="23-02-2026"/>
    <s v="23-02-2026 12:37:57"/>
    <s v="900800595"/>
    <s v="Provexpress SAS"/>
    <s v="900021547"/>
    <x v="202"/>
    <n v="49089"/>
    <n v="0"/>
    <n v="0"/>
    <n v="557189"/>
    <s v="Aprobado con notificación"/>
    <s v="Emitido"/>
    <x v="0"/>
    <x v="0"/>
    <x v="1"/>
    <x v="0"/>
    <x v="1"/>
    <x v="0"/>
    <m/>
  </r>
  <r>
    <s v="Factura electrónica"/>
    <s v="67971b9aafc1c2695b916bd0d40f795b44bde3d05fecc7508510d9b9acdc8c569377c7173c807515a50788cf68800fa0"/>
    <x v="1748"/>
    <n v="-1"/>
    <s v="FVE"/>
    <s v="23-02-2026"/>
    <s v="23-02-2026 12:38:02"/>
    <s v="900800595"/>
    <s v="Provexpress SAS"/>
    <s v="900021547"/>
    <x v="202"/>
    <n v="49875"/>
    <n v="0"/>
    <n v="0"/>
    <n v="312375"/>
    <s v="Aprobado con notificación"/>
    <s v="Emitido"/>
    <x v="0"/>
    <x v="0"/>
    <x v="1"/>
    <x v="0"/>
    <x v="1"/>
    <x v="0"/>
    <m/>
  </r>
  <r>
    <s v="Factura electrónica"/>
    <s v="f90aee2d8d3aa958392ea92ed26ca0a3d7e5653d919dfe8658a0c06dd6ed3523b0c9cd304e128cba6f938c6f8c119875"/>
    <x v="1749"/>
    <n v="-1"/>
    <s v="FVE"/>
    <s v="23-02-2026"/>
    <s v="23-02-2026 12:38:06"/>
    <s v="900800595"/>
    <s v="Provexpress SAS"/>
    <s v="900021547"/>
    <x v="202"/>
    <n v="6678.5"/>
    <n v="0"/>
    <n v="0"/>
    <n v="46678.5"/>
    <s v="Aprobado con notificación"/>
    <s v="Emitido"/>
    <x v="0"/>
    <x v="0"/>
    <x v="1"/>
    <x v="0"/>
    <x v="1"/>
    <x v="0"/>
    <m/>
  </r>
  <r>
    <s v="Factura electrónica"/>
    <s v="f2d01dc3c1a9da27dd63ff5f81701ca44139e07ed31b67819ad2270d18627dfbda73ad5f7c2d01bdbdeedef1f549f4e8"/>
    <x v="1750"/>
    <n v="-1"/>
    <s v="FVE"/>
    <s v="23-02-2026"/>
    <s v="23-02-2026 12:38:11"/>
    <s v="900800595"/>
    <s v="Provexpress SAS"/>
    <s v="900021547"/>
    <x v="202"/>
    <n v="60464"/>
    <n v="0"/>
    <n v="0"/>
    <n v="650264"/>
    <s v="Aprobado con notificación"/>
    <s v="Emitido"/>
    <x v="0"/>
    <x v="0"/>
    <x v="1"/>
    <x v="0"/>
    <x v="1"/>
    <x v="0"/>
    <m/>
  </r>
  <r>
    <s v="Factura electrónica"/>
    <s v="2a79b097069223ad3a32443cbc814e0fbbdbdd9115ced87e1e045ce04604585ff5814ac84514c96a8464999597aaf9f2"/>
    <x v="1751"/>
    <n v="-1"/>
    <s v="FVE"/>
    <s v="23-02-2026"/>
    <s v="23-02-2026 12:38:15"/>
    <s v="900800595"/>
    <s v="Provexpress SAS"/>
    <s v="901192317"/>
    <x v="370"/>
    <n v="348279.5"/>
    <n v="0"/>
    <n v="0"/>
    <n v="2181329.5"/>
    <s v="Aprobado con notificación"/>
    <s v="Emitido"/>
    <x v="0"/>
    <x v="0"/>
    <x v="1"/>
    <x v="0"/>
    <x v="1"/>
    <x v="0"/>
    <m/>
  </r>
  <r>
    <s v="Factura electrónica"/>
    <s v="28bdce054c7bff75269a28e89a8ad63a596966e896542beeb37ac76f5732523c6e439483900e424933b4cd6b0a0a8bd6"/>
    <x v="1752"/>
    <n v="-1"/>
    <s v="FVE"/>
    <s v="23-02-2026"/>
    <s v="23-02-2026 12:38:20"/>
    <s v="900800595"/>
    <s v="Provexpress SAS"/>
    <s v="817001672"/>
    <x v="64"/>
    <n v="29355"/>
    <n v="0"/>
    <n v="0"/>
    <n v="183855"/>
    <s v="Aprobado con notificación"/>
    <s v="Emitido"/>
    <x v="0"/>
    <x v="0"/>
    <x v="1"/>
    <x v="0"/>
    <x v="1"/>
    <x v="0"/>
    <m/>
  </r>
  <r>
    <s v="Factura electrónica"/>
    <s v="c425e1ef2274416f7cb80ad06bcbe22c554811ef67aadb47a6e51cdbc4b9d09310832c4f1bfc9554393f2fbb0d76a08e"/>
    <x v="1753"/>
    <n v="-1"/>
    <s v="FVE"/>
    <s v="23-02-2026"/>
    <s v="23-02-2026 12:38:24"/>
    <s v="900800595"/>
    <s v="Provexpress SAS"/>
    <s v="860509265"/>
    <x v="744"/>
    <n v="169100"/>
    <n v="0"/>
    <n v="0"/>
    <n v="1059100"/>
    <s v="Aprobado con notificación"/>
    <s v="Emitido"/>
    <x v="0"/>
    <x v="0"/>
    <x v="1"/>
    <x v="0"/>
    <x v="1"/>
    <x v="0"/>
    <m/>
  </r>
  <r>
    <s v="Factura electrónica"/>
    <s v="501444245877173a33b19ea7ed5538311aa9f81ce840eef2b651e4e04faec3c009180596e2cc90987fcbbe75855ffcd9"/>
    <x v="1754"/>
    <n v="-1"/>
    <s v="FVE"/>
    <s v="23-02-2026"/>
    <s v="23-02-2026 12:38:29"/>
    <s v="900800595"/>
    <s v="Provexpress SAS"/>
    <s v="860001576"/>
    <x v="462"/>
    <n v="51205"/>
    <n v="0"/>
    <n v="0"/>
    <n v="320705"/>
    <s v="Aprobado con notificación"/>
    <s v="Emitido"/>
    <x v="0"/>
    <x v="0"/>
    <x v="1"/>
    <x v="0"/>
    <x v="1"/>
    <x v="0"/>
    <m/>
  </r>
  <r>
    <s v="Factura electrónica"/>
    <s v="aefbf7a7f26a6e1c971e4b581e3d62d02e6c28a6ae1ee686c16ac821ca762dbc209fc457ce54e18f9428bd0989af0756"/>
    <x v="1755"/>
    <n v="-1"/>
    <s v="FVE"/>
    <s v="23-02-2026"/>
    <s v="23-02-2026 12:38:33"/>
    <s v="900800595"/>
    <s v="Provexpress SAS"/>
    <s v="860025111"/>
    <x v="745"/>
    <n v="67644"/>
    <n v="0"/>
    <n v="0"/>
    <n v="458444"/>
    <s v="Aprobado con notificación"/>
    <s v="Emitido"/>
    <x v="0"/>
    <x v="0"/>
    <x v="1"/>
    <x v="0"/>
    <x v="1"/>
    <x v="0"/>
    <m/>
  </r>
  <r>
    <s v="Factura electrónica"/>
    <s v="73061d667b61ddd2996737fa15b107216cb4569254f39b9f74189116ecdd2cc2b92ee160e9066fa5aae4470d83d52175"/>
    <x v="1756"/>
    <n v="-1"/>
    <s v="FVE"/>
    <s v="23-02-2026"/>
    <s v="23-02-2026 12:38:38"/>
    <s v="900800595"/>
    <s v="Provexpress SAS"/>
    <s v="860504882"/>
    <x v="300"/>
    <n v="102600"/>
    <n v="0"/>
    <n v="0"/>
    <n v="642600"/>
    <s v="Aprobado con notificación"/>
    <s v="Emitido"/>
    <x v="0"/>
    <x v="0"/>
    <x v="1"/>
    <x v="0"/>
    <x v="1"/>
    <x v="0"/>
    <m/>
  </r>
  <r>
    <s v="Factura electrónica"/>
    <s v="c18aab901278c0798c0b3c2bbf64da58a1c259699e85128d59af5b700ff9f7c036a227d9260d5bbee610829825e87880"/>
    <x v="1757"/>
    <n v="-1"/>
    <s v="FVE"/>
    <s v="23-02-2026"/>
    <s v="23-02-2026 12:53:44"/>
    <s v="900800595"/>
    <s v="Provexpress SAS"/>
    <s v="900439672"/>
    <x v="452"/>
    <n v="27550"/>
    <n v="0"/>
    <n v="0"/>
    <n v="172550"/>
    <s v="Aprobado con notificación"/>
    <s v="Emitido"/>
    <x v="0"/>
    <x v="0"/>
    <x v="1"/>
    <x v="0"/>
    <x v="1"/>
    <x v="0"/>
    <m/>
  </r>
  <r>
    <s v="Factura electrónica"/>
    <s v="2900223368c08dba5d56be0a0f259676cd26ab635eafdfefb6b315c28190ce1f99c4b83235798ede9cf932e06ce15106"/>
    <x v="1758"/>
    <n v="-1"/>
    <s v="FVE"/>
    <s v="23-02-2026"/>
    <s v="23-02-2026 12:53:48"/>
    <s v="900800595"/>
    <s v="Provexpress SAS"/>
    <s v="900439672"/>
    <x v="452"/>
    <n v="27550"/>
    <n v="0"/>
    <n v="0"/>
    <n v="172550"/>
    <s v="Aprobado con notificación"/>
    <s v="Emitido"/>
    <x v="0"/>
    <x v="0"/>
    <x v="1"/>
    <x v="0"/>
    <x v="1"/>
    <x v="0"/>
    <m/>
  </r>
  <r>
    <s v="Factura electrónica"/>
    <s v="31b32c9167e65183bee8e0db13f385010b4d4fc76f855fb375da6cae199c14d61e5d3c6c81a82b104c6fa5a502771883"/>
    <x v="1759"/>
    <n v="-1"/>
    <s v="FVE"/>
    <s v="23-02-2026"/>
    <s v="23-02-2026 12:53:53"/>
    <s v="900800595"/>
    <s v="Provexpress SAS"/>
    <s v="900439672"/>
    <x v="452"/>
    <n v="27550"/>
    <n v="0"/>
    <n v="0"/>
    <n v="172550"/>
    <s v="Aprobado con notificación"/>
    <s v="Emitido"/>
    <x v="0"/>
    <x v="0"/>
    <x v="1"/>
    <x v="0"/>
    <x v="1"/>
    <x v="0"/>
    <m/>
  </r>
  <r>
    <s v="Factura electrónica"/>
    <s v="3db37a43b958b491716ba255c66fde835d05ebce766fac52cd70c57e378617a2458aae9caa2fb76416f7b63d2eb7f79d"/>
    <x v="1760"/>
    <n v="-1"/>
    <s v="FVE"/>
    <s v="23-02-2026"/>
    <s v="23-02-2026 12:53:58"/>
    <s v="900800595"/>
    <s v="Provexpress SAS"/>
    <s v="900439672"/>
    <x v="452"/>
    <n v="27550"/>
    <n v="0"/>
    <n v="0"/>
    <n v="172550"/>
    <s v="Aprobado con notificación"/>
    <s v="Emitido"/>
    <x v="0"/>
    <x v="0"/>
    <x v="1"/>
    <x v="0"/>
    <x v="1"/>
    <x v="0"/>
    <m/>
  </r>
  <r>
    <s v="Factura electrónica"/>
    <s v="22f15dc41f8bc0e355966776c687efdb18379ceba939ece91977a5b5d2e6d5650543ce2a48c2593eb277b7cb9998596f"/>
    <x v="1761"/>
    <n v="-1"/>
    <s v="FVE"/>
    <s v="23-02-2026"/>
    <s v="23-02-2026 12:54:02"/>
    <s v="900800595"/>
    <s v="Provexpress SAS"/>
    <s v="806002953"/>
    <x v="215"/>
    <n v="60610"/>
    <n v="0"/>
    <n v="0"/>
    <n v="379610"/>
    <s v="Aprobado con notificación"/>
    <s v="Emitido"/>
    <x v="0"/>
    <x v="0"/>
    <x v="1"/>
    <x v="0"/>
    <x v="1"/>
    <x v="0"/>
    <m/>
  </r>
  <r>
    <s v="Factura electrónica"/>
    <s v="b8bb9e02a1a35f5b9b34b9f7bb5ea1d740791db713504ba287c874ccf613c06cc5bf5a8c7a77b3c4c563d0bb69932da0"/>
    <x v="1762"/>
    <n v="-1"/>
    <s v="FVE"/>
    <s v="23-02-2026"/>
    <s v="23-02-2026 12:54:07"/>
    <s v="900800595"/>
    <s v="Provexpress SAS"/>
    <s v="900192835"/>
    <x v="746"/>
    <n v="85693.8"/>
    <n v="0"/>
    <n v="0"/>
    <n v="618033.80000000005"/>
    <s v="Aprobado con notificación"/>
    <s v="Emitido"/>
    <x v="0"/>
    <x v="0"/>
    <x v="1"/>
    <x v="0"/>
    <x v="1"/>
    <x v="0"/>
    <m/>
  </r>
  <r>
    <s v="Factura electrónica"/>
    <s v="f987f7dcba66c68b8321cf9016655a87314360c560d63a56dea067cfa1acab177a9295c5f4667a226d1e9bd384f9ad40"/>
    <x v="1763"/>
    <n v="-1"/>
    <s v="FVE"/>
    <s v="23-02-2026"/>
    <s v="23-02-2026 13:09:13"/>
    <s v="900800595"/>
    <s v="Provexpress SAS"/>
    <s v="830059718"/>
    <x v="747"/>
    <n v="1176860"/>
    <n v="0"/>
    <n v="0"/>
    <n v="7370860"/>
    <s v="Aprobado con notificación"/>
    <s v="Emitido"/>
    <x v="1"/>
    <x v="0"/>
    <x v="1"/>
    <x v="0"/>
    <x v="0"/>
    <x v="0"/>
    <m/>
  </r>
  <r>
    <s v="Factura electrónica"/>
    <s v="54b368bacd457e6da84cd786e60c08cc7e59783ccf13a8ef4c18e6546bfe1582058b3b6628b526cc2ae48a4297a5be7e"/>
    <x v="1764"/>
    <n v="-1"/>
    <s v="FVE"/>
    <s v="23-02-2026"/>
    <s v="23-02-2026 14:09:24"/>
    <s v="900800595"/>
    <s v="Provexpress SAS"/>
    <s v="900396967"/>
    <x v="292"/>
    <n v="53200"/>
    <n v="0"/>
    <n v="0"/>
    <n v="333200"/>
    <s v="Aprobado con notificación"/>
    <s v="Emitido"/>
    <x v="0"/>
    <x v="0"/>
    <x v="1"/>
    <x v="0"/>
    <x v="1"/>
    <x v="0"/>
    <m/>
  </r>
  <r>
    <s v="Factura electrónica"/>
    <s v="69a96ae34337309a1f063a3bf38d546e97cc4454bef9cb2bf7865eec014b436484a61a1438b084c511abd7da0bb9fe2b"/>
    <x v="1765"/>
    <n v="-1"/>
    <s v="FVE"/>
    <s v="23-02-2026"/>
    <s v="23-02-2026 14:39:32"/>
    <s v="900800595"/>
    <s v="Provexpress SAS"/>
    <s v="830513729"/>
    <x v="748"/>
    <n v="206336.2"/>
    <n v="0"/>
    <n v="0"/>
    <n v="1292316.2"/>
    <s v="Aprobado con notificación"/>
    <s v="Emitido"/>
    <x v="0"/>
    <x v="0"/>
    <x v="1"/>
    <x v="0"/>
    <x v="1"/>
    <x v="0"/>
    <m/>
  </r>
  <r>
    <s v="Factura electrónica"/>
    <s v="e27309ff251074a75f1a7fe4565eb29e7fada5508215839a21a72bb836f24b18093a23df82b68fa3635b9ed1b15637e2"/>
    <x v="1766"/>
    <n v="-1"/>
    <s v="FVE"/>
    <s v="23-02-2026"/>
    <s v="23-02-2026 14:39:36"/>
    <s v="900800595"/>
    <s v="Provexpress SAS"/>
    <s v="860010799"/>
    <x v="749"/>
    <n v="67374"/>
    <n v="0"/>
    <n v="0"/>
    <n v="421974"/>
    <s v="Aprobado con notificación"/>
    <s v="Emitido"/>
    <x v="0"/>
    <x v="0"/>
    <x v="1"/>
    <x v="0"/>
    <x v="1"/>
    <x v="0"/>
    <m/>
  </r>
  <r>
    <s v="Factura electrónica"/>
    <s v="f654ee5225d2e9a247219684a0f4545f03e171b718b206549d0a7eefb3b5302d3ed8ba556680c2d0a452af2c082863a4"/>
    <x v="1767"/>
    <n v="-1"/>
    <s v="FVE"/>
    <s v="23-02-2026"/>
    <s v="23-02-2026 14:39:41"/>
    <s v="900800595"/>
    <s v="Provexpress SAS"/>
    <s v="830022818"/>
    <x v="192"/>
    <n v="27550"/>
    <n v="0"/>
    <n v="0"/>
    <n v="172550"/>
    <s v="Aprobado con notificación"/>
    <s v="Emitido"/>
    <x v="0"/>
    <x v="0"/>
    <x v="1"/>
    <x v="0"/>
    <x v="1"/>
    <x v="0"/>
    <m/>
  </r>
  <r>
    <s v="Factura electrónica"/>
    <s v="539109b7cb14f698bd89d34fa1d5f514f3918572ef6a58cac527f74684204f950cd8de6d73ddecd965b3952eebbdcdc0"/>
    <x v="1768"/>
    <n v="-1"/>
    <s v="FVE"/>
    <s v="23-02-2026"/>
    <s v="23-02-2026 14:39:45"/>
    <s v="900800595"/>
    <s v="Provexpress SAS"/>
    <s v="4180031"/>
    <x v="750"/>
    <n v="16764.650000000001"/>
    <n v="0"/>
    <n v="0"/>
    <n v="104999.65"/>
    <s v="Aprobado con notificación"/>
    <s v="Emitido"/>
    <x v="0"/>
    <x v="0"/>
    <x v="1"/>
    <x v="0"/>
    <x v="0"/>
    <x v="1"/>
    <s v="PAGA 26/02/2026"/>
  </r>
  <r>
    <s v="Factura electrónica"/>
    <s v="8e871954f0f239ff692c0e642fe7082ae46faa26855b6766358ff10deddd2da595d9d066374786702fc8a5f650b6cc65"/>
    <x v="1769"/>
    <n v="-1"/>
    <s v="FVE"/>
    <s v="23-02-2026"/>
    <s v="23-02-2026 14:39:50"/>
    <s v="900800595"/>
    <s v="Provexpress SAS"/>
    <s v="830047411"/>
    <x v="211"/>
    <n v="85871.64"/>
    <n v="0"/>
    <n v="0"/>
    <n v="537827.64"/>
    <s v="Aprobado con notificación"/>
    <s v="Emitido"/>
    <x v="0"/>
    <x v="0"/>
    <x v="1"/>
    <x v="0"/>
    <x v="1"/>
    <x v="0"/>
    <m/>
  </r>
  <r>
    <s v="Factura electrónica"/>
    <s v="e334804e7f2fa23e64ae8d03bce8ab58bafdb8fb9d72d6f35d056609aec1cdca6d20870ede9648249ed5b44d4ff03145"/>
    <x v="1770"/>
    <n v="-1"/>
    <s v="FVE"/>
    <s v="23-02-2026"/>
    <s v="23-02-2026 14:39:55"/>
    <s v="900800595"/>
    <s v="Provexpress SAS"/>
    <s v="900509172"/>
    <x v="439"/>
    <n v="54720"/>
    <n v="0"/>
    <n v="0"/>
    <n v="342720"/>
    <s v="Aprobado con notificación"/>
    <s v="Emitido"/>
    <x v="0"/>
    <x v="0"/>
    <x v="1"/>
    <x v="0"/>
    <x v="1"/>
    <x v="0"/>
    <m/>
  </r>
  <r>
    <s v="Factura electrónica"/>
    <s v="1c367aceba22f64fb17500d195468425d562934d045d117f7aef313cd226c657c3311fe8d840fda0bb2271d5f7a9cd43"/>
    <x v="1771"/>
    <n v="-1"/>
    <s v="FVE"/>
    <s v="23-02-2026"/>
    <s v="23-02-2026 14:39:59"/>
    <s v="900800595"/>
    <s v="Provexpress SAS"/>
    <s v="860513970"/>
    <x v="224"/>
    <n v="57000"/>
    <n v="0"/>
    <n v="0"/>
    <n v="357000"/>
    <s v="Aprobado con notificación"/>
    <s v="Emitido"/>
    <x v="1"/>
    <x v="0"/>
    <x v="1"/>
    <x v="0"/>
    <x v="0"/>
    <x v="0"/>
    <m/>
  </r>
  <r>
    <s v="Factura electrónica"/>
    <s v="df1e8ae4f2f2fd7b334316563af6d3b3a86cc6e1841fca3cb2817da649393e1c0183765af3ecace826559bdd44027348"/>
    <x v="1772"/>
    <n v="-1"/>
    <s v="FVE"/>
    <s v="23-02-2026"/>
    <s v="23-02-2026 14:55:06"/>
    <s v="900800595"/>
    <s v="Provexpress SAS"/>
    <s v="800250918"/>
    <x v="751"/>
    <n v="51376"/>
    <n v="0"/>
    <n v="0"/>
    <n v="321776"/>
    <s v="Aprobado con notificación"/>
    <s v="Emitido"/>
    <x v="0"/>
    <x v="0"/>
    <x v="1"/>
    <x v="0"/>
    <x v="0"/>
    <x v="1"/>
    <s v="PAGA 27/02/2026"/>
  </r>
  <r>
    <s v="Factura electrónica"/>
    <s v="f7d8b5867661ab36123848f4fd3222eecfe1bbd1bef2eed1d01b9dd75dd1069b3d876022e987d52572b6d27eda9ada09"/>
    <x v="1773"/>
    <n v="-1"/>
    <s v="FVE"/>
    <s v="23-02-2026"/>
    <s v="23-02-2026 14:55:11"/>
    <s v="900800595"/>
    <s v="Provexpress SAS"/>
    <s v="860524163"/>
    <x v="171"/>
    <n v="107671.8"/>
    <n v="0"/>
    <n v="0"/>
    <n v="714891.8"/>
    <s v="Aprobado con notificación"/>
    <s v="Emitido"/>
    <x v="0"/>
    <x v="0"/>
    <x v="1"/>
    <x v="0"/>
    <x v="1"/>
    <x v="0"/>
    <m/>
  </r>
  <r>
    <s v="Factura electrónica"/>
    <s v="37b6683ea4432734875f87910c1da81a74b2a7128dffa145725b3c7f3bf4f82060d2fd68f4ae4b9c71fe1adbe05985fb"/>
    <x v="1774"/>
    <n v="-1"/>
    <s v="FVE"/>
    <s v="23-02-2026"/>
    <s v="23-02-2026 14:55:15"/>
    <s v="900800595"/>
    <s v="Provexpress SAS"/>
    <s v="860510863"/>
    <x v="47"/>
    <n v="8550"/>
    <n v="0"/>
    <n v="0"/>
    <n v="67050"/>
    <s v="Aprobado con notificación"/>
    <s v="Emitido"/>
    <x v="0"/>
    <x v="0"/>
    <x v="1"/>
    <x v="0"/>
    <x v="1"/>
    <x v="0"/>
    <m/>
  </r>
  <r>
    <s v="Factura electrónica"/>
    <s v="b94aa123e70489cd133d531cc7fb70920ee454ea065bb38284ae04701bff6bc789ff539f990d1f415c9c46f6e04385fc"/>
    <x v="1775"/>
    <n v="-1"/>
    <s v="FVE"/>
    <s v="23-02-2026"/>
    <s v="23-02-2026 14:55:20"/>
    <s v="900800595"/>
    <s v="Provexpress SAS"/>
    <s v="830047411"/>
    <x v="211"/>
    <n v="17011.080000000002"/>
    <n v="0"/>
    <n v="0"/>
    <n v="106543.08"/>
    <s v="Aprobado con notificación"/>
    <s v="Emitido"/>
    <x v="0"/>
    <x v="0"/>
    <x v="1"/>
    <x v="0"/>
    <x v="1"/>
    <x v="0"/>
    <m/>
  </r>
  <r>
    <s v="Factura electrónica"/>
    <s v="76104d3c6dc9eca0af654fb3fe86d89e228992261cf0e0dc38ffb2974a37ed5819feb645b46ac5e0051a01af9375d0d9"/>
    <x v="1776"/>
    <n v="-1"/>
    <s v="FVE"/>
    <s v="23-02-2026"/>
    <s v="23-02-2026 15:11:39"/>
    <s v="900800595"/>
    <s v="Provexpress SAS"/>
    <s v="800210556"/>
    <x v="324"/>
    <n v="0"/>
    <n v="0"/>
    <n v="0"/>
    <n v="12408167.08"/>
    <s v="Aprobado con notificación"/>
    <s v="Emitido"/>
    <x v="0"/>
    <x v="0"/>
    <x v="1"/>
    <x v="0"/>
    <x v="1"/>
    <x v="0"/>
    <m/>
  </r>
  <r>
    <s v="Factura electrónica"/>
    <s v="e7021a5c38986620b3d0915fe5b85ff2c9cb3c29eb719eb40aa71065ca3cf3904492be9c67779231712878382633160d"/>
    <x v="1777"/>
    <n v="-1"/>
    <s v="FVE"/>
    <s v="23-02-2026"/>
    <s v="23-02-2026 15:11:49"/>
    <s v="900800595"/>
    <s v="Provexpress SAS"/>
    <s v="901303824"/>
    <x v="752"/>
    <n v="1314534"/>
    <n v="0"/>
    <n v="0"/>
    <n v="8233134"/>
    <s v="Aprobado con notificación"/>
    <s v="Emitido"/>
    <x v="0"/>
    <x v="0"/>
    <x v="1"/>
    <x v="0"/>
    <x v="1"/>
    <x v="0"/>
    <m/>
  </r>
  <r>
    <s v="Factura electrónica"/>
    <s v="c5b2dd171dc01f7a7028c6c9d9fbfbc624f05acdfab647551b7cacb41214d2e87508faa3695e656c3e892e40decb0b2d"/>
    <x v="1778"/>
    <n v="3"/>
    <s v="FVE"/>
    <s v="23-02-2026"/>
    <s v="23-02-2026 15:11:50"/>
    <s v="900800595"/>
    <s v="Provexpress SAS"/>
    <s v="890112475"/>
    <x v="180"/>
    <n v="555161"/>
    <n v="0"/>
    <n v="0"/>
    <n v="3477061"/>
    <s v="Aprobado con notificación"/>
    <s v="Emitido"/>
    <x v="0"/>
    <x v="0"/>
    <x v="1"/>
    <x v="0"/>
    <x v="1"/>
    <x v="0"/>
    <m/>
  </r>
  <r>
    <s v="Factura electrónica"/>
    <s v="b94aa123e70489cd133d531cc7fb70920ee454ea065bb38284ae04701bff6bc789ff539f990d1f415c9c46f6e04385fc"/>
    <x v="1775"/>
    <n v="-1"/>
    <s v="FVE"/>
    <s v="23-02-2026"/>
    <s v="23-02-2026 14:55:20"/>
    <s v="900800595"/>
    <s v="Provexpress SAS"/>
    <s v="830047411"/>
    <x v="211"/>
    <n v="17011.080000000002"/>
    <n v="0"/>
    <n v="0"/>
    <n v="106543.08"/>
    <s v="Aprobado con notificación"/>
    <s v="Emitido"/>
    <x v="0"/>
    <x v="0"/>
    <x v="1"/>
    <x v="0"/>
    <x v="1"/>
    <x v="0"/>
    <m/>
  </r>
  <r>
    <s v="Factura electrónica"/>
    <s v="76104d3c6dc9eca0af654fb3fe86d89e228992261cf0e0dc38ffb2974a37ed5819feb645b46ac5e0051a01af9375d0d9"/>
    <x v="1776"/>
    <n v="-1"/>
    <s v="FVE"/>
    <s v="23-02-2026"/>
    <s v="23-02-2026 15:11:39"/>
    <s v="900800595"/>
    <s v="Provexpress SAS"/>
    <s v="800210556"/>
    <x v="324"/>
    <n v="0"/>
    <n v="0"/>
    <n v="0"/>
    <n v="12408167.08"/>
    <s v="Aprobado con notificación"/>
    <s v="Emitido"/>
    <x v="0"/>
    <x v="0"/>
    <x v="1"/>
    <x v="0"/>
    <x v="1"/>
    <x v="0"/>
    <m/>
  </r>
  <r>
    <s v="Factura electrónica"/>
    <s v="e7021a5c38986620b3d0915fe5b85ff2c9cb3c29eb719eb40aa71065ca3cf3904492be9c67779231712878382633160d"/>
    <x v="1777"/>
    <n v="-1"/>
    <s v="FVE"/>
    <s v="23-02-2026"/>
    <s v="23-02-2026 15:11:49"/>
    <s v="900800595"/>
    <s v="Provexpress SAS"/>
    <s v="901303824"/>
    <x v="752"/>
    <n v="1314534"/>
    <n v="0"/>
    <n v="0"/>
    <n v="8233134"/>
    <s v="Aprobado con notificación"/>
    <s v="Emitido"/>
    <x v="0"/>
    <x v="0"/>
    <x v="1"/>
    <x v="0"/>
    <x v="1"/>
    <x v="0"/>
    <m/>
  </r>
  <r>
    <s v="Factura electrónica"/>
    <s v="c5b2dd171dc01f7a7028c6c9d9fbfbc624f05acdfab647551b7cacb41214d2e87508faa3695e656c3e892e40decb0b2d"/>
    <x v="1778"/>
    <n v="-1"/>
    <s v="FVE"/>
    <s v="23-02-2026"/>
    <s v="23-02-2026 15:11:50"/>
    <s v="900800595"/>
    <s v="Provexpress SAS"/>
    <s v="890112475"/>
    <x v="180"/>
    <n v="555161"/>
    <n v="0"/>
    <n v="0"/>
    <n v="3477061"/>
    <s v="Aprobado con notificación"/>
    <s v="Emitido"/>
    <x v="0"/>
    <x v="0"/>
    <x v="1"/>
    <x v="0"/>
    <x v="1"/>
    <x v="0"/>
    <m/>
  </r>
  <r>
    <s v="Factura electrónica"/>
    <s v="fe2debf24906feb1c5aa39a07d4d7b92476121f889579438ae50ea65ab9b569fefb9fbcfbaf59937637df7dea1a1f16d"/>
    <x v="1779"/>
    <n v="-1"/>
    <s v="FVE"/>
    <s v="23-02-2026"/>
    <s v="23-02-2026 15:25:42"/>
    <s v="900800595"/>
    <s v="Provexpress SAS"/>
    <s v="900095054"/>
    <x v="666"/>
    <n v="149729"/>
    <n v="0"/>
    <n v="0"/>
    <n v="1291829"/>
    <s v="Aprobado con notificación"/>
    <s v="Emitido"/>
    <x v="0"/>
    <x v="0"/>
    <x v="1"/>
    <x v="0"/>
    <x v="1"/>
    <x v="0"/>
    <m/>
  </r>
  <r>
    <s v="Factura electrónica"/>
    <s v="5d7dee7efce43d6d24417f1179d87154bbfd42130bcfef6b4bb4758e6cd9f6a251e3c70c74f26d20acafe5952ba96575"/>
    <x v="1780"/>
    <n v="-1"/>
    <s v="FVE"/>
    <s v="23-02-2026"/>
    <s v="23-02-2026 15:55:50"/>
    <s v="900800595"/>
    <s v="Provexpress SAS"/>
    <s v="860006848"/>
    <x v="316"/>
    <n v="24213.98"/>
    <n v="0"/>
    <n v="0"/>
    <n v="248038.98"/>
    <s v="Aprobado con notificación"/>
    <s v="Emitido"/>
    <x v="0"/>
    <x v="0"/>
    <x v="1"/>
    <x v="0"/>
    <x v="1"/>
    <x v="0"/>
    <m/>
  </r>
  <r>
    <s v="Factura electrónica"/>
    <s v="5487e198e4ea56b7de1621ef3e87993c3d5354d0b7a885e67586e269e2bead221726724407efdaf47af3ec3f614fb5fe"/>
    <x v="1781"/>
    <n v="-1"/>
    <s v="FVE"/>
    <s v="23-02-2026"/>
    <s v="23-02-2026 15:55:55"/>
    <s v="900800595"/>
    <s v="Provexpress SAS"/>
    <s v="900860858"/>
    <x v="547"/>
    <n v="39931.54"/>
    <n v="0"/>
    <n v="0"/>
    <n v="250097.54"/>
    <s v="Aprobado con notificación"/>
    <s v="Emitido"/>
    <x v="0"/>
    <x v="0"/>
    <x v="1"/>
    <x v="0"/>
    <x v="1"/>
    <x v="0"/>
    <m/>
  </r>
  <r>
    <s v="Factura electrónica"/>
    <s v="7ae480dccafad9f8f4bafb54d5561338bba46d74ab38b644bb154d59aa31a05b0bec1509225596ee7f883a99470ef9b1"/>
    <x v="1782"/>
    <n v="-1"/>
    <s v="FVE"/>
    <s v="23-02-2026"/>
    <s v="23-02-2026 15:55:59"/>
    <s v="900800595"/>
    <s v="Provexpress SAS"/>
    <s v="900610518"/>
    <x v="327"/>
    <n v="3590380.6"/>
    <n v="0"/>
    <n v="0"/>
    <n v="22487120.600000001"/>
    <s v="Aprobado con notificación"/>
    <s v="Emitido"/>
    <x v="0"/>
    <x v="0"/>
    <x v="1"/>
    <x v="0"/>
    <x v="1"/>
    <x v="0"/>
    <m/>
  </r>
  <r>
    <s v="Factura electrónica"/>
    <s v="df9d3b0666509f742aeddcd0f5a297c93b6a075abdc4d8e6c0f8d8a59ea4db7ab91a9e4ef128206640806ab8e920ade4"/>
    <x v="1783"/>
    <n v="-1"/>
    <s v="FVE"/>
    <s v="23-02-2026"/>
    <s v="23-02-2026 15:56:03"/>
    <s v="900800595"/>
    <s v="Provexpress SAS"/>
    <s v="860074358"/>
    <x v="504"/>
    <n v="142500"/>
    <n v="0"/>
    <n v="0"/>
    <n v="892500"/>
    <s v="Aprobado con notificación"/>
    <s v="Emitido"/>
    <x v="0"/>
    <x v="0"/>
    <x v="1"/>
    <x v="0"/>
    <x v="1"/>
    <x v="0"/>
    <m/>
  </r>
  <r>
    <s v="Factura electrónica"/>
    <s v="c0626561f12adf3002331e07881c28957fa9fae0a2e9d9374a4999af8f0d48dc7e6e8a2d52ccce34fa60602a4a27a050"/>
    <x v="1784"/>
    <n v="-1"/>
    <s v="FVE"/>
    <s v="23-02-2026"/>
    <s v="23-02-2026 15:56:08"/>
    <s v="900800595"/>
    <s v="Provexpress SAS"/>
    <s v="830068502"/>
    <x v="753"/>
    <n v="0"/>
    <n v="0"/>
    <n v="0"/>
    <n v="2191227"/>
    <s v="Aprobado con notificación"/>
    <s v="Emitido"/>
    <x v="0"/>
    <x v="0"/>
    <x v="1"/>
    <x v="0"/>
    <x v="0"/>
    <x v="1"/>
    <s v="FACTURA PAGA 2/02/2026"/>
  </r>
  <r>
    <s v="Factura electrónica"/>
    <s v="61f56594eb2967828e0c0b7f74353f65e581bc180ed8a92aef59cf685c7bd69eef43e569d035158604311dc715e472a1"/>
    <x v="1785"/>
    <n v="-1"/>
    <s v="FVE"/>
    <s v="23-02-2026"/>
    <s v="23-02-2026 16:11:19"/>
    <s v="900800595"/>
    <s v="Provexpress SAS"/>
    <s v="800155413"/>
    <x v="640"/>
    <n v="0"/>
    <n v="0"/>
    <n v="0"/>
    <n v="1234200"/>
    <s v="Aprobado con notificación"/>
    <s v="Emitido"/>
    <x v="0"/>
    <x v="0"/>
    <x v="1"/>
    <x v="0"/>
    <x v="0"/>
    <x v="1"/>
    <s v="PAGA 2/02/2026"/>
  </r>
  <r>
    <s v="Factura electrónica"/>
    <s v="7c53381dbe3a96799ace150f2e4afce221776436c2d36c9021a586b9a8129bc747da9e664819be234b0328c1d26d8936"/>
    <x v="1786"/>
    <n v="-1"/>
    <s v="FVE"/>
    <s v="23-02-2026"/>
    <s v="23-02-2026 16:11:24"/>
    <s v="900800595"/>
    <s v="Provexpress SAS"/>
    <s v="900204158"/>
    <x v="754"/>
    <n v="40916.5"/>
    <n v="0"/>
    <n v="0"/>
    <n v="256266.5"/>
    <s v="Aprobado con notificación"/>
    <s v="Emitido"/>
    <x v="0"/>
    <x v="0"/>
    <x v="1"/>
    <x v="0"/>
    <x v="1"/>
    <x v="0"/>
    <m/>
  </r>
  <r>
    <s v="Factura electrónica"/>
    <s v="4f49f090b8fef757b13488d1429c87279c3e5477e4331cb6ee18ffdd9aafd723560fc6cb7e0355a44602ead97e2de01d"/>
    <x v="1787"/>
    <n v="-1"/>
    <s v="FVE"/>
    <s v="23-02-2026"/>
    <s v="23-02-2026 16:11:28"/>
    <s v="900800595"/>
    <s v="Provexpress SAS"/>
    <s v="890300279"/>
    <x v="755"/>
    <n v="163807461.46000001"/>
    <n v="0"/>
    <n v="0"/>
    <n v="1025951995.46"/>
    <s v="Aprobado con notificación"/>
    <s v="Emitido"/>
    <x v="0"/>
    <x v="0"/>
    <x v="1"/>
    <x v="0"/>
    <x v="1"/>
    <x v="0"/>
    <m/>
  </r>
  <r>
    <s v="Factura electrónica"/>
    <s v="2a6b07ad1a5dc270dacc8e6bcf63aab5c5c7df5ded0d5856a531a018b72bbbba87907f08c86e0288223522d5a90c4083"/>
    <x v="1788"/>
    <n v="-1"/>
    <s v="FVE"/>
    <s v="23-02-2026"/>
    <s v="23-02-2026 16:11:33"/>
    <s v="900800595"/>
    <s v="Provexpress SAS"/>
    <s v="900270083"/>
    <x v="756"/>
    <n v="371204.71"/>
    <n v="0"/>
    <n v="0"/>
    <n v="2324913.71"/>
    <s v="Aprobado con notificación"/>
    <s v="Emitido"/>
    <x v="0"/>
    <x v="0"/>
    <x v="1"/>
    <x v="0"/>
    <x v="1"/>
    <x v="0"/>
    <m/>
  </r>
  <r>
    <s v="Factura electrónica"/>
    <s v="253de591e3f2a842bbf4f0596fdd93e808d9b39fc072395ae0d9b88fa91bf8b090b61b1fe4fb6f8ce2287eac72df8bfc"/>
    <x v="1789"/>
    <n v="-1"/>
    <s v="FVE"/>
    <s v="23-02-2026"/>
    <s v="23-02-2026 16:11:38"/>
    <s v="900800595"/>
    <s v="Provexpress SAS"/>
    <s v="830106265"/>
    <x v="102"/>
    <n v="854951.55"/>
    <n v="0"/>
    <n v="0"/>
    <n v="5355846.55"/>
    <s v="Aprobado con notificación"/>
    <s v="Emitido"/>
    <x v="0"/>
    <x v="0"/>
    <x v="1"/>
    <x v="0"/>
    <x v="1"/>
    <x v="0"/>
    <m/>
  </r>
  <r>
    <s v="Factura electrónica"/>
    <s v="5591f14995e76dca34cbcf021c40fe2ae2310a7fca5f74fc1f22290a4dcb7e799d77df24e3d5c6056f841c32d77799f1"/>
    <x v="1790"/>
    <n v="-1"/>
    <s v="FVE"/>
    <s v="23-02-2026"/>
    <s v="23-02-2026 16:11:42"/>
    <s v="900800595"/>
    <s v="Provexpress SAS"/>
    <s v="900419840"/>
    <x v="757"/>
    <n v="456000"/>
    <n v="0"/>
    <n v="0"/>
    <n v="2856000"/>
    <s v="Aprobado con notificación"/>
    <s v="Emitido"/>
    <x v="0"/>
    <x v="0"/>
    <x v="1"/>
    <x v="0"/>
    <x v="1"/>
    <x v="0"/>
    <m/>
  </r>
  <r>
    <s v="Factura electrónica"/>
    <s v="6e97e6dc612588e4f61a40ec52fc9807afda0d26cf9733d97697448e26581a9536e8a9bd6923cbd77715156931709e8b"/>
    <x v="1791"/>
    <n v="-1"/>
    <s v="FVE"/>
    <s v="23-02-2026"/>
    <s v="23-02-2026 16:26:51"/>
    <s v="900800595"/>
    <s v="Provexpress SAS"/>
    <s v="900419840"/>
    <x v="757"/>
    <n v="481460"/>
    <n v="0"/>
    <n v="0"/>
    <n v="3015460"/>
    <s v="Aprobado con notificación"/>
    <s v="Emitido"/>
    <x v="0"/>
    <x v="0"/>
    <x v="1"/>
    <x v="0"/>
    <x v="1"/>
    <x v="0"/>
    <m/>
  </r>
  <r>
    <s v="Factura electrónica"/>
    <s v="64380fe15edd8416e53395c6691430416ec60d17d3a092def8918bbd1893f62be8d207e88923a1e4953da340bd94b1be"/>
    <x v="1792"/>
    <n v="-1"/>
    <s v="FVE"/>
    <s v="23-02-2026"/>
    <s v="23-02-2026 16:26:57"/>
    <s v="900800595"/>
    <s v="Provexpress SAS"/>
    <s v="901648017"/>
    <x v="758"/>
    <n v="19000"/>
    <n v="0"/>
    <n v="0"/>
    <n v="119000"/>
    <s v="Aprobado con notificación"/>
    <s v="Emitido"/>
    <x v="0"/>
    <x v="0"/>
    <x v="1"/>
    <x v="0"/>
    <x v="0"/>
    <x v="1"/>
    <s v="PAGA 2/03/2026"/>
  </r>
  <r>
    <s v="Factura electrónica"/>
    <s v="1d81de7a2ab3abf2132f9eb00ceee1b155c6bd8ef0096ef18f92585e7650be1aeba30ef77ee1fb58290b40efb501f250"/>
    <x v="1793"/>
    <n v="-1"/>
    <s v="FVE"/>
    <s v="23-02-2026"/>
    <s v="23-02-2026 16:27:01"/>
    <s v="900800595"/>
    <s v="Provexpress SAS"/>
    <s v="830033825"/>
    <x v="396"/>
    <n v="87400"/>
    <n v="0"/>
    <n v="0"/>
    <n v="547400"/>
    <s v="Aprobado con notificación"/>
    <s v="Emitido"/>
    <x v="0"/>
    <x v="0"/>
    <x v="1"/>
    <x v="0"/>
    <x v="1"/>
    <x v="0"/>
    <m/>
  </r>
  <r>
    <s v="Factura electrónica"/>
    <s v="b5f332820610cb876cd1f71c8f691671d04cff84636272e021ea25e35eb0c73113a42e81ff6ab9dd0e9686e3efb21507"/>
    <x v="1794"/>
    <n v="-1"/>
    <s v="FVE"/>
    <s v="24-02-2026"/>
    <s v="24-02-2026 08:43:46"/>
    <s v="900800595"/>
    <s v="Provexpress SAS"/>
    <s v="860006626"/>
    <x v="759"/>
    <n v="3724000"/>
    <n v="0"/>
    <n v="0"/>
    <n v="23324000"/>
    <s v="Aprobado con notificación"/>
    <s v="Emitido"/>
    <x v="0"/>
    <x v="0"/>
    <x v="1"/>
    <x v="0"/>
    <x v="1"/>
    <x v="0"/>
    <m/>
  </r>
  <r>
    <s v="Factura electrónica"/>
    <s v="f63ff8731e1f3dc32da95648ca82894a59c7c57ee843bf6c65b55673252dac7e256d4e0d756083aa50111ac2507cf98a"/>
    <x v="1795"/>
    <n v="-1"/>
    <s v="FVE"/>
    <s v="24-02-2026"/>
    <s v="24-02-2026 08:58:53"/>
    <s v="900800595"/>
    <s v="Provexpress SAS"/>
    <s v="891903392"/>
    <x v="111"/>
    <n v="151620"/>
    <n v="0"/>
    <n v="0"/>
    <n v="949620"/>
    <s v="Aprobado con notificación"/>
    <s v="Emitido"/>
    <x v="0"/>
    <x v="0"/>
    <x v="1"/>
    <x v="0"/>
    <x v="1"/>
    <x v="0"/>
    <m/>
  </r>
  <r>
    <s v="Factura electrónica"/>
    <s v="bd3226daee77d773b9b41e2566584bf2f573f2b237539968f790032a60e4c7df6c0bc3fb34605c5f14a4e6902a15e572"/>
    <x v="1796"/>
    <n v="-1"/>
    <s v="FVE"/>
    <s v="24-02-2026"/>
    <s v="24-02-2026 09:59:08"/>
    <s v="900800595"/>
    <s v="Provexpress SAS"/>
    <s v="900750483"/>
    <x v="760"/>
    <n v="96770.89"/>
    <n v="0"/>
    <n v="0"/>
    <n v="743415.89"/>
    <s v="Aprobado con notificación"/>
    <s v="Emitido"/>
    <x v="0"/>
    <x v="0"/>
    <x v="1"/>
    <x v="0"/>
    <x v="1"/>
    <x v="0"/>
    <m/>
  </r>
  <r>
    <s v="Factura electrónica"/>
    <s v="1274c92304a8ec1fcd20a25895f308f216455ddb972b1c9a1f02f21c50bad2a12dc66b41ca5051e11fd2260ed6133c53"/>
    <x v="1797"/>
    <n v="-1"/>
    <s v="FVE"/>
    <s v="24-02-2026"/>
    <s v="24-02-2026 09:59:09"/>
    <s v="900800595"/>
    <s v="Provexpress SAS"/>
    <s v="900027833"/>
    <x v="761"/>
    <n v="2507240"/>
    <n v="0"/>
    <n v="0"/>
    <n v="15703240"/>
    <s v="Aprobado con notificación"/>
    <s v="Emitido"/>
    <x v="0"/>
    <x v="0"/>
    <x v="1"/>
    <x v="0"/>
    <x v="1"/>
    <x v="0"/>
    <m/>
  </r>
  <r>
    <s v="Factura electrónica"/>
    <s v="5fc282842b79fc00dc6a0ba7b104d7e4e57270a2530b2324b819df490fcc110b6a5a3b68e53bd057f6f4da03e0e81d89"/>
    <x v="1798"/>
    <n v="-1"/>
    <s v="FVE"/>
    <s v="24-02-2026"/>
    <s v="24-02-2026 09:59:12"/>
    <s v="900800595"/>
    <s v="Provexpress SAS"/>
    <s v="830094312"/>
    <x v="676"/>
    <n v="94867"/>
    <n v="0"/>
    <n v="0"/>
    <n v="594167"/>
    <s v="Aprobado con notificación"/>
    <s v="Emitido"/>
    <x v="0"/>
    <x v="0"/>
    <x v="1"/>
    <x v="0"/>
    <x v="1"/>
    <x v="0"/>
    <m/>
  </r>
  <r>
    <s v="Factura electrónica"/>
    <s v="b46f84e552918ed04f2de027b3677376c23d7044da3f336b61248bd95aba6830ee1e1310085320441d8cab4ea14686e3"/>
    <x v="1799"/>
    <n v="-1"/>
    <s v="FVE"/>
    <s v="24-02-2026"/>
    <s v="24-02-2026 09:59:16"/>
    <s v="900800595"/>
    <s v="Provexpress SAS"/>
    <s v="800216181"/>
    <x v="762"/>
    <n v="228570"/>
    <n v="0"/>
    <n v="0"/>
    <n v="1431570"/>
    <s v="Aprobado con notificación"/>
    <s v="Emitido"/>
    <x v="0"/>
    <x v="0"/>
    <x v="1"/>
    <x v="0"/>
    <x v="1"/>
    <x v="0"/>
    <m/>
  </r>
  <r>
    <s v="Factura electrónica"/>
    <s v="25abbe6dfb91bd796ee9cee248a850872b469baca9f1f940527b9302d63ce1c8d1532bba4aa6df6cb88b22339d89a986"/>
    <x v="1800"/>
    <n v="-1"/>
    <s v="FVE"/>
    <s v="24-02-2026"/>
    <s v="24-02-2026 10:14:32"/>
    <s v="900800595"/>
    <s v="Provexpress SAS"/>
    <s v="800194600"/>
    <x v="763"/>
    <n v="513270.75"/>
    <n v="0"/>
    <n v="0"/>
    <n v="3214695.75"/>
    <s v="Aprobado con notificación"/>
    <s v="Emitido"/>
    <x v="0"/>
    <x v="0"/>
    <x v="1"/>
    <x v="0"/>
    <x v="1"/>
    <x v="0"/>
    <m/>
  </r>
  <r>
    <s v="Factura electrónica"/>
    <s v="21f3de494b08950fb7e6fe2a431d1ef4379e5faffe1c2b385282320262f85ebaccd0841b14652adf72ed422f541e5a8e"/>
    <x v="1801"/>
    <n v="-1"/>
    <s v="FVE"/>
    <s v="24-02-2026"/>
    <s v="24-02-2026 10:14:37"/>
    <s v="900800595"/>
    <s v="Provexpress SAS"/>
    <s v="900355936"/>
    <x v="764"/>
    <n v="68562.45"/>
    <n v="0"/>
    <n v="0"/>
    <n v="429417.45"/>
    <s v="Aprobado con notificación"/>
    <s v="Emitido"/>
    <x v="0"/>
    <x v="0"/>
    <x v="1"/>
    <x v="0"/>
    <x v="1"/>
    <x v="0"/>
    <m/>
  </r>
  <r>
    <s v="Factura electrónica"/>
    <s v="b3d29e561069ff398befcbeb53461a2dfe379059bb273298ce0143abdc731ec749fcf4e962e115302a75f7b2d0050ac6"/>
    <x v="1802"/>
    <n v="-1"/>
    <s v="FVE"/>
    <s v="24-02-2026"/>
    <s v="24-02-2026 10:29:44"/>
    <s v="900800595"/>
    <s v="Provexpress SAS"/>
    <s v="900354637"/>
    <x v="567"/>
    <n v="56760.6"/>
    <n v="0"/>
    <n v="0"/>
    <n v="717552.6"/>
    <s v="Aprobado con notificación"/>
    <s v="Emitido"/>
    <x v="0"/>
    <x v="0"/>
    <x v="1"/>
    <x v="0"/>
    <x v="1"/>
    <x v="0"/>
    <m/>
  </r>
  <r>
    <s v="Factura electrónica"/>
    <s v="37fa0affa8c6c30cc384da3f2353ef12c6d711be2d4d6804c0ac71840bed1c4341e5ae0b06de40a27808d67c7da9eea7"/>
    <x v="1803"/>
    <n v="-1"/>
    <s v="FVE"/>
    <s v="24-02-2026"/>
    <s v="24-02-2026 10:44:59"/>
    <s v="900800595"/>
    <s v="Provexpress SAS"/>
    <s v="800194600"/>
    <x v="763"/>
    <n v="24662"/>
    <n v="0"/>
    <n v="0"/>
    <n v="154462"/>
    <s v="Aprobado con notificación"/>
    <s v="Emitido"/>
    <x v="0"/>
    <x v="0"/>
    <x v="1"/>
    <x v="0"/>
    <x v="1"/>
    <x v="0"/>
    <m/>
  </r>
  <r>
    <s v="Factura electrónica"/>
    <s v="2994b2caf36596a28c7673dff4cdb27443b8d920d3bc4d02f84e85a699e06f7e7d82c6ed21f1d8b564d999375ad57dfc"/>
    <x v="1804"/>
    <n v="-1"/>
    <s v="FVE"/>
    <s v="24-02-2026"/>
    <s v="24-02-2026 10:44:59"/>
    <s v="900800595"/>
    <s v="Provexpress SAS"/>
    <s v="800171338"/>
    <x v="765"/>
    <n v="151620"/>
    <n v="0"/>
    <n v="0"/>
    <n v="949620"/>
    <s v="Aprobado con notificación"/>
    <s v="Emitido"/>
    <x v="0"/>
    <x v="0"/>
    <x v="1"/>
    <x v="0"/>
    <x v="1"/>
    <x v="0"/>
    <m/>
  </r>
  <r>
    <s v="Factura electrónica"/>
    <s v="b139e4d8d5829f29d946576de3a971ecfdc8f9aba4a5284cce5985d2650974fce116adce0dc72d30336f2dbdc102d67b"/>
    <x v="1805"/>
    <n v="-1"/>
    <s v="FVE"/>
    <s v="24-02-2026"/>
    <s v="24-02-2026 10:45:00"/>
    <s v="900800595"/>
    <s v="Provexpress SAS"/>
    <s v="900449844"/>
    <x v="77"/>
    <n v="1052220"/>
    <n v="0"/>
    <n v="0"/>
    <n v="6590220"/>
    <s v="Aprobado con notificación"/>
    <s v="Emitido"/>
    <x v="0"/>
    <x v="0"/>
    <x v="1"/>
    <x v="0"/>
    <x v="1"/>
    <x v="0"/>
    <m/>
  </r>
  <r>
    <s v="Factura electrónica"/>
    <s v="53569d2f1a8eeb3e1d2a110e3b363efb11ce079d466c7a93753217abcfd2cada0d67bfee37653a11d0d0fb323fdec00d"/>
    <x v="1806"/>
    <n v="-1"/>
    <s v="FVE"/>
    <s v="24-02-2026"/>
    <s v="24-02-2026 12:16:20"/>
    <s v="900800595"/>
    <s v="Provexpress SAS"/>
    <s v="830092675"/>
    <x v="480"/>
    <n v="848046"/>
    <n v="0"/>
    <n v="0"/>
    <n v="5311446"/>
    <s v="Aprobado con notificación"/>
    <s v="Emitido"/>
    <x v="0"/>
    <x v="0"/>
    <x v="1"/>
    <x v="0"/>
    <x v="1"/>
    <x v="0"/>
    <m/>
  </r>
  <r>
    <s v="Factura electrónica"/>
    <s v="2936433f4bbec6adb435a4a32ac0085c830b2fa851eade94233c9f482bbe20b8d7255ff50c726e2392c5a2536dbe38a6"/>
    <x v="1807"/>
    <n v="-1"/>
    <s v="FVE"/>
    <s v="24-02-2026"/>
    <s v="24-02-2026 10:45:06"/>
    <s v="900800595"/>
    <s v="Provexpress SAS"/>
    <s v="838000257"/>
    <x v="766"/>
    <n v="107965.03"/>
    <n v="0"/>
    <n v="0"/>
    <n v="676202.03"/>
    <s v="Aprobado con notificación"/>
    <s v="Emitido"/>
    <x v="0"/>
    <x v="0"/>
    <x v="1"/>
    <x v="0"/>
    <x v="1"/>
    <x v="0"/>
    <m/>
  </r>
  <r>
    <s v="Factura electrónica"/>
    <s v="c272ea56a26a7ce525c32a7e8f6aed7cead7a3e6865154f9ca4c4324d3c1ed3814ac7e7563d468a0b4b7d7afa9a029da"/>
    <x v="1808"/>
    <n v="-1"/>
    <s v="FVE"/>
    <s v="24-02-2026"/>
    <s v="24-02-2026 10:45:11"/>
    <s v="900800595"/>
    <s v="Provexpress SAS"/>
    <s v="900132714"/>
    <x v="208"/>
    <n v="46791.3"/>
    <n v="0"/>
    <n v="0"/>
    <n v="327485.3"/>
    <s v="Aprobado con notificación"/>
    <s v="Emitido"/>
    <x v="0"/>
    <x v="0"/>
    <x v="1"/>
    <x v="0"/>
    <x v="1"/>
    <x v="0"/>
    <m/>
  </r>
  <r>
    <s v="Factura electrónica"/>
    <s v="3b3f7870e0c3ccf01068d27990b4e65f31a1d347d906cb6487375e553e47cec37209eb07d197513aa2f391fca495bc3b"/>
    <x v="1809"/>
    <n v="-1"/>
    <s v="FVE"/>
    <s v="24-02-2026"/>
    <s v="24-02-2026 10:45:15"/>
    <s v="900800595"/>
    <s v="Provexpress SAS"/>
    <s v="900132714"/>
    <x v="208"/>
    <n v="13300"/>
    <n v="0"/>
    <n v="0"/>
    <n v="83300"/>
    <s v="Aprobado con notificación"/>
    <s v="Emitido"/>
    <x v="0"/>
    <x v="0"/>
    <x v="1"/>
    <x v="0"/>
    <x v="1"/>
    <x v="0"/>
    <m/>
  </r>
  <r>
    <s v="Factura electrónica"/>
    <s v="460b116cdde2d040f3b361391e7c788b66bedc361f509c86c73f1887a950ad043b3f31a2dfd0648f586e75ad30475353"/>
    <x v="1810"/>
    <n v="-1"/>
    <s v="FVE"/>
    <s v="24-02-2026"/>
    <s v="24-02-2026 10:45:20"/>
    <s v="900800595"/>
    <s v="Provexpress SAS"/>
    <s v="830000687"/>
    <x v="392"/>
    <n v="358159.57"/>
    <n v="0"/>
    <n v="0"/>
    <n v="2465522.5699999998"/>
    <s v="Aprobado con notificación"/>
    <s v="Emitido"/>
    <x v="0"/>
    <x v="0"/>
    <x v="1"/>
    <x v="0"/>
    <x v="1"/>
    <x v="0"/>
    <m/>
  </r>
  <r>
    <s v="Factura electrónica"/>
    <s v="cb65b49b2b54266ac15bcd9fd59b85cc8002d38e5a294845d2e6e2a424673cb99341e39b1e360b84663ab1953ee7a8c9"/>
    <x v="1811"/>
    <n v="-1"/>
    <s v="FVE"/>
    <s v="24-02-2026"/>
    <s v="24-02-2026 11:00:27"/>
    <s v="900800595"/>
    <s v="Provexpress SAS"/>
    <s v="900396965"/>
    <x v="197"/>
    <n v="916750"/>
    <n v="0"/>
    <n v="0"/>
    <n v="5741750"/>
    <s v="Aprobado con notificación"/>
    <s v="Emitido"/>
    <x v="0"/>
    <x v="0"/>
    <x v="1"/>
    <x v="0"/>
    <x v="1"/>
    <x v="0"/>
    <m/>
  </r>
  <r>
    <s v="Factura electrónica"/>
    <s v="c6ac4c8b0b3defea92fc3910fbe589651349f50b0bf681608c408696239b0b7e76ec957dabba0ea2bf40c44402139373"/>
    <x v="1812"/>
    <n v="-1"/>
    <s v="FVE"/>
    <s v="24-02-2026"/>
    <s v="24-02-2026 11:00:31"/>
    <s v="900800595"/>
    <s v="Provexpress SAS"/>
    <s v="900283577"/>
    <x v="521"/>
    <n v="3828500"/>
    <n v="0"/>
    <n v="0"/>
    <n v="23978500"/>
    <s v="Aprobado con notificación"/>
    <s v="Emitido"/>
    <x v="0"/>
    <x v="0"/>
    <x v="1"/>
    <x v="0"/>
    <x v="1"/>
    <x v="0"/>
    <m/>
  </r>
  <r>
    <s v="Factura electrónica"/>
    <s v="8c5d5c4878f1d36e7ac5b086e8e5e0db4e09f49d0e6262c3e8946596ef68ed313eb578644285aab24c38941cd6135919"/>
    <x v="1813"/>
    <n v="-1"/>
    <s v="FVE"/>
    <s v="24-02-2026"/>
    <s v="24-02-2026 11:00:36"/>
    <s v="900800595"/>
    <s v="Provexpress SAS"/>
    <s v="800241469"/>
    <x v="48"/>
    <n v="51300"/>
    <n v="0"/>
    <n v="0"/>
    <n v="321300"/>
    <s v="Aprobado con notificación"/>
    <s v="Emitido"/>
    <x v="0"/>
    <x v="0"/>
    <x v="1"/>
    <x v="0"/>
    <x v="0"/>
    <x v="1"/>
    <s v="PAGO 2/03/2026"/>
  </r>
  <r>
    <s v="Factura electrónica"/>
    <s v="d6c113790d013da99b206c2e4253cedbe2a5adea2bfb706eeda92b193fcce2ed542809e097dbc59e105418d1af2c11d3"/>
    <x v="1814"/>
    <n v="-1"/>
    <s v="FVE"/>
    <s v="24-02-2026"/>
    <s v="24-02-2026 11:30:44"/>
    <s v="900800595"/>
    <s v="Provexpress SAS"/>
    <s v="860016322"/>
    <x v="421"/>
    <n v="180373.27"/>
    <n v="0"/>
    <n v="0"/>
    <n v="1129706.27"/>
    <s v="Aprobado con notificación"/>
    <s v="Emitido"/>
    <x v="0"/>
    <x v="0"/>
    <x v="1"/>
    <x v="0"/>
    <x v="1"/>
    <x v="0"/>
    <m/>
  </r>
  <r>
    <s v="Factura electrónica"/>
    <s v="6bcb518778ad9399dfea0891f57d8dfa4c4bc109f73c83db4f08eafca33dd30a9f732c2c5c2e3a3092de2b26277e785a"/>
    <x v="1815"/>
    <n v="-1"/>
    <s v="FVE"/>
    <s v="24-02-2026"/>
    <s v="24-02-2026 11:30:49"/>
    <s v="900800595"/>
    <s v="Provexpress SAS"/>
    <s v="901281572"/>
    <x v="141"/>
    <n v="2185000"/>
    <n v="0"/>
    <n v="0"/>
    <n v="13685000"/>
    <s v="Aprobado con notificación"/>
    <s v="Emitido"/>
    <x v="0"/>
    <x v="0"/>
    <x v="1"/>
    <x v="0"/>
    <x v="1"/>
    <x v="0"/>
    <m/>
  </r>
  <r>
    <s v="Factura electrónica"/>
    <s v="fe994688be52d761ff8f3c6ef4ba69a2bc9113468f47a49b8f70a3c2f8c8de7fae9fb569c885c2a2058021dca1de9005"/>
    <x v="1816"/>
    <n v="-1"/>
    <s v="FVE"/>
    <s v="24-02-2026"/>
    <s v="24-02-2026 11:30:54"/>
    <s v="900800595"/>
    <s v="Provexpress SAS"/>
    <s v="901108023"/>
    <x v="455"/>
    <n v="0"/>
    <n v="0"/>
    <n v="0"/>
    <n v="3353945"/>
    <s v="Aprobado con notificación"/>
    <s v="Emitido"/>
    <x v="0"/>
    <x v="0"/>
    <x v="1"/>
    <x v="0"/>
    <x v="1"/>
    <x v="0"/>
    <m/>
  </r>
  <r>
    <s v="Factura electrónica"/>
    <s v="b9e4d8a7fb5cb3d50c24f3d27ff59070a3ff4dd5feb74a14da4bb3e858a70656979b729d9a2d751af17e82944a69f7fa"/>
    <x v="1817"/>
    <n v="-1"/>
    <s v="FVE"/>
    <s v="24-02-2026"/>
    <s v="24-02-2026 11:30:58"/>
    <s v="900800595"/>
    <s v="Provexpress SAS"/>
    <s v="1556972022015"/>
    <x v="767"/>
    <n v="0"/>
    <n v="0"/>
    <n v="0"/>
    <n v="2369000"/>
    <s v="Aprobado con notificación"/>
    <s v="Emitido"/>
    <x v="0"/>
    <x v="0"/>
    <x v="1"/>
    <x v="0"/>
    <x v="1"/>
    <x v="0"/>
    <m/>
  </r>
  <r>
    <s v="Factura electrónica"/>
    <s v="ea8d1c8af1f70d3f6b8c92f9080ca9d69a4f6a534485d0e2115d086671377c5447b84b4b77677e54bcd644be3abedd68"/>
    <x v="1818"/>
    <n v="-1"/>
    <s v="FVE"/>
    <s v="24-02-2026"/>
    <s v="24-02-2026 11:31:03"/>
    <s v="900800595"/>
    <s v="Provexpress SAS"/>
    <s v="24735641815229"/>
    <x v="665"/>
    <n v="0"/>
    <n v="0"/>
    <n v="0"/>
    <n v="7107000"/>
    <s v="Aprobado con notificación"/>
    <s v="Emitido"/>
    <x v="0"/>
    <x v="0"/>
    <x v="1"/>
    <x v="0"/>
    <x v="0"/>
    <x v="1"/>
    <s v="PAGA 25/02/2026"/>
  </r>
  <r>
    <s v="Factura electrónica"/>
    <s v="4f5d9396dd2abdd2aa86e048cccb85e3e5f8edc013d592b9757fe4f84aa8f128038adeaaba004bcf19d2b28bd8d16032"/>
    <x v="1819"/>
    <n v="-1"/>
    <s v="FVE"/>
    <s v="24-02-2026"/>
    <s v="24-02-2026 11:46:12"/>
    <s v="900800595"/>
    <s v="Provexpress SAS"/>
    <s v="900095054"/>
    <x v="666"/>
    <n v="275965.5"/>
    <n v="0"/>
    <n v="0"/>
    <n v="1729715.5"/>
    <s v="Aprobado con notificación"/>
    <s v="Emitido"/>
    <x v="0"/>
    <x v="0"/>
    <x v="1"/>
    <x v="0"/>
    <x v="1"/>
    <x v="0"/>
    <m/>
  </r>
  <r>
    <s v="Factura electrónica"/>
    <s v="fef24f426afc147fad6ebfca19dbf8aa210bb5d33d651c430d2d2f7e21e38dd3f8aded7f1b55cdfe3c959f58b7aff0b5"/>
    <x v="1820"/>
    <n v="-1"/>
    <s v="FVE"/>
    <s v="24-02-2026"/>
    <s v="24-02-2026 12:31:25"/>
    <s v="900800595"/>
    <s v="Provexpress SAS"/>
    <s v="830110734"/>
    <x v="768"/>
    <n v="15770916.75"/>
    <n v="0"/>
    <n v="0"/>
    <n v="98775741.75"/>
    <s v="Aprobado con notificación"/>
    <s v="Emitido"/>
    <x v="0"/>
    <x v="0"/>
    <x v="1"/>
    <x v="0"/>
    <x v="1"/>
    <x v="0"/>
    <m/>
  </r>
  <r>
    <s v="Factura electrónica"/>
    <s v="3695fa67600e610614bf36c0cf0f8a2733464a23266b4f18d7871668111c8c4e9f7495687e7d01d5ba3eb0e2a1ffd6d2"/>
    <x v="1821"/>
    <n v="-1"/>
    <s v="FVE"/>
    <s v="24-02-2026"/>
    <s v="24-02-2026 12:31:30"/>
    <s v="900800595"/>
    <s v="Provexpress SAS"/>
    <s v="830133183"/>
    <x v="663"/>
    <n v="1802910"/>
    <n v="0"/>
    <n v="0"/>
    <n v="11291910"/>
    <s v="Aprobado con notificación"/>
    <s v="Emitido"/>
    <x v="0"/>
    <x v="0"/>
    <x v="1"/>
    <x v="0"/>
    <x v="0"/>
    <x v="1"/>
    <s v="PAGA 27/02/2026"/>
  </r>
  <r>
    <s v="Factura electrónica"/>
    <s v="751868dcc57a029d873114bad37d46a8af814ac7dfc512d14824f7828caffedbef612d8dadf6dd36711549b5d773407f"/>
    <x v="1822"/>
    <n v="-1"/>
    <s v="FVE"/>
    <s v="24-02-2026"/>
    <s v="24-02-2026 12:46:37"/>
    <s v="900800595"/>
    <s v="Provexpress SAS"/>
    <s v="900704566"/>
    <x v="254"/>
    <n v="99826.95"/>
    <n v="0"/>
    <n v="0"/>
    <n v="625231.94999999995"/>
    <s v="Aprobado con notificación"/>
    <s v="Emitido"/>
    <x v="0"/>
    <x v="0"/>
    <x v="1"/>
    <x v="0"/>
    <x v="1"/>
    <x v="0"/>
    <m/>
  </r>
  <r>
    <s v="Factura electrónica"/>
    <s v="c7de2fb69d9ba8a45adec1a3a3454c908d3a799471d16df4cef915de76b431810e76ca6b090153f5208e29183cc9b454"/>
    <x v="1823"/>
    <n v="-1"/>
    <s v="FVE"/>
    <s v="24-02-2026"/>
    <s v="24-02-2026 12:46:41"/>
    <s v="900800595"/>
    <s v="Provexpress SAS"/>
    <s v="830051740"/>
    <x v="769"/>
    <n v="90202.5"/>
    <n v="0"/>
    <n v="0"/>
    <n v="564952.5"/>
    <s v="Aprobado con notificación"/>
    <s v="Emitido"/>
    <x v="0"/>
    <x v="0"/>
    <x v="1"/>
    <x v="0"/>
    <x v="1"/>
    <x v="0"/>
    <m/>
  </r>
  <r>
    <s v="Factura electrónica"/>
    <s v="864434e5ccadf22bb49db90ec4e337e31b3f6dae2c302b39a7266becbe14678ea9a2447fbd4daa5c2548a4de8353d722"/>
    <x v="1824"/>
    <n v="-1"/>
    <s v="FVE"/>
    <s v="24-02-2026"/>
    <s v="24-02-2026 13:01:48"/>
    <s v="900800595"/>
    <s v="Provexpress SAS"/>
    <s v="901485363"/>
    <x v="770"/>
    <n v="193414.3"/>
    <n v="0"/>
    <n v="0"/>
    <n v="1211384.3"/>
    <s v="Aprobado con notificación"/>
    <s v="Emitido"/>
    <x v="0"/>
    <x v="0"/>
    <x v="1"/>
    <x v="0"/>
    <x v="1"/>
    <x v="0"/>
    <m/>
  </r>
  <r>
    <s v="Factura electrónica"/>
    <s v="282ae19e0985c344c5abe3aee7e1f3e764d0e8fa91c42890da4f41aa2fc46c168ee62c28fa3bd007da94716178b743d3"/>
    <x v="1825"/>
    <n v="-1"/>
    <s v="FVE"/>
    <s v="24-02-2026"/>
    <s v="24-02-2026 14:17:21"/>
    <s v="900800595"/>
    <s v="Provexpress SAS"/>
    <s v="890112475"/>
    <x v="180"/>
    <n v="2861526.92"/>
    <n v="0"/>
    <n v="0"/>
    <n v="17922194.920000002"/>
    <s v="Aprobado con notificación"/>
    <s v="Emitido"/>
    <x v="0"/>
    <x v="0"/>
    <x v="1"/>
    <x v="0"/>
    <x v="1"/>
    <x v="0"/>
    <m/>
  </r>
  <r>
    <s v="Factura electrónica"/>
    <s v="9004fa107c6f714fed5297b8b73fd081088b8ad19d82f65eb97bee2c6c1f79b996813740699b1b387544a8939f0b8256"/>
    <x v="1826"/>
    <n v="-1"/>
    <s v="FVE"/>
    <s v="24-02-2026"/>
    <s v="24-02-2026 14:32:24"/>
    <s v="900800595"/>
    <s v="Provexpress SAS"/>
    <s v="860508392"/>
    <x v="724"/>
    <n v="199500"/>
    <n v="0"/>
    <n v="0"/>
    <n v="10149500"/>
    <s v="Aprobado con notificación"/>
    <s v="Emitido"/>
    <x v="0"/>
    <x v="0"/>
    <x v="1"/>
    <x v="0"/>
    <x v="1"/>
    <x v="0"/>
    <m/>
  </r>
  <r>
    <s v="Factura electrónica"/>
    <s v="a4475322211a28db272b1d7e262e6fb462b3fcfcb2554b3ef9dbd6b97cfb747b43faa6994006123656304b312d514a36"/>
    <x v="1827"/>
    <n v="-1"/>
    <s v="FVE"/>
    <s v="24-02-2026"/>
    <s v="24-02-2026 14:32:29"/>
    <s v="900800595"/>
    <s v="Provexpress SAS"/>
    <s v="830033206"/>
    <x v="454"/>
    <n v="137560"/>
    <n v="0"/>
    <n v="0"/>
    <n v="861560"/>
    <s v="Aprobado con notificación"/>
    <s v="Emitido"/>
    <x v="0"/>
    <x v="0"/>
    <x v="1"/>
    <x v="0"/>
    <x v="1"/>
    <x v="0"/>
    <m/>
  </r>
  <r>
    <s v="Factura electrónica"/>
    <s v="258df16a6379e9be1bf1336271d8138ed741cb0b000f020f1caa5a9707d4a5060dc9711997e2536dd870c4d2a4f0c0fe"/>
    <x v="1828"/>
    <n v="-1"/>
    <s v="FVE"/>
    <s v="24-02-2026"/>
    <s v="24-02-2026 14:32:33"/>
    <s v="900800595"/>
    <s v="Provexpress SAS"/>
    <s v="830040378"/>
    <x v="400"/>
    <n v="349708.3"/>
    <n v="0"/>
    <n v="0"/>
    <n v="2216198.2999999998"/>
    <s v="Aprobado con notificación"/>
    <s v="Emitido"/>
    <x v="0"/>
    <x v="0"/>
    <x v="1"/>
    <x v="0"/>
    <x v="1"/>
    <x v="0"/>
    <m/>
  </r>
  <r>
    <s v="Factura electrónica"/>
    <s v="2d63f3e784f3e48969579091c4bd759a0ed02a7895e968c9d736cb984bbada6ec5da539bab6efe67b05a635874cc1359"/>
    <x v="1829"/>
    <n v="-1"/>
    <s v="FVE"/>
    <s v="24-02-2026"/>
    <s v="24-02-2026 14:32:38"/>
    <s v="900800595"/>
    <s v="Provexpress SAS"/>
    <s v="800210556"/>
    <x v="324"/>
    <n v="2718884.8"/>
    <n v="0"/>
    <n v="0"/>
    <n v="17028804.800000001"/>
    <s v="Aprobado con notificación"/>
    <s v="Emitido"/>
    <x v="0"/>
    <x v="0"/>
    <x v="1"/>
    <x v="0"/>
    <x v="1"/>
    <x v="0"/>
    <m/>
  </r>
  <r>
    <s v="Factura electrónica"/>
    <s v="fd01d2774779e798393214bfc6e7b9f929e97a69f3301c5045f9c103dda324ab82e9445ce859aa08544b59681064d0a5"/>
    <x v="1830"/>
    <n v="-1"/>
    <s v="FVE"/>
    <s v="24-02-2026"/>
    <s v="24-02-2026 14:47:44"/>
    <s v="900800595"/>
    <s v="Provexpress SAS"/>
    <s v="901766222"/>
    <x v="771"/>
    <n v="43781105.039999999"/>
    <n v="0"/>
    <n v="0"/>
    <n v="274207974.95999998"/>
    <s v="Aprobado con notificación"/>
    <s v="Emitido"/>
    <x v="0"/>
    <x v="0"/>
    <x v="1"/>
    <x v="0"/>
    <x v="0"/>
    <x v="1"/>
    <s v="PAGA 02/03/2026"/>
  </r>
  <r>
    <s v="Factura electrónica"/>
    <s v="0ba3f0b2f3cb7331829ec5cfe15af2f654a1ae2231c9dad18b46f9997f7bb8e255f66036c349b7892243e0d4085b7e3d"/>
    <x v="1831"/>
    <n v="-1"/>
    <s v="FVE"/>
    <s v="24-02-2026"/>
    <s v="24-02-2026 15:02:50"/>
    <s v="900800595"/>
    <s v="Provexpress SAS"/>
    <s v="901577842"/>
    <x v="772"/>
    <n v="0"/>
    <n v="0"/>
    <n v="0"/>
    <n v="1278000"/>
    <s v="Aprobado con notificación"/>
    <s v="Emitido"/>
    <x v="0"/>
    <x v="0"/>
    <x v="1"/>
    <x v="0"/>
    <x v="1"/>
    <x v="0"/>
    <m/>
  </r>
  <r>
    <s v="Factura electrónica"/>
    <s v="3453439eea38d73ef6d7299ba84aa80bfff90198275f70e69a6dc94b9d6625eac714764d16cde08ed2dad889e51bdeef"/>
    <x v="1832"/>
    <n v="-1"/>
    <s v="FVE"/>
    <s v="24-02-2026"/>
    <s v="24-02-2026 15:18:02"/>
    <s v="900800595"/>
    <s v="Provexpress SAS"/>
    <s v="800210556"/>
    <x v="324"/>
    <n v="716752.82"/>
    <n v="0"/>
    <n v="0"/>
    <n v="4489136.07"/>
    <s v="Aprobado con notificación"/>
    <s v="Emitido"/>
    <x v="0"/>
    <x v="0"/>
    <x v="1"/>
    <x v="0"/>
    <x v="1"/>
    <x v="0"/>
    <m/>
  </r>
  <r>
    <s v="Factura electrónica"/>
    <s v="f9195fee51d34cd36640c7d76f372e7414d9e04528fa4eb0d3eb28371e9d2369028e972085e4a07815dd7be2b96ae1ff"/>
    <x v="1833"/>
    <n v="-1"/>
    <s v="FVE"/>
    <s v="24-02-2026"/>
    <s v="24-02-2026 15:18:06"/>
    <s v="900800595"/>
    <s v="Provexpress SAS"/>
    <s v="900518732"/>
    <x v="195"/>
    <n v="31540"/>
    <n v="0"/>
    <n v="0"/>
    <n v="197540"/>
    <s v="Aprobado con notificación"/>
    <s v="Emitido"/>
    <x v="0"/>
    <x v="0"/>
    <x v="1"/>
    <x v="0"/>
    <x v="1"/>
    <x v="0"/>
    <m/>
  </r>
  <r>
    <s v="Factura electrónica"/>
    <s v="3a9ae56b7330cb04ab76ac7ec0f84ce7695a7ddbe6ca52ddca5dfb35a320f3282f50ff80d38d88cfaeebeed27a46b7a4"/>
    <x v="1834"/>
    <n v="-1"/>
    <s v="FVE"/>
    <s v="24-02-2026"/>
    <s v="24-02-2026 15:18:10"/>
    <s v="900800595"/>
    <s v="Provexpress SAS"/>
    <s v="900518732"/>
    <x v="195"/>
    <n v="84420.800000000003"/>
    <n v="0"/>
    <n v="0"/>
    <n v="528740.80000000005"/>
    <s v="Aprobado con notificación"/>
    <s v="Emitido"/>
    <x v="0"/>
    <x v="0"/>
    <x v="1"/>
    <x v="0"/>
    <x v="1"/>
    <x v="0"/>
    <m/>
  </r>
  <r>
    <s v="Factura electrónica"/>
    <s v="b67f7830b78d158bbedf4338f11dd68285d725c462ef01c74936a7dd1428e8731391188b7f635c00c58a75e2be70a13a"/>
    <x v="1835"/>
    <n v="-1"/>
    <s v="FVE"/>
    <s v="24-02-2026"/>
    <s v="24-02-2026 15:18:15"/>
    <s v="900800595"/>
    <s v="Provexpress SAS"/>
    <s v="860079024"/>
    <x v="511"/>
    <n v="138612.6"/>
    <n v="0"/>
    <n v="0"/>
    <n v="868152.6"/>
    <s v="Aprobado con notificación"/>
    <s v="Emitido"/>
    <x v="0"/>
    <x v="0"/>
    <x v="1"/>
    <x v="0"/>
    <x v="1"/>
    <x v="0"/>
    <m/>
  </r>
  <r>
    <s v="Factura electrónica"/>
    <s v="7f214df78bd141abeea9b7777bbbd2b240f1e19ec120fa72dca08c68bc6003006d058c8df0f957f719b824c1f8c46697"/>
    <x v="1836"/>
    <n v="-1"/>
    <s v="FVE"/>
    <s v="24-02-2026"/>
    <s v="24-02-2026 15:33:21"/>
    <s v="900800595"/>
    <s v="Provexpress SAS"/>
    <s v="800251957"/>
    <x v="191"/>
    <n v="392735.7"/>
    <n v="0"/>
    <n v="0"/>
    <n v="2459765.7000000002"/>
    <s v="Aprobado con notificación"/>
    <s v="Emitido"/>
    <x v="0"/>
    <x v="0"/>
    <x v="1"/>
    <x v="0"/>
    <x v="1"/>
    <x v="0"/>
    <m/>
  </r>
  <r>
    <s v="Factura electrónica"/>
    <s v="2e3734eabfa723e6c582b60f81563d4cdcef616e6a13208c6c2f0f1656cb813cfd4e5bd9c11f2fb1ddcd41978459d8e7"/>
    <x v="1837"/>
    <n v="-1"/>
    <s v="FVE"/>
    <s v="24-02-2026"/>
    <s v="24-02-2026 15:33:31"/>
    <s v="900800595"/>
    <s v="Provexpress SAS"/>
    <s v="900518732"/>
    <x v="195"/>
    <n v="204478.07"/>
    <n v="0"/>
    <n v="0"/>
    <n v="1573431.07"/>
    <s v="Aprobado con notificación"/>
    <s v="Emitido"/>
    <x v="0"/>
    <x v="0"/>
    <x v="1"/>
    <x v="0"/>
    <x v="1"/>
    <x v="0"/>
    <m/>
  </r>
  <r>
    <s v="Factura electrónica"/>
    <s v="765d05d7246a4937114771269051f8bca017e9b43bf0210b8a6dba4814a6d98a6c0c0c1dcff6fb6af7fd2cac694542f3"/>
    <x v="1838"/>
    <n v="-1"/>
    <s v="FVE"/>
    <s v="24-02-2026"/>
    <s v="24-02-2026 15:33:37"/>
    <s v="900800595"/>
    <s v="Provexpress SAS"/>
    <s v="900884741"/>
    <x v="773"/>
    <n v="1238877.71"/>
    <n v="0"/>
    <n v="0"/>
    <n v="7759286.71"/>
    <s v="Aprobado con notificación"/>
    <s v="Emitido"/>
    <x v="0"/>
    <x v="0"/>
    <x v="1"/>
    <x v="0"/>
    <x v="1"/>
    <x v="0"/>
    <m/>
  </r>
  <r>
    <s v="Factura electrónica"/>
    <s v="2f80a9871146a0cf0b44ac0c7089acfcb514cec334b19984e68ffd54451ea91fa4695f5d4fc3ba17331040e7c098fb35"/>
    <x v="1839"/>
    <n v="-1"/>
    <s v="FVE"/>
    <s v="24-02-2026"/>
    <s v="24-02-2026 15:33:41"/>
    <s v="900800595"/>
    <s v="Provexpress SAS"/>
    <s v="830033206"/>
    <x v="454"/>
    <n v="488300"/>
    <n v="0"/>
    <n v="0"/>
    <n v="3058300"/>
    <s v="Aprobado con notificación"/>
    <s v="Emitido"/>
    <x v="0"/>
    <x v="0"/>
    <x v="1"/>
    <x v="0"/>
    <x v="1"/>
    <x v="0"/>
    <m/>
  </r>
  <r>
    <s v="Factura electrónica"/>
    <s v="abb9f91bf50cf8777662dcd746a446eae94c2dfa5c2af9d2c3e3cbae2a9bf19366865ce2e4827da362a0522108188a52"/>
    <x v="1840"/>
    <n v="-1"/>
    <s v="FVE"/>
    <s v="24-02-2026"/>
    <s v="24-02-2026 15:33:45"/>
    <s v="900800595"/>
    <s v="Provexpress SAS"/>
    <s v="900418860"/>
    <x v="354"/>
    <n v="78698"/>
    <n v="0"/>
    <n v="0"/>
    <n v="492898"/>
    <s v="Aprobado con notificación"/>
    <s v="Emitido"/>
    <x v="0"/>
    <x v="0"/>
    <x v="1"/>
    <x v="0"/>
    <x v="1"/>
    <x v="0"/>
    <m/>
  </r>
  <r>
    <s v="Factura electrónica"/>
    <s v="4992aeb5b3ba86754d5fb9f60200aec1383ac57161831b54080ff1c5d6e295e752aa4fea1ca22bb477220eec85a77725"/>
    <x v="1841"/>
    <n v="-1"/>
    <s v="FVE"/>
    <s v="24-02-2026"/>
    <s v="24-02-2026 15:48:52"/>
    <s v="900800595"/>
    <s v="Provexpress SAS"/>
    <s v="900474794"/>
    <x v="466"/>
    <n v="20900"/>
    <n v="0"/>
    <n v="0"/>
    <n v="130900"/>
    <s v="Aprobado con notificación"/>
    <s v="Emitido"/>
    <x v="0"/>
    <x v="0"/>
    <x v="1"/>
    <x v="0"/>
    <x v="1"/>
    <x v="0"/>
    <m/>
  </r>
  <r>
    <s v="Factura electrónica"/>
    <s v="ac5a6343f7ba1d055dfef05f299bc1ee573ac69dfad6538efd8ff4427202dd521269a3d7feeda84cc868e683f4f1d0df"/>
    <x v="1842"/>
    <n v="-1"/>
    <s v="FVE"/>
    <s v="24-02-2026"/>
    <s v="24-02-2026 16:04:08"/>
    <s v="900800595"/>
    <s v="Provexpress SAS"/>
    <s v="860055557"/>
    <x v="386"/>
    <n v="71364"/>
    <n v="0"/>
    <n v="0"/>
    <n v="446964"/>
    <s v="Aprobado con notificación"/>
    <s v="Emitido"/>
    <x v="0"/>
    <x v="0"/>
    <x v="1"/>
    <x v="0"/>
    <x v="1"/>
    <x v="0"/>
    <m/>
  </r>
  <r>
    <s v="Factura electrónica"/>
    <s v="33b3367c463a350de5aae36f19432d3f330d0f776d51366e1214887f51c50319b737ef1ab5c6e546dbdd5bbbb3a01e7e"/>
    <x v="1843"/>
    <n v="-1"/>
    <s v="FVE"/>
    <s v="25-02-2026"/>
    <s v="25-02-2026 10:21:07"/>
    <s v="900800595"/>
    <s v="Provexpress SAS"/>
    <s v="900396965"/>
    <x v="197"/>
    <n v="2588940"/>
    <n v="0"/>
    <n v="0"/>
    <n v="16214940"/>
    <s v="Aprobado con notificación"/>
    <s v="Emitido"/>
    <x v="0"/>
    <x v="0"/>
    <x v="1"/>
    <x v="0"/>
    <x v="1"/>
    <x v="0"/>
    <m/>
  </r>
  <r>
    <s v="Factura electrónica"/>
    <s v="85c02891c4314dc68855999decd128e0ed2fb382045a64e9e129518080c2269f67c36b93a60b1d01e2a7cf9f0457582b"/>
    <x v="1844"/>
    <n v="-1"/>
    <s v="FVE"/>
    <s v="25-02-2026"/>
    <s v="25-02-2026 10:21:11"/>
    <s v="900800595"/>
    <s v="Provexpress SAS"/>
    <s v="900396965"/>
    <x v="197"/>
    <n v="961780"/>
    <n v="0"/>
    <n v="0"/>
    <n v="6023780"/>
    <s v="Aprobado con notificación"/>
    <s v="Emitido"/>
    <x v="0"/>
    <x v="0"/>
    <x v="1"/>
    <x v="0"/>
    <x v="1"/>
    <x v="0"/>
    <m/>
  </r>
  <r>
    <s v="Factura electrónica"/>
    <s v="9978cda5a8ade03657fcd9963aaf8dff710c72cbd609983ac0ca612deec575afeed21d0f11c0ecabf665b6a9295e3caa"/>
    <x v="1845"/>
    <n v="-1"/>
    <s v="FVE"/>
    <s v="25-02-2026"/>
    <s v="25-02-2026 10:21:17"/>
    <s v="900800595"/>
    <s v="Provexpress SAS"/>
    <s v="900396965"/>
    <x v="197"/>
    <n v="169100"/>
    <n v="0"/>
    <n v="0"/>
    <n v="1059100"/>
    <s v="Aprobado con notificación"/>
    <s v="Emitido"/>
    <x v="0"/>
    <x v="0"/>
    <x v="1"/>
    <x v="0"/>
    <x v="1"/>
    <x v="0"/>
    <m/>
  </r>
  <r>
    <s v="Factura electrónica"/>
    <s v="b25191e9f2c31c4c476cc0edfe4747f1b1ec0086ac107070303525890de076a81252464eb7ace4a2b4badce2aa0cc1fe"/>
    <x v="1846"/>
    <n v="-1"/>
    <s v="FVE"/>
    <s v="25-02-2026"/>
    <s v="25-02-2026 10:21:21"/>
    <s v="900800595"/>
    <s v="Provexpress SAS"/>
    <s v="800241469"/>
    <x v="48"/>
    <n v="771780"/>
    <n v="0"/>
    <n v="0"/>
    <n v="4833780"/>
    <s v="Aprobado con notificación"/>
    <s v="Emitido"/>
    <x v="0"/>
    <x v="0"/>
    <x v="1"/>
    <x v="0"/>
    <x v="0"/>
    <x v="1"/>
    <s v="PAGA 2/03/2026"/>
  </r>
  <r>
    <s v="Factura electrónica"/>
    <s v="5ba65f37161895d375c5ff0724b34c8cdd2b320b94d7927a25f0cc3354a427d797c03366f4c2e75f100d722bce3f6f5b"/>
    <x v="1847"/>
    <n v="-1"/>
    <s v="FVE"/>
    <s v="25-02-2026"/>
    <s v="25-02-2026 11:22:42"/>
    <s v="900800595"/>
    <s v="Provexpress SAS"/>
    <s v="860023264"/>
    <x v="279"/>
    <n v="624150"/>
    <n v="0"/>
    <n v="0"/>
    <n v="18609150"/>
    <s v="Aprobado con notificación"/>
    <s v="Emitido"/>
    <x v="0"/>
    <x v="0"/>
    <x v="1"/>
    <x v="0"/>
    <x v="1"/>
    <x v="0"/>
    <m/>
  </r>
  <r>
    <s v="Factura electrónica"/>
    <s v="6f0efbbba2433102a293afe59c882421487dd2c0d650740ba70ffb8d197ab2bf9ceb412aab15e73ed530f1a9466ea0e4"/>
    <x v="1848"/>
    <n v="-1"/>
    <s v="FVE"/>
    <s v="25-02-2026"/>
    <s v="25-02-2026 11:51:51"/>
    <s v="900800595"/>
    <s v="Provexpress SAS"/>
    <s v="800018165"/>
    <x v="393"/>
    <n v="102410"/>
    <n v="0"/>
    <n v="0"/>
    <n v="641410"/>
    <s v="Aprobado con notificación"/>
    <s v="Emitido"/>
    <x v="0"/>
    <x v="0"/>
    <x v="1"/>
    <x v="0"/>
    <x v="1"/>
    <x v="0"/>
    <m/>
  </r>
  <r>
    <s v="Factura electrónica"/>
    <s v="f5e56fcc47e1e8e636116bd838418104a40c651b5e352b7e5f16c1e99910140bfaefe829e6245e89f5e342700cd5ae5a"/>
    <x v="1849"/>
    <n v="-1"/>
    <s v="FVE"/>
    <s v="25-02-2026"/>
    <s v="25-02-2026 11:51:55"/>
    <s v="900800595"/>
    <s v="Provexpress SAS"/>
    <s v="900166056"/>
    <x v="238"/>
    <n v="85500"/>
    <n v="0"/>
    <n v="0"/>
    <n v="535500"/>
    <s v="Aprobado con notificación"/>
    <s v="Emitido"/>
    <x v="0"/>
    <x v="0"/>
    <x v="1"/>
    <x v="0"/>
    <x v="1"/>
    <x v="0"/>
    <m/>
  </r>
  <r>
    <s v="Factura electrónica"/>
    <s v="7a08d04102e4151302db3c330390bccd1bbde1ee3181d6f334016c8825ac52301cf8a12f60ddc805f81e0ec4af8670f5"/>
    <x v="1850"/>
    <n v="-1"/>
    <s v="FVE"/>
    <s v="25-02-2026"/>
    <s v="25-02-2026 11:52:00"/>
    <s v="900800595"/>
    <s v="Provexpress SAS"/>
    <s v="860048112"/>
    <x v="227"/>
    <n v="48825"/>
    <n v="0"/>
    <n v="0"/>
    <n v="318325"/>
    <s v="Aprobado con notificación"/>
    <s v="Emitido"/>
    <x v="0"/>
    <x v="0"/>
    <x v="1"/>
    <x v="0"/>
    <x v="1"/>
    <x v="0"/>
    <m/>
  </r>
  <r>
    <s v="Factura electrónica"/>
    <s v="0e688b69352a99c91a4f99e782627a7f4d3441c1254b5b487076cb9191a2e4e54b8d8144a9701946288626e77f2b102c"/>
    <x v="1851"/>
    <n v="-1"/>
    <s v="FVE"/>
    <s v="25-02-2026"/>
    <s v="25-02-2026 12:22:07"/>
    <s v="900800595"/>
    <s v="Provexpress SAS"/>
    <s v="901029016"/>
    <x v="774"/>
    <n v="53200"/>
    <n v="0"/>
    <n v="0"/>
    <n v="333200"/>
    <s v="Aprobado con notificación"/>
    <s v="Emitido"/>
    <x v="0"/>
    <x v="0"/>
    <x v="1"/>
    <x v="0"/>
    <x v="1"/>
    <x v="0"/>
    <m/>
  </r>
  <r>
    <s v="Factura electrónica"/>
    <s v="61dca1a58c30da862cbe4848ca075884f4dc13d952728332945bbfdd0c6073f181c51cb0577d931c61b768c954ce4204"/>
    <x v="1852"/>
    <n v="-1"/>
    <s v="FVE"/>
    <s v="25-02-2026"/>
    <s v="25-02-2026 13:07:17"/>
    <s v="900800595"/>
    <s v="Provexpress SAS"/>
    <s v="900396967"/>
    <x v="292"/>
    <n v="342000"/>
    <n v="0"/>
    <n v="0"/>
    <n v="2142000"/>
    <s v="Aprobado con notificación"/>
    <s v="Emitido"/>
    <x v="0"/>
    <x v="0"/>
    <x v="1"/>
    <x v="0"/>
    <x v="1"/>
    <x v="0"/>
    <m/>
  </r>
  <r>
    <s v="Factura electrónica"/>
    <s v="52fdb39b9a6b474d1ec5b36b48379ad9e467c9302d7a4ff146cb84cb1b08548592839345ea29ae2b4892f9579c28acf6"/>
    <x v="1853"/>
    <n v="-1"/>
    <s v="FVE"/>
    <s v="25-02-2026"/>
    <s v="25-02-2026 13:07:21"/>
    <s v="900800595"/>
    <s v="Provexpress SAS"/>
    <s v="900396965"/>
    <x v="197"/>
    <n v="63840"/>
    <n v="0"/>
    <n v="0"/>
    <n v="399840"/>
    <s v="Aprobado con notificación"/>
    <s v="Emitido"/>
    <x v="0"/>
    <x v="0"/>
    <x v="1"/>
    <x v="0"/>
    <x v="1"/>
    <x v="0"/>
    <m/>
  </r>
  <r>
    <s v="Factura electrónica"/>
    <s v="00cd1d864fa670e2c33af342d242c199d1a1857c1f57df981b78fc68b2ef3ad80bc2c460b1f609348452538eae7d2c00"/>
    <x v="1854"/>
    <n v="-1"/>
    <s v="FVE"/>
    <s v="25-02-2026"/>
    <s v="25-02-2026 13:22:27"/>
    <s v="900800595"/>
    <s v="Provexpress SAS"/>
    <s v="860024041"/>
    <x v="581"/>
    <n v="9880"/>
    <n v="0"/>
    <n v="0"/>
    <n v="1627880"/>
    <s v="Aprobado con notificación"/>
    <s v="Emitido"/>
    <x v="0"/>
    <x v="0"/>
    <x v="1"/>
    <x v="0"/>
    <x v="1"/>
    <x v="0"/>
    <m/>
  </r>
  <r>
    <s v="Factura electrónica"/>
    <s v="5e12c438831103faa537460d3a5f91e84c3bc24a9c4c6d7141c46f07596f5abee86cdda693ff8f1edc84d23453973d8d"/>
    <x v="1855"/>
    <n v="-1"/>
    <s v="FVE"/>
    <s v="25-02-2026"/>
    <s v="25-02-2026 14:32:35"/>
    <s v="900800595"/>
    <s v="Provexpress SAS"/>
    <s v="860504882"/>
    <x v="300"/>
    <n v="32414"/>
    <n v="0"/>
    <n v="0"/>
    <n v="203014"/>
    <s v="Aprobado con notificación"/>
    <s v="Emitido"/>
    <x v="0"/>
    <x v="0"/>
    <x v="1"/>
    <x v="0"/>
    <x v="1"/>
    <x v="0"/>
    <m/>
  </r>
  <r>
    <s v="Factura electrónica"/>
    <s v="eb6a601e2422442c7730e95bcabc56dabe187b4e8297254822cb45c614b14cc1c66fd360086f071fc6087180b390cde6"/>
    <x v="1856"/>
    <n v="-1"/>
    <s v="FVE"/>
    <s v="25-02-2026"/>
    <s v="25-02-2026 17:18:48"/>
    <s v="900800595"/>
    <s v="Provexpress SAS"/>
    <s v="900270701"/>
    <x v="65"/>
    <n v="204155"/>
    <n v="0"/>
    <n v="0"/>
    <n v="1278655"/>
    <s v="Aprobado con notificación"/>
    <s v="Emitido"/>
    <x v="0"/>
    <x v="0"/>
    <x v="1"/>
    <x v="0"/>
    <x v="1"/>
    <x v="0"/>
    <m/>
  </r>
  <r>
    <s v="Factura electrónica"/>
    <s v="0e3beed40cd78566d830fcab799b5be9ea7b8398e71864b825d264eb7b7811fc7b4a576af2ea8fffe8018dda01b6861a"/>
    <x v="1857"/>
    <n v="-1"/>
    <s v="FVE"/>
    <s v="25-02-2026"/>
    <s v="25-02-2026 14:34:56"/>
    <s v="900800595"/>
    <s v="Provexpress SAS"/>
    <s v="830115054"/>
    <x v="775"/>
    <n v="198718.91"/>
    <n v="0"/>
    <n v="0"/>
    <n v="1244607.9099999999"/>
    <s v="Aprobado con notificación"/>
    <s v="Emitido"/>
    <x v="0"/>
    <x v="0"/>
    <x v="1"/>
    <x v="0"/>
    <x v="1"/>
    <x v="0"/>
    <m/>
  </r>
  <r>
    <s v="Factura electrónica"/>
    <s v="92883abd9ed5f1649dee5e9d96f07054504aebd250f56c6ea5f8eaf13e7f6dcbb1c97a8f3edd377a5860a6da032ee542"/>
    <x v="1858"/>
    <n v="-1"/>
    <s v="FVE"/>
    <s v="25-02-2026"/>
    <s v="25-02-2026 14:35:46"/>
    <s v="900800595"/>
    <s v="Provexpress SAS"/>
    <s v="860509265"/>
    <x v="744"/>
    <n v="26410"/>
    <n v="0"/>
    <n v="0"/>
    <n v="165410"/>
    <s v="Aprobado con notificación"/>
    <s v="Emitido"/>
    <x v="0"/>
    <x v="0"/>
    <x v="1"/>
    <x v="0"/>
    <x v="1"/>
    <x v="0"/>
    <m/>
  </r>
  <r>
    <s v="Factura electrónica"/>
    <s v="9e1a327c784eabcb17d9c3b8856db56f37ddf0cafd2d18bf34b6ec0f8d675f5ceaa9faa75e81d703b37c73f46d30e638"/>
    <x v="1859"/>
    <n v="-1"/>
    <s v="FVE"/>
    <s v="25-02-2026"/>
    <s v="25-02-2026 14:37:58"/>
    <s v="900800595"/>
    <s v="Provexpress SAS"/>
    <s v="830096376"/>
    <x v="62"/>
    <n v="13300"/>
    <n v="0"/>
    <n v="0"/>
    <n v="83300"/>
    <s v="Aprobado con notificación"/>
    <s v="Emitido"/>
    <x v="0"/>
    <x v="0"/>
    <x v="1"/>
    <x v="0"/>
    <x v="1"/>
    <x v="0"/>
    <m/>
  </r>
  <r>
    <s v="Factura electrónica"/>
    <s v="cdfbc5472bd770864bc3fb571128712636defe7dd3b48f18f6b78ba702ffd04fa161517f4fbcbf80bdaabd9a68070831"/>
    <x v="1860"/>
    <n v="-1"/>
    <s v="FVE"/>
    <s v="25-02-2026"/>
    <s v="25-02-2026 14:37:18"/>
    <s v="900800595"/>
    <s v="Provexpress SAS"/>
    <s v="800081833"/>
    <x v="63"/>
    <n v="115615"/>
    <n v="0"/>
    <n v="0"/>
    <n v="724115"/>
    <s v="Aprobado con notificación"/>
    <s v="Emitido"/>
    <x v="0"/>
    <x v="0"/>
    <x v="1"/>
    <x v="0"/>
    <x v="1"/>
    <x v="0"/>
    <m/>
  </r>
  <r>
    <s v="Factura electrónica"/>
    <s v="3541289a674339be867d2df3719d449a97e2d1e26172a2a315ae208dd3d22a92232d16c825eee2914bdc7d79503fb6ff"/>
    <x v="1861"/>
    <n v="-1"/>
    <s v="FVE"/>
    <s v="25-02-2026"/>
    <s v="25-02-2026 14:37:10"/>
    <s v="900800595"/>
    <s v="Provexpress SAS"/>
    <s v="900457412"/>
    <x v="691"/>
    <n v="7790"/>
    <n v="0"/>
    <n v="0"/>
    <n v="48790"/>
    <s v="Aprobado con notificación"/>
    <s v="Emitido"/>
    <x v="0"/>
    <x v="0"/>
    <x v="1"/>
    <x v="0"/>
    <x v="1"/>
    <x v="0"/>
    <m/>
  </r>
  <r>
    <s v="Factura electrónica"/>
    <s v="72c0afa15b156699828e401de738671c81d261b27d8b104121f476834677c2debe57a8e99485cc088c86f21f41055dbf"/>
    <x v="1862"/>
    <n v="-1"/>
    <s v="FVE"/>
    <s v="25-02-2026"/>
    <s v="25-02-2026 14:37:30"/>
    <s v="900800595"/>
    <s v="Provexpress SAS"/>
    <s v="830096376"/>
    <x v="62"/>
    <n v="88160"/>
    <n v="0"/>
    <n v="0"/>
    <n v="552160"/>
    <s v="Aprobado con notificación"/>
    <s v="Emitido"/>
    <x v="0"/>
    <x v="0"/>
    <x v="1"/>
    <x v="0"/>
    <x v="1"/>
    <x v="0"/>
    <m/>
  </r>
  <r>
    <s v="Factura electrónica"/>
    <s v="23346dec4e38c2f7b034a8be363c48448cccdf72c0aaa89821914e3508e4a4c2daad722428cc29011a59ea9d0c9d8834"/>
    <x v="1863"/>
    <n v="-1"/>
    <s v="FVE"/>
    <s v="25-02-2026"/>
    <s v="25-02-2026 15:07:24"/>
    <s v="900800595"/>
    <s v="Provexpress SAS"/>
    <s v="830096376"/>
    <x v="62"/>
    <n v="110010"/>
    <n v="0"/>
    <n v="0"/>
    <n v="689010"/>
    <s v="Aprobado con notificación"/>
    <s v="Emitido"/>
    <x v="0"/>
    <x v="0"/>
    <x v="1"/>
    <x v="0"/>
    <x v="1"/>
    <x v="0"/>
    <m/>
  </r>
  <r>
    <s v="Factura electrónica"/>
    <s v="afe928f543f15d5097d99a4a3d83d5b7085478009a5ce616f7d9cb445206f7751c4a0903221c62521a3460a68d0b5cb0"/>
    <x v="1864"/>
    <n v="-1"/>
    <s v="FVE"/>
    <s v="25-02-2026"/>
    <s v="25-02-2026 14:53:26"/>
    <s v="900800595"/>
    <s v="Provexpress SAS"/>
    <s v="900407729"/>
    <x v="776"/>
    <n v="504419.6"/>
    <n v="0"/>
    <n v="0"/>
    <n v="3159259.6"/>
    <s v="Aprobado con notificación"/>
    <s v="Emitido"/>
    <x v="0"/>
    <x v="0"/>
    <x v="1"/>
    <x v="0"/>
    <x v="1"/>
    <x v="0"/>
    <m/>
  </r>
  <r>
    <s v="Factura electrónica"/>
    <s v="b03700715fa223d9607b9482d62721780d8326a77e88168dfe0893bc0ff61d5845eb6407a6e0f02c64be6e162d369d9b"/>
    <x v="1865"/>
    <n v="-1"/>
    <s v="FVE"/>
    <s v="25-02-2026"/>
    <s v="25-02-2026 14:53:28"/>
    <s v="900800595"/>
    <s v="Provexpress SAS"/>
    <s v="860013798"/>
    <x v="777"/>
    <n v="2188443.75"/>
    <n v="0"/>
    <n v="0"/>
    <n v="13706568.75"/>
    <s v="Aprobado con notificación"/>
    <s v="Emitido"/>
    <x v="0"/>
    <x v="0"/>
    <x v="1"/>
    <x v="0"/>
    <x v="1"/>
    <x v="0"/>
    <m/>
  </r>
  <r>
    <s v="Factura electrónica"/>
    <s v="ad840cd4a497b67335780ff8d8a265350c92febbc33dab0b460f734d62486681442fdfb04b22f3d82f026e5edbd98505"/>
    <x v="1866"/>
    <n v="-1"/>
    <s v="FVE"/>
    <s v="25-02-2026"/>
    <s v="25-02-2026 14:53:33"/>
    <s v="900800595"/>
    <s v="Provexpress SAS"/>
    <s v="830018004"/>
    <x v="53"/>
    <n v="31207500"/>
    <n v="0"/>
    <n v="0"/>
    <n v="195457500"/>
    <s v="Aprobado con notificación"/>
    <s v="Emitido"/>
    <x v="0"/>
    <x v="0"/>
    <x v="1"/>
    <x v="0"/>
    <x v="1"/>
    <x v="0"/>
    <m/>
  </r>
  <r>
    <s v="Factura electrónica"/>
    <s v="b4ce7d2db1bfc4c67e2ebe934a8adce32ca16cb492b4fde4f089a459c6e0eb0173e9eb990fb6d8b8f6f3b00749a52f43"/>
    <x v="1867"/>
    <n v="-1"/>
    <s v="FVE"/>
    <s v="25-02-2026"/>
    <s v="25-02-2026 14:53:38"/>
    <s v="900800595"/>
    <s v="Provexpress SAS"/>
    <s v="830116746"/>
    <x v="778"/>
    <n v="34960"/>
    <n v="0"/>
    <n v="0"/>
    <n v="218960"/>
    <s v="Aprobado con notificación"/>
    <s v="Emitido"/>
    <x v="0"/>
    <x v="0"/>
    <x v="1"/>
    <x v="0"/>
    <x v="1"/>
    <x v="0"/>
    <m/>
  </r>
  <r>
    <s v="Factura electrónica"/>
    <s v="99a71019b9dfe103fedd342f59baf0344a1394eb1535c28797e829e066076ae45c16cba5d87235a662785cf8a113bab9"/>
    <x v="1868"/>
    <n v="-1"/>
    <s v="FVE"/>
    <s v="25-02-2026"/>
    <s v="25-02-2026 14:53:46"/>
    <s v="900800595"/>
    <s v="Provexpress SAS"/>
    <s v="900326523"/>
    <x v="372"/>
    <n v="63460"/>
    <n v="0"/>
    <n v="0"/>
    <n v="397460"/>
    <s v="Aprobado con notificación"/>
    <s v="Emitido"/>
    <x v="0"/>
    <x v="0"/>
    <x v="1"/>
    <x v="0"/>
    <x v="1"/>
    <x v="0"/>
    <m/>
  </r>
  <r>
    <s v="Factura electrónica"/>
    <s v="423069b73b808d1e17c6ae75f49ebb26abd1bad9f3542414687bf46624aba42e4a16e7fe56e47077dbb45fc6cc39de52"/>
    <x v="1869"/>
    <n v="-1"/>
    <s v="FVE"/>
    <s v="25-02-2026"/>
    <s v="25-02-2026 15:10:20"/>
    <s v="900800595"/>
    <s v="Provexpress SAS"/>
    <s v="860000332"/>
    <x v="290"/>
    <n v="142728"/>
    <n v="0"/>
    <n v="0"/>
    <n v="893928"/>
    <s v="Aprobado con notificación"/>
    <s v="Emitido"/>
    <x v="0"/>
    <x v="0"/>
    <x v="1"/>
    <x v="0"/>
    <x v="1"/>
    <x v="0"/>
    <m/>
  </r>
  <r>
    <s v="Factura electrónica"/>
    <s v="af0c1f6a60ddc3d807f2ad794691e74fd7228b5039d175571b75de07b7731cebeec04f372b9f650fb5914f3fb88e4460"/>
    <x v="1870"/>
    <n v="-1"/>
    <s v="FVE"/>
    <s v="25-02-2026"/>
    <s v="25-02-2026 15:12:19"/>
    <s v="900800595"/>
    <s v="Provexpress SAS"/>
    <s v="900095054"/>
    <x v="666"/>
    <n v="85519"/>
    <n v="0"/>
    <n v="0"/>
    <n v="535619"/>
    <s v="Aprobado con notificación"/>
    <s v="Emitido"/>
    <x v="0"/>
    <x v="0"/>
    <x v="1"/>
    <x v="0"/>
    <x v="1"/>
    <x v="0"/>
    <m/>
  </r>
  <r>
    <s v="Factura electrónica"/>
    <s v="f0b21d7ed9cc14db21ebaf07b91ccd4afd862ca702dd2ec409d19d3edb8e54eb199fa33435b758bc77e9981d282ecdb9"/>
    <x v="1871"/>
    <n v="-1"/>
    <s v="FVE"/>
    <s v="25-02-2026"/>
    <s v="25-02-2026 15:12:17"/>
    <s v="900800595"/>
    <s v="Provexpress SAS"/>
    <s v="860007335"/>
    <x v="779"/>
    <n v="6649095.5999999996"/>
    <n v="0"/>
    <n v="0"/>
    <n v="41644335.600000001"/>
    <s v="Aprobado con notificación"/>
    <s v="Emitido"/>
    <x v="0"/>
    <x v="0"/>
    <x v="1"/>
    <x v="0"/>
    <x v="1"/>
    <x v="0"/>
    <m/>
  </r>
  <r>
    <s v="Factura electrónica"/>
    <s v="08a85024e0f2da3c3ff19f5094c442cf932bb9c498fbadf954ce0b2203da635cb0c673bfbffac34a155644b0ae3b795f"/>
    <x v="1872"/>
    <n v="-1"/>
    <s v="FVE"/>
    <s v="25-02-2026"/>
    <s v="25-02-2026 15:11:17"/>
    <s v="900800595"/>
    <s v="Provexpress SAS"/>
    <s v="830037843"/>
    <x v="780"/>
    <n v="176871"/>
    <n v="0"/>
    <n v="0"/>
    <n v="1107771"/>
    <s v="Aprobado con notificación"/>
    <s v="Emitido"/>
    <x v="0"/>
    <x v="0"/>
    <x v="1"/>
    <x v="0"/>
    <x v="1"/>
    <x v="0"/>
    <m/>
  </r>
  <r>
    <s v="Factura electrónica"/>
    <s v="4dee5eb2a6e5704f20918eb5e53edf33e3f9c7d83d84654031d9bc2f184dc5f95226873d485e1faff553f12dbc5cb720"/>
    <x v="1873"/>
    <n v="-1"/>
    <s v="FVE"/>
    <s v="25-02-2026"/>
    <s v="25-02-2026 15:30:22"/>
    <s v="900800595"/>
    <s v="Provexpress SAS"/>
    <s v="900677304"/>
    <x v="781"/>
    <n v="0"/>
    <n v="0"/>
    <n v="0"/>
    <n v="37672200"/>
    <s v="Aprobado con notificación"/>
    <s v="Emitido"/>
    <x v="0"/>
    <x v="0"/>
    <x v="1"/>
    <x v="0"/>
    <x v="0"/>
    <x v="1"/>
    <s v="PAGA 2/03/2026"/>
  </r>
  <r>
    <s v="Factura electrónica"/>
    <s v="1e224d0533f1035d4c8cf957d05545d3942a5dafb4b7328e33cfe9997ac14a49de6d9a4127a0391a34bd3d0cd8b00d25"/>
    <x v="1874"/>
    <n v="-1"/>
    <s v="FVE"/>
    <s v="25-02-2026"/>
    <s v="25-02-2026 15:30:23"/>
    <s v="900800595"/>
    <s v="Provexpress SAS"/>
    <s v="830051740"/>
    <x v="769"/>
    <n v="45125"/>
    <n v="0"/>
    <n v="0"/>
    <n v="282625"/>
    <s v="Aprobado con notificación"/>
    <s v="Emitido"/>
    <x v="0"/>
    <x v="0"/>
    <x v="1"/>
    <x v="0"/>
    <x v="1"/>
    <x v="0"/>
    <m/>
  </r>
  <r>
    <s v="Factura electrónica"/>
    <s v="863642da3030b60ed3d944c767c2695beebcd5432e47760debe99f7d66796f2c5d1e44b6ddaeff12fad9ae0223a446b8"/>
    <x v="1875"/>
    <n v="-1"/>
    <s v="FVE"/>
    <s v="25-02-2026"/>
    <s v="25-02-2026 15:30:34"/>
    <s v="900800595"/>
    <s v="Provexpress SAS"/>
    <s v="900894892"/>
    <x v="782"/>
    <n v="44257.46"/>
    <n v="0"/>
    <n v="0"/>
    <n v="277191.46000000002"/>
    <s v="Aprobado con notificación"/>
    <s v="Emitido"/>
    <x v="0"/>
    <x v="0"/>
    <x v="1"/>
    <x v="0"/>
    <x v="0"/>
    <x v="1"/>
    <s v="PAGA EL 26/02/2026"/>
  </r>
  <r>
    <s v="Factura electrónica"/>
    <s v="2f7ae9a852494fcb44835770aff162af4364a0557154378e853dbf2c3c11e1f835ae435b2011664fcb43adc07896387a"/>
    <x v="1876"/>
    <n v="-1"/>
    <s v="FVE"/>
    <s v="25-02-2026"/>
    <s v="25-02-2026 15:30:36"/>
    <s v="900800595"/>
    <s v="Provexpress SAS"/>
    <s v="900725066"/>
    <x v="629"/>
    <n v="203040.65"/>
    <n v="0"/>
    <n v="0"/>
    <n v="1271675.6499999999"/>
    <s v="Aprobado con notificación"/>
    <s v="Emitido"/>
    <x v="0"/>
    <x v="0"/>
    <x v="1"/>
    <x v="0"/>
    <x v="1"/>
    <x v="0"/>
    <m/>
  </r>
  <r>
    <s v="Factura electrónica"/>
    <s v="d9013c1c21309849ccf7383d88ddb111a790b1cf9af8e11b488cd8c4798e3ebb3b176957ae46347e8b1cdce3ee7ff248"/>
    <x v="1877"/>
    <n v="-1"/>
    <s v="FVE"/>
    <s v="25-02-2026"/>
    <s v="25-02-2026 15:30:27"/>
    <s v="900800595"/>
    <s v="Provexpress SAS"/>
    <s v="900725066"/>
    <x v="629"/>
    <n v="1301500"/>
    <n v="0"/>
    <n v="0"/>
    <n v="8151500"/>
    <s v="Aprobado con notificación"/>
    <s v="Emitido"/>
    <x v="0"/>
    <x v="0"/>
    <x v="1"/>
    <x v="0"/>
    <x v="1"/>
    <x v="0"/>
    <m/>
  </r>
  <r>
    <s v="Factura electrónica"/>
    <s v="384d64c9c7053a0cc8ce4c500bd978120a41036c185a570740d0943d84eb60376f8ebd64d9693f8753ab0ad3c66a637b"/>
    <x v="1878"/>
    <n v="-1"/>
    <s v="FVE"/>
    <s v="25-02-2026"/>
    <s v="25-02-2026 15:43:55"/>
    <s v="900800595"/>
    <s v="Provexpress SAS"/>
    <s v="901303824"/>
    <x v="752"/>
    <n v="596315"/>
    <n v="0"/>
    <n v="0"/>
    <n v="3734815"/>
    <s v="Aprobado con notificación"/>
    <s v="Emitido"/>
    <x v="0"/>
    <x v="0"/>
    <x v="1"/>
    <x v="0"/>
    <x v="1"/>
    <x v="0"/>
    <m/>
  </r>
  <r>
    <s v="Factura electrónica"/>
    <s v="1bf18e333f7cf1ddc1c4360718fdf4b39880ca094268d91b13f753ae81492b694874da965934ebb5835686a61bf04287"/>
    <x v="1879"/>
    <n v="-1"/>
    <s v="FVE"/>
    <s v="25-02-2026"/>
    <s v="25-02-2026 15:44:00"/>
    <s v="900800595"/>
    <s v="Provexpress SAS"/>
    <s v="900268896"/>
    <x v="669"/>
    <n v="14782"/>
    <n v="0"/>
    <n v="0"/>
    <n v="92582"/>
    <s v="Aprobado con notificación"/>
    <s v="Emitido"/>
    <x v="0"/>
    <x v="0"/>
    <x v="1"/>
    <x v="0"/>
    <x v="1"/>
    <x v="0"/>
    <m/>
  </r>
  <r>
    <s v="Factura electrónica"/>
    <s v="616eed04e0a27b617d1d972b8b0247a30e6e0604afdefd8e0ac162245d0bafa1d4143fac53feb3ca7d01648aa94f52a4"/>
    <x v="1880"/>
    <n v="-1"/>
    <s v="FVE"/>
    <s v="25-02-2026"/>
    <s v="25-02-2026 15:44:02"/>
    <s v="900800595"/>
    <s v="Provexpress SAS"/>
    <s v="860000656"/>
    <x v="332"/>
    <n v="21831"/>
    <n v="0"/>
    <n v="0"/>
    <n v="136731"/>
    <s v="Aprobado con notificación"/>
    <s v="Emitido"/>
    <x v="0"/>
    <x v="0"/>
    <x v="1"/>
    <x v="0"/>
    <x v="1"/>
    <x v="0"/>
    <m/>
  </r>
  <r>
    <s v="Factura electrónica"/>
    <s v="5f23d50b009825a6cb0fb87da082c1b1aa40decfb12b8ae0e098d8d42749f77a31ce8e11769b7c3131e003f9d11bc503"/>
    <x v="1881"/>
    <n v="-1"/>
    <s v="FVE"/>
    <s v="25-02-2026"/>
    <s v="25-02-2026 17:18:50"/>
    <s v="900800595"/>
    <s v="Provexpress SAS"/>
    <s v="53167944"/>
    <x v="783"/>
    <n v="821180"/>
    <n v="0"/>
    <n v="0"/>
    <n v="5143180"/>
    <s v="Aprobado con notificación"/>
    <s v="Emitido"/>
    <x v="0"/>
    <x v="0"/>
    <x v="1"/>
    <x v="0"/>
    <x v="0"/>
    <x v="1"/>
    <s v="PAGA 27/02/2026"/>
  </r>
  <r>
    <s v="Factura electrónica"/>
    <s v="00aaac4788b961571672ad355f7e449f3a03d5fdd2098da26cfc8b13def36a24f163294aaded176ff925bd79fc848415"/>
    <x v="1882"/>
    <n v="-1"/>
    <s v="FVE"/>
    <s v="25-02-2026"/>
    <s v="25-02-2026 15:54:13"/>
    <s v="900800595"/>
    <s v="Provexpress SAS"/>
    <s v="860025111"/>
    <x v="745"/>
    <n v="102904"/>
    <n v="0"/>
    <n v="0"/>
    <n v="694804"/>
    <s v="Aprobado con notificación"/>
    <s v="Emitido"/>
    <x v="0"/>
    <x v="0"/>
    <x v="1"/>
    <x v="0"/>
    <x v="1"/>
    <x v="0"/>
    <m/>
  </r>
  <r>
    <s v="Factura electrónica"/>
    <s v="a697022bba363ec5ff3912bf52f441e599de2368cba96fa8244b10508d9ac2339806853afabb3fb6343b4020f9c45e21"/>
    <x v="1883"/>
    <n v="-1"/>
    <s v="FVE"/>
    <s v="25-02-2026"/>
    <s v="25-02-2026 15:54:17"/>
    <s v="900800595"/>
    <s v="Provexpress SAS"/>
    <s v="860536003"/>
    <x v="225"/>
    <n v="115710"/>
    <n v="0"/>
    <n v="0"/>
    <n v="724710"/>
    <s v="Aprobado con notificación"/>
    <s v="Emitido"/>
    <x v="0"/>
    <x v="0"/>
    <x v="1"/>
    <x v="0"/>
    <x v="1"/>
    <x v="0"/>
    <m/>
  </r>
  <r>
    <s v="Factura electrónica"/>
    <s v="2d7da1c35d802bbbdaa0f6dbd4e22cc33993f42263f10bcdde89785fb1a73dba8c5fe5f2ba839f0c9b328d0797096e24"/>
    <x v="1884"/>
    <n v="-1"/>
    <s v="FVE"/>
    <s v="25-02-2026"/>
    <s v="25-02-2026 15:54:21"/>
    <s v="900800595"/>
    <s v="Provexpress SAS"/>
    <s v="860536003"/>
    <x v="225"/>
    <n v="72580"/>
    <n v="0"/>
    <n v="0"/>
    <n v="454580"/>
    <s v="Aprobado con notificación"/>
    <s v="Emitido"/>
    <x v="0"/>
    <x v="0"/>
    <x v="1"/>
    <x v="0"/>
    <x v="1"/>
    <x v="0"/>
    <m/>
  </r>
  <r>
    <s v="Factura electrónica"/>
    <s v="c557bc08a94c180d1e56154db4d65a870a459a50b0ad28cc821ee5b7aadcf31b5d9b518ab74cf9a2144f589b34c1cf0c"/>
    <x v="1885"/>
    <n v="-1"/>
    <s v="FVE"/>
    <s v="25-02-2026"/>
    <s v="25-02-2026 15:54:24"/>
    <s v="900800595"/>
    <s v="Provexpress SAS"/>
    <s v="901098332"/>
    <x v="784"/>
    <n v="59546"/>
    <n v="0"/>
    <n v="0"/>
    <n v="372946"/>
    <s v="Aprobado con notificación"/>
    <s v="Emitido"/>
    <x v="0"/>
    <x v="0"/>
    <x v="1"/>
    <x v="0"/>
    <x v="1"/>
    <x v="0"/>
    <m/>
  </r>
  <r>
    <s v="Factura electrónica"/>
    <s v="4d480faf0e9bcca3ffbd4912d81e00405c6874132c8be3fa8f0ea40fead6a24191f1efe7e369e80ae82089423d2f7db9"/>
    <x v="1886"/>
    <n v="-1"/>
    <s v="FVE"/>
    <s v="25-02-2026"/>
    <s v="25-02-2026 15:54:27"/>
    <s v="900800595"/>
    <s v="Provexpress SAS"/>
    <s v="860048112"/>
    <x v="227"/>
    <n v="114000"/>
    <n v="0"/>
    <n v="0"/>
    <n v="714000"/>
    <s v="Aprobado con notificación"/>
    <s v="Emitido"/>
    <x v="0"/>
    <x v="0"/>
    <x v="1"/>
    <x v="0"/>
    <x v="1"/>
    <x v="0"/>
    <m/>
  </r>
  <r>
    <s v="Factura electrónica"/>
    <s v="ba3290ce3de2bd301c7adf18372025ab494c637c25fc52ad9366c9247f6ccc1f43708d6f47e09ebccc9f3a9c5dc323d0"/>
    <x v="1887"/>
    <n v="-1"/>
    <s v="FVE"/>
    <s v="25-02-2026"/>
    <s v="25-02-2026 16:03:23"/>
    <s v="900800595"/>
    <s v="Provexpress SAS"/>
    <s v="830137348"/>
    <x v="651"/>
    <n v="989900"/>
    <n v="0"/>
    <n v="0"/>
    <n v="6199900"/>
    <s v="Aprobado con notificación"/>
    <s v="Emitido"/>
    <x v="0"/>
    <x v="0"/>
    <x v="1"/>
    <x v="0"/>
    <x v="1"/>
    <x v="0"/>
    <m/>
  </r>
  <r>
    <s v="Factura electrónica"/>
    <s v="f299b882575dda1daa0b5ac96829d13a4b80cf72ca0aa941416594dffae8d670b0967c80e322d1790b360f18ce36f870"/>
    <x v="1888"/>
    <n v="-1"/>
    <s v="FVE"/>
    <s v="25-02-2026"/>
    <s v="25-02-2026 16:03:25"/>
    <s v="900800595"/>
    <s v="Provexpress SAS"/>
    <s v="890206354"/>
    <x v="785"/>
    <n v="106077"/>
    <n v="0"/>
    <n v="0"/>
    <n v="681777"/>
    <s v="Aprobado con notificación"/>
    <s v="Emitido"/>
    <x v="0"/>
    <x v="0"/>
    <x v="1"/>
    <x v="0"/>
    <x v="0"/>
    <x v="1"/>
    <s v="PAGA 26/02/2026"/>
  </r>
  <r>
    <s v="Factura electrónica"/>
    <s v="12f9ec884816040c64eab718cc6b25ad81649722073a5e6b33026d05a869015e334bc23128b1e9f488addced500ce8f9"/>
    <x v="1889"/>
    <n v="-1"/>
    <s v="FVE"/>
    <s v="25-02-2026"/>
    <s v="25-02-2026 16:03:27"/>
    <s v="900800595"/>
    <s v="Provexpress SAS"/>
    <s v="900414969"/>
    <x v="786"/>
    <n v="77566.55"/>
    <n v="0"/>
    <n v="0"/>
    <n v="501092.55"/>
    <s v="Aprobado con notificación"/>
    <s v="Emitido"/>
    <x v="0"/>
    <x v="0"/>
    <x v="1"/>
    <x v="0"/>
    <x v="1"/>
    <x v="0"/>
    <m/>
  </r>
  <r>
    <s v="Factura electrónica"/>
    <s v="885f898ced2f23ebc7b3ab77efde804d01e360e35b7f94fb6f3f99a6407cca22208fedf359e69c12f346d9847067eb42"/>
    <x v="1890"/>
    <n v="-1"/>
    <s v="FVE"/>
    <s v="25-02-2026"/>
    <s v="25-02-2026 16:03:31"/>
    <s v="900800595"/>
    <s v="Provexpress SAS"/>
    <s v="800176959"/>
    <x v="787"/>
    <n v="240300"/>
    <n v="0"/>
    <n v="0"/>
    <n v="5046300"/>
    <s v="Aprobado con notificación"/>
    <s v="Emitido"/>
    <x v="0"/>
    <x v="0"/>
    <x v="1"/>
    <x v="0"/>
    <x v="1"/>
    <x v="0"/>
    <m/>
  </r>
  <r>
    <s v="Factura electrónica"/>
    <s v="b4c7ee30d112d08c43ade67225a33f486e0534a260667894fd42d579591ee5445da90a2113c8cbb4a4e6511b5d270838"/>
    <x v="1891"/>
    <n v="-1"/>
    <s v="FVE"/>
    <s v="25-02-2026"/>
    <s v="25-02-2026 16:18:07"/>
    <s v="900800595"/>
    <s v="Provexpress SAS"/>
    <s v="901289668"/>
    <x v="788"/>
    <n v="932178"/>
    <n v="0"/>
    <n v="0"/>
    <n v="5838378"/>
    <s v="Aprobado con notificación"/>
    <s v="Emitido"/>
    <x v="0"/>
    <x v="0"/>
    <x v="1"/>
    <x v="0"/>
    <x v="1"/>
    <x v="0"/>
    <m/>
  </r>
  <r>
    <s v="Factura electrónica"/>
    <s v="9447dfeba81edfafefa8ba36d0b7189ca98797cecf1f18860fa27efeb4989cd62a90b9586bafad5c0152bfa9b0aa5e10"/>
    <x v="1892"/>
    <n v="-1"/>
    <s v="FVE"/>
    <s v="25-02-2026"/>
    <s v="25-02-2026 16:33:13"/>
    <s v="900800595"/>
    <s v="Provexpress SAS"/>
    <s v="901289668"/>
    <x v="788"/>
    <n v="903406.68"/>
    <n v="0"/>
    <n v="0"/>
    <n v="5658178.6799999997"/>
    <s v="Aprobado con notificación"/>
    <s v="Emitido"/>
    <x v="0"/>
    <x v="0"/>
    <x v="1"/>
    <x v="0"/>
    <x v="1"/>
    <x v="0"/>
    <m/>
  </r>
  <r>
    <s v="Factura electrónica"/>
    <s v="29765cc7eafa11e3b3864d307fd522ecb17a2360e762976c668857956a8ddc93d0a1fc5b3135ee0f0c68cf6cea0c859f"/>
    <x v="1893"/>
    <n v="-1"/>
    <s v="FVE"/>
    <s v="25-02-2026"/>
    <s v="25-02-2026 16:33:18"/>
    <s v="900800595"/>
    <s v="Provexpress SAS"/>
    <s v="901380663"/>
    <x v="789"/>
    <n v="144020"/>
    <n v="0"/>
    <n v="0"/>
    <n v="902020"/>
    <s v="Aprobado con notificación"/>
    <s v="Emitido"/>
    <x v="0"/>
    <x v="0"/>
    <x v="1"/>
    <x v="0"/>
    <x v="1"/>
    <x v="0"/>
    <m/>
  </r>
  <r>
    <s v="Factura electrónica"/>
    <s v="4cc4ff78e452061aec29e02253d48b87850174eff8968164db3f2bd18899751bfaac3779667334d5a2d8bd810106399c"/>
    <x v="1894"/>
    <n v="-1"/>
    <s v="FVE"/>
    <s v="25-02-2026"/>
    <s v="25-02-2026 16:33:23"/>
    <s v="900800595"/>
    <s v="Provexpress SAS"/>
    <s v="901289668"/>
    <x v="788"/>
    <n v="854620"/>
    <n v="0"/>
    <n v="0"/>
    <n v="5352620"/>
    <s v="Aprobado con notificación"/>
    <s v="Emitido"/>
    <x v="0"/>
    <x v="0"/>
    <x v="1"/>
    <x v="0"/>
    <x v="1"/>
    <x v="0"/>
    <m/>
  </r>
  <r>
    <s v="Factura electrónica"/>
    <s v="cb618f2888ca99d1798b9a05939934d0f98f46d50670ca4500aa8df46795c5c1b0b967db030fd4525de7310df727d178"/>
    <x v="1895"/>
    <n v="-1"/>
    <s v="FVE"/>
    <s v="26-02-2026"/>
    <s v="26-02-2026 08:35:13"/>
    <s v="900800595"/>
    <s v="Provexpress SAS"/>
    <s v="860352419"/>
    <x v="790"/>
    <n v="10821.7"/>
    <n v="0"/>
    <n v="0"/>
    <n v="67778"/>
    <s v="Aprobado con notificación"/>
    <s v="Emitido"/>
    <x v="0"/>
    <x v="0"/>
    <x v="1"/>
    <x v="0"/>
    <x v="1"/>
    <x v="0"/>
    <m/>
  </r>
  <r>
    <s v="Factura electrónica"/>
    <s v="c776bfead87dda3f386e931d1d6f8f1bfcf9a8df919439c378d2a09f41658fe36eaa824f878c467337fff5bc3c782584"/>
    <x v="1896"/>
    <n v="-1"/>
    <s v="FVE"/>
    <s v="26-02-2026"/>
    <s v="26-02-2026 09:05:21"/>
    <s v="900800595"/>
    <s v="Provexpress SAS"/>
    <s v="830100134"/>
    <x v="791"/>
    <n v="92378"/>
    <n v="0"/>
    <n v="0"/>
    <n v="578578"/>
    <s v="Aprobado con notificación"/>
    <s v="Emitido"/>
    <x v="0"/>
    <x v="0"/>
    <x v="1"/>
    <x v="0"/>
    <x v="1"/>
    <x v="0"/>
    <m/>
  </r>
  <r>
    <s v="Factura electrónica"/>
    <s v="92fb83cb7d5b43b4057684ce6e2d3572e03d4a8de8b83b7576ce41e140ae148cdcfbc7cb956bbfb1155f4353c1a8d186"/>
    <x v="1897"/>
    <n v="-1"/>
    <s v="FVE"/>
    <s v="26-02-2026"/>
    <s v="26-02-2026 09:35:29"/>
    <s v="900800595"/>
    <s v="Provexpress SAS"/>
    <s v="830046757"/>
    <x v="792"/>
    <n v="1872640"/>
    <n v="0"/>
    <n v="0"/>
    <n v="11728640"/>
    <s v="Aprobado con notificación"/>
    <s v="Emitido"/>
    <x v="0"/>
    <x v="0"/>
    <x v="1"/>
    <x v="0"/>
    <x v="1"/>
    <x v="0"/>
    <m/>
  </r>
  <r>
    <s v="Factura electrónica"/>
    <s v="7bbf1f78fe36d3668676a3684323acb585c8d5ce43316155fe5ad4f562e1752b439079a30e3b795ee47924597f5bddc9"/>
    <x v="1898"/>
    <n v="-1"/>
    <s v="FVE"/>
    <s v="26-02-2026"/>
    <s v="26-02-2026 09:35:37"/>
    <s v="900800595"/>
    <s v="Provexpress SAS"/>
    <s v="900208445"/>
    <x v="67"/>
    <n v="339074"/>
    <n v="0"/>
    <n v="0"/>
    <n v="2123674"/>
    <s v="Aprobado con notificación"/>
    <s v="Emitido"/>
    <x v="0"/>
    <x v="0"/>
    <x v="1"/>
    <x v="0"/>
    <x v="1"/>
    <x v="0"/>
    <m/>
  </r>
  <r>
    <s v="Factura electrónica"/>
    <s v="871f886fbdb88f2c8063709ef7a9e02c14170ccd458e07daaaa401a1a4554399ef3f5ccc83856a74d0a9bf079877587f"/>
    <x v="1899"/>
    <n v="-1"/>
    <s v="FVE"/>
    <s v="26-02-2026"/>
    <s v="26-02-2026 09:35:42"/>
    <s v="900800595"/>
    <s v="Provexpress SAS"/>
    <s v="800165377"/>
    <x v="741"/>
    <n v="204630"/>
    <n v="0"/>
    <n v="0"/>
    <n v="1281630"/>
    <s v="Aprobado con notificación"/>
    <s v="Emitido"/>
    <x v="0"/>
    <x v="0"/>
    <x v="1"/>
    <x v="0"/>
    <x v="1"/>
    <x v="0"/>
    <m/>
  </r>
  <r>
    <s v="Factura electrónica"/>
    <s v="0491055ed89f81365ea1685bc4a6d5409c3895724d5a390c708610352d141f8b460fb8ec1313b14a8b7b9258015adbb2"/>
    <x v="1900"/>
    <n v="-1"/>
    <s v="FVE"/>
    <s v="26-02-2026"/>
    <s v="26-02-2026 11:35:54"/>
    <s v="900800595"/>
    <s v="Provexpress SAS"/>
    <s v="860516431"/>
    <x v="793"/>
    <n v="81924.2"/>
    <n v="0"/>
    <n v="0"/>
    <n v="513104.2"/>
    <s v="Aprobado con notificación"/>
    <s v="Emitido"/>
    <x v="0"/>
    <x v="0"/>
    <x v="1"/>
    <x v="0"/>
    <x v="1"/>
    <x v="0"/>
    <m/>
  </r>
  <r>
    <s v="Factura electrónica"/>
    <s v="276053081accb2c49a49d9578a14ee66cf131b633788804d765442b86e357ce92208925d740da42943cb5f42370dd3b4"/>
    <x v="1901"/>
    <n v="-1"/>
    <s v="FVE"/>
    <s v="26-02-2026"/>
    <s v="26-02-2026 11:51:00"/>
    <s v="900800595"/>
    <s v="Provexpress SAS"/>
    <s v="830009573"/>
    <x v="794"/>
    <n v="0"/>
    <n v="0"/>
    <n v="0"/>
    <n v="9244558"/>
    <s v="Aprobado con notificación"/>
    <s v="Emitido"/>
    <x v="0"/>
    <x v="0"/>
    <x v="1"/>
    <x v="0"/>
    <x v="1"/>
    <x v="0"/>
    <m/>
  </r>
  <r>
    <s v="Factura electrónica"/>
    <s v="320d6698440b86d04a27caf60f13ea2875bfb52c027a84d62da967689878fc70b1bf781f35d516c8404efafed38eab06"/>
    <x v="1902"/>
    <n v="-1"/>
    <s v="FVE"/>
    <s v="26-02-2026"/>
    <s v="26-02-2026 12:21:17"/>
    <s v="900800595"/>
    <s v="Provexpress SAS"/>
    <s v="860056070"/>
    <x v="795"/>
    <n v="29087"/>
    <n v="0"/>
    <n v="0"/>
    <n v="610827"/>
    <s v="Aprobado con notificación"/>
    <s v="Emitido"/>
    <x v="0"/>
    <x v="0"/>
    <x v="1"/>
    <x v="0"/>
    <x v="1"/>
    <x v="0"/>
    <m/>
  </r>
  <r>
    <s v="Factura electrónica"/>
    <s v="48fbb21816b98e33bad3a08a74b82d95ba192ed00bd76013d942f9ad83d8af7cfb08d53043a2cdac3e365df3667f984f"/>
    <x v="1903"/>
    <n v="-1"/>
    <s v="FVE"/>
    <s v="26-02-2026"/>
    <s v="26-02-2026 12:21:16"/>
    <s v="900800595"/>
    <s v="Provexpress SAS"/>
    <s v="830009573"/>
    <x v="794"/>
    <n v="0"/>
    <n v="0"/>
    <n v="0"/>
    <n v="9244558"/>
    <s v="Aprobado con notificación"/>
    <s v="Emitido"/>
    <x v="0"/>
    <x v="0"/>
    <x v="1"/>
    <x v="0"/>
    <x v="1"/>
    <x v="0"/>
    <m/>
  </r>
  <r>
    <s v="Factura electrónica"/>
    <s v="26b03ea697d6975349c21fb2df2f80481711d283e8caab4dc1e8809fd973a7c709d951cb898e56ab72e8528954ea2385"/>
    <x v="1904"/>
    <n v="-1"/>
    <s v="FVE"/>
    <s v="26-02-2026"/>
    <s v="26-02-2026 12:21:22"/>
    <s v="900800595"/>
    <s v="Provexpress SAS"/>
    <s v="800155413"/>
    <x v="640"/>
    <n v="1512514"/>
    <n v="0"/>
    <n v="0"/>
    <n v="9473114"/>
    <s v="Aprobado con notificación"/>
    <s v="Emitido"/>
    <x v="0"/>
    <x v="0"/>
    <x v="1"/>
    <x v="0"/>
    <x v="1"/>
    <x v="0"/>
    <m/>
  </r>
  <r>
    <s v="Factura electrónica"/>
    <s v="3057c017911dc9b3610bb9bf1c3b2c165f4fb8cff557fe114d76f673fde69db4379ce721932371bd91cdf53fbac55f0c"/>
    <x v="1905"/>
    <n v="-1"/>
    <s v="FVE"/>
    <s v="26-02-2026"/>
    <s v="26-02-2026 12:36:32"/>
    <s v="900800595"/>
    <s v="Provexpress SAS"/>
    <s v="800155413"/>
    <x v="640"/>
    <n v="1655869"/>
    <n v="0"/>
    <n v="0"/>
    <n v="10370969"/>
    <s v="Aprobado con notificación"/>
    <s v="Emitido"/>
    <x v="0"/>
    <x v="0"/>
    <x v="1"/>
    <x v="0"/>
    <x v="1"/>
    <x v="0"/>
    <m/>
  </r>
  <r>
    <s v="Factura electrónica"/>
    <s v="4dd0cf6b6aa4a85c780595baae8aefcbd3e1fe567b54b6bb92b3efbc58ec2f02c1ef7ec13419778c6df069b79806c32e"/>
    <x v="1906"/>
    <n v="-1"/>
    <s v="FVE"/>
    <s v="26-02-2026"/>
    <s v="26-02-2026 12:36:37"/>
    <s v="900800595"/>
    <s v="Provexpress SAS"/>
    <s v="800156889"/>
    <x v="218"/>
    <n v="409451.9"/>
    <n v="0"/>
    <n v="0"/>
    <n v="2564461.9"/>
    <s v="Aprobado con notificación"/>
    <s v="Emitido"/>
    <x v="0"/>
    <x v="0"/>
    <x v="1"/>
    <x v="0"/>
    <x v="1"/>
    <x v="0"/>
    <m/>
  </r>
  <r>
    <s v="Factura electrónica"/>
    <s v="4ea5a52767559ea3502a23205a443b743f98c9f30cce3daa2ea0a7cd1c18010f4a195cbcc9a46a484a8d08ae7ea70ce1"/>
    <x v="1907"/>
    <n v="-1"/>
    <s v="FVE"/>
    <s v="26-02-2026"/>
    <s v="26-02-2026 12:36:41"/>
    <s v="900800595"/>
    <s v="Provexpress SAS"/>
    <s v="830009573"/>
    <x v="794"/>
    <n v="0"/>
    <n v="0"/>
    <n v="0"/>
    <n v="4622279"/>
    <s v="Aprobado con notificación"/>
    <s v="Emitido"/>
    <x v="0"/>
    <x v="0"/>
    <x v="1"/>
    <x v="0"/>
    <x v="1"/>
    <x v="0"/>
    <m/>
  </r>
  <r>
    <s v="Factura electrónica"/>
    <s v="96edeb537eee2831ca828fee3dde30b15f5d737f705de21ffe05b164fcdbbda63f679e4249e470d3c34f7b4c4de3dd1f"/>
    <x v="1908"/>
    <n v="-1"/>
    <s v="FVE"/>
    <s v="26-02-2026"/>
    <s v="26-02-2026 13:06:49"/>
    <s v="900800595"/>
    <s v="Provexpress SAS"/>
    <s v="860000656"/>
    <x v="332"/>
    <n v="513000"/>
    <n v="0"/>
    <n v="0"/>
    <n v="3213000"/>
    <s v="Aprobado con notificación"/>
    <s v="Emitido"/>
    <x v="0"/>
    <x v="0"/>
    <x v="1"/>
    <x v="0"/>
    <x v="1"/>
    <x v="0"/>
    <m/>
  </r>
  <r>
    <s v="Factura electrónica"/>
    <s v="4934b88b39995ce787c802409966777a218aa52e1ace409a64de812d1dfeeb43e95dca0ecb0ab2aff10b15fb776ed847"/>
    <x v="1909"/>
    <n v="-1"/>
    <s v="FVE"/>
    <s v="26-02-2026"/>
    <s v="26-02-2026 14:22:01"/>
    <s v="900800595"/>
    <s v="Provexpress SAS"/>
    <s v="900208029"/>
    <x v="417"/>
    <n v="755636.46"/>
    <n v="0"/>
    <n v="0"/>
    <n v="4732670.46"/>
    <s v="Aprobado con notificación"/>
    <s v="Emitido"/>
    <x v="0"/>
    <x v="0"/>
    <x v="1"/>
    <x v="0"/>
    <x v="1"/>
    <x v="0"/>
    <m/>
  </r>
  <r>
    <s v="Factura electrónica"/>
    <s v="a3ef7a450076a03e7c8c1d687a63a39fc3142f6cc3733322ffe91082558320985b46ee7370e3f15bcd32e363a7b2e77c"/>
    <x v="1910"/>
    <n v="-1"/>
    <s v="FVE"/>
    <s v="26-02-2026"/>
    <s v="26-02-2026 14:22:06"/>
    <s v="900800595"/>
    <s v="Provexpress SAS"/>
    <s v="1048847378"/>
    <x v="796"/>
    <n v="26111.32"/>
    <n v="0"/>
    <n v="0"/>
    <n v="163539.32"/>
    <s v="Aprobado con notificación"/>
    <s v="Emitido"/>
    <x v="0"/>
    <x v="0"/>
    <x v="1"/>
    <x v="0"/>
    <x v="1"/>
    <x v="0"/>
    <m/>
  </r>
  <r>
    <s v="Factura electrónica"/>
    <s v="7a568b0fa689bdac8c3bc3ba09ba6d8e33a87cd047261d19f338fdaa90069253475e3448e744dab97d752216cc6aa288"/>
    <x v="1911"/>
    <n v="-1"/>
    <s v="FVE"/>
    <s v="26-02-2026"/>
    <s v="26-02-2026 14:22:10"/>
    <s v="900800595"/>
    <s v="Provexpress SAS"/>
    <s v="830020915"/>
    <x v="797"/>
    <n v="237734.73"/>
    <n v="0"/>
    <n v="0"/>
    <n v="1648691.73"/>
    <s v="Aprobado con notificación"/>
    <s v="Emitido"/>
    <x v="0"/>
    <x v="0"/>
    <x v="1"/>
    <x v="0"/>
    <x v="1"/>
    <x v="0"/>
    <m/>
  </r>
  <r>
    <s v="Factura electrónica"/>
    <s v="b779221ea10dd702f467a799bcba00afab3e4ec2073071ff1a71393e1b321abb36ffda4a1693adb8a69c0263c3d233ec"/>
    <x v="1912"/>
    <n v="-1"/>
    <s v="FVE"/>
    <s v="26-02-2026"/>
    <s v="26-02-2026 14:22:15"/>
    <s v="900800595"/>
    <s v="Provexpress SAS"/>
    <s v="860512249"/>
    <x v="382"/>
    <n v="568856.19999999995"/>
    <n v="0"/>
    <n v="0"/>
    <n v="3562836.2"/>
    <s v="Aprobado con notificación"/>
    <s v="Emitido"/>
    <x v="0"/>
    <x v="0"/>
    <x v="1"/>
    <x v="0"/>
    <x v="1"/>
    <x v="0"/>
    <m/>
  </r>
  <r>
    <s v="Factura electrónica"/>
    <s v="207fc4d1b2f54f47cc2bbd379f8ca09629ee2bfe23deec569cf1b86a55a6fb19cdd3b7669831988cddf2cd1b16f58c10"/>
    <x v="1913"/>
    <n v="-1"/>
    <s v="FVE"/>
    <s v="26-02-2026"/>
    <s v="26-02-2026 14:22:20"/>
    <s v="900800595"/>
    <s v="Provexpress SAS"/>
    <s v="900422533"/>
    <x v="798"/>
    <n v="0"/>
    <n v="0"/>
    <n v="0"/>
    <n v="4487840"/>
    <s v="Aprobado con notificación"/>
    <s v="Emitido"/>
    <x v="0"/>
    <x v="0"/>
    <x v="1"/>
    <x v="0"/>
    <x v="1"/>
    <x v="0"/>
    <m/>
  </r>
  <r>
    <s v="Factura electrónica"/>
    <s v="3607daccd767d6c8a378e83bad4e965424f910893a78670ea6c98f5ea51ee2d95328d746a1b5b7e35f7f9b183f133693"/>
    <x v="1914"/>
    <n v="-1"/>
    <s v="FVE"/>
    <s v="26-02-2026"/>
    <s v="26-02-2026 14:37:28"/>
    <s v="900800595"/>
    <s v="Provexpress SAS"/>
    <s v="900958413"/>
    <x v="799"/>
    <n v="0"/>
    <n v="0"/>
    <n v="0"/>
    <n v="4588360"/>
    <s v="Aprobado con notificación"/>
    <s v="Emitido"/>
    <x v="0"/>
    <x v="0"/>
    <x v="1"/>
    <x v="0"/>
    <x v="1"/>
    <x v="0"/>
    <m/>
  </r>
  <r>
    <s v="Factura electrónica"/>
    <s v="c49fe53c62e1ebc3be300d0a0ffef4d7a22cc878133e71db9f510cafcd1c0e5773fa075da41f707842afb36a6f7e8366"/>
    <x v="1915"/>
    <n v="-1"/>
    <s v="FVE"/>
    <s v="26-02-2026"/>
    <s v="26-02-2026 14:37:35"/>
    <s v="900800595"/>
    <s v="Provexpress SAS"/>
    <s v="900422533"/>
    <x v="798"/>
    <n v="0"/>
    <n v="0"/>
    <n v="0"/>
    <n v="927677"/>
    <s v="Aprobado con notificación"/>
    <s v="Emitido"/>
    <x v="0"/>
    <x v="0"/>
    <x v="1"/>
    <x v="0"/>
    <x v="1"/>
    <x v="0"/>
    <m/>
  </r>
  <r>
    <s v="Factura electrónica"/>
    <s v="29ed0cc1ac684899a17969b7df6f38244c7ca8ef9ba47951071463dc6e2902a0c3b6dbf31fcb1a182b82dfbcb44f9d56"/>
    <x v="1916"/>
    <n v="-1"/>
    <s v="FVE"/>
    <s v="26-02-2026"/>
    <s v="26-02-2026 15:00:34"/>
    <s v="900800595"/>
    <s v="Provexpress SAS"/>
    <s v="900422533"/>
    <x v="798"/>
    <n v="404584.67"/>
    <n v="0"/>
    <n v="0"/>
    <n v="2533977.67"/>
    <s v="Aprobado con notificación"/>
    <s v="Emitido"/>
    <x v="0"/>
    <x v="0"/>
    <x v="1"/>
    <x v="0"/>
    <x v="1"/>
    <x v="0"/>
    <m/>
  </r>
  <r>
    <s v="Factura electrónica"/>
    <s v="b51c349cfd5002a8c348ff2162244914b6d595f1aa5f9c5002d3b2da912cf7c2d5172a7cca75cccd885d98b1149e8935"/>
    <x v="1917"/>
    <n v="-1"/>
    <s v="FVE"/>
    <s v="26-02-2026"/>
    <s v="26-02-2026 15:03:04"/>
    <s v="900800595"/>
    <s v="Provexpress SAS"/>
    <s v="900300055"/>
    <x v="800"/>
    <n v="27360"/>
    <n v="0"/>
    <n v="0"/>
    <n v="171360"/>
    <s v="Aprobado con notificación"/>
    <s v="Emitido"/>
    <x v="0"/>
    <x v="0"/>
    <x v="1"/>
    <x v="0"/>
    <x v="1"/>
    <x v="0"/>
    <m/>
  </r>
  <r>
    <s v="Factura electrónica"/>
    <s v="e7d1086496793b1e78ca45e2f4f7a57185b39d5860e415241e1e0ad2131f80eb7ec8cb57dd0ec55997919b73e88a12e4"/>
    <x v="1918"/>
    <n v="-1"/>
    <s v="FVE"/>
    <s v="26-02-2026"/>
    <s v="26-02-2026 15:40:17"/>
    <s v="900800595"/>
    <s v="Provexpress SAS"/>
    <s v="860045210"/>
    <x v="137"/>
    <n v="35910"/>
    <n v="0"/>
    <n v="0"/>
    <n v="224910"/>
    <s v="Aprobado con notificación"/>
    <s v="Emitido"/>
    <x v="0"/>
    <x v="0"/>
    <x v="1"/>
    <x v="0"/>
    <x v="1"/>
    <x v="0"/>
    <m/>
  </r>
  <r>
    <s v="Factura electrónica"/>
    <s v="ab7e7c6015f7cfb358a80644d7cd3c5ce5a76bfd139efe79514591ec7d31daf590ba7df5fc44b658e3a896d726d450f5"/>
    <x v="1919"/>
    <n v="-1"/>
    <s v="FVE"/>
    <s v="26-02-2026"/>
    <s v="26-02-2026 16:39:46"/>
    <s v="900800595"/>
    <s v="Provexpress SAS"/>
    <s v="860000656"/>
    <x v="332"/>
    <n v="418000"/>
    <n v="0"/>
    <n v="0"/>
    <n v="2618000"/>
    <s v="Aprobado con notificación"/>
    <s v="Emitido"/>
    <x v="0"/>
    <x v="0"/>
    <x v="1"/>
    <x v="0"/>
    <x v="1"/>
    <x v="0"/>
    <m/>
  </r>
  <r>
    <s v="Factura electrónica"/>
    <s v="af5409fde9d12851db42abd8560dfb52a8d404c46b03e41e72e330e389e94946fbd33885831ba9e3633d036a47f86b7b"/>
    <x v="1920"/>
    <n v="-1"/>
    <s v="FVE"/>
    <s v="26-02-2026"/>
    <s v="26-02-2026 16:39:48"/>
    <s v="900800595"/>
    <s v="Provexpress SAS"/>
    <s v="800241469"/>
    <x v="48"/>
    <n v="351500"/>
    <n v="0"/>
    <n v="0"/>
    <n v="2201500"/>
    <s v="Aprobado con notificación"/>
    <s v="Emitido"/>
    <x v="0"/>
    <x v="0"/>
    <x v="1"/>
    <x v="0"/>
    <x v="0"/>
    <x v="1"/>
    <s v="PAGA 2/03/2026"/>
  </r>
  <r>
    <s v="Factura electrónica"/>
    <s v="256bc00995296cf3ab8b3397e06a9e71d7e4845abd190aeecdadc794270cce55b1b29f901ab308000dbad435d6ee226a"/>
    <x v="1921"/>
    <n v="-1"/>
    <s v="FVE"/>
    <s v="26-02-2026"/>
    <s v="26-02-2026 16:39:55"/>
    <s v="900800595"/>
    <s v="Provexpress SAS"/>
    <s v="800241469"/>
    <x v="48"/>
    <n v="756200"/>
    <n v="0"/>
    <n v="0"/>
    <n v="4736200"/>
    <s v="Aprobado con notificación"/>
    <s v="Emitido"/>
    <x v="0"/>
    <x v="0"/>
    <x v="1"/>
    <x v="0"/>
    <x v="0"/>
    <x v="1"/>
    <s v="PAGA 02/03/2026"/>
  </r>
  <r>
    <s v="Factura electrónica"/>
    <s v="cf2244bc219b03a65b87bb5ec3a09e5bdab809b65f392ea47fb4b22b922d0ae498ab80b21a888204fb59d8a4563f8d72"/>
    <x v="1922"/>
    <n v="-1"/>
    <s v="FVE"/>
    <s v="26-02-2026"/>
    <s v="26-02-2026 17:19:38"/>
    <s v="900800595"/>
    <s v="Provexpress SAS"/>
    <s v="900270083"/>
    <x v="756"/>
    <n v="2278267.39"/>
    <n v="0"/>
    <n v="0"/>
    <n v="14269148.390000001"/>
    <s v="Aprobado con notificación"/>
    <s v="Emitido"/>
    <x v="0"/>
    <x v="0"/>
    <x v="1"/>
    <x v="0"/>
    <x v="1"/>
    <x v="0"/>
    <m/>
  </r>
  <r>
    <s v="Factura electrónica"/>
    <s v="d6be299beaabe682ad8cc296f3a88710b3479fa9d93b749f7866694b126aa9960fda3ee6322f33e23ea9797e4f2f0b9b"/>
    <x v="1923"/>
    <n v="-1"/>
    <s v="FVE"/>
    <s v="27-02-2026"/>
    <s v="27-02-2026 08:09:56"/>
    <s v="900800595"/>
    <s v="Provexpress SAS"/>
    <s v="900682561"/>
    <x v="506"/>
    <n v="728545.5"/>
    <n v="0"/>
    <n v="0"/>
    <n v="4562995.5"/>
    <s v="Aprobado con notificación"/>
    <s v="Emitido"/>
    <x v="0"/>
    <x v="0"/>
    <x v="1"/>
    <x v="0"/>
    <x v="1"/>
    <x v="0"/>
    <m/>
  </r>
  <r>
    <s v="Factura electrónica"/>
    <s v="9f697648bfeb7e75e3071da777d17319c33959d1c0ab151811db5ec6e4072aaaf4d3abb837e179e68597ebcd4db7be9c"/>
    <x v="1924"/>
    <n v="-1"/>
    <s v="FVE"/>
    <s v="27-02-2026"/>
    <s v="27-02-2026 10:40:21"/>
    <s v="900800595"/>
    <s v="Provexpress SAS"/>
    <s v="800250763"/>
    <x v="801"/>
    <n v="185250"/>
    <n v="0"/>
    <n v="0"/>
    <n v="1160250"/>
    <s v="Aprobado con notificación"/>
    <s v="Emitido"/>
    <x v="0"/>
    <x v="0"/>
    <x v="1"/>
    <x v="0"/>
    <x v="1"/>
    <x v="0"/>
    <m/>
  </r>
  <r>
    <s v="Factura electrónica"/>
    <s v="1afb62842750835cdfcefb3e940965985751a5eabaae4b73b8d3296695b716147a094151c643f42e818c4bace3607f2e"/>
    <x v="1925"/>
    <n v="-1"/>
    <s v="FVE"/>
    <s v="27-02-2026"/>
    <s v="27-02-2026 10:40:25"/>
    <s v="900800595"/>
    <s v="Provexpress SAS"/>
    <s v="830033177"/>
    <x v="802"/>
    <n v="0"/>
    <n v="0"/>
    <n v="0"/>
    <n v="4342009"/>
    <s v="Aprobado con notificación"/>
    <s v="Emitido"/>
    <x v="0"/>
    <x v="0"/>
    <x v="1"/>
    <x v="0"/>
    <x v="1"/>
    <x v="0"/>
    <m/>
  </r>
  <r>
    <s v="Factura electrónica"/>
    <s v="654db66066b024693a71b3c79fbcd8523e431d343bcedfec27bf84e4eb6ee5e5126b6bf9e1fde6c8d134587e0187b96e"/>
    <x v="1926"/>
    <n v="-1"/>
    <s v="FVE"/>
    <s v="27-02-2026"/>
    <s v="27-02-2026 10:40:30"/>
    <s v="900800595"/>
    <s v="Provexpress SAS"/>
    <s v="860073087"/>
    <x v="803"/>
    <n v="295149.52"/>
    <n v="0"/>
    <n v="0"/>
    <n v="2375557.52"/>
    <s v="Aprobado con notificación"/>
    <s v="Emitido"/>
    <x v="0"/>
    <x v="0"/>
    <x v="1"/>
    <x v="0"/>
    <x v="1"/>
    <x v="0"/>
    <m/>
  </r>
  <r>
    <s v="Factura electrónica"/>
    <s v="d472f1edf7d790af484251adeec38cb694dcc6a33068fb255881149fd7589694fc7571a8a1b9131eaa05c68149975071"/>
    <x v="1927"/>
    <n v="-1"/>
    <s v="FVE"/>
    <s v="27-02-2026"/>
    <s v="27-02-2026 10:40:34"/>
    <s v="900800595"/>
    <s v="Provexpress SAS"/>
    <s v="900132714"/>
    <x v="208"/>
    <n v="38000"/>
    <n v="0"/>
    <n v="0"/>
    <n v="238000"/>
    <s v="Aprobado con notificación"/>
    <s v="Emitido"/>
    <x v="0"/>
    <x v="0"/>
    <x v="1"/>
    <x v="0"/>
    <x v="1"/>
    <x v="0"/>
    <m/>
  </r>
  <r>
    <s v="Factura electrónica"/>
    <s v="98fc113b53536a84ba0a750206218df01cbf47792f5b5f4f7f1d0a6c43f5f79818cdf39daf01342c986aaf15c1181fdd"/>
    <x v="1928"/>
    <n v="-1"/>
    <s v="FVE"/>
    <s v="27-02-2026"/>
    <s v="27-02-2026 10:40:39"/>
    <s v="900800595"/>
    <s v="Provexpress SAS"/>
    <s v="900132714"/>
    <x v="208"/>
    <n v="73978.59"/>
    <n v="0"/>
    <n v="0"/>
    <n v="463339.59"/>
    <s v="Aprobado con notificación"/>
    <s v="Emitido"/>
    <x v="0"/>
    <x v="0"/>
    <x v="1"/>
    <x v="0"/>
    <x v="1"/>
    <x v="0"/>
    <m/>
  </r>
  <r>
    <s v="Factura electrónica"/>
    <s v="debbaa1a90351797d8425a38cef2e7b5d591a1187f3f451a98e808d5c8fdf82409707c503aa22502eac5dc76c85eec90"/>
    <x v="1929"/>
    <n v="-1"/>
    <s v="FVE"/>
    <s v="27-02-2026"/>
    <s v="27-02-2026 10:40:44"/>
    <s v="900800595"/>
    <s v="Provexpress SAS"/>
    <s v="901134016"/>
    <x v="488"/>
    <n v="102970.22"/>
    <n v="0"/>
    <n v="0"/>
    <n v="806838.22"/>
    <s v="Aprobado con notificación"/>
    <s v="Emitido"/>
    <x v="0"/>
    <x v="0"/>
    <x v="1"/>
    <x v="0"/>
    <x v="1"/>
    <x v="0"/>
    <m/>
  </r>
  <r>
    <s v="Factura electrónica"/>
    <s v="489df78b623f377b69c0f8184660c51f26ae16119adb69032c0d7d0102113b1b4cb6187371d94d77c20f54c4b34f5ead"/>
    <x v="1930"/>
    <n v="-1"/>
    <s v="FVE"/>
    <s v="27-02-2026"/>
    <s v="27-02-2026 10:55:50"/>
    <s v="900800595"/>
    <s v="Provexpress SAS"/>
    <s v="830014588"/>
    <x v="804"/>
    <n v="312911"/>
    <n v="0"/>
    <n v="0"/>
    <n v="1959811"/>
    <s v="Aprobado con notificación"/>
    <s v="Emitido"/>
    <x v="0"/>
    <x v="0"/>
    <x v="1"/>
    <x v="0"/>
    <x v="1"/>
    <x v="0"/>
    <m/>
  </r>
  <r>
    <s v="Factura electrónica"/>
    <s v="aa5a3172a25d1cc56994b0a83725d87f54f980ca9f985c0dc693a2e3c33e329497dbdfbe2c440fb380cd77c38298d641"/>
    <x v="1931"/>
    <n v="-1"/>
    <s v="FVE"/>
    <s v="27-02-2026"/>
    <s v="27-02-2026 10:55:55"/>
    <s v="900800595"/>
    <s v="Provexpress SAS"/>
    <s v="832000464"/>
    <x v="805"/>
    <n v="0"/>
    <n v="0"/>
    <n v="0"/>
    <n v="1742700"/>
    <s v="Aprobado con notificación"/>
    <s v="Emitido"/>
    <x v="0"/>
    <x v="0"/>
    <x v="1"/>
    <x v="0"/>
    <x v="1"/>
    <x v="0"/>
    <m/>
  </r>
  <r>
    <s v="Factura electrónica"/>
    <s v="aee90a39a9b7852f2e5c6781a5cb771073546d862458ad39f15f4d0bea4ff3ab7475f95a65e062892e0a701068ea1403"/>
    <x v="1932"/>
    <n v="-1"/>
    <s v="FVE"/>
    <s v="27-02-2026"/>
    <s v="27-02-2026 10:55:59"/>
    <s v="900800595"/>
    <s v="Provexpress SAS"/>
    <s v="860024041"/>
    <x v="581"/>
    <n v="1994620"/>
    <n v="0"/>
    <n v="0"/>
    <n v="12492620"/>
    <s v="Aprobado con notificación"/>
    <s v="Emitido"/>
    <x v="0"/>
    <x v="0"/>
    <x v="1"/>
    <x v="0"/>
    <x v="1"/>
    <x v="0"/>
    <m/>
  </r>
  <r>
    <s v="Factura electrónica"/>
    <s v="814d218d981302db9413878e89591267382b7d62cac25f3bf9db38b97232a427c1f3a4c012841636cb65f08a0c985fc2"/>
    <x v="1933"/>
    <n v="-1"/>
    <s v="FVE"/>
    <s v="27-02-2026"/>
    <s v="27-02-2026 12:12:52"/>
    <s v="900800595"/>
    <s v="Provexpress SAS"/>
    <s v="830015820"/>
    <x v="806"/>
    <n v="217953.37"/>
    <n v="0"/>
    <n v="0"/>
    <n v="1365076.37"/>
    <s v="Aprobado con notificación"/>
    <s v="Emitido"/>
    <x v="0"/>
    <x v="0"/>
    <x v="1"/>
    <x v="0"/>
    <x v="1"/>
    <x v="0"/>
    <m/>
  </r>
  <r>
    <s v="Factura electrónica"/>
    <s v="11e97aa13f669f614e776694eceada9d35130b00f6a101453b50d23dd4c331f24caaf34db2d6416c56a3f27e22cb6a83"/>
    <x v="1934"/>
    <n v="-1"/>
    <s v="FVE"/>
    <s v="27-02-2026"/>
    <s v="27-02-2026 12:41:33"/>
    <s v="900800595"/>
    <s v="Provexpress SAS"/>
    <s v="901766222"/>
    <x v="771"/>
    <n v="858452.87"/>
    <n v="0"/>
    <n v="0"/>
    <n v="5376625.8700000001"/>
    <s v="Aprobado con notificación"/>
    <s v="Emitido"/>
    <x v="0"/>
    <x v="0"/>
    <x v="1"/>
    <x v="0"/>
    <x v="0"/>
    <x v="1"/>
    <s v="PAGO EN EL SISTEMA  2/03/2026"/>
  </r>
  <r>
    <s v="Factura electrónica"/>
    <s v="af329642101ae8d84b86ed7803abaa200a7eddd348cf68db4c662537c5bcf7bba2de5413925f3d405024673c43a26025"/>
    <x v="1935"/>
    <n v="-1"/>
    <s v="FVE"/>
    <s v="27-02-2026"/>
    <s v="27-02-2026 14:26:48"/>
    <s v="900800595"/>
    <s v="Provexpress SAS"/>
    <s v="830002181"/>
    <x v="194"/>
    <n v="0"/>
    <n v="0"/>
    <n v="0"/>
    <n v="2325000"/>
    <s v="Aprobado con notificación"/>
    <s v="Emitido"/>
    <x v="0"/>
    <x v="0"/>
    <x v="1"/>
    <x v="0"/>
    <x v="1"/>
    <x v="0"/>
    <m/>
  </r>
  <r>
    <s v="Factura electrónica"/>
    <s v="89266b3eb3cd357c4f51b239849bae6fa99ac64339a14d4880aa92ec920c8fffeb5f43f920d2f7c15b8d475099f31c30"/>
    <x v="1936"/>
    <n v="-1"/>
    <s v="FVE"/>
    <s v="27-02-2026"/>
    <s v="27-02-2026 15:12:09"/>
    <s v="900800595"/>
    <s v="Provexpress SAS"/>
    <s v="900299947"/>
    <x v="807"/>
    <n v="63840"/>
    <n v="0"/>
    <n v="0"/>
    <n v="399840"/>
    <s v="Aprobado con notificación"/>
    <s v="Emitido"/>
    <x v="0"/>
    <x v="0"/>
    <x v="1"/>
    <x v="0"/>
    <x v="1"/>
    <x v="0"/>
    <m/>
  </r>
  <r>
    <s v="Factura electrónica"/>
    <s v="a7ef979a9cd7d7b33845cda1ca7d0300742b7ddacb9c5ab3eb620531e1ce7d2bc10275fdb5b365acae35294a0f1752a2"/>
    <x v="1937"/>
    <n v="-1"/>
    <s v="FVE"/>
    <s v="27-02-2026"/>
    <s v="27-02-2026 15:27:15"/>
    <s v="900800595"/>
    <s v="Provexpress SAS"/>
    <s v="830079015"/>
    <x v="808"/>
    <n v="311600"/>
    <n v="0"/>
    <n v="0"/>
    <n v="1951600"/>
    <s v="Aprobado con notificación"/>
    <s v="Emitido"/>
    <x v="0"/>
    <x v="0"/>
    <x v="1"/>
    <x v="0"/>
    <x v="1"/>
    <x v="0"/>
    <m/>
  </r>
  <r>
    <s v="Factura electrónica"/>
    <s v="1ccd4e75f2e1a0a6647b6d9b03bdf54800cc76100c0830b4243c279e69def51461b7aefd5aa0c8c9f9ce343868952158"/>
    <x v="1938"/>
    <n v="107596"/>
    <s v="FVE"/>
    <s v="27-02-2026"/>
    <s v="27-02-2026 15:42:27"/>
    <s v="900800595"/>
    <s v="Provexpress SAS"/>
    <s v="900326523"/>
    <x v="372"/>
    <n v="142880"/>
    <n v="0"/>
    <n v="0"/>
    <n v="894880"/>
    <s v="Aprobado con notificación"/>
    <s v="Emitido"/>
    <x v="0"/>
    <x v="0"/>
    <x v="1"/>
    <x v="0"/>
    <x v="1"/>
    <x v="0"/>
    <m/>
  </r>
  <r>
    <m/>
    <m/>
    <x v="1939"/>
    <m/>
    <m/>
    <m/>
    <m/>
    <m/>
    <m/>
    <m/>
    <x v="809"/>
    <m/>
    <m/>
    <m/>
    <m/>
    <m/>
    <m/>
    <x v="0"/>
    <x v="0"/>
    <x v="1"/>
    <x v="0"/>
    <x v="0"/>
    <x v="0"/>
    <m/>
  </r>
  <r>
    <m/>
    <m/>
    <x v="1939"/>
    <m/>
    <m/>
    <m/>
    <m/>
    <m/>
    <m/>
    <m/>
    <x v="809"/>
    <m/>
    <m/>
    <m/>
    <m/>
    <m/>
    <m/>
    <x v="0"/>
    <x v="0"/>
    <x v="1"/>
    <x v="0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E6063-8457-4868-B7C1-9DE8E77FA57A}" name="Tabla dinámica1" cacheId="8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612" firstHeaderRow="0" firstDataRow="1" firstDataCol="2" rowPageCount="1" colPageCount="1"/>
  <pivotFields count="24">
    <pivotField compact="0" outline="0" showAll="0"/>
    <pivotField compact="0" outline="0" showAll="0"/>
    <pivotField axis="axisRow" compact="0" outline="0" showAll="0">
      <items count="3480">
        <item m="1" x="1942"/>
        <item m="1" x="1943"/>
        <item m="1" x="1944"/>
        <item m="1" x="1945"/>
        <item m="1" x="1946"/>
        <item m="1" x="3415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3416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3417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3418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341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3420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3421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3422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3423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3424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3425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3426"/>
        <item m="1" x="3427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3428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3429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3430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3431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3432"/>
        <item m="1" x="2369"/>
        <item m="1" x="2370"/>
        <item m="1" x="2371"/>
        <item m="1" x="3433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3434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3435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3477"/>
        <item m="1" x="3478"/>
        <item m="1" x="2478"/>
        <item m="1" x="2479"/>
        <item m="1" x="2480"/>
        <item m="1" x="2481"/>
        <item m="1" x="2482"/>
        <item m="1" x="2483"/>
        <item m="1" x="2484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3436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3437"/>
        <item m="1" x="2629"/>
        <item m="1" x="2630"/>
        <item m="1" x="2631"/>
        <item m="1" x="2632"/>
        <item m="1" x="2633"/>
        <item m="1" x="2634"/>
        <item m="1" x="2635"/>
        <item m="1" x="2636"/>
        <item m="1" x="3438"/>
        <item m="1" x="2637"/>
        <item m="1" x="2638"/>
        <item m="1" x="2639"/>
        <item m="1" x="2640"/>
        <item m="1" x="2641"/>
        <item m="1" x="3439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3440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3441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3442"/>
        <item m="1" x="2811"/>
        <item m="1" x="2812"/>
        <item m="1" x="3443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344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3445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3446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447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448"/>
        <item m="1" x="3079"/>
        <item m="1" x="3080"/>
        <item m="1" x="3081"/>
        <item m="1" x="3082"/>
        <item m="1" x="3083"/>
        <item m="1" x="3084"/>
        <item m="1" x="3449"/>
        <item m="1" x="3450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451"/>
        <item m="1" x="3127"/>
        <item m="1" x="3128"/>
        <item m="1" x="3129"/>
        <item m="1" x="3130"/>
        <item m="1" x="3131"/>
        <item m="1" x="3132"/>
        <item m="1" x="3133"/>
        <item m="1" x="3134"/>
        <item m="1" x="3452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453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454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45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456"/>
        <item m="1" x="345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458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459"/>
        <item m="1" x="3270"/>
        <item m="1" x="3271"/>
        <item m="1" x="3272"/>
        <item m="1" x="3273"/>
        <item m="1" x="3274"/>
        <item m="1" x="3275"/>
        <item m="1" x="3276"/>
        <item m="1" x="3460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470"/>
        <item m="1" x="3370"/>
        <item m="1" x="1941"/>
        <item m="1" x="3414"/>
        <item m="1" x="3371"/>
        <item m="1" x="3372"/>
        <item m="1" x="3373"/>
        <item m="1" x="3374"/>
        <item m="1" x="3375"/>
        <item m="1" x="3376"/>
        <item m="1" x="3377"/>
        <item m="1" x="3378"/>
        <item m="1" x="3471"/>
        <item m="1" x="3379"/>
        <item m="1" x="3380"/>
        <item m="1" x="3381"/>
        <item m="1" x="3382"/>
        <item m="1" x="3383"/>
        <item m="1" x="3472"/>
        <item m="1" x="3473"/>
        <item m="1" x="3384"/>
        <item m="1" x="3385"/>
        <item m="1" x="3386"/>
        <item m="1" x="3387"/>
        <item m="1" x="3388"/>
        <item m="1" x="3389"/>
        <item m="1" x="3474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75"/>
        <item m="1" x="3404"/>
        <item m="1" x="3405"/>
        <item m="1" x="3406"/>
        <item m="1" x="3407"/>
        <item m="1" x="3408"/>
        <item m="1" x="3409"/>
        <item m="1" x="3410"/>
        <item m="1" x="3476"/>
        <item m="1" x="3411"/>
        <item m="1" x="3412"/>
        <item m="1" x="3413"/>
        <item m="1" x="1940"/>
        <item m="1" x="2477"/>
        <item m="1" x="2485"/>
        <item x="19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2"/>
        <item x="1426"/>
        <item x="1431"/>
        <item x="1435"/>
        <item x="1437"/>
        <item x="1440"/>
        <item x="1448"/>
        <item x="1450"/>
        <item x="1452"/>
        <item x="1454"/>
        <item x="1463"/>
        <item x="1465"/>
        <item x="1467"/>
        <item x="1476"/>
        <item x="1481"/>
        <item x="1482"/>
        <item x="1483"/>
        <item x="1490"/>
        <item x="1502"/>
        <item x="1506"/>
        <item x="1508"/>
        <item x="1421"/>
        <item x="1423"/>
        <item x="1424"/>
        <item x="1425"/>
        <item x="1427"/>
        <item x="1428"/>
        <item x="1429"/>
        <item x="1430"/>
        <item x="1432"/>
        <item x="1433"/>
        <item x="1434"/>
        <item x="1436"/>
        <item x="1438"/>
        <item x="1439"/>
        <item x="1441"/>
        <item x="1442"/>
        <item x="1443"/>
        <item x="1444"/>
        <item x="1445"/>
        <item x="1446"/>
        <item x="1447"/>
        <item x="1449"/>
        <item x="1451"/>
        <item x="1453"/>
        <item x="1455"/>
        <item x="1456"/>
        <item x="1457"/>
        <item x="1458"/>
        <item x="1459"/>
        <item x="1460"/>
        <item x="1461"/>
        <item x="1462"/>
        <item x="1464"/>
        <item x="1466"/>
        <item x="1468"/>
        <item x="1469"/>
        <item x="1470"/>
        <item x="1471"/>
        <item x="1472"/>
        <item x="1473"/>
        <item x="1474"/>
        <item x="1475"/>
        <item x="1477"/>
        <item x="1478"/>
        <item x="1479"/>
        <item x="1480"/>
        <item x="1484"/>
        <item x="1485"/>
        <item x="1486"/>
        <item x="1487"/>
        <item x="1488"/>
        <item x="1489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3"/>
        <item x="1504"/>
        <item x="1505"/>
        <item x="1507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833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80">
        <item x="470"/>
        <item m="1" x="916"/>
        <item m="1" x="956"/>
        <item m="1" x="974"/>
        <item m="1" x="991"/>
        <item x="640"/>
        <item x="381"/>
        <item x="34"/>
        <item x="39"/>
        <item x="245"/>
        <item sd="0" x="52"/>
        <item m="1" x="835"/>
        <item x="747"/>
        <item x="225"/>
        <item x="645"/>
        <item m="1" x="915"/>
        <item x="508"/>
        <item x="124"/>
        <item m="1" x="888"/>
        <item x="554"/>
        <item x="375"/>
        <item m="1" x="944"/>
        <item m="1" x="861"/>
        <item m="1" x="889"/>
        <item m="1" x="1005"/>
        <item x="695"/>
        <item x="46"/>
        <item x="498"/>
        <item x="620"/>
        <item x="707"/>
        <item m="1" x="1072"/>
        <item m="1" x="866"/>
        <item m="1" x="1003"/>
        <item m="1" x="828"/>
        <item x="252"/>
        <item m="1" x="816"/>
        <item x="50"/>
        <item x="500"/>
        <item m="1" x="811"/>
        <item m="1" x="989"/>
        <item x="409"/>
        <item x="644"/>
        <item x="138"/>
        <item x="14"/>
        <item m="1" x="911"/>
        <item m="1" x="995"/>
        <item x="779"/>
        <item x="31"/>
        <item x="706"/>
        <item x="397"/>
        <item x="488"/>
        <item x="427"/>
        <item x="285"/>
        <item x="331"/>
        <item m="1" x="829"/>
        <item m="1" x="903"/>
        <item x="157"/>
        <item x="141"/>
        <item x="259"/>
        <item m="1" x="957"/>
        <item x="73"/>
        <item m="1" x="870"/>
        <item x="464"/>
        <item x="65"/>
        <item m="1" x="999"/>
        <item x="36"/>
        <item m="1" x="878"/>
        <item m="1" x="950"/>
        <item x="61"/>
        <item x="2"/>
        <item x="667"/>
        <item x="102"/>
        <item x="670"/>
        <item x="567"/>
        <item m="1" x="824"/>
        <item x="721"/>
        <item m="1" x="865"/>
        <item m="1" x="842"/>
        <item m="1" x="1008"/>
        <item m="1" x="847"/>
        <item m="1" x="978"/>
        <item x="0"/>
        <item x="799"/>
        <item x="334"/>
        <item x="67"/>
        <item m="1" x="831"/>
        <item x="668"/>
        <item x="621"/>
        <item m="1" x="971"/>
        <item x="310"/>
        <item m="1" x="886"/>
        <item x="12"/>
        <item x="694"/>
        <item x="107"/>
        <item x="144"/>
        <item x="424"/>
        <item m="1" x="953"/>
        <item m="1" x="1070"/>
        <item m="1" x="823"/>
        <item m="1" x="941"/>
        <item x="64"/>
        <item m="1" x="910"/>
        <item x="794"/>
        <item x="418"/>
        <item x="649"/>
        <item x="286"/>
        <item m="1" x="965"/>
        <item x="224"/>
        <item x="787"/>
        <item x="154"/>
        <item x="358"/>
        <item x="792"/>
        <item m="1" x="1002"/>
        <item x="737"/>
        <item x="560"/>
        <item m="1" x="970"/>
        <item m="1" x="925"/>
        <item m="1" x="985"/>
        <item x="481"/>
        <item m="1" x="934"/>
        <item m="1" x="1167"/>
        <item x="49"/>
        <item x="196"/>
        <item m="1" x="873"/>
        <item m="1" x="1021"/>
        <item x="528"/>
        <item x="399"/>
        <item m="1" x="990"/>
        <item x="227"/>
        <item m="1" x="947"/>
        <item m="1" x="1019"/>
        <item x="339"/>
        <item m="1" x="855"/>
        <item m="1" x="962"/>
        <item x="675"/>
        <item x="169"/>
        <item x="255"/>
        <item x="673"/>
        <item x="142"/>
        <item x="485"/>
        <item m="1" x="896"/>
        <item x="522"/>
        <item m="1" x="880"/>
        <item x="519"/>
        <item m="1" x="874"/>
        <item m="1" x="890"/>
        <item m="1" x="997"/>
        <item m="1" x="959"/>
        <item m="1" x="894"/>
        <item x="439"/>
        <item x="696"/>
        <item x="353"/>
        <item x="494"/>
        <item x="449"/>
        <item x="182"/>
        <item m="1" x="1004"/>
        <item x="122"/>
        <item x="306"/>
        <item m="1" x="955"/>
        <item x="192"/>
        <item m="1" x="1135"/>
        <item m="1" x="826"/>
        <item m="1" x="908"/>
        <item x="471"/>
        <item m="1" x="1006"/>
        <item x="806"/>
        <item m="1" x="850"/>
        <item x="239"/>
        <item x="501"/>
        <item m="1" x="895"/>
        <item x="23"/>
        <item x="86"/>
        <item m="1" x="833"/>
        <item x="398"/>
        <item m="1" x="856"/>
        <item x="344"/>
        <item m="1" x="906"/>
        <item x="602"/>
        <item m="1" x="825"/>
        <item m="1" x="1165"/>
        <item m="1" x="862"/>
        <item x="726"/>
        <item m="1" x="1057"/>
        <item m="1" x="994"/>
        <item x="24"/>
        <item x="22"/>
        <item x="37"/>
        <item m="1" x="1164"/>
        <item m="1" x="933"/>
        <item x="604"/>
        <item m="1" x="877"/>
        <item x="516"/>
        <item x="395"/>
        <item m="1" x="810"/>
        <item m="1" x="867"/>
        <item x="170"/>
        <item m="1" x="948"/>
        <item x="387"/>
        <item m="1" x="845"/>
        <item x="29"/>
        <item m="1" x="961"/>
        <item m="1" x="857"/>
        <item x="183"/>
        <item x="127"/>
        <item m="1" x="983"/>
        <item m="1" x="821"/>
        <item x="20"/>
        <item x="482"/>
        <item x="484"/>
        <item x="302"/>
        <item m="1" x="830"/>
        <item x="429"/>
        <item m="1" x="814"/>
        <item x="678"/>
        <item x="733"/>
        <item x="671"/>
        <item m="1" x="1171"/>
        <item m="1" x="839"/>
        <item x="284"/>
        <item m="1" x="929"/>
        <item x="43"/>
        <item x="714"/>
        <item m="1" x="996"/>
        <item m="1" x="859"/>
        <item x="190"/>
        <item x="248"/>
        <item m="1" x="905"/>
        <item x="171"/>
        <item x="54"/>
        <item m="1" x="863"/>
        <item m="1" x="930"/>
        <item m="1" x="836"/>
        <item m="1" x="1000"/>
        <item x="745"/>
        <item x="336"/>
        <item x="189"/>
        <item x="660"/>
        <item m="1" x="927"/>
        <item x="766"/>
        <item m="1" x="981"/>
        <item m="1" x="819"/>
        <item x="201"/>
        <item m="1" x="952"/>
        <item m="1" x="946"/>
        <item x="25"/>
        <item m="1" x="936"/>
        <item x="232"/>
        <item x="33"/>
        <item m="1" x="1020"/>
        <item x="390"/>
        <item m="1" x="893"/>
        <item x="163"/>
        <item x="164"/>
        <item x="793"/>
        <item x="616"/>
        <item m="1" x="822"/>
        <item x="762"/>
        <item x="423"/>
        <item m="1" x="918"/>
        <item x="145"/>
        <item x="487"/>
        <item m="1" x="968"/>
        <item x="194"/>
        <item x="617"/>
        <item m="1" x="1071"/>
        <item x="233"/>
        <item m="1" x="909"/>
        <item m="1" x="813"/>
        <item x="57"/>
        <item x="380"/>
        <item m="1" x="977"/>
        <item x="546"/>
        <item m="1" x="988"/>
        <item x="679"/>
        <item m="1" x="1013"/>
        <item x="176"/>
        <item x="3"/>
        <item m="1" x="914"/>
        <item m="1" x="949"/>
        <item m="1" x="932"/>
        <item x="430"/>
        <item x="99"/>
        <item x="704"/>
        <item m="1" x="898"/>
        <item m="1" x="872"/>
        <item x="447"/>
        <item m="1" x="846"/>
        <item x="441"/>
        <item x="364"/>
        <item x="548"/>
        <item m="1" x="938"/>
        <item x="456"/>
        <item m="1" x="1011"/>
        <item x="463"/>
        <item x="179"/>
        <item m="1" x="972"/>
        <item m="1" x="1018"/>
        <item x="56"/>
        <item x="175"/>
        <item x="271"/>
        <item m="1" x="939"/>
        <item m="1" x="1017"/>
        <item m="1" x="848"/>
        <item x="82"/>
        <item x="47"/>
        <item x="446"/>
        <item x="241"/>
        <item x="718"/>
        <item x="133"/>
        <item x="30"/>
        <item x="116"/>
        <item m="1" x="912"/>
        <item m="1" x="834"/>
        <item m="1" x="1169"/>
        <item x="301"/>
        <item x="686"/>
        <item m="1" x="869"/>
        <item m="1" x="1172"/>
        <item m="1" x="897"/>
        <item m="1" x="884"/>
        <item x="534"/>
        <item m="1" x="943"/>
        <item m="1" x="1173"/>
        <item x="523"/>
        <item x="307"/>
        <item x="165"/>
        <item x="113"/>
        <item x="593"/>
        <item m="1" x="904"/>
        <item m="1" x="885"/>
        <item x="211"/>
        <item m="1" x="980"/>
        <item x="359"/>
        <item x="42"/>
        <item x="221"/>
        <item m="1" x="1010"/>
        <item x="547"/>
        <item x="80"/>
        <item x="85"/>
        <item x="473"/>
        <item x="290"/>
        <item x="63"/>
        <item x="89"/>
        <item m="1" x="964"/>
        <item m="1" x="931"/>
        <item x="234"/>
        <item m="1" x="919"/>
        <item m="1" x="1166"/>
        <item x="202"/>
        <item x="28"/>
        <item m="1" x="871"/>
        <item m="1" x="945"/>
        <item x="118"/>
        <item x="515"/>
        <item x="462"/>
        <item m="1" x="887"/>
        <item x="491"/>
        <item x="215"/>
        <item m="1" x="954"/>
        <item m="1" x="924"/>
        <item m="1" x="854"/>
        <item x="778"/>
        <item x="8"/>
        <item x="251"/>
        <item m="1" x="963"/>
        <item m="1" x="920"/>
        <item m="1" x="913"/>
        <item m="1" x="815"/>
        <item m="1" x="837"/>
        <item m="1" x="860"/>
        <item m="1" x="926"/>
        <item m="1" x="942"/>
        <item x="38"/>
        <item x="499"/>
        <item m="1" x="998"/>
        <item x="720"/>
        <item x="349"/>
        <item x="287"/>
        <item x="683"/>
        <item m="1" x="827"/>
        <item m="1" x="1015"/>
        <item x="79"/>
        <item x="243"/>
        <item x="326"/>
        <item x="759"/>
        <item x="130"/>
        <item m="1" x="812"/>
        <item m="1" x="922"/>
        <item m="1" x="864"/>
        <item m="1" x="818"/>
        <item m="1" x="838"/>
        <item m="1" x="879"/>
        <item x="445"/>
        <item x="106"/>
        <item m="1" x="881"/>
        <item m="1" x="951"/>
        <item x="150"/>
        <item x="66"/>
        <item x="406"/>
        <item x="587"/>
        <item m="1" x="982"/>
        <item m="1" x="1170"/>
        <item x="386"/>
        <item x="136"/>
        <item x="186"/>
        <item x="237"/>
        <item x="58"/>
        <item x="280"/>
        <item x="472"/>
        <item m="1" x="975"/>
        <item m="1" x="844"/>
        <item x="110"/>
        <item x="324"/>
        <item x="199"/>
        <item m="1" x="901"/>
        <item x="606"/>
        <item x="253"/>
        <item x="69"/>
        <item m="1" x="841"/>
        <item m="1" x="876"/>
        <item x="16"/>
        <item x="770"/>
        <item m="1" x="921"/>
        <item x="340"/>
        <item x="230"/>
        <item x="538"/>
        <item x="493"/>
        <item x="160"/>
        <item x="717"/>
        <item x="372"/>
        <item x="509"/>
        <item x="453"/>
        <item x="510"/>
        <item m="1" x="817"/>
        <item x="385"/>
        <item m="1" x="832"/>
        <item m="1" x="899"/>
        <item x="711"/>
        <item x="40"/>
        <item m="1" x="1012"/>
        <item x="769"/>
        <item m="1" x="1009"/>
        <item m="1" x="902"/>
        <item x="744"/>
        <item x="178"/>
        <item x="126"/>
        <item m="1" x="1174"/>
        <item m="1" x="1016"/>
        <item x="213"/>
        <item x="75"/>
        <item x="261"/>
        <item m="1" x="883"/>
        <item m="1" x="976"/>
        <item x="458"/>
        <item m="1" x="979"/>
        <item x="162"/>
        <item x="203"/>
        <item x="618"/>
        <item x="44"/>
        <item x="527"/>
        <item m="1" x="973"/>
        <item x="137"/>
        <item m="1" x="868"/>
        <item x="329"/>
        <item m="1" x="892"/>
        <item x="297"/>
        <item m="1" x="820"/>
        <item x="195"/>
        <item x="184"/>
        <item x="335"/>
        <item x="596"/>
        <item m="1" x="1163"/>
        <item m="1" x="960"/>
        <item x="613"/>
        <item x="279"/>
        <item x="760"/>
        <item x="685"/>
        <item x="263"/>
        <item x="724"/>
        <item x="392"/>
        <item m="1" x="1168"/>
        <item x="317"/>
        <item m="1" x="907"/>
        <item x="657"/>
        <item x="681"/>
        <item x="94"/>
        <item x="631"/>
        <item x="87"/>
        <item x="289"/>
        <item x="632"/>
        <item m="1" x="940"/>
        <item m="1" x="840"/>
        <item x="308"/>
        <item m="1" x="984"/>
        <item x="333"/>
        <item x="140"/>
        <item m="1" x="849"/>
        <item m="1" x="992"/>
        <item x="256"/>
        <item m="1" x="928"/>
        <item m="1" x="852"/>
        <item m="1" x="923"/>
        <item m="1" x="986"/>
        <item x="425"/>
        <item x="347"/>
        <item x="543"/>
        <item x="125"/>
        <item m="1" x="967"/>
        <item x="773"/>
        <item x="55"/>
        <item m="1" x="993"/>
        <item x="692"/>
        <item x="691"/>
        <item x="48"/>
        <item m="1" x="853"/>
        <item m="1" x="937"/>
        <item x="62"/>
        <item m="1" x="987"/>
        <item m="1" x="935"/>
        <item x="111"/>
        <item x="337"/>
        <item m="1" x="1014"/>
        <item x="629"/>
        <item m="1" x="891"/>
        <item m="1" x="917"/>
        <item m="1" x="958"/>
        <item m="1" x="858"/>
        <item x="795"/>
        <item x="260"/>
        <item x="642"/>
        <item x="379"/>
        <item m="1" x="875"/>
        <item x="268"/>
        <item m="1" x="851"/>
        <item x="402"/>
        <item x="693"/>
        <item m="1" x="900"/>
        <item m="1" x="1007"/>
        <item x="805"/>
        <item x="676"/>
        <item m="1" x="966"/>
        <item x="114"/>
        <item m="1" x="882"/>
        <item m="1" x="843"/>
        <item x="148"/>
        <item x="591"/>
        <item x="382"/>
        <item m="1" x="969"/>
        <item x="258"/>
        <item x="312"/>
        <item m="1" x="1022"/>
        <item x="454"/>
        <item x="709"/>
        <item x="786"/>
        <item m="1" x="1023"/>
        <item x="658"/>
        <item x="734"/>
        <item m="1" x="1024"/>
        <item m="1" x="1025"/>
        <item m="1" x="1026"/>
        <item m="1" x="1027"/>
        <item x="319"/>
        <item x="690"/>
        <item x="197"/>
        <item m="1" x="1028"/>
        <item m="1" x="1029"/>
        <item m="1" x="1030"/>
        <item m="1" x="1031"/>
        <item m="1" x="1032"/>
        <item m="1" x="1175"/>
        <item m="1" x="1033"/>
        <item x="298"/>
        <item m="1" x="1034"/>
        <item x="699"/>
        <item m="1" x="1035"/>
        <item x="552"/>
        <item x="573"/>
        <item x="267"/>
        <item x="460"/>
        <item x="461"/>
        <item x="459"/>
        <item m="1" x="1036"/>
        <item x="129"/>
        <item m="1" x="1037"/>
        <item m="1" x="1038"/>
        <item m="1" x="1039"/>
        <item x="121"/>
        <item m="1" x="1040"/>
        <item m="1" x="1041"/>
        <item m="1" x="1042"/>
        <item m="1" x="1043"/>
        <item m="1" x="1044"/>
        <item m="1" x="1045"/>
        <item m="1" x="1046"/>
        <item x="420"/>
        <item x="247"/>
        <item m="1" x="1047"/>
        <item m="1" x="1048"/>
        <item x="595"/>
        <item x="219"/>
        <item m="1" x="1049"/>
        <item m="1" x="1050"/>
        <item m="1" x="1051"/>
        <item m="1" x="1052"/>
        <item m="1" x="1053"/>
        <item x="511"/>
        <item x="480"/>
        <item m="1" x="1054"/>
        <item m="1" x="1055"/>
        <item m="1" x="1056"/>
        <item x="207"/>
        <item x="348"/>
        <item m="1" x="1058"/>
        <item x="84"/>
        <item x="131"/>
        <item x="19"/>
        <item m="1" x="1059"/>
        <item x="314"/>
        <item m="1" x="1176"/>
        <item m="1" x="1060"/>
        <item m="1" x="1061"/>
        <item m="1" x="1062"/>
        <item m="1" x="1063"/>
        <item x="802"/>
        <item x="776"/>
        <item x="756"/>
        <item x="5"/>
        <item m="1" x="1064"/>
        <item x="352"/>
        <item m="1" x="1065"/>
        <item m="1" x="1066"/>
        <item m="1" x="1067"/>
        <item x="242"/>
        <item m="1" x="1068"/>
        <item x="592"/>
        <item x="143"/>
        <item m="1" x="1069"/>
        <item x="607"/>
        <item x="544"/>
        <item x="105"/>
        <item m="1" x="1073"/>
        <item m="1" x="1074"/>
        <item m="1" x="1075"/>
        <item m="1" x="1076"/>
        <item x="545"/>
        <item x="98"/>
        <item x="452"/>
        <item x="17"/>
        <item m="1" x="1077"/>
        <item m="1" x="1078"/>
        <item x="562"/>
        <item x="316"/>
        <item m="1" x="1079"/>
        <item x="292"/>
        <item m="1" x="1080"/>
        <item m="1" x="1081"/>
        <item x="520"/>
        <item x="193"/>
        <item m="1" x="1082"/>
        <item m="1" x="1083"/>
        <item m="1" x="1084"/>
        <item x="490"/>
        <item x="32"/>
        <item m="1" x="1085"/>
        <item m="1" x="1086"/>
        <item x="722"/>
        <item x="322"/>
        <item x="579"/>
        <item x="62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x="763"/>
        <item m="1" x="1097"/>
        <item m="1" x="1098"/>
        <item m="1" x="1099"/>
        <item x="117"/>
        <item x="404"/>
        <item x="383"/>
        <item x="168"/>
        <item x="134"/>
        <item x="521"/>
        <item m="1" x="1100"/>
        <item m="1" x="1101"/>
        <item x="536"/>
        <item x="88"/>
        <item m="1" x="1102"/>
        <item x="622"/>
        <item x="467"/>
        <item m="1" x="1103"/>
        <item x="156"/>
        <item m="1" x="1104"/>
        <item m="1" x="1105"/>
        <item m="1" x="1106"/>
        <item x="321"/>
        <item x="496"/>
        <item m="1" x="1107"/>
        <item x="674"/>
        <item x="93"/>
        <item x="223"/>
        <item x="104"/>
        <item x="477"/>
        <item m="1" x="1108"/>
        <item m="1" x="1109"/>
        <item m="1" x="1110"/>
        <item m="1" x="1111"/>
        <item x="723"/>
        <item x="680"/>
        <item m="1" x="1112"/>
        <item x="682"/>
        <item x="555"/>
        <item m="1" x="1113"/>
        <item m="1" x="1114"/>
        <item m="1" x="1115"/>
        <item m="1" x="1116"/>
        <item x="254"/>
        <item m="1" x="1117"/>
        <item x="798"/>
        <item m="1" x="1118"/>
        <item m="1" x="1119"/>
        <item m="1" x="1120"/>
        <item x="735"/>
        <item x="659"/>
        <item m="1" x="1121"/>
        <item m="1" x="1122"/>
        <item m="1" x="1123"/>
        <item m="1" x="1124"/>
        <item m="1" x="1177"/>
        <item x="669"/>
        <item x="173"/>
        <item x="803"/>
        <item x="612"/>
        <item m="1" x="1125"/>
        <item m="1" x="1126"/>
        <item m="1" x="1127"/>
        <item x="495"/>
        <item x="103"/>
        <item m="1" x="1128"/>
        <item m="1" x="1129"/>
        <item m="1" x="1130"/>
        <item x="393"/>
        <item m="1" x="1131"/>
        <item m="1" x="1132"/>
        <item m="1" x="1133"/>
        <item m="1" x="1134"/>
        <item x="304"/>
        <item m="1" x="1136"/>
        <item m="1" x="1137"/>
        <item m="1" x="1138"/>
        <item x="550"/>
        <item m="1" x="1139"/>
        <item x="749"/>
        <item m="1" x="1140"/>
        <item m="1" x="1141"/>
        <item m="1" x="1142"/>
        <item x="26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78"/>
        <item m="1" x="1154"/>
        <item x="469"/>
        <item x="220"/>
        <item x="417"/>
        <item x="346"/>
        <item m="1" x="1155"/>
        <item x="231"/>
        <item m="1" x="1156"/>
        <item m="1" x="1157"/>
        <item m="1" x="1158"/>
        <item m="1" x="1159"/>
        <item m="1" x="1160"/>
        <item m="1" x="1161"/>
        <item m="1" x="1162"/>
        <item m="1" x="1001"/>
        <item x="809"/>
        <item x="1"/>
        <item x="4"/>
        <item x="6"/>
        <item x="7"/>
        <item x="9"/>
        <item x="10"/>
        <item x="11"/>
        <item x="13"/>
        <item x="15"/>
        <item x="18"/>
        <item x="21"/>
        <item x="26"/>
        <item x="27"/>
        <item x="35"/>
        <item x="41"/>
        <item x="45"/>
        <item x="51"/>
        <item x="53"/>
        <item x="59"/>
        <item x="60"/>
        <item x="68"/>
        <item x="70"/>
        <item x="71"/>
        <item x="72"/>
        <item x="74"/>
        <item x="76"/>
        <item x="77"/>
        <item x="78"/>
        <item x="81"/>
        <item x="83"/>
        <item x="90"/>
        <item x="91"/>
        <item x="92"/>
        <item x="95"/>
        <item x="96"/>
        <item x="97"/>
        <item x="100"/>
        <item x="101"/>
        <item x="108"/>
        <item x="109"/>
        <item x="112"/>
        <item x="115"/>
        <item x="119"/>
        <item x="120"/>
        <item x="123"/>
        <item x="128"/>
        <item x="132"/>
        <item x="135"/>
        <item x="139"/>
        <item x="146"/>
        <item x="147"/>
        <item x="149"/>
        <item x="151"/>
        <item x="152"/>
        <item x="153"/>
        <item x="155"/>
        <item x="158"/>
        <item x="159"/>
        <item x="161"/>
        <item x="166"/>
        <item x="167"/>
        <item x="172"/>
        <item x="174"/>
        <item x="177"/>
        <item x="180"/>
        <item x="181"/>
        <item x="185"/>
        <item x="187"/>
        <item x="188"/>
        <item x="191"/>
        <item x="198"/>
        <item x="200"/>
        <item x="204"/>
        <item x="205"/>
        <item x="206"/>
        <item x="208"/>
        <item x="209"/>
        <item x="210"/>
        <item x="212"/>
        <item x="214"/>
        <item x="216"/>
        <item x="217"/>
        <item x="218"/>
        <item x="222"/>
        <item x="226"/>
        <item x="228"/>
        <item x="229"/>
        <item x="235"/>
        <item x="236"/>
        <item x="238"/>
        <item x="240"/>
        <item x="244"/>
        <item x="246"/>
        <item x="249"/>
        <item x="250"/>
        <item x="257"/>
        <item x="264"/>
        <item x="265"/>
        <item x="266"/>
        <item x="269"/>
        <item x="270"/>
        <item x="272"/>
        <item x="273"/>
        <item x="274"/>
        <item x="275"/>
        <item x="276"/>
        <item x="277"/>
        <item x="278"/>
        <item x="281"/>
        <item x="282"/>
        <item x="283"/>
        <item x="288"/>
        <item x="291"/>
        <item x="293"/>
        <item x="294"/>
        <item x="295"/>
        <item x="296"/>
        <item x="299"/>
        <item x="300"/>
        <item x="303"/>
        <item x="305"/>
        <item x="309"/>
        <item x="311"/>
        <item x="313"/>
        <item x="315"/>
        <item x="318"/>
        <item x="320"/>
        <item x="323"/>
        <item x="325"/>
        <item x="327"/>
        <item x="328"/>
        <item x="330"/>
        <item x="332"/>
        <item x="338"/>
        <item x="341"/>
        <item x="342"/>
        <item x="343"/>
        <item x="345"/>
        <item x="350"/>
        <item x="351"/>
        <item x="354"/>
        <item x="355"/>
        <item x="356"/>
        <item x="357"/>
        <item x="360"/>
        <item x="361"/>
        <item x="362"/>
        <item x="363"/>
        <item x="365"/>
        <item x="366"/>
        <item x="367"/>
        <item x="368"/>
        <item x="369"/>
        <item x="370"/>
        <item x="371"/>
        <item x="373"/>
        <item x="374"/>
        <item x="376"/>
        <item x="377"/>
        <item x="378"/>
        <item x="384"/>
        <item x="388"/>
        <item x="389"/>
        <item x="391"/>
        <item x="394"/>
        <item x="396"/>
        <item x="400"/>
        <item x="401"/>
        <item x="403"/>
        <item x="405"/>
        <item x="407"/>
        <item x="408"/>
        <item x="410"/>
        <item x="411"/>
        <item x="412"/>
        <item x="413"/>
        <item x="414"/>
        <item x="415"/>
        <item x="416"/>
        <item x="419"/>
        <item x="421"/>
        <item x="422"/>
        <item x="426"/>
        <item x="428"/>
        <item x="431"/>
        <item x="432"/>
        <item x="433"/>
        <item x="434"/>
        <item x="435"/>
        <item x="436"/>
        <item x="437"/>
        <item x="438"/>
        <item x="440"/>
        <item x="442"/>
        <item x="443"/>
        <item x="444"/>
        <item x="448"/>
        <item x="450"/>
        <item x="451"/>
        <item x="455"/>
        <item x="457"/>
        <item x="465"/>
        <item x="466"/>
        <item x="468"/>
        <item x="474"/>
        <item x="475"/>
        <item x="476"/>
        <item x="478"/>
        <item x="479"/>
        <item x="483"/>
        <item x="486"/>
        <item x="489"/>
        <item x="492"/>
        <item x="497"/>
        <item x="502"/>
        <item x="503"/>
        <item x="504"/>
        <item x="505"/>
        <item x="506"/>
        <item x="507"/>
        <item x="512"/>
        <item x="513"/>
        <item x="514"/>
        <item x="517"/>
        <item x="518"/>
        <item x="524"/>
        <item x="525"/>
        <item x="526"/>
        <item x="529"/>
        <item x="530"/>
        <item x="531"/>
        <item x="532"/>
        <item x="533"/>
        <item x="535"/>
        <item x="537"/>
        <item x="539"/>
        <item x="540"/>
        <item x="541"/>
        <item x="542"/>
        <item x="549"/>
        <item x="551"/>
        <item x="553"/>
        <item x="556"/>
        <item x="557"/>
        <item x="558"/>
        <item x="559"/>
        <item x="561"/>
        <item x="563"/>
        <item x="564"/>
        <item x="565"/>
        <item x="566"/>
        <item x="568"/>
        <item x="569"/>
        <item x="570"/>
        <item x="571"/>
        <item x="572"/>
        <item x="574"/>
        <item x="575"/>
        <item x="576"/>
        <item x="577"/>
        <item x="578"/>
        <item x="580"/>
        <item x="581"/>
        <item x="582"/>
        <item x="583"/>
        <item x="584"/>
        <item x="585"/>
        <item x="586"/>
        <item x="588"/>
        <item x="589"/>
        <item x="590"/>
        <item x="594"/>
        <item x="597"/>
        <item x="598"/>
        <item x="599"/>
        <item x="600"/>
        <item x="601"/>
        <item x="603"/>
        <item x="605"/>
        <item x="608"/>
        <item x="609"/>
        <item x="610"/>
        <item x="611"/>
        <item x="614"/>
        <item x="615"/>
        <item x="619"/>
        <item x="623"/>
        <item x="624"/>
        <item x="625"/>
        <item x="627"/>
        <item x="628"/>
        <item x="630"/>
        <item x="633"/>
        <item x="637"/>
        <item x="648"/>
        <item x="650"/>
        <item x="651"/>
        <item x="654"/>
        <item x="655"/>
        <item x="663"/>
        <item x="652"/>
        <item x="634"/>
        <item x="635"/>
        <item x="636"/>
        <item x="638"/>
        <item x="639"/>
        <item x="641"/>
        <item x="643"/>
        <item x="646"/>
        <item x="647"/>
        <item x="653"/>
        <item x="656"/>
        <item x="661"/>
        <item x="662"/>
        <item x="664"/>
        <item x="665"/>
        <item x="666"/>
        <item x="672"/>
        <item x="677"/>
        <item x="684"/>
        <item x="687"/>
        <item x="688"/>
        <item x="689"/>
        <item x="697"/>
        <item x="698"/>
        <item x="700"/>
        <item x="701"/>
        <item x="702"/>
        <item x="703"/>
        <item x="705"/>
        <item x="708"/>
        <item x="710"/>
        <item x="712"/>
        <item x="713"/>
        <item x="715"/>
        <item x="716"/>
        <item x="719"/>
        <item x="725"/>
        <item x="727"/>
        <item x="728"/>
        <item x="729"/>
        <item x="730"/>
        <item x="731"/>
        <item x="732"/>
        <item x="736"/>
        <item x="738"/>
        <item x="739"/>
        <item x="740"/>
        <item x="741"/>
        <item x="742"/>
        <item x="743"/>
        <item x="746"/>
        <item x="748"/>
        <item x="750"/>
        <item x="751"/>
        <item x="752"/>
        <item x="753"/>
        <item x="754"/>
        <item x="755"/>
        <item x="757"/>
        <item x="758"/>
        <item x="761"/>
        <item x="764"/>
        <item x="765"/>
        <item x="767"/>
        <item x="768"/>
        <item x="771"/>
        <item x="772"/>
        <item x="774"/>
        <item x="775"/>
        <item x="777"/>
        <item x="780"/>
        <item x="781"/>
        <item x="782"/>
        <item x="783"/>
        <item x="784"/>
        <item x="785"/>
        <item x="788"/>
        <item x="789"/>
        <item x="790"/>
        <item x="791"/>
        <item x="796"/>
        <item x="797"/>
        <item x="800"/>
        <item x="801"/>
        <item x="804"/>
        <item x="807"/>
        <item x="808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axis="axisPage" dataField="1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0"/>
    <field x="2"/>
  </rowFields>
  <rowItems count="609">
    <i>
      <x v="7"/>
      <x v="2912"/>
    </i>
    <i t="default">
      <x v="7"/>
    </i>
    <i>
      <x v="8"/>
      <x v="3030"/>
    </i>
    <i r="1">
      <x v="3206"/>
    </i>
    <i r="1">
      <x v="3231"/>
    </i>
    <i t="default">
      <x v="8"/>
    </i>
    <i>
      <x v="10"/>
    </i>
    <i>
      <x v="12"/>
      <x v="3302"/>
    </i>
    <i t="default">
      <x v="12"/>
    </i>
    <i>
      <x v="25"/>
      <x v="3128"/>
    </i>
    <i t="default">
      <x v="25"/>
    </i>
    <i>
      <x v="26"/>
      <x v="2372"/>
    </i>
    <i t="default">
      <x v="26"/>
    </i>
    <i>
      <x v="34"/>
      <x v="2010"/>
    </i>
    <i r="1">
      <x v="2748"/>
    </i>
    <i r="1">
      <x v="2935"/>
    </i>
    <i t="default">
      <x v="34"/>
    </i>
    <i>
      <x v="41"/>
      <x v="3004"/>
    </i>
    <i t="default">
      <x v="41"/>
    </i>
    <i>
      <x v="42"/>
      <x v="1794"/>
    </i>
    <i r="1">
      <x v="1795"/>
    </i>
    <i r="1">
      <x v="1999"/>
    </i>
    <i t="default">
      <x v="42"/>
    </i>
    <i>
      <x v="47"/>
      <x v="1608"/>
    </i>
    <i r="1">
      <x v="1963"/>
    </i>
    <i t="default">
      <x v="47"/>
    </i>
    <i>
      <x v="60"/>
      <x v="1688"/>
    </i>
    <i r="1">
      <x v="1689"/>
    </i>
    <i r="1">
      <x v="2430"/>
    </i>
    <i t="default">
      <x v="60"/>
    </i>
    <i>
      <x v="70"/>
      <x v="3057"/>
    </i>
    <i t="default">
      <x v="70"/>
    </i>
    <i>
      <x v="71"/>
      <x v="1743"/>
    </i>
    <i r="1">
      <x v="3223"/>
    </i>
    <i t="default">
      <x v="71"/>
    </i>
    <i>
      <x v="83"/>
      <x v="3122"/>
    </i>
    <i t="default">
      <x v="83"/>
    </i>
    <i>
      <x v="84"/>
      <x v="2252"/>
    </i>
    <i r="1">
      <x v="2808"/>
    </i>
    <i r="1">
      <x v="2961"/>
    </i>
    <i t="default">
      <x v="84"/>
    </i>
    <i>
      <x v="86"/>
      <x v="3059"/>
    </i>
    <i r="1">
      <x v="3203"/>
    </i>
    <i t="default">
      <x v="86"/>
    </i>
    <i>
      <x v="91"/>
      <x v="2177"/>
    </i>
    <i r="1">
      <x v="2768"/>
    </i>
    <i r="1">
      <x v="2770"/>
    </i>
    <i r="1">
      <x v="3125"/>
    </i>
    <i t="default">
      <x v="91"/>
    </i>
    <i>
      <x v="92"/>
      <x v="3126"/>
    </i>
    <i r="1">
      <x v="3127"/>
    </i>
    <i t="default">
      <x v="92"/>
    </i>
    <i>
      <x v="94"/>
      <x v="1807"/>
    </i>
    <i t="default">
      <x v="94"/>
    </i>
    <i>
      <x v="95"/>
      <x v="2379"/>
    </i>
    <i t="default">
      <x v="95"/>
    </i>
    <i>
      <x v="107"/>
      <x v="1964"/>
    </i>
    <i r="1">
      <x v="3114"/>
    </i>
    <i r="1">
      <x v="3276"/>
    </i>
    <i r="1">
      <x v="3310"/>
    </i>
    <i t="default">
      <x v="107"/>
    </i>
    <i>
      <x v="109"/>
      <x v="2769"/>
    </i>
    <i t="default">
      <x v="109"/>
    </i>
    <i>
      <x v="114"/>
      <x v="2730"/>
    </i>
    <i r="1">
      <x v="2968"/>
    </i>
    <i r="1">
      <x v="3010"/>
    </i>
    <i t="default">
      <x v="114"/>
    </i>
    <i>
      <x v="152"/>
      <x v="2551"/>
    </i>
    <i t="default">
      <x v="152"/>
    </i>
    <i>
      <x v="157"/>
      <x v="2108"/>
    </i>
    <i r="1">
      <x v="2109"/>
    </i>
    <i t="default">
      <x v="157"/>
    </i>
    <i>
      <x v="170"/>
      <x v="2145"/>
    </i>
    <i r="1">
      <x v="2170"/>
    </i>
    <i r="1">
      <x v="2801"/>
    </i>
    <i t="default">
      <x v="170"/>
    </i>
    <i>
      <x v="171"/>
      <x v="2591"/>
    </i>
    <i t="default">
      <x v="171"/>
    </i>
    <i>
      <x v="173"/>
      <x v="2720"/>
    </i>
    <i t="default">
      <x v="173"/>
    </i>
    <i>
      <x v="184"/>
      <x v="1574"/>
    </i>
    <i r="1">
      <x v="1580"/>
    </i>
    <i r="1">
      <x v="1581"/>
    </i>
    <i r="1">
      <x v="1582"/>
    </i>
    <i r="1">
      <x v="1584"/>
    </i>
    <i r="1">
      <x v="1587"/>
    </i>
    <i r="1">
      <x v="1599"/>
    </i>
    <i r="1">
      <x v="1600"/>
    </i>
    <i r="1">
      <x v="1601"/>
    </i>
    <i r="1">
      <x v="2143"/>
    </i>
    <i r="1">
      <x v="2144"/>
    </i>
    <i r="1">
      <x v="2172"/>
    </i>
    <i r="1">
      <x v="2173"/>
    </i>
    <i r="1">
      <x v="2175"/>
    </i>
    <i r="1">
      <x v="2178"/>
    </i>
    <i r="1">
      <x v="2179"/>
    </i>
    <i r="1">
      <x v="2183"/>
    </i>
    <i r="1">
      <x v="2184"/>
    </i>
    <i r="1">
      <x v="2185"/>
    </i>
    <i r="1">
      <x v="2199"/>
    </i>
    <i r="1">
      <x v="2249"/>
    </i>
    <i r="1">
      <x v="2349"/>
    </i>
    <i r="1">
      <x v="2408"/>
    </i>
    <i r="1">
      <x v="2763"/>
    </i>
    <i r="1">
      <x v="2802"/>
    </i>
    <i r="1">
      <x v="2803"/>
    </i>
    <i t="default">
      <x v="184"/>
    </i>
    <i>
      <x v="185"/>
      <x v="1572"/>
    </i>
    <i r="1">
      <x v="2539"/>
    </i>
    <i r="1">
      <x v="2597"/>
    </i>
    <i r="1">
      <x v="2612"/>
    </i>
    <i r="1">
      <x v="2613"/>
    </i>
    <i r="1">
      <x v="2614"/>
    </i>
    <i r="1">
      <x v="2628"/>
    </i>
    <i r="1">
      <x v="2629"/>
    </i>
    <i r="1">
      <x v="2630"/>
    </i>
    <i r="1">
      <x v="2631"/>
    </i>
    <i r="1">
      <x v="2662"/>
    </i>
    <i r="1">
      <x v="2710"/>
    </i>
    <i t="default">
      <x v="185"/>
    </i>
    <i>
      <x v="186"/>
      <x v="1617"/>
    </i>
    <i r="1">
      <x v="1618"/>
    </i>
    <i t="default">
      <x v="186"/>
    </i>
    <i>
      <x v="202"/>
      <x v="1872"/>
    </i>
    <i r="1">
      <x v="2210"/>
    </i>
    <i t="default">
      <x v="202"/>
    </i>
    <i>
      <x v="203"/>
      <x v="1780"/>
    </i>
    <i t="default">
      <x v="203"/>
    </i>
    <i>
      <x v="207"/>
      <x v="2506"/>
    </i>
    <i t="default">
      <x v="207"/>
    </i>
    <i>
      <x v="221"/>
      <x v="3198"/>
    </i>
    <i t="default">
      <x v="221"/>
    </i>
    <i>
      <x v="224"/>
      <x v="1880"/>
    </i>
    <i r="1">
      <x v="1881"/>
    </i>
    <i r="1">
      <x v="1882"/>
    </i>
    <i r="1">
      <x v="1883"/>
    </i>
    <i r="1">
      <x v="1884"/>
    </i>
    <i r="1">
      <x v="1885"/>
    </i>
    <i r="1">
      <x v="1886"/>
    </i>
    <i r="1">
      <x v="1887"/>
    </i>
    <i r="1">
      <x v="1888"/>
    </i>
    <i r="1">
      <x v="1889"/>
    </i>
    <i r="1">
      <x v="1890"/>
    </i>
    <i r="1">
      <x v="1891"/>
    </i>
    <i r="1">
      <x v="1892"/>
    </i>
    <i r="1">
      <x v="1893"/>
    </i>
    <i r="1">
      <x v="1894"/>
    </i>
    <i r="1">
      <x v="1895"/>
    </i>
    <i r="1">
      <x v="1896"/>
    </i>
    <i r="1">
      <x v="1897"/>
    </i>
    <i r="1">
      <x v="1898"/>
    </i>
    <i r="1">
      <x v="1899"/>
    </i>
    <i r="1">
      <x v="1900"/>
    </i>
    <i r="1">
      <x v="1901"/>
    </i>
    <i r="1">
      <x v="1902"/>
    </i>
    <i r="1">
      <x v="1903"/>
    </i>
    <i r="1">
      <x v="1904"/>
    </i>
    <i r="1">
      <x v="1905"/>
    </i>
    <i r="1">
      <x v="2329"/>
    </i>
    <i r="1">
      <x v="2384"/>
    </i>
    <i t="default">
      <x v="224"/>
    </i>
    <i>
      <x v="228"/>
      <x v="2901"/>
    </i>
    <i t="default">
      <x v="228"/>
    </i>
    <i>
      <x v="234"/>
      <x v="2182"/>
    </i>
    <i t="default">
      <x v="234"/>
    </i>
    <i>
      <x v="235"/>
      <x v="1879"/>
    </i>
    <i r="1">
      <x v="2043"/>
    </i>
    <i r="1">
      <x v="3159"/>
    </i>
    <i t="default">
      <x v="235"/>
    </i>
    <i>
      <x v="257"/>
      <x v="2920"/>
    </i>
    <i t="default">
      <x v="257"/>
    </i>
    <i>
      <x v="260"/>
      <x v="2529"/>
    </i>
    <i r="1">
      <x v="3177"/>
    </i>
    <i r="1">
      <x v="3178"/>
    </i>
    <i r="1">
      <x v="3179"/>
    </i>
    <i r="1">
      <x v="3180"/>
    </i>
    <i r="1">
      <x v="3181"/>
    </i>
    <i r="1">
      <x v="3182"/>
    </i>
    <i r="1">
      <x v="3183"/>
    </i>
    <i r="1">
      <x v="3184"/>
    </i>
    <i r="1">
      <x v="3185"/>
    </i>
    <i r="1">
      <x v="3186"/>
    </i>
    <i t="default">
      <x v="260"/>
    </i>
    <i>
      <x v="265"/>
      <x v="1981"/>
    </i>
    <i r="1">
      <x v="1992"/>
    </i>
    <i r="1">
      <x v="1997"/>
    </i>
    <i r="1">
      <x v="2024"/>
    </i>
    <i r="1">
      <x v="2283"/>
    </i>
    <i r="1">
      <x v="2788"/>
    </i>
    <i r="1">
      <x v="3108"/>
    </i>
    <i t="default">
      <x v="265"/>
    </i>
    <i>
      <x v="273"/>
      <x v="3076"/>
    </i>
    <i r="1">
      <x v="3204"/>
    </i>
    <i t="default">
      <x v="273"/>
    </i>
    <i>
      <x v="276"/>
      <x v="2568"/>
    </i>
    <i r="1">
      <x v="2740"/>
    </i>
    <i r="1">
      <x v="2742"/>
    </i>
    <i r="1">
      <x v="2791"/>
    </i>
    <i r="1">
      <x v="2954"/>
    </i>
    <i r="1">
      <x v="3253"/>
    </i>
    <i t="default">
      <x v="276"/>
    </i>
    <i>
      <x v="280"/>
      <x v="2393"/>
    </i>
    <i r="1">
      <x v="2394"/>
    </i>
    <i r="1">
      <x v="2840"/>
    </i>
    <i r="1">
      <x v="3132"/>
    </i>
    <i r="1">
      <x v="3135"/>
    </i>
    <i r="1">
      <x v="3140"/>
    </i>
    <i t="default">
      <x v="280"/>
    </i>
    <i>
      <x v="281"/>
      <x v="1740"/>
    </i>
    <i r="1">
      <x v="2029"/>
    </i>
    <i r="1">
      <x v="2388"/>
    </i>
    <i t="default">
      <x v="281"/>
    </i>
    <i>
      <x v="291"/>
      <x v="2477"/>
    </i>
    <i t="default">
      <x v="291"/>
    </i>
    <i>
      <x v="309"/>
      <x v="1607"/>
    </i>
    <i r="1">
      <x v="2216"/>
    </i>
    <i r="1">
      <x v="2260"/>
    </i>
    <i r="1">
      <x v="2668"/>
    </i>
    <i r="1">
      <x v="3129"/>
    </i>
    <i r="1">
      <x v="3160"/>
    </i>
    <i t="default">
      <x v="309"/>
    </i>
    <i>
      <x v="324"/>
      <x v="2110"/>
    </i>
    <i r="1">
      <x v="2611"/>
    </i>
    <i r="1">
      <x v="2879"/>
    </i>
    <i r="1">
      <x v="2997"/>
    </i>
    <i r="1">
      <x v="3222"/>
    </i>
    <i t="default">
      <x v="324"/>
    </i>
    <i>
      <x v="327"/>
      <x v="2850"/>
    </i>
    <i t="default">
      <x v="327"/>
    </i>
    <i>
      <x v="330"/>
      <x v="1946"/>
    </i>
    <i r="1">
      <x v="3194"/>
    </i>
    <i t="default">
      <x v="330"/>
    </i>
    <i>
      <x v="332"/>
      <x v="2771"/>
    </i>
    <i r="1">
      <x v="3117"/>
    </i>
    <i t="default">
      <x v="332"/>
    </i>
    <i>
      <x v="338"/>
      <x v="2406"/>
    </i>
    <i r="1">
      <x v="2433"/>
    </i>
    <i r="1">
      <x v="2491"/>
    </i>
    <i r="1">
      <x v="2501"/>
    </i>
    <i r="1">
      <x v="2530"/>
    </i>
    <i r="1">
      <x v="2532"/>
    </i>
    <i r="1">
      <x v="2592"/>
    </i>
    <i r="1">
      <x v="2640"/>
    </i>
    <i r="1">
      <x v="2711"/>
    </i>
    <i r="1">
      <x v="3274"/>
    </i>
    <i t="default">
      <x v="338"/>
    </i>
    <i>
      <x v="341"/>
      <x v="1674"/>
    </i>
    <i r="1">
      <x v="1675"/>
    </i>
    <i r="1">
      <x v="1933"/>
    </i>
    <i t="default">
      <x v="341"/>
    </i>
    <i>
      <x v="342"/>
      <x v="2181"/>
    </i>
    <i t="default">
      <x v="342"/>
    </i>
    <i>
      <x v="352"/>
      <x v="3257"/>
    </i>
    <i t="default">
      <x v="352"/>
    </i>
    <i>
      <x v="353"/>
      <x v="2604"/>
    </i>
    <i t="default">
      <x v="353"/>
    </i>
    <i>
      <x v="372"/>
      <x v="1619"/>
    </i>
    <i r="1">
      <x v="1620"/>
    </i>
    <i r="1">
      <x v="1622"/>
    </i>
    <i r="1">
      <x v="1623"/>
    </i>
    <i t="default">
      <x v="372"/>
    </i>
    <i>
      <x v="375"/>
      <x v="3220"/>
    </i>
    <i r="1">
      <x v="3221"/>
    </i>
    <i t="default">
      <x v="375"/>
    </i>
    <i>
      <x v="383"/>
      <x v="2752"/>
    </i>
    <i t="default">
      <x v="383"/>
    </i>
    <i>
      <x v="396"/>
      <x v="1815"/>
    </i>
    <i r="1">
      <x v="1816"/>
    </i>
    <i r="1">
      <x v="2026"/>
    </i>
    <i t="default">
      <x v="396"/>
    </i>
    <i>
      <x v="399"/>
      <x v="2842"/>
    </i>
    <i t="default">
      <x v="399"/>
    </i>
    <i>
      <x v="402"/>
      <x v="2291"/>
    </i>
    <i t="default">
      <x v="402"/>
    </i>
    <i>
      <x v="404"/>
      <x v="1876"/>
    </i>
    <i r="1">
      <x v="2573"/>
    </i>
    <i t="default">
      <x v="404"/>
    </i>
    <i>
      <x v="406"/>
      <x v="1664"/>
    </i>
    <i t="default">
      <x v="406"/>
    </i>
    <i>
      <x v="413"/>
      <x v="2374"/>
    </i>
    <i r="1">
      <x v="2579"/>
    </i>
    <i r="1">
      <x v="2907"/>
    </i>
    <i r="1">
      <x v="3200"/>
    </i>
    <i r="1">
      <x v="3201"/>
    </i>
    <i t="default">
      <x v="413"/>
    </i>
    <i>
      <x v="420"/>
      <x v="1565"/>
    </i>
    <i r="1">
      <x v="2168"/>
    </i>
    <i r="1">
      <x v="2169"/>
    </i>
    <i r="1">
      <x v="2821"/>
    </i>
    <i t="default">
      <x v="420"/>
    </i>
    <i>
      <x v="424"/>
      <x v="1974"/>
    </i>
    <i t="default">
      <x v="424"/>
    </i>
    <i>
      <x v="430"/>
      <x v="2588"/>
    </i>
    <i t="default">
      <x v="430"/>
    </i>
    <i>
      <x v="431"/>
      <x v="2439"/>
    </i>
    <i r="1">
      <x v="2587"/>
    </i>
    <i t="default">
      <x v="431"/>
    </i>
    <i>
      <x v="432"/>
      <x v="2590"/>
    </i>
    <i t="default">
      <x v="432"/>
    </i>
    <i>
      <x v="437"/>
      <x v="3187"/>
    </i>
    <i r="1">
      <x v="3188"/>
    </i>
    <i r="1">
      <x v="3189"/>
    </i>
    <i r="1">
      <x v="3190"/>
    </i>
    <i t="default">
      <x v="437"/>
    </i>
    <i>
      <x v="438"/>
      <x v="1624"/>
    </i>
    <i t="default">
      <x v="438"/>
    </i>
    <i>
      <x v="444"/>
      <x v="1866"/>
    </i>
    <i t="default">
      <x v="444"/>
    </i>
    <i>
      <x v="445"/>
      <x v="1779"/>
    </i>
    <i r="1">
      <x v="2589"/>
    </i>
    <i t="default">
      <x v="445"/>
    </i>
    <i>
      <x v="450"/>
      <x v="2025"/>
    </i>
    <i r="1">
      <x v="2627"/>
    </i>
    <i r="1">
      <x v="2959"/>
    </i>
    <i t="default">
      <x v="450"/>
    </i>
    <i>
      <x v="457"/>
      <x v="2921"/>
    </i>
    <i t="default">
      <x v="457"/>
    </i>
    <i>
      <x v="469"/>
      <x v="2180"/>
    </i>
    <i t="default">
      <x v="469"/>
    </i>
    <i>
      <x v="470"/>
      <x v="2854"/>
    </i>
    <i t="default">
      <x v="470"/>
    </i>
    <i>
      <x v="474"/>
      <x v="2058"/>
    </i>
    <i r="1">
      <x v="2357"/>
    </i>
    <i r="1">
      <x v="2499"/>
    </i>
    <i r="1">
      <x v="2602"/>
    </i>
    <i r="1">
      <x v="2666"/>
    </i>
    <i r="1">
      <x v="3042"/>
    </i>
    <i t="default">
      <x v="474"/>
    </i>
    <i>
      <x v="481"/>
      <x v="2131"/>
    </i>
    <i r="1">
      <x v="2476"/>
    </i>
    <i r="1">
      <x v="2717"/>
    </i>
    <i r="1">
      <x v="2933"/>
    </i>
    <i r="1">
      <x v="2934"/>
    </i>
    <i r="1">
      <x v="3150"/>
    </i>
    <i t="default">
      <x v="481"/>
    </i>
    <i>
      <x v="484"/>
      <x v="3079"/>
    </i>
    <i t="default">
      <x v="484"/>
    </i>
    <i>
      <x v="485"/>
      <x v="1730"/>
    </i>
    <i t="default">
      <x v="485"/>
    </i>
    <i>
      <x v="494"/>
      <x v="2167"/>
    </i>
    <i r="1">
      <x v="2956"/>
    </i>
    <i t="default">
      <x v="494"/>
    </i>
    <i>
      <x v="495"/>
      <x v="1797"/>
    </i>
    <i r="1">
      <x v="1798"/>
    </i>
    <i r="1">
      <x v="1799"/>
    </i>
    <i r="1">
      <x v="2949"/>
    </i>
    <i t="default">
      <x v="495"/>
    </i>
    <i>
      <x v="504"/>
      <x v="2197"/>
    </i>
    <i r="1">
      <x v="2526"/>
    </i>
    <i t="default">
      <x v="504"/>
    </i>
    <i>
      <x v="506"/>
      <x v="1995"/>
    </i>
    <i t="default">
      <x v="506"/>
    </i>
    <i>
      <x v="516"/>
      <x v="1926"/>
    </i>
    <i r="1">
      <x v="2266"/>
    </i>
    <i r="1">
      <x v="2523"/>
    </i>
    <i r="1">
      <x v="2658"/>
    </i>
    <i r="1">
      <x v="2659"/>
    </i>
    <i r="1">
      <x v="2881"/>
    </i>
    <i t="default">
      <x v="516"/>
    </i>
    <i>
      <x v="529"/>
      <x v="3001"/>
    </i>
    <i t="default">
      <x v="529"/>
    </i>
    <i>
      <x v="549"/>
      <x v="2117"/>
    </i>
    <i t="default">
      <x v="549"/>
    </i>
    <i>
      <x v="551"/>
      <x v="2446"/>
    </i>
    <i t="default">
      <x v="551"/>
    </i>
    <i>
      <x v="571"/>
      <x v="2090"/>
    </i>
    <i r="1">
      <x v="2265"/>
    </i>
    <i t="default">
      <x v="571"/>
    </i>
    <i>
      <x v="573"/>
      <x v="3138"/>
    </i>
    <i t="default">
      <x v="573"/>
    </i>
    <i>
      <x v="582"/>
      <x v="2621"/>
    </i>
    <i t="default">
      <x v="582"/>
    </i>
    <i>
      <x v="598"/>
      <x v="2852"/>
    </i>
    <i t="default">
      <x v="598"/>
    </i>
    <i>
      <x v="613"/>
      <x v="1715"/>
    </i>
    <i r="1">
      <x v="3075"/>
    </i>
    <i t="default">
      <x v="613"/>
    </i>
    <i>
      <x v="632"/>
      <x v="1996"/>
    </i>
    <i r="1">
      <x v="2786"/>
    </i>
    <i r="1">
      <x v="2787"/>
    </i>
    <i t="default">
      <x v="632"/>
    </i>
    <i>
      <x v="646"/>
      <x v="3255"/>
    </i>
    <i t="default">
      <x v="646"/>
    </i>
    <i>
      <x v="647"/>
      <x v="2030"/>
    </i>
    <i r="1">
      <x v="2370"/>
    </i>
    <i r="1">
      <x v="2571"/>
    </i>
    <i r="1">
      <x v="2673"/>
    </i>
    <i r="1">
      <x v="3017"/>
    </i>
    <i t="default">
      <x v="647"/>
    </i>
    <i>
      <x v="651"/>
      <x v="2127"/>
    </i>
    <i r="1">
      <x v="2128"/>
    </i>
    <i r="1">
      <x v="2129"/>
    </i>
    <i r="1">
      <x v="2130"/>
    </i>
    <i r="1">
      <x v="2727"/>
    </i>
    <i r="1">
      <x v="2737"/>
    </i>
    <i r="1">
      <x v="3007"/>
    </i>
    <i t="default">
      <x v="651"/>
    </i>
    <i>
      <x v="683"/>
      <x v="2202"/>
    </i>
    <i r="1">
      <x v="2361"/>
    </i>
    <i r="1">
      <x v="2906"/>
    </i>
    <i t="default">
      <x v="683"/>
    </i>
    <i>
      <x v="692"/>
      <x v="3230"/>
    </i>
    <i t="default">
      <x v="692"/>
    </i>
    <i>
      <x v="695"/>
      <x v="2480"/>
    </i>
    <i t="default">
      <x v="695"/>
    </i>
    <i>
      <x v="713"/>
      <x v="3235"/>
    </i>
    <i r="1">
      <x v="3236"/>
    </i>
    <i t="default">
      <x v="713"/>
    </i>
    <i>
      <x v="717"/>
      <x v="2707"/>
    </i>
    <i r="1">
      <x v="2838"/>
    </i>
    <i r="1">
      <x v="3118"/>
    </i>
    <i t="default">
      <x v="717"/>
    </i>
    <i>
      <x v="738"/>
      <x v="2898"/>
    </i>
    <i t="default">
      <x v="738"/>
    </i>
    <i>
      <x v="756"/>
      <x v="2692"/>
    </i>
    <i t="default">
      <x v="756"/>
    </i>
    <i>
      <x v="776"/>
      <x v="3143"/>
    </i>
    <i t="default">
      <x v="776"/>
    </i>
    <i>
      <x v="778"/>
      <x v="2367"/>
    </i>
    <i r="1">
      <x v="2703"/>
    </i>
    <i r="1">
      <x v="2704"/>
    </i>
    <i r="1">
      <x v="3016"/>
    </i>
    <i r="1">
      <x v="3156"/>
    </i>
    <i t="default">
      <x v="778"/>
    </i>
    <i>
      <x v="781"/>
      <x v="1978"/>
    </i>
    <i r="1">
      <x v="2715"/>
    </i>
    <i t="default">
      <x v="781"/>
    </i>
    <i>
      <x v="793"/>
      <x v="2758"/>
    </i>
    <i t="default">
      <x v="793"/>
    </i>
    <i>
      <x v="795"/>
      <x v="1557"/>
    </i>
    <i t="default">
      <x v="795"/>
    </i>
    <i>
      <x v="802"/>
      <x v="1603"/>
    </i>
    <i t="default">
      <x v="802"/>
    </i>
    <i>
      <x v="808"/>
      <x v="1658"/>
    </i>
    <i t="default">
      <x v="808"/>
    </i>
    <i>
      <x v="809"/>
      <x v="1665"/>
    </i>
    <i r="1">
      <x v="1666"/>
    </i>
    <i r="1">
      <x v="1667"/>
    </i>
    <i t="default">
      <x v="809"/>
    </i>
    <i>
      <x v="818"/>
      <x v="2885"/>
    </i>
    <i t="default">
      <x v="818"/>
    </i>
    <i>
      <x v="837"/>
      <x v="1785"/>
    </i>
    <i t="default">
      <x v="837"/>
    </i>
    <i>
      <x v="838"/>
      <x v="1790"/>
    </i>
    <i r="1">
      <x v="1791"/>
    </i>
    <i t="default">
      <x v="838"/>
    </i>
    <i>
      <x v="842"/>
      <x v="1814"/>
    </i>
    <i r="1">
      <x v="2278"/>
    </i>
    <i t="default">
      <x v="842"/>
    </i>
    <i>
      <x v="844"/>
      <x v="1822"/>
    </i>
    <i r="1">
      <x v="1823"/>
    </i>
    <i r="1">
      <x v="2138"/>
    </i>
    <i r="1">
      <x v="2255"/>
    </i>
    <i r="1">
      <x v="3047"/>
    </i>
    <i t="default">
      <x v="844"/>
    </i>
    <i>
      <x v="852"/>
      <x v="1852"/>
    </i>
    <i t="default">
      <x v="852"/>
    </i>
    <i>
      <x v="854"/>
      <x v="1864"/>
    </i>
    <i r="1">
      <x v="1865"/>
    </i>
    <i r="1">
      <x v="2410"/>
    </i>
    <i t="default">
      <x v="854"/>
    </i>
    <i>
      <x v="855"/>
      <x v="1868"/>
    </i>
    <i r="1">
      <x v="2814"/>
    </i>
    <i r="1">
      <x v="2815"/>
    </i>
    <i t="default">
      <x v="855"/>
    </i>
    <i>
      <x v="856"/>
      <x v="1869"/>
    </i>
    <i r="1">
      <x v="1870"/>
    </i>
    <i t="default">
      <x v="856"/>
    </i>
    <i>
      <x v="858"/>
      <x v="2456"/>
    </i>
    <i r="1">
      <x v="3051"/>
    </i>
    <i t="default">
      <x v="858"/>
    </i>
    <i>
      <x v="869"/>
      <x v="1947"/>
    </i>
    <i r="1">
      <x v="3025"/>
    </i>
    <i t="default">
      <x v="869"/>
    </i>
    <i>
      <x v="874"/>
      <x v="2950"/>
    </i>
    <i t="default">
      <x v="874"/>
    </i>
    <i>
      <x v="877"/>
      <x v="1971"/>
    </i>
    <i r="1">
      <x v="3265"/>
    </i>
    <i r="1">
      <x v="3266"/>
    </i>
    <i t="default">
      <x v="877"/>
    </i>
    <i>
      <x v="881"/>
      <x v="1993"/>
    </i>
    <i r="1">
      <x v="2457"/>
    </i>
    <i r="1">
      <x v="2753"/>
    </i>
    <i r="1">
      <x v="2895"/>
    </i>
    <i t="default">
      <x v="881"/>
    </i>
    <i>
      <x v="882"/>
      <x v="2000"/>
    </i>
    <i t="default">
      <x v="882"/>
    </i>
    <i>
      <x v="884"/>
      <x v="2314"/>
    </i>
    <i r="1">
      <x v="2528"/>
    </i>
    <i t="default">
      <x v="884"/>
    </i>
    <i>
      <x v="886"/>
      <x v="2015"/>
    </i>
    <i r="1">
      <x v="2065"/>
    </i>
    <i t="default">
      <x v="886"/>
    </i>
    <i>
      <x v="891"/>
      <x v="2368"/>
    </i>
    <i t="default">
      <x v="891"/>
    </i>
    <i>
      <x v="900"/>
      <x v="2062"/>
    </i>
    <i r="1">
      <x v="2063"/>
    </i>
    <i t="default">
      <x v="900"/>
    </i>
    <i>
      <x v="910"/>
      <x v="2104"/>
    </i>
    <i t="default">
      <x v="910"/>
    </i>
    <i>
      <x v="911"/>
      <x v="3209"/>
    </i>
    <i t="default">
      <x v="911"/>
    </i>
    <i>
      <x v="912"/>
      <x v="2112"/>
    </i>
    <i t="default">
      <x v="912"/>
    </i>
    <i>
      <x v="916"/>
      <x v="2132"/>
    </i>
    <i r="1">
      <x v="2166"/>
    </i>
    <i r="1">
      <x v="2244"/>
    </i>
    <i r="1">
      <x v="2513"/>
    </i>
    <i r="1">
      <x v="2936"/>
    </i>
    <i r="1">
      <x v="2963"/>
    </i>
    <i t="default">
      <x v="916"/>
    </i>
    <i>
      <x v="918"/>
      <x v="2146"/>
    </i>
    <i t="default">
      <x v="918"/>
    </i>
    <i>
      <x v="919"/>
      <x v="2149"/>
    </i>
    <i t="default">
      <x v="919"/>
    </i>
    <i>
      <x v="922"/>
      <x v="2159"/>
    </i>
    <i r="1">
      <x v="2160"/>
    </i>
    <i r="1">
      <x v="2355"/>
    </i>
    <i r="1">
      <x v="2519"/>
    </i>
    <i r="1">
      <x v="2828"/>
    </i>
    <i r="1">
      <x v="2894"/>
    </i>
    <i t="default">
      <x v="922"/>
    </i>
    <i>
      <x v="943"/>
      <x v="2261"/>
    </i>
    <i t="default">
      <x v="943"/>
    </i>
    <i>
      <x v="960"/>
      <x v="2335"/>
    </i>
    <i r="1">
      <x v="2336"/>
    </i>
    <i t="default">
      <x v="960"/>
    </i>
    <i>
      <x v="961"/>
      <x v="2339"/>
    </i>
    <i r="1">
      <x v="2340"/>
    </i>
    <i t="default">
      <x v="961"/>
    </i>
    <i>
      <x v="963"/>
      <x v="2346"/>
    </i>
    <i t="default">
      <x v="963"/>
    </i>
    <i>
      <x v="968"/>
      <x v="2362"/>
    </i>
    <i t="default">
      <x v="968"/>
    </i>
    <i>
      <x v="984"/>
      <x v="2415"/>
    </i>
    <i t="default">
      <x v="984"/>
    </i>
    <i>
      <x v="989"/>
      <x v="2436"/>
    </i>
    <i t="default">
      <x v="989"/>
    </i>
    <i>
      <x v="1001"/>
      <x v="2520"/>
    </i>
    <i t="default">
      <x v="1001"/>
    </i>
    <i>
      <x v="1003"/>
      <x v="2690"/>
    </i>
    <i t="default">
      <x v="1003"/>
    </i>
    <i>
      <x v="1009"/>
      <x v="2584"/>
    </i>
    <i t="default">
      <x v="1009"/>
    </i>
    <i>
      <x v="1012"/>
      <x v="2600"/>
    </i>
    <i t="default">
      <x v="1012"/>
    </i>
    <i>
      <x v="1013"/>
      <x v="2601"/>
    </i>
    <i t="default">
      <x v="1013"/>
    </i>
    <i>
      <x v="1015"/>
      <x v="2608"/>
    </i>
    <i t="default">
      <x v="1015"/>
    </i>
    <i>
      <x v="1016"/>
      <x v="2626"/>
    </i>
    <i t="default">
      <x v="1016"/>
    </i>
    <i>
      <x v="1017"/>
      <x v="2633"/>
    </i>
    <i t="default">
      <x v="1017"/>
    </i>
    <i>
      <x v="1025"/>
      <x v="2664"/>
    </i>
    <i r="1">
      <x v="3041"/>
    </i>
    <i t="default">
      <x v="1025"/>
    </i>
    <i>
      <x v="1035"/>
      <x v="2724"/>
    </i>
    <i t="default">
      <x v="1035"/>
    </i>
    <i>
      <x v="1037"/>
      <x v="2731"/>
    </i>
    <i t="default">
      <x v="1037"/>
    </i>
    <i>
      <x v="1047"/>
      <x v="2797"/>
    </i>
    <i t="default">
      <x v="1047"/>
    </i>
    <i>
      <x v="1049"/>
      <x v="2800"/>
    </i>
    <i t="default">
      <x v="1049"/>
    </i>
    <i>
      <x v="1050"/>
      <x v="2804"/>
    </i>
    <i t="default">
      <x v="1050"/>
    </i>
    <i>
      <x v="1051"/>
      <x v="2806"/>
    </i>
    <i t="default">
      <x v="1051"/>
    </i>
    <i>
      <x v="1058"/>
      <x v="2841"/>
    </i>
    <i t="default">
      <x v="1058"/>
    </i>
    <i>
      <x v="1061"/>
      <x v="2846"/>
    </i>
    <i t="default">
      <x v="1061"/>
    </i>
    <i>
      <x v="1068"/>
      <x v="2865"/>
    </i>
    <i r="1">
      <x v="2866"/>
    </i>
    <i r="1">
      <x v="2867"/>
    </i>
    <i t="default">
      <x v="1068"/>
    </i>
    <i>
      <x v="1069"/>
      <x v="2873"/>
    </i>
    <i t="default">
      <x v="1069"/>
    </i>
    <i>
      <x v="1082"/>
      <x v="2951"/>
    </i>
    <i t="default">
      <x v="1082"/>
    </i>
    <i>
      <x v="1085"/>
      <x v="2970"/>
    </i>
    <i t="default">
      <x v="1085"/>
    </i>
    <i>
      <x v="1092"/>
      <x v="2981"/>
    </i>
    <i t="default">
      <x v="1092"/>
    </i>
    <i>
      <x v="1101"/>
      <x v="3026"/>
    </i>
    <i t="default">
      <x v="1101"/>
    </i>
    <i>
      <x v="1102"/>
      <x v="3031"/>
    </i>
    <i t="default">
      <x v="1102"/>
    </i>
    <i>
      <x v="1104"/>
      <x v="3043"/>
    </i>
    <i t="default">
      <x v="1104"/>
    </i>
    <i>
      <x v="1105"/>
      <x v="3044"/>
    </i>
    <i t="default">
      <x v="1105"/>
    </i>
    <i>
      <x v="1116"/>
      <x v="3144"/>
    </i>
    <i t="default">
      <x v="1116"/>
    </i>
    <i>
      <x v="1125"/>
      <x v="3199"/>
    </i>
    <i t="default">
      <x v="1125"/>
    </i>
    <i>
      <x v="1127"/>
      <x v="3218"/>
    </i>
    <i r="1">
      <x v="3219"/>
    </i>
    <i t="default">
      <x v="1127"/>
    </i>
    <i>
      <x v="1129"/>
      <x v="3246"/>
    </i>
    <i t="default">
      <x v="1129"/>
    </i>
    <i>
      <x v="1132"/>
      <x v="3250"/>
    </i>
    <i t="default">
      <x v="1132"/>
    </i>
    <i>
      <x v="1138"/>
      <x v="3279"/>
    </i>
    <i t="default">
      <x v="1138"/>
    </i>
    <i>
      <x v="1139"/>
      <x v="3282"/>
    </i>
    <i t="default">
      <x v="1139"/>
    </i>
    <i t="grand">
      <x/>
    </i>
  </rowItems>
  <colFields count="1">
    <field x="-2"/>
  </colFields>
  <colItems count="2">
    <i>
      <x/>
    </i>
    <i i="1">
      <x v="1"/>
    </i>
  </colItems>
  <pageFields count="1">
    <pageField fld="17" hier="-1"/>
  </pageFields>
  <dataFields count="2">
    <dataField name="Cuenta de 1 ACUSE" fld="17" subtotal="count" baseField="0" baseItem="0"/>
    <dataField name="Suma de Total" fld="14" baseField="0" baseItem="0" numFmtId="164"/>
  </dataFields>
  <formats count="1100">
    <format dxfId="3501">
      <pivotArea dataOnly="0" labelOnly="1" outline="0" fieldPosition="0">
        <references count="1">
          <reference field="17" count="0"/>
        </references>
      </pivotArea>
    </format>
    <format dxfId="3502">
      <pivotArea field="2" type="button" dataOnly="0" labelOnly="1" outline="0" axis="axisRow" fieldPosition="1"/>
    </format>
    <format dxfId="3503">
      <pivotArea dataOnly="0" labelOnly="1" outline="0" fieldPosition="0">
        <references count="1">
          <reference field="10" count="1" defaultSubtotal="1">
            <x v="0"/>
          </reference>
        </references>
      </pivotArea>
    </format>
    <format dxfId="3504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3505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3506">
      <pivotArea dataOnly="0" labelOnly="1" outline="0" fieldPosition="0">
        <references count="1">
          <reference field="10" count="1" defaultSubtotal="1">
            <x v="3"/>
          </reference>
        </references>
      </pivotArea>
    </format>
    <format dxfId="3507">
      <pivotArea dataOnly="0" labelOnly="1" outline="0" fieldPosition="0">
        <references count="1">
          <reference field="10" count="1" defaultSubtotal="1">
            <x v="4"/>
          </reference>
        </references>
      </pivotArea>
    </format>
    <format dxfId="3508">
      <pivotArea dataOnly="0" labelOnly="1" outline="0" fieldPosition="0">
        <references count="1">
          <reference field="10" count="1" defaultSubtotal="1">
            <x v="5"/>
          </reference>
        </references>
      </pivotArea>
    </format>
    <format dxfId="3509">
      <pivotArea dataOnly="0" labelOnly="1" outline="0" fieldPosition="0">
        <references count="1">
          <reference field="10" count="1" defaultSubtotal="1">
            <x v="6"/>
          </reference>
        </references>
      </pivotArea>
    </format>
    <format dxfId="3510">
      <pivotArea dataOnly="0" labelOnly="1" outline="0" fieldPosition="0">
        <references count="1">
          <reference field="10" count="1" defaultSubtotal="1">
            <x v="9"/>
          </reference>
        </references>
      </pivotArea>
    </format>
    <format dxfId="3511">
      <pivotArea dataOnly="0" labelOnly="1" outline="0" fieldPosition="0">
        <references count="1">
          <reference field="10" count="1" defaultSubtotal="1">
            <x v="10"/>
          </reference>
        </references>
      </pivotArea>
    </format>
    <format dxfId="3512">
      <pivotArea dataOnly="0" labelOnly="1" outline="0" fieldPosition="0">
        <references count="1">
          <reference field="10" count="1" defaultSubtotal="1">
            <x v="11"/>
          </reference>
        </references>
      </pivotArea>
    </format>
    <format dxfId="3513">
      <pivotArea dataOnly="0" labelOnly="1" outline="0" fieldPosition="0">
        <references count="1">
          <reference field="10" count="1" defaultSubtotal="1">
            <x v="12"/>
          </reference>
        </references>
      </pivotArea>
    </format>
    <format dxfId="3514">
      <pivotArea dataOnly="0" labelOnly="1" outline="0" fieldPosition="0">
        <references count="1">
          <reference field="10" count="1" defaultSubtotal="1">
            <x v="13"/>
          </reference>
        </references>
      </pivotArea>
    </format>
    <format dxfId="3515">
      <pivotArea dataOnly="0" labelOnly="1" outline="0" fieldPosition="0">
        <references count="1">
          <reference field="10" count="1" defaultSubtotal="1">
            <x v="14"/>
          </reference>
        </references>
      </pivotArea>
    </format>
    <format dxfId="3516">
      <pivotArea dataOnly="0" labelOnly="1" outline="0" fieldPosition="0">
        <references count="1">
          <reference field="10" count="1" defaultSubtotal="1">
            <x v="15"/>
          </reference>
        </references>
      </pivotArea>
    </format>
    <format dxfId="3517">
      <pivotArea dataOnly="0" labelOnly="1" outline="0" fieldPosition="0">
        <references count="1">
          <reference field="10" count="1" defaultSubtotal="1">
            <x v="16"/>
          </reference>
        </references>
      </pivotArea>
    </format>
    <format dxfId="3518">
      <pivotArea dataOnly="0" labelOnly="1" outline="0" fieldPosition="0">
        <references count="1">
          <reference field="10" count="1" defaultSubtotal="1">
            <x v="17"/>
          </reference>
        </references>
      </pivotArea>
    </format>
    <format dxfId="3519">
      <pivotArea dataOnly="0" labelOnly="1" outline="0" fieldPosition="0">
        <references count="1">
          <reference field="10" count="1" defaultSubtotal="1">
            <x v="18"/>
          </reference>
        </references>
      </pivotArea>
    </format>
    <format dxfId="3520">
      <pivotArea dataOnly="0" labelOnly="1" outline="0" fieldPosition="0">
        <references count="1">
          <reference field="10" count="1" defaultSubtotal="1">
            <x v="20"/>
          </reference>
        </references>
      </pivotArea>
    </format>
    <format dxfId="3521">
      <pivotArea dataOnly="0" labelOnly="1" outline="0" fieldPosition="0">
        <references count="1">
          <reference field="10" count="1" defaultSubtotal="1">
            <x v="22"/>
          </reference>
        </references>
      </pivotArea>
    </format>
    <format dxfId="3522">
      <pivotArea dataOnly="0" labelOnly="1" outline="0" fieldPosition="0">
        <references count="1">
          <reference field="10" count="1" defaultSubtotal="1">
            <x v="24"/>
          </reference>
        </references>
      </pivotArea>
    </format>
    <format dxfId="3523">
      <pivotArea dataOnly="0" labelOnly="1" outline="0" fieldPosition="0">
        <references count="1">
          <reference field="10" count="1" defaultSubtotal="1">
            <x v="26"/>
          </reference>
        </references>
      </pivotArea>
    </format>
    <format dxfId="3524">
      <pivotArea dataOnly="0" labelOnly="1" outline="0" fieldPosition="0">
        <references count="1">
          <reference field="10" count="1" defaultSubtotal="1">
            <x v="27"/>
          </reference>
        </references>
      </pivotArea>
    </format>
    <format dxfId="3525">
      <pivotArea dataOnly="0" labelOnly="1" outline="0" fieldPosition="0">
        <references count="1">
          <reference field="10" count="1" defaultSubtotal="1">
            <x v="28"/>
          </reference>
        </references>
      </pivotArea>
    </format>
    <format dxfId="3526">
      <pivotArea dataOnly="0" labelOnly="1" outline="0" fieldPosition="0">
        <references count="1">
          <reference field="10" count="1" defaultSubtotal="1">
            <x v="29"/>
          </reference>
        </references>
      </pivotArea>
    </format>
    <format dxfId="3527">
      <pivotArea dataOnly="0" labelOnly="1" outline="0" fieldPosition="0">
        <references count="1">
          <reference field="10" count="1" defaultSubtotal="1">
            <x v="30"/>
          </reference>
        </references>
      </pivotArea>
    </format>
    <format dxfId="3528">
      <pivotArea dataOnly="0" labelOnly="1" outline="0" fieldPosition="0">
        <references count="1">
          <reference field="10" count="1" defaultSubtotal="1">
            <x v="31"/>
          </reference>
        </references>
      </pivotArea>
    </format>
    <format dxfId="3529">
      <pivotArea dataOnly="0" labelOnly="1" outline="0" fieldPosition="0">
        <references count="1">
          <reference field="10" count="1" defaultSubtotal="1">
            <x v="32"/>
          </reference>
        </references>
      </pivotArea>
    </format>
    <format dxfId="3530">
      <pivotArea dataOnly="0" labelOnly="1" outline="0" fieldPosition="0">
        <references count="1">
          <reference field="10" count="1" defaultSubtotal="1">
            <x v="33"/>
          </reference>
        </references>
      </pivotArea>
    </format>
    <format dxfId="3531">
      <pivotArea dataOnly="0" labelOnly="1" outline="0" fieldPosition="0">
        <references count="1">
          <reference field="10" count="1" defaultSubtotal="1">
            <x v="36"/>
          </reference>
        </references>
      </pivotArea>
    </format>
    <format dxfId="3532">
      <pivotArea dataOnly="0" labelOnly="1" outline="0" fieldPosition="0">
        <references count="1">
          <reference field="10" count="1" defaultSubtotal="1">
            <x v="37"/>
          </reference>
        </references>
      </pivotArea>
    </format>
    <format dxfId="3533">
      <pivotArea dataOnly="0" labelOnly="1" outline="0" fieldPosition="0">
        <references count="1">
          <reference field="10" count="1" defaultSubtotal="1">
            <x v="38"/>
          </reference>
        </references>
      </pivotArea>
    </format>
    <format dxfId="3534">
      <pivotArea dataOnly="0" labelOnly="1" outline="0" fieldPosition="0">
        <references count="1">
          <reference field="10" count="1" defaultSubtotal="1">
            <x v="39"/>
          </reference>
        </references>
      </pivotArea>
    </format>
    <format dxfId="3535">
      <pivotArea dataOnly="0" labelOnly="1" outline="0" fieldPosition="0">
        <references count="1">
          <reference field="10" count="1" defaultSubtotal="1">
            <x v="40"/>
          </reference>
        </references>
      </pivotArea>
    </format>
    <format dxfId="3536">
      <pivotArea dataOnly="0" labelOnly="1" outline="0" fieldPosition="0">
        <references count="1">
          <reference field="10" count="1" defaultSubtotal="1">
            <x v="43"/>
          </reference>
        </references>
      </pivotArea>
    </format>
    <format dxfId="3537">
      <pivotArea dataOnly="0" labelOnly="1" outline="0" fieldPosition="0">
        <references count="1">
          <reference field="10" count="1" defaultSubtotal="1">
            <x v="44"/>
          </reference>
        </references>
      </pivotArea>
    </format>
    <format dxfId="3538">
      <pivotArea dataOnly="0" labelOnly="1" outline="0" fieldPosition="0">
        <references count="1">
          <reference field="10" count="1" defaultSubtotal="1">
            <x v="46"/>
          </reference>
        </references>
      </pivotArea>
    </format>
    <format dxfId="3539">
      <pivotArea dataOnly="0" labelOnly="1" outline="0" fieldPosition="0">
        <references count="1">
          <reference field="10" count="1" defaultSubtotal="1">
            <x v="48"/>
          </reference>
        </references>
      </pivotArea>
    </format>
    <format dxfId="3540">
      <pivotArea dataOnly="0" labelOnly="1" outline="0" fieldPosition="0">
        <references count="1">
          <reference field="10" count="1" defaultSubtotal="1">
            <x v="49"/>
          </reference>
        </references>
      </pivotArea>
    </format>
    <format dxfId="3541">
      <pivotArea dataOnly="0" labelOnly="1" outline="0" fieldPosition="0">
        <references count="1">
          <reference field="10" count="1" defaultSubtotal="1">
            <x v="50"/>
          </reference>
        </references>
      </pivotArea>
    </format>
    <format dxfId="3542">
      <pivotArea dataOnly="0" labelOnly="1" outline="0" fieldPosition="0">
        <references count="1">
          <reference field="10" count="1" defaultSubtotal="1">
            <x v="52"/>
          </reference>
        </references>
      </pivotArea>
    </format>
    <format dxfId="3543">
      <pivotArea dataOnly="0" labelOnly="1" outline="0" fieldPosition="0">
        <references count="1">
          <reference field="10" count="1" defaultSubtotal="1">
            <x v="53"/>
          </reference>
        </references>
      </pivotArea>
    </format>
    <format dxfId="3544">
      <pivotArea dataOnly="0" labelOnly="1" outline="0" fieldPosition="0">
        <references count="1">
          <reference field="10" count="1" defaultSubtotal="1">
            <x v="55"/>
          </reference>
        </references>
      </pivotArea>
    </format>
    <format dxfId="3545">
      <pivotArea dataOnly="0" labelOnly="1" outline="0" fieldPosition="0">
        <references count="1">
          <reference field="10" count="1" defaultSubtotal="1">
            <x v="58"/>
          </reference>
        </references>
      </pivotArea>
    </format>
    <format dxfId="3546">
      <pivotArea dataOnly="0" labelOnly="1" outline="0" fieldPosition="0">
        <references count="1">
          <reference field="10" count="1" defaultSubtotal="1">
            <x v="59"/>
          </reference>
        </references>
      </pivotArea>
    </format>
    <format dxfId="3547">
      <pivotArea dataOnly="0" labelOnly="1" outline="0" fieldPosition="0">
        <references count="1">
          <reference field="10" count="1" defaultSubtotal="1">
            <x v="61"/>
          </reference>
        </references>
      </pivotArea>
    </format>
    <format dxfId="3548">
      <pivotArea dataOnly="0" labelOnly="1" outline="0" fieldPosition="0">
        <references count="1">
          <reference field="10" count="1" defaultSubtotal="1">
            <x v="62"/>
          </reference>
        </references>
      </pivotArea>
    </format>
    <format dxfId="3549">
      <pivotArea dataOnly="0" labelOnly="1" outline="0" fieldPosition="0">
        <references count="1">
          <reference field="10" count="1" defaultSubtotal="1">
            <x v="64"/>
          </reference>
        </references>
      </pivotArea>
    </format>
    <format dxfId="3550">
      <pivotArea dataOnly="0" labelOnly="1" outline="0" fieldPosition="0">
        <references count="1">
          <reference field="10" count="1" defaultSubtotal="1">
            <x v="65"/>
          </reference>
        </references>
      </pivotArea>
    </format>
    <format dxfId="3551">
      <pivotArea dataOnly="0" labelOnly="1" outline="0" fieldPosition="0">
        <references count="1">
          <reference field="10" count="1" defaultSubtotal="1">
            <x v="66"/>
          </reference>
        </references>
      </pivotArea>
    </format>
    <format dxfId="3552">
      <pivotArea dataOnly="0" labelOnly="1" outline="0" fieldPosition="0">
        <references count="1">
          <reference field="10" count="1" defaultSubtotal="1">
            <x v="67"/>
          </reference>
        </references>
      </pivotArea>
    </format>
    <format dxfId="3553">
      <pivotArea dataOnly="0" labelOnly="1" outline="0" fieldPosition="0">
        <references count="1">
          <reference field="10" count="1" defaultSubtotal="1">
            <x v="68"/>
          </reference>
        </references>
      </pivotArea>
    </format>
    <format dxfId="3554">
      <pivotArea dataOnly="0" labelOnly="1" outline="0" fieldPosition="0">
        <references count="1">
          <reference field="10" count="1" defaultSubtotal="1">
            <x v="69"/>
          </reference>
        </references>
      </pivotArea>
    </format>
    <format dxfId="3555">
      <pivotArea dataOnly="0" labelOnly="1" outline="0" fieldPosition="0">
        <references count="1">
          <reference field="10" count="1" defaultSubtotal="1">
            <x v="73"/>
          </reference>
        </references>
      </pivotArea>
    </format>
    <format dxfId="3556">
      <pivotArea dataOnly="0" labelOnly="1" outline="0" fieldPosition="0">
        <references count="1">
          <reference field="10" count="1" defaultSubtotal="1">
            <x v="74"/>
          </reference>
        </references>
      </pivotArea>
    </format>
    <format dxfId="3557">
      <pivotArea dataOnly="0" labelOnly="1" outline="0" fieldPosition="0">
        <references count="1">
          <reference field="10" count="1" defaultSubtotal="1">
            <x v="75"/>
          </reference>
        </references>
      </pivotArea>
    </format>
    <format dxfId="3558">
      <pivotArea dataOnly="0" labelOnly="1" outline="0" fieldPosition="0">
        <references count="1">
          <reference field="10" count="1" defaultSubtotal="1">
            <x v="77"/>
          </reference>
        </references>
      </pivotArea>
    </format>
    <format dxfId="3559">
      <pivotArea dataOnly="0" labelOnly="1" outline="0" fieldPosition="0">
        <references count="1">
          <reference field="10" count="1" defaultSubtotal="1">
            <x v="78"/>
          </reference>
        </references>
      </pivotArea>
    </format>
    <format dxfId="3560">
      <pivotArea dataOnly="0" labelOnly="1" outline="0" fieldPosition="0">
        <references count="1">
          <reference field="10" count="1" defaultSubtotal="1">
            <x v="80"/>
          </reference>
        </references>
      </pivotArea>
    </format>
    <format dxfId="3561">
      <pivotArea dataOnly="0" labelOnly="1" outline="0" fieldPosition="0">
        <references count="1">
          <reference field="10" count="1" defaultSubtotal="1">
            <x v="81"/>
          </reference>
        </references>
      </pivotArea>
    </format>
    <format dxfId="3562">
      <pivotArea dataOnly="0" labelOnly="1" outline="0" fieldPosition="0">
        <references count="1">
          <reference field="10" count="1" defaultSubtotal="1">
            <x v="82"/>
          </reference>
        </references>
      </pivotArea>
    </format>
    <format dxfId="3563">
      <pivotArea dataOnly="0" labelOnly="1" outline="0" fieldPosition="0">
        <references count="1">
          <reference field="10" count="1" defaultSubtotal="1">
            <x v="85"/>
          </reference>
        </references>
      </pivotArea>
    </format>
    <format dxfId="3564">
      <pivotArea dataOnly="0" labelOnly="1" outline="0" fieldPosition="0">
        <references count="1">
          <reference field="10" count="1" defaultSubtotal="1">
            <x v="86"/>
          </reference>
        </references>
      </pivotArea>
    </format>
    <format dxfId="3565">
      <pivotArea dataOnly="0" labelOnly="1" outline="0" fieldPosition="0">
        <references count="1">
          <reference field="10" count="1" defaultSubtotal="1">
            <x v="87"/>
          </reference>
        </references>
      </pivotArea>
    </format>
    <format dxfId="3566">
      <pivotArea dataOnly="0" labelOnly="1" outline="0" fieldPosition="0">
        <references count="1">
          <reference field="10" count="1" defaultSubtotal="1">
            <x v="88"/>
          </reference>
        </references>
      </pivotArea>
    </format>
    <format dxfId="3567">
      <pivotArea dataOnly="0" labelOnly="1" outline="0" fieldPosition="0">
        <references count="1">
          <reference field="10" count="1" defaultSubtotal="1">
            <x v="89"/>
          </reference>
        </references>
      </pivotArea>
    </format>
    <format dxfId="3568">
      <pivotArea dataOnly="0" labelOnly="1" outline="0" fieldPosition="0">
        <references count="1">
          <reference field="10" count="1" defaultSubtotal="1">
            <x v="90"/>
          </reference>
        </references>
      </pivotArea>
    </format>
    <format dxfId="3569">
      <pivotArea dataOnly="0" labelOnly="1" outline="0" fieldPosition="0">
        <references count="1">
          <reference field="10" count="1" defaultSubtotal="1">
            <x v="92"/>
          </reference>
        </references>
      </pivotArea>
    </format>
    <format dxfId="3570">
      <pivotArea dataOnly="0" labelOnly="1" outline="0" fieldPosition="0">
        <references count="1">
          <reference field="10" count="1" defaultSubtotal="1">
            <x v="96"/>
          </reference>
        </references>
      </pivotArea>
    </format>
    <format dxfId="3571">
      <pivotArea dataOnly="0" labelOnly="1" outline="0" fieldPosition="0">
        <references count="1">
          <reference field="10" count="1" defaultSubtotal="1">
            <x v="98"/>
          </reference>
        </references>
      </pivotArea>
    </format>
    <format dxfId="3572">
      <pivotArea dataOnly="0" labelOnly="1" outline="0" fieldPosition="0">
        <references count="1">
          <reference field="10" count="1" defaultSubtotal="1">
            <x v="99"/>
          </reference>
        </references>
      </pivotArea>
    </format>
    <format dxfId="3573">
      <pivotArea dataOnly="0" labelOnly="1" outline="0" fieldPosition="0">
        <references count="1">
          <reference field="10" count="1" defaultSubtotal="1">
            <x v="101"/>
          </reference>
        </references>
      </pivotArea>
    </format>
    <format dxfId="3574">
      <pivotArea dataOnly="0" labelOnly="1" outline="0" fieldPosition="0">
        <references count="1">
          <reference field="10" count="1" defaultSubtotal="1">
            <x v="102"/>
          </reference>
        </references>
      </pivotArea>
    </format>
    <format dxfId="3575">
      <pivotArea dataOnly="0" labelOnly="1" outline="0" fieldPosition="0">
        <references count="1">
          <reference field="10" count="1" defaultSubtotal="1">
            <x v="103"/>
          </reference>
        </references>
      </pivotArea>
    </format>
    <format dxfId="3576">
      <pivotArea dataOnly="0" labelOnly="1" outline="0" fieldPosition="0">
        <references count="1">
          <reference field="10" count="1" defaultSubtotal="1">
            <x v="104"/>
          </reference>
        </references>
      </pivotArea>
    </format>
    <format dxfId="3577">
      <pivotArea dataOnly="0" labelOnly="1" outline="0" fieldPosition="0">
        <references count="1">
          <reference field="10" count="1" defaultSubtotal="1">
            <x v="106"/>
          </reference>
        </references>
      </pivotArea>
    </format>
    <format dxfId="3578">
      <pivotArea dataOnly="0" labelOnly="1" outline="0" fieldPosition="0">
        <references count="1">
          <reference field="10" count="1" defaultSubtotal="1">
            <x v="107"/>
          </reference>
        </references>
      </pivotArea>
    </format>
    <format dxfId="3579">
      <pivotArea dataOnly="0" labelOnly="1" outline="0" fieldPosition="0">
        <references count="1">
          <reference field="10" count="1" defaultSubtotal="1">
            <x v="108"/>
          </reference>
        </references>
      </pivotArea>
    </format>
    <format dxfId="3580">
      <pivotArea dataOnly="0" labelOnly="1" outline="0" fieldPosition="0">
        <references count="1">
          <reference field="10" count="1" defaultSubtotal="1">
            <x v="111"/>
          </reference>
        </references>
      </pivotArea>
    </format>
    <format dxfId="3581">
      <pivotArea dataOnly="0" labelOnly="1" outline="0" fieldPosition="0">
        <references count="1">
          <reference field="10" count="1" defaultSubtotal="1">
            <x v="115"/>
          </reference>
        </references>
      </pivotArea>
    </format>
    <format dxfId="3582">
      <pivotArea dataOnly="0" labelOnly="1" outline="0" fieldPosition="0">
        <references count="1">
          <reference field="10" count="1" defaultSubtotal="1">
            <x v="116"/>
          </reference>
        </references>
      </pivotArea>
    </format>
    <format dxfId="3583">
      <pivotArea dataOnly="0" labelOnly="1" outline="0" fieldPosition="0">
        <references count="1">
          <reference field="10" count="1" defaultSubtotal="1">
            <x v="117"/>
          </reference>
        </references>
      </pivotArea>
    </format>
    <format dxfId="3584">
      <pivotArea dataOnly="0" labelOnly="1" outline="0" fieldPosition="0">
        <references count="1">
          <reference field="10" count="1" defaultSubtotal="1">
            <x v="118"/>
          </reference>
        </references>
      </pivotArea>
    </format>
    <format dxfId="3585">
      <pivotArea dataOnly="0" labelOnly="1" outline="0" fieldPosition="0">
        <references count="1">
          <reference field="10" count="1" defaultSubtotal="1">
            <x v="119"/>
          </reference>
        </references>
      </pivotArea>
    </format>
    <format dxfId="3586">
      <pivotArea dataOnly="0" labelOnly="1" outline="0" fieldPosition="0">
        <references count="1">
          <reference field="10" count="1" defaultSubtotal="1">
            <x v="120"/>
          </reference>
        </references>
      </pivotArea>
    </format>
    <format dxfId="3587">
      <pivotArea dataOnly="0" labelOnly="1" outline="0" fieldPosition="0">
        <references count="1">
          <reference field="10" count="1" defaultSubtotal="1">
            <x v="121"/>
          </reference>
        </references>
      </pivotArea>
    </format>
    <format dxfId="3588">
      <pivotArea dataOnly="0" labelOnly="1" outline="0" fieldPosition="0">
        <references count="1">
          <reference field="10" count="1" defaultSubtotal="1">
            <x v="122"/>
          </reference>
        </references>
      </pivotArea>
    </format>
    <format dxfId="3589">
      <pivotArea dataOnly="0" labelOnly="1" outline="0" fieldPosition="0">
        <references count="1">
          <reference field="10" count="1" defaultSubtotal="1">
            <x v="123"/>
          </reference>
        </references>
      </pivotArea>
    </format>
    <format dxfId="3590">
      <pivotArea dataOnly="0" labelOnly="1" outline="0" fieldPosition="0">
        <references count="1">
          <reference field="10" count="1" defaultSubtotal="1">
            <x v="124"/>
          </reference>
        </references>
      </pivotArea>
    </format>
    <format dxfId="3591">
      <pivotArea dataOnly="0" labelOnly="1" outline="0" fieldPosition="0">
        <references count="1">
          <reference field="10" count="1" defaultSubtotal="1">
            <x v="125"/>
          </reference>
        </references>
      </pivotArea>
    </format>
    <format dxfId="3592">
      <pivotArea dataOnly="0" labelOnly="1" outline="0" fieldPosition="0">
        <references count="1">
          <reference field="10" count="1" defaultSubtotal="1">
            <x v="127"/>
          </reference>
        </references>
      </pivotArea>
    </format>
    <format dxfId="3593">
      <pivotArea dataOnly="0" labelOnly="1" outline="0" fieldPosition="0">
        <references count="1">
          <reference field="10" count="1" defaultSubtotal="1">
            <x v="128"/>
          </reference>
        </references>
      </pivotArea>
    </format>
    <format dxfId="3594">
      <pivotArea dataOnly="0" labelOnly="1" outline="0" fieldPosition="0">
        <references count="1">
          <reference field="10" count="1" defaultSubtotal="1">
            <x v="129"/>
          </reference>
        </references>
      </pivotArea>
    </format>
    <format dxfId="3595">
      <pivotArea dataOnly="0" labelOnly="1" outline="0" fieldPosition="0">
        <references count="1">
          <reference field="10" count="1" defaultSubtotal="1">
            <x v="130"/>
          </reference>
        </references>
      </pivotArea>
    </format>
    <format dxfId="3596">
      <pivotArea dataOnly="0" labelOnly="1" outline="0" fieldPosition="0">
        <references count="1">
          <reference field="10" count="1" defaultSubtotal="1">
            <x v="131"/>
          </reference>
        </references>
      </pivotArea>
    </format>
    <format dxfId="3597">
      <pivotArea dataOnly="0" labelOnly="1" outline="0" fieldPosition="0">
        <references count="1">
          <reference field="10" count="1" defaultSubtotal="1">
            <x v="132"/>
          </reference>
        </references>
      </pivotArea>
    </format>
    <format dxfId="3598">
      <pivotArea dataOnly="0" labelOnly="1" outline="0" fieldPosition="0">
        <references count="1">
          <reference field="10" count="1" defaultSubtotal="1">
            <x v="133"/>
          </reference>
        </references>
      </pivotArea>
    </format>
    <format dxfId="3599">
      <pivotArea dataOnly="0" labelOnly="1" outline="0" fieldPosition="0">
        <references count="1">
          <reference field="10" count="1" defaultSubtotal="1">
            <x v="134"/>
          </reference>
        </references>
      </pivotArea>
    </format>
    <format dxfId="3600">
      <pivotArea dataOnly="0" labelOnly="1" outline="0" fieldPosition="0">
        <references count="1">
          <reference field="10" count="1" defaultSubtotal="1">
            <x v="135"/>
          </reference>
        </references>
      </pivotArea>
    </format>
    <format dxfId="3601">
      <pivotArea dataOnly="0" labelOnly="1" outline="0" fieldPosition="0">
        <references count="1">
          <reference field="10" count="1" defaultSubtotal="1">
            <x v="136"/>
          </reference>
        </references>
      </pivotArea>
    </format>
    <format dxfId="3602">
      <pivotArea dataOnly="0" labelOnly="1" outline="0" fieldPosition="0">
        <references count="1">
          <reference field="10" count="1" defaultSubtotal="1">
            <x v="137"/>
          </reference>
        </references>
      </pivotArea>
    </format>
    <format dxfId="3603">
      <pivotArea dataOnly="0" labelOnly="1" outline="0" fieldPosition="0">
        <references count="1">
          <reference field="10" count="1" defaultSubtotal="1">
            <x v="138"/>
          </reference>
        </references>
      </pivotArea>
    </format>
    <format dxfId="3604">
      <pivotArea dataOnly="0" labelOnly="1" outline="0" fieldPosition="0">
        <references count="1">
          <reference field="10" count="1" defaultSubtotal="1">
            <x v="139"/>
          </reference>
        </references>
      </pivotArea>
    </format>
    <format dxfId="3605">
      <pivotArea dataOnly="0" labelOnly="1" outline="0" fieldPosition="0">
        <references count="1">
          <reference field="10" count="1" defaultSubtotal="1">
            <x v="140"/>
          </reference>
        </references>
      </pivotArea>
    </format>
    <format dxfId="3606">
      <pivotArea dataOnly="0" labelOnly="1" outline="0" fieldPosition="0">
        <references count="1">
          <reference field="10" count="1" defaultSubtotal="1">
            <x v="141"/>
          </reference>
        </references>
      </pivotArea>
    </format>
    <format dxfId="3607">
      <pivotArea dataOnly="0" labelOnly="1" outline="0" fieldPosition="0">
        <references count="1">
          <reference field="10" count="1" defaultSubtotal="1">
            <x v="144"/>
          </reference>
        </references>
      </pivotArea>
    </format>
    <format dxfId="3608">
      <pivotArea dataOnly="0" labelOnly="1" outline="0" fieldPosition="0">
        <references count="1">
          <reference field="10" count="1" defaultSubtotal="1">
            <x v="146"/>
          </reference>
        </references>
      </pivotArea>
    </format>
    <format dxfId="3609">
      <pivotArea dataOnly="0" labelOnly="1" outline="0" fieldPosition="0">
        <references count="1">
          <reference field="10" count="1" defaultSubtotal="1">
            <x v="147"/>
          </reference>
        </references>
      </pivotArea>
    </format>
    <format dxfId="3610">
      <pivotArea dataOnly="0" labelOnly="1" outline="0" fieldPosition="0">
        <references count="1">
          <reference field="10" count="1" defaultSubtotal="1">
            <x v="148"/>
          </reference>
        </references>
      </pivotArea>
    </format>
    <format dxfId="3611">
      <pivotArea dataOnly="0" labelOnly="1" outline="0" fieldPosition="0">
        <references count="1">
          <reference field="10" count="1" defaultSubtotal="1">
            <x v="149"/>
          </reference>
        </references>
      </pivotArea>
    </format>
    <format dxfId="3612">
      <pivotArea dataOnly="0" labelOnly="1" outline="0" fieldPosition="0">
        <references count="1">
          <reference field="10" count="1" defaultSubtotal="1">
            <x v="150"/>
          </reference>
        </references>
      </pivotArea>
    </format>
    <format dxfId="3613">
      <pivotArea dataOnly="0" labelOnly="1" outline="0" fieldPosition="0">
        <references count="1">
          <reference field="10" count="1" defaultSubtotal="1">
            <x v="151"/>
          </reference>
        </references>
      </pivotArea>
    </format>
    <format dxfId="3614">
      <pivotArea dataOnly="0" labelOnly="1" outline="0" fieldPosition="0">
        <references count="1">
          <reference field="10" count="1" defaultSubtotal="1">
            <x v="152"/>
          </reference>
        </references>
      </pivotArea>
    </format>
    <format dxfId="3615">
      <pivotArea dataOnly="0" labelOnly="1" outline="0" fieldPosition="0">
        <references count="1">
          <reference field="10" count="1" defaultSubtotal="1">
            <x v="153"/>
          </reference>
        </references>
      </pivotArea>
    </format>
    <format dxfId="3616">
      <pivotArea dataOnly="0" labelOnly="1" outline="0" fieldPosition="0">
        <references count="1">
          <reference field="10" count="1" defaultSubtotal="1">
            <x v="154"/>
          </reference>
        </references>
      </pivotArea>
    </format>
    <format dxfId="3617">
      <pivotArea dataOnly="0" labelOnly="1" outline="0" fieldPosition="0">
        <references count="1">
          <reference field="10" count="1" defaultSubtotal="1">
            <x v="155"/>
          </reference>
        </references>
      </pivotArea>
    </format>
    <format dxfId="3618">
      <pivotArea dataOnly="0" labelOnly="1" outline="0" fieldPosition="0">
        <references count="1">
          <reference field="10" count="1" defaultSubtotal="1">
            <x v="156"/>
          </reference>
        </references>
      </pivotArea>
    </format>
    <format dxfId="3619">
      <pivotArea dataOnly="0" labelOnly="1" outline="0" fieldPosition="0">
        <references count="1">
          <reference field="10" count="1" defaultSubtotal="1">
            <x v="159"/>
          </reference>
        </references>
      </pivotArea>
    </format>
    <format dxfId="3620">
      <pivotArea dataOnly="0" labelOnly="1" outline="0" fieldPosition="0">
        <references count="1">
          <reference field="10" count="1" defaultSubtotal="1">
            <x v="160"/>
          </reference>
        </references>
      </pivotArea>
    </format>
    <format dxfId="3621">
      <pivotArea dataOnly="0" labelOnly="1" outline="0" fieldPosition="0">
        <references count="1">
          <reference field="10" count="1" defaultSubtotal="1">
            <x v="161"/>
          </reference>
        </references>
      </pivotArea>
    </format>
    <format dxfId="3622">
      <pivotArea dataOnly="0" labelOnly="1" outline="0" fieldPosition="0">
        <references count="1">
          <reference field="10" count="1" defaultSubtotal="1">
            <x v="162"/>
          </reference>
        </references>
      </pivotArea>
    </format>
    <format dxfId="3623">
      <pivotArea dataOnly="0" labelOnly="1" outline="0" fieldPosition="0">
        <references count="1">
          <reference field="10" count="1" defaultSubtotal="1">
            <x v="163"/>
          </reference>
        </references>
      </pivotArea>
    </format>
    <format dxfId="3624">
      <pivotArea dataOnly="0" labelOnly="1" outline="0" fieldPosition="0">
        <references count="1">
          <reference field="10" count="1" defaultSubtotal="1">
            <x v="164"/>
          </reference>
        </references>
      </pivotArea>
    </format>
    <format dxfId="3625">
      <pivotArea dataOnly="0" labelOnly="1" outline="0" fieldPosition="0">
        <references count="1">
          <reference field="10" count="1" defaultSubtotal="1">
            <x v="165"/>
          </reference>
        </references>
      </pivotArea>
    </format>
    <format dxfId="3626">
      <pivotArea dataOnly="0" labelOnly="1" outline="0" fieldPosition="0">
        <references count="1">
          <reference field="10" count="1" defaultSubtotal="1">
            <x v="166"/>
          </reference>
        </references>
      </pivotArea>
    </format>
    <format dxfId="3627">
      <pivotArea dataOnly="0" labelOnly="1" outline="0" fieldPosition="0">
        <references count="1">
          <reference field="10" count="1" defaultSubtotal="1">
            <x v="167"/>
          </reference>
        </references>
      </pivotArea>
    </format>
    <format dxfId="3628">
      <pivotArea dataOnly="0" labelOnly="1" outline="0" fieldPosition="0">
        <references count="1">
          <reference field="10" count="1" defaultSubtotal="1">
            <x v="168"/>
          </reference>
        </references>
      </pivotArea>
    </format>
    <format dxfId="3629">
      <pivotArea dataOnly="0" labelOnly="1" outline="0" fieldPosition="0">
        <references count="1">
          <reference field="10" count="1" defaultSubtotal="1">
            <x v="169"/>
          </reference>
        </references>
      </pivotArea>
    </format>
    <format dxfId="3630">
      <pivotArea dataOnly="0" labelOnly="1" outline="0" fieldPosition="0">
        <references count="1">
          <reference field="10" count="1" defaultSubtotal="1">
            <x v="171"/>
          </reference>
        </references>
      </pivotArea>
    </format>
    <format dxfId="3631">
      <pivotArea dataOnly="0" labelOnly="1" outline="0" fieldPosition="0">
        <references count="1">
          <reference field="10" count="1" defaultSubtotal="1">
            <x v="172"/>
          </reference>
        </references>
      </pivotArea>
    </format>
    <format dxfId="3632">
      <pivotArea dataOnly="0" labelOnly="1" outline="0" fieldPosition="0">
        <references count="1">
          <reference field="10" count="1" defaultSubtotal="1">
            <x v="175"/>
          </reference>
        </references>
      </pivotArea>
    </format>
    <format dxfId="3633">
      <pivotArea dataOnly="0" labelOnly="1" outline="0" fieldPosition="0">
        <references count="1">
          <reference field="10" count="1" defaultSubtotal="1">
            <x v="176"/>
          </reference>
        </references>
      </pivotArea>
    </format>
    <format dxfId="3634">
      <pivotArea dataOnly="0" labelOnly="1" outline="0" fieldPosition="0">
        <references count="1">
          <reference field="10" count="1" defaultSubtotal="1">
            <x v="177"/>
          </reference>
        </references>
      </pivotArea>
    </format>
    <format dxfId="3635">
      <pivotArea dataOnly="0" labelOnly="1" outline="0" fieldPosition="0">
        <references count="1">
          <reference field="10" count="1" defaultSubtotal="1">
            <x v="178"/>
          </reference>
        </references>
      </pivotArea>
    </format>
    <format dxfId="3636">
      <pivotArea dataOnly="0" labelOnly="1" outline="0" fieldPosition="0">
        <references count="1">
          <reference field="10" count="1" defaultSubtotal="1">
            <x v="180"/>
          </reference>
        </references>
      </pivotArea>
    </format>
    <format dxfId="3637">
      <pivotArea dataOnly="0" labelOnly="1" outline="0" fieldPosition="0">
        <references count="1">
          <reference field="10" count="1" defaultSubtotal="1">
            <x v="181"/>
          </reference>
        </references>
      </pivotArea>
    </format>
    <format dxfId="3638">
      <pivotArea dataOnly="0" labelOnly="1" outline="0" fieldPosition="0">
        <references count="1">
          <reference field="10" count="1" defaultSubtotal="1">
            <x v="182"/>
          </reference>
        </references>
      </pivotArea>
    </format>
    <format dxfId="3639">
      <pivotArea dataOnly="0" labelOnly="1" outline="0" fieldPosition="0">
        <references count="1">
          <reference field="10" count="1" defaultSubtotal="1">
            <x v="183"/>
          </reference>
        </references>
      </pivotArea>
    </format>
    <format dxfId="3640">
      <pivotArea dataOnly="0" labelOnly="1" outline="0" fieldPosition="0">
        <references count="1">
          <reference field="10" count="1" defaultSubtotal="1">
            <x v="187"/>
          </reference>
        </references>
      </pivotArea>
    </format>
    <format dxfId="3641">
      <pivotArea dataOnly="0" labelOnly="1" outline="0" fieldPosition="0">
        <references count="1">
          <reference field="10" count="1" defaultSubtotal="1">
            <x v="188"/>
          </reference>
        </references>
      </pivotArea>
    </format>
    <format dxfId="3642">
      <pivotArea dataOnly="0" labelOnly="1" outline="0" fieldPosition="0">
        <references count="1">
          <reference field="10" count="1" defaultSubtotal="1">
            <x v="191"/>
          </reference>
        </references>
      </pivotArea>
    </format>
    <format dxfId="3643">
      <pivotArea dataOnly="0" labelOnly="1" outline="0" fieldPosition="0">
        <references count="1">
          <reference field="10" count="1" defaultSubtotal="1">
            <x v="192"/>
          </reference>
        </references>
      </pivotArea>
    </format>
    <format dxfId="3644">
      <pivotArea dataOnly="0" labelOnly="1" outline="0" fieldPosition="0">
        <references count="1">
          <reference field="10" count="1" defaultSubtotal="1">
            <x v="193"/>
          </reference>
        </references>
      </pivotArea>
    </format>
    <format dxfId="3645">
      <pivotArea dataOnly="0" labelOnly="1" outline="0" fieldPosition="0">
        <references count="1">
          <reference field="10" count="1" defaultSubtotal="1">
            <x v="194"/>
          </reference>
        </references>
      </pivotArea>
    </format>
    <format dxfId="3646">
      <pivotArea dataOnly="0" labelOnly="1" outline="0" fieldPosition="0">
        <references count="1">
          <reference field="10" count="1" defaultSubtotal="1">
            <x v="195"/>
          </reference>
        </references>
      </pivotArea>
    </format>
    <format dxfId="3647">
      <pivotArea dataOnly="0" labelOnly="1" outline="0" fieldPosition="0">
        <references count="1">
          <reference field="10" count="1" defaultSubtotal="1">
            <x v="196"/>
          </reference>
        </references>
      </pivotArea>
    </format>
    <format dxfId="3648">
      <pivotArea dataOnly="0" labelOnly="1" outline="0" fieldPosition="0">
        <references count="1">
          <reference field="10" count="1" defaultSubtotal="1">
            <x v="197"/>
          </reference>
        </references>
      </pivotArea>
    </format>
    <format dxfId="3649">
      <pivotArea dataOnly="0" labelOnly="1" outline="0" fieldPosition="0">
        <references count="1">
          <reference field="10" count="1" defaultSubtotal="1">
            <x v="198"/>
          </reference>
        </references>
      </pivotArea>
    </format>
    <format dxfId="3650">
      <pivotArea dataOnly="0" labelOnly="1" outline="0" fieldPosition="0">
        <references count="1">
          <reference field="10" count="1" defaultSubtotal="1">
            <x v="199"/>
          </reference>
        </references>
      </pivotArea>
    </format>
    <format dxfId="3651">
      <pivotArea dataOnly="0" labelOnly="1" outline="0" fieldPosition="0">
        <references count="1">
          <reference field="10" count="1" defaultSubtotal="1">
            <x v="200"/>
          </reference>
        </references>
      </pivotArea>
    </format>
    <format dxfId="3652">
      <pivotArea dataOnly="0" labelOnly="1" outline="0" fieldPosition="0">
        <references count="1">
          <reference field="10" count="1" defaultSubtotal="1">
            <x v="201"/>
          </reference>
        </references>
      </pivotArea>
    </format>
    <format dxfId="3653">
      <pivotArea dataOnly="0" labelOnly="1" outline="0" fieldPosition="0">
        <references count="1">
          <reference field="10" count="1" defaultSubtotal="1">
            <x v="203"/>
          </reference>
        </references>
      </pivotArea>
    </format>
    <format dxfId="3654">
      <pivotArea dataOnly="0" labelOnly="1" outline="0" fieldPosition="0">
        <references count="1">
          <reference field="10" count="1" defaultSubtotal="1">
            <x v="204"/>
          </reference>
        </references>
      </pivotArea>
    </format>
    <format dxfId="3655">
      <pivotArea dataOnly="0" labelOnly="1" outline="0" fieldPosition="0">
        <references count="1">
          <reference field="10" count="1" defaultSubtotal="1">
            <x v="206"/>
          </reference>
        </references>
      </pivotArea>
    </format>
    <format dxfId="3656">
      <pivotArea dataOnly="0" labelOnly="1" outline="0" fieldPosition="0">
        <references count="1">
          <reference field="10" count="1" defaultSubtotal="1">
            <x v="207"/>
          </reference>
        </references>
      </pivotArea>
    </format>
    <format dxfId="3657">
      <pivotArea dataOnly="0" labelOnly="1" outline="0" fieldPosition="0">
        <references count="1">
          <reference field="10" count="1" defaultSubtotal="1">
            <x v="208"/>
          </reference>
        </references>
      </pivotArea>
    </format>
    <format dxfId="3658">
      <pivotArea dataOnly="0" labelOnly="1" outline="0" fieldPosition="0">
        <references count="1">
          <reference field="10" count="1" defaultSubtotal="1">
            <x v="209"/>
          </reference>
        </references>
      </pivotArea>
    </format>
    <format dxfId="3659">
      <pivotArea dataOnly="0" labelOnly="1" outline="0" fieldPosition="0">
        <references count="1">
          <reference field="10" count="1" defaultSubtotal="1">
            <x v="211"/>
          </reference>
        </references>
      </pivotArea>
    </format>
    <format dxfId="3660">
      <pivotArea dataOnly="0" labelOnly="1" outline="0" fieldPosition="0">
        <references count="1">
          <reference field="10" count="1" defaultSubtotal="1">
            <x v="212"/>
          </reference>
        </references>
      </pivotArea>
    </format>
    <format dxfId="3661">
      <pivotArea dataOnly="0" labelOnly="1" outline="0" fieldPosition="0">
        <references count="1">
          <reference field="10" count="1" defaultSubtotal="1">
            <x v="213"/>
          </reference>
        </references>
      </pivotArea>
    </format>
    <format dxfId="3662">
      <pivotArea dataOnly="0" labelOnly="1" outline="0" fieldPosition="0">
        <references count="1">
          <reference field="10" count="1" defaultSubtotal="1">
            <x v="214"/>
          </reference>
        </references>
      </pivotArea>
    </format>
    <format dxfId="3663">
      <pivotArea dataOnly="0" labelOnly="1" outline="0" fieldPosition="0">
        <references count="1">
          <reference field="10" count="1" defaultSubtotal="1">
            <x v="216"/>
          </reference>
        </references>
      </pivotArea>
    </format>
    <format dxfId="3664">
      <pivotArea dataOnly="0" labelOnly="1" outline="0" fieldPosition="0">
        <references count="1">
          <reference field="10" count="1" defaultSubtotal="1">
            <x v="218"/>
          </reference>
        </references>
      </pivotArea>
    </format>
    <format dxfId="3665">
      <pivotArea dataOnly="0" labelOnly="1" outline="0" fieldPosition="0">
        <references count="1">
          <reference field="10" count="1" defaultSubtotal="1">
            <x v="219"/>
          </reference>
        </references>
      </pivotArea>
    </format>
    <format dxfId="3666">
      <pivotArea dataOnly="0" labelOnly="1" outline="0" fieldPosition="0">
        <references count="1">
          <reference field="10" count="1" defaultSubtotal="1">
            <x v="220"/>
          </reference>
        </references>
      </pivotArea>
    </format>
    <format dxfId="3667">
      <pivotArea dataOnly="0" labelOnly="1" outline="0" fieldPosition="0">
        <references count="1">
          <reference field="10" count="1" defaultSubtotal="1">
            <x v="221"/>
          </reference>
        </references>
      </pivotArea>
    </format>
    <format dxfId="3668">
      <pivotArea dataOnly="0" labelOnly="1" outline="0" fieldPosition="0">
        <references count="1">
          <reference field="10" count="1" defaultSubtotal="1">
            <x v="222"/>
          </reference>
        </references>
      </pivotArea>
    </format>
    <format dxfId="3669">
      <pivotArea dataOnly="0" labelOnly="1" outline="0" fieldPosition="0">
        <references count="1">
          <reference field="10" count="1" defaultSubtotal="1">
            <x v="224"/>
          </reference>
        </references>
      </pivotArea>
    </format>
    <format dxfId="3670">
      <pivotArea dataOnly="0" labelOnly="1" outline="0" fieldPosition="0">
        <references count="1">
          <reference field="10" count="1" defaultSubtotal="1">
            <x v="225"/>
          </reference>
        </references>
      </pivotArea>
    </format>
    <format dxfId="3671">
      <pivotArea dataOnly="0" labelOnly="1" outline="0" fieldPosition="0">
        <references count="1">
          <reference field="10" count="1" defaultSubtotal="1">
            <x v="226"/>
          </reference>
        </references>
      </pivotArea>
    </format>
    <format dxfId="3672">
      <pivotArea dataOnly="0" labelOnly="1" outline="0" fieldPosition="0">
        <references count="1">
          <reference field="10" count="1" defaultSubtotal="1">
            <x v="227"/>
          </reference>
        </references>
      </pivotArea>
    </format>
    <format dxfId="3673">
      <pivotArea dataOnly="0" labelOnly="1" outline="0" fieldPosition="0">
        <references count="1">
          <reference field="10" count="1" defaultSubtotal="1">
            <x v="228"/>
          </reference>
        </references>
      </pivotArea>
    </format>
    <format dxfId="3674">
      <pivotArea dataOnly="0" labelOnly="1" outline="0" fieldPosition="0">
        <references count="1">
          <reference field="10" count="1" defaultSubtotal="1">
            <x v="229"/>
          </reference>
        </references>
      </pivotArea>
    </format>
    <format dxfId="3675">
      <pivotArea dataOnly="0" labelOnly="1" outline="0" fieldPosition="0">
        <references count="1">
          <reference field="10" count="1" defaultSubtotal="1">
            <x v="230"/>
          </reference>
        </references>
      </pivotArea>
    </format>
    <format dxfId="3676">
      <pivotArea dataOnly="0" labelOnly="1" outline="0" fieldPosition="0">
        <references count="1">
          <reference field="10" count="1" defaultSubtotal="1">
            <x v="231"/>
          </reference>
        </references>
      </pivotArea>
    </format>
    <format dxfId="3677">
      <pivotArea dataOnly="0" labelOnly="1" outline="0" fieldPosition="0">
        <references count="1">
          <reference field="10" count="1" defaultSubtotal="1">
            <x v="232"/>
          </reference>
        </references>
      </pivotArea>
    </format>
    <format dxfId="3678">
      <pivotArea dataOnly="0" labelOnly="1" outline="0" fieldPosition="0">
        <references count="1">
          <reference field="10" count="1" defaultSubtotal="1">
            <x v="233"/>
          </reference>
        </references>
      </pivotArea>
    </format>
    <format dxfId="3679">
      <pivotArea dataOnly="0" labelOnly="1" outline="0" fieldPosition="0">
        <references count="1">
          <reference field="10" count="1" defaultSubtotal="1">
            <x v="235"/>
          </reference>
        </references>
      </pivotArea>
    </format>
    <format dxfId="3680">
      <pivotArea dataOnly="0" labelOnly="1" outline="0" fieldPosition="0">
        <references count="1">
          <reference field="10" count="1" defaultSubtotal="1">
            <x v="236"/>
          </reference>
        </references>
      </pivotArea>
    </format>
    <format dxfId="3681">
      <pivotArea dataOnly="0" labelOnly="1" outline="0" fieldPosition="0">
        <references count="1">
          <reference field="10" count="1" defaultSubtotal="1">
            <x v="237"/>
          </reference>
        </references>
      </pivotArea>
    </format>
    <format dxfId="3682">
      <pivotArea dataOnly="0" labelOnly="1" outline="0" fieldPosition="0">
        <references count="1">
          <reference field="10" count="1" defaultSubtotal="1">
            <x v="238"/>
          </reference>
        </references>
      </pivotArea>
    </format>
    <format dxfId="3683">
      <pivotArea dataOnly="0" labelOnly="1" outline="0" fieldPosition="0">
        <references count="1">
          <reference field="10" count="1" defaultSubtotal="1">
            <x v="239"/>
          </reference>
        </references>
      </pivotArea>
    </format>
    <format dxfId="3684">
      <pivotArea dataOnly="0" labelOnly="1" outline="0" fieldPosition="0">
        <references count="1">
          <reference field="10" count="1" defaultSubtotal="1">
            <x v="242"/>
          </reference>
        </references>
      </pivotArea>
    </format>
    <format dxfId="3685">
      <pivotArea dataOnly="0" labelOnly="1" outline="0" fieldPosition="0">
        <references count="1">
          <reference field="10" count="1" defaultSubtotal="1">
            <x v="243"/>
          </reference>
        </references>
      </pivotArea>
    </format>
    <format dxfId="3686">
      <pivotArea dataOnly="0" labelOnly="1" outline="0" fieldPosition="0">
        <references count="1">
          <reference field="10" count="1" defaultSubtotal="1">
            <x v="244"/>
          </reference>
        </references>
      </pivotArea>
    </format>
    <format dxfId="3687">
      <pivotArea dataOnly="0" labelOnly="1" outline="0" fieldPosition="0">
        <references count="1">
          <reference field="10" count="1" defaultSubtotal="1">
            <x v="245"/>
          </reference>
        </references>
      </pivotArea>
    </format>
    <format dxfId="3688">
      <pivotArea dataOnly="0" labelOnly="1" outline="0" fieldPosition="0">
        <references count="1">
          <reference field="10" count="1" defaultSubtotal="1">
            <x v="246"/>
          </reference>
        </references>
      </pivotArea>
    </format>
    <format dxfId="3689">
      <pivotArea dataOnly="0" labelOnly="1" outline="0" fieldPosition="0">
        <references count="1">
          <reference field="10" count="1" defaultSubtotal="1">
            <x v="247"/>
          </reference>
        </references>
      </pivotArea>
    </format>
    <format dxfId="3690">
      <pivotArea dataOnly="0" labelOnly="1" outline="0" fieldPosition="0">
        <references count="1">
          <reference field="10" count="1" defaultSubtotal="1">
            <x v="248"/>
          </reference>
        </references>
      </pivotArea>
    </format>
    <format dxfId="3691">
      <pivotArea dataOnly="0" labelOnly="1" outline="0" fieldPosition="0">
        <references count="1">
          <reference field="10" count="1" defaultSubtotal="1">
            <x v="249"/>
          </reference>
        </references>
      </pivotArea>
    </format>
    <format dxfId="3692">
      <pivotArea dataOnly="0" labelOnly="1" outline="0" fieldPosition="0">
        <references count="1">
          <reference field="10" count="1" defaultSubtotal="1">
            <x v="250"/>
          </reference>
        </references>
      </pivotArea>
    </format>
    <format dxfId="3693">
      <pivotArea dataOnly="0" labelOnly="1" outline="0" fieldPosition="0">
        <references count="1">
          <reference field="10" count="1" defaultSubtotal="1">
            <x v="251"/>
          </reference>
        </references>
      </pivotArea>
    </format>
    <format dxfId="3694">
      <pivotArea dataOnly="0" labelOnly="1" outline="0" fieldPosition="0">
        <references count="1">
          <reference field="10" count="1" defaultSubtotal="1">
            <x v="252"/>
          </reference>
        </references>
      </pivotArea>
    </format>
    <format dxfId="3695">
      <pivotArea dataOnly="0" labelOnly="1" outline="0" fieldPosition="0">
        <references count="1">
          <reference field="10" count="1" defaultSubtotal="1">
            <x v="256"/>
          </reference>
        </references>
      </pivotArea>
    </format>
    <format dxfId="3696">
      <pivotArea dataOnly="0" labelOnly="1" outline="0" fieldPosition="0">
        <references count="1">
          <reference field="10" count="1" defaultSubtotal="1">
            <x v="258"/>
          </reference>
        </references>
      </pivotArea>
    </format>
    <format dxfId="3697">
      <pivotArea dataOnly="0" labelOnly="1" outline="0" fieldPosition="0">
        <references count="1">
          <reference field="10" count="1" defaultSubtotal="1">
            <x v="260"/>
          </reference>
        </references>
      </pivotArea>
    </format>
    <format dxfId="3698">
      <pivotArea dataOnly="0" labelOnly="1" outline="0" fieldPosition="0">
        <references count="1">
          <reference field="10" count="1" defaultSubtotal="1">
            <x v="261"/>
          </reference>
        </references>
      </pivotArea>
    </format>
    <format dxfId="3699">
      <pivotArea dataOnly="0" labelOnly="1" outline="0" fieldPosition="0">
        <references count="1">
          <reference field="10" count="1" defaultSubtotal="1">
            <x v="262"/>
          </reference>
        </references>
      </pivotArea>
    </format>
    <format dxfId="3700">
      <pivotArea dataOnly="0" labelOnly="1" outline="0" fieldPosition="0">
        <references count="1">
          <reference field="10" count="1" defaultSubtotal="1">
            <x v="263"/>
          </reference>
        </references>
      </pivotArea>
    </format>
    <format dxfId="3701">
      <pivotArea dataOnly="0" labelOnly="1" outline="0" fieldPosition="0">
        <references count="1">
          <reference field="10" count="1" defaultSubtotal="1">
            <x v="266"/>
          </reference>
        </references>
      </pivotArea>
    </format>
    <format dxfId="3702">
      <pivotArea dataOnly="0" labelOnly="1" outline="0" fieldPosition="0">
        <references count="1">
          <reference field="10" count="1" defaultSubtotal="1">
            <x v="267"/>
          </reference>
        </references>
      </pivotArea>
    </format>
    <format dxfId="3703">
      <pivotArea dataOnly="0" labelOnly="1" outline="0" fieldPosition="0">
        <references count="1">
          <reference field="10" count="1" defaultSubtotal="1">
            <x v="268"/>
          </reference>
        </references>
      </pivotArea>
    </format>
    <format dxfId="3704">
      <pivotArea dataOnly="0" labelOnly="1" outline="0" fieldPosition="0">
        <references count="1">
          <reference field="10" count="1" defaultSubtotal="1">
            <x v="269"/>
          </reference>
        </references>
      </pivotArea>
    </format>
    <format dxfId="3705">
      <pivotArea dataOnly="0" labelOnly="1" outline="0" fieldPosition="0">
        <references count="1">
          <reference field="10" count="1" defaultSubtotal="1">
            <x v="271"/>
          </reference>
        </references>
      </pivotArea>
    </format>
    <format dxfId="3706">
      <pivotArea dataOnly="0" labelOnly="1" outline="0" fieldPosition="0">
        <references count="1">
          <reference field="10" count="1" defaultSubtotal="1">
            <x v="273"/>
          </reference>
        </references>
      </pivotArea>
    </format>
    <format dxfId="3707">
      <pivotArea dataOnly="0" labelOnly="1" outline="0" fieldPosition="0">
        <references count="1">
          <reference field="10" count="1" defaultSubtotal="1">
            <x v="274"/>
          </reference>
        </references>
      </pivotArea>
    </format>
    <format dxfId="3708">
      <pivotArea dataOnly="0" labelOnly="1" outline="0" fieldPosition="0">
        <references count="1">
          <reference field="10" count="1" defaultSubtotal="1">
            <x v="275"/>
          </reference>
        </references>
      </pivotArea>
    </format>
    <format dxfId="3709">
      <pivotArea dataOnly="0" labelOnly="1" outline="0" fieldPosition="0">
        <references count="1">
          <reference field="10" count="1" defaultSubtotal="1">
            <x v="277"/>
          </reference>
        </references>
      </pivotArea>
    </format>
    <format dxfId="3710">
      <pivotArea dataOnly="0" labelOnly="1" outline="0" fieldPosition="0">
        <references count="1">
          <reference field="10" count="1" defaultSubtotal="1">
            <x v="278"/>
          </reference>
        </references>
      </pivotArea>
    </format>
    <format dxfId="3711">
      <pivotArea dataOnly="0" labelOnly="1" outline="0" fieldPosition="0">
        <references count="1">
          <reference field="10" count="1" defaultSubtotal="1">
            <x v="279"/>
          </reference>
        </references>
      </pivotArea>
    </format>
    <format dxfId="3712">
      <pivotArea dataOnly="0" labelOnly="1" outline="0" fieldPosition="0">
        <references count="1">
          <reference field="10" count="1" defaultSubtotal="1">
            <x v="282"/>
          </reference>
        </references>
      </pivotArea>
    </format>
    <format dxfId="3713">
      <pivotArea dataOnly="0" labelOnly="1" outline="0" fieldPosition="0">
        <references count="1">
          <reference field="10" count="1" defaultSubtotal="1">
            <x v="283"/>
          </reference>
        </references>
      </pivotArea>
    </format>
    <format dxfId="3714">
      <pivotArea dataOnly="0" labelOnly="1" outline="0" fieldPosition="0">
        <references count="1">
          <reference field="10" count="1" defaultSubtotal="1">
            <x v="284"/>
          </reference>
        </references>
      </pivotArea>
    </format>
    <format dxfId="3715">
      <pivotArea dataOnly="0" labelOnly="1" outline="0" fieldPosition="0">
        <references count="1">
          <reference field="10" count="1" defaultSubtotal="1">
            <x v="285"/>
          </reference>
        </references>
      </pivotArea>
    </format>
    <format dxfId="3716">
      <pivotArea dataOnly="0" labelOnly="1" outline="0" fieldPosition="0">
        <references count="1">
          <reference field="10" count="1" defaultSubtotal="1">
            <x v="287"/>
          </reference>
        </references>
      </pivotArea>
    </format>
    <format dxfId="3717">
      <pivotArea dataOnly="0" labelOnly="1" outline="0" fieldPosition="0">
        <references count="1">
          <reference field="10" count="1" defaultSubtotal="1">
            <x v="288"/>
          </reference>
        </references>
      </pivotArea>
    </format>
    <format dxfId="3718">
      <pivotArea dataOnly="0" labelOnly="1" outline="0" fieldPosition="0">
        <references count="1">
          <reference field="10" count="1" defaultSubtotal="1">
            <x v="289"/>
          </reference>
        </references>
      </pivotArea>
    </format>
    <format dxfId="3719">
      <pivotArea dataOnly="0" labelOnly="1" outline="0" fieldPosition="0">
        <references count="1">
          <reference field="10" count="1" defaultSubtotal="1">
            <x v="290"/>
          </reference>
        </references>
      </pivotArea>
    </format>
    <format dxfId="3720">
      <pivotArea dataOnly="0" labelOnly="1" outline="0" fieldPosition="0">
        <references count="1">
          <reference field="10" count="1" defaultSubtotal="1">
            <x v="292"/>
          </reference>
        </references>
      </pivotArea>
    </format>
    <format dxfId="3721">
      <pivotArea dataOnly="0" labelOnly="1" outline="0" fieldPosition="0">
        <references count="1">
          <reference field="10" count="1" defaultSubtotal="1">
            <x v="293"/>
          </reference>
        </references>
      </pivotArea>
    </format>
    <format dxfId="3722">
      <pivotArea dataOnly="0" labelOnly="1" outline="0" fieldPosition="0">
        <references count="1">
          <reference field="10" count="1" defaultSubtotal="1">
            <x v="294"/>
          </reference>
        </references>
      </pivotArea>
    </format>
    <format dxfId="3723">
      <pivotArea dataOnly="0" labelOnly="1" outline="0" fieldPosition="0">
        <references count="1">
          <reference field="10" count="1" defaultSubtotal="1">
            <x v="296"/>
          </reference>
        </references>
      </pivotArea>
    </format>
    <format dxfId="3724">
      <pivotArea dataOnly="0" labelOnly="1" outline="0" fieldPosition="0">
        <references count="1">
          <reference field="10" count="1" defaultSubtotal="1">
            <x v="297"/>
          </reference>
        </references>
      </pivotArea>
    </format>
    <format dxfId="3725">
      <pivotArea dataOnly="0" labelOnly="1" outline="0" fieldPosition="0">
        <references count="1">
          <reference field="10" count="1" defaultSubtotal="1">
            <x v="298"/>
          </reference>
        </references>
      </pivotArea>
    </format>
    <format dxfId="3726">
      <pivotArea dataOnly="0" labelOnly="1" outline="0" fieldPosition="0">
        <references count="1">
          <reference field="10" count="1" defaultSubtotal="1">
            <x v="299"/>
          </reference>
        </references>
      </pivotArea>
    </format>
    <format dxfId="3727">
      <pivotArea dataOnly="0" labelOnly="1" outline="0" fieldPosition="0">
        <references count="1">
          <reference field="10" count="1" defaultSubtotal="1">
            <x v="300"/>
          </reference>
        </references>
      </pivotArea>
    </format>
    <format dxfId="3728">
      <pivotArea dataOnly="0" labelOnly="1" outline="0" fieldPosition="0">
        <references count="1">
          <reference field="10" count="1" defaultSubtotal="1">
            <x v="301"/>
          </reference>
        </references>
      </pivotArea>
    </format>
    <format dxfId="3729">
      <pivotArea dataOnly="0" labelOnly="1" outline="0" fieldPosition="0">
        <references count="1">
          <reference field="10" count="1" defaultSubtotal="1">
            <x v="302"/>
          </reference>
        </references>
      </pivotArea>
    </format>
    <format dxfId="3730">
      <pivotArea dataOnly="0" labelOnly="1" outline="0" fieldPosition="0">
        <references count="1">
          <reference field="10" count="1" defaultSubtotal="1">
            <x v="303"/>
          </reference>
        </references>
      </pivotArea>
    </format>
    <format dxfId="3731">
      <pivotArea dataOnly="0" labelOnly="1" outline="0" fieldPosition="0">
        <references count="1">
          <reference field="10" count="1" defaultSubtotal="1">
            <x v="304"/>
          </reference>
        </references>
      </pivotArea>
    </format>
    <format dxfId="3732">
      <pivotArea dataOnly="0" labelOnly="1" outline="0" fieldPosition="0">
        <references count="1">
          <reference field="10" count="1" defaultSubtotal="1">
            <x v="305"/>
          </reference>
        </references>
      </pivotArea>
    </format>
    <format dxfId="3733">
      <pivotArea dataOnly="0" labelOnly="1" outline="0" fieldPosition="0">
        <references count="1">
          <reference field="10" count="1" defaultSubtotal="1">
            <x v="306"/>
          </reference>
        </references>
      </pivotArea>
    </format>
    <format dxfId="3734">
      <pivotArea dataOnly="0" labelOnly="1" outline="0" fieldPosition="0">
        <references count="1">
          <reference field="10" count="1" defaultSubtotal="1">
            <x v="307"/>
          </reference>
        </references>
      </pivotArea>
    </format>
    <format dxfId="3735">
      <pivotArea dataOnly="0" labelOnly="1" outline="0" fieldPosition="0">
        <references count="1">
          <reference field="10" count="1" defaultSubtotal="1">
            <x v="308"/>
          </reference>
        </references>
      </pivotArea>
    </format>
    <format dxfId="3736">
      <pivotArea dataOnly="0" labelOnly="1" outline="0" fieldPosition="0">
        <references count="1">
          <reference field="10" count="1" defaultSubtotal="1">
            <x v="311"/>
          </reference>
        </references>
      </pivotArea>
    </format>
    <format dxfId="3737">
      <pivotArea dataOnly="0" labelOnly="1" outline="0" fieldPosition="0">
        <references count="1">
          <reference field="10" count="1" defaultSubtotal="1">
            <x v="312"/>
          </reference>
        </references>
      </pivotArea>
    </format>
    <format dxfId="3738">
      <pivotArea dataOnly="0" labelOnly="1" outline="0" fieldPosition="0">
        <references count="1">
          <reference field="10" count="1" defaultSubtotal="1">
            <x v="313"/>
          </reference>
        </references>
      </pivotArea>
    </format>
    <format dxfId="3739">
      <pivotArea dataOnly="0" labelOnly="1" outline="0" fieldPosition="0">
        <references count="1">
          <reference field="10" count="1" defaultSubtotal="1">
            <x v="314"/>
          </reference>
        </references>
      </pivotArea>
    </format>
    <format dxfId="3740">
      <pivotArea dataOnly="0" labelOnly="1" outline="0" fieldPosition="0">
        <references count="1">
          <reference field="10" count="1" defaultSubtotal="1">
            <x v="315"/>
          </reference>
        </references>
      </pivotArea>
    </format>
    <format dxfId="3741">
      <pivotArea dataOnly="0" labelOnly="1" outline="0" fieldPosition="0">
        <references count="1">
          <reference field="10" count="1" defaultSubtotal="1">
            <x v="316"/>
          </reference>
        </references>
      </pivotArea>
    </format>
    <format dxfId="3742">
      <pivotArea dataOnly="0" labelOnly="1" outline="0" fieldPosition="0">
        <references count="1">
          <reference field="10" count="1" defaultSubtotal="1">
            <x v="317"/>
          </reference>
        </references>
      </pivotArea>
    </format>
    <format dxfId="3743">
      <pivotArea dataOnly="0" labelOnly="1" outline="0" fieldPosition="0">
        <references count="1">
          <reference field="10" count="1" defaultSubtotal="1">
            <x v="318"/>
          </reference>
        </references>
      </pivotArea>
    </format>
    <format dxfId="3744">
      <pivotArea dataOnly="0" labelOnly="1" outline="0" fieldPosition="0">
        <references count="1">
          <reference field="10" count="1" defaultSubtotal="1">
            <x v="319"/>
          </reference>
        </references>
      </pivotArea>
    </format>
    <format dxfId="3745">
      <pivotArea dataOnly="0" labelOnly="1" outline="0" fieldPosition="0">
        <references count="1">
          <reference field="10" count="1" defaultSubtotal="1">
            <x v="320"/>
          </reference>
        </references>
      </pivotArea>
    </format>
    <format dxfId="3746">
      <pivotArea dataOnly="0" labelOnly="1" outline="0" fieldPosition="0">
        <references count="1">
          <reference field="10" count="1" defaultSubtotal="1">
            <x v="321"/>
          </reference>
        </references>
      </pivotArea>
    </format>
    <format dxfId="3747">
      <pivotArea dataOnly="0" labelOnly="1" outline="0" fieldPosition="0">
        <references count="1">
          <reference field="10" count="1" defaultSubtotal="1">
            <x v="322"/>
          </reference>
        </references>
      </pivotArea>
    </format>
    <format dxfId="3748">
      <pivotArea dataOnly="0" labelOnly="1" outline="0" fieldPosition="0">
        <references count="1">
          <reference field="10" count="1" defaultSubtotal="1">
            <x v="323"/>
          </reference>
        </references>
      </pivotArea>
    </format>
    <format dxfId="3749">
      <pivotArea dataOnly="0" labelOnly="1" outline="0" fieldPosition="0">
        <references count="1">
          <reference field="10" count="1" defaultSubtotal="1">
            <x v="325"/>
          </reference>
        </references>
      </pivotArea>
    </format>
    <format dxfId="3750">
      <pivotArea dataOnly="0" labelOnly="1" outline="0" fieldPosition="0">
        <references count="1">
          <reference field="10" count="1" defaultSubtotal="1">
            <x v="326"/>
          </reference>
        </references>
      </pivotArea>
    </format>
    <format dxfId="3751">
      <pivotArea dataOnly="0" labelOnly="1" outline="0" fieldPosition="0">
        <references count="1">
          <reference field="10" count="1" defaultSubtotal="1">
            <x v="328"/>
          </reference>
        </references>
      </pivotArea>
    </format>
    <format dxfId="3752">
      <pivotArea dataOnly="0" labelOnly="1" outline="0" fieldPosition="0">
        <references count="1">
          <reference field="10" count="1" defaultSubtotal="1">
            <x v="329"/>
          </reference>
        </references>
      </pivotArea>
    </format>
    <format dxfId="3753">
      <pivotArea dataOnly="0" labelOnly="1" outline="0" fieldPosition="0">
        <references count="1">
          <reference field="10" count="1" defaultSubtotal="1">
            <x v="330"/>
          </reference>
        </references>
      </pivotArea>
    </format>
    <format dxfId="3754">
      <pivotArea dataOnly="0" labelOnly="1" outline="0" fieldPosition="0">
        <references count="1">
          <reference field="10" count="1" defaultSubtotal="1">
            <x v="331"/>
          </reference>
        </references>
      </pivotArea>
    </format>
    <format dxfId="3755">
      <pivotArea dataOnly="0" labelOnly="1" outline="0" fieldPosition="0">
        <references count="1">
          <reference field="10" count="1" defaultSubtotal="1">
            <x v="332"/>
          </reference>
        </references>
      </pivotArea>
    </format>
    <format dxfId="3756">
      <pivotArea dataOnly="0" labelOnly="1" outline="0" fieldPosition="0">
        <references count="1">
          <reference field="10" count="1" defaultSubtotal="1">
            <x v="335"/>
          </reference>
        </references>
      </pivotArea>
    </format>
    <format dxfId="3757">
      <pivotArea dataOnly="0" labelOnly="1" outline="0" fieldPosition="0">
        <references count="1">
          <reference field="10" count="1" defaultSubtotal="1">
            <x v="336"/>
          </reference>
        </references>
      </pivotArea>
    </format>
    <format dxfId="3758">
      <pivotArea dataOnly="0" labelOnly="1" outline="0" fieldPosition="0">
        <references count="1">
          <reference field="10" count="1" defaultSubtotal="1">
            <x v="337"/>
          </reference>
        </references>
      </pivotArea>
    </format>
    <format dxfId="3759">
      <pivotArea dataOnly="0" labelOnly="1" outline="0" fieldPosition="0">
        <references count="1">
          <reference field="10" count="1" defaultSubtotal="1">
            <x v="339"/>
          </reference>
        </references>
      </pivotArea>
    </format>
    <format dxfId="3760">
      <pivotArea dataOnly="0" labelOnly="1" outline="0" fieldPosition="0">
        <references count="1">
          <reference field="10" count="1" defaultSubtotal="1">
            <x v="340"/>
          </reference>
        </references>
      </pivotArea>
    </format>
    <format dxfId="3761">
      <pivotArea dataOnly="0" labelOnly="1" outline="0" fieldPosition="0">
        <references count="1">
          <reference field="10" count="1" defaultSubtotal="1">
            <x v="342"/>
          </reference>
        </references>
      </pivotArea>
    </format>
    <format dxfId="3762">
      <pivotArea dataOnly="0" labelOnly="1" outline="0" fieldPosition="0">
        <references count="1">
          <reference field="10" count="1" defaultSubtotal="1">
            <x v="343"/>
          </reference>
        </references>
      </pivotArea>
    </format>
    <format dxfId="3763">
      <pivotArea dataOnly="0" labelOnly="1" outline="0" fieldPosition="0">
        <references count="1">
          <reference field="10" count="1" defaultSubtotal="1">
            <x v="344"/>
          </reference>
        </references>
      </pivotArea>
    </format>
    <format dxfId="3764">
      <pivotArea dataOnly="0" labelOnly="1" outline="0" fieldPosition="0">
        <references count="1">
          <reference field="10" count="1" defaultSubtotal="1">
            <x v="345"/>
          </reference>
        </references>
      </pivotArea>
    </format>
    <format dxfId="3765">
      <pivotArea dataOnly="0" labelOnly="1" outline="0" fieldPosition="0">
        <references count="1">
          <reference field="10" count="1" defaultSubtotal="1">
            <x v="346"/>
          </reference>
        </references>
      </pivotArea>
    </format>
    <format dxfId="3766">
      <pivotArea dataOnly="0" labelOnly="1" outline="0" fieldPosition="0">
        <references count="1">
          <reference field="10" count="1" defaultSubtotal="1">
            <x v="347"/>
          </reference>
        </references>
      </pivotArea>
    </format>
    <format dxfId="3767">
      <pivotArea dataOnly="0" labelOnly="1" outline="0" fieldPosition="0">
        <references count="1">
          <reference field="10" count="1" defaultSubtotal="1">
            <x v="348"/>
          </reference>
        </references>
      </pivotArea>
    </format>
    <format dxfId="3768">
      <pivotArea dataOnly="0" labelOnly="1" outline="0" fieldPosition="0">
        <references count="1">
          <reference field="10" count="1" defaultSubtotal="1">
            <x v="349"/>
          </reference>
        </references>
      </pivotArea>
    </format>
    <format dxfId="3769">
      <pivotArea dataOnly="0" labelOnly="1" outline="0" fieldPosition="0">
        <references count="1">
          <reference field="10" count="1" defaultSubtotal="1">
            <x v="351"/>
          </reference>
        </references>
      </pivotArea>
    </format>
    <format dxfId="3770">
      <pivotArea dataOnly="0" labelOnly="1" outline="0" fieldPosition="0">
        <references count="1">
          <reference field="10" count="1" defaultSubtotal="1">
            <x v="354"/>
          </reference>
        </references>
      </pivotArea>
    </format>
    <format dxfId="3771">
      <pivotArea dataOnly="0" labelOnly="1" outline="0" fieldPosition="0">
        <references count="1">
          <reference field="10" count="1" defaultSubtotal="1">
            <x v="355"/>
          </reference>
        </references>
      </pivotArea>
    </format>
    <format dxfId="3772">
      <pivotArea dataOnly="0" labelOnly="1" outline="0" fieldPosition="0">
        <references count="1">
          <reference field="10" count="1" defaultSubtotal="1">
            <x v="356"/>
          </reference>
        </references>
      </pivotArea>
    </format>
    <format dxfId="3773">
      <pivotArea dataOnly="0" labelOnly="1" outline="0" fieldPosition="0">
        <references count="1">
          <reference field="10" count="1" defaultSubtotal="1">
            <x v="357"/>
          </reference>
        </references>
      </pivotArea>
    </format>
    <format dxfId="3774">
      <pivotArea dataOnly="0" labelOnly="1" outline="0" fieldPosition="0">
        <references count="1">
          <reference field="10" count="1" defaultSubtotal="1">
            <x v="359"/>
          </reference>
        </references>
      </pivotArea>
    </format>
    <format dxfId="3775">
      <pivotArea dataOnly="0" labelOnly="1" outline="0" fieldPosition="0">
        <references count="1">
          <reference field="10" count="1" defaultSubtotal="1">
            <x v="360"/>
          </reference>
        </references>
      </pivotArea>
    </format>
    <format dxfId="3776">
      <pivotArea dataOnly="0" labelOnly="1" outline="0" fieldPosition="0">
        <references count="1">
          <reference field="10" count="1" defaultSubtotal="1">
            <x v="361"/>
          </reference>
        </references>
      </pivotArea>
    </format>
    <format dxfId="3777">
      <pivotArea dataOnly="0" labelOnly="1" outline="0" fieldPosition="0">
        <references count="1">
          <reference field="10" count="1" defaultSubtotal="1">
            <x v="362"/>
          </reference>
        </references>
      </pivotArea>
    </format>
    <format dxfId="3778">
      <pivotArea dataOnly="0" labelOnly="1" outline="0" fieldPosition="0">
        <references count="1">
          <reference field="10" count="1" defaultSubtotal="1">
            <x v="363"/>
          </reference>
        </references>
      </pivotArea>
    </format>
    <format dxfId="3779">
      <pivotArea dataOnly="0" labelOnly="1" outline="0" fieldPosition="0">
        <references count="1">
          <reference field="10" count="1" defaultSubtotal="1">
            <x v="364"/>
          </reference>
        </references>
      </pivotArea>
    </format>
    <format dxfId="3780">
      <pivotArea dataOnly="0" labelOnly="1" outline="0" fieldPosition="0">
        <references count="1">
          <reference field="10" count="1" defaultSubtotal="1">
            <x v="365"/>
          </reference>
        </references>
      </pivotArea>
    </format>
    <format dxfId="3781">
      <pivotArea dataOnly="0" labelOnly="1" outline="0" fieldPosition="0">
        <references count="1">
          <reference field="10" count="1" defaultSubtotal="1">
            <x v="366"/>
          </reference>
        </references>
      </pivotArea>
    </format>
    <format dxfId="3782">
      <pivotArea dataOnly="0" labelOnly="1" outline="0" fieldPosition="0">
        <references count="1">
          <reference field="10" count="1" defaultSubtotal="1">
            <x v="367"/>
          </reference>
        </references>
      </pivotArea>
    </format>
    <format dxfId="3783">
      <pivotArea dataOnly="0" labelOnly="1" outline="0" fieldPosition="0">
        <references count="1">
          <reference field="10" count="1" defaultSubtotal="1">
            <x v="368"/>
          </reference>
        </references>
      </pivotArea>
    </format>
    <format dxfId="3784">
      <pivotArea dataOnly="0" labelOnly="1" outline="0" fieldPosition="0">
        <references count="1">
          <reference field="10" count="1" defaultSubtotal="1">
            <x v="369"/>
          </reference>
        </references>
      </pivotArea>
    </format>
    <format dxfId="3785">
      <pivotArea dataOnly="0" labelOnly="1" outline="0" fieldPosition="0">
        <references count="1">
          <reference field="10" count="1" defaultSubtotal="1">
            <x v="370"/>
          </reference>
        </references>
      </pivotArea>
    </format>
    <format dxfId="3786">
      <pivotArea dataOnly="0" labelOnly="1" outline="0" fieldPosition="0">
        <references count="1">
          <reference field="10" count="1" defaultSubtotal="1">
            <x v="371"/>
          </reference>
        </references>
      </pivotArea>
    </format>
    <format dxfId="3787">
      <pivotArea dataOnly="0" labelOnly="1" outline="0" fieldPosition="0">
        <references count="1">
          <reference field="10" count="1" defaultSubtotal="1">
            <x v="373"/>
          </reference>
        </references>
      </pivotArea>
    </format>
    <format dxfId="3788">
      <pivotArea dataOnly="0" labelOnly="1" outline="0" fieldPosition="0">
        <references count="1">
          <reference field="10" count="1" defaultSubtotal="1">
            <x v="375"/>
          </reference>
        </references>
      </pivotArea>
    </format>
    <format dxfId="3789">
      <pivotArea dataOnly="0" labelOnly="1" outline="0" fieldPosition="0">
        <references count="1">
          <reference field="10" count="1" defaultSubtotal="1">
            <x v="376"/>
          </reference>
        </references>
      </pivotArea>
    </format>
    <format dxfId="3790">
      <pivotArea dataOnly="0" labelOnly="1" outline="0" fieldPosition="0">
        <references count="1">
          <reference field="10" count="1" defaultSubtotal="1">
            <x v="377"/>
          </reference>
        </references>
      </pivotArea>
    </format>
    <format dxfId="3791">
      <pivotArea dataOnly="0" labelOnly="1" outline="0" fieldPosition="0">
        <references count="1">
          <reference field="10" count="1" defaultSubtotal="1">
            <x v="378"/>
          </reference>
        </references>
      </pivotArea>
    </format>
    <format dxfId="3792">
      <pivotArea dataOnly="0" labelOnly="1" outline="0" fieldPosition="0">
        <references count="1">
          <reference field="10" count="1" defaultSubtotal="1">
            <x v="380"/>
          </reference>
        </references>
      </pivotArea>
    </format>
    <format dxfId="3793">
      <pivotArea dataOnly="0" labelOnly="1" outline="0" fieldPosition="0">
        <references count="1">
          <reference field="10" count="1" defaultSubtotal="1">
            <x v="382"/>
          </reference>
        </references>
      </pivotArea>
    </format>
    <format dxfId="3794">
      <pivotArea dataOnly="0" labelOnly="1" outline="0" fieldPosition="0">
        <references count="1">
          <reference field="10" count="1" defaultSubtotal="1">
            <x v="383"/>
          </reference>
        </references>
      </pivotArea>
    </format>
    <format dxfId="3795">
      <pivotArea dataOnly="0" labelOnly="1" outline="0" fieldPosition="0">
        <references count="1">
          <reference field="10" count="1" defaultSubtotal="1">
            <x v="384"/>
          </reference>
        </references>
      </pivotArea>
    </format>
    <format dxfId="3796">
      <pivotArea dataOnly="0" labelOnly="1" outline="0" fieldPosition="0">
        <references count="1">
          <reference field="10" count="1" defaultSubtotal="1">
            <x v="385"/>
          </reference>
        </references>
      </pivotArea>
    </format>
    <format dxfId="3797">
      <pivotArea dataOnly="0" labelOnly="1" outline="0" fieldPosition="0">
        <references count="1">
          <reference field="10" count="1" defaultSubtotal="1">
            <x v="387"/>
          </reference>
        </references>
      </pivotArea>
    </format>
    <format dxfId="3798">
      <pivotArea dataOnly="0" labelOnly="1" outline="0" fieldPosition="0">
        <references count="1">
          <reference field="10" count="1" defaultSubtotal="1">
            <x v="388"/>
          </reference>
        </references>
      </pivotArea>
    </format>
    <format dxfId="3799">
      <pivotArea dataOnly="0" labelOnly="1" outline="0" fieldPosition="0">
        <references count="1">
          <reference field="10" count="1" defaultSubtotal="1">
            <x v="389"/>
          </reference>
        </references>
      </pivotArea>
    </format>
    <format dxfId="3800">
      <pivotArea dataOnly="0" labelOnly="1" outline="0" fieldPosition="0">
        <references count="1">
          <reference field="10" count="1" defaultSubtotal="1">
            <x v="390"/>
          </reference>
        </references>
      </pivotArea>
    </format>
    <format dxfId="3801">
      <pivotArea dataOnly="0" labelOnly="1" outline="0" fieldPosition="0">
        <references count="1">
          <reference field="10" count="1" defaultSubtotal="1">
            <x v="391"/>
          </reference>
        </references>
      </pivotArea>
    </format>
    <format dxfId="3802">
      <pivotArea dataOnly="0" labelOnly="1" outline="0" fieldPosition="0">
        <references count="1">
          <reference field="10" count="1" defaultSubtotal="1">
            <x v="392"/>
          </reference>
        </references>
      </pivotArea>
    </format>
    <format dxfId="3803">
      <pivotArea dataOnly="0" labelOnly="1" outline="0" fieldPosition="0">
        <references count="1">
          <reference field="10" count="1" defaultSubtotal="1">
            <x v="393"/>
          </reference>
        </references>
      </pivotArea>
    </format>
    <format dxfId="3804">
      <pivotArea dataOnly="0" labelOnly="1" outline="0" fieldPosition="0">
        <references count="1">
          <reference field="10" count="1" defaultSubtotal="1">
            <x v="394"/>
          </reference>
        </references>
      </pivotArea>
    </format>
    <format dxfId="3805">
      <pivotArea dataOnly="0" labelOnly="1" outline="0" fieldPosition="0">
        <references count="1">
          <reference field="10" count="1" defaultSubtotal="1">
            <x v="397"/>
          </reference>
        </references>
      </pivotArea>
    </format>
    <format dxfId="3806">
      <pivotArea dataOnly="0" labelOnly="1" outline="0" fieldPosition="0">
        <references count="1">
          <reference field="10" count="1" defaultSubtotal="1">
            <x v="398"/>
          </reference>
        </references>
      </pivotArea>
    </format>
    <format dxfId="3807">
      <pivotArea dataOnly="0" labelOnly="1" outline="0" fieldPosition="0">
        <references count="1">
          <reference field="10" count="1" defaultSubtotal="1">
            <x v="399"/>
          </reference>
        </references>
      </pivotArea>
    </format>
    <format dxfId="3808">
      <pivotArea dataOnly="0" labelOnly="1" outline="0" fieldPosition="0">
        <references count="1">
          <reference field="10" count="1" defaultSubtotal="1">
            <x v="404"/>
          </reference>
        </references>
      </pivotArea>
    </format>
    <format dxfId="3809">
      <pivotArea dataOnly="0" labelOnly="1" outline="0" fieldPosition="0">
        <references count="1">
          <reference field="10" count="1" defaultSubtotal="1">
            <x v="405"/>
          </reference>
        </references>
      </pivotArea>
    </format>
    <format dxfId="3810">
      <pivotArea dataOnly="0" labelOnly="1" outline="0" fieldPosition="0">
        <references count="1">
          <reference field="10" count="1" defaultSubtotal="1">
            <x v="407"/>
          </reference>
        </references>
      </pivotArea>
    </format>
    <format dxfId="3811">
      <pivotArea dataOnly="0" labelOnly="1" outline="0" fieldPosition="0">
        <references count="1">
          <reference field="10" count="1" defaultSubtotal="1">
            <x v="408"/>
          </reference>
        </references>
      </pivotArea>
    </format>
    <format dxfId="3812">
      <pivotArea dataOnly="0" labelOnly="1" outline="0" fieldPosition="0">
        <references count="1">
          <reference field="10" count="1" defaultSubtotal="1">
            <x v="409"/>
          </reference>
        </references>
      </pivotArea>
    </format>
    <format dxfId="3813">
      <pivotArea dataOnly="0" labelOnly="1" outline="0" fieldPosition="0">
        <references count="1">
          <reference field="10" count="1" defaultSubtotal="1">
            <x v="410"/>
          </reference>
        </references>
      </pivotArea>
    </format>
    <format dxfId="3814">
      <pivotArea dataOnly="0" labelOnly="1" outline="0" fieldPosition="0">
        <references count="1">
          <reference field="10" count="1" defaultSubtotal="1">
            <x v="412"/>
          </reference>
        </references>
      </pivotArea>
    </format>
    <format dxfId="3815">
      <pivotArea dataOnly="0" labelOnly="1" outline="0" fieldPosition="0">
        <references count="1">
          <reference field="10" count="1" defaultSubtotal="1">
            <x v="414"/>
          </reference>
        </references>
      </pivotArea>
    </format>
    <format dxfId="3816">
      <pivotArea dataOnly="0" labelOnly="1" outline="0" fieldPosition="0">
        <references count="1">
          <reference field="10" count="1" defaultSubtotal="1">
            <x v="415"/>
          </reference>
        </references>
      </pivotArea>
    </format>
    <format dxfId="3817">
      <pivotArea dataOnly="0" labelOnly="1" outline="0" fieldPosition="0">
        <references count="1">
          <reference field="10" count="1" defaultSubtotal="1">
            <x v="416"/>
          </reference>
        </references>
      </pivotArea>
    </format>
    <format dxfId="3818">
      <pivotArea dataOnly="0" labelOnly="1" outline="0" fieldPosition="0">
        <references count="1">
          <reference field="10" count="1" defaultSubtotal="1">
            <x v="418"/>
          </reference>
        </references>
      </pivotArea>
    </format>
    <format dxfId="3819">
      <pivotArea dataOnly="0" labelOnly="1" outline="0" fieldPosition="0">
        <references count="1">
          <reference field="10" count="1" defaultSubtotal="1">
            <x v="420"/>
          </reference>
        </references>
      </pivotArea>
    </format>
    <format dxfId="3820">
      <pivotArea dataOnly="0" labelOnly="1" outline="0" fieldPosition="0">
        <references count="1">
          <reference field="10" count="1" defaultSubtotal="1">
            <x v="421"/>
          </reference>
        </references>
      </pivotArea>
    </format>
    <format dxfId="3821">
      <pivotArea dataOnly="0" labelOnly="1" outline="0" fieldPosition="0">
        <references count="1">
          <reference field="10" count="1" defaultSubtotal="1">
            <x v="422"/>
          </reference>
        </references>
      </pivotArea>
    </format>
    <format dxfId="3822">
      <pivotArea dataOnly="0" labelOnly="1" outline="0" fieldPosition="0">
        <references count="1">
          <reference field="10" count="1" defaultSubtotal="1">
            <x v="423"/>
          </reference>
        </references>
      </pivotArea>
    </format>
    <format dxfId="3823">
      <pivotArea dataOnly="0" labelOnly="1" outline="0" fieldPosition="0">
        <references count="1">
          <reference field="10" count="1" defaultSubtotal="1">
            <x v="424"/>
          </reference>
        </references>
      </pivotArea>
    </format>
    <format dxfId="3824">
      <pivotArea dataOnly="0" labelOnly="1" outline="0" fieldPosition="0">
        <references count="1">
          <reference field="10" count="1" defaultSubtotal="1">
            <x v="425"/>
          </reference>
        </references>
      </pivotArea>
    </format>
    <format dxfId="3825">
      <pivotArea dataOnly="0" labelOnly="1" outline="0" fieldPosition="0">
        <references count="1">
          <reference field="10" count="1" defaultSubtotal="1">
            <x v="426"/>
          </reference>
        </references>
      </pivotArea>
    </format>
    <format dxfId="3826">
      <pivotArea dataOnly="0" labelOnly="1" outline="0" fieldPosition="0">
        <references count="1">
          <reference field="10" count="1" defaultSubtotal="1">
            <x v="427"/>
          </reference>
        </references>
      </pivotArea>
    </format>
    <format dxfId="3827">
      <pivotArea dataOnly="0" labelOnly="1" outline="0" fieldPosition="0">
        <references count="1">
          <reference field="10" count="1" defaultSubtotal="1">
            <x v="428"/>
          </reference>
        </references>
      </pivotArea>
    </format>
    <format dxfId="3828">
      <pivotArea dataOnly="0" labelOnly="1" outline="0" fieldPosition="0">
        <references count="1">
          <reference field="10" count="1" defaultSubtotal="1">
            <x v="429"/>
          </reference>
        </references>
      </pivotArea>
    </format>
    <format dxfId="3829">
      <pivotArea dataOnly="0" labelOnly="1" outline="0" fieldPosition="0">
        <references count="1">
          <reference field="10" count="1" defaultSubtotal="1">
            <x v="433"/>
          </reference>
        </references>
      </pivotArea>
    </format>
    <format dxfId="3830">
      <pivotArea dataOnly="0" labelOnly="1" outline="0" fieldPosition="0">
        <references count="1">
          <reference field="10" count="1" defaultSubtotal="1">
            <x v="434"/>
          </reference>
        </references>
      </pivotArea>
    </format>
    <format dxfId="3831">
      <pivotArea dataOnly="0" labelOnly="1" outline="0" fieldPosition="0">
        <references count="1">
          <reference field="10" count="1" defaultSubtotal="1">
            <x v="435"/>
          </reference>
        </references>
      </pivotArea>
    </format>
    <format dxfId="3832">
      <pivotArea dataOnly="0" labelOnly="1" outline="0" fieldPosition="0">
        <references count="1">
          <reference field="10" count="1" defaultSubtotal="1">
            <x v="436"/>
          </reference>
        </references>
      </pivotArea>
    </format>
    <format dxfId="3833">
      <pivotArea dataOnly="0" labelOnly="1" outline="0" fieldPosition="0">
        <references count="1">
          <reference field="10" count="1" defaultSubtotal="1">
            <x v="437"/>
          </reference>
        </references>
      </pivotArea>
    </format>
    <format dxfId="3834">
      <pivotArea dataOnly="0" labelOnly="1" outline="0" fieldPosition="0">
        <references count="1">
          <reference field="10" count="1" defaultSubtotal="1">
            <x v="438"/>
          </reference>
        </references>
      </pivotArea>
    </format>
    <format dxfId="3835">
      <pivotArea dataOnly="0" labelOnly="1" outline="0" fieldPosition="0">
        <references count="1">
          <reference field="10" count="1" defaultSubtotal="1">
            <x v="439"/>
          </reference>
        </references>
      </pivotArea>
    </format>
    <format dxfId="3836">
      <pivotArea dataOnly="0" labelOnly="1" outline="0" fieldPosition="0">
        <references count="1">
          <reference field="10" count="1" defaultSubtotal="1">
            <x v="440"/>
          </reference>
        </references>
      </pivotArea>
    </format>
    <format dxfId="3837">
      <pivotArea dataOnly="0" labelOnly="1" outline="0" fieldPosition="0">
        <references count="1">
          <reference field="10" count="1" defaultSubtotal="1">
            <x v="441"/>
          </reference>
        </references>
      </pivotArea>
    </format>
    <format dxfId="3838">
      <pivotArea dataOnly="0" labelOnly="1" outline="0" fieldPosition="0">
        <references count="1">
          <reference field="10" count="1" defaultSubtotal="1">
            <x v="442"/>
          </reference>
        </references>
      </pivotArea>
    </format>
    <format dxfId="3839">
      <pivotArea dataOnly="0" labelOnly="1" outline="0" fieldPosition="0">
        <references count="1">
          <reference field="10" count="1" defaultSubtotal="1">
            <x v="443"/>
          </reference>
        </references>
      </pivotArea>
    </format>
    <format dxfId="3840">
      <pivotArea dataOnly="0" labelOnly="1" outline="0" fieldPosition="0">
        <references count="1">
          <reference field="10" count="1" defaultSubtotal="1">
            <x v="446"/>
          </reference>
        </references>
      </pivotArea>
    </format>
    <format dxfId="3841">
      <pivotArea dataOnly="0" labelOnly="1" outline="0" fieldPosition="0">
        <references count="1">
          <reference field="10" count="1" defaultSubtotal="1">
            <x v="447"/>
          </reference>
        </references>
      </pivotArea>
    </format>
    <format dxfId="3842">
      <pivotArea dataOnly="0" labelOnly="1" outline="0" fieldPosition="0">
        <references count="1">
          <reference field="10" count="1" defaultSubtotal="1">
            <x v="448"/>
          </reference>
        </references>
      </pivotArea>
    </format>
    <format dxfId="3843">
      <pivotArea dataOnly="0" labelOnly="1" outline="0" fieldPosition="0">
        <references count="1">
          <reference field="10" count="1" defaultSubtotal="1">
            <x v="449"/>
          </reference>
        </references>
      </pivotArea>
    </format>
    <format dxfId="3844">
      <pivotArea dataOnly="0" labelOnly="1" outline="0" fieldPosition="0">
        <references count="1">
          <reference field="10" count="1" defaultSubtotal="1">
            <x v="451"/>
          </reference>
        </references>
      </pivotArea>
    </format>
    <format dxfId="3845">
      <pivotArea dataOnly="0" labelOnly="1" outline="0" fieldPosition="0">
        <references count="1">
          <reference field="10" count="1" defaultSubtotal="1">
            <x v="452"/>
          </reference>
        </references>
      </pivotArea>
    </format>
    <format dxfId="3846">
      <pivotArea dataOnly="0" labelOnly="1" outline="0" fieldPosition="0">
        <references count="1">
          <reference field="10" count="1" defaultSubtotal="1">
            <x v="453"/>
          </reference>
        </references>
      </pivotArea>
    </format>
    <format dxfId="3847">
      <pivotArea dataOnly="0" labelOnly="1" outline="0" fieldPosition="0">
        <references count="1">
          <reference field="10" count="1" defaultSubtotal="1">
            <x v="455"/>
          </reference>
        </references>
      </pivotArea>
    </format>
    <format dxfId="3848">
      <pivotArea dataOnly="0" labelOnly="1" outline="0" fieldPosition="0">
        <references count="1">
          <reference field="10" count="1" defaultSubtotal="1">
            <x v="456"/>
          </reference>
        </references>
      </pivotArea>
    </format>
    <format dxfId="3849">
      <pivotArea dataOnly="0" labelOnly="1" outline="0" fieldPosition="0">
        <references count="1">
          <reference field="10" count="1" defaultSubtotal="1">
            <x v="458"/>
          </reference>
        </references>
      </pivotArea>
    </format>
    <format dxfId="3850">
      <pivotArea dataOnly="0" labelOnly="1" outline="0" fieldPosition="0">
        <references count="1">
          <reference field="10" count="1" defaultSubtotal="1">
            <x v="459"/>
          </reference>
        </references>
      </pivotArea>
    </format>
    <format dxfId="3851">
      <pivotArea dataOnly="0" labelOnly="1" outline="0" fieldPosition="0">
        <references count="1">
          <reference field="10" count="1" defaultSubtotal="1">
            <x v="460"/>
          </reference>
        </references>
      </pivotArea>
    </format>
    <format dxfId="3852">
      <pivotArea dataOnly="0" labelOnly="1" outline="0" fieldPosition="0">
        <references count="1">
          <reference field="10" count="1" defaultSubtotal="1">
            <x v="461"/>
          </reference>
        </references>
      </pivotArea>
    </format>
    <format dxfId="3853">
      <pivotArea dataOnly="0" labelOnly="1" outline="0" fieldPosition="0">
        <references count="1">
          <reference field="10" count="1" defaultSubtotal="1">
            <x v="462"/>
          </reference>
        </references>
      </pivotArea>
    </format>
    <format dxfId="3854">
      <pivotArea dataOnly="0" labelOnly="1" outline="0" fieldPosition="0">
        <references count="1">
          <reference field="10" count="1" defaultSubtotal="1">
            <x v="463"/>
          </reference>
        </references>
      </pivotArea>
    </format>
    <format dxfId="3855">
      <pivotArea dataOnly="0" labelOnly="1" outline="0" fieldPosition="0">
        <references count="1">
          <reference field="10" count="1" defaultSubtotal="1">
            <x v="464"/>
          </reference>
        </references>
      </pivotArea>
    </format>
    <format dxfId="3856">
      <pivotArea dataOnly="0" labelOnly="1" outline="0" fieldPosition="0">
        <references count="1">
          <reference field="10" count="1" defaultSubtotal="1">
            <x v="465"/>
          </reference>
        </references>
      </pivotArea>
    </format>
    <format dxfId="3857">
      <pivotArea dataOnly="0" labelOnly="1" outline="0" fieldPosition="0">
        <references count="1">
          <reference field="10" count="1" defaultSubtotal="1">
            <x v="466"/>
          </reference>
        </references>
      </pivotArea>
    </format>
    <format dxfId="3858">
      <pivotArea dataOnly="0" labelOnly="1" outline="0" fieldPosition="0">
        <references count="1">
          <reference field="10" count="1" defaultSubtotal="1">
            <x v="467"/>
          </reference>
        </references>
      </pivotArea>
    </format>
    <format dxfId="3859">
      <pivotArea dataOnly="0" labelOnly="1" outline="0" fieldPosition="0">
        <references count="1">
          <reference field="10" count="1" defaultSubtotal="1">
            <x v="468"/>
          </reference>
        </references>
      </pivotArea>
    </format>
    <format dxfId="3860">
      <pivotArea dataOnly="0" labelOnly="1" outline="0" fieldPosition="0">
        <references count="1">
          <reference field="10" count="1" defaultSubtotal="1">
            <x v="469"/>
          </reference>
        </references>
      </pivotArea>
    </format>
    <format dxfId="3861">
      <pivotArea dataOnly="0" labelOnly="1" outline="0" fieldPosition="0">
        <references count="1">
          <reference field="10" count="1" defaultSubtotal="1">
            <x v="472"/>
          </reference>
        </references>
      </pivotArea>
    </format>
    <format dxfId="3862">
      <pivotArea dataOnly="0" labelOnly="1" outline="0" fieldPosition="0">
        <references count="1">
          <reference field="10" count="1" defaultSubtotal="1">
            <x v="473"/>
          </reference>
        </references>
      </pivotArea>
    </format>
    <format dxfId="3863">
      <pivotArea dataOnly="0" labelOnly="1" outline="0" fieldPosition="0">
        <references count="1">
          <reference field="10" count="1" defaultSubtotal="1">
            <x v="474"/>
          </reference>
        </references>
      </pivotArea>
    </format>
    <format dxfId="3864">
      <pivotArea dataOnly="0" labelOnly="1" outline="0" fieldPosition="0">
        <references count="1">
          <reference field="10" count="1" defaultSubtotal="1">
            <x v="475"/>
          </reference>
        </references>
      </pivotArea>
    </format>
    <format dxfId="3865">
      <pivotArea dataOnly="0" labelOnly="1" outline="0" fieldPosition="0">
        <references count="1">
          <reference field="10" count="1" defaultSubtotal="1">
            <x v="476"/>
          </reference>
        </references>
      </pivotArea>
    </format>
    <format dxfId="3866">
      <pivotArea dataOnly="0" labelOnly="1" outline="0" fieldPosition="0">
        <references count="1">
          <reference field="10" count="1" defaultSubtotal="1">
            <x v="477"/>
          </reference>
        </references>
      </pivotArea>
    </format>
    <format dxfId="3867">
      <pivotArea dataOnly="0" labelOnly="1" outline="0" fieldPosition="0">
        <references count="1">
          <reference field="10" count="1" defaultSubtotal="1">
            <x v="479"/>
          </reference>
        </references>
      </pivotArea>
    </format>
    <format dxfId="3868">
      <pivotArea dataOnly="0" labelOnly="1" outline="0" fieldPosition="0">
        <references count="1">
          <reference field="10" count="1" defaultSubtotal="1">
            <x v="482"/>
          </reference>
        </references>
      </pivotArea>
    </format>
    <format dxfId="3869">
      <pivotArea dataOnly="0" labelOnly="1" outline="0" fieldPosition="0">
        <references count="1">
          <reference field="10" count="1" defaultSubtotal="1">
            <x v="483"/>
          </reference>
        </references>
      </pivotArea>
    </format>
    <format dxfId="3870">
      <pivotArea dataOnly="0" labelOnly="1" outline="0" fieldPosition="0">
        <references count="1">
          <reference field="10" count="1" defaultSubtotal="1">
            <x v="486"/>
          </reference>
        </references>
      </pivotArea>
    </format>
    <format dxfId="3871">
      <pivotArea dataOnly="0" labelOnly="1" outline="0" fieldPosition="0">
        <references count="1">
          <reference field="10" count="1" defaultSubtotal="1">
            <x v="487"/>
          </reference>
        </references>
      </pivotArea>
    </format>
    <format dxfId="3872">
      <pivotArea dataOnly="0" labelOnly="1" outline="0" fieldPosition="0">
        <references count="1">
          <reference field="10" count="1" defaultSubtotal="1">
            <x v="488"/>
          </reference>
        </references>
      </pivotArea>
    </format>
    <format dxfId="3873">
      <pivotArea dataOnly="0" labelOnly="1" outline="0" fieldPosition="0">
        <references count="1">
          <reference field="10" count="1" defaultSubtotal="1">
            <x v="489"/>
          </reference>
        </references>
      </pivotArea>
    </format>
    <format dxfId="3874">
      <pivotArea dataOnly="0" labelOnly="1" outline="0" fieldPosition="0">
        <references count="1">
          <reference field="10" count="1" defaultSubtotal="1">
            <x v="490"/>
          </reference>
        </references>
      </pivotArea>
    </format>
    <format dxfId="3875">
      <pivotArea dataOnly="0" labelOnly="1" outline="0" fieldPosition="0">
        <references count="1">
          <reference field="10" count="1" defaultSubtotal="1">
            <x v="491"/>
          </reference>
        </references>
      </pivotArea>
    </format>
    <format dxfId="3876">
      <pivotArea dataOnly="0" labelOnly="1" outline="0" fieldPosition="0">
        <references count="1">
          <reference field="10" count="1" defaultSubtotal="1">
            <x v="492"/>
          </reference>
        </references>
      </pivotArea>
    </format>
    <format dxfId="3877">
      <pivotArea dataOnly="0" labelOnly="1" outline="0" fieldPosition="0">
        <references count="1">
          <reference field="10" count="1" defaultSubtotal="1">
            <x v="493"/>
          </reference>
        </references>
      </pivotArea>
    </format>
    <format dxfId="3878">
      <pivotArea dataOnly="0" labelOnly="1" outline="0" fieldPosition="0">
        <references count="1">
          <reference field="10" count="1" defaultSubtotal="1">
            <x v="496"/>
          </reference>
        </references>
      </pivotArea>
    </format>
    <format dxfId="3879">
      <pivotArea dataOnly="0" labelOnly="1" outline="0" fieldPosition="0">
        <references count="1">
          <reference field="10" count="1" defaultSubtotal="1">
            <x v="497"/>
          </reference>
        </references>
      </pivotArea>
    </format>
    <format dxfId="3880">
      <pivotArea dataOnly="0" labelOnly="1" outline="0" fieldPosition="0">
        <references count="1">
          <reference field="10" count="1" defaultSubtotal="1">
            <x v="498"/>
          </reference>
        </references>
      </pivotArea>
    </format>
    <format dxfId="3881">
      <pivotArea dataOnly="0" labelOnly="1" outline="0" fieldPosition="0">
        <references count="1">
          <reference field="10" count="1" defaultSubtotal="1">
            <x v="501"/>
          </reference>
        </references>
      </pivotArea>
    </format>
    <format dxfId="3882">
      <pivotArea dataOnly="0" labelOnly="1" outline="0" fieldPosition="0">
        <references count="1">
          <reference field="10" count="1" defaultSubtotal="1">
            <x v="502"/>
          </reference>
        </references>
      </pivotArea>
    </format>
    <format dxfId="3883">
      <pivotArea dataOnly="0" labelOnly="1" outline="0" fieldPosition="0">
        <references count="1">
          <reference field="10" count="1" defaultSubtotal="1">
            <x v="503"/>
          </reference>
        </references>
      </pivotArea>
    </format>
    <format dxfId="3884">
      <pivotArea dataOnly="0" labelOnly="1" outline="0" fieldPosition="0">
        <references count="1">
          <reference field="10" count="1" defaultSubtotal="1">
            <x v="505"/>
          </reference>
        </references>
      </pivotArea>
    </format>
    <format dxfId="3885">
      <pivotArea dataOnly="0" labelOnly="1" outline="0" fieldPosition="0">
        <references count="1">
          <reference field="10" count="1" defaultSubtotal="1">
            <x v="507"/>
          </reference>
        </references>
      </pivotArea>
    </format>
    <format dxfId="3886">
      <pivotArea dataOnly="0" labelOnly="1" outline="0" fieldPosition="0">
        <references count="1">
          <reference field="10" count="1" defaultSubtotal="1">
            <x v="508"/>
          </reference>
        </references>
      </pivotArea>
    </format>
    <format dxfId="3887">
      <pivotArea dataOnly="0" labelOnly="1" outline="0" fieldPosition="0">
        <references count="1">
          <reference field="10" count="1" defaultSubtotal="1">
            <x v="509"/>
          </reference>
        </references>
      </pivotArea>
    </format>
    <format dxfId="3888">
      <pivotArea dataOnly="0" labelOnly="1" outline="0" fieldPosition="0">
        <references count="1">
          <reference field="10" count="1" defaultSubtotal="1">
            <x v="510"/>
          </reference>
        </references>
      </pivotArea>
    </format>
    <format dxfId="3889">
      <pivotArea dataOnly="0" labelOnly="1" outline="0" fieldPosition="0">
        <references count="1">
          <reference field="10" count="1" defaultSubtotal="1">
            <x v="511"/>
          </reference>
        </references>
      </pivotArea>
    </format>
    <format dxfId="3890">
      <pivotArea dataOnly="0" labelOnly="1" outline="0" fieldPosition="0">
        <references count="1">
          <reference field="10" count="1" defaultSubtotal="1">
            <x v="512"/>
          </reference>
        </references>
      </pivotArea>
    </format>
    <format dxfId="3891">
      <pivotArea dataOnly="0" labelOnly="1" outline="0" fieldPosition="0">
        <references count="1">
          <reference field="10" count="1" defaultSubtotal="1">
            <x v="513"/>
          </reference>
        </references>
      </pivotArea>
    </format>
    <format dxfId="3892">
      <pivotArea dataOnly="0" labelOnly="1" outline="0" fieldPosition="0">
        <references count="1">
          <reference field="10" count="1" defaultSubtotal="1">
            <x v="514"/>
          </reference>
        </references>
      </pivotArea>
    </format>
    <format dxfId="3893">
      <pivotArea dataOnly="0" labelOnly="1" outline="0" fieldPosition="0">
        <references count="1">
          <reference field="10" count="1" defaultSubtotal="1">
            <x v="515"/>
          </reference>
        </references>
      </pivotArea>
    </format>
    <format dxfId="3894">
      <pivotArea dataOnly="0" labelOnly="1" outline="0" fieldPosition="0">
        <references count="1">
          <reference field="10" count="1" defaultSubtotal="1">
            <x v="518"/>
          </reference>
        </references>
      </pivotArea>
    </format>
    <format dxfId="3895">
      <pivotArea dataOnly="0" labelOnly="1" outline="0" fieldPosition="0">
        <references count="1">
          <reference field="10" count="1" defaultSubtotal="1">
            <x v="520"/>
          </reference>
        </references>
      </pivotArea>
    </format>
    <format dxfId="3896">
      <pivotArea dataOnly="0" labelOnly="1" outline="0" fieldPosition="0">
        <references count="1">
          <reference field="10" count="1" defaultSubtotal="1">
            <x v="521"/>
          </reference>
        </references>
      </pivotArea>
    </format>
    <format dxfId="3897">
      <pivotArea dataOnly="0" labelOnly="1" outline="0" fieldPosition="0">
        <references count="1">
          <reference field="10" count="1" defaultSubtotal="1">
            <x v="522"/>
          </reference>
        </references>
      </pivotArea>
    </format>
    <format dxfId="3898">
      <pivotArea dataOnly="0" labelOnly="1" outline="0" fieldPosition="0">
        <references count="1">
          <reference field="10" count="1" defaultSubtotal="1">
            <x v="523"/>
          </reference>
        </references>
      </pivotArea>
    </format>
    <format dxfId="3899">
      <pivotArea dataOnly="0" labelOnly="1" outline="0" fieldPosition="0">
        <references count="1">
          <reference field="10" count="1" defaultSubtotal="1">
            <x v="524"/>
          </reference>
        </references>
      </pivotArea>
    </format>
    <format dxfId="3900">
      <pivotArea dataOnly="0" labelOnly="1" outline="0" fieldPosition="0">
        <references count="1">
          <reference field="10" count="1" defaultSubtotal="1">
            <x v="525"/>
          </reference>
        </references>
      </pivotArea>
    </format>
    <format dxfId="3901">
      <pivotArea dataOnly="0" labelOnly="1" outline="0" fieldPosition="0">
        <references count="1">
          <reference field="10" count="1" defaultSubtotal="1">
            <x v="526"/>
          </reference>
        </references>
      </pivotArea>
    </format>
    <format dxfId="3902">
      <pivotArea dataOnly="0" labelOnly="1" outline="0" fieldPosition="0">
        <references count="1">
          <reference field="10" count="1" defaultSubtotal="1">
            <x v="527"/>
          </reference>
        </references>
      </pivotArea>
    </format>
    <format dxfId="3903">
      <pivotArea dataOnly="0" labelOnly="1" outline="0" fieldPosition="0">
        <references count="1">
          <reference field="10" count="1" defaultSubtotal="1">
            <x v="528"/>
          </reference>
        </references>
      </pivotArea>
    </format>
    <format dxfId="3904">
      <pivotArea dataOnly="0" labelOnly="1" outline="0" fieldPosition="0">
        <references count="1">
          <reference field="10" count="1" defaultSubtotal="1">
            <x v="529"/>
          </reference>
        </references>
      </pivotArea>
    </format>
    <format dxfId="3905">
      <pivotArea dataOnly="0" labelOnly="1" outline="0" fieldPosition="0">
        <references count="1">
          <reference field="10" count="1" defaultSubtotal="1">
            <x v="530"/>
          </reference>
        </references>
      </pivotArea>
    </format>
    <format dxfId="3906">
      <pivotArea dataOnly="0" labelOnly="1" outline="0" fieldPosition="0">
        <references count="1">
          <reference field="10" count="1" defaultSubtotal="1">
            <x v="531"/>
          </reference>
        </references>
      </pivotArea>
    </format>
    <format dxfId="3907">
      <pivotArea dataOnly="0" labelOnly="1" outline="0" fieldPosition="0">
        <references count="1">
          <reference field="10" count="1" defaultSubtotal="1">
            <x v="532"/>
          </reference>
        </references>
      </pivotArea>
    </format>
    <format dxfId="3908">
      <pivotArea dataOnly="0" labelOnly="1" outline="0" fieldPosition="0">
        <references count="1">
          <reference field="10" count="1" defaultSubtotal="1">
            <x v="534"/>
          </reference>
        </references>
      </pivotArea>
    </format>
    <format dxfId="3909">
      <pivotArea dataOnly="0" labelOnly="1" outline="0" fieldPosition="0">
        <references count="1">
          <reference field="10" count="1" defaultSubtotal="1">
            <x v="536"/>
          </reference>
        </references>
      </pivotArea>
    </format>
    <format dxfId="3910">
      <pivotArea dataOnly="0" labelOnly="1" outline="0" fieldPosition="0">
        <references count="1">
          <reference field="10" count="1" defaultSubtotal="1">
            <x v="537"/>
          </reference>
        </references>
      </pivotArea>
    </format>
    <format dxfId="3911">
      <pivotArea dataOnly="0" labelOnly="1" outline="0" fieldPosition="0">
        <references count="1">
          <reference field="10" count="1" defaultSubtotal="1">
            <x v="538"/>
          </reference>
        </references>
      </pivotArea>
    </format>
    <format dxfId="3912">
      <pivotArea dataOnly="0" labelOnly="1" outline="0" fieldPosition="0">
        <references count="1">
          <reference field="10" count="1" defaultSubtotal="1">
            <x v="539"/>
          </reference>
        </references>
      </pivotArea>
    </format>
    <format dxfId="3913">
      <pivotArea dataOnly="0" labelOnly="1" outline="0" fieldPosition="0">
        <references count="1">
          <reference field="10" count="1" defaultSubtotal="1">
            <x v="540"/>
          </reference>
        </references>
      </pivotArea>
    </format>
    <format dxfId="3914">
      <pivotArea dataOnly="0" labelOnly="1" outline="0" fieldPosition="0">
        <references count="1">
          <reference field="10" count="1" defaultSubtotal="1">
            <x v="541"/>
          </reference>
        </references>
      </pivotArea>
    </format>
    <format dxfId="3915">
      <pivotArea dataOnly="0" labelOnly="1" outline="0" fieldPosition="0">
        <references count="1">
          <reference field="10" count="1" defaultSubtotal="1">
            <x v="542"/>
          </reference>
        </references>
      </pivotArea>
    </format>
    <format dxfId="3916">
      <pivotArea dataOnly="0" labelOnly="1" outline="0" fieldPosition="0">
        <references count="1">
          <reference field="10" count="1" defaultSubtotal="1">
            <x v="543"/>
          </reference>
        </references>
      </pivotArea>
    </format>
    <format dxfId="3917">
      <pivotArea dataOnly="0" labelOnly="1" outline="0" fieldPosition="0">
        <references count="1">
          <reference field="10" count="1" defaultSubtotal="1">
            <x v="544"/>
          </reference>
        </references>
      </pivotArea>
    </format>
    <format dxfId="3918">
      <pivotArea dataOnly="0" labelOnly="1" outline="0" fieldPosition="0">
        <references count="1">
          <reference field="10" count="1" defaultSubtotal="1">
            <x v="545"/>
          </reference>
        </references>
      </pivotArea>
    </format>
    <format dxfId="3919">
      <pivotArea dataOnly="0" labelOnly="1" outline="0" fieldPosition="0">
        <references count="1">
          <reference field="10" count="1" defaultSubtotal="1">
            <x v="547"/>
          </reference>
        </references>
      </pivotArea>
    </format>
    <format dxfId="3920">
      <pivotArea dataOnly="0" labelOnly="1" outline="0" fieldPosition="0">
        <references count="1">
          <reference field="10" count="1" defaultSubtotal="1">
            <x v="548"/>
          </reference>
        </references>
      </pivotArea>
    </format>
    <format dxfId="3921">
      <pivotArea dataOnly="0" labelOnly="1" outline="0" fieldPosition="0">
        <references count="2">
          <reference field="2" count="1">
            <x v="570"/>
          </reference>
          <reference field="10" count="1" selected="0">
            <x v="0"/>
          </reference>
        </references>
      </pivotArea>
    </format>
    <format dxfId="3922">
      <pivotArea dataOnly="0" labelOnly="1" outline="0" fieldPosition="0">
        <references count="2">
          <reference field="2" count="2">
            <x v="141"/>
            <x v="142"/>
          </reference>
          <reference field="10" count="1" selected="0">
            <x v="1"/>
          </reference>
        </references>
      </pivotArea>
    </format>
    <format dxfId="3923">
      <pivotArea dataOnly="0" labelOnly="1" outline="0" fieldPosition="0">
        <references count="2">
          <reference field="2" count="1">
            <x v="296"/>
          </reference>
          <reference field="10" count="1" selected="0">
            <x v="2"/>
          </reference>
        </references>
      </pivotArea>
    </format>
    <format dxfId="3924">
      <pivotArea dataOnly="0" labelOnly="1" outline="0" fieldPosition="0">
        <references count="2">
          <reference field="2" count="1">
            <x v="404"/>
          </reference>
          <reference field="10" count="1" selected="0">
            <x v="3"/>
          </reference>
        </references>
      </pivotArea>
    </format>
    <format dxfId="3925">
      <pivotArea dataOnly="0" labelOnly="1" outline="0" fieldPosition="0">
        <references count="2">
          <reference field="2" count="1">
            <x v="502"/>
          </reference>
          <reference field="10" count="1" selected="0">
            <x v="4"/>
          </reference>
        </references>
      </pivotArea>
    </format>
    <format dxfId="3926">
      <pivotArea dataOnly="0" labelOnly="1" outline="0" fieldPosition="0">
        <references count="2">
          <reference field="2" count="2">
            <x v="14"/>
            <x v="27"/>
          </reference>
          <reference field="10" count="1" selected="0">
            <x v="5"/>
          </reference>
        </references>
      </pivotArea>
    </format>
    <format dxfId="3927">
      <pivotArea dataOnly="0" labelOnly="1" outline="0" fieldPosition="0">
        <references count="2">
          <reference field="2" count="2">
            <x v="242"/>
            <x v="508"/>
          </reference>
          <reference field="10" count="1" selected="0">
            <x v="6"/>
          </reference>
        </references>
      </pivotArea>
    </format>
    <format dxfId="3928">
      <pivotArea dataOnly="0" labelOnly="1" outline="0" fieldPosition="0">
        <references count="2">
          <reference field="2" count="1">
            <x v="652"/>
          </reference>
          <reference field="10" count="1" selected="0">
            <x v="7"/>
          </reference>
        </references>
      </pivotArea>
    </format>
    <format dxfId="3929">
      <pivotArea dataOnly="0" labelOnly="1" outline="0" fieldPosition="0">
        <references count="2">
          <reference field="2" count="2">
            <x v="0"/>
            <x v="146"/>
          </reference>
          <reference field="10" count="1" selected="0">
            <x v="8"/>
          </reference>
        </references>
      </pivotArea>
    </format>
    <format dxfId="3930">
      <pivotArea dataOnly="0" labelOnly="1" outline="0" fieldPosition="0">
        <references count="2">
          <reference field="2" count="1">
            <x v="129"/>
          </reference>
          <reference field="10" count="1" selected="0">
            <x v="9"/>
          </reference>
        </references>
      </pivotArea>
    </format>
    <format dxfId="3931">
      <pivotArea dataOnly="0" labelOnly="1" outline="0" fieldPosition="0">
        <references count="2">
          <reference field="2" count="2">
            <x v="255"/>
            <x v="256"/>
          </reference>
          <reference field="10" count="1" selected="0">
            <x v="10"/>
          </reference>
        </references>
      </pivotArea>
    </format>
    <format dxfId="3932">
      <pivotArea dataOnly="0" labelOnly="1" outline="0" fieldPosition="0">
        <references count="2">
          <reference field="2" count="3">
            <x v="72"/>
            <x v="74"/>
            <x v="75"/>
          </reference>
          <reference field="10" count="1" selected="0">
            <x v="12"/>
          </reference>
        </references>
      </pivotArea>
    </format>
    <format dxfId="3933">
      <pivotArea dataOnly="0" labelOnly="1" outline="0" fieldPosition="0">
        <references count="2">
          <reference field="2" count="2">
            <x v="594"/>
            <x v="608"/>
          </reference>
          <reference field="10" count="1" selected="0">
            <x v="13"/>
          </reference>
        </references>
      </pivotArea>
    </format>
    <format dxfId="3934">
      <pivotArea dataOnly="0" labelOnly="1" outline="0" fieldPosition="0">
        <references count="2">
          <reference field="2" count="2">
            <x v="54"/>
            <x v="666"/>
          </reference>
          <reference field="10" count="1" selected="0">
            <x v="14"/>
          </reference>
        </references>
      </pivotArea>
    </format>
    <format dxfId="3935">
      <pivotArea dataOnly="0" labelOnly="1" outline="0" fieldPosition="0">
        <references count="2">
          <reference field="2" count="2">
            <x v="136"/>
            <x v="447"/>
          </reference>
          <reference field="10" count="1" selected="0">
            <x v="15"/>
          </reference>
        </references>
      </pivotArea>
    </format>
    <format dxfId="3936">
      <pivotArea dataOnly="0" labelOnly="1" outline="0" fieldPosition="0">
        <references count="2">
          <reference field="2" count="4">
            <x v="103"/>
            <x v="224"/>
            <x v="527"/>
            <x v="604"/>
          </reference>
          <reference field="10" count="1" selected="0">
            <x v="16"/>
          </reference>
        </references>
      </pivotArea>
    </format>
    <format dxfId="3937">
      <pivotArea dataOnly="0" labelOnly="1" outline="0" fieldPosition="0">
        <references count="2">
          <reference field="2" count="2">
            <x v="114"/>
            <x v="434"/>
          </reference>
          <reference field="10" count="1" selected="0">
            <x v="17"/>
          </reference>
        </references>
      </pivotArea>
    </format>
    <format dxfId="3938">
      <pivotArea dataOnly="0" labelOnly="1" outline="0" fieldPosition="0">
        <references count="2">
          <reference field="2" count="1">
            <x v="25"/>
          </reference>
          <reference field="10" count="1" selected="0">
            <x v="18"/>
          </reference>
        </references>
      </pivotArea>
    </format>
    <format dxfId="3939">
      <pivotArea dataOnly="0" labelOnly="1" outline="0" fieldPosition="0">
        <references count="2">
          <reference field="2" count="1">
            <x v="65"/>
          </reference>
          <reference field="10" count="1" selected="0">
            <x v="19"/>
          </reference>
        </references>
      </pivotArea>
    </format>
    <format dxfId="3940">
      <pivotArea dataOnly="0" labelOnly="1" outline="0" fieldPosition="0">
        <references count="2">
          <reference field="2" count="1">
            <x v="503"/>
          </reference>
          <reference field="10" count="1" selected="0">
            <x v="20"/>
          </reference>
        </references>
      </pivotArea>
    </format>
    <format dxfId="3941">
      <pivotArea dataOnly="0" labelOnly="1" outline="0" fieldPosition="0">
        <references count="2">
          <reference field="2" count="1">
            <x v="246"/>
          </reference>
          <reference field="10" count="1" selected="0">
            <x v="21"/>
          </reference>
        </references>
      </pivotArea>
    </format>
    <format dxfId="3942">
      <pivotArea dataOnly="0" labelOnly="1" outline="0" fieldPosition="0">
        <references count="2">
          <reference field="2" count="3">
            <x v="30"/>
            <x v="31"/>
            <x v="32"/>
          </reference>
          <reference field="10" count="1" selected="0">
            <x v="23"/>
          </reference>
        </references>
      </pivotArea>
    </format>
    <format dxfId="3943">
      <pivotArea dataOnly="0" labelOnly="1" outline="0" fieldPosition="0">
        <references count="2">
          <reference field="2" count="1">
            <x v="566"/>
          </reference>
          <reference field="10" count="1" selected="0">
            <x v="24"/>
          </reference>
        </references>
      </pivotArea>
    </format>
    <format dxfId="3944">
      <pivotArea dataOnly="0" labelOnly="1" outline="0" fieldPosition="0">
        <references count="2">
          <reference field="2" count="1">
            <x v="458"/>
          </reference>
          <reference field="10" count="1" selected="0">
            <x v="25"/>
          </reference>
        </references>
      </pivotArea>
    </format>
    <format dxfId="3945">
      <pivotArea dataOnly="0" labelOnly="1" outline="0" fieldPosition="0">
        <references count="2">
          <reference field="2" count="9">
            <x v="98"/>
            <x v="371"/>
            <x v="457"/>
            <x v="541"/>
            <x v="542"/>
            <x v="567"/>
            <x v="650"/>
            <x v="651"/>
            <x v="653"/>
          </reference>
          <reference field="10" count="1" selected="0">
            <x v="26"/>
          </reference>
        </references>
      </pivotArea>
    </format>
    <format dxfId="3946">
      <pivotArea dataOnly="0" labelOnly="1" outline="0" fieldPosition="0">
        <references count="2">
          <reference field="2" count="2">
            <x v="326"/>
            <x v="330"/>
          </reference>
          <reference field="10" count="1" selected="0">
            <x v="27"/>
          </reference>
        </references>
      </pivotArea>
    </format>
    <format dxfId="3947">
      <pivotArea dataOnly="0" labelOnly="1" outline="0" fieldPosition="0">
        <references count="2">
          <reference field="2" count="1">
            <x v="535"/>
          </reference>
          <reference field="10" count="1" selected="0">
            <x v="28"/>
          </reference>
        </references>
      </pivotArea>
    </format>
    <format dxfId="3948">
      <pivotArea dataOnly="0" labelOnly="1" outline="0" fieldPosition="0">
        <references count="2">
          <reference field="2" count="1">
            <x v="341"/>
          </reference>
          <reference field="10" count="1" selected="0">
            <x v="29"/>
          </reference>
        </references>
      </pivotArea>
    </format>
    <format dxfId="3949">
      <pivotArea dataOnly="0" labelOnly="1" outline="0" fieldPosition="0">
        <references count="2">
          <reference field="2" count="1">
            <x v="559"/>
          </reference>
          <reference field="10" count="1" selected="0">
            <x v="32"/>
          </reference>
        </references>
      </pivotArea>
    </format>
    <format dxfId="3950">
      <pivotArea dataOnly="0" labelOnly="1" outline="0" fieldPosition="0">
        <references count="2">
          <reference field="2" count="1">
            <x v="130"/>
          </reference>
          <reference field="10" count="1" selected="0">
            <x v="36"/>
          </reference>
        </references>
      </pivotArea>
    </format>
    <format dxfId="3951">
      <pivotArea dataOnly="0" labelOnly="1" outline="0" fieldPosition="0">
        <references count="2">
          <reference field="2" count="1">
            <x v="327"/>
          </reference>
          <reference field="10" count="1" selected="0">
            <x v="37"/>
          </reference>
        </references>
      </pivotArea>
    </format>
    <format dxfId="3952">
      <pivotArea dataOnly="0" labelOnly="1" outline="0" fieldPosition="0">
        <references count="2">
          <reference field="2" count="1">
            <x v="493"/>
          </reference>
          <reference field="10" count="1" selected="0">
            <x v="39"/>
          </reference>
        </references>
      </pivotArea>
    </format>
    <format dxfId="3953">
      <pivotArea dataOnly="0" labelOnly="1" outline="0" fieldPosition="0">
        <references count="2">
          <reference field="2" count="1">
            <x v="381"/>
          </reference>
          <reference field="10" count="1" selected="0">
            <x v="40"/>
          </reference>
        </references>
      </pivotArea>
    </format>
    <format dxfId="3954">
      <pivotArea dataOnly="0" labelOnly="1" outline="0" fieldPosition="0">
        <references count="2">
          <reference field="2" count="1">
            <x v="494"/>
          </reference>
          <reference field="10" count="1" selected="0">
            <x v="41"/>
          </reference>
        </references>
      </pivotArea>
    </format>
    <format dxfId="3955">
      <pivotArea dataOnly="0" labelOnly="1" outline="0" fieldPosition="0">
        <references count="2">
          <reference field="2" count="1">
            <x v="113"/>
          </reference>
          <reference field="10" count="1" selected="0">
            <x v="43"/>
          </reference>
        </references>
      </pivotArea>
    </format>
    <format dxfId="3956">
      <pivotArea dataOnly="0" labelOnly="1" outline="0" fieldPosition="0">
        <references count="2">
          <reference field="2" count="1">
            <x v="112"/>
          </reference>
          <reference field="10" count="1" selected="0">
            <x v="44"/>
          </reference>
        </references>
      </pivotArea>
    </format>
    <format dxfId="3957">
      <pivotArea dataOnly="0" labelOnly="1" outline="0" fieldPosition="0">
        <references count="2">
          <reference field="2" count="1">
            <x v="514"/>
          </reference>
          <reference field="10" count="1" selected="0">
            <x v="45"/>
          </reference>
        </references>
      </pivotArea>
    </format>
    <format dxfId="3958">
      <pivotArea dataOnly="0" labelOnly="1" outline="0" fieldPosition="0">
        <references count="2">
          <reference field="2" count="1">
            <x v="245"/>
          </reference>
          <reference field="10" count="1" selected="0">
            <x v="46"/>
          </reference>
        </references>
      </pivotArea>
    </format>
    <format dxfId="3959">
      <pivotArea dataOnly="0" labelOnly="1" outline="0" fieldPosition="0">
        <references count="2">
          <reference field="2" count="2">
            <x v="378"/>
            <x v="379"/>
          </reference>
          <reference field="10" count="1" selected="0">
            <x v="48"/>
          </reference>
        </references>
      </pivotArea>
    </format>
    <format dxfId="3960">
      <pivotArea dataOnly="0" labelOnly="1" outline="0" fieldPosition="0">
        <references count="2">
          <reference field="2" count="1">
            <x v="612"/>
          </reference>
          <reference field="10" count="1" selected="0">
            <x v="49"/>
          </reference>
        </references>
      </pivotArea>
    </format>
    <format dxfId="3961">
      <pivotArea dataOnly="0" labelOnly="1" outline="0" fieldPosition="0">
        <references count="2">
          <reference field="2" count="1">
            <x v="511"/>
          </reference>
          <reference field="10" count="1" selected="0">
            <x v="50"/>
          </reference>
        </references>
      </pivotArea>
    </format>
    <format dxfId="3962">
      <pivotArea dataOnly="0" labelOnly="1" outline="0" fieldPosition="0">
        <references count="2">
          <reference field="2" count="1">
            <x v="73"/>
          </reference>
          <reference field="10" count="1" selected="0">
            <x v="55"/>
          </reference>
        </references>
      </pivotArea>
    </format>
    <format dxfId="3963">
      <pivotArea dataOnly="0" labelOnly="1" outline="0" fieldPosition="0">
        <references count="2">
          <reference field="2" count="2">
            <x v="332"/>
            <x v="365"/>
          </reference>
          <reference field="10" count="1" selected="0">
            <x v="56"/>
          </reference>
        </references>
      </pivotArea>
    </format>
    <format dxfId="3964">
      <pivotArea dataOnly="0" labelOnly="1" outline="0" fieldPosition="0">
        <references count="2">
          <reference field="2" count="3">
            <x v="352"/>
            <x v="354"/>
            <x v="576"/>
          </reference>
          <reference field="10" count="1" selected="0">
            <x v="57"/>
          </reference>
        </references>
      </pivotArea>
    </format>
    <format dxfId="3965">
      <pivotArea dataOnly="0" labelOnly="1" outline="0" fieldPosition="0">
        <references count="2">
          <reference field="2" count="1">
            <x v="91"/>
          </reference>
          <reference field="10" count="1" selected="0">
            <x v="58"/>
          </reference>
        </references>
      </pivotArea>
    </format>
    <format dxfId="3966">
      <pivotArea dataOnly="0" labelOnly="1" outline="0" fieldPosition="0">
        <references count="2">
          <reference field="2" count="1">
            <x v="297"/>
          </reference>
          <reference field="10" count="1" selected="0">
            <x v="59"/>
          </reference>
        </references>
      </pivotArea>
    </format>
    <format dxfId="3967">
      <pivotArea dataOnly="0" labelOnly="1" outline="0" fieldPosition="0">
        <references count="2">
          <reference field="2" count="1">
            <x v="466"/>
          </reference>
          <reference field="10" count="1" selected="0">
            <x v="60"/>
          </reference>
        </references>
      </pivotArea>
    </format>
    <format dxfId="3968">
      <pivotArea dataOnly="0" labelOnly="1" outline="0" fieldPosition="0">
        <references count="2">
          <reference field="2" count="1">
            <x v="598"/>
          </reference>
          <reference field="10" count="1" selected="0">
            <x v="61"/>
          </reference>
        </references>
      </pivotArea>
    </format>
    <format dxfId="3969">
      <pivotArea dataOnly="0" labelOnly="1" outline="0" fieldPosition="0">
        <references count="2">
          <reference field="2" count="1">
            <x v="272"/>
          </reference>
          <reference field="10" count="1" selected="0">
            <x v="62"/>
          </reference>
        </references>
      </pivotArea>
    </format>
    <format dxfId="3970">
      <pivotArea dataOnly="0" labelOnly="1" outline="0" fieldPosition="0">
        <references count="2">
          <reference field="2" count="1">
            <x v="548"/>
          </reference>
          <reference field="10" count="1" selected="0">
            <x v="64"/>
          </reference>
        </references>
      </pivotArea>
    </format>
    <format dxfId="3971">
      <pivotArea dataOnly="0" labelOnly="1" outline="0" fieldPosition="0">
        <references count="2">
          <reference field="2" count="3">
            <x v="82"/>
            <x v="83"/>
            <x v="84"/>
          </reference>
          <reference field="10" count="1" selected="0">
            <x v="65"/>
          </reference>
        </references>
      </pivotArea>
    </format>
    <format dxfId="3972">
      <pivotArea dataOnly="0" labelOnly="1" outline="0" fieldPosition="0">
        <references count="2">
          <reference field="2" count="1">
            <x v="6"/>
          </reference>
          <reference field="10" count="1" selected="0">
            <x v="66"/>
          </reference>
        </references>
      </pivotArea>
    </format>
    <format dxfId="3973">
      <pivotArea dataOnly="0" labelOnly="1" outline="0" fieldPosition="0">
        <references count="2">
          <reference field="2" count="2">
            <x v="262"/>
            <x v="263"/>
          </reference>
          <reference field="10" count="1" selected="0">
            <x v="67"/>
          </reference>
        </references>
      </pivotArea>
    </format>
    <format dxfId="3974">
      <pivotArea dataOnly="0" labelOnly="1" outline="0" fieldPosition="0">
        <references count="2">
          <reference field="2" count="1">
            <x v="88"/>
          </reference>
          <reference field="10" count="1" selected="0">
            <x v="68"/>
          </reference>
        </references>
      </pivotArea>
    </format>
    <format dxfId="3975">
      <pivotArea dataOnly="0" labelOnly="1" outline="0" fieldPosition="0">
        <references count="2">
          <reference field="2" count="17">
            <x v="77"/>
            <x v="228"/>
            <x v="229"/>
            <x v="481"/>
            <x v="482"/>
            <x v="483"/>
            <x v="484"/>
            <x v="579"/>
            <x v="580"/>
            <x v="581"/>
            <x v="582"/>
            <x v="583"/>
            <x v="584"/>
            <x v="585"/>
            <x v="586"/>
            <x v="587"/>
            <x v="588"/>
          </reference>
          <reference field="10" count="1" selected="0">
            <x v="69"/>
          </reference>
        </references>
      </pivotArea>
    </format>
    <format dxfId="3976">
      <pivotArea dataOnly="0" labelOnly="1" outline="0" fieldPosition="0">
        <references count="2">
          <reference field="2" count="3">
            <x v="462"/>
            <x v="463"/>
            <x v="560"/>
          </reference>
          <reference field="10" count="1" selected="0">
            <x v="70"/>
          </reference>
        </references>
      </pivotArea>
    </format>
    <format dxfId="3977">
      <pivotArea dataOnly="0" labelOnly="1" outline="0" fieldPosition="0">
        <references count="2">
          <reference field="2" count="1">
            <x v="178"/>
          </reference>
          <reference field="10" count="1" selected="0">
            <x v="71"/>
          </reference>
        </references>
      </pivotArea>
    </format>
    <format dxfId="3978">
      <pivotArea dataOnly="0" labelOnly="1" outline="0" fieldPosition="0">
        <references count="2">
          <reference field="2" count="2">
            <x v="298"/>
            <x v="311"/>
          </reference>
          <reference field="10" count="1" selected="0">
            <x v="72"/>
          </reference>
        </references>
      </pivotArea>
    </format>
    <format dxfId="3979">
      <pivotArea dataOnly="0" labelOnly="1" outline="0" fieldPosition="0">
        <references count="2">
          <reference field="2" count="2">
            <x v="190"/>
            <x v="622"/>
          </reference>
          <reference field="10" count="1" selected="0">
            <x v="73"/>
          </reference>
        </references>
      </pivotArea>
    </format>
    <format dxfId="3980">
      <pivotArea dataOnly="0" labelOnly="1" outline="0" fieldPosition="0">
        <references count="2">
          <reference field="2" count="1">
            <x v="159"/>
          </reference>
          <reference field="10" count="1" selected="0">
            <x v="74"/>
          </reference>
        </references>
      </pivotArea>
    </format>
    <format dxfId="3981">
      <pivotArea dataOnly="0" labelOnly="1" outline="0" fieldPosition="0">
        <references count="2">
          <reference field="2" count="1">
            <x v="198"/>
          </reference>
          <reference field="10" count="1" selected="0">
            <x v="75"/>
          </reference>
        </references>
      </pivotArea>
    </format>
    <format dxfId="3982">
      <pivotArea dataOnly="0" labelOnly="1" outline="0" fieldPosition="0">
        <references count="2">
          <reference field="2" count="1">
            <x v="593"/>
          </reference>
          <reference field="10" count="1" selected="0">
            <x v="78"/>
          </reference>
        </references>
      </pivotArea>
    </format>
    <format dxfId="3983">
      <pivotArea dataOnly="0" labelOnly="1" outline="0" fieldPosition="0">
        <references count="2">
          <reference field="2" count="1">
            <x v="397"/>
          </reference>
          <reference field="10" count="1" selected="0">
            <x v="79"/>
          </reference>
        </references>
      </pivotArea>
    </format>
    <format dxfId="3984">
      <pivotArea dataOnly="0" labelOnly="1" outline="0" fieldPosition="0">
        <references count="2">
          <reference field="2" count="1">
            <x v="415"/>
          </reference>
          <reference field="10" count="1" selected="0">
            <x v="80"/>
          </reference>
        </references>
      </pivotArea>
    </format>
    <format dxfId="3985">
      <pivotArea dataOnly="0" labelOnly="1" outline="0" fieldPosition="0">
        <references count="2">
          <reference field="2" count="2">
            <x v="459"/>
            <x v="515"/>
          </reference>
          <reference field="10" count="1" selected="0">
            <x v="81"/>
          </reference>
        </references>
      </pivotArea>
    </format>
    <format dxfId="3986">
      <pivotArea dataOnly="0" labelOnly="1" outline="0" fieldPosition="0">
        <references count="2">
          <reference field="2" count="2">
            <x v="147"/>
            <x v="575"/>
          </reference>
          <reference field="10" count="1" selected="0">
            <x v="82"/>
          </reference>
        </references>
      </pivotArea>
    </format>
    <format dxfId="3987">
      <pivotArea dataOnly="0" labelOnly="1" outline="0" fieldPosition="0">
        <references count="2">
          <reference field="2" count="1">
            <x v="180"/>
          </reference>
          <reference field="10" count="1" selected="0">
            <x v="84"/>
          </reference>
        </references>
      </pivotArea>
    </format>
    <format dxfId="3988">
      <pivotArea dataOnly="0" labelOnly="1" outline="0" fieldPosition="0">
        <references count="2">
          <reference field="2" count="3">
            <x v="107"/>
            <x v="294"/>
            <x v="453"/>
          </reference>
          <reference field="10" count="1" selected="0">
            <x v="86"/>
          </reference>
        </references>
      </pivotArea>
    </format>
    <format dxfId="3989">
      <pivotArea dataOnly="0" labelOnly="1" outline="0" fieldPosition="0">
        <references count="2">
          <reference field="2" count="1">
            <x v="518"/>
          </reference>
          <reference field="10" count="1" selected="0">
            <x v="87"/>
          </reference>
        </references>
      </pivotArea>
    </format>
    <format dxfId="3990">
      <pivotArea dataOnly="0" labelOnly="1" outline="0" fieldPosition="0">
        <references count="2">
          <reference field="2" count="1">
            <x v="383"/>
          </reference>
          <reference field="10" count="1" selected="0">
            <x v="88"/>
          </reference>
        </references>
      </pivotArea>
    </format>
    <format dxfId="3991">
      <pivotArea dataOnly="0" labelOnly="1" outline="0" fieldPosition="0">
        <references count="2">
          <reference field="2" count="2">
            <x v="158"/>
            <x v="358"/>
          </reference>
          <reference field="10" count="1" selected="0">
            <x v="89"/>
          </reference>
        </references>
      </pivotArea>
    </format>
    <format dxfId="3992">
      <pivotArea dataOnly="0" labelOnly="1" outline="0" fieldPosition="0">
        <references count="2">
          <reference field="2" count="1">
            <x v="23"/>
          </reference>
          <reference field="10" count="1" selected="0">
            <x v="90"/>
          </reference>
        </references>
      </pivotArea>
    </format>
    <format dxfId="3993">
      <pivotArea dataOnly="0" labelOnly="1" outline="0" fieldPosition="0">
        <references count="2">
          <reference field="2" count="2">
            <x v="537"/>
            <x v="543"/>
          </reference>
          <reference field="10" count="1" selected="0">
            <x v="91"/>
          </reference>
        </references>
      </pivotArea>
    </format>
    <format dxfId="3994">
      <pivotArea dataOnly="0" labelOnly="1" outline="0" fieldPosition="0">
        <references count="2">
          <reference field="2" count="2">
            <x v="334"/>
            <x v="539"/>
          </reference>
          <reference field="10" count="1" selected="0">
            <x v="93"/>
          </reference>
        </references>
      </pivotArea>
    </format>
    <format dxfId="3995">
      <pivotArea dataOnly="0" labelOnly="1" outline="0" fieldPosition="0">
        <references count="2">
          <reference field="2" count="1">
            <x v="456"/>
          </reference>
          <reference field="10" count="1" selected="0">
            <x v="94"/>
          </reference>
        </references>
      </pivotArea>
    </format>
    <format dxfId="3996">
      <pivotArea dataOnly="0" labelOnly="1" outline="0" fieldPosition="0">
        <references count="2">
          <reference field="2" count="2">
            <x v="265"/>
            <x v="510"/>
          </reference>
          <reference field="10" count="1" selected="0">
            <x v="95"/>
          </reference>
        </references>
      </pivotArea>
    </format>
    <format dxfId="3997">
      <pivotArea dataOnly="0" labelOnly="1" outline="0" fieldPosition="0">
        <references count="2">
          <reference field="2" count="1">
            <x v="281"/>
          </reference>
          <reference field="10" count="1" selected="0">
            <x v="96"/>
          </reference>
        </references>
      </pivotArea>
    </format>
    <format dxfId="3998">
      <pivotArea dataOnly="0" labelOnly="1" outline="0" fieldPosition="0">
        <references count="2">
          <reference field="2" count="2">
            <x v="219"/>
            <x v="226"/>
          </reference>
          <reference field="10" count="1" selected="0">
            <x v="99"/>
          </reference>
        </references>
      </pivotArea>
    </format>
    <format dxfId="3999">
      <pivotArea dataOnly="0" labelOnly="1" outline="0" fieldPosition="0">
        <references count="2">
          <reference field="2" count="8">
            <x v="104"/>
            <x v="105"/>
            <x v="106"/>
            <x v="139"/>
            <x v="140"/>
            <x v="401"/>
            <x v="561"/>
            <x v="562"/>
          </reference>
          <reference field="10" count="1" selected="0">
            <x v="101"/>
          </reference>
        </references>
      </pivotArea>
    </format>
    <format dxfId="4000">
      <pivotArea dataOnly="0" labelOnly="1" outline="0" fieldPosition="0">
        <references count="2">
          <reference field="2" count="1">
            <x v="312"/>
          </reference>
          <reference field="10" count="1" selected="0">
            <x v="102"/>
          </reference>
        </references>
      </pivotArea>
    </format>
    <format dxfId="4001">
      <pivotArea dataOnly="0" labelOnly="1" outline="0" fieldPosition="0">
        <references count="2">
          <reference field="2" count="1">
            <x v="349"/>
          </reference>
          <reference field="10" count="1" selected="0">
            <x v="103"/>
          </reference>
        </references>
      </pivotArea>
    </format>
    <format dxfId="4002">
      <pivotArea dataOnly="0" labelOnly="1" outline="0" fieldPosition="0">
        <references count="2">
          <reference field="2" count="2">
            <x v="210"/>
            <x v="211"/>
          </reference>
          <reference field="10" count="1" selected="0">
            <x v="105"/>
          </reference>
        </references>
      </pivotArea>
    </format>
    <format dxfId="4003">
      <pivotArea dataOnly="0" labelOnly="1" outline="0" fieldPosition="0">
        <references count="2">
          <reference field="2" count="1">
            <x v="343"/>
          </reference>
          <reference field="10" count="1" selected="0">
            <x v="106"/>
          </reference>
        </references>
      </pivotArea>
    </format>
    <format dxfId="4004">
      <pivotArea dataOnly="0" labelOnly="1" outline="0" fieldPosition="0">
        <references count="2">
          <reference field="2" count="4">
            <x v="40"/>
            <x v="41"/>
            <x v="52"/>
            <x v="599"/>
          </reference>
          <reference field="10" count="1" selected="0">
            <x v="107"/>
          </reference>
        </references>
      </pivotArea>
    </format>
    <format dxfId="4005">
      <pivotArea dataOnly="0" labelOnly="1" outline="0" fieldPosition="0">
        <references count="2">
          <reference field="2" count="1">
            <x v="377"/>
          </reference>
          <reference field="10" count="1" selected="0">
            <x v="108"/>
          </reference>
        </references>
      </pivotArea>
    </format>
    <format dxfId="4006">
      <pivotArea dataOnly="0" labelOnly="1" outline="0" fieldPosition="0">
        <references count="2">
          <reference field="2" count="1">
            <x v="285"/>
          </reference>
          <reference field="10" count="1" selected="0">
            <x v="110"/>
          </reference>
        </references>
      </pivotArea>
    </format>
    <format dxfId="4007">
      <pivotArea dataOnly="0" labelOnly="1" outline="0" fieldPosition="0">
        <references count="2">
          <reference field="2" count="1">
            <x v="47"/>
          </reference>
          <reference field="10" count="1" selected="0">
            <x v="111"/>
          </reference>
        </references>
      </pivotArea>
    </format>
    <format dxfId="4008">
      <pivotArea dataOnly="0" labelOnly="1" outline="0" fieldPosition="0">
        <references count="2">
          <reference field="2" count="1">
            <x v="558"/>
          </reference>
          <reference field="10" count="1" selected="0">
            <x v="112"/>
          </reference>
        </references>
      </pivotArea>
    </format>
    <format dxfId="4009">
      <pivotArea dataOnly="0" labelOnly="1" outline="0" fieldPosition="0">
        <references count="2">
          <reference field="2" count="2">
            <x v="351"/>
            <x v="367"/>
          </reference>
          <reference field="10" count="1" selected="0">
            <x v="113"/>
          </reference>
        </references>
      </pivotArea>
    </format>
    <format dxfId="4010">
      <pivotArea dataOnly="0" labelOnly="1" outline="0" fieldPosition="0">
        <references count="2">
          <reference field="2" count="1">
            <x v="382"/>
          </reference>
          <reference field="10" count="1" selected="0">
            <x v="115"/>
          </reference>
        </references>
      </pivotArea>
    </format>
    <format dxfId="4011">
      <pivotArea dataOnly="0" labelOnly="1" outline="0" fieldPosition="0">
        <references count="2">
          <reference field="2" count="1">
            <x v="176"/>
          </reference>
          <reference field="10" count="1" selected="0">
            <x v="116"/>
          </reference>
        </references>
      </pivotArea>
    </format>
    <format dxfId="4012">
      <pivotArea dataOnly="0" labelOnly="1" outline="0" fieldPosition="0">
        <references count="2">
          <reference field="2" count="1">
            <x v="472"/>
          </reference>
          <reference field="10" count="1" selected="0">
            <x v="117"/>
          </reference>
        </references>
      </pivotArea>
    </format>
    <format dxfId="4013">
      <pivotArea dataOnly="0" labelOnly="1" outline="0" fieldPosition="0">
        <references count="2">
          <reference field="2" count="1">
            <x v="602"/>
          </reference>
          <reference field="10" count="1" selected="0">
            <x v="118"/>
          </reference>
        </references>
      </pivotArea>
    </format>
    <format dxfId="4014">
      <pivotArea dataOnly="0" labelOnly="1" outline="0" fieldPosition="0">
        <references count="2">
          <reference field="2" count="1">
            <x v="199"/>
          </reference>
          <reference field="10" count="1" selected="0">
            <x v="119"/>
          </reference>
        </references>
      </pivotArea>
    </format>
    <format dxfId="4015">
      <pivotArea dataOnly="0" labelOnly="1" outline="0" fieldPosition="0">
        <references count="2">
          <reference field="2" count="2">
            <x v="617"/>
            <x v="662"/>
          </reference>
          <reference field="10" count="1" selected="0">
            <x v="122"/>
          </reference>
        </references>
      </pivotArea>
    </format>
    <format dxfId="4016">
      <pivotArea dataOnly="0" labelOnly="1" outline="0" fieldPosition="0">
        <references count="2">
          <reference field="2" count="1">
            <x v="669"/>
          </reference>
          <reference field="10" count="1" selected="0">
            <x v="124"/>
          </reference>
        </references>
      </pivotArea>
    </format>
    <format dxfId="4017">
      <pivotArea dataOnly="0" labelOnly="1" outline="0" fieldPosition="0">
        <references count="2">
          <reference field="2" count="1">
            <x v="425"/>
          </reference>
          <reference field="10" count="1" selected="0">
            <x v="125"/>
          </reference>
        </references>
      </pivotArea>
    </format>
    <format dxfId="4018">
      <pivotArea dataOnly="0" labelOnly="1" outline="0" fieldPosition="0">
        <references count="2">
          <reference field="2" count="1">
            <x v="243"/>
          </reference>
          <reference field="10" count="1" selected="0">
            <x v="126"/>
          </reference>
        </references>
      </pivotArea>
    </format>
    <format dxfId="4019">
      <pivotArea dataOnly="0" labelOnly="1" outline="0" fieldPosition="0">
        <references count="2">
          <reference field="2" count="1">
            <x v="499"/>
          </reference>
          <reference field="10" count="1" selected="0">
            <x v="127"/>
          </reference>
        </references>
      </pivotArea>
    </format>
    <format dxfId="4020">
      <pivotArea dataOnly="0" labelOnly="1" outline="0" fieldPosition="0">
        <references count="2">
          <reference field="2" count="1">
            <x v="53"/>
          </reference>
          <reference field="10" count="1" selected="0">
            <x v="128"/>
          </reference>
        </references>
      </pivotArea>
    </format>
    <format dxfId="4021">
      <pivotArea dataOnly="0" labelOnly="1" outline="0" fieldPosition="0">
        <references count="2">
          <reference field="2" count="1">
            <x v="254"/>
          </reference>
          <reference field="10" count="1" selected="0">
            <x v="129"/>
          </reference>
        </references>
      </pivotArea>
    </format>
    <format dxfId="4022">
      <pivotArea dataOnly="0" labelOnly="1" outline="0" fieldPosition="0">
        <references count="2">
          <reference field="2" count="1">
            <x v="647"/>
          </reference>
          <reference field="10" count="1" selected="0">
            <x v="130"/>
          </reference>
        </references>
      </pivotArea>
    </format>
    <format dxfId="4023">
      <pivotArea dataOnly="0" labelOnly="1" outline="0" fieldPosition="0">
        <references count="2">
          <reference field="2" count="2">
            <x v="359"/>
            <x v="361"/>
          </reference>
          <reference field="10" count="1" selected="0">
            <x v="132"/>
          </reference>
        </references>
      </pivotArea>
    </format>
    <format dxfId="4024">
      <pivotArea dataOnly="0" labelOnly="1" outline="0" fieldPosition="0">
        <references count="2">
          <reference field="2" count="2">
            <x v="307"/>
            <x v="337"/>
          </reference>
          <reference field="10" count="1" selected="0">
            <x v="133"/>
          </reference>
        </references>
      </pivotArea>
    </format>
    <format dxfId="4025">
      <pivotArea dataOnly="0" labelOnly="1" outline="0" fieldPosition="0">
        <references count="2">
          <reference field="2" count="2">
            <x v="313"/>
            <x v="534"/>
          </reference>
          <reference field="10" count="1" selected="0">
            <x v="134"/>
          </reference>
        </references>
      </pivotArea>
    </format>
    <format dxfId="4026">
      <pivotArea dataOnly="0" labelOnly="1" outline="0" fieldPosition="0">
        <references count="2">
          <reference field="2" count="2">
            <x v="251"/>
            <x v="252"/>
          </reference>
          <reference field="10" count="1" selected="0">
            <x v="135"/>
          </reference>
        </references>
      </pivotArea>
    </format>
    <format dxfId="4027">
      <pivotArea dataOnly="0" labelOnly="1" outline="0" fieldPosition="0">
        <references count="2">
          <reference field="2" count="1">
            <x v="428"/>
          </reference>
          <reference field="10" count="1" selected="0">
            <x v="136"/>
          </reference>
        </references>
      </pivotArea>
    </format>
    <format dxfId="4028">
      <pivotArea dataOnly="0" labelOnly="1" outline="0" fieldPosition="0">
        <references count="2">
          <reference field="2" count="2">
            <x v="314"/>
            <x v="315"/>
          </reference>
          <reference field="10" count="1" selected="0">
            <x v="137"/>
          </reference>
        </references>
      </pivotArea>
    </format>
    <format dxfId="4029">
      <pivotArea dataOnly="0" labelOnly="1" outline="0" fieldPosition="0">
        <references count="2">
          <reference field="2" count="4">
            <x v="133"/>
            <x v="134"/>
            <x v="135"/>
            <x v="405"/>
          </reference>
          <reference field="10" count="1" selected="0">
            <x v="138"/>
          </reference>
        </references>
      </pivotArea>
    </format>
    <format dxfId="4030">
      <pivotArea dataOnly="0" labelOnly="1" outline="0" fieldPosition="0">
        <references count="2">
          <reference field="2" count="1">
            <x v="391"/>
          </reference>
          <reference field="10" count="1" selected="0">
            <x v="139"/>
          </reference>
        </references>
      </pivotArea>
    </format>
    <format dxfId="4031">
      <pivotArea dataOnly="0" labelOnly="1" outline="0" fieldPosition="0">
        <references count="2">
          <reference field="2" count="1">
            <x v="51"/>
          </reference>
          <reference field="10" count="1" selected="0">
            <x v="140"/>
          </reference>
        </references>
      </pivotArea>
    </format>
    <format dxfId="4032">
      <pivotArea dataOnly="0" labelOnly="1" outline="0" fieldPosition="0">
        <references count="2">
          <reference field="2" count="1">
            <x v="574"/>
          </reference>
          <reference field="10" count="1" selected="0">
            <x v="141"/>
          </reference>
        </references>
      </pivotArea>
    </format>
    <format dxfId="4033">
      <pivotArea dataOnly="0" labelOnly="1" outline="0" fieldPosition="0">
        <references count="2">
          <reference field="2" count="1">
            <x v="12"/>
          </reference>
          <reference field="10" count="1" selected="0">
            <x v="142"/>
          </reference>
        </references>
      </pivotArea>
    </format>
    <format dxfId="4034">
      <pivotArea dataOnly="0" labelOnly="1" outline="0" fieldPosition="0">
        <references count="2">
          <reference field="2" count="2">
            <x v="442"/>
            <x v="595"/>
          </reference>
          <reference field="10" count="1" selected="0">
            <x v="143"/>
          </reference>
        </references>
      </pivotArea>
    </format>
    <format dxfId="4035">
      <pivotArea dataOnly="0" labelOnly="1" outline="0" fieldPosition="0">
        <references count="2">
          <reference field="2" count="3">
            <x v="34"/>
            <x v="409"/>
            <x v="632"/>
          </reference>
          <reference field="10" count="1" selected="0">
            <x v="145"/>
          </reference>
        </references>
      </pivotArea>
    </format>
    <format dxfId="4036">
      <pivotArea dataOnly="0" labelOnly="1" outline="0" fieldPosition="0">
        <references count="2">
          <reference field="2" count="1">
            <x v="540"/>
          </reference>
          <reference field="10" count="1" selected="0">
            <x v="146"/>
          </reference>
        </references>
      </pivotArea>
    </format>
    <format dxfId="4037">
      <pivotArea dataOnly="0" labelOnly="1" outline="0" fieldPosition="0">
        <references count="2">
          <reference field="2" count="1">
            <x v="303"/>
          </reference>
          <reference field="10" count="1" selected="0">
            <x v="147"/>
          </reference>
        </references>
      </pivotArea>
    </format>
    <format dxfId="4038">
      <pivotArea dataOnly="0" labelOnly="1" outline="0" fieldPosition="0">
        <references count="2">
          <reference field="2" count="1">
            <x v="46"/>
          </reference>
          <reference field="10" count="1" selected="0">
            <x v="148"/>
          </reference>
        </references>
      </pivotArea>
    </format>
    <format dxfId="4039">
      <pivotArea dataOnly="0" labelOnly="1" outline="0" fieldPosition="0">
        <references count="2">
          <reference field="2" count="1">
            <x v="205"/>
          </reference>
          <reference field="10" count="1" selected="0">
            <x v="149"/>
          </reference>
        </references>
      </pivotArea>
    </format>
    <format dxfId="4040">
      <pivotArea dataOnly="0" labelOnly="1" outline="0" fieldPosition="0">
        <references count="2">
          <reference field="2" count="2">
            <x v="172"/>
            <x v="605"/>
          </reference>
          <reference field="10" count="1" selected="0">
            <x v="150"/>
          </reference>
        </references>
      </pivotArea>
    </format>
    <format dxfId="4041">
      <pivotArea dataOnly="0" labelOnly="1" outline="0" fieldPosition="0">
        <references count="2">
          <reference field="2" count="1">
            <x v="426"/>
          </reference>
          <reference field="10" count="1" selected="0">
            <x v="151"/>
          </reference>
        </references>
      </pivotArea>
    </format>
    <format dxfId="4042">
      <pivotArea dataOnly="0" labelOnly="1" outline="0" fieldPosition="0">
        <references count="2">
          <reference field="2" count="1">
            <x v="655"/>
          </reference>
          <reference field="10" count="1" selected="0">
            <x v="153"/>
          </reference>
        </references>
      </pivotArea>
    </format>
    <format dxfId="4043">
      <pivotArea dataOnly="0" labelOnly="1" outline="0" fieldPosition="0">
        <references count="2">
          <reference field="2" count="4">
            <x v="160"/>
            <x v="161"/>
            <x v="162"/>
            <x v="163"/>
          </reference>
          <reference field="10" count="1" selected="0">
            <x v="154"/>
          </reference>
        </references>
      </pivotArea>
    </format>
    <format dxfId="4044">
      <pivotArea dataOnly="0" labelOnly="1" outline="0" fieldPosition="0">
        <references count="2">
          <reference field="2" count="2">
            <x v="486"/>
            <x v="564"/>
          </reference>
          <reference field="10" count="1" selected="0">
            <x v="155"/>
          </reference>
        </references>
      </pivotArea>
    </format>
    <format dxfId="4045">
      <pivotArea dataOnly="0" labelOnly="1" outline="0" fieldPosition="0">
        <references count="2">
          <reference field="2" count="1">
            <x v="295"/>
          </reference>
          <reference field="10" count="1" selected="0">
            <x v="158"/>
          </reference>
        </references>
      </pivotArea>
    </format>
    <format dxfId="4046">
      <pivotArea dataOnly="0" labelOnly="1" outline="0" fieldPosition="0">
        <references count="2">
          <reference field="2" count="4">
            <x v="62"/>
            <x v="102"/>
            <x v="418"/>
            <x v="607"/>
          </reference>
          <reference field="10" count="1" selected="0">
            <x v="159"/>
          </reference>
        </references>
      </pivotArea>
    </format>
    <format dxfId="4047">
      <pivotArea dataOnly="0" labelOnly="1" outline="0" fieldPosition="0">
        <references count="2">
          <reference field="2" count="1">
            <x v="99"/>
          </reference>
          <reference field="10" count="1" selected="0">
            <x v="162"/>
          </reference>
        </references>
      </pivotArea>
    </format>
    <format dxfId="4048">
      <pivotArea dataOnly="0" labelOnly="1" outline="0" fieldPosition="0">
        <references count="2">
          <reference field="2" count="1">
            <x v="568"/>
          </reference>
          <reference field="10" count="1" selected="0">
            <x v="163"/>
          </reference>
        </references>
      </pivotArea>
    </format>
    <format dxfId="4049">
      <pivotArea dataOnly="0" labelOnly="1" outline="0" fieldPosition="0">
        <references count="2">
          <reference field="2" count="1">
            <x v="569"/>
          </reference>
          <reference field="10" count="1" selected="0">
            <x v="164"/>
          </reference>
        </references>
      </pivotArea>
    </format>
    <format dxfId="4050">
      <pivotArea dataOnly="0" labelOnly="1" outline="0" fieldPosition="0">
        <references count="2">
          <reference field="2" count="1">
            <x v="218"/>
          </reference>
          <reference field="10" count="1" selected="0">
            <x v="165"/>
          </reference>
        </references>
      </pivotArea>
    </format>
    <format dxfId="4051">
      <pivotArea dataOnly="0" labelOnly="1" outline="0" fieldPosition="0">
        <references count="2">
          <reference field="2" count="2">
            <x v="338"/>
            <x v="339"/>
          </reference>
          <reference field="10" count="1" selected="0">
            <x v="167"/>
          </reference>
        </references>
      </pivotArea>
    </format>
    <format dxfId="4052">
      <pivotArea dataOnly="0" labelOnly="1" outline="0" fieldPosition="0">
        <references count="2">
          <reference field="2" count="1">
            <x v="49"/>
          </reference>
          <reference field="10" count="1" selected="0">
            <x v="169"/>
          </reference>
        </references>
      </pivotArea>
    </format>
    <format dxfId="4053">
      <pivotArea dataOnly="0" labelOnly="1" outline="0" fieldPosition="0">
        <references count="2">
          <reference field="2" count="2">
            <x v="398"/>
            <x v="654"/>
          </reference>
          <reference field="10" count="1" selected="0">
            <x v="171"/>
          </reference>
        </references>
      </pivotArea>
    </format>
    <format dxfId="4054">
      <pivotArea dataOnly="0" labelOnly="1" outline="0" fieldPosition="0">
        <references count="2">
          <reference field="2" count="3">
            <x v="531"/>
            <x v="532"/>
            <x v="533"/>
          </reference>
          <reference field="10" count="1" selected="0">
            <x v="173"/>
          </reference>
        </references>
      </pivotArea>
    </format>
    <format dxfId="4055">
      <pivotArea dataOnly="0" labelOnly="1" outline="0" fieldPosition="0">
        <references count="2">
          <reference field="2" count="1">
            <x v="26"/>
          </reference>
          <reference field="10" count="1" selected="0">
            <x v="175"/>
          </reference>
        </references>
      </pivotArea>
    </format>
    <format dxfId="4056">
      <pivotArea dataOnly="0" labelOnly="1" outline="0" fieldPosition="0">
        <references count="2">
          <reference field="2" count="3">
            <x v="93"/>
            <x v="94"/>
            <x v="95"/>
          </reference>
          <reference field="10" count="1" selected="0">
            <x v="176"/>
          </reference>
        </references>
      </pivotArea>
    </format>
    <format dxfId="4057">
      <pivotArea dataOnly="0" labelOnly="1" outline="0" fieldPosition="0">
        <references count="2">
          <reference field="2" count="2">
            <x v="225"/>
            <x v="443"/>
          </reference>
          <reference field="10" count="1" selected="0">
            <x v="177"/>
          </reference>
        </references>
      </pivotArea>
    </format>
    <format dxfId="4058">
      <pivotArea dataOnly="0" labelOnly="1" outline="0" fieldPosition="0">
        <references count="2">
          <reference field="2" count="1">
            <x v="386"/>
          </reference>
          <reference field="10" count="1" selected="0">
            <x v="180"/>
          </reference>
        </references>
      </pivotArea>
    </format>
    <format dxfId="4059">
      <pivotArea dataOnly="0" labelOnly="1" outline="0" fieldPosition="0">
        <references count="2">
          <reference field="2" count="1">
            <x v="517"/>
          </reference>
          <reference field="10" count="1" selected="0">
            <x v="181"/>
          </reference>
        </references>
      </pivotArea>
    </format>
    <format dxfId="4060">
      <pivotArea dataOnly="0" labelOnly="1" outline="0" fieldPosition="0">
        <references count="2">
          <reference field="2" count="1">
            <x v="513"/>
          </reference>
          <reference field="10" count="1" selected="0">
            <x v="183"/>
          </reference>
        </references>
      </pivotArea>
    </format>
    <format dxfId="4061">
      <pivotArea dataOnly="0" labelOnly="1" outline="0" fieldPosition="0">
        <references count="2">
          <reference field="2" count="6">
            <x v="289"/>
            <x v="290"/>
            <x v="521"/>
            <x v="522"/>
            <x v="523"/>
            <x v="530"/>
          </reference>
          <reference field="10" count="1" selected="0">
            <x v="184"/>
          </reference>
        </references>
      </pivotArea>
    </format>
    <format dxfId="4062">
      <pivotArea dataOnly="0" labelOnly="1" outline="0" fieldPosition="0">
        <references count="2">
          <reference field="2" count="2">
            <x v="291"/>
            <x v="520"/>
          </reference>
          <reference field="10" count="1" selected="0">
            <x v="185"/>
          </reference>
        </references>
      </pivotArea>
    </format>
    <format dxfId="4063">
      <pivotArea dataOnly="0" labelOnly="1" outline="0" fieldPosition="0">
        <references count="2">
          <reference field="2" count="1">
            <x v="87"/>
          </reference>
          <reference field="10" count="1" selected="0">
            <x v="186"/>
          </reference>
        </references>
      </pivotArea>
    </format>
    <format dxfId="4064">
      <pivotArea dataOnly="0" labelOnly="1" outline="0" fieldPosition="0">
        <references count="2">
          <reference field="2" count="1">
            <x v="197"/>
          </reference>
          <reference field="10" count="1" selected="0">
            <x v="188"/>
          </reference>
        </references>
      </pivotArea>
    </format>
    <format dxfId="4065">
      <pivotArea dataOnly="0" labelOnly="1" outline="0" fieldPosition="0">
        <references count="2">
          <reference field="2" count="1">
            <x v="204"/>
          </reference>
          <reference field="10" count="1" selected="0">
            <x v="189"/>
          </reference>
        </references>
      </pivotArea>
    </format>
    <format dxfId="4066">
      <pivotArea dataOnly="0" labelOnly="1" outline="0" fieldPosition="0">
        <references count="2">
          <reference field="2" count="3">
            <x v="4"/>
            <x v="111"/>
            <x v="512"/>
          </reference>
          <reference field="10" count="1" selected="0">
            <x v="190"/>
          </reference>
        </references>
      </pivotArea>
    </format>
    <format dxfId="4067">
      <pivotArea dataOnly="0" labelOnly="1" outline="0" fieldPosition="0">
        <references count="2">
          <reference field="2" count="2">
            <x v="287"/>
            <x v="592"/>
          </reference>
          <reference field="10" count="1" selected="0">
            <x v="191"/>
          </reference>
        </references>
      </pivotArea>
    </format>
    <format dxfId="4068">
      <pivotArea dataOnly="0" labelOnly="1" outline="0" fieldPosition="0">
        <references count="2">
          <reference field="2" count="2">
            <x v="29"/>
            <x v="519"/>
          </reference>
          <reference field="10" count="1" selected="0">
            <x v="192"/>
          </reference>
        </references>
      </pivotArea>
    </format>
    <format dxfId="4069">
      <pivotArea dataOnly="0" labelOnly="1" outline="0" fieldPosition="0">
        <references count="2">
          <reference field="2" count="1">
            <x v="656"/>
          </reference>
          <reference field="10" count="1" selected="0">
            <x v="194"/>
          </reference>
        </references>
      </pivotArea>
    </format>
    <format dxfId="4070">
      <pivotArea dataOnly="0" labelOnly="1" outline="0" fieldPosition="0">
        <references count="2">
          <reference field="2" count="1">
            <x v="557"/>
          </reference>
          <reference field="10" count="1" selected="0">
            <x v="195"/>
          </reference>
        </references>
      </pivotArea>
    </format>
    <format dxfId="4071">
      <pivotArea dataOnly="0" labelOnly="1" outline="0" fieldPosition="0">
        <references count="2">
          <reference field="2" count="2">
            <x v="257"/>
            <x v="264"/>
          </reference>
          <reference field="10" count="1" selected="0">
            <x v="196"/>
          </reference>
        </references>
      </pivotArea>
    </format>
    <format dxfId="4072">
      <pivotArea dataOnly="0" labelOnly="1" outline="0" fieldPosition="0">
        <references count="2">
          <reference field="2" count="1">
            <x v="500"/>
          </reference>
          <reference field="10" count="1" selected="0">
            <x v="197"/>
          </reference>
        </references>
      </pivotArea>
    </format>
    <format dxfId="4073">
      <pivotArea dataOnly="0" labelOnly="1" outline="0" fieldPosition="0">
        <references count="2">
          <reference field="2" count="1">
            <x v="316"/>
          </reference>
          <reference field="10" count="1" selected="0">
            <x v="199"/>
          </reference>
        </references>
      </pivotArea>
    </format>
    <format dxfId="4074">
      <pivotArea dataOnly="0" labelOnly="1" outline="0" fieldPosition="0">
        <references count="2">
          <reference field="2" count="1">
            <x v="306"/>
          </reference>
          <reference field="10" count="1" selected="0">
            <x v="200"/>
          </reference>
        </references>
      </pivotArea>
    </format>
    <format dxfId="4075">
      <pivotArea dataOnly="0" labelOnly="1" outline="0" fieldPosition="0">
        <references count="2">
          <reference field="2" count="1">
            <x v="164"/>
          </reference>
          <reference field="10" count="1" selected="0">
            <x v="202"/>
          </reference>
        </references>
      </pivotArea>
    </format>
    <format dxfId="4076">
      <pivotArea dataOnly="0" labelOnly="1" outline="0" fieldPosition="0">
        <references count="2">
          <reference field="2" count="1">
            <x v="468"/>
          </reference>
          <reference field="10" count="1" selected="0">
            <x v="204"/>
          </reference>
        </references>
      </pivotArea>
    </format>
    <format dxfId="4077">
      <pivotArea dataOnly="0" labelOnly="1" outline="0" fieldPosition="0">
        <references count="2">
          <reference field="2" count="1">
            <x v="601"/>
          </reference>
          <reference field="10" count="1" selected="0">
            <x v="206"/>
          </reference>
        </references>
      </pivotArea>
    </format>
    <format dxfId="4078">
      <pivotArea dataOnly="0" labelOnly="1" outline="0" fieldPosition="0">
        <references count="2">
          <reference field="2" count="1">
            <x v="611"/>
          </reference>
          <reference field="10" count="1" selected="0">
            <x v="207"/>
          </reference>
        </references>
      </pivotArea>
    </format>
    <format dxfId="4079">
      <pivotArea dataOnly="0" labelOnly="1" outline="0" fieldPosition="0">
        <references count="2">
          <reference field="2" count="1">
            <x v="55"/>
          </reference>
          <reference field="10" count="1" selected="0">
            <x v="208"/>
          </reference>
        </references>
      </pivotArea>
    </format>
    <format dxfId="4080">
      <pivotArea dataOnly="0" labelOnly="1" outline="0" fieldPosition="0">
        <references count="2">
          <reference field="2" count="3">
            <x v="454"/>
            <x v="549"/>
            <x v="645"/>
          </reference>
          <reference field="10" count="1" selected="0">
            <x v="211"/>
          </reference>
        </references>
      </pivotArea>
    </format>
    <format dxfId="4081">
      <pivotArea dataOnly="0" labelOnly="1" outline="0" fieldPosition="0">
        <references count="2">
          <reference field="2" count="4">
            <x v="317"/>
            <x v="318"/>
            <x v="319"/>
            <x v="320"/>
          </reference>
          <reference field="10" count="1" selected="0">
            <x v="213"/>
          </reference>
        </references>
      </pivotArea>
    </format>
    <format dxfId="4082">
      <pivotArea dataOnly="0" labelOnly="1" outline="0" fieldPosition="0">
        <references count="2">
          <reference field="2" count="1">
            <x v="16"/>
          </reference>
          <reference field="10" count="1" selected="0">
            <x v="214"/>
          </reference>
        </references>
      </pivotArea>
    </format>
    <format dxfId="4083">
      <pivotArea dataOnly="0" labelOnly="1" outline="0" fieldPosition="0">
        <references count="2">
          <reference field="2" count="1">
            <x v="665"/>
          </reference>
          <reference field="10" count="1" selected="0">
            <x v="215"/>
          </reference>
        </references>
      </pivotArea>
    </format>
    <format dxfId="4084">
      <pivotArea dataOnly="0" labelOnly="1" outline="0" fieldPosition="0">
        <references count="2">
          <reference field="2" count="1">
            <x v="68"/>
          </reference>
          <reference field="10" count="1" selected="0">
            <x v="216"/>
          </reference>
        </references>
      </pivotArea>
    </format>
    <format dxfId="4085">
      <pivotArea dataOnly="0" labelOnly="1" outline="0" fieldPosition="0">
        <references count="2">
          <reference field="2" count="2">
            <x v="350"/>
            <x v="427"/>
          </reference>
          <reference field="10" count="1" selected="0">
            <x v="217"/>
          </reference>
        </references>
      </pivotArea>
    </format>
    <format dxfId="4086">
      <pivotArea dataOnly="0" labelOnly="1" outline="0" fieldPosition="0">
        <references count="2">
          <reference field="2" count="4">
            <x v="186"/>
            <x v="187"/>
            <x v="353"/>
            <x v="525"/>
          </reference>
          <reference field="10" count="1" selected="0">
            <x v="219"/>
          </reference>
        </references>
      </pivotArea>
    </format>
    <format dxfId="4087">
      <pivotArea dataOnly="0" labelOnly="1" outline="0" fieldPosition="0">
        <references count="2">
          <reference field="2" count="1">
            <x v="86"/>
          </reference>
          <reference field="10" count="1" selected="0">
            <x v="220"/>
          </reference>
        </references>
      </pivotArea>
    </format>
    <format dxfId="4088">
      <pivotArea dataOnly="0" labelOnly="1" outline="0" fieldPosition="0">
        <references count="2">
          <reference field="2" count="1">
            <x v="286"/>
          </reference>
          <reference field="10" count="1" selected="0">
            <x v="221"/>
          </reference>
        </references>
      </pivotArea>
    </format>
    <format dxfId="4089">
      <pivotArea dataOnly="0" labelOnly="1" outline="0" fieldPosition="0">
        <references count="2">
          <reference field="2" count="1">
            <x v="538"/>
          </reference>
          <reference field="10" count="1" selected="0">
            <x v="222"/>
          </reference>
        </references>
      </pivotArea>
    </format>
    <format dxfId="4090">
      <pivotArea dataOnly="0" labelOnly="1" outline="0" fieldPosition="0">
        <references count="2">
          <reference field="2" count="2">
            <x v="648"/>
            <x v="649"/>
          </reference>
          <reference field="10" count="1" selected="0">
            <x v="225"/>
          </reference>
        </references>
      </pivotArea>
    </format>
    <format dxfId="4091">
      <pivotArea dataOnly="0" labelOnly="1" outline="0" fieldPosition="0">
        <references count="2">
          <reference field="2" count="2">
            <x v="89"/>
            <x v="101"/>
          </reference>
          <reference field="10" count="1" selected="0">
            <x v="226"/>
          </reference>
        </references>
      </pivotArea>
    </format>
    <format dxfId="4092">
      <pivotArea dataOnly="0" labelOnly="1" outline="0" fieldPosition="0">
        <references count="2">
          <reference field="2" count="1">
            <x v="423"/>
          </reference>
          <reference field="10" count="1" selected="0">
            <x v="227"/>
          </reference>
        </references>
      </pivotArea>
    </format>
    <format dxfId="4093">
      <pivotArea dataOnly="0" labelOnly="1" outline="0" fieldPosition="0">
        <references count="2">
          <reference field="2" count="1">
            <x v="45"/>
          </reference>
          <reference field="10" count="1" selected="0">
            <x v="228"/>
          </reference>
        </references>
      </pivotArea>
    </format>
    <format dxfId="4094">
      <pivotArea dataOnly="0" labelOnly="1" outline="0" fieldPosition="0">
        <references count="2">
          <reference field="2" count="1">
            <x v="189"/>
          </reference>
          <reference field="10" count="1" selected="0">
            <x v="230"/>
          </reference>
        </references>
      </pivotArea>
    </format>
    <format dxfId="4095">
      <pivotArea dataOnly="0" labelOnly="1" outline="0" fieldPosition="0">
        <references count="2">
          <reference field="2" count="1">
            <x v="551"/>
          </reference>
          <reference field="10" count="1" selected="0">
            <x v="232"/>
          </reference>
        </references>
      </pivotArea>
    </format>
    <format dxfId="4096">
      <pivotArea dataOnly="0" labelOnly="1" outline="0" fieldPosition="0">
        <references count="2">
          <reference field="2" count="2">
            <x v="184"/>
            <x v="236"/>
          </reference>
          <reference field="10" count="1" selected="0">
            <x v="235"/>
          </reference>
        </references>
      </pivotArea>
    </format>
    <format dxfId="4097">
      <pivotArea dataOnly="0" labelOnly="1" outline="0" fieldPosition="0">
        <references count="2">
          <reference field="2" count="1">
            <x v="424"/>
          </reference>
          <reference field="10" count="1" selected="0">
            <x v="236"/>
          </reference>
        </references>
      </pivotArea>
    </format>
    <format dxfId="4098">
      <pivotArea dataOnly="0" labelOnly="1" outline="0" fieldPosition="0">
        <references count="2">
          <reference field="2" count="1">
            <x v="179"/>
          </reference>
          <reference field="10" count="1" selected="0">
            <x v="237"/>
          </reference>
        </references>
      </pivotArea>
    </format>
    <format dxfId="4099">
      <pivotArea dataOnly="0" labelOnly="1" outline="0" fieldPosition="0">
        <references count="2">
          <reference field="2" count="1">
            <x v="356"/>
          </reference>
          <reference field="10" count="1" selected="0">
            <x v="238"/>
          </reference>
        </references>
      </pivotArea>
    </format>
    <format dxfId="4100">
      <pivotArea dataOnly="0" labelOnly="1" outline="0" fieldPosition="0">
        <references count="2">
          <reference field="2" count="1">
            <x v="435"/>
          </reference>
          <reference field="10" count="1" selected="0">
            <x v="239"/>
          </reference>
        </references>
      </pivotArea>
    </format>
    <format dxfId="4101">
      <pivotArea dataOnly="0" labelOnly="1" outline="0" fieldPosition="0">
        <references count="2">
          <reference field="2" count="1">
            <x v="271"/>
          </reference>
          <reference field="10" count="1" selected="0">
            <x v="242"/>
          </reference>
        </references>
      </pivotArea>
    </format>
    <format dxfId="4102">
      <pivotArea dataOnly="0" labelOnly="1" outline="0" fieldPosition="0">
        <references count="2">
          <reference field="2" count="2">
            <x v="253"/>
            <x v="554"/>
          </reference>
          <reference field="10" count="1" selected="0">
            <x v="243"/>
          </reference>
        </references>
      </pivotArea>
    </format>
    <format dxfId="4103">
      <pivotArea dataOnly="0" labelOnly="1" outline="0" fieldPosition="0">
        <references count="2">
          <reference field="2" count="2">
            <x v="335"/>
            <x v="498"/>
          </reference>
          <reference field="10" count="1" selected="0">
            <x v="244"/>
          </reference>
        </references>
      </pivotArea>
    </format>
    <format dxfId="4104">
      <pivotArea dataOnly="0" labelOnly="1" outline="0" fieldPosition="0">
        <references count="2">
          <reference field="2" count="1">
            <x v="206"/>
          </reference>
          <reference field="10" count="1" selected="0">
            <x v="245"/>
          </reference>
        </references>
      </pivotArea>
    </format>
    <format dxfId="4105">
      <pivotArea dataOnly="0" labelOnly="1" outline="0" fieldPosition="0">
        <references count="2">
          <reference field="2" count="1">
            <x v="571"/>
          </reference>
          <reference field="10" count="1" selected="0">
            <x v="246"/>
          </reference>
        </references>
      </pivotArea>
    </format>
    <format dxfId="4106">
      <pivotArea dataOnly="0" labelOnly="1" outline="0" fieldPosition="0">
        <references count="2">
          <reference field="2" count="1">
            <x v="660"/>
          </reference>
          <reference field="10" count="1" selected="0">
            <x v="248"/>
          </reference>
        </references>
      </pivotArea>
    </format>
    <format dxfId="4107">
      <pivotArea dataOnly="0" labelOnly="1" outline="0" fieldPosition="0">
        <references count="2">
          <reference field="2" count="1">
            <x v="36"/>
          </reference>
          <reference field="10" count="1" selected="0">
            <x v="249"/>
          </reference>
        </references>
      </pivotArea>
    </format>
    <format dxfId="4108">
      <pivotArea dataOnly="0" labelOnly="1" outline="0" fieldPosition="0">
        <references count="2">
          <reference field="2" count="1">
            <x v="43"/>
          </reference>
          <reference field="10" count="1" selected="0">
            <x v="250"/>
          </reference>
        </references>
      </pivotArea>
    </format>
    <format dxfId="4109">
      <pivotArea dataOnly="0" labelOnly="1" outline="0" fieldPosition="0">
        <references count="2">
          <reference field="2" count="1">
            <x v="461"/>
          </reference>
          <reference field="10" count="1" selected="0">
            <x v="251"/>
          </reference>
        </references>
      </pivotArea>
    </format>
    <format dxfId="4110">
      <pivotArea dataOnly="0" labelOnly="1" outline="0" fieldPosition="0">
        <references count="2">
          <reference field="2" count="1">
            <x v="460"/>
          </reference>
          <reference field="10" count="1" selected="0">
            <x v="252"/>
          </reference>
        </references>
      </pivotArea>
    </format>
    <format dxfId="4111">
      <pivotArea dataOnly="0" labelOnly="1" outline="0" fieldPosition="0">
        <references count="2">
          <reference field="2" count="3">
            <x v="121"/>
            <x v="122"/>
            <x v="128"/>
          </reference>
          <reference field="10" count="1" selected="0">
            <x v="253"/>
          </reference>
        </references>
      </pivotArea>
    </format>
    <format dxfId="4112">
      <pivotArea dataOnly="0" labelOnly="1" outline="0" fieldPosition="0">
        <references count="2">
          <reference field="2" count="1">
            <x v="267"/>
          </reference>
          <reference field="10" count="1" selected="0">
            <x v="256"/>
          </reference>
        </references>
      </pivotArea>
    </format>
    <format dxfId="4113">
      <pivotArea dataOnly="0" labelOnly="1" outline="0" fieldPosition="0">
        <references count="2">
          <reference field="2" count="5">
            <x v="273"/>
            <x v="274"/>
            <x v="275"/>
            <x v="276"/>
            <x v="419"/>
          </reference>
          <reference field="10" count="1" selected="0">
            <x v="257"/>
          </reference>
        </references>
      </pivotArea>
    </format>
    <format dxfId="4114">
      <pivotArea dataOnly="0" labelOnly="1" outline="0" fieldPosition="0">
        <references count="2">
          <reference field="2" count="1">
            <x v="150"/>
          </reference>
          <reference field="10" count="1" selected="0">
            <x v="258"/>
          </reference>
        </references>
      </pivotArea>
    </format>
    <format dxfId="4115">
      <pivotArea dataOnly="0" labelOnly="1" outline="0" fieldPosition="0">
        <references count="2">
          <reference field="2" count="1">
            <x v="370"/>
          </reference>
          <reference field="10" count="1" selected="0">
            <x v="259"/>
          </reference>
        </references>
      </pivotArea>
    </format>
    <format dxfId="4116">
      <pivotArea dataOnly="0" labelOnly="1" outline="0" fieldPosition="0">
        <references count="2">
          <reference field="2" count="1">
            <x v="363"/>
          </reference>
          <reference field="10" count="1" selected="0">
            <x v="261"/>
          </reference>
        </references>
      </pivotArea>
    </format>
    <format dxfId="4117">
      <pivotArea dataOnly="0" labelOnly="1" outline="0" fieldPosition="0">
        <references count="2">
          <reference field="2" count="2">
            <x v="33"/>
            <x v="123"/>
          </reference>
          <reference field="10" count="1" selected="0">
            <x v="262"/>
          </reference>
        </references>
      </pivotArea>
    </format>
    <format dxfId="4118">
      <pivotArea dataOnly="0" labelOnly="1" outline="0" fieldPosition="0">
        <references count="2">
          <reference field="2" count="3">
            <x v="10"/>
            <x v="11"/>
            <x v="238"/>
          </reference>
          <reference field="10" count="1" selected="0">
            <x v="265"/>
          </reference>
        </references>
      </pivotArea>
    </format>
    <format dxfId="4119">
      <pivotArea dataOnly="0" labelOnly="1" outline="0" fieldPosition="0">
        <references count="2">
          <reference field="2" count="1">
            <x v="100"/>
          </reference>
          <reference field="10" count="1" selected="0">
            <x v="266"/>
          </reference>
        </references>
      </pivotArea>
    </format>
    <format dxfId="4120">
      <pivotArea dataOnly="0" labelOnly="1" outline="0" fieldPosition="0">
        <references count="2">
          <reference field="2" count="3">
            <x v="181"/>
            <x v="182"/>
            <x v="183"/>
          </reference>
          <reference field="10" count="1" selected="0">
            <x v="268"/>
          </reference>
        </references>
      </pivotArea>
    </format>
    <format dxfId="4121">
      <pivotArea dataOnly="0" labelOnly="1" outline="0" fieldPosition="0">
        <references count="2">
          <reference field="2" count="1">
            <x v="420"/>
          </reference>
          <reference field="10" count="1" selected="0">
            <x v="269"/>
          </reference>
        </references>
      </pivotArea>
    </format>
    <format dxfId="4122">
      <pivotArea dataOnly="0" labelOnly="1" outline="0" fieldPosition="0">
        <references count="2">
          <reference field="2" count="1">
            <x v="414"/>
          </reference>
          <reference field="10" count="1" selected="0">
            <x v="270"/>
          </reference>
        </references>
      </pivotArea>
    </format>
    <format dxfId="4123">
      <pivotArea dataOnly="0" labelOnly="1" outline="0" fieldPosition="0">
        <references count="2">
          <reference field="2" count="2">
            <x v="572"/>
            <x v="573"/>
          </reference>
          <reference field="10" count="1" selected="0">
            <x v="271"/>
          </reference>
        </references>
      </pivotArea>
    </format>
    <format dxfId="4124">
      <pivotArea dataOnly="0" labelOnly="1" outline="0" fieldPosition="0">
        <references count="2">
          <reference field="2" count="2">
            <x v="490"/>
            <x v="627"/>
          </reference>
          <reference field="10" count="1" selected="0">
            <x v="272"/>
          </reference>
        </references>
      </pivotArea>
    </format>
    <format dxfId="4125">
      <pivotArea dataOnly="0" labelOnly="1" outline="0" fieldPosition="0">
        <references count="2">
          <reference field="2" count="3">
            <x v="321"/>
            <x v="613"/>
            <x v="616"/>
          </reference>
          <reference field="10" count="1" selected="0">
            <x v="273"/>
          </reference>
        </references>
      </pivotArea>
    </format>
    <format dxfId="4126">
      <pivotArea dataOnly="0" labelOnly="1" outline="0" fieldPosition="0">
        <references count="2">
          <reference field="2" count="1">
            <x v="615"/>
          </reference>
          <reference field="10" count="1" selected="0">
            <x v="274"/>
          </reference>
        </references>
      </pivotArea>
    </format>
    <format dxfId="4127">
      <pivotArea dataOnly="0" labelOnly="1" outline="0" fieldPosition="0">
        <references count="2">
          <reference field="2" count="1">
            <x v="609"/>
          </reference>
          <reference field="10" count="1" selected="0">
            <x v="275"/>
          </reference>
        </references>
      </pivotArea>
    </format>
    <format dxfId="4128">
      <pivotArea dataOnly="0" labelOnly="1" outline="0" fieldPosition="0">
        <references count="2">
          <reference field="2" count="1">
            <x v="524"/>
          </reference>
          <reference field="10" count="1" selected="0">
            <x v="276"/>
          </reference>
        </references>
      </pivotArea>
    </format>
    <format dxfId="4129">
      <pivotArea dataOnly="0" labelOnly="1" outline="0" fieldPosition="0">
        <references count="2">
          <reference field="2" count="3">
            <x v="125"/>
            <x v="126"/>
            <x v="127"/>
          </reference>
          <reference field="10" count="1" selected="0">
            <x v="277"/>
          </reference>
        </references>
      </pivotArea>
    </format>
    <format dxfId="4130">
      <pivotArea dataOnly="0" labelOnly="1" outline="0" fieldPosition="0">
        <references count="2">
          <reference field="2" count="2">
            <x v="259"/>
            <x v="260"/>
          </reference>
          <reference field="10" count="1" selected="0">
            <x v="278"/>
          </reference>
        </references>
      </pivotArea>
    </format>
    <format dxfId="4131">
      <pivotArea dataOnly="0" labelOnly="1" outline="0" fieldPosition="0">
        <references count="2">
          <reference field="2" count="2">
            <x v="5"/>
            <x v="195"/>
          </reference>
          <reference field="10" count="1" selected="0">
            <x v="279"/>
          </reference>
        </references>
      </pivotArea>
    </format>
    <format dxfId="4132">
      <pivotArea dataOnly="0" labelOnly="1" outline="0" fieldPosition="0">
        <references count="2">
          <reference field="2" count="2">
            <x v="151"/>
            <x v="152"/>
          </reference>
          <reference field="10" count="1" selected="0">
            <x v="280"/>
          </reference>
        </references>
      </pivotArea>
    </format>
    <format dxfId="4133">
      <pivotArea dataOnly="0" labelOnly="1" outline="0" fieldPosition="0">
        <references count="2">
          <reference field="2" count="1">
            <x v="470"/>
          </reference>
          <reference field="10" count="1" selected="0">
            <x v="281"/>
          </reference>
        </references>
      </pivotArea>
    </format>
    <format dxfId="4134">
      <pivotArea dataOnly="0" labelOnly="1" outline="0" fieldPosition="0">
        <references count="2">
          <reference field="2" count="1">
            <x v="590"/>
          </reference>
          <reference field="10" count="1" selected="0">
            <x v="282"/>
          </reference>
        </references>
      </pivotArea>
    </format>
    <format dxfId="4135">
      <pivotArea dataOnly="0" labelOnly="1" outline="0" fieldPosition="0">
        <references count="2">
          <reference field="2" count="1">
            <x v="63"/>
          </reference>
          <reference field="10" count="1" selected="0">
            <x v="283"/>
          </reference>
        </references>
      </pivotArea>
    </format>
    <format dxfId="4136">
      <pivotArea dataOnly="0" labelOnly="1" outline="0" fieldPosition="0">
        <references count="2">
          <reference field="2" count="1">
            <x v="402"/>
          </reference>
          <reference field="10" count="1" selected="0">
            <x v="284"/>
          </reference>
        </references>
      </pivotArea>
    </format>
    <format dxfId="4137">
      <pivotArea dataOnly="0" labelOnly="1" outline="0" fieldPosition="0">
        <references count="2">
          <reference field="2" count="1">
            <x v="119"/>
          </reference>
          <reference field="10" count="1" selected="0">
            <x v="287"/>
          </reference>
        </references>
      </pivotArea>
    </format>
    <format dxfId="4138">
      <pivotArea dataOnly="0" labelOnly="1" outline="0" fieldPosition="0">
        <references count="2">
          <reference field="2" count="1">
            <x v="56"/>
          </reference>
          <reference field="10" count="1" selected="0">
            <x v="289"/>
          </reference>
        </references>
      </pivotArea>
    </format>
    <format dxfId="4139">
      <pivotArea dataOnly="0" labelOnly="1" outline="0" fieldPosition="0">
        <references count="2">
          <reference field="2" count="1">
            <x v="209"/>
          </reference>
          <reference field="10" count="1" selected="0">
            <x v="290"/>
          </reference>
        </references>
      </pivotArea>
    </format>
    <format dxfId="4140">
      <pivotArea dataOnly="0" labelOnly="1" outline="0" fieldPosition="0">
        <references count="2">
          <reference field="2" count="1">
            <x v="194"/>
          </reference>
          <reference field="10" count="1" selected="0">
            <x v="291"/>
          </reference>
        </references>
      </pivotArea>
    </format>
    <format dxfId="4141">
      <pivotArea dataOnly="0" labelOnly="1" outline="0" fieldPosition="0">
        <references count="2">
          <reference field="2" count="1">
            <x v="610"/>
          </reference>
          <reference field="10" count="1" selected="0">
            <x v="292"/>
          </reference>
        </references>
      </pivotArea>
    </format>
    <format dxfId="4142">
      <pivotArea dataOnly="0" labelOnly="1" outline="0" fieldPosition="0">
        <references count="2">
          <reference field="2" count="1">
            <x v="603"/>
          </reference>
          <reference field="10" count="1" selected="0">
            <x v="293"/>
          </reference>
        </references>
      </pivotArea>
    </format>
    <format dxfId="4143">
      <pivotArea dataOnly="0" labelOnly="1" outline="0" fieldPosition="0">
        <references count="2">
          <reference field="2" count="3">
            <x v="202"/>
            <x v="203"/>
            <x v="497"/>
          </reference>
          <reference field="10" count="1" selected="0">
            <x v="294"/>
          </reference>
        </references>
      </pivotArea>
    </format>
    <format dxfId="4144">
      <pivotArea dataOnly="0" labelOnly="1" outline="0" fieldPosition="0">
        <references count="2">
          <reference field="2" count="1">
            <x v="390"/>
          </reference>
          <reference field="10" count="1" selected="0">
            <x v="295"/>
          </reference>
        </references>
      </pivotArea>
    </format>
    <format dxfId="4145">
      <pivotArea dataOnly="0" labelOnly="1" outline="0" fieldPosition="0">
        <references count="2">
          <reference field="2" count="1">
            <x v="646"/>
          </reference>
          <reference field="10" count="1" selected="0">
            <x v="296"/>
          </reference>
        </references>
      </pivotArea>
    </format>
    <format dxfId="4146">
      <pivotArea dataOnly="0" labelOnly="1" outline="0" fieldPosition="0">
        <references count="2">
          <reference field="2" count="1">
            <x v="261"/>
          </reference>
          <reference field="10" count="1" selected="0">
            <x v="297"/>
          </reference>
        </references>
      </pivotArea>
    </format>
    <format dxfId="4147">
      <pivotArea dataOnly="0" labelOnly="1" outline="0" fieldPosition="0">
        <references count="2">
          <reference field="2" count="6">
            <x v="110"/>
            <x v="201"/>
            <x v="362"/>
            <x v="495"/>
            <x v="496"/>
            <x v="657"/>
          </reference>
          <reference field="10" count="1" selected="0">
            <x v="298"/>
          </reference>
        </references>
      </pivotArea>
    </format>
    <format dxfId="4148">
      <pivotArea dataOnly="0" labelOnly="1" outline="0" fieldPosition="0">
        <references count="2">
          <reference field="2" count="1">
            <x v="638"/>
          </reference>
          <reference field="10" count="1" selected="0">
            <x v="299"/>
          </reference>
        </references>
      </pivotArea>
    </format>
    <format dxfId="4149">
      <pivotArea dataOnly="0" labelOnly="1" outline="0" fieldPosition="0">
        <references count="2">
          <reference field="2" count="2">
            <x v="212"/>
            <x v="213"/>
          </reference>
          <reference field="10" count="1" selected="0">
            <x v="300"/>
          </reference>
        </references>
      </pivotArea>
    </format>
    <format dxfId="4150">
      <pivotArea dataOnly="0" labelOnly="1" outline="0" fieldPosition="0">
        <references count="2">
          <reference field="2" count="1">
            <x v="644"/>
          </reference>
          <reference field="10" count="1" selected="0">
            <x v="301"/>
          </reference>
        </references>
      </pivotArea>
    </format>
    <format dxfId="4151">
      <pivotArea dataOnly="0" labelOnly="1" outline="0" fieldPosition="0">
        <references count="2">
          <reference field="2" count="1">
            <x v="109"/>
          </reference>
          <reference field="10" count="1" selected="0">
            <x v="303"/>
          </reference>
        </references>
      </pivotArea>
    </format>
    <format dxfId="4152">
      <pivotArea dataOnly="0" labelOnly="1" outline="0" fieldPosition="0">
        <references count="2">
          <reference field="2" count="2">
            <x v="342"/>
            <x v="553"/>
          </reference>
          <reference field="10" count="1" selected="0">
            <x v="304"/>
          </reference>
        </references>
      </pivotArea>
    </format>
    <format dxfId="4153">
      <pivotArea dataOnly="0" labelOnly="1" outline="0" fieldPosition="0">
        <references count="2">
          <reference field="2" count="2">
            <x v="619"/>
            <x v="620"/>
          </reference>
          <reference field="10" count="1" selected="0">
            <x v="305"/>
          </reference>
        </references>
      </pivotArea>
    </format>
    <format dxfId="4154">
      <pivotArea dataOnly="0" labelOnly="1" outline="0" fieldPosition="0">
        <references count="2">
          <reference field="2" count="1">
            <x v="445"/>
          </reference>
          <reference field="10" count="1" selected="0">
            <x v="306"/>
          </reference>
        </references>
      </pivotArea>
    </format>
    <format dxfId="4155">
      <pivotArea dataOnly="0" labelOnly="1" outline="0" fieldPosition="0">
        <references count="2">
          <reference field="2" count="1">
            <x v="282"/>
          </reference>
          <reference field="10" count="1" selected="0">
            <x v="307"/>
          </reference>
        </references>
      </pivotArea>
    </format>
    <format dxfId="4156">
      <pivotArea dataOnly="0" labelOnly="1" outline="0" fieldPosition="0">
        <references count="2">
          <reference field="2" count="6">
            <x v="97"/>
            <x v="115"/>
            <x v="116"/>
            <x v="440"/>
            <x v="480"/>
            <x v="668"/>
          </reference>
          <reference field="10" count="1" selected="0">
            <x v="309"/>
          </reference>
        </references>
      </pivotArea>
    </format>
    <format dxfId="4157">
      <pivotArea dataOnly="0" labelOnly="1" outline="0" fieldPosition="0">
        <references count="2">
          <reference field="2" count="3">
            <x v="118"/>
            <x v="369"/>
            <x v="372"/>
          </reference>
          <reference field="10" count="1" selected="0">
            <x v="311"/>
          </reference>
        </references>
      </pivotArea>
    </format>
    <format dxfId="4158">
      <pivotArea dataOnly="0" labelOnly="1" outline="0" fieldPosition="0">
        <references count="2">
          <reference field="2" count="1">
            <x v="278"/>
          </reference>
          <reference field="10" count="1" selected="0">
            <x v="314"/>
          </reference>
        </references>
      </pivotArea>
    </format>
    <format dxfId="4159">
      <pivotArea dataOnly="0" labelOnly="1" outline="0" fieldPosition="0">
        <references count="2">
          <reference field="2" count="1">
            <x v="268"/>
          </reference>
          <reference field="10" count="1" selected="0">
            <x v="315"/>
          </reference>
        </references>
      </pivotArea>
    </format>
    <format dxfId="4160">
      <pivotArea dataOnly="0" labelOnly="1" outline="0" fieldPosition="0">
        <references count="2">
          <reference field="2" count="1">
            <x v="92"/>
          </reference>
          <reference field="10" count="1" selected="0">
            <x v="317"/>
          </reference>
        </references>
      </pivotArea>
    </format>
    <format dxfId="4161">
      <pivotArea dataOnly="0" labelOnly="1" outline="0" fieldPosition="0">
        <references count="2">
          <reference field="2" count="1">
            <x v="61"/>
          </reference>
          <reference field="10" count="1" selected="0">
            <x v="318"/>
          </reference>
        </references>
      </pivotArea>
    </format>
    <format dxfId="4162">
      <pivotArea dataOnly="0" labelOnly="1" outline="0" fieldPosition="0">
        <references count="2">
          <reference field="2" count="1">
            <x v="21"/>
          </reference>
          <reference field="10" count="1" selected="0">
            <x v="319"/>
          </reference>
        </references>
      </pivotArea>
    </format>
    <format dxfId="4163">
      <pivotArea dataOnly="0" labelOnly="1" outline="0" fieldPosition="0">
        <references count="2">
          <reference field="2" count="1">
            <x v="630"/>
          </reference>
          <reference field="10" count="1" selected="0">
            <x v="320"/>
          </reference>
        </references>
      </pivotArea>
    </format>
    <format dxfId="4164">
      <pivotArea dataOnly="0" labelOnly="1" outline="0" fieldPosition="0">
        <references count="2">
          <reference field="2" count="2">
            <x v="232"/>
            <x v="244"/>
          </reference>
          <reference field="10" count="1" selected="0">
            <x v="321"/>
          </reference>
        </references>
      </pivotArea>
    </format>
    <format dxfId="4165">
      <pivotArea dataOnly="0" labelOnly="1" outline="0" fieldPosition="0">
        <references count="2">
          <reference field="2" count="1">
            <x v="412"/>
          </reference>
          <reference field="10" count="1" selected="0">
            <x v="322"/>
          </reference>
        </references>
      </pivotArea>
    </format>
    <format dxfId="4166">
      <pivotArea dataOnly="0" labelOnly="1" outline="0" fieldPosition="0">
        <references count="2">
          <reference field="2" count="3">
            <x v="347"/>
            <x v="430"/>
            <x v="431"/>
          </reference>
          <reference field="10" count="1" selected="0">
            <x v="325"/>
          </reference>
        </references>
      </pivotArea>
    </format>
    <format dxfId="4167">
      <pivotArea dataOnly="0" labelOnly="1" outline="0" fieldPosition="0">
        <references count="2">
          <reference field="2" count="1">
            <x v="340"/>
          </reference>
          <reference field="10" count="1" selected="0">
            <x v="326"/>
          </reference>
        </references>
      </pivotArea>
    </format>
    <format dxfId="4168">
      <pivotArea dataOnly="0" labelOnly="1" outline="0" fieldPosition="0">
        <references count="2">
          <reference field="2" count="1">
            <x v="227"/>
          </reference>
          <reference field="10" count="1" selected="0">
            <x v="327"/>
          </reference>
        </references>
      </pivotArea>
    </format>
    <format dxfId="4169">
      <pivotArea dataOnly="0" labelOnly="1" outline="0" fieldPosition="0">
        <references count="2">
          <reference field="2" count="1">
            <x v="81"/>
          </reference>
          <reference field="10" count="1" selected="0">
            <x v="328"/>
          </reference>
        </references>
      </pivotArea>
    </format>
    <format dxfId="4170">
      <pivotArea dataOnly="0" labelOnly="1" outline="0" fieldPosition="0">
        <references count="2">
          <reference field="2" count="1">
            <x v="22"/>
          </reference>
          <reference field="10" count="1" selected="0">
            <x v="329"/>
          </reference>
        </references>
      </pivotArea>
    </format>
    <format dxfId="4171">
      <pivotArea dataOnly="0" labelOnly="1" outline="0" fieldPosition="0">
        <references count="2">
          <reference field="2" count="1">
            <x v="552"/>
          </reference>
          <reference field="10" count="1" selected="0">
            <x v="330"/>
          </reference>
        </references>
      </pivotArea>
    </format>
    <format dxfId="4172">
      <pivotArea dataOnly="0" labelOnly="1" outline="0" fieldPosition="0">
        <references count="2">
          <reference field="2" count="1">
            <x v="433"/>
          </reference>
          <reference field="10" count="1" selected="0">
            <x v="331"/>
          </reference>
        </references>
      </pivotArea>
    </format>
    <format dxfId="4173">
      <pivotArea dataOnly="0" labelOnly="1" outline="0" fieldPosition="0">
        <references count="2">
          <reference field="2" count="2">
            <x v="284"/>
            <x v="336"/>
          </reference>
          <reference field="10" count="1" selected="0">
            <x v="332"/>
          </reference>
        </references>
      </pivotArea>
    </format>
    <format dxfId="4174">
      <pivotArea dataOnly="0" labelOnly="1" outline="0" fieldPosition="0">
        <references count="2">
          <reference field="2" count="2">
            <x v="214"/>
            <x v="432"/>
          </reference>
          <reference field="10" count="1" selected="0">
            <x v="333"/>
          </reference>
        </references>
      </pivotArea>
    </format>
    <format dxfId="4175">
      <pivotArea dataOnly="0" labelOnly="1" outline="0" fieldPosition="0">
        <references count="2">
          <reference field="2" count="2">
            <x v="79"/>
            <x v="80"/>
          </reference>
          <reference field="10" count="1" selected="0">
            <x v="334"/>
          </reference>
        </references>
      </pivotArea>
    </format>
    <format dxfId="4176">
      <pivotArea dataOnly="0" labelOnly="1" outline="0" fieldPosition="0">
        <references count="2">
          <reference field="2" count="1">
            <x v="600"/>
          </reference>
          <reference field="10" count="1" selected="0">
            <x v="335"/>
          </reference>
        </references>
      </pivotArea>
    </format>
    <format dxfId="4177">
      <pivotArea dataOnly="0" labelOnly="1" outline="0" fieldPosition="0">
        <references count="2">
          <reference field="2" count="3">
            <x v="237"/>
            <x v="467"/>
            <x v="606"/>
          </reference>
          <reference field="10" count="1" selected="0">
            <x v="337"/>
          </reference>
        </references>
      </pivotArea>
    </format>
    <format dxfId="4178">
      <pivotArea dataOnly="0" labelOnly="1" outline="0" fieldPosition="0">
        <references count="2">
          <reference field="2" count="1">
            <x v="249"/>
          </reference>
          <reference field="10" count="1" selected="0">
            <x v="340"/>
          </reference>
        </references>
      </pivotArea>
    </format>
    <format dxfId="4179">
      <pivotArea dataOnly="0" labelOnly="1" outline="0" fieldPosition="0">
        <references count="2">
          <reference field="2" count="1">
            <x v="247"/>
          </reference>
          <reference field="10" count="1" selected="0">
            <x v="342"/>
          </reference>
        </references>
      </pivotArea>
    </format>
    <format dxfId="4180">
      <pivotArea dataOnly="0" labelOnly="1" outline="0" fieldPosition="0">
        <references count="2">
          <reference field="2" count="1">
            <x v="329"/>
          </reference>
          <reference field="10" count="1" selected="0">
            <x v="343"/>
          </reference>
        </references>
      </pivotArea>
    </format>
    <format dxfId="4181">
      <pivotArea dataOnly="0" labelOnly="1" outline="0" fieldPosition="0">
        <references count="2">
          <reference field="2" count="1">
            <x v="193"/>
          </reference>
          <reference field="10" count="1" selected="0">
            <x v="344"/>
          </reference>
        </references>
      </pivotArea>
    </format>
    <format dxfId="4182">
      <pivotArea dataOnly="0" labelOnly="1" outline="0" fieldPosition="0">
        <references count="2">
          <reference field="2" count="4">
            <x v="13"/>
            <x v="385"/>
            <x v="546"/>
            <x v="547"/>
          </reference>
          <reference field="10" count="1" selected="0">
            <x v="345"/>
          </reference>
        </references>
      </pivotArea>
    </format>
    <format dxfId="4183">
      <pivotArea dataOnly="0" labelOnly="1" outline="0" fieldPosition="0">
        <references count="2">
          <reference field="2" count="1">
            <x v="153"/>
          </reference>
          <reference field="10" count="1" selected="0">
            <x v="346"/>
          </reference>
        </references>
      </pivotArea>
    </format>
    <format dxfId="4184">
      <pivotArea dataOnly="0" labelOnly="1" outline="0" fieldPosition="0">
        <references count="2">
          <reference field="2" count="1">
            <x v="250"/>
          </reference>
          <reference field="10" count="1" selected="0">
            <x v="351"/>
          </reference>
        </references>
      </pivotArea>
    </format>
    <format dxfId="4185">
      <pivotArea dataOnly="0" labelOnly="1" outline="0" fieldPosition="0">
        <references count="2">
          <reference field="2" count="1">
            <x v="42"/>
          </reference>
          <reference field="10" count="1" selected="0">
            <x v="352"/>
          </reference>
        </references>
      </pivotArea>
    </format>
    <format dxfId="4186">
      <pivotArea dataOnly="0" labelOnly="1" outline="0" fieldPosition="0">
        <references count="2">
          <reference field="2" count="1">
            <x v="417"/>
          </reference>
          <reference field="10" count="1" selected="0">
            <x v="353"/>
          </reference>
        </references>
      </pivotArea>
    </format>
    <format dxfId="4187">
      <pivotArea dataOnly="0" labelOnly="1" outline="0" fieldPosition="0">
        <references count="2">
          <reference field="2" count="1">
            <x v="24"/>
          </reference>
          <reference field="10" count="1" selected="0">
            <x v="355"/>
          </reference>
        </references>
      </pivotArea>
    </format>
    <format dxfId="4188">
      <pivotArea dataOnly="0" labelOnly="1" outline="0" fieldPosition="0">
        <references count="2">
          <reference field="2" count="1">
            <x v="90"/>
          </reference>
          <reference field="10" count="1" selected="0">
            <x v="356"/>
          </reference>
        </references>
      </pivotArea>
    </format>
    <format dxfId="4189">
      <pivotArea dataOnly="0" labelOnly="1" outline="0" fieldPosition="0">
        <references count="2">
          <reference field="2" count="4">
            <x v="355"/>
            <x v="455"/>
            <x v="473"/>
            <x v="477"/>
          </reference>
          <reference field="10" count="1" selected="0">
            <x v="357"/>
          </reference>
        </references>
      </pivotArea>
    </format>
    <format dxfId="4190">
      <pivotArea dataOnly="0" labelOnly="1" outline="0" fieldPosition="0">
        <references count="2">
          <reference field="2" count="1">
            <x v="288"/>
          </reference>
          <reference field="10" count="1" selected="0">
            <x v="358"/>
          </reference>
        </references>
      </pivotArea>
    </format>
    <format dxfId="4191">
      <pivotArea dataOnly="0" labelOnly="1" outline="0" fieldPosition="0">
        <references count="2">
          <reference field="2" count="1">
            <x v="173"/>
          </reference>
          <reference field="10" count="1" selected="0">
            <x v="359"/>
          </reference>
        </references>
      </pivotArea>
    </format>
    <format dxfId="4192">
      <pivotArea dataOnly="0" labelOnly="1" outline="0" fieldPosition="0">
        <references count="2">
          <reference field="2" count="2">
            <x v="376"/>
            <x v="384"/>
          </reference>
          <reference field="10" count="1" selected="0">
            <x v="360"/>
          </reference>
        </references>
      </pivotArea>
    </format>
    <format dxfId="4193">
      <pivotArea dataOnly="0" labelOnly="1" outline="0" fieldPosition="0">
        <references count="2">
          <reference field="2" count="1">
            <x v="230"/>
          </reference>
          <reference field="10" count="1" selected="0">
            <x v="362"/>
          </reference>
        </references>
      </pivotArea>
    </format>
    <format dxfId="4194">
      <pivotArea dataOnly="0" labelOnly="1" outline="0" fieldPosition="0">
        <references count="2">
          <reference field="2" count="1">
            <x v="39"/>
          </reference>
          <reference field="10" count="1" selected="0">
            <x v="363"/>
          </reference>
        </references>
      </pivotArea>
    </format>
    <format dxfId="4195">
      <pivotArea dataOnly="0" labelOnly="1" outline="0" fieldPosition="0">
        <references count="2">
          <reference field="2" count="1">
            <x v="328"/>
          </reference>
          <reference field="10" count="1" selected="0">
            <x v="364"/>
          </reference>
        </references>
      </pivotArea>
    </format>
    <format dxfId="4196">
      <pivotArea dataOnly="0" labelOnly="1" outline="0" fieldPosition="0">
        <references count="2">
          <reference field="2" count="1">
            <x v="154"/>
          </reference>
          <reference field="10" count="1" selected="0">
            <x v="365"/>
          </reference>
        </references>
      </pivotArea>
    </format>
    <format dxfId="4197">
      <pivotArea dataOnly="0" labelOnly="1" outline="0" fieldPosition="0">
        <references count="2">
          <reference field="2" count="1">
            <x v="120"/>
          </reference>
          <reference field="10" count="1" selected="0">
            <x v="366"/>
          </reference>
        </references>
      </pivotArea>
    </format>
    <format dxfId="4198">
      <pivotArea dataOnly="0" labelOnly="1" outline="0" fieldPosition="0">
        <references count="2">
          <reference field="2" count="1">
            <x v="177"/>
          </reference>
          <reference field="10" count="1" selected="0">
            <x v="370"/>
          </reference>
        </references>
      </pivotArea>
    </format>
    <format dxfId="4199">
      <pivotArea dataOnly="0" labelOnly="1" outline="0" fieldPosition="0">
        <references count="2">
          <reference field="2" count="2">
            <x v="17"/>
            <x v="222"/>
          </reference>
          <reference field="10" count="1" selected="0">
            <x v="371"/>
          </reference>
        </references>
      </pivotArea>
    </format>
    <format dxfId="4200">
      <pivotArea dataOnly="0" labelOnly="1" outline="0" fieldPosition="0">
        <references count="2">
          <reference field="2" count="1">
            <x v="78"/>
          </reference>
          <reference field="10" count="1" selected="0">
            <x v="372"/>
          </reference>
        </references>
      </pivotArea>
    </format>
    <format dxfId="4201">
      <pivotArea dataOnly="0" labelOnly="1" outline="0" fieldPosition="0">
        <references count="2">
          <reference field="2" count="1">
            <x v="325"/>
          </reference>
          <reference field="10" count="1" selected="0">
            <x v="373"/>
          </reference>
        </references>
      </pivotArea>
    </format>
    <format dxfId="4202">
      <pivotArea dataOnly="0" labelOnly="1" outline="0" fieldPosition="0">
        <references count="2">
          <reference field="2" count="1">
            <x v="544"/>
          </reference>
          <reference field="10" count="1" selected="0">
            <x v="374"/>
          </reference>
        </references>
      </pivotArea>
    </format>
    <format dxfId="4203">
      <pivotArea dataOnly="0" labelOnly="1" outline="0" fieldPosition="0">
        <references count="2">
          <reference field="2" count="1">
            <x v="283"/>
          </reference>
          <reference field="10" count="1" selected="0">
            <x v="375"/>
          </reference>
        </references>
      </pivotArea>
    </format>
    <format dxfId="4204">
      <pivotArea dataOnly="0" labelOnly="1" outline="0" fieldPosition="0">
        <references count="2">
          <reference field="2" count="1">
            <x v="192"/>
          </reference>
          <reference field="10" count="1" selected="0">
            <x v="376"/>
          </reference>
        </references>
      </pivotArea>
    </format>
    <format dxfId="4205">
      <pivotArea dataOnly="0" labelOnly="1" outline="0" fieldPosition="0">
        <references count="2">
          <reference field="2" count="1">
            <x v="196"/>
          </reference>
          <reference field="10" count="1" selected="0">
            <x v="377"/>
          </reference>
        </references>
      </pivotArea>
    </format>
    <format dxfId="4206">
      <pivotArea dataOnly="0" labelOnly="1" outline="0" fieldPosition="0">
        <references count="2">
          <reference field="2" count="2">
            <x v="239"/>
            <x v="240"/>
          </reference>
          <reference field="10" count="1" selected="0">
            <x v="378"/>
          </reference>
        </references>
      </pivotArea>
    </format>
    <format dxfId="4207">
      <pivotArea dataOnly="0" labelOnly="1" outline="0" fieldPosition="0">
        <references count="2">
          <reference field="2" count="2">
            <x v="633"/>
            <x v="634"/>
          </reference>
          <reference field="10" count="1" selected="0">
            <x v="380"/>
          </reference>
        </references>
      </pivotArea>
    </format>
    <format dxfId="4208">
      <pivotArea dataOnly="0" labelOnly="1" outline="0" fieldPosition="0">
        <references count="2">
          <reference field="2" count="5">
            <x v="474"/>
            <x v="475"/>
            <x v="476"/>
            <x v="556"/>
            <x v="663"/>
          </reference>
          <reference field="10" count="1" selected="0">
            <x v="381"/>
          </reference>
        </references>
      </pivotArea>
    </format>
    <format dxfId="4209">
      <pivotArea dataOnly="0" labelOnly="1" outline="0" fieldPosition="0">
        <references count="2">
          <reference field="2" count="2">
            <x v="536"/>
            <x v="625"/>
          </reference>
          <reference field="10" count="1" selected="0">
            <x v="383"/>
          </reference>
        </references>
      </pivotArea>
    </format>
    <format dxfId="4210">
      <pivotArea dataOnly="0" labelOnly="1" outline="0" fieldPosition="0">
        <references count="2">
          <reference field="2" count="1">
            <x v="85"/>
          </reference>
          <reference field="10" count="1" selected="0">
            <x v="384"/>
          </reference>
        </references>
      </pivotArea>
    </format>
    <format dxfId="4211">
      <pivotArea dataOnly="0" labelOnly="1" outline="0" fieldPosition="0">
        <references count="2">
          <reference field="2" count="2">
            <x v="165"/>
            <x v="166"/>
          </reference>
          <reference field="10" count="1" selected="0">
            <x v="387"/>
          </reference>
        </references>
      </pivotArea>
    </format>
    <format dxfId="4212">
      <pivotArea dataOnly="0" labelOnly="1" outline="0" fieldPosition="0">
        <references count="2">
          <reference field="2" count="1">
            <x v="331"/>
          </reference>
          <reference field="10" count="1" selected="0">
            <x v="389"/>
          </reference>
        </references>
      </pivotArea>
    </format>
    <format dxfId="4213">
      <pivotArea dataOnly="0" labelOnly="1" outline="0" fieldPosition="0">
        <references count="2">
          <reference field="2" count="5">
            <x v="8"/>
            <x v="9"/>
            <x v="563"/>
            <x v="658"/>
            <x v="659"/>
          </reference>
          <reference field="10" count="1" selected="0">
            <x v="391"/>
          </reference>
        </references>
      </pivotArea>
    </format>
    <format dxfId="4214">
      <pivotArea dataOnly="0" labelOnly="1" outline="0" fieldPosition="0">
        <references count="2">
          <reference field="2" count="1">
            <x v="1"/>
          </reference>
          <reference field="10" count="1" selected="0">
            <x v="393"/>
          </reference>
        </references>
      </pivotArea>
    </format>
    <format dxfId="4215">
      <pivotArea dataOnly="0" labelOnly="1" outline="0" fieldPosition="0">
        <references count="2">
          <reference field="2" count="1">
            <x v="18"/>
          </reference>
          <reference field="10" count="1" selected="0">
            <x v="394"/>
          </reference>
        </references>
      </pivotArea>
    </format>
    <format dxfId="4216">
      <pivotArea dataOnly="0" labelOnly="1" outline="0" fieldPosition="0">
        <references count="2">
          <reference field="2" count="1">
            <x v="266"/>
          </reference>
          <reference field="10" count="1" selected="0">
            <x v="395"/>
          </reference>
        </references>
      </pivotArea>
    </format>
    <format dxfId="4217">
      <pivotArea dataOnly="0" labelOnly="1" outline="0" fieldPosition="0">
        <references count="2">
          <reference field="2" count="1">
            <x v="360"/>
          </reference>
          <reference field="10" count="1" selected="0">
            <x v="396"/>
          </reference>
        </references>
      </pivotArea>
    </format>
    <format dxfId="4218">
      <pivotArea dataOnly="0" labelOnly="1" outline="0" fieldPosition="0">
        <references count="2">
          <reference field="2" count="3">
            <x v="280"/>
            <x v="308"/>
            <x v="501"/>
          </reference>
          <reference field="10" count="1" selected="0">
            <x v="397"/>
          </reference>
        </references>
      </pivotArea>
    </format>
    <format dxfId="4219">
      <pivotArea dataOnly="0" labelOnly="1" outline="0" fieldPosition="0">
        <references count="2">
          <reference field="2" count="1">
            <x v="577"/>
          </reference>
          <reference field="10" count="1" selected="0">
            <x v="398"/>
          </reference>
        </references>
      </pivotArea>
    </format>
    <format dxfId="4220">
      <pivotArea dataOnly="0" labelOnly="1" outline="0" fieldPosition="0">
        <references count="2">
          <reference field="2" count="5">
            <x v="439"/>
            <x v="448"/>
            <x v="449"/>
            <x v="451"/>
            <x v="452"/>
          </reference>
          <reference field="10" count="1" selected="0">
            <x v="399"/>
          </reference>
        </references>
      </pivotArea>
    </format>
    <format dxfId="4221">
      <pivotArea dataOnly="0" labelOnly="1" outline="0" fieldPosition="0">
        <references count="2">
          <reference field="2" count="1">
            <x v="464"/>
          </reference>
          <reference field="10" count="1" selected="0">
            <x v="400"/>
          </reference>
        </references>
      </pivotArea>
    </format>
    <format dxfId="4222">
      <pivotArea dataOnly="0" labelOnly="1" outline="0" fieldPosition="0">
        <references count="2">
          <reference field="2" count="1">
            <x v="410"/>
          </reference>
          <reference field="10" count="1" selected="0">
            <x v="404"/>
          </reference>
        </references>
      </pivotArea>
    </format>
    <format dxfId="4223">
      <pivotArea dataOnly="0" labelOnly="1" outline="0" fieldPosition="0">
        <references count="2">
          <reference field="2" count="1">
            <x v="333"/>
          </reference>
          <reference field="10" count="1" selected="0">
            <x v="405"/>
          </reference>
        </references>
      </pivotArea>
    </format>
    <format dxfId="4224">
      <pivotArea dataOnly="0" labelOnly="1" outline="0" fieldPosition="0">
        <references count="2">
          <reference field="2" count="2">
            <x v="348"/>
            <x v="492"/>
          </reference>
          <reference field="10" count="1" selected="0">
            <x v="406"/>
          </reference>
        </references>
      </pivotArea>
    </format>
    <format dxfId="4225">
      <pivotArea dataOnly="0" labelOnly="1" outline="0" fieldPosition="0">
        <references count="2">
          <reference field="2" count="1">
            <x v="117"/>
          </reference>
          <reference field="10" count="1" selected="0">
            <x v="407"/>
          </reference>
        </references>
      </pivotArea>
    </format>
    <format dxfId="4226">
      <pivotArea dataOnly="0" labelOnly="1" outline="0" fieldPosition="0">
        <references count="2">
          <reference field="2" count="1">
            <x v="305"/>
          </reference>
          <reference field="10" count="1" selected="0">
            <x v="408"/>
          </reference>
        </references>
      </pivotArea>
    </format>
    <format dxfId="4227">
      <pivotArea dataOnly="0" labelOnly="1" outline="0" fieldPosition="0">
        <references count="2">
          <reference field="2" count="1">
            <x v="411"/>
          </reference>
          <reference field="10" count="1" selected="0">
            <x v="409"/>
          </reference>
        </references>
      </pivotArea>
    </format>
    <format dxfId="4228">
      <pivotArea dataOnly="0" labelOnly="1" outline="0" fieldPosition="0">
        <references count="2">
          <reference field="2" count="2">
            <x v="44"/>
            <x v="220"/>
          </reference>
          <reference field="10" count="1" selected="0">
            <x v="411"/>
          </reference>
        </references>
      </pivotArea>
    </format>
    <format dxfId="4229">
      <pivotArea dataOnly="0" labelOnly="1" outline="0" fieldPosition="0">
        <references count="2">
          <reference field="2" count="4">
            <x v="489"/>
            <x v="628"/>
            <x v="629"/>
            <x v="631"/>
          </reference>
          <reference field="10" count="1" selected="0">
            <x v="412"/>
          </reference>
        </references>
      </pivotArea>
    </format>
    <format dxfId="4230">
      <pivotArea dataOnly="0" labelOnly="1" outline="0" fieldPosition="0">
        <references count="2">
          <reference field="2" count="2">
            <x v="3"/>
            <x v="421"/>
          </reference>
          <reference field="10" count="1" selected="0">
            <x v="413"/>
          </reference>
        </references>
      </pivotArea>
    </format>
    <format dxfId="4231">
      <pivotArea dataOnly="0" labelOnly="1" outline="0" fieldPosition="0">
        <references count="2">
          <reference field="2" count="4">
            <x v="70"/>
            <x v="394"/>
            <x v="395"/>
            <x v="396"/>
          </reference>
          <reference field="10" count="1" selected="0">
            <x v="414"/>
          </reference>
        </references>
      </pivotArea>
    </format>
    <format dxfId="4232">
      <pivotArea dataOnly="0" labelOnly="1" outline="0" fieldPosition="0">
        <references count="2">
          <reference field="2" count="1">
            <x v="66"/>
          </reference>
          <reference field="10" count="1" selected="0">
            <x v="415"/>
          </reference>
        </references>
      </pivotArea>
    </format>
    <format dxfId="4233">
      <pivotArea dataOnly="0" labelOnly="1" outline="0" fieldPosition="0">
        <references count="2">
          <reference field="2" count="3">
            <x v="28"/>
            <x v="345"/>
            <x v="643"/>
          </reference>
          <reference field="10" count="1" selected="0">
            <x v="417"/>
          </reference>
        </references>
      </pivotArea>
    </format>
    <format dxfId="4234">
      <pivotArea dataOnly="0" labelOnly="1" outline="0" fieldPosition="0">
        <references count="2">
          <reference field="2" count="1">
            <x v="2"/>
          </reference>
          <reference field="10" count="1" selected="0">
            <x v="419"/>
          </reference>
        </references>
      </pivotArea>
    </format>
    <format dxfId="4235">
      <pivotArea dataOnly="0" labelOnly="1" outline="0" fieldPosition="0">
        <references count="2">
          <reference field="2" count="1">
            <x v="155"/>
          </reference>
          <reference field="10" count="1" selected="0">
            <x v="422"/>
          </reference>
        </references>
      </pivotArea>
    </format>
    <format dxfId="4236">
      <pivotArea dataOnly="0" labelOnly="1" outline="0" fieldPosition="0">
        <references count="2">
          <reference field="2" count="2">
            <x v="388"/>
            <x v="528"/>
          </reference>
          <reference field="10" count="1" selected="0">
            <x v="423"/>
          </reference>
        </references>
      </pivotArea>
    </format>
    <format dxfId="4237">
      <pivotArea dataOnly="0" labelOnly="1" outline="0" fieldPosition="0">
        <references count="2">
          <reference field="2" count="2">
            <x v="636"/>
            <x v="637"/>
          </reference>
          <reference field="10" count="1" selected="0">
            <x v="424"/>
          </reference>
        </references>
      </pivotArea>
    </format>
    <format dxfId="4238">
      <pivotArea dataOnly="0" labelOnly="1" outline="0" fieldPosition="0">
        <references count="2">
          <reference field="2" count="1">
            <x v="293"/>
          </reference>
          <reference field="10" count="1" selected="0">
            <x v="425"/>
          </reference>
        </references>
      </pivotArea>
    </format>
    <format dxfId="4239">
      <pivotArea dataOnly="0" labelOnly="1" outline="0" fieldPosition="0">
        <references count="2">
          <reference field="2" count="1">
            <x v="132"/>
          </reference>
          <reference field="10" count="1" selected="0">
            <x v="426"/>
          </reference>
        </references>
      </pivotArea>
    </format>
    <format dxfId="4240">
      <pivotArea dataOnly="0" labelOnly="1" outline="0" fieldPosition="0">
        <references count="2">
          <reference field="2" count="1">
            <x v="624"/>
          </reference>
          <reference field="10" count="1" selected="0">
            <x v="428"/>
          </reference>
        </references>
      </pivotArea>
    </format>
    <format dxfId="4241">
      <pivotArea dataOnly="0" labelOnly="1" outline="0" fieldPosition="0">
        <references count="2">
          <reference field="2" count="3">
            <x v="248"/>
            <x v="550"/>
            <x v="555"/>
          </reference>
          <reference field="10" count="1" selected="0">
            <x v="429"/>
          </reference>
        </references>
      </pivotArea>
    </format>
    <format dxfId="4242">
      <pivotArea dataOnly="0" labelOnly="1" outline="0" fieldPosition="0">
        <references count="2">
          <reference field="2" count="1">
            <x v="59"/>
          </reference>
          <reference field="10" count="1" selected="0">
            <x v="430"/>
          </reference>
        </references>
      </pivotArea>
    </format>
    <format dxfId="4243">
      <pivotArea dataOnly="0" labelOnly="1" outline="0" fieldPosition="0">
        <references count="2">
          <reference field="2" count="2">
            <x v="58"/>
            <x v="373"/>
          </reference>
          <reference field="10" count="1" selected="0">
            <x v="431"/>
          </reference>
        </references>
      </pivotArea>
    </format>
    <format dxfId="4244">
      <pivotArea dataOnly="0" labelOnly="1" outline="0" fieldPosition="0">
        <references count="2">
          <reference field="2" count="1">
            <x v="60"/>
          </reference>
          <reference field="10" count="1" selected="0">
            <x v="432"/>
          </reference>
        </references>
      </pivotArea>
    </format>
    <format dxfId="4245">
      <pivotArea dataOnly="0" labelOnly="1" outline="0" fieldPosition="0">
        <references count="2">
          <reference field="2" count="1">
            <x v="175"/>
          </reference>
          <reference field="10" count="1" selected="0">
            <x v="433"/>
          </reference>
        </references>
      </pivotArea>
    </format>
    <format dxfId="4246">
      <pivotArea dataOnly="0" labelOnly="1" outline="0" fieldPosition="0">
        <references count="2">
          <reference field="2" count="2">
            <x v="279"/>
            <x v="346"/>
          </reference>
          <reference field="10" count="1" selected="0">
            <x v="434"/>
          </reference>
        </references>
      </pivotArea>
    </format>
    <format dxfId="4247">
      <pivotArea dataOnly="0" labelOnly="1" outline="0" fieldPosition="0">
        <references count="2">
          <reference field="2" count="1">
            <x v="591"/>
          </reference>
          <reference field="10" count="1" selected="0">
            <x v="435"/>
          </reference>
        </references>
      </pivotArea>
    </format>
    <format dxfId="4248">
      <pivotArea dataOnly="0" labelOnly="1" outline="0" fieldPosition="0">
        <references count="2">
          <reference field="2" count="1">
            <x v="67"/>
          </reference>
          <reference field="10" count="1" selected="0">
            <x v="436"/>
          </reference>
        </references>
      </pivotArea>
    </format>
    <format dxfId="4249">
      <pivotArea dataOnly="0" labelOnly="1" outline="0" fieldPosition="0">
        <references count="2">
          <reference field="2" count="1">
            <x v="258"/>
          </reference>
          <reference field="10" count="1" selected="0">
            <x v="437"/>
          </reference>
        </references>
      </pivotArea>
    </format>
    <format dxfId="4250">
      <pivotArea dataOnly="0" labelOnly="1" outline="0" fieldPosition="0">
        <references count="2">
          <reference field="2" count="2">
            <x v="76"/>
            <x v="300"/>
          </reference>
          <reference field="10" count="1" selected="0">
            <x v="438"/>
          </reference>
        </references>
      </pivotArea>
    </format>
    <format dxfId="4251">
      <pivotArea dataOnly="0" labelOnly="1" outline="0" fieldPosition="0">
        <references count="2">
          <reference field="2" count="1">
            <x v="614"/>
          </reference>
          <reference field="10" count="1" selected="0">
            <x v="439"/>
          </reference>
        </references>
      </pivotArea>
    </format>
    <format dxfId="4252">
      <pivotArea dataOnly="0" labelOnly="1" outline="0" fieldPosition="0">
        <references count="2">
          <reference field="2" count="1">
            <x v="231"/>
          </reference>
          <reference field="10" count="1" selected="0">
            <x v="440"/>
          </reference>
        </references>
      </pivotArea>
    </format>
    <format dxfId="4253">
      <pivotArea dataOnly="0" labelOnly="1" outline="0" fieldPosition="0">
        <references count="2">
          <reference field="2" count="1">
            <x v="597"/>
          </reference>
          <reference field="10" count="1" selected="0">
            <x v="441"/>
          </reference>
        </references>
      </pivotArea>
    </format>
    <format dxfId="4254">
      <pivotArea dataOnly="0" labelOnly="1" outline="0" fieldPosition="0">
        <references count="2">
          <reference field="2" count="2">
            <x v="71"/>
            <x v="465"/>
          </reference>
          <reference field="10" count="1" selected="0">
            <x v="442"/>
          </reference>
        </references>
      </pivotArea>
    </format>
    <format dxfId="4255">
      <pivotArea dataOnly="0" labelOnly="1" outline="0" fieldPosition="0">
        <references count="2">
          <reference field="2" count="1">
            <x v="7"/>
          </reference>
          <reference field="10" count="1" selected="0">
            <x v="444"/>
          </reference>
        </references>
      </pivotArea>
    </format>
    <format dxfId="4256">
      <pivotArea dataOnly="0" labelOnly="1" outline="0" fieldPosition="0">
        <references count="2">
          <reference field="2" count="1">
            <x v="57"/>
          </reference>
          <reference field="10" count="1" selected="0">
            <x v="445"/>
          </reference>
        </references>
      </pivotArea>
    </format>
    <format dxfId="4257">
      <pivotArea dataOnly="0" labelOnly="1" outline="0" fieldPosition="0">
        <references count="2">
          <reference field="2" count="1">
            <x v="444"/>
          </reference>
          <reference field="10" count="1" selected="0">
            <x v="446"/>
          </reference>
        </references>
      </pivotArea>
    </format>
    <format dxfId="4258">
      <pivotArea dataOnly="0" labelOnly="1" outline="0" fieldPosition="0">
        <references count="2">
          <reference field="2" count="1">
            <x v="642"/>
          </reference>
          <reference field="10" count="1" selected="0">
            <x v="447"/>
          </reference>
        </references>
      </pivotArea>
    </format>
    <format dxfId="4259">
      <pivotArea dataOnly="0" labelOnly="1" outline="0" fieldPosition="0">
        <references count="2">
          <reference field="2" count="1">
            <x v="618"/>
          </reference>
          <reference field="10" count="1" selected="0">
            <x v="448"/>
          </reference>
        </references>
      </pivotArea>
    </format>
    <format dxfId="4260">
      <pivotArea dataOnly="0" labelOnly="1" outline="0" fieldPosition="0">
        <references count="2">
          <reference field="2" count="2">
            <x v="221"/>
            <x v="387"/>
          </reference>
          <reference field="10" count="1" selected="0">
            <x v="449"/>
          </reference>
        </references>
      </pivotArea>
    </format>
    <format dxfId="4261">
      <pivotArea dataOnly="0" labelOnly="1" outline="0" fieldPosition="0">
        <references count="2">
          <reference field="2" count="1">
            <x v="20"/>
          </reference>
          <reference field="10" count="1" selected="0">
            <x v="451"/>
          </reference>
        </references>
      </pivotArea>
    </format>
    <format dxfId="4262">
      <pivotArea dataOnly="0" labelOnly="1" outline="0" fieldPosition="0">
        <references count="2">
          <reference field="2" count="1">
            <x v="413"/>
          </reference>
          <reference field="10" count="1" selected="0">
            <x v="452"/>
          </reference>
        </references>
      </pivotArea>
    </format>
    <format dxfId="4263">
      <pivotArea dataOnly="0" labelOnly="1" outline="0" fieldPosition="0">
        <references count="2">
          <reference field="2" count="1">
            <x v="191"/>
          </reference>
          <reference field="10" count="1" selected="0">
            <x v="453"/>
          </reference>
        </references>
      </pivotArea>
    </format>
    <format dxfId="4264">
      <pivotArea dataOnly="0" labelOnly="1" outline="0" fieldPosition="0">
        <references count="2">
          <reference field="2" count="1">
            <x v="416"/>
          </reference>
          <reference field="10" count="1" selected="0">
            <x v="454"/>
          </reference>
        </references>
      </pivotArea>
    </format>
    <format dxfId="4265">
      <pivotArea dataOnly="0" labelOnly="1" outline="0" fieldPosition="0">
        <references count="2">
          <reference field="2" count="1">
            <x v="124"/>
          </reference>
          <reference field="10" count="1" selected="0">
            <x v="455"/>
          </reference>
        </references>
      </pivotArea>
    </format>
    <format dxfId="4266">
      <pivotArea dataOnly="0" labelOnly="1" outline="0" fieldPosition="0">
        <references count="2">
          <reference field="2" count="1">
            <x v="487"/>
          </reference>
          <reference field="10" count="1" selected="0">
            <x v="456"/>
          </reference>
        </references>
      </pivotArea>
    </format>
    <format dxfId="4267">
      <pivotArea dataOnly="0" labelOnly="1" outline="0" fieldPosition="0">
        <references count="2">
          <reference field="2" count="1">
            <x v="324"/>
          </reference>
          <reference field="10" count="1" selected="0">
            <x v="457"/>
          </reference>
        </references>
      </pivotArea>
    </format>
    <format dxfId="4268">
      <pivotArea dataOnly="0" labelOnly="1" outline="0" fieldPosition="0">
        <references count="2">
          <reference field="2" count="1">
            <x v="299"/>
          </reference>
          <reference field="10" count="1" selected="0">
            <x v="458"/>
          </reference>
        </references>
      </pivotArea>
    </format>
    <format dxfId="4269">
      <pivotArea dataOnly="0" labelOnly="1" outline="0" fieldPosition="0">
        <references count="2">
          <reference field="2" count="1">
            <x v="131"/>
          </reference>
          <reference field="10" count="1" selected="0">
            <x v="459"/>
          </reference>
        </references>
      </pivotArea>
    </format>
    <format dxfId="4270">
      <pivotArea dataOnly="0" labelOnly="1" outline="0" fieldPosition="0">
        <references count="2">
          <reference field="2" count="1">
            <x v="399"/>
          </reference>
          <reference field="10" count="1" selected="0">
            <x v="460"/>
          </reference>
        </references>
      </pivotArea>
    </format>
    <format dxfId="4271">
      <pivotArea dataOnly="0" labelOnly="1" outline="0" fieldPosition="0">
        <references count="2">
          <reference field="2" count="3">
            <x v="143"/>
            <x v="400"/>
            <x v="661"/>
          </reference>
          <reference field="10" count="1" selected="0">
            <x v="463"/>
          </reference>
        </references>
      </pivotArea>
    </format>
    <format dxfId="4272">
      <pivotArea dataOnly="0" labelOnly="1" outline="0" fieldPosition="0">
        <references count="2">
          <reference field="2" count="1">
            <x v="38"/>
          </reference>
          <reference field="10" count="1" selected="0">
            <x v="464"/>
          </reference>
        </references>
      </pivotArea>
    </format>
    <format dxfId="4273">
      <pivotArea dataOnly="0" labelOnly="1" outline="0" fieldPosition="0">
        <references count="2">
          <reference field="2" count="2">
            <x v="322"/>
            <x v="323"/>
          </reference>
          <reference field="10" count="1" selected="0">
            <x v="467"/>
          </reference>
        </references>
      </pivotArea>
    </format>
    <format dxfId="4274">
      <pivotArea dataOnly="0" labelOnly="1" outline="0" fieldPosition="0">
        <references count="2">
          <reference field="2" count="1">
            <x v="108"/>
          </reference>
          <reference field="10" count="1" selected="0">
            <x v="468"/>
          </reference>
        </references>
      </pivotArea>
    </format>
    <format dxfId="4275">
      <pivotArea dataOnly="0" labelOnly="1" outline="0" fieldPosition="0">
        <references count="2">
          <reference field="2" count="1">
            <x v="406"/>
          </reference>
          <reference field="10" count="1" selected="0">
            <x v="469"/>
          </reference>
        </references>
      </pivotArea>
    </format>
    <format dxfId="4276">
      <pivotArea dataOnly="0" labelOnly="1" outline="0" fieldPosition="0">
        <references count="2">
          <reference field="2" count="4">
            <x v="167"/>
            <x v="168"/>
            <x v="169"/>
            <x v="170"/>
          </reference>
          <reference field="10" count="1" selected="0">
            <x v="470"/>
          </reference>
        </references>
      </pivotArea>
    </format>
    <format dxfId="4277">
      <pivotArea dataOnly="0" labelOnly="1" outline="0" fieldPosition="0">
        <references count="2">
          <reference field="2" count="2">
            <x v="304"/>
            <x v="621"/>
          </reference>
          <reference field="10" count="1" selected="0">
            <x v="472"/>
          </reference>
        </references>
      </pivotArea>
    </format>
    <format dxfId="4278">
      <pivotArea dataOnly="0" labelOnly="1" outline="0" fieldPosition="0">
        <references count="2">
          <reference field="2" count="1">
            <x v="217"/>
          </reference>
          <reference field="10" count="1" selected="0">
            <x v="475"/>
          </reference>
        </references>
      </pivotArea>
    </format>
    <format dxfId="4279">
      <pivotArea dataOnly="0" labelOnly="1" outline="0" fieldPosition="0">
        <references count="2">
          <reference field="2" count="1">
            <x v="241"/>
          </reference>
          <reference field="10" count="1" selected="0">
            <x v="479"/>
          </reference>
        </references>
      </pivotArea>
    </format>
    <format dxfId="4280">
      <pivotArea dataOnly="0" labelOnly="1" outline="0" fieldPosition="0">
        <references count="2">
          <reference field="2" count="2">
            <x v="15"/>
            <x v="233"/>
          </reference>
          <reference field="10" count="1" selected="0">
            <x v="481"/>
          </reference>
        </references>
      </pivotArea>
    </format>
    <format dxfId="4281">
      <pivotArea dataOnly="0" labelOnly="1" outline="0" fieldPosition="0">
        <references count="2">
          <reference field="2" count="1">
            <x v="96"/>
          </reference>
          <reference field="10" count="1" selected="0">
            <x v="482"/>
          </reference>
        </references>
      </pivotArea>
    </format>
    <format dxfId="4282">
      <pivotArea dataOnly="0" labelOnly="1" outline="0" fieldPosition="0">
        <references count="2">
          <reference field="2" count="1">
            <x v="407"/>
          </reference>
          <reference field="10" count="1" selected="0">
            <x v="483"/>
          </reference>
        </references>
      </pivotArea>
    </format>
    <format dxfId="4283">
      <pivotArea dataOnly="0" labelOnly="1" outline="0" fieldPosition="0">
        <references count="2">
          <reference field="2" count="3">
            <x v="309"/>
            <x v="310"/>
            <x v="641"/>
          </reference>
          <reference field="10" count="1" selected="0">
            <x v="484"/>
          </reference>
        </references>
      </pivotArea>
    </format>
    <format dxfId="4284">
      <pivotArea dataOnly="0" labelOnly="1" outline="0" fieldPosition="0">
        <references count="2">
          <reference field="2" count="1">
            <x v="148"/>
          </reference>
          <reference field="10" count="1" selected="0">
            <x v="485"/>
          </reference>
        </references>
      </pivotArea>
    </format>
    <format dxfId="4285">
      <pivotArea dataOnly="0" labelOnly="1" outline="0" fieldPosition="0">
        <references count="2">
          <reference field="2" count="1">
            <x v="207"/>
          </reference>
          <reference field="10" count="1" selected="0">
            <x v="486"/>
          </reference>
        </references>
      </pivotArea>
    </format>
    <format dxfId="4286">
      <pivotArea dataOnly="0" labelOnly="1" outline="0" fieldPosition="0">
        <references count="2">
          <reference field="2" count="1">
            <x v="277"/>
          </reference>
          <reference field="10" count="1" selected="0">
            <x v="487"/>
          </reference>
        </references>
      </pivotArea>
    </format>
    <format dxfId="4287">
      <pivotArea dataOnly="0" labelOnly="1" outline="0" fieldPosition="0">
        <references count="2">
          <reference field="2" count="2">
            <x v="545"/>
            <x v="667"/>
          </reference>
          <reference field="10" count="1" selected="0">
            <x v="488"/>
          </reference>
        </references>
      </pivotArea>
    </format>
    <format dxfId="4288">
      <pivotArea dataOnly="0" labelOnly="1" outline="0" fieldPosition="0">
        <references count="2">
          <reference field="2" count="2">
            <x v="48"/>
            <x v="50"/>
          </reference>
          <reference field="10" count="1" selected="0">
            <x v="489"/>
          </reference>
        </references>
      </pivotArea>
    </format>
    <format dxfId="4289">
      <pivotArea dataOnly="0" labelOnly="1" outline="0" fieldPosition="0">
        <references count="2">
          <reference field="2" count="2">
            <x v="215"/>
            <x v="216"/>
          </reference>
          <reference field="10" count="1" selected="0">
            <x v="490"/>
          </reference>
        </references>
      </pivotArea>
    </format>
    <format dxfId="4290">
      <pivotArea dataOnly="0" labelOnly="1" outline="0" fieldPosition="0">
        <references count="2">
          <reference field="2" count="2">
            <x v="471"/>
            <x v="529"/>
          </reference>
          <reference field="10" count="1" selected="0">
            <x v="493"/>
          </reference>
        </references>
      </pivotArea>
    </format>
    <format dxfId="4291">
      <pivotArea dataOnly="0" labelOnly="1" outline="0" fieldPosition="0">
        <references count="2">
          <reference field="2" count="2">
            <x v="301"/>
            <x v="526"/>
          </reference>
          <reference field="10" count="1" selected="0">
            <x v="494"/>
          </reference>
        </references>
      </pivotArea>
    </format>
    <format dxfId="4292">
      <pivotArea dataOnly="0" labelOnly="1" outline="0" fieldPosition="0">
        <references count="2">
          <reference field="2" count="2">
            <x v="174"/>
            <x v="438"/>
          </reference>
          <reference field="10" count="1" selected="0">
            <x v="495"/>
          </reference>
        </references>
      </pivotArea>
    </format>
    <format dxfId="4293">
      <pivotArea dataOnly="0" labelOnly="1" outline="0" fieldPosition="0">
        <references count="2">
          <reference field="2" count="1">
            <x v="516"/>
          </reference>
          <reference field="10" count="1" selected="0">
            <x v="496"/>
          </reference>
        </references>
      </pivotArea>
    </format>
    <format dxfId="4294">
      <pivotArea dataOnly="0" labelOnly="1" outline="0" fieldPosition="0">
        <references count="2">
          <reference field="2" count="2">
            <x v="505"/>
            <x v="506"/>
          </reference>
          <reference field="10" count="1" selected="0">
            <x v="497"/>
          </reference>
        </references>
      </pivotArea>
    </format>
    <format dxfId="4295">
      <pivotArea dataOnly="0" labelOnly="1" outline="0" fieldPosition="0">
        <references count="2">
          <reference field="2" count="1">
            <x v="664"/>
          </reference>
          <reference field="10" count="1" selected="0">
            <x v="498"/>
          </reference>
        </references>
      </pivotArea>
    </format>
    <format dxfId="4296">
      <pivotArea dataOnly="0" labelOnly="1" outline="0" fieldPosition="0">
        <references count="2">
          <reference field="2" count="1">
            <x v="185"/>
          </reference>
          <reference field="10" count="1" selected="0">
            <x v="499"/>
          </reference>
        </references>
      </pivotArea>
    </format>
    <format dxfId="4297">
      <pivotArea dataOnly="0" labelOnly="1" outline="0" fieldPosition="0">
        <references count="2">
          <reference field="2" count="1">
            <x v="234"/>
          </reference>
          <reference field="10" count="1" selected="0">
            <x v="500"/>
          </reference>
        </references>
      </pivotArea>
    </format>
    <format dxfId="4298">
      <pivotArea dataOnly="0" labelOnly="1" outline="0" fieldPosition="0">
        <references count="2">
          <reference field="2" count="1">
            <x v="171"/>
          </reference>
          <reference field="10" count="1" selected="0">
            <x v="501"/>
          </reference>
        </references>
      </pivotArea>
    </format>
    <format dxfId="4299">
      <pivotArea dataOnly="0" labelOnly="1" outline="0" fieldPosition="0">
        <references count="2">
          <reference field="2" count="1">
            <x v="478"/>
          </reference>
          <reference field="10" count="1" selected="0">
            <x v="502"/>
          </reference>
        </references>
      </pivotArea>
    </format>
    <format dxfId="4300">
      <pivotArea dataOnly="0" labelOnly="1" outline="0" fieldPosition="0">
        <references count="2">
          <reference field="2" count="1">
            <x v="565"/>
          </reference>
          <reference field="10" count="1" selected="0">
            <x v="503"/>
          </reference>
        </references>
      </pivotArea>
    </format>
    <format dxfId="4301">
      <pivotArea dataOnly="0" labelOnly="1" outline="0" fieldPosition="0">
        <references count="2">
          <reference field="2" count="1">
            <x v="137"/>
          </reference>
          <reference field="10" count="1" selected="0">
            <x v="504"/>
          </reference>
        </references>
      </pivotArea>
    </format>
    <format dxfId="4302">
      <pivotArea dataOnly="0" labelOnly="1" outline="0" fieldPosition="0">
        <references count="2">
          <reference field="2" count="2">
            <x v="156"/>
            <x v="504"/>
          </reference>
          <reference field="10" count="1" selected="0">
            <x v="506"/>
          </reference>
        </references>
      </pivotArea>
    </format>
    <format dxfId="4303">
      <pivotArea dataOnly="0" labelOnly="1" outline="0" fieldPosition="0">
        <references count="2">
          <reference field="2" count="2">
            <x v="357"/>
            <x v="366"/>
          </reference>
          <reference field="10" count="1" selected="0">
            <x v="507"/>
          </reference>
        </references>
      </pivotArea>
    </format>
    <format dxfId="4304">
      <pivotArea dataOnly="0" labelOnly="1" outline="0" fieldPosition="0">
        <references count="2">
          <reference field="2" count="1">
            <x v="635"/>
          </reference>
          <reference field="10" count="1" selected="0">
            <x v="508"/>
          </reference>
        </references>
      </pivotArea>
    </format>
    <format dxfId="4305">
      <pivotArea dataOnly="0" labelOnly="1" outline="0" fieldPosition="0">
        <references count="2">
          <reference field="2" count="1">
            <x v="509"/>
          </reference>
          <reference field="10" count="1" selected="0">
            <x v="510"/>
          </reference>
        </references>
      </pivotArea>
    </format>
    <format dxfId="4306">
      <pivotArea dataOnly="0" labelOnly="1" outline="0" fieldPosition="0">
        <references count="2">
          <reference field="2" count="8">
            <x v="138"/>
            <x v="223"/>
            <x v="392"/>
            <x v="393"/>
            <x v="436"/>
            <x v="437"/>
            <x v="441"/>
            <x v="596"/>
          </reference>
          <reference field="10" count="1" selected="0">
            <x v="513"/>
          </reference>
        </references>
      </pivotArea>
    </format>
    <format dxfId="4307">
      <pivotArea dataOnly="0" labelOnly="1" outline="0" fieldPosition="0">
        <references count="2">
          <reference field="2" count="2">
            <x v="208"/>
            <x v="403"/>
          </reference>
          <reference field="10" count="1" selected="0">
            <x v="515"/>
          </reference>
        </references>
      </pivotArea>
    </format>
    <format dxfId="4308">
      <pivotArea dataOnly="0" labelOnly="1" outline="0" fieldPosition="0">
        <references count="2">
          <reference field="2" count="2">
            <x v="374"/>
            <x v="375"/>
          </reference>
          <reference field="10" count="1" selected="0">
            <x v="516"/>
          </reference>
        </references>
      </pivotArea>
    </format>
    <format dxfId="4309">
      <pivotArea dataOnly="0" labelOnly="1" outline="0" fieldPosition="0">
        <references count="2">
          <reference field="2" count="3">
            <x v="488"/>
            <x v="491"/>
            <x v="626"/>
          </reference>
          <reference field="10" count="1" selected="0">
            <x v="517"/>
          </reference>
        </references>
      </pivotArea>
    </format>
    <format dxfId="4310">
      <pivotArea dataOnly="0" labelOnly="1" outline="0" fieldPosition="0">
        <references count="2">
          <reference field="2" count="1">
            <x v="200"/>
          </reference>
          <reference field="10" count="1" selected="0">
            <x v="518"/>
          </reference>
        </references>
      </pivotArea>
    </format>
    <format dxfId="4311">
      <pivotArea dataOnly="0" labelOnly="1" outline="0" fieldPosition="0">
        <references count="2">
          <reference field="2" count="2">
            <x v="144"/>
            <x v="145"/>
          </reference>
          <reference field="10" count="1" selected="0">
            <x v="519"/>
          </reference>
        </references>
      </pivotArea>
    </format>
    <format dxfId="4312">
      <pivotArea dataOnly="0" labelOnly="1" outline="0" fieldPosition="0">
        <references count="2">
          <reference field="2" count="1">
            <x v="389"/>
          </reference>
          <reference field="10" count="1" selected="0">
            <x v="520"/>
          </reference>
        </references>
      </pivotArea>
    </format>
    <format dxfId="4313">
      <pivotArea dataOnly="0" labelOnly="1" outline="0" fieldPosition="0">
        <references count="2">
          <reference field="2" count="1">
            <x v="623"/>
          </reference>
          <reference field="10" count="1" selected="0">
            <x v="521"/>
          </reference>
        </references>
      </pivotArea>
    </format>
    <format dxfId="4314">
      <pivotArea dataOnly="0" labelOnly="1" outline="0" fieldPosition="0">
        <references count="2">
          <reference field="2" count="2">
            <x v="469"/>
            <x v="479"/>
          </reference>
          <reference field="10" count="1" selected="0">
            <x v="522"/>
          </reference>
        </references>
      </pivotArea>
    </format>
    <format dxfId="4315">
      <pivotArea dataOnly="0" labelOnly="1" outline="0" fieldPosition="0">
        <references count="2">
          <reference field="2" count="3">
            <x v="35"/>
            <x v="37"/>
            <x v="446"/>
          </reference>
          <reference field="10" count="1" selected="0">
            <x v="523"/>
          </reference>
        </references>
      </pivotArea>
    </format>
    <format dxfId="4316">
      <pivotArea dataOnly="0" labelOnly="1" outline="0" fieldPosition="0">
        <references count="2">
          <reference field="2" count="1">
            <x v="149"/>
          </reference>
          <reference field="10" count="1" selected="0">
            <x v="524"/>
          </reference>
        </references>
      </pivotArea>
    </format>
    <format dxfId="4317">
      <pivotArea dataOnly="0" labelOnly="1" outline="0" fieldPosition="0">
        <references count="2">
          <reference field="2" count="1">
            <x v="302"/>
          </reference>
          <reference field="10" count="1" selected="0">
            <x v="525"/>
          </reference>
        </references>
      </pivotArea>
    </format>
    <format dxfId="4318">
      <pivotArea dataOnly="0" labelOnly="1" outline="0" fieldPosition="0">
        <references count="2">
          <reference field="2" count="1">
            <x v="64"/>
          </reference>
          <reference field="10" count="1" selected="0">
            <x v="526"/>
          </reference>
        </references>
      </pivotArea>
    </format>
    <format dxfId="4319">
      <pivotArea dataOnly="0" labelOnly="1" outline="0" fieldPosition="0">
        <references count="2">
          <reference field="2" count="1">
            <x v="157"/>
          </reference>
          <reference field="10" count="1" selected="0">
            <x v="527"/>
          </reference>
        </references>
      </pivotArea>
    </format>
    <format dxfId="4320">
      <pivotArea dataOnly="0" labelOnly="1" outline="0" fieldPosition="0">
        <references count="2">
          <reference field="2" count="1">
            <x v="408"/>
          </reference>
          <reference field="10" count="1" selected="0">
            <x v="528"/>
          </reference>
        </references>
      </pivotArea>
    </format>
    <format dxfId="4321">
      <pivotArea dataOnly="0" labelOnly="1" outline="0" fieldPosition="0">
        <references count="2">
          <reference field="2" count="1">
            <x v="364"/>
          </reference>
          <reference field="10" count="1" selected="0">
            <x v="529"/>
          </reference>
        </references>
      </pivotArea>
    </format>
    <format dxfId="4322">
      <pivotArea dataOnly="0" labelOnly="1" outline="0" fieldPosition="0">
        <references count="2">
          <reference field="2" count="2">
            <x v="269"/>
            <x v="270"/>
          </reference>
          <reference field="10" count="1" selected="0">
            <x v="530"/>
          </reference>
        </references>
      </pivotArea>
    </format>
    <format dxfId="4323">
      <pivotArea dataOnly="0" labelOnly="1" outline="0" fieldPosition="0">
        <references count="2">
          <reference field="2" count="1">
            <x v="450"/>
          </reference>
          <reference field="10" count="1" selected="0">
            <x v="532"/>
          </reference>
        </references>
      </pivotArea>
    </format>
    <format dxfId="4324">
      <pivotArea dataOnly="0" labelOnly="1" outline="0" fieldPosition="0">
        <references count="2">
          <reference field="2" count="5">
            <x v="235"/>
            <x v="429"/>
            <x v="507"/>
            <x v="639"/>
            <x v="640"/>
          </reference>
          <reference field="10" count="1" selected="0">
            <x v="533"/>
          </reference>
        </references>
      </pivotArea>
    </format>
    <format dxfId="4325">
      <pivotArea dataOnly="0" labelOnly="1" outline="0" fieldPosition="0">
        <references count="2">
          <reference field="2" count="1">
            <x v="380"/>
          </reference>
          <reference field="10" count="1" selected="0">
            <x v="534"/>
          </reference>
        </references>
      </pivotArea>
    </format>
    <format dxfId="4326">
      <pivotArea dataOnly="0" labelOnly="1" outline="0" fieldPosition="0">
        <references count="2">
          <reference field="2" count="1">
            <x v="292"/>
          </reference>
          <reference field="10" count="1" selected="0">
            <x v="535"/>
          </reference>
        </references>
      </pivotArea>
    </format>
    <format dxfId="4327">
      <pivotArea dataOnly="0" labelOnly="1" outline="0" fieldPosition="0">
        <references count="2">
          <reference field="2" count="1">
            <x v="69"/>
          </reference>
          <reference field="10" count="1" selected="0">
            <x v="536"/>
          </reference>
        </references>
      </pivotArea>
    </format>
    <format dxfId="4328">
      <pivotArea dataOnly="0" labelOnly="1" outline="0" fieldPosition="0">
        <references count="2">
          <reference field="2" count="1">
            <x v="578"/>
          </reference>
          <reference field="10" count="1" selected="0">
            <x v="537"/>
          </reference>
        </references>
      </pivotArea>
    </format>
    <format dxfId="4329">
      <pivotArea dataOnly="0" labelOnly="1" outline="0" fieldPosition="0">
        <references count="2">
          <reference field="2" count="1">
            <x v="188"/>
          </reference>
          <reference field="10" count="1" selected="0">
            <x v="538"/>
          </reference>
        </references>
      </pivotArea>
    </format>
    <format dxfId="4330">
      <pivotArea dataOnly="0" labelOnly="1" outline="0" fieldPosition="0">
        <references count="2">
          <reference field="2" count="1">
            <x v="422"/>
          </reference>
          <reference field="10" count="1" selected="0">
            <x v="539"/>
          </reference>
        </references>
      </pivotArea>
    </format>
    <format dxfId="4331">
      <pivotArea dataOnly="0" labelOnly="1" outline="0" fieldPosition="0">
        <references count="2">
          <reference field="2" count="1">
            <x v="344"/>
          </reference>
          <reference field="10" count="1" selected="0">
            <x v="540"/>
          </reference>
        </references>
      </pivotArea>
    </format>
    <format dxfId="4332">
      <pivotArea dataOnly="0" labelOnly="1" outline="0" fieldPosition="0">
        <references count="2">
          <reference field="2" count="1">
            <x v="19"/>
          </reference>
          <reference field="10" count="1" selected="0">
            <x v="542"/>
          </reference>
        </references>
      </pivotArea>
    </format>
    <format dxfId="4333">
      <pivotArea dataOnly="0" labelOnly="1" outline="0" fieldPosition="0">
        <references count="2">
          <reference field="2" count="1">
            <x v="485"/>
          </reference>
          <reference field="10" count="1" selected="0">
            <x v="546"/>
          </reference>
        </references>
      </pivotArea>
    </format>
    <format dxfId="4334">
      <pivotArea dataOnly="0" labelOnly="1" outline="0" fieldPosition="0">
        <references count="2">
          <reference field="2" count="1">
            <x v="368"/>
          </reference>
          <reference field="10" count="1" selected="0">
            <x v="547"/>
          </reference>
        </references>
      </pivotArea>
    </format>
    <format dxfId="4335">
      <pivotArea dataOnly="0" labelOnly="1" outline="0" fieldPosition="0">
        <references count="2">
          <reference field="2" count="1">
            <x v="589"/>
          </reference>
          <reference field="10" count="1" selected="0">
            <x v="548"/>
          </reference>
        </references>
      </pivotArea>
    </format>
    <format dxfId="4336">
      <pivotArea field="17" type="button" dataOnly="0" labelOnly="1" outline="0" axis="axisPage" fieldPosition="0"/>
    </format>
    <format dxfId="4337">
      <pivotArea field="10" type="button" dataOnly="0" labelOnly="1" outline="0" axis="axisRow" fieldPosition="0"/>
    </format>
    <format dxfId="4338">
      <pivotArea dataOnly="0" labelOnly="1" outline="0" fieldPosition="0">
        <references count="1">
          <reference field="10" count="1">
            <x v="7"/>
          </reference>
        </references>
      </pivotArea>
    </format>
    <format dxfId="4339">
      <pivotArea dataOnly="0" labelOnly="1" outline="0" fieldPosition="0">
        <references count="1">
          <reference field="10" count="1" defaultSubtotal="1">
            <x v="7"/>
          </reference>
        </references>
      </pivotArea>
    </format>
    <format dxfId="4340">
      <pivotArea dataOnly="0" labelOnly="1" outline="0" fieldPosition="0">
        <references count="1">
          <reference field="10" count="1">
            <x v="8"/>
          </reference>
        </references>
      </pivotArea>
    </format>
    <format dxfId="4341">
      <pivotArea dataOnly="0" labelOnly="1" outline="0" fieldPosition="0">
        <references count="1">
          <reference field="10" count="1" defaultSubtotal="1">
            <x v="8"/>
          </reference>
        </references>
      </pivotArea>
    </format>
    <format dxfId="4342">
      <pivotArea dataOnly="0" labelOnly="1" outline="0" fieldPosition="0">
        <references count="1">
          <reference field="10" count="1">
            <x v="19"/>
          </reference>
        </references>
      </pivotArea>
    </format>
    <format dxfId="4343">
      <pivotArea dataOnly="0" labelOnly="1" outline="0" fieldPosition="0">
        <references count="1">
          <reference field="10" count="1" defaultSubtotal="1">
            <x v="19"/>
          </reference>
        </references>
      </pivotArea>
    </format>
    <format dxfId="4344">
      <pivotArea dataOnly="0" labelOnly="1" outline="0" fieldPosition="0">
        <references count="1">
          <reference field="10" count="1">
            <x v="21"/>
          </reference>
        </references>
      </pivotArea>
    </format>
    <format dxfId="4345">
      <pivotArea dataOnly="0" labelOnly="1" outline="0" fieldPosition="0">
        <references count="1">
          <reference field="10" count="1" defaultSubtotal="1">
            <x v="21"/>
          </reference>
        </references>
      </pivotArea>
    </format>
    <format dxfId="4346">
      <pivotArea dataOnly="0" labelOnly="1" outline="0" fieldPosition="0">
        <references count="1">
          <reference field="10" count="1">
            <x v="23"/>
          </reference>
        </references>
      </pivotArea>
    </format>
    <format dxfId="4347">
      <pivotArea dataOnly="0" labelOnly="1" outline="0" fieldPosition="0">
        <references count="1">
          <reference field="10" count="1" defaultSubtotal="1">
            <x v="23"/>
          </reference>
        </references>
      </pivotArea>
    </format>
    <format dxfId="4348">
      <pivotArea dataOnly="0" labelOnly="1" outline="0" fieldPosition="0">
        <references count="1">
          <reference field="10" count="1">
            <x v="25"/>
          </reference>
        </references>
      </pivotArea>
    </format>
    <format dxfId="4349">
      <pivotArea dataOnly="0" labelOnly="1" outline="0" fieldPosition="0">
        <references count="1">
          <reference field="10" count="1" defaultSubtotal="1">
            <x v="25"/>
          </reference>
        </references>
      </pivotArea>
    </format>
    <format dxfId="4350">
      <pivotArea dataOnly="0" labelOnly="1" outline="0" fieldPosition="0">
        <references count="1">
          <reference field="10" count="1">
            <x v="34"/>
          </reference>
        </references>
      </pivotArea>
    </format>
    <format dxfId="4351">
      <pivotArea dataOnly="0" labelOnly="1" outline="0" fieldPosition="0">
        <references count="1">
          <reference field="10" count="1" defaultSubtotal="1">
            <x v="34"/>
          </reference>
        </references>
      </pivotArea>
    </format>
    <format dxfId="4352">
      <pivotArea dataOnly="0" labelOnly="1" outline="0" fieldPosition="0">
        <references count="1">
          <reference field="10" count="1">
            <x v="35"/>
          </reference>
        </references>
      </pivotArea>
    </format>
    <format dxfId="4353">
      <pivotArea dataOnly="0" labelOnly="1" outline="0" fieldPosition="0">
        <references count="1">
          <reference field="10" count="1" defaultSubtotal="1">
            <x v="35"/>
          </reference>
        </references>
      </pivotArea>
    </format>
    <format dxfId="4354">
      <pivotArea dataOnly="0" labelOnly="1" outline="0" fieldPosition="0">
        <references count="1">
          <reference field="10" count="1">
            <x v="41"/>
          </reference>
        </references>
      </pivotArea>
    </format>
    <format dxfId="4355">
      <pivotArea dataOnly="0" labelOnly="1" outline="0" fieldPosition="0">
        <references count="1">
          <reference field="10" count="1" defaultSubtotal="1">
            <x v="41"/>
          </reference>
        </references>
      </pivotArea>
    </format>
    <format dxfId="4356">
      <pivotArea dataOnly="0" labelOnly="1" outline="0" fieldPosition="0">
        <references count="1">
          <reference field="10" count="1">
            <x v="42"/>
          </reference>
        </references>
      </pivotArea>
    </format>
    <format dxfId="4357">
      <pivotArea dataOnly="0" labelOnly="1" outline="0" fieldPosition="0">
        <references count="1">
          <reference field="10" count="1" defaultSubtotal="1">
            <x v="42"/>
          </reference>
        </references>
      </pivotArea>
    </format>
    <format dxfId="4358">
      <pivotArea dataOnly="0" labelOnly="1" outline="0" fieldPosition="0">
        <references count="1">
          <reference field="10" count="1">
            <x v="45"/>
          </reference>
        </references>
      </pivotArea>
    </format>
    <format dxfId="4359">
      <pivotArea dataOnly="0" labelOnly="1" outline="0" fieldPosition="0">
        <references count="1">
          <reference field="10" count="1" defaultSubtotal="1">
            <x v="45"/>
          </reference>
        </references>
      </pivotArea>
    </format>
    <format dxfId="4360">
      <pivotArea dataOnly="0" labelOnly="1" outline="0" fieldPosition="0">
        <references count="1">
          <reference field="10" count="1">
            <x v="47"/>
          </reference>
        </references>
      </pivotArea>
    </format>
    <format dxfId="4361">
      <pivotArea dataOnly="0" labelOnly="1" outline="0" fieldPosition="0">
        <references count="1">
          <reference field="10" count="1" defaultSubtotal="1">
            <x v="47"/>
          </reference>
        </references>
      </pivotArea>
    </format>
    <format dxfId="4362">
      <pivotArea dataOnly="0" labelOnly="1" outline="0" fieldPosition="0">
        <references count="1">
          <reference field="10" count="1">
            <x v="51"/>
          </reference>
        </references>
      </pivotArea>
    </format>
    <format dxfId="4363">
      <pivotArea dataOnly="0" labelOnly="1" outline="0" fieldPosition="0">
        <references count="1">
          <reference field="10" count="1" defaultSubtotal="1">
            <x v="51"/>
          </reference>
        </references>
      </pivotArea>
    </format>
    <format dxfId="4364">
      <pivotArea dataOnly="0" labelOnly="1" outline="0" fieldPosition="0">
        <references count="1">
          <reference field="10" count="1">
            <x v="54"/>
          </reference>
        </references>
      </pivotArea>
    </format>
    <format dxfId="4365">
      <pivotArea dataOnly="0" labelOnly="1" outline="0" fieldPosition="0">
        <references count="1">
          <reference field="10" count="1" defaultSubtotal="1">
            <x v="54"/>
          </reference>
        </references>
      </pivotArea>
    </format>
    <format dxfId="4366">
      <pivotArea dataOnly="0" labelOnly="1" outline="0" fieldPosition="0">
        <references count="1">
          <reference field="10" count="1">
            <x v="56"/>
          </reference>
        </references>
      </pivotArea>
    </format>
    <format dxfId="4367">
      <pivotArea dataOnly="0" labelOnly="1" outline="0" fieldPosition="0">
        <references count="1">
          <reference field="10" count="1" defaultSubtotal="1">
            <x v="56"/>
          </reference>
        </references>
      </pivotArea>
    </format>
    <format dxfId="4368">
      <pivotArea dataOnly="0" labelOnly="1" outline="0" fieldPosition="0">
        <references count="1">
          <reference field="10" count="1">
            <x v="57"/>
          </reference>
        </references>
      </pivotArea>
    </format>
    <format dxfId="4369">
      <pivotArea dataOnly="0" labelOnly="1" outline="0" fieldPosition="0">
        <references count="1">
          <reference field="10" count="1" defaultSubtotal="1">
            <x v="57"/>
          </reference>
        </references>
      </pivotArea>
    </format>
    <format dxfId="4370">
      <pivotArea dataOnly="0" labelOnly="1" outline="0" fieldPosition="0">
        <references count="1">
          <reference field="10" count="1">
            <x v="60"/>
          </reference>
        </references>
      </pivotArea>
    </format>
    <format dxfId="4371">
      <pivotArea dataOnly="0" labelOnly="1" outline="0" fieldPosition="0">
        <references count="1">
          <reference field="10" count="1" defaultSubtotal="1">
            <x v="60"/>
          </reference>
        </references>
      </pivotArea>
    </format>
    <format dxfId="4372">
      <pivotArea dataOnly="0" labelOnly="1" outline="0" fieldPosition="0">
        <references count="1">
          <reference field="10" count="1">
            <x v="63"/>
          </reference>
        </references>
      </pivotArea>
    </format>
    <format dxfId="4373">
      <pivotArea dataOnly="0" labelOnly="1" outline="0" fieldPosition="0">
        <references count="1">
          <reference field="10" count="1" defaultSubtotal="1">
            <x v="63"/>
          </reference>
        </references>
      </pivotArea>
    </format>
    <format dxfId="4374">
      <pivotArea dataOnly="0" labelOnly="1" outline="0" fieldPosition="0">
        <references count="1">
          <reference field="10" count="1">
            <x v="70"/>
          </reference>
        </references>
      </pivotArea>
    </format>
    <format dxfId="4375">
      <pivotArea dataOnly="0" labelOnly="1" outline="0" fieldPosition="0">
        <references count="1">
          <reference field="10" count="1" defaultSubtotal="1">
            <x v="70"/>
          </reference>
        </references>
      </pivotArea>
    </format>
    <format dxfId="4376">
      <pivotArea dataOnly="0" labelOnly="1" outline="0" fieldPosition="0">
        <references count="1">
          <reference field="10" count="1">
            <x v="71"/>
          </reference>
        </references>
      </pivotArea>
    </format>
    <format dxfId="4377">
      <pivotArea dataOnly="0" labelOnly="1" outline="0" fieldPosition="0">
        <references count="1">
          <reference field="10" count="1" defaultSubtotal="1">
            <x v="71"/>
          </reference>
        </references>
      </pivotArea>
    </format>
    <format dxfId="4378">
      <pivotArea dataOnly="0" labelOnly="1" outline="0" fieldPosition="0">
        <references count="1">
          <reference field="10" count="1">
            <x v="72"/>
          </reference>
        </references>
      </pivotArea>
    </format>
    <format dxfId="4379">
      <pivotArea dataOnly="0" labelOnly="1" outline="0" fieldPosition="0">
        <references count="1">
          <reference field="10" count="1" defaultSubtotal="1">
            <x v="72"/>
          </reference>
        </references>
      </pivotArea>
    </format>
    <format dxfId="4380">
      <pivotArea dataOnly="0" labelOnly="1" outline="0" fieldPosition="0">
        <references count="1">
          <reference field="10" count="1">
            <x v="76"/>
          </reference>
        </references>
      </pivotArea>
    </format>
    <format dxfId="4381">
      <pivotArea dataOnly="0" labelOnly="1" outline="0" fieldPosition="0">
        <references count="1">
          <reference field="10" count="1" defaultSubtotal="1">
            <x v="76"/>
          </reference>
        </references>
      </pivotArea>
    </format>
    <format dxfId="4382">
      <pivotArea dataOnly="0" labelOnly="1" outline="0" fieldPosition="0">
        <references count="1">
          <reference field="10" count="1">
            <x v="79"/>
          </reference>
        </references>
      </pivotArea>
    </format>
    <format dxfId="4383">
      <pivotArea dataOnly="0" labelOnly="1" outline="0" fieldPosition="0">
        <references count="1">
          <reference field="10" count="1" defaultSubtotal="1">
            <x v="79"/>
          </reference>
        </references>
      </pivotArea>
    </format>
    <format dxfId="4384">
      <pivotArea dataOnly="0" labelOnly="1" outline="0" fieldPosition="0">
        <references count="1">
          <reference field="10" count="1">
            <x v="83"/>
          </reference>
        </references>
      </pivotArea>
    </format>
    <format dxfId="4385">
      <pivotArea dataOnly="0" labelOnly="1" outline="0" fieldPosition="0">
        <references count="1">
          <reference field="10" count="1" defaultSubtotal="1">
            <x v="83"/>
          </reference>
        </references>
      </pivotArea>
    </format>
    <format dxfId="4386">
      <pivotArea dataOnly="0" labelOnly="1" outline="0" fieldPosition="0">
        <references count="1">
          <reference field="10" count="1">
            <x v="84"/>
          </reference>
        </references>
      </pivotArea>
    </format>
    <format dxfId="4387">
      <pivotArea dataOnly="0" labelOnly="1" outline="0" fieldPosition="0">
        <references count="1">
          <reference field="10" count="1" defaultSubtotal="1">
            <x v="84"/>
          </reference>
        </references>
      </pivotArea>
    </format>
    <format dxfId="4388">
      <pivotArea dataOnly="0" labelOnly="1" outline="0" fieldPosition="0">
        <references count="1">
          <reference field="10" count="1">
            <x v="91"/>
          </reference>
        </references>
      </pivotArea>
    </format>
    <format dxfId="4389">
      <pivotArea dataOnly="0" labelOnly="1" outline="0" fieldPosition="0">
        <references count="1">
          <reference field="10" count="1" defaultSubtotal="1">
            <x v="91"/>
          </reference>
        </references>
      </pivotArea>
    </format>
    <format dxfId="4390">
      <pivotArea dataOnly="0" labelOnly="1" outline="0" fieldPosition="0">
        <references count="1">
          <reference field="10" count="1">
            <x v="93"/>
          </reference>
        </references>
      </pivotArea>
    </format>
    <format dxfId="4391">
      <pivotArea dataOnly="0" labelOnly="1" outline="0" fieldPosition="0">
        <references count="1">
          <reference field="10" count="1" defaultSubtotal="1">
            <x v="93"/>
          </reference>
        </references>
      </pivotArea>
    </format>
    <format dxfId="4392">
      <pivotArea dataOnly="0" labelOnly="1" outline="0" fieldPosition="0">
        <references count="1">
          <reference field="10" count="1">
            <x v="94"/>
          </reference>
        </references>
      </pivotArea>
    </format>
    <format dxfId="4393">
      <pivotArea dataOnly="0" labelOnly="1" outline="0" fieldPosition="0">
        <references count="1">
          <reference field="10" count="1" defaultSubtotal="1">
            <x v="94"/>
          </reference>
        </references>
      </pivotArea>
    </format>
    <format dxfId="4394">
      <pivotArea dataOnly="0" labelOnly="1" outline="0" fieldPosition="0">
        <references count="1">
          <reference field="10" count="1">
            <x v="95"/>
          </reference>
        </references>
      </pivotArea>
    </format>
    <format dxfId="4395">
      <pivotArea dataOnly="0" labelOnly="1" outline="0" fieldPosition="0">
        <references count="1">
          <reference field="10" count="1" defaultSubtotal="1">
            <x v="95"/>
          </reference>
        </references>
      </pivotArea>
    </format>
    <format dxfId="4396">
      <pivotArea dataOnly="0" labelOnly="1" outline="0" fieldPosition="0">
        <references count="1">
          <reference field="10" count="1">
            <x v="97"/>
          </reference>
        </references>
      </pivotArea>
    </format>
    <format dxfId="4397">
      <pivotArea dataOnly="0" labelOnly="1" outline="0" fieldPosition="0">
        <references count="1">
          <reference field="10" count="1" defaultSubtotal="1">
            <x v="97"/>
          </reference>
        </references>
      </pivotArea>
    </format>
    <format dxfId="4398">
      <pivotArea dataOnly="0" labelOnly="1" outline="0" fieldPosition="0">
        <references count="1">
          <reference field="10" count="1">
            <x v="100"/>
          </reference>
        </references>
      </pivotArea>
    </format>
    <format dxfId="4399">
      <pivotArea dataOnly="0" labelOnly="1" outline="0" fieldPosition="0">
        <references count="1">
          <reference field="10" count="1" defaultSubtotal="1">
            <x v="100"/>
          </reference>
        </references>
      </pivotArea>
    </format>
    <format dxfId="4400">
      <pivotArea dataOnly="0" labelOnly="1" outline="0" fieldPosition="0">
        <references count="1">
          <reference field="10" count="1">
            <x v="105"/>
          </reference>
        </references>
      </pivotArea>
    </format>
    <format dxfId="4401">
      <pivotArea dataOnly="0" labelOnly="1" outline="0" fieldPosition="0">
        <references count="1">
          <reference field="10" count="1" defaultSubtotal="1">
            <x v="105"/>
          </reference>
        </references>
      </pivotArea>
    </format>
    <format dxfId="4402">
      <pivotArea dataOnly="0" labelOnly="1" outline="0" fieldPosition="0">
        <references count="1">
          <reference field="10" count="1">
            <x v="109"/>
          </reference>
        </references>
      </pivotArea>
    </format>
    <format dxfId="4403">
      <pivotArea dataOnly="0" labelOnly="1" outline="0" fieldPosition="0">
        <references count="1">
          <reference field="10" count="1" defaultSubtotal="1">
            <x v="109"/>
          </reference>
        </references>
      </pivotArea>
    </format>
    <format dxfId="4404">
      <pivotArea dataOnly="0" labelOnly="1" outline="0" fieldPosition="0">
        <references count="1">
          <reference field="10" count="1">
            <x v="110"/>
          </reference>
        </references>
      </pivotArea>
    </format>
    <format dxfId="4405">
      <pivotArea dataOnly="0" labelOnly="1" outline="0" fieldPosition="0">
        <references count="1">
          <reference field="10" count="1" defaultSubtotal="1">
            <x v="110"/>
          </reference>
        </references>
      </pivotArea>
    </format>
    <format dxfId="4406">
      <pivotArea dataOnly="0" labelOnly="1" outline="0" fieldPosition="0">
        <references count="1">
          <reference field="10" count="1">
            <x v="112"/>
          </reference>
        </references>
      </pivotArea>
    </format>
    <format dxfId="4407">
      <pivotArea dataOnly="0" labelOnly="1" outline="0" fieldPosition="0">
        <references count="1">
          <reference field="10" count="1" defaultSubtotal="1">
            <x v="112"/>
          </reference>
        </references>
      </pivotArea>
    </format>
    <format dxfId="4408">
      <pivotArea dataOnly="0" labelOnly="1" outline="0" fieldPosition="0">
        <references count="1">
          <reference field="10" count="1">
            <x v="113"/>
          </reference>
        </references>
      </pivotArea>
    </format>
    <format dxfId="4409">
      <pivotArea dataOnly="0" labelOnly="1" outline="0" fieldPosition="0">
        <references count="1">
          <reference field="10" count="1" defaultSubtotal="1">
            <x v="113"/>
          </reference>
        </references>
      </pivotArea>
    </format>
    <format dxfId="4410">
      <pivotArea dataOnly="0" labelOnly="1" outline="0" fieldPosition="0">
        <references count="1">
          <reference field="10" count="1">
            <x v="114"/>
          </reference>
        </references>
      </pivotArea>
    </format>
    <format dxfId="4411">
      <pivotArea dataOnly="0" labelOnly="1" outline="0" fieldPosition="0">
        <references count="1">
          <reference field="10" count="1" defaultSubtotal="1">
            <x v="114"/>
          </reference>
        </references>
      </pivotArea>
    </format>
    <format dxfId="4412">
      <pivotArea dataOnly="0" labelOnly="1" outline="0" fieldPosition="0">
        <references count="1">
          <reference field="10" count="1">
            <x v="126"/>
          </reference>
        </references>
      </pivotArea>
    </format>
    <format dxfId="4413">
      <pivotArea dataOnly="0" labelOnly="1" outline="0" fieldPosition="0">
        <references count="1">
          <reference field="10" count="1" defaultSubtotal="1">
            <x v="126"/>
          </reference>
        </references>
      </pivotArea>
    </format>
    <format dxfId="4414">
      <pivotArea dataOnly="0" labelOnly="1" outline="0" fieldPosition="0">
        <references count="1">
          <reference field="10" count="1">
            <x v="142"/>
          </reference>
        </references>
      </pivotArea>
    </format>
    <format dxfId="4415">
      <pivotArea dataOnly="0" labelOnly="1" outline="0" fieldPosition="0">
        <references count="1">
          <reference field="10" count="1" defaultSubtotal="1">
            <x v="142"/>
          </reference>
        </references>
      </pivotArea>
    </format>
    <format dxfId="4416">
      <pivotArea dataOnly="0" labelOnly="1" outline="0" fieldPosition="0">
        <references count="1">
          <reference field="10" count="1">
            <x v="143"/>
          </reference>
        </references>
      </pivotArea>
    </format>
    <format dxfId="4417">
      <pivotArea dataOnly="0" labelOnly="1" outline="0" fieldPosition="0">
        <references count="1">
          <reference field="10" count="1" defaultSubtotal="1">
            <x v="143"/>
          </reference>
        </references>
      </pivotArea>
    </format>
    <format dxfId="4418">
      <pivotArea dataOnly="0" labelOnly="1" outline="0" fieldPosition="0">
        <references count="1">
          <reference field="10" count="1">
            <x v="145"/>
          </reference>
        </references>
      </pivotArea>
    </format>
    <format dxfId="4419">
      <pivotArea dataOnly="0" labelOnly="1" outline="0" fieldPosition="0">
        <references count="1">
          <reference field="10" count="1" defaultSubtotal="1">
            <x v="145"/>
          </reference>
        </references>
      </pivotArea>
    </format>
    <format dxfId="4420">
      <pivotArea dataOnly="0" labelOnly="1" outline="0" fieldPosition="0">
        <references count="1">
          <reference field="10" count="1">
            <x v="157"/>
          </reference>
        </references>
      </pivotArea>
    </format>
    <format dxfId="4421">
      <pivotArea dataOnly="0" labelOnly="1" outline="0" fieldPosition="0">
        <references count="1">
          <reference field="10" count="1" defaultSubtotal="1">
            <x v="157"/>
          </reference>
        </references>
      </pivotArea>
    </format>
    <format dxfId="4422">
      <pivotArea dataOnly="0" labelOnly="1" outline="0" fieldPosition="0">
        <references count="1">
          <reference field="10" count="1">
            <x v="158"/>
          </reference>
        </references>
      </pivotArea>
    </format>
    <format dxfId="4423">
      <pivotArea dataOnly="0" labelOnly="1" outline="0" fieldPosition="0">
        <references count="1">
          <reference field="10" count="1" defaultSubtotal="1">
            <x v="158"/>
          </reference>
        </references>
      </pivotArea>
    </format>
    <format dxfId="4424">
      <pivotArea dataOnly="0" labelOnly="1" outline="0" fieldPosition="0">
        <references count="1">
          <reference field="10" count="1">
            <x v="170"/>
          </reference>
        </references>
      </pivotArea>
    </format>
    <format dxfId="4425">
      <pivotArea dataOnly="0" labelOnly="1" outline="0" fieldPosition="0">
        <references count="1">
          <reference field="10" count="1" defaultSubtotal="1">
            <x v="170"/>
          </reference>
        </references>
      </pivotArea>
    </format>
    <format dxfId="4426">
      <pivotArea dataOnly="0" labelOnly="1" outline="0" fieldPosition="0">
        <references count="1">
          <reference field="10" count="1">
            <x v="173"/>
          </reference>
        </references>
      </pivotArea>
    </format>
    <format dxfId="4427">
      <pivotArea dataOnly="0" labelOnly="1" outline="0" fieldPosition="0">
        <references count="1">
          <reference field="10" count="1" defaultSubtotal="1">
            <x v="173"/>
          </reference>
        </references>
      </pivotArea>
    </format>
    <format dxfId="4428">
      <pivotArea dataOnly="0" labelOnly="1" outline="0" fieldPosition="0">
        <references count="1">
          <reference field="10" count="1">
            <x v="174"/>
          </reference>
        </references>
      </pivotArea>
    </format>
    <format dxfId="4429">
      <pivotArea dataOnly="0" labelOnly="1" outline="0" fieldPosition="0">
        <references count="1">
          <reference field="10" count="1" defaultSubtotal="1">
            <x v="174"/>
          </reference>
        </references>
      </pivotArea>
    </format>
    <format dxfId="4430">
      <pivotArea dataOnly="0" labelOnly="1" outline="0" fieldPosition="0">
        <references count="1">
          <reference field="10" count="1">
            <x v="179"/>
          </reference>
        </references>
      </pivotArea>
    </format>
    <format dxfId="4431">
      <pivotArea dataOnly="0" labelOnly="1" outline="0" fieldPosition="0">
        <references count="1">
          <reference field="10" count="1" defaultSubtotal="1">
            <x v="179"/>
          </reference>
        </references>
      </pivotArea>
    </format>
    <format dxfId="4432">
      <pivotArea dataOnly="0" labelOnly="1" outline="0" fieldPosition="0">
        <references count="1">
          <reference field="10" count="1">
            <x v="184"/>
          </reference>
        </references>
      </pivotArea>
    </format>
    <format dxfId="4433">
      <pivotArea dataOnly="0" labelOnly="1" outline="0" fieldPosition="0">
        <references count="1">
          <reference field="10" count="1" defaultSubtotal="1">
            <x v="184"/>
          </reference>
        </references>
      </pivotArea>
    </format>
    <format dxfId="4434">
      <pivotArea dataOnly="0" labelOnly="1" outline="0" fieldPosition="0">
        <references count="1">
          <reference field="10" count="1">
            <x v="185"/>
          </reference>
        </references>
      </pivotArea>
    </format>
    <format dxfId="4435">
      <pivotArea dataOnly="0" labelOnly="1" outline="0" fieldPosition="0">
        <references count="1">
          <reference field="10" count="1" defaultSubtotal="1">
            <x v="185"/>
          </reference>
        </references>
      </pivotArea>
    </format>
    <format dxfId="4436">
      <pivotArea dataOnly="0" labelOnly="1" outline="0" fieldPosition="0">
        <references count="1">
          <reference field="10" count="1">
            <x v="186"/>
          </reference>
        </references>
      </pivotArea>
    </format>
    <format dxfId="4437">
      <pivotArea dataOnly="0" labelOnly="1" outline="0" fieldPosition="0">
        <references count="1">
          <reference field="10" count="1" defaultSubtotal="1">
            <x v="186"/>
          </reference>
        </references>
      </pivotArea>
    </format>
    <format dxfId="4438">
      <pivotArea dataOnly="0" labelOnly="1" outline="0" fieldPosition="0">
        <references count="1">
          <reference field="10" count="1">
            <x v="189"/>
          </reference>
        </references>
      </pivotArea>
    </format>
    <format dxfId="4439">
      <pivotArea dataOnly="0" labelOnly="1" outline="0" fieldPosition="0">
        <references count="1">
          <reference field="10" count="1" defaultSubtotal="1">
            <x v="189"/>
          </reference>
        </references>
      </pivotArea>
    </format>
    <format dxfId="4440">
      <pivotArea dataOnly="0" labelOnly="1" outline="0" fieldPosition="0">
        <references count="1">
          <reference field="10" count="1">
            <x v="190"/>
          </reference>
        </references>
      </pivotArea>
    </format>
    <format dxfId="4441">
      <pivotArea dataOnly="0" labelOnly="1" outline="0" fieldPosition="0">
        <references count="1">
          <reference field="10" count="1" defaultSubtotal="1">
            <x v="190"/>
          </reference>
        </references>
      </pivotArea>
    </format>
    <format dxfId="4442">
      <pivotArea dataOnly="0" labelOnly="1" outline="0" fieldPosition="0">
        <references count="1">
          <reference field="10" count="1">
            <x v="202"/>
          </reference>
        </references>
      </pivotArea>
    </format>
    <format dxfId="4443">
      <pivotArea dataOnly="0" labelOnly="1" outline="0" fieldPosition="0">
        <references count="1">
          <reference field="10" count="1" defaultSubtotal="1">
            <x v="202"/>
          </reference>
        </references>
      </pivotArea>
    </format>
    <format dxfId="4444">
      <pivotArea dataOnly="0" labelOnly="1" outline="0" fieldPosition="0">
        <references count="1">
          <reference field="10" count="1">
            <x v="205"/>
          </reference>
        </references>
      </pivotArea>
    </format>
    <format dxfId="4445">
      <pivotArea dataOnly="0" labelOnly="1" outline="0" fieldPosition="0">
        <references count="1">
          <reference field="10" count="1" defaultSubtotal="1">
            <x v="205"/>
          </reference>
        </references>
      </pivotArea>
    </format>
    <format dxfId="4446">
      <pivotArea dataOnly="0" labelOnly="1" outline="0" fieldPosition="0">
        <references count="1">
          <reference field="10" count="1">
            <x v="210"/>
          </reference>
        </references>
      </pivotArea>
    </format>
    <format dxfId="4447">
      <pivotArea dataOnly="0" labelOnly="1" outline="0" fieldPosition="0">
        <references count="1">
          <reference field="10" count="1" defaultSubtotal="1">
            <x v="210"/>
          </reference>
        </references>
      </pivotArea>
    </format>
    <format dxfId="4448">
      <pivotArea dataOnly="0" labelOnly="1" outline="0" fieldPosition="0">
        <references count="1">
          <reference field="10" count="1">
            <x v="215"/>
          </reference>
        </references>
      </pivotArea>
    </format>
    <format dxfId="4449">
      <pivotArea dataOnly="0" labelOnly="1" outline="0" fieldPosition="0">
        <references count="1">
          <reference field="10" count="1" defaultSubtotal="1">
            <x v="215"/>
          </reference>
        </references>
      </pivotArea>
    </format>
    <format dxfId="4450">
      <pivotArea dataOnly="0" labelOnly="1" outline="0" fieldPosition="0">
        <references count="1">
          <reference field="10" count="1">
            <x v="217"/>
          </reference>
        </references>
      </pivotArea>
    </format>
    <format dxfId="4451">
      <pivotArea dataOnly="0" labelOnly="1" outline="0" fieldPosition="0">
        <references count="1">
          <reference field="10" count="1" defaultSubtotal="1">
            <x v="217"/>
          </reference>
        </references>
      </pivotArea>
    </format>
    <format dxfId="4452">
      <pivotArea dataOnly="0" labelOnly="1" outline="0" fieldPosition="0">
        <references count="1">
          <reference field="10" count="1">
            <x v="223"/>
          </reference>
        </references>
      </pivotArea>
    </format>
    <format dxfId="4453">
      <pivotArea dataOnly="0" labelOnly="1" outline="0" fieldPosition="0">
        <references count="1">
          <reference field="10" count="1" defaultSubtotal="1">
            <x v="223"/>
          </reference>
        </references>
      </pivotArea>
    </format>
    <format dxfId="4454">
      <pivotArea dataOnly="0" labelOnly="1" outline="0" fieldPosition="0">
        <references count="1">
          <reference field="10" count="1">
            <x v="234"/>
          </reference>
        </references>
      </pivotArea>
    </format>
    <format dxfId="4455">
      <pivotArea dataOnly="0" labelOnly="1" outline="0" fieldPosition="0">
        <references count="1">
          <reference field="10" count="1" defaultSubtotal="1">
            <x v="234"/>
          </reference>
        </references>
      </pivotArea>
    </format>
    <format dxfId="4456">
      <pivotArea dataOnly="0" labelOnly="1" outline="0" fieldPosition="0">
        <references count="1">
          <reference field="10" count="1">
            <x v="240"/>
          </reference>
        </references>
      </pivotArea>
    </format>
    <format dxfId="4457">
      <pivotArea dataOnly="0" labelOnly="1" outline="0" fieldPosition="0">
        <references count="1">
          <reference field="10" count="1" defaultSubtotal="1">
            <x v="240"/>
          </reference>
        </references>
      </pivotArea>
    </format>
    <format dxfId="4458">
      <pivotArea dataOnly="0" labelOnly="1" outline="0" fieldPosition="0">
        <references count="1">
          <reference field="10" count="1">
            <x v="241"/>
          </reference>
        </references>
      </pivotArea>
    </format>
    <format dxfId="4459">
      <pivotArea dataOnly="0" labelOnly="1" outline="0" fieldPosition="0">
        <references count="1">
          <reference field="10" count="1" defaultSubtotal="1">
            <x v="241"/>
          </reference>
        </references>
      </pivotArea>
    </format>
    <format dxfId="4460">
      <pivotArea dataOnly="0" labelOnly="1" outline="0" fieldPosition="0">
        <references count="1">
          <reference field="10" count="1">
            <x v="253"/>
          </reference>
        </references>
      </pivotArea>
    </format>
    <format dxfId="4461">
      <pivotArea dataOnly="0" labelOnly="1" outline="0" fieldPosition="0">
        <references count="1">
          <reference field="10" count="1" defaultSubtotal="1">
            <x v="253"/>
          </reference>
        </references>
      </pivotArea>
    </format>
    <format dxfId="4462">
      <pivotArea dataOnly="0" labelOnly="1" outline="0" fieldPosition="0">
        <references count="1">
          <reference field="10" count="1">
            <x v="254"/>
          </reference>
        </references>
      </pivotArea>
    </format>
    <format dxfId="4463">
      <pivotArea dataOnly="0" labelOnly="1" outline="0" fieldPosition="0">
        <references count="1">
          <reference field="10" count="1" defaultSubtotal="1">
            <x v="254"/>
          </reference>
        </references>
      </pivotArea>
    </format>
    <format dxfId="4464">
      <pivotArea dataOnly="0" labelOnly="1" outline="0" fieldPosition="0">
        <references count="1">
          <reference field="10" count="1">
            <x v="255"/>
          </reference>
        </references>
      </pivotArea>
    </format>
    <format dxfId="4465">
      <pivotArea dataOnly="0" labelOnly="1" outline="0" fieldPosition="0">
        <references count="1">
          <reference field="10" count="1" defaultSubtotal="1">
            <x v="255"/>
          </reference>
        </references>
      </pivotArea>
    </format>
    <format dxfId="4466">
      <pivotArea dataOnly="0" labelOnly="1" outline="0" fieldPosition="0">
        <references count="1">
          <reference field="10" count="1">
            <x v="257"/>
          </reference>
        </references>
      </pivotArea>
    </format>
    <format dxfId="4467">
      <pivotArea dataOnly="0" labelOnly="1" outline="0" fieldPosition="0">
        <references count="1">
          <reference field="10" count="1" defaultSubtotal="1">
            <x v="257"/>
          </reference>
        </references>
      </pivotArea>
    </format>
    <format dxfId="4468">
      <pivotArea dataOnly="0" labelOnly="1" outline="0" fieldPosition="0">
        <references count="1">
          <reference field="10" count="1">
            <x v="259"/>
          </reference>
        </references>
      </pivotArea>
    </format>
    <format dxfId="4469">
      <pivotArea dataOnly="0" labelOnly="1" outline="0" fieldPosition="0">
        <references count="1">
          <reference field="10" count="1" defaultSubtotal="1">
            <x v="259"/>
          </reference>
        </references>
      </pivotArea>
    </format>
    <format dxfId="4470">
      <pivotArea dataOnly="0" labelOnly="1" outline="0" fieldPosition="0">
        <references count="1">
          <reference field="10" count="1">
            <x v="264"/>
          </reference>
        </references>
      </pivotArea>
    </format>
    <format dxfId="4471">
      <pivotArea dataOnly="0" labelOnly="1" outline="0" fieldPosition="0">
        <references count="1">
          <reference field="10" count="1" defaultSubtotal="1">
            <x v="264"/>
          </reference>
        </references>
      </pivotArea>
    </format>
    <format dxfId="4472">
      <pivotArea dataOnly="0" labelOnly="1" outline="0" fieldPosition="0">
        <references count="1">
          <reference field="10" count="1">
            <x v="265"/>
          </reference>
        </references>
      </pivotArea>
    </format>
    <format dxfId="4473">
      <pivotArea dataOnly="0" labelOnly="1" outline="0" fieldPosition="0">
        <references count="1">
          <reference field="10" count="1" defaultSubtotal="1">
            <x v="265"/>
          </reference>
        </references>
      </pivotArea>
    </format>
    <format dxfId="4474">
      <pivotArea dataOnly="0" labelOnly="1" outline="0" fieldPosition="0">
        <references count="1">
          <reference field="10" count="1">
            <x v="270"/>
          </reference>
        </references>
      </pivotArea>
    </format>
    <format dxfId="4475">
      <pivotArea dataOnly="0" labelOnly="1" outline="0" fieldPosition="0">
        <references count="1">
          <reference field="10" count="1" defaultSubtotal="1">
            <x v="270"/>
          </reference>
        </references>
      </pivotArea>
    </format>
    <format dxfId="4476">
      <pivotArea dataOnly="0" labelOnly="1" outline="0" fieldPosition="0">
        <references count="1">
          <reference field="10" count="1">
            <x v="272"/>
          </reference>
        </references>
      </pivotArea>
    </format>
    <format dxfId="4477">
      <pivotArea dataOnly="0" labelOnly="1" outline="0" fieldPosition="0">
        <references count="1">
          <reference field="10" count="1" defaultSubtotal="1">
            <x v="272"/>
          </reference>
        </references>
      </pivotArea>
    </format>
    <format dxfId="4478">
      <pivotArea dataOnly="0" labelOnly="1" outline="0" fieldPosition="0">
        <references count="1">
          <reference field="10" count="1">
            <x v="276"/>
          </reference>
        </references>
      </pivotArea>
    </format>
    <format dxfId="4479">
      <pivotArea dataOnly="0" labelOnly="1" outline="0" fieldPosition="0">
        <references count="1">
          <reference field="10" count="1" defaultSubtotal="1">
            <x v="276"/>
          </reference>
        </references>
      </pivotArea>
    </format>
    <format dxfId="4480">
      <pivotArea dataOnly="0" labelOnly="1" outline="0" fieldPosition="0">
        <references count="1">
          <reference field="10" count="1">
            <x v="280"/>
          </reference>
        </references>
      </pivotArea>
    </format>
    <format dxfId="4481">
      <pivotArea dataOnly="0" labelOnly="1" outline="0" fieldPosition="0">
        <references count="1">
          <reference field="10" count="1" defaultSubtotal="1">
            <x v="280"/>
          </reference>
        </references>
      </pivotArea>
    </format>
    <format dxfId="4482">
      <pivotArea dataOnly="0" labelOnly="1" outline="0" fieldPosition="0">
        <references count="1">
          <reference field="10" count="1">
            <x v="281"/>
          </reference>
        </references>
      </pivotArea>
    </format>
    <format dxfId="4483">
      <pivotArea dataOnly="0" labelOnly="1" outline="0" fieldPosition="0">
        <references count="1">
          <reference field="10" count="1" defaultSubtotal="1">
            <x v="281"/>
          </reference>
        </references>
      </pivotArea>
    </format>
    <format dxfId="4484">
      <pivotArea dataOnly="0" labelOnly="1" outline="0" fieldPosition="0">
        <references count="1">
          <reference field="10" count="1">
            <x v="286"/>
          </reference>
        </references>
      </pivotArea>
    </format>
    <format dxfId="4485">
      <pivotArea dataOnly="0" labelOnly="1" outline="0" fieldPosition="0">
        <references count="1">
          <reference field="10" count="1" defaultSubtotal="1">
            <x v="286"/>
          </reference>
        </references>
      </pivotArea>
    </format>
    <format dxfId="4486">
      <pivotArea dataOnly="0" labelOnly="1" outline="0" fieldPosition="0">
        <references count="1">
          <reference field="10" count="1">
            <x v="291"/>
          </reference>
        </references>
      </pivotArea>
    </format>
    <format dxfId="4487">
      <pivotArea dataOnly="0" labelOnly="1" outline="0" fieldPosition="0">
        <references count="1">
          <reference field="10" count="1" defaultSubtotal="1">
            <x v="291"/>
          </reference>
        </references>
      </pivotArea>
    </format>
    <format dxfId="4488">
      <pivotArea dataOnly="0" labelOnly="1" outline="0" fieldPosition="0">
        <references count="1">
          <reference field="10" count="1">
            <x v="295"/>
          </reference>
        </references>
      </pivotArea>
    </format>
    <format dxfId="4489">
      <pivotArea dataOnly="0" labelOnly="1" outline="0" fieldPosition="0">
        <references count="1">
          <reference field="10" count="1" defaultSubtotal="1">
            <x v="295"/>
          </reference>
        </references>
      </pivotArea>
    </format>
    <format dxfId="4490">
      <pivotArea dataOnly="0" labelOnly="1" outline="0" fieldPosition="0">
        <references count="1">
          <reference field="10" count="1">
            <x v="309"/>
          </reference>
        </references>
      </pivotArea>
    </format>
    <format dxfId="4491">
      <pivotArea dataOnly="0" labelOnly="1" outline="0" fieldPosition="0">
        <references count="1">
          <reference field="10" count="1" defaultSubtotal="1">
            <x v="309"/>
          </reference>
        </references>
      </pivotArea>
    </format>
    <format dxfId="4492">
      <pivotArea dataOnly="0" labelOnly="1" outline="0" fieldPosition="0">
        <references count="1">
          <reference field="10" count="1">
            <x v="310"/>
          </reference>
        </references>
      </pivotArea>
    </format>
    <format dxfId="4493">
      <pivotArea dataOnly="0" labelOnly="1" outline="0" fieldPosition="0">
        <references count="1">
          <reference field="10" count="1" defaultSubtotal="1">
            <x v="310"/>
          </reference>
        </references>
      </pivotArea>
    </format>
    <format dxfId="4494">
      <pivotArea dataOnly="0" labelOnly="1" outline="0" fieldPosition="0">
        <references count="1">
          <reference field="10" count="1">
            <x v="324"/>
          </reference>
        </references>
      </pivotArea>
    </format>
    <format dxfId="4495">
      <pivotArea dataOnly="0" labelOnly="1" outline="0" fieldPosition="0">
        <references count="1">
          <reference field="10" count="1" defaultSubtotal="1">
            <x v="324"/>
          </reference>
        </references>
      </pivotArea>
    </format>
    <format dxfId="4496">
      <pivotArea dataOnly="0" labelOnly="1" outline="0" fieldPosition="0">
        <references count="1">
          <reference field="10" count="1">
            <x v="327"/>
          </reference>
        </references>
      </pivotArea>
    </format>
    <format dxfId="4497">
      <pivotArea dataOnly="0" labelOnly="1" outline="0" fieldPosition="0">
        <references count="1">
          <reference field="10" count="1" defaultSubtotal="1">
            <x v="327"/>
          </reference>
        </references>
      </pivotArea>
    </format>
    <format dxfId="4498">
      <pivotArea dataOnly="0" labelOnly="1" outline="0" fieldPosition="0">
        <references count="1">
          <reference field="10" count="1">
            <x v="333"/>
          </reference>
        </references>
      </pivotArea>
    </format>
    <format dxfId="4499">
      <pivotArea dataOnly="0" labelOnly="1" outline="0" fieldPosition="0">
        <references count="1">
          <reference field="10" count="1" defaultSubtotal="1">
            <x v="333"/>
          </reference>
        </references>
      </pivotArea>
    </format>
    <format dxfId="4500">
      <pivotArea dataOnly="0" labelOnly="1" outline="0" fieldPosition="0">
        <references count="1">
          <reference field="10" count="1">
            <x v="334"/>
          </reference>
        </references>
      </pivotArea>
    </format>
    <format dxfId="4501">
      <pivotArea dataOnly="0" labelOnly="1" outline="0" fieldPosition="0">
        <references count="1">
          <reference field="10" count="1" defaultSubtotal="1">
            <x v="334"/>
          </reference>
        </references>
      </pivotArea>
    </format>
    <format dxfId="4502">
      <pivotArea dataOnly="0" labelOnly="1" outline="0" fieldPosition="0">
        <references count="1">
          <reference field="10" count="1">
            <x v="338"/>
          </reference>
        </references>
      </pivotArea>
    </format>
    <format dxfId="4503">
      <pivotArea dataOnly="0" labelOnly="1" outline="0" fieldPosition="0">
        <references count="1">
          <reference field="10" count="1" defaultSubtotal="1">
            <x v="338"/>
          </reference>
        </references>
      </pivotArea>
    </format>
    <format dxfId="4504">
      <pivotArea dataOnly="0" labelOnly="1" outline="0" fieldPosition="0">
        <references count="1">
          <reference field="10" count="1">
            <x v="341"/>
          </reference>
        </references>
      </pivotArea>
    </format>
    <format dxfId="4505">
      <pivotArea dataOnly="0" labelOnly="1" outline="0" fieldPosition="0">
        <references count="1">
          <reference field="10" count="1" defaultSubtotal="1">
            <x v="341"/>
          </reference>
        </references>
      </pivotArea>
    </format>
    <format dxfId="4506">
      <pivotArea dataOnly="0" labelOnly="1" outline="0" fieldPosition="0">
        <references count="1">
          <reference field="10" count="1">
            <x v="350"/>
          </reference>
        </references>
      </pivotArea>
    </format>
    <format dxfId="4507">
      <pivotArea dataOnly="0" labelOnly="1" outline="0" fieldPosition="0">
        <references count="1">
          <reference field="10" count="1" defaultSubtotal="1">
            <x v="350"/>
          </reference>
        </references>
      </pivotArea>
    </format>
    <format dxfId="4508">
      <pivotArea dataOnly="0" labelOnly="1" outline="0" fieldPosition="0">
        <references count="1">
          <reference field="10" count="1">
            <x v="352"/>
          </reference>
        </references>
      </pivotArea>
    </format>
    <format dxfId="4509">
      <pivotArea dataOnly="0" labelOnly="1" outline="0" fieldPosition="0">
        <references count="1">
          <reference field="10" count="1" defaultSubtotal="1">
            <x v="352"/>
          </reference>
        </references>
      </pivotArea>
    </format>
    <format dxfId="4510">
      <pivotArea dataOnly="0" labelOnly="1" outline="0" fieldPosition="0">
        <references count="1">
          <reference field="10" count="1">
            <x v="353"/>
          </reference>
        </references>
      </pivotArea>
    </format>
    <format dxfId="4511">
      <pivotArea dataOnly="0" labelOnly="1" outline="0" fieldPosition="0">
        <references count="1">
          <reference field="10" count="1" defaultSubtotal="1">
            <x v="353"/>
          </reference>
        </references>
      </pivotArea>
    </format>
    <format dxfId="4512">
      <pivotArea dataOnly="0" labelOnly="1" outline="0" fieldPosition="0">
        <references count="1">
          <reference field="10" count="1">
            <x v="358"/>
          </reference>
        </references>
      </pivotArea>
    </format>
    <format dxfId="4513">
      <pivotArea dataOnly="0" labelOnly="1" outline="0" fieldPosition="0">
        <references count="1">
          <reference field="10" count="1" defaultSubtotal="1">
            <x v="358"/>
          </reference>
        </references>
      </pivotArea>
    </format>
    <format dxfId="4514">
      <pivotArea dataOnly="0" labelOnly="1" outline="0" fieldPosition="0">
        <references count="1">
          <reference field="10" count="1">
            <x v="372"/>
          </reference>
        </references>
      </pivotArea>
    </format>
    <format dxfId="4515">
      <pivotArea dataOnly="0" labelOnly="1" outline="0" fieldPosition="0">
        <references count="1">
          <reference field="10" count="1" defaultSubtotal="1">
            <x v="372"/>
          </reference>
        </references>
      </pivotArea>
    </format>
    <format dxfId="4516">
      <pivotArea dataOnly="0" labelOnly="1" outline="0" fieldPosition="0">
        <references count="1">
          <reference field="10" count="1">
            <x v="374"/>
          </reference>
        </references>
      </pivotArea>
    </format>
    <format dxfId="4517">
      <pivotArea dataOnly="0" labelOnly="1" outline="0" fieldPosition="0">
        <references count="1">
          <reference field="10" count="1" defaultSubtotal="1">
            <x v="374"/>
          </reference>
        </references>
      </pivotArea>
    </format>
    <format dxfId="4518">
      <pivotArea dataOnly="0" labelOnly="1" outline="0" fieldPosition="0">
        <references count="1">
          <reference field="10" count="1">
            <x v="379"/>
          </reference>
        </references>
      </pivotArea>
    </format>
    <format dxfId="4519">
      <pivotArea dataOnly="0" labelOnly="1" outline="0" fieldPosition="0">
        <references count="1">
          <reference field="10" count="1" defaultSubtotal="1">
            <x v="379"/>
          </reference>
        </references>
      </pivotArea>
    </format>
    <format dxfId="4520">
      <pivotArea dataOnly="0" labelOnly="1" outline="0" fieldPosition="0">
        <references count="1">
          <reference field="10" count="1">
            <x v="381"/>
          </reference>
        </references>
      </pivotArea>
    </format>
    <format dxfId="4521">
      <pivotArea dataOnly="0" labelOnly="1" outline="0" fieldPosition="0">
        <references count="1">
          <reference field="10" count="1" defaultSubtotal="1">
            <x v="381"/>
          </reference>
        </references>
      </pivotArea>
    </format>
    <format dxfId="4522">
      <pivotArea dataOnly="0" labelOnly="1" outline="0" fieldPosition="0">
        <references count="1">
          <reference field="10" count="1">
            <x v="386"/>
          </reference>
        </references>
      </pivotArea>
    </format>
    <format dxfId="4523">
      <pivotArea dataOnly="0" labelOnly="1" outline="0" fieldPosition="0">
        <references count="1">
          <reference field="10" count="1" defaultSubtotal="1">
            <x v="386"/>
          </reference>
        </references>
      </pivotArea>
    </format>
    <format dxfId="4524">
      <pivotArea dataOnly="0" labelOnly="1" outline="0" fieldPosition="0">
        <references count="1">
          <reference field="10" count="1">
            <x v="395"/>
          </reference>
        </references>
      </pivotArea>
    </format>
    <format dxfId="4525">
      <pivotArea dataOnly="0" labelOnly="1" outline="0" fieldPosition="0">
        <references count="1">
          <reference field="10" count="1" defaultSubtotal="1">
            <x v="395"/>
          </reference>
        </references>
      </pivotArea>
    </format>
    <format dxfId="4526">
      <pivotArea dataOnly="0" labelOnly="1" outline="0" fieldPosition="0">
        <references count="1">
          <reference field="10" count="1">
            <x v="396"/>
          </reference>
        </references>
      </pivotArea>
    </format>
    <format dxfId="4527">
      <pivotArea dataOnly="0" labelOnly="1" outline="0" fieldPosition="0">
        <references count="1">
          <reference field="10" count="1" defaultSubtotal="1">
            <x v="396"/>
          </reference>
        </references>
      </pivotArea>
    </format>
    <format dxfId="4528">
      <pivotArea dataOnly="0" labelOnly="1" outline="0" fieldPosition="0">
        <references count="1">
          <reference field="10" count="1">
            <x v="400"/>
          </reference>
        </references>
      </pivotArea>
    </format>
    <format dxfId="4529">
      <pivotArea dataOnly="0" labelOnly="1" outline="0" fieldPosition="0">
        <references count="1">
          <reference field="10" count="1" defaultSubtotal="1">
            <x v="400"/>
          </reference>
        </references>
      </pivotArea>
    </format>
    <format dxfId="4530">
      <pivotArea dataOnly="0" labelOnly="1" outline="0" fieldPosition="0">
        <references count="1">
          <reference field="10" count="1">
            <x v="401"/>
          </reference>
        </references>
      </pivotArea>
    </format>
    <format dxfId="4531">
      <pivotArea dataOnly="0" labelOnly="1" outline="0" fieldPosition="0">
        <references count="1">
          <reference field="10" count="1" defaultSubtotal="1">
            <x v="401"/>
          </reference>
        </references>
      </pivotArea>
    </format>
    <format dxfId="4532">
      <pivotArea dataOnly="0" labelOnly="1" outline="0" fieldPosition="0">
        <references count="1">
          <reference field="10" count="1">
            <x v="402"/>
          </reference>
        </references>
      </pivotArea>
    </format>
    <format dxfId="4533">
      <pivotArea dataOnly="0" labelOnly="1" outline="0" fieldPosition="0">
        <references count="1">
          <reference field="10" count="1" defaultSubtotal="1">
            <x v="402"/>
          </reference>
        </references>
      </pivotArea>
    </format>
    <format dxfId="4534">
      <pivotArea dataOnly="0" labelOnly="1" outline="0" fieldPosition="0">
        <references count="1">
          <reference field="10" count="1">
            <x v="403"/>
          </reference>
        </references>
      </pivotArea>
    </format>
    <format dxfId="4535">
      <pivotArea dataOnly="0" labelOnly="1" outline="0" fieldPosition="0">
        <references count="1">
          <reference field="10" count="1" defaultSubtotal="1">
            <x v="403"/>
          </reference>
        </references>
      </pivotArea>
    </format>
    <format dxfId="4536">
      <pivotArea dataOnly="0" labelOnly="1" outline="0" fieldPosition="0">
        <references count="1">
          <reference field="10" count="1">
            <x v="406"/>
          </reference>
        </references>
      </pivotArea>
    </format>
    <format dxfId="4537">
      <pivotArea dataOnly="0" labelOnly="1" outline="0" fieldPosition="0">
        <references count="1">
          <reference field="10" count="1" defaultSubtotal="1">
            <x v="406"/>
          </reference>
        </references>
      </pivotArea>
    </format>
    <format dxfId="4538">
      <pivotArea dataOnly="0" labelOnly="1" outline="0" fieldPosition="0">
        <references count="1">
          <reference field="10" count="1">
            <x v="411"/>
          </reference>
        </references>
      </pivotArea>
    </format>
    <format dxfId="4539">
      <pivotArea dataOnly="0" labelOnly="1" outline="0" fieldPosition="0">
        <references count="1">
          <reference field="10" count="1" defaultSubtotal="1">
            <x v="411"/>
          </reference>
        </references>
      </pivotArea>
    </format>
    <format dxfId="4540">
      <pivotArea dataOnly="0" labelOnly="1" outline="0" fieldPosition="0">
        <references count="1">
          <reference field="10" count="1">
            <x v="413"/>
          </reference>
        </references>
      </pivotArea>
    </format>
    <format dxfId="4541">
      <pivotArea dataOnly="0" labelOnly="1" outline="0" fieldPosition="0">
        <references count="1">
          <reference field="10" count="1" defaultSubtotal="1">
            <x v="413"/>
          </reference>
        </references>
      </pivotArea>
    </format>
    <format dxfId="4542">
      <pivotArea dataOnly="0" labelOnly="1" outline="0" fieldPosition="0">
        <references count="1">
          <reference field="10" count="1">
            <x v="417"/>
          </reference>
        </references>
      </pivotArea>
    </format>
    <format dxfId="4543">
      <pivotArea dataOnly="0" labelOnly="1" outline="0" fieldPosition="0">
        <references count="1">
          <reference field="10" count="1" defaultSubtotal="1">
            <x v="417"/>
          </reference>
        </references>
      </pivotArea>
    </format>
    <format dxfId="4544">
      <pivotArea dataOnly="0" labelOnly="1" outline="0" fieldPosition="0">
        <references count="1">
          <reference field="10" count="1">
            <x v="419"/>
          </reference>
        </references>
      </pivotArea>
    </format>
    <format dxfId="4545">
      <pivotArea dataOnly="0" labelOnly="1" outline="0" fieldPosition="0">
        <references count="1">
          <reference field="10" count="1" defaultSubtotal="1">
            <x v="419"/>
          </reference>
        </references>
      </pivotArea>
    </format>
    <format dxfId="4546">
      <pivotArea dataOnly="0" labelOnly="1" outline="0" fieldPosition="0">
        <references count="1">
          <reference field="10" count="1">
            <x v="430"/>
          </reference>
        </references>
      </pivotArea>
    </format>
    <format dxfId="4547">
      <pivotArea dataOnly="0" labelOnly="1" outline="0" fieldPosition="0">
        <references count="1">
          <reference field="10" count="1" defaultSubtotal="1">
            <x v="430"/>
          </reference>
        </references>
      </pivotArea>
    </format>
    <format dxfId="4548">
      <pivotArea dataOnly="0" labelOnly="1" outline="0" fieldPosition="0">
        <references count="1">
          <reference field="10" count="1">
            <x v="431"/>
          </reference>
        </references>
      </pivotArea>
    </format>
    <format dxfId="4549">
      <pivotArea dataOnly="0" labelOnly="1" outline="0" fieldPosition="0">
        <references count="1">
          <reference field="10" count="1" defaultSubtotal="1">
            <x v="431"/>
          </reference>
        </references>
      </pivotArea>
    </format>
    <format dxfId="4550">
      <pivotArea dataOnly="0" labelOnly="1" outline="0" fieldPosition="0">
        <references count="1">
          <reference field="10" count="1">
            <x v="432"/>
          </reference>
        </references>
      </pivotArea>
    </format>
    <format dxfId="4551">
      <pivotArea dataOnly="0" labelOnly="1" outline="0" fieldPosition="0">
        <references count="1">
          <reference field="10" count="1" defaultSubtotal="1">
            <x v="432"/>
          </reference>
        </references>
      </pivotArea>
    </format>
    <format dxfId="4552">
      <pivotArea dataOnly="0" labelOnly="1" outline="0" fieldPosition="0">
        <references count="1">
          <reference field="10" count="1">
            <x v="444"/>
          </reference>
        </references>
      </pivotArea>
    </format>
    <format dxfId="4553">
      <pivotArea dataOnly="0" labelOnly="1" outline="0" fieldPosition="0">
        <references count="1">
          <reference field="10" count="1" defaultSubtotal="1">
            <x v="444"/>
          </reference>
        </references>
      </pivotArea>
    </format>
    <format dxfId="4554">
      <pivotArea dataOnly="0" labelOnly="1" outline="0" fieldPosition="0">
        <references count="1">
          <reference field="10" count="1">
            <x v="445"/>
          </reference>
        </references>
      </pivotArea>
    </format>
    <format dxfId="4555">
      <pivotArea dataOnly="0" labelOnly="1" outline="0" fieldPosition="0">
        <references count="1">
          <reference field="10" count="1" defaultSubtotal="1">
            <x v="445"/>
          </reference>
        </references>
      </pivotArea>
    </format>
    <format dxfId="4556">
      <pivotArea dataOnly="0" labelOnly="1" outline="0" fieldPosition="0">
        <references count="1">
          <reference field="10" count="1">
            <x v="450"/>
          </reference>
        </references>
      </pivotArea>
    </format>
    <format dxfId="4557">
      <pivotArea dataOnly="0" labelOnly="1" outline="0" fieldPosition="0">
        <references count="1">
          <reference field="10" count="1" defaultSubtotal="1">
            <x v="450"/>
          </reference>
        </references>
      </pivotArea>
    </format>
    <format dxfId="4558">
      <pivotArea dataOnly="0" labelOnly="1" outline="0" fieldPosition="0">
        <references count="1">
          <reference field="10" count="1">
            <x v="454"/>
          </reference>
        </references>
      </pivotArea>
    </format>
    <format dxfId="4559">
      <pivotArea dataOnly="0" labelOnly="1" outline="0" fieldPosition="0">
        <references count="1">
          <reference field="10" count="1" defaultSubtotal="1">
            <x v="454"/>
          </reference>
        </references>
      </pivotArea>
    </format>
    <format dxfId="4560">
      <pivotArea dataOnly="0" labelOnly="1" outline="0" fieldPosition="0">
        <references count="1">
          <reference field="10" count="1">
            <x v="457"/>
          </reference>
        </references>
      </pivotArea>
    </format>
    <format dxfId="4561">
      <pivotArea dataOnly="0" labelOnly="1" outline="0" fieldPosition="0">
        <references count="1">
          <reference field="10" count="1" defaultSubtotal="1">
            <x v="457"/>
          </reference>
        </references>
      </pivotArea>
    </format>
    <format dxfId="4562">
      <pivotArea dataOnly="0" labelOnly="1" outline="0" fieldPosition="0">
        <references count="1">
          <reference field="10" count="1">
            <x v="470"/>
          </reference>
        </references>
      </pivotArea>
    </format>
    <format dxfId="4563">
      <pivotArea dataOnly="0" labelOnly="1" outline="0" fieldPosition="0">
        <references count="1">
          <reference field="10" count="1" defaultSubtotal="1">
            <x v="470"/>
          </reference>
        </references>
      </pivotArea>
    </format>
    <format dxfId="4564">
      <pivotArea dataOnly="0" labelOnly="1" outline="0" fieldPosition="0">
        <references count="1">
          <reference field="10" count="1">
            <x v="471"/>
          </reference>
        </references>
      </pivotArea>
    </format>
    <format dxfId="4565">
      <pivotArea dataOnly="0" labelOnly="1" outline="0" fieldPosition="0">
        <references count="1">
          <reference field="10" count="1" defaultSubtotal="1">
            <x v="471"/>
          </reference>
        </references>
      </pivotArea>
    </format>
    <format dxfId="4566">
      <pivotArea dataOnly="0" labelOnly="1" outline="0" fieldPosition="0">
        <references count="1">
          <reference field="10" count="1">
            <x v="478"/>
          </reference>
        </references>
      </pivotArea>
    </format>
    <format dxfId="4567">
      <pivotArea dataOnly="0" labelOnly="1" outline="0" fieldPosition="0">
        <references count="1">
          <reference field="10" count="1" defaultSubtotal="1">
            <x v="478"/>
          </reference>
        </references>
      </pivotArea>
    </format>
    <format dxfId="4568">
      <pivotArea dataOnly="0" labelOnly="1" outline="0" fieldPosition="0">
        <references count="1">
          <reference field="10" count="1">
            <x v="480"/>
          </reference>
        </references>
      </pivotArea>
    </format>
    <format dxfId="4569">
      <pivotArea dataOnly="0" labelOnly="1" outline="0" fieldPosition="0">
        <references count="1">
          <reference field="10" count="1" defaultSubtotal="1">
            <x v="480"/>
          </reference>
        </references>
      </pivotArea>
    </format>
    <format dxfId="4570">
      <pivotArea dataOnly="0" labelOnly="1" outline="0" fieldPosition="0">
        <references count="1">
          <reference field="10" count="1">
            <x v="481"/>
          </reference>
        </references>
      </pivotArea>
    </format>
    <format dxfId="4571">
      <pivotArea dataOnly="0" labelOnly="1" outline="0" fieldPosition="0">
        <references count="1">
          <reference field="10" count="1" defaultSubtotal="1">
            <x v="481"/>
          </reference>
        </references>
      </pivotArea>
    </format>
    <format dxfId="4572">
      <pivotArea dataOnly="0" labelOnly="1" outline="0" fieldPosition="0">
        <references count="1">
          <reference field="10" count="1">
            <x v="484"/>
          </reference>
        </references>
      </pivotArea>
    </format>
    <format dxfId="4573">
      <pivotArea dataOnly="0" labelOnly="1" outline="0" fieldPosition="0">
        <references count="1">
          <reference field="10" count="1" defaultSubtotal="1">
            <x v="484"/>
          </reference>
        </references>
      </pivotArea>
    </format>
    <format dxfId="4574">
      <pivotArea dataOnly="0" labelOnly="1" outline="0" fieldPosition="0">
        <references count="1">
          <reference field="10" count="1">
            <x v="485"/>
          </reference>
        </references>
      </pivotArea>
    </format>
    <format dxfId="4575">
      <pivotArea dataOnly="0" labelOnly="1" outline="0" fieldPosition="0">
        <references count="1">
          <reference field="10" count="1" defaultSubtotal="1">
            <x v="485"/>
          </reference>
        </references>
      </pivotArea>
    </format>
    <format dxfId="4576">
      <pivotArea dataOnly="0" labelOnly="1" outline="0" fieldPosition="0">
        <references count="1">
          <reference field="10" count="1">
            <x v="494"/>
          </reference>
        </references>
      </pivotArea>
    </format>
    <format dxfId="4577">
      <pivotArea dataOnly="0" labelOnly="1" outline="0" fieldPosition="0">
        <references count="1">
          <reference field="10" count="1" defaultSubtotal="1">
            <x v="494"/>
          </reference>
        </references>
      </pivotArea>
    </format>
    <format dxfId="4578">
      <pivotArea dataOnly="0" labelOnly="1" outline="0" fieldPosition="0">
        <references count="1">
          <reference field="10" count="1">
            <x v="495"/>
          </reference>
        </references>
      </pivotArea>
    </format>
    <format dxfId="4579">
      <pivotArea dataOnly="0" labelOnly="1" outline="0" fieldPosition="0">
        <references count="1">
          <reference field="10" count="1" defaultSubtotal="1">
            <x v="495"/>
          </reference>
        </references>
      </pivotArea>
    </format>
    <format dxfId="4580">
      <pivotArea dataOnly="0" labelOnly="1" outline="0" fieldPosition="0">
        <references count="1">
          <reference field="10" count="1">
            <x v="499"/>
          </reference>
        </references>
      </pivotArea>
    </format>
    <format dxfId="4581">
      <pivotArea dataOnly="0" labelOnly="1" outline="0" fieldPosition="0">
        <references count="1">
          <reference field="10" count="1" defaultSubtotal="1">
            <x v="499"/>
          </reference>
        </references>
      </pivotArea>
    </format>
    <format dxfId="4582">
      <pivotArea dataOnly="0" labelOnly="1" outline="0" fieldPosition="0">
        <references count="1">
          <reference field="10" count="1">
            <x v="500"/>
          </reference>
        </references>
      </pivotArea>
    </format>
    <format dxfId="4583">
      <pivotArea dataOnly="0" labelOnly="1" outline="0" fieldPosition="0">
        <references count="1">
          <reference field="10" count="1" defaultSubtotal="1">
            <x v="500"/>
          </reference>
        </references>
      </pivotArea>
    </format>
    <format dxfId="4584">
      <pivotArea dataOnly="0" labelOnly="1" outline="0" fieldPosition="0">
        <references count="1">
          <reference field="10" count="1">
            <x v="504"/>
          </reference>
        </references>
      </pivotArea>
    </format>
    <format dxfId="4585">
      <pivotArea dataOnly="0" labelOnly="1" outline="0" fieldPosition="0">
        <references count="1">
          <reference field="10" count="1" defaultSubtotal="1">
            <x v="504"/>
          </reference>
        </references>
      </pivotArea>
    </format>
    <format dxfId="4586">
      <pivotArea dataOnly="0" labelOnly="1" outline="0" fieldPosition="0">
        <references count="1">
          <reference field="10" count="1">
            <x v="506"/>
          </reference>
        </references>
      </pivotArea>
    </format>
    <format dxfId="4587">
      <pivotArea dataOnly="0" labelOnly="1" outline="0" fieldPosition="0">
        <references count="1">
          <reference field="10" count="1" defaultSubtotal="1">
            <x v="506"/>
          </reference>
        </references>
      </pivotArea>
    </format>
    <format dxfId="4588">
      <pivotArea dataOnly="0" labelOnly="1" outline="0" fieldPosition="0">
        <references count="1">
          <reference field="10" count="1">
            <x v="516"/>
          </reference>
        </references>
      </pivotArea>
    </format>
    <format dxfId="4589">
      <pivotArea dataOnly="0" labelOnly="1" outline="0" fieldPosition="0">
        <references count="1">
          <reference field="10" count="1" defaultSubtotal="1">
            <x v="516"/>
          </reference>
        </references>
      </pivotArea>
    </format>
    <format dxfId="4590">
      <pivotArea dataOnly="0" labelOnly="1" outline="0" fieldPosition="0">
        <references count="1">
          <reference field="10" count="1">
            <x v="517"/>
          </reference>
        </references>
      </pivotArea>
    </format>
    <format dxfId="4591">
      <pivotArea dataOnly="0" labelOnly="1" outline="0" fieldPosition="0">
        <references count="1">
          <reference field="10" count="1" defaultSubtotal="1">
            <x v="517"/>
          </reference>
        </references>
      </pivotArea>
    </format>
    <format dxfId="4592">
      <pivotArea dataOnly="0" labelOnly="1" outline="0" fieldPosition="0">
        <references count="1">
          <reference field="10" count="1">
            <x v="519"/>
          </reference>
        </references>
      </pivotArea>
    </format>
    <format dxfId="4593">
      <pivotArea dataOnly="0" labelOnly="1" outline="0" fieldPosition="0">
        <references count="1">
          <reference field="10" count="1" defaultSubtotal="1">
            <x v="519"/>
          </reference>
        </references>
      </pivotArea>
    </format>
    <format dxfId="4594">
      <pivotArea dataOnly="0" labelOnly="1" outline="0" fieldPosition="0">
        <references count="1">
          <reference field="10" count="1">
            <x v="533"/>
          </reference>
        </references>
      </pivotArea>
    </format>
    <format dxfId="4595">
      <pivotArea dataOnly="0" labelOnly="1" outline="0" fieldPosition="0">
        <references count="1">
          <reference field="10" count="1" defaultSubtotal="1">
            <x v="533"/>
          </reference>
        </references>
      </pivotArea>
    </format>
    <format dxfId="4596">
      <pivotArea dataOnly="0" labelOnly="1" outline="0" fieldPosition="0">
        <references count="1">
          <reference field="10" count="1">
            <x v="535"/>
          </reference>
        </references>
      </pivotArea>
    </format>
    <format dxfId="4597">
      <pivotArea dataOnly="0" labelOnly="1" outline="0" fieldPosition="0">
        <references count="1">
          <reference field="10" count="1" defaultSubtotal="1">
            <x v="535"/>
          </reference>
        </references>
      </pivotArea>
    </format>
    <format dxfId="4598">
      <pivotArea dataOnly="0" labelOnly="1" outline="0" fieldPosition="0">
        <references count="1">
          <reference field="10" count="1">
            <x v="546"/>
          </reference>
        </references>
      </pivotArea>
    </format>
    <format dxfId="4599">
      <pivotArea dataOnly="0" labelOnly="1" outline="0" fieldPosition="0">
        <references count="1">
          <reference field="10" count="1" defaultSubtotal="1">
            <x v="546"/>
          </reference>
        </references>
      </pivotArea>
    </format>
    <format dxfId="460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0B182-A376-41D3-8EB2-0FC6DA1C65EA}" name="Tabla dinámica2" cacheId="8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10" firstHeaderRow="0" firstDataRow="1" firstDataCol="2" rowPageCount="1" colPageCount="1"/>
  <pivotFields count="24">
    <pivotField compact="0" outline="0" showAll="0"/>
    <pivotField compact="0" outline="0" showAll="0"/>
    <pivotField axis="axisRow" compact="0" outline="0" showAll="0">
      <items count="3480">
        <item m="1" x="1942"/>
        <item m="1" x="1943"/>
        <item m="1" x="1944"/>
        <item m="1" x="1945"/>
        <item m="1" x="1946"/>
        <item m="1" x="3415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3416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3417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3418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341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3420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3421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3422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3423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3424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3425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3426"/>
        <item m="1" x="3427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3428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3429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3430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3431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3432"/>
        <item m="1" x="2369"/>
        <item m="1" x="2370"/>
        <item m="1" x="2371"/>
        <item m="1" x="3433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3434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3435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3477"/>
        <item m="1" x="3478"/>
        <item m="1" x="2478"/>
        <item m="1" x="2479"/>
        <item m="1" x="2480"/>
        <item m="1" x="2481"/>
        <item m="1" x="2482"/>
        <item m="1" x="2483"/>
        <item m="1" x="2484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3436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3437"/>
        <item m="1" x="2629"/>
        <item m="1" x="2630"/>
        <item m="1" x="2631"/>
        <item m="1" x="2632"/>
        <item m="1" x="2633"/>
        <item m="1" x="2634"/>
        <item m="1" x="2635"/>
        <item m="1" x="2636"/>
        <item m="1" x="3438"/>
        <item m="1" x="2637"/>
        <item m="1" x="2638"/>
        <item m="1" x="2639"/>
        <item m="1" x="2640"/>
        <item m="1" x="2641"/>
        <item m="1" x="3439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3440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3441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3442"/>
        <item m="1" x="2811"/>
        <item m="1" x="2812"/>
        <item m="1" x="3443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344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3445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3446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447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448"/>
        <item m="1" x="3079"/>
        <item m="1" x="3080"/>
        <item m="1" x="3081"/>
        <item m="1" x="3082"/>
        <item m="1" x="3083"/>
        <item m="1" x="3084"/>
        <item m="1" x="3449"/>
        <item m="1" x="3450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451"/>
        <item m="1" x="3127"/>
        <item m="1" x="3128"/>
        <item m="1" x="3129"/>
        <item m="1" x="3130"/>
        <item m="1" x="3131"/>
        <item m="1" x="3132"/>
        <item m="1" x="3133"/>
        <item m="1" x="3134"/>
        <item m="1" x="3452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453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454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45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456"/>
        <item m="1" x="345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458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459"/>
        <item m="1" x="3270"/>
        <item m="1" x="3271"/>
        <item m="1" x="3272"/>
        <item m="1" x="3273"/>
        <item m="1" x="3274"/>
        <item m="1" x="3275"/>
        <item m="1" x="3276"/>
        <item m="1" x="3460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470"/>
        <item m="1" x="3370"/>
        <item m="1" x="1941"/>
        <item m="1" x="3414"/>
        <item m="1" x="3371"/>
        <item m="1" x="3372"/>
        <item m="1" x="3373"/>
        <item m="1" x="3374"/>
        <item m="1" x="3375"/>
        <item m="1" x="3376"/>
        <item m="1" x="3377"/>
        <item m="1" x="3378"/>
        <item m="1" x="3471"/>
        <item m="1" x="3379"/>
        <item m="1" x="3380"/>
        <item m="1" x="3381"/>
        <item m="1" x="3382"/>
        <item m="1" x="3383"/>
        <item m="1" x="3472"/>
        <item m="1" x="3473"/>
        <item m="1" x="3384"/>
        <item m="1" x="3385"/>
        <item m="1" x="3386"/>
        <item m="1" x="3387"/>
        <item m="1" x="3388"/>
        <item m="1" x="3389"/>
        <item m="1" x="3474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75"/>
        <item m="1" x="3404"/>
        <item m="1" x="3405"/>
        <item m="1" x="3406"/>
        <item m="1" x="3407"/>
        <item m="1" x="3408"/>
        <item m="1" x="3409"/>
        <item m="1" x="3410"/>
        <item m="1" x="3476"/>
        <item m="1" x="3411"/>
        <item m="1" x="3412"/>
        <item m="1" x="3413"/>
        <item m="1" x="1940"/>
        <item m="1" x="2477"/>
        <item m="1" x="2485"/>
        <item x="19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2"/>
        <item x="1426"/>
        <item x="1431"/>
        <item x="1435"/>
        <item x="1437"/>
        <item x="1440"/>
        <item x="1448"/>
        <item x="1450"/>
        <item x="1452"/>
        <item x="1454"/>
        <item x="1463"/>
        <item x="1465"/>
        <item x="1467"/>
        <item x="1476"/>
        <item x="1481"/>
        <item x="1482"/>
        <item x="1483"/>
        <item x="1490"/>
        <item x="1502"/>
        <item x="1506"/>
        <item x="1508"/>
        <item x="1421"/>
        <item x="1423"/>
        <item x="1424"/>
        <item x="1425"/>
        <item x="1427"/>
        <item x="1428"/>
        <item x="1429"/>
        <item x="1430"/>
        <item x="1432"/>
        <item x="1433"/>
        <item x="1434"/>
        <item x="1436"/>
        <item x="1438"/>
        <item x="1439"/>
        <item x="1441"/>
        <item x="1442"/>
        <item x="1443"/>
        <item x="1444"/>
        <item x="1445"/>
        <item x="1446"/>
        <item x="1447"/>
        <item x="1449"/>
        <item x="1451"/>
        <item x="1453"/>
        <item x="1455"/>
        <item x="1456"/>
        <item x="1457"/>
        <item x="1458"/>
        <item x="1459"/>
        <item x="1460"/>
        <item x="1461"/>
        <item x="1462"/>
        <item x="1464"/>
        <item x="1466"/>
        <item x="1468"/>
        <item x="1469"/>
        <item x="1470"/>
        <item x="1471"/>
        <item x="1472"/>
        <item x="1473"/>
        <item x="1474"/>
        <item x="1475"/>
        <item x="1477"/>
        <item x="1478"/>
        <item x="1479"/>
        <item x="1480"/>
        <item x="1484"/>
        <item x="1485"/>
        <item x="1486"/>
        <item x="1487"/>
        <item x="1488"/>
        <item x="1489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3"/>
        <item x="1504"/>
        <item x="1505"/>
        <item x="1507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833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80">
        <item x="470"/>
        <item m="1" x="916"/>
        <item m="1" x="956"/>
        <item m="1" x="974"/>
        <item m="1" x="991"/>
        <item x="640"/>
        <item x="381"/>
        <item x="34"/>
        <item x="39"/>
        <item x="245"/>
        <item x="52"/>
        <item m="1" x="835"/>
        <item x="747"/>
        <item x="225"/>
        <item x="645"/>
        <item m="1" x="915"/>
        <item x="508"/>
        <item x="124"/>
        <item m="1" x="888"/>
        <item x="554"/>
        <item x="375"/>
        <item m="1" x="944"/>
        <item m="1" x="861"/>
        <item m="1" x="889"/>
        <item m="1" x="1005"/>
        <item x="695"/>
        <item x="46"/>
        <item x="498"/>
        <item x="620"/>
        <item x="707"/>
        <item m="1" x="1072"/>
        <item m="1" x="866"/>
        <item m="1" x="1003"/>
        <item m="1" x="828"/>
        <item x="252"/>
        <item m="1" x="816"/>
        <item x="50"/>
        <item x="500"/>
        <item m="1" x="811"/>
        <item m="1" x="989"/>
        <item x="409"/>
        <item x="644"/>
        <item x="138"/>
        <item x="14"/>
        <item m="1" x="911"/>
        <item m="1" x="995"/>
        <item x="779"/>
        <item x="31"/>
        <item x="706"/>
        <item x="397"/>
        <item x="488"/>
        <item x="427"/>
        <item x="285"/>
        <item x="331"/>
        <item m="1" x="829"/>
        <item m="1" x="903"/>
        <item x="157"/>
        <item x="141"/>
        <item x="259"/>
        <item m="1" x="957"/>
        <item x="73"/>
        <item m="1" x="870"/>
        <item x="464"/>
        <item x="65"/>
        <item m="1" x="999"/>
        <item x="36"/>
        <item m="1" x="878"/>
        <item m="1" x="950"/>
        <item x="61"/>
        <item x="2"/>
        <item x="667"/>
        <item x="102"/>
        <item x="670"/>
        <item x="567"/>
        <item m="1" x="824"/>
        <item x="721"/>
        <item m="1" x="865"/>
        <item m="1" x="842"/>
        <item m="1" x="1008"/>
        <item m="1" x="847"/>
        <item m="1" x="978"/>
        <item x="0"/>
        <item x="799"/>
        <item x="334"/>
        <item x="67"/>
        <item m="1" x="831"/>
        <item x="668"/>
        <item x="621"/>
        <item m="1" x="971"/>
        <item x="310"/>
        <item m="1" x="886"/>
        <item x="12"/>
        <item x="694"/>
        <item x="107"/>
        <item x="144"/>
        <item x="424"/>
        <item m="1" x="953"/>
        <item m="1" x="1070"/>
        <item m="1" x="823"/>
        <item m="1" x="941"/>
        <item x="64"/>
        <item m="1" x="910"/>
        <item x="794"/>
        <item x="418"/>
        <item x="649"/>
        <item x="286"/>
        <item m="1" x="965"/>
        <item x="224"/>
        <item x="787"/>
        <item x="154"/>
        <item x="358"/>
        <item x="792"/>
        <item m="1" x="1002"/>
        <item x="737"/>
        <item x="560"/>
        <item m="1" x="970"/>
        <item m="1" x="925"/>
        <item m="1" x="985"/>
        <item x="481"/>
        <item m="1" x="934"/>
        <item m="1" x="1167"/>
        <item x="49"/>
        <item x="196"/>
        <item m="1" x="873"/>
        <item m="1" x="1021"/>
        <item x="528"/>
        <item x="399"/>
        <item m="1" x="990"/>
        <item x="227"/>
        <item m="1" x="947"/>
        <item m="1" x="1019"/>
        <item x="339"/>
        <item m="1" x="855"/>
        <item m="1" x="962"/>
        <item x="675"/>
        <item x="169"/>
        <item x="255"/>
        <item x="673"/>
        <item x="142"/>
        <item x="485"/>
        <item m="1" x="896"/>
        <item x="522"/>
        <item m="1" x="880"/>
        <item x="519"/>
        <item m="1" x="874"/>
        <item m="1" x="890"/>
        <item m="1" x="997"/>
        <item m="1" x="959"/>
        <item m="1" x="894"/>
        <item x="439"/>
        <item x="696"/>
        <item x="353"/>
        <item x="494"/>
        <item x="449"/>
        <item x="182"/>
        <item m="1" x="1004"/>
        <item x="122"/>
        <item x="306"/>
        <item m="1" x="955"/>
        <item x="192"/>
        <item m="1" x="1135"/>
        <item m="1" x="826"/>
        <item m="1" x="908"/>
        <item x="471"/>
        <item m="1" x="1006"/>
        <item x="806"/>
        <item m="1" x="850"/>
        <item x="239"/>
        <item x="501"/>
        <item m="1" x="895"/>
        <item x="23"/>
        <item x="86"/>
        <item m="1" x="833"/>
        <item x="398"/>
        <item m="1" x="856"/>
        <item x="344"/>
        <item m="1" x="906"/>
        <item x="602"/>
        <item m="1" x="825"/>
        <item m="1" x="1165"/>
        <item m="1" x="862"/>
        <item x="726"/>
        <item m="1" x="1057"/>
        <item m="1" x="994"/>
        <item x="24"/>
        <item x="22"/>
        <item x="37"/>
        <item m="1" x="1164"/>
        <item m="1" x="933"/>
        <item x="604"/>
        <item m="1" x="877"/>
        <item x="516"/>
        <item x="395"/>
        <item m="1" x="810"/>
        <item m="1" x="867"/>
        <item x="170"/>
        <item m="1" x="948"/>
        <item x="387"/>
        <item m="1" x="845"/>
        <item x="29"/>
        <item m="1" x="961"/>
        <item m="1" x="857"/>
        <item x="183"/>
        <item x="127"/>
        <item m="1" x="983"/>
        <item m="1" x="821"/>
        <item x="20"/>
        <item x="482"/>
        <item x="484"/>
        <item x="302"/>
        <item m="1" x="830"/>
        <item x="429"/>
        <item m="1" x="814"/>
        <item x="678"/>
        <item x="733"/>
        <item x="671"/>
        <item m="1" x="1171"/>
        <item m="1" x="839"/>
        <item x="284"/>
        <item m="1" x="929"/>
        <item x="43"/>
        <item x="714"/>
        <item m="1" x="996"/>
        <item m="1" x="859"/>
        <item x="190"/>
        <item x="248"/>
        <item m="1" x="905"/>
        <item x="171"/>
        <item x="54"/>
        <item m="1" x="863"/>
        <item m="1" x="930"/>
        <item m="1" x="836"/>
        <item m="1" x="1000"/>
        <item x="745"/>
        <item x="336"/>
        <item x="189"/>
        <item x="660"/>
        <item m="1" x="927"/>
        <item x="766"/>
        <item m="1" x="981"/>
        <item m="1" x="819"/>
        <item x="201"/>
        <item m="1" x="952"/>
        <item m="1" x="946"/>
        <item x="25"/>
        <item m="1" x="936"/>
        <item x="232"/>
        <item x="33"/>
        <item m="1" x="1020"/>
        <item x="390"/>
        <item m="1" x="893"/>
        <item x="163"/>
        <item x="164"/>
        <item x="793"/>
        <item x="616"/>
        <item m="1" x="822"/>
        <item x="762"/>
        <item x="423"/>
        <item m="1" x="918"/>
        <item x="145"/>
        <item x="487"/>
        <item m="1" x="968"/>
        <item x="194"/>
        <item x="617"/>
        <item m="1" x="1071"/>
        <item x="233"/>
        <item m="1" x="909"/>
        <item m="1" x="813"/>
        <item x="57"/>
        <item x="380"/>
        <item m="1" x="977"/>
        <item x="546"/>
        <item m="1" x="988"/>
        <item x="679"/>
        <item m="1" x="1013"/>
        <item x="176"/>
        <item x="3"/>
        <item m="1" x="914"/>
        <item m="1" x="949"/>
        <item m="1" x="932"/>
        <item x="430"/>
        <item x="99"/>
        <item x="704"/>
        <item m="1" x="898"/>
        <item m="1" x="872"/>
        <item x="447"/>
        <item m="1" x="846"/>
        <item x="441"/>
        <item x="364"/>
        <item x="548"/>
        <item m="1" x="938"/>
        <item x="456"/>
        <item m="1" x="1011"/>
        <item x="463"/>
        <item x="179"/>
        <item m="1" x="972"/>
        <item m="1" x="1018"/>
        <item x="56"/>
        <item x="175"/>
        <item x="271"/>
        <item m="1" x="939"/>
        <item m="1" x="1017"/>
        <item m="1" x="848"/>
        <item x="82"/>
        <item x="47"/>
        <item x="446"/>
        <item x="241"/>
        <item x="718"/>
        <item x="133"/>
        <item x="30"/>
        <item x="116"/>
        <item m="1" x="912"/>
        <item m="1" x="834"/>
        <item m="1" x="1169"/>
        <item x="301"/>
        <item x="686"/>
        <item m="1" x="869"/>
        <item m="1" x="1172"/>
        <item m="1" x="897"/>
        <item m="1" x="884"/>
        <item x="534"/>
        <item m="1" x="943"/>
        <item m="1" x="1173"/>
        <item x="523"/>
        <item x="307"/>
        <item x="165"/>
        <item x="113"/>
        <item x="593"/>
        <item m="1" x="904"/>
        <item m="1" x="885"/>
        <item x="211"/>
        <item m="1" x="980"/>
        <item x="359"/>
        <item x="42"/>
        <item x="221"/>
        <item m="1" x="1010"/>
        <item x="547"/>
        <item x="80"/>
        <item x="85"/>
        <item x="473"/>
        <item x="290"/>
        <item x="63"/>
        <item x="89"/>
        <item m="1" x="964"/>
        <item m="1" x="931"/>
        <item x="234"/>
        <item m="1" x="919"/>
        <item m="1" x="1166"/>
        <item x="202"/>
        <item x="28"/>
        <item m="1" x="871"/>
        <item m="1" x="945"/>
        <item x="118"/>
        <item x="515"/>
        <item x="462"/>
        <item m="1" x="887"/>
        <item x="491"/>
        <item x="215"/>
        <item m="1" x="954"/>
        <item m="1" x="924"/>
        <item m="1" x="854"/>
        <item x="778"/>
        <item x="8"/>
        <item x="251"/>
        <item m="1" x="963"/>
        <item m="1" x="920"/>
        <item m="1" x="913"/>
        <item m="1" x="815"/>
        <item m="1" x="837"/>
        <item m="1" x="860"/>
        <item m="1" x="926"/>
        <item m="1" x="942"/>
        <item x="38"/>
        <item x="499"/>
        <item m="1" x="998"/>
        <item x="720"/>
        <item x="349"/>
        <item x="287"/>
        <item x="683"/>
        <item m="1" x="827"/>
        <item m="1" x="1015"/>
        <item x="79"/>
        <item x="243"/>
        <item x="326"/>
        <item x="759"/>
        <item x="130"/>
        <item m="1" x="812"/>
        <item m="1" x="922"/>
        <item m="1" x="864"/>
        <item m="1" x="818"/>
        <item m="1" x="838"/>
        <item m="1" x="879"/>
        <item x="445"/>
        <item x="106"/>
        <item m="1" x="881"/>
        <item m="1" x="951"/>
        <item x="150"/>
        <item x="66"/>
        <item x="406"/>
        <item x="587"/>
        <item m="1" x="982"/>
        <item m="1" x="1170"/>
        <item x="386"/>
        <item x="136"/>
        <item x="186"/>
        <item x="237"/>
        <item x="58"/>
        <item x="280"/>
        <item x="472"/>
        <item m="1" x="975"/>
        <item m="1" x="844"/>
        <item x="110"/>
        <item x="324"/>
        <item x="199"/>
        <item m="1" x="901"/>
        <item x="606"/>
        <item x="253"/>
        <item x="69"/>
        <item m="1" x="841"/>
        <item m="1" x="876"/>
        <item x="16"/>
        <item x="770"/>
        <item m="1" x="921"/>
        <item x="340"/>
        <item x="230"/>
        <item x="538"/>
        <item x="493"/>
        <item x="160"/>
        <item x="717"/>
        <item x="372"/>
        <item x="509"/>
        <item x="453"/>
        <item x="510"/>
        <item m="1" x="817"/>
        <item x="385"/>
        <item m="1" x="832"/>
        <item m="1" x="899"/>
        <item x="711"/>
        <item x="40"/>
        <item m="1" x="1012"/>
        <item x="769"/>
        <item m="1" x="1009"/>
        <item m="1" x="902"/>
        <item x="744"/>
        <item x="178"/>
        <item x="126"/>
        <item m="1" x="1174"/>
        <item m="1" x="1016"/>
        <item x="213"/>
        <item x="75"/>
        <item x="261"/>
        <item m="1" x="883"/>
        <item m="1" x="976"/>
        <item x="458"/>
        <item m="1" x="979"/>
        <item x="162"/>
        <item x="203"/>
        <item x="618"/>
        <item x="44"/>
        <item x="527"/>
        <item m="1" x="973"/>
        <item x="137"/>
        <item m="1" x="868"/>
        <item x="329"/>
        <item m="1" x="892"/>
        <item x="297"/>
        <item m="1" x="820"/>
        <item x="195"/>
        <item x="184"/>
        <item x="335"/>
        <item x="596"/>
        <item m="1" x="1163"/>
        <item m="1" x="960"/>
        <item x="613"/>
        <item x="279"/>
        <item x="760"/>
        <item x="685"/>
        <item x="263"/>
        <item x="724"/>
        <item x="392"/>
        <item m="1" x="1168"/>
        <item x="317"/>
        <item m="1" x="907"/>
        <item x="657"/>
        <item x="681"/>
        <item x="94"/>
        <item x="631"/>
        <item x="87"/>
        <item x="289"/>
        <item x="632"/>
        <item m="1" x="940"/>
        <item m="1" x="840"/>
        <item x="308"/>
        <item m="1" x="984"/>
        <item x="333"/>
        <item x="140"/>
        <item m="1" x="849"/>
        <item m="1" x="992"/>
        <item x="256"/>
        <item m="1" x="928"/>
        <item m="1" x="852"/>
        <item m="1" x="923"/>
        <item m="1" x="986"/>
        <item x="425"/>
        <item x="347"/>
        <item x="543"/>
        <item x="125"/>
        <item m="1" x="967"/>
        <item x="773"/>
        <item x="55"/>
        <item m="1" x="993"/>
        <item x="692"/>
        <item x="691"/>
        <item x="48"/>
        <item m="1" x="853"/>
        <item m="1" x="937"/>
        <item x="62"/>
        <item m="1" x="987"/>
        <item m="1" x="935"/>
        <item x="111"/>
        <item x="337"/>
        <item m="1" x="1014"/>
        <item x="629"/>
        <item m="1" x="891"/>
        <item m="1" x="917"/>
        <item m="1" x="958"/>
        <item m="1" x="858"/>
        <item x="795"/>
        <item x="260"/>
        <item x="642"/>
        <item x="379"/>
        <item m="1" x="875"/>
        <item x="268"/>
        <item m="1" x="851"/>
        <item x="402"/>
        <item x="693"/>
        <item m="1" x="900"/>
        <item m="1" x="1007"/>
        <item x="805"/>
        <item x="676"/>
        <item m="1" x="966"/>
        <item x="114"/>
        <item m="1" x="882"/>
        <item m="1" x="843"/>
        <item x="148"/>
        <item x="591"/>
        <item x="382"/>
        <item m="1" x="969"/>
        <item x="258"/>
        <item x="312"/>
        <item m="1" x="1022"/>
        <item x="454"/>
        <item x="709"/>
        <item x="786"/>
        <item m="1" x="1023"/>
        <item x="658"/>
        <item x="734"/>
        <item m="1" x="1024"/>
        <item m="1" x="1025"/>
        <item m="1" x="1026"/>
        <item m="1" x="1027"/>
        <item x="319"/>
        <item x="690"/>
        <item x="197"/>
        <item m="1" x="1028"/>
        <item m="1" x="1029"/>
        <item m="1" x="1030"/>
        <item m="1" x="1031"/>
        <item m="1" x="1032"/>
        <item m="1" x="1175"/>
        <item m="1" x="1033"/>
        <item x="298"/>
        <item m="1" x="1034"/>
        <item x="699"/>
        <item m="1" x="1035"/>
        <item x="552"/>
        <item x="573"/>
        <item x="267"/>
        <item x="460"/>
        <item x="461"/>
        <item x="459"/>
        <item m="1" x="1036"/>
        <item x="129"/>
        <item m="1" x="1037"/>
        <item m="1" x="1038"/>
        <item m="1" x="1039"/>
        <item x="121"/>
        <item m="1" x="1040"/>
        <item m="1" x="1041"/>
        <item m="1" x="1042"/>
        <item m="1" x="1043"/>
        <item m="1" x="1044"/>
        <item m="1" x="1045"/>
        <item m="1" x="1046"/>
        <item x="420"/>
        <item x="247"/>
        <item m="1" x="1047"/>
        <item m="1" x="1048"/>
        <item x="595"/>
        <item x="219"/>
        <item m="1" x="1049"/>
        <item m="1" x="1050"/>
        <item m="1" x="1051"/>
        <item m="1" x="1052"/>
        <item m="1" x="1053"/>
        <item x="511"/>
        <item x="480"/>
        <item m="1" x="1054"/>
        <item m="1" x="1055"/>
        <item m="1" x="1056"/>
        <item x="207"/>
        <item x="348"/>
        <item m="1" x="1058"/>
        <item x="84"/>
        <item x="131"/>
        <item x="19"/>
        <item m="1" x="1059"/>
        <item x="314"/>
        <item m="1" x="1176"/>
        <item m="1" x="1060"/>
        <item m="1" x="1061"/>
        <item m="1" x="1062"/>
        <item m="1" x="1063"/>
        <item x="802"/>
        <item x="776"/>
        <item x="756"/>
        <item x="5"/>
        <item m="1" x="1064"/>
        <item x="352"/>
        <item m="1" x="1065"/>
        <item m="1" x="1066"/>
        <item m="1" x="1067"/>
        <item x="242"/>
        <item m="1" x="1068"/>
        <item x="592"/>
        <item x="143"/>
        <item m="1" x="1069"/>
        <item x="607"/>
        <item x="544"/>
        <item x="105"/>
        <item m="1" x="1073"/>
        <item m="1" x="1074"/>
        <item m="1" x="1075"/>
        <item m="1" x="1076"/>
        <item x="545"/>
        <item x="98"/>
        <item x="452"/>
        <item x="17"/>
        <item m="1" x="1077"/>
        <item m="1" x="1078"/>
        <item x="562"/>
        <item x="316"/>
        <item m="1" x="1079"/>
        <item x="292"/>
        <item m="1" x="1080"/>
        <item m="1" x="1081"/>
        <item x="520"/>
        <item x="193"/>
        <item m="1" x="1082"/>
        <item m="1" x="1083"/>
        <item m="1" x="1084"/>
        <item x="490"/>
        <item x="32"/>
        <item m="1" x="1085"/>
        <item m="1" x="1086"/>
        <item x="722"/>
        <item x="322"/>
        <item x="579"/>
        <item x="62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x="763"/>
        <item m="1" x="1097"/>
        <item m="1" x="1098"/>
        <item m="1" x="1099"/>
        <item x="117"/>
        <item x="404"/>
        <item x="383"/>
        <item x="168"/>
        <item x="134"/>
        <item x="521"/>
        <item m="1" x="1100"/>
        <item m="1" x="1101"/>
        <item x="536"/>
        <item x="88"/>
        <item m="1" x="1102"/>
        <item x="622"/>
        <item x="467"/>
        <item m="1" x="1103"/>
        <item x="156"/>
        <item m="1" x="1104"/>
        <item m="1" x="1105"/>
        <item m="1" x="1106"/>
        <item x="321"/>
        <item x="496"/>
        <item m="1" x="1107"/>
        <item x="674"/>
        <item x="93"/>
        <item x="223"/>
        <item x="104"/>
        <item x="477"/>
        <item m="1" x="1108"/>
        <item m="1" x="1109"/>
        <item m="1" x="1110"/>
        <item m="1" x="1111"/>
        <item x="723"/>
        <item x="680"/>
        <item m="1" x="1112"/>
        <item x="682"/>
        <item x="555"/>
        <item m="1" x="1113"/>
        <item m="1" x="1114"/>
        <item m="1" x="1115"/>
        <item m="1" x="1116"/>
        <item x="254"/>
        <item m="1" x="1117"/>
        <item x="798"/>
        <item m="1" x="1118"/>
        <item m="1" x="1119"/>
        <item m="1" x="1120"/>
        <item x="735"/>
        <item x="659"/>
        <item m="1" x="1121"/>
        <item m="1" x="1122"/>
        <item m="1" x="1123"/>
        <item m="1" x="1124"/>
        <item m="1" x="1177"/>
        <item x="669"/>
        <item x="173"/>
        <item x="803"/>
        <item x="612"/>
        <item m="1" x="1125"/>
        <item m="1" x="1126"/>
        <item m="1" x="1127"/>
        <item x="495"/>
        <item x="103"/>
        <item m="1" x="1128"/>
        <item m="1" x="1129"/>
        <item m="1" x="1130"/>
        <item x="393"/>
        <item m="1" x="1131"/>
        <item m="1" x="1132"/>
        <item m="1" x="1133"/>
        <item m="1" x="1134"/>
        <item x="304"/>
        <item m="1" x="1136"/>
        <item m="1" x="1137"/>
        <item m="1" x="1138"/>
        <item x="550"/>
        <item m="1" x="1139"/>
        <item x="749"/>
        <item m="1" x="1140"/>
        <item m="1" x="1141"/>
        <item m="1" x="1142"/>
        <item x="26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78"/>
        <item m="1" x="1154"/>
        <item x="469"/>
        <item x="220"/>
        <item x="417"/>
        <item x="346"/>
        <item m="1" x="1155"/>
        <item x="231"/>
        <item m="1" x="1156"/>
        <item m="1" x="1157"/>
        <item m="1" x="1158"/>
        <item m="1" x="1159"/>
        <item m="1" x="1160"/>
        <item m="1" x="1161"/>
        <item m="1" x="1162"/>
        <item m="1" x="1001"/>
        <item x="809"/>
        <item x="1"/>
        <item x="4"/>
        <item x="6"/>
        <item x="7"/>
        <item x="9"/>
        <item x="10"/>
        <item x="11"/>
        <item x="13"/>
        <item x="15"/>
        <item x="18"/>
        <item x="21"/>
        <item x="26"/>
        <item x="27"/>
        <item x="35"/>
        <item x="41"/>
        <item x="45"/>
        <item x="51"/>
        <item x="53"/>
        <item x="59"/>
        <item x="60"/>
        <item x="68"/>
        <item x="70"/>
        <item x="71"/>
        <item x="72"/>
        <item x="74"/>
        <item x="76"/>
        <item x="77"/>
        <item x="78"/>
        <item x="81"/>
        <item x="83"/>
        <item x="90"/>
        <item x="91"/>
        <item x="92"/>
        <item x="95"/>
        <item x="96"/>
        <item x="97"/>
        <item x="100"/>
        <item x="101"/>
        <item x="108"/>
        <item x="109"/>
        <item x="112"/>
        <item x="115"/>
        <item x="119"/>
        <item x="120"/>
        <item x="123"/>
        <item x="128"/>
        <item x="132"/>
        <item x="135"/>
        <item x="139"/>
        <item x="146"/>
        <item x="147"/>
        <item x="149"/>
        <item x="151"/>
        <item x="152"/>
        <item x="153"/>
        <item x="155"/>
        <item x="158"/>
        <item x="159"/>
        <item x="161"/>
        <item x="166"/>
        <item x="167"/>
        <item x="172"/>
        <item x="174"/>
        <item x="177"/>
        <item x="180"/>
        <item x="181"/>
        <item x="185"/>
        <item x="187"/>
        <item x="188"/>
        <item x="191"/>
        <item x="198"/>
        <item x="200"/>
        <item x="204"/>
        <item x="205"/>
        <item x="206"/>
        <item x="208"/>
        <item x="209"/>
        <item x="210"/>
        <item x="212"/>
        <item x="214"/>
        <item x="216"/>
        <item x="217"/>
        <item x="218"/>
        <item x="222"/>
        <item x="226"/>
        <item x="228"/>
        <item x="229"/>
        <item x="235"/>
        <item x="236"/>
        <item x="238"/>
        <item x="240"/>
        <item x="244"/>
        <item x="246"/>
        <item x="249"/>
        <item x="250"/>
        <item x="257"/>
        <item x="264"/>
        <item x="265"/>
        <item x="266"/>
        <item x="269"/>
        <item x="270"/>
        <item x="272"/>
        <item x="273"/>
        <item x="274"/>
        <item x="275"/>
        <item x="276"/>
        <item x="277"/>
        <item x="278"/>
        <item x="281"/>
        <item x="282"/>
        <item x="283"/>
        <item x="288"/>
        <item x="291"/>
        <item x="293"/>
        <item x="294"/>
        <item x="295"/>
        <item x="296"/>
        <item x="299"/>
        <item x="300"/>
        <item x="303"/>
        <item x="305"/>
        <item x="309"/>
        <item x="311"/>
        <item x="313"/>
        <item x="315"/>
        <item x="318"/>
        <item x="320"/>
        <item x="323"/>
        <item x="325"/>
        <item x="327"/>
        <item x="328"/>
        <item x="330"/>
        <item x="332"/>
        <item x="338"/>
        <item x="341"/>
        <item x="342"/>
        <item x="343"/>
        <item x="345"/>
        <item x="350"/>
        <item x="351"/>
        <item x="354"/>
        <item x="355"/>
        <item x="356"/>
        <item x="357"/>
        <item x="360"/>
        <item x="361"/>
        <item x="362"/>
        <item x="363"/>
        <item x="365"/>
        <item x="366"/>
        <item x="367"/>
        <item x="368"/>
        <item x="369"/>
        <item x="370"/>
        <item x="371"/>
        <item x="373"/>
        <item x="374"/>
        <item x="376"/>
        <item x="377"/>
        <item x="378"/>
        <item x="384"/>
        <item x="388"/>
        <item x="389"/>
        <item x="391"/>
        <item x="394"/>
        <item x="396"/>
        <item x="400"/>
        <item x="401"/>
        <item x="403"/>
        <item x="405"/>
        <item x="407"/>
        <item x="408"/>
        <item x="410"/>
        <item x="411"/>
        <item x="412"/>
        <item x="413"/>
        <item x="414"/>
        <item x="415"/>
        <item x="416"/>
        <item x="419"/>
        <item x="421"/>
        <item x="422"/>
        <item x="426"/>
        <item x="428"/>
        <item x="431"/>
        <item x="432"/>
        <item x="433"/>
        <item x="434"/>
        <item x="435"/>
        <item x="436"/>
        <item x="437"/>
        <item x="438"/>
        <item x="440"/>
        <item x="442"/>
        <item x="443"/>
        <item x="444"/>
        <item x="448"/>
        <item x="450"/>
        <item x="451"/>
        <item x="455"/>
        <item x="457"/>
        <item x="465"/>
        <item x="466"/>
        <item x="468"/>
        <item x="474"/>
        <item x="475"/>
        <item x="476"/>
        <item x="478"/>
        <item x="479"/>
        <item x="483"/>
        <item x="486"/>
        <item x="489"/>
        <item x="492"/>
        <item x="497"/>
        <item x="502"/>
        <item x="503"/>
        <item x="504"/>
        <item x="505"/>
        <item x="506"/>
        <item x="507"/>
        <item x="512"/>
        <item x="513"/>
        <item x="514"/>
        <item x="517"/>
        <item x="518"/>
        <item x="524"/>
        <item x="525"/>
        <item x="526"/>
        <item x="529"/>
        <item x="530"/>
        <item x="531"/>
        <item x="532"/>
        <item x="533"/>
        <item x="535"/>
        <item x="537"/>
        <item x="539"/>
        <item x="540"/>
        <item x="541"/>
        <item x="542"/>
        <item x="549"/>
        <item x="551"/>
        <item x="553"/>
        <item x="556"/>
        <item x="557"/>
        <item x="558"/>
        <item x="559"/>
        <item x="561"/>
        <item x="563"/>
        <item x="564"/>
        <item x="565"/>
        <item x="566"/>
        <item x="568"/>
        <item x="569"/>
        <item x="570"/>
        <item x="571"/>
        <item x="572"/>
        <item x="574"/>
        <item x="575"/>
        <item x="576"/>
        <item x="577"/>
        <item x="578"/>
        <item x="580"/>
        <item x="581"/>
        <item x="582"/>
        <item x="583"/>
        <item x="584"/>
        <item x="585"/>
        <item x="586"/>
        <item x="588"/>
        <item x="589"/>
        <item x="590"/>
        <item x="594"/>
        <item x="597"/>
        <item x="598"/>
        <item x="599"/>
        <item x="600"/>
        <item x="601"/>
        <item x="603"/>
        <item x="605"/>
        <item x="608"/>
        <item x="609"/>
        <item x="610"/>
        <item x="611"/>
        <item x="614"/>
        <item x="615"/>
        <item x="619"/>
        <item x="623"/>
        <item x="624"/>
        <item x="625"/>
        <item x="627"/>
        <item x="628"/>
        <item x="630"/>
        <item x="633"/>
        <item x="637"/>
        <item x="648"/>
        <item x="650"/>
        <item x="651"/>
        <item x="654"/>
        <item x="655"/>
        <item x="663"/>
        <item x="652"/>
        <item x="634"/>
        <item x="635"/>
        <item x="636"/>
        <item x="638"/>
        <item x="639"/>
        <item x="641"/>
        <item x="643"/>
        <item x="646"/>
        <item x="647"/>
        <item x="653"/>
        <item x="656"/>
        <item x="661"/>
        <item x="662"/>
        <item x="664"/>
        <item x="665"/>
        <item x="666"/>
        <item x="672"/>
        <item x="677"/>
        <item x="684"/>
        <item x="687"/>
        <item x="688"/>
        <item x="689"/>
        <item x="697"/>
        <item x="698"/>
        <item x="700"/>
        <item x="701"/>
        <item x="702"/>
        <item x="703"/>
        <item x="705"/>
        <item x="708"/>
        <item x="710"/>
        <item x="712"/>
        <item x="713"/>
        <item x="715"/>
        <item x="716"/>
        <item x="719"/>
        <item x="725"/>
        <item x="727"/>
        <item x="728"/>
        <item x="729"/>
        <item x="730"/>
        <item x="731"/>
        <item x="732"/>
        <item x="736"/>
        <item x="738"/>
        <item x="739"/>
        <item x="740"/>
        <item x="741"/>
        <item x="742"/>
        <item x="743"/>
        <item x="746"/>
        <item x="748"/>
        <item x="750"/>
        <item x="751"/>
        <item x="752"/>
        <item x="753"/>
        <item x="754"/>
        <item x="755"/>
        <item x="757"/>
        <item x="758"/>
        <item x="761"/>
        <item x="764"/>
        <item x="765"/>
        <item x="767"/>
        <item x="768"/>
        <item x="771"/>
        <item x="772"/>
        <item x="774"/>
        <item x="775"/>
        <item x="777"/>
        <item x="780"/>
        <item x="781"/>
        <item x="782"/>
        <item x="783"/>
        <item x="784"/>
        <item x="785"/>
        <item x="788"/>
        <item x="789"/>
        <item x="790"/>
        <item x="791"/>
        <item x="796"/>
        <item x="797"/>
        <item x="800"/>
        <item x="801"/>
        <item x="804"/>
        <item x="807"/>
        <item x="808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0"/>
    <field x="2"/>
  </rowFields>
  <rowItems count="107">
    <i>
      <x v="9"/>
      <x v="2001"/>
    </i>
    <i t="default">
      <x v="9"/>
    </i>
    <i>
      <x v="10"/>
      <x v="1657"/>
    </i>
    <i t="default">
      <x v="10"/>
    </i>
    <i>
      <x v="69"/>
      <x v="1542"/>
    </i>
    <i r="1">
      <x v="1543"/>
    </i>
    <i t="default">
      <x v="69"/>
    </i>
    <i>
      <x v="84"/>
      <x v="1681"/>
    </i>
    <i t="default">
      <x v="84"/>
    </i>
    <i>
      <x v="103"/>
      <x v="2369"/>
    </i>
    <i t="default">
      <x v="103"/>
    </i>
    <i>
      <x v="114"/>
      <x v="2776"/>
    </i>
    <i t="default">
      <x v="114"/>
    </i>
    <i>
      <x v="118"/>
      <x v="2505"/>
    </i>
    <i t="default">
      <x v="118"/>
    </i>
    <i>
      <x v="173"/>
      <x v="2324"/>
    </i>
    <i r="1">
      <x v="2725"/>
    </i>
    <i r="1">
      <x v="2726"/>
    </i>
    <i r="1">
      <x v="2741"/>
    </i>
    <i r="1">
      <x v="3168"/>
    </i>
    <i t="default">
      <x v="173"/>
    </i>
    <i>
      <x v="208"/>
      <x v="2509"/>
    </i>
    <i t="default">
      <x v="208"/>
    </i>
    <i>
      <x v="225"/>
      <x v="2746"/>
    </i>
    <i t="default">
      <x v="225"/>
    </i>
    <i>
      <x v="228"/>
      <x v="1659"/>
    </i>
    <i t="default">
      <x v="228"/>
    </i>
    <i>
      <x v="246"/>
      <x v="2500"/>
    </i>
    <i t="default">
      <x v="246"/>
    </i>
    <i>
      <x v="280"/>
      <x v="2395"/>
    </i>
    <i t="default">
      <x v="280"/>
    </i>
    <i>
      <x v="289"/>
      <x v="2689"/>
    </i>
    <i r="1">
      <x v="2937"/>
    </i>
    <i r="1">
      <x v="3091"/>
    </i>
    <i t="default">
      <x v="289"/>
    </i>
    <i>
      <x v="291"/>
      <x v="2451"/>
    </i>
    <i t="default">
      <x v="291"/>
    </i>
    <i>
      <x v="304"/>
      <x v="1652"/>
    </i>
    <i r="1">
      <x v="2198"/>
    </i>
    <i r="1">
      <x v="2240"/>
    </i>
    <i r="1">
      <x v="2297"/>
    </i>
    <i r="1">
      <x v="2301"/>
    </i>
    <i t="default">
      <x v="304"/>
    </i>
    <i>
      <x v="330"/>
      <x v="2003"/>
    </i>
    <i r="1">
      <x v="2233"/>
    </i>
    <i r="1">
      <x v="2234"/>
    </i>
    <i r="1">
      <x v="2235"/>
    </i>
    <i r="1">
      <x v="2236"/>
    </i>
    <i r="1">
      <x v="2237"/>
    </i>
    <i r="1">
      <x v="2296"/>
    </i>
    <i t="default">
      <x v="330"/>
    </i>
    <i>
      <x v="438"/>
      <x v="1625"/>
    </i>
    <i r="1">
      <x v="1626"/>
    </i>
    <i r="1">
      <x v="1627"/>
    </i>
    <i r="1">
      <x v="1628"/>
    </i>
    <i r="1">
      <x v="1629"/>
    </i>
    <i r="1">
      <x v="1630"/>
    </i>
    <i r="1">
      <x v="1631"/>
    </i>
    <i r="1">
      <x v="1632"/>
    </i>
    <i r="1">
      <x v="1633"/>
    </i>
    <i t="default">
      <x v="438"/>
    </i>
    <i>
      <x v="465"/>
      <x v="2089"/>
    </i>
    <i r="1">
      <x v="3112"/>
    </i>
    <i t="default">
      <x v="465"/>
    </i>
    <i>
      <x v="489"/>
      <x v="2955"/>
    </i>
    <i t="default">
      <x v="489"/>
    </i>
    <i>
      <x v="528"/>
      <x v="2022"/>
    </i>
    <i r="1">
      <x v="2023"/>
    </i>
    <i r="1">
      <x v="2250"/>
    </i>
    <i r="1">
      <x v="2289"/>
    </i>
    <i r="1">
      <x v="2635"/>
    </i>
    <i t="default">
      <x v="528"/>
    </i>
    <i>
      <x v="707"/>
      <x v="2390"/>
    </i>
    <i r="1">
      <x v="2495"/>
    </i>
    <i r="1">
      <x v="3092"/>
    </i>
    <i t="default">
      <x v="707"/>
    </i>
    <i>
      <x v="805"/>
      <x v="1634"/>
    </i>
    <i t="default">
      <x v="805"/>
    </i>
    <i>
      <x v="814"/>
      <x v="1687"/>
    </i>
    <i t="default">
      <x v="814"/>
    </i>
    <i>
      <x v="823"/>
      <x v="1728"/>
    </i>
    <i t="default">
      <x v="823"/>
    </i>
    <i>
      <x v="826"/>
      <x v="1733"/>
    </i>
    <i t="default">
      <x v="826"/>
    </i>
    <i>
      <x v="863"/>
      <x v="3248"/>
    </i>
    <i t="default">
      <x v="863"/>
    </i>
    <i>
      <x v="890"/>
      <x v="2040"/>
    </i>
    <i t="default">
      <x v="890"/>
    </i>
    <i>
      <x v="893"/>
      <x v="2050"/>
    </i>
    <i t="default">
      <x v="893"/>
    </i>
    <i>
      <x v="895"/>
      <x v="2053"/>
    </i>
    <i t="default">
      <x v="895"/>
    </i>
    <i>
      <x v="963"/>
      <x v="3022"/>
    </i>
    <i t="default">
      <x v="963"/>
    </i>
    <i>
      <x v="970"/>
      <x v="2371"/>
    </i>
    <i t="default">
      <x v="970"/>
    </i>
    <i>
      <x v="1008"/>
      <x v="2583"/>
    </i>
    <i t="default">
      <x v="1008"/>
    </i>
    <i>
      <x v="1075"/>
      <x v="2904"/>
    </i>
    <i t="default">
      <x v="1075"/>
    </i>
    <i>
      <x v="1081"/>
      <x v="2946"/>
    </i>
    <i t="default">
      <x v="1081"/>
    </i>
    <i>
      <x v="1093"/>
      <x v="2985"/>
    </i>
    <i t="default">
      <x v="1093"/>
    </i>
    <i>
      <x v="1117"/>
      <x v="3146"/>
    </i>
    <i t="default">
      <x v="1117"/>
    </i>
    <i t="grand">
      <x/>
    </i>
  </rowItems>
  <colFields count="1">
    <field x="-2"/>
  </colFields>
  <colItems count="2">
    <i>
      <x/>
    </i>
    <i i="1">
      <x v="1"/>
    </i>
  </colItems>
  <pageFields count="1">
    <pageField fld="18" hier="-1"/>
  </pageFields>
  <dataFields count="2">
    <dataField name="Cuenta de 2 ACUSE" fld="18" subtotal="count" baseField="0" baseItem="0"/>
    <dataField name="Suma de Total" fld="14" baseField="0" baseItem="0" numFmtId="164"/>
  </dataFields>
  <formats count="49">
    <format dxfId="3452">
      <pivotArea dataOnly="0" labelOnly="1" outline="0" fieldPosition="0">
        <references count="1">
          <reference field="18" count="1">
            <x v="0"/>
          </reference>
        </references>
      </pivotArea>
    </format>
    <format dxfId="3453">
      <pivotArea field="2" type="button" dataOnly="0" labelOnly="1" outline="0" axis="axisRow" fieldPosition="1"/>
    </format>
    <format dxfId="3454">
      <pivotArea dataOnly="0" labelOnly="1" outline="0" fieldPosition="0">
        <references count="2">
          <reference field="2" count="1">
            <x v="349"/>
          </reference>
          <reference field="10" count="1" selected="0">
            <x v="103"/>
          </reference>
        </references>
      </pivotArea>
    </format>
    <format dxfId="3455">
      <pivotArea dataOnly="0" labelOnly="1" outline="0" fieldPosition="0">
        <references count="2">
          <reference field="2" count="1">
            <x v="55"/>
          </reference>
          <reference field="10" count="1" selected="0">
            <x v="208"/>
          </reference>
        </references>
      </pivotArea>
    </format>
    <format dxfId="3456">
      <pivotArea dataOnly="0" labelOnly="1" outline="0" fieldPosition="0">
        <references count="2">
          <reference field="2" count="1">
            <x v="427"/>
          </reference>
          <reference field="10" count="1" selected="0">
            <x v="217"/>
          </reference>
        </references>
      </pivotArea>
    </format>
    <format dxfId="3457">
      <pivotArea dataOnly="0" labelOnly="1" outline="0" fieldPosition="0">
        <references count="2">
          <reference field="2" count="1">
            <x v="286"/>
          </reference>
          <reference field="10" count="1" selected="0">
            <x v="221"/>
          </reference>
        </references>
      </pivotArea>
    </format>
    <format dxfId="3458">
      <pivotArea dataOnly="0" labelOnly="1" outline="0" fieldPosition="0">
        <references count="2">
          <reference field="2" count="1">
            <x v="56"/>
          </reference>
          <reference field="10" count="1" selected="0">
            <x v="289"/>
          </reference>
        </references>
      </pivotArea>
    </format>
    <format dxfId="3459">
      <pivotArea dataOnly="0" labelOnly="1" outline="0" fieldPosition="0">
        <references count="2">
          <reference field="2" count="2">
            <x v="342"/>
            <x v="553"/>
          </reference>
          <reference field="10" count="1" selected="0">
            <x v="304"/>
          </reference>
        </references>
      </pivotArea>
    </format>
    <format dxfId="3460">
      <pivotArea dataOnly="0" labelOnly="1" outline="0" fieldPosition="0">
        <references count="2">
          <reference field="2" count="2">
            <x v="232"/>
            <x v="244"/>
          </reference>
          <reference field="10" count="1" selected="0">
            <x v="321"/>
          </reference>
        </references>
      </pivotArea>
    </format>
    <format dxfId="3461">
      <pivotArea dataOnly="0" labelOnly="1" outline="0" fieldPosition="0">
        <references count="2">
          <reference field="2" count="2">
            <x v="284"/>
            <x v="336"/>
          </reference>
          <reference field="10" count="1" selected="0">
            <x v="332"/>
          </reference>
        </references>
      </pivotArea>
    </format>
    <format dxfId="3462">
      <pivotArea dataOnly="0" labelOnly="1" outline="0" fieldPosition="0">
        <references count="2">
          <reference field="2" count="1">
            <x v="241"/>
          </reference>
          <reference field="10" count="1" selected="0">
            <x v="479"/>
          </reference>
        </references>
      </pivotArea>
    </format>
    <format dxfId="3463">
      <pivotArea dataOnly="0" labelOnly="1" outline="0" fieldPosition="0">
        <references count="2">
          <reference field="2" count="1">
            <x v="408"/>
          </reference>
          <reference field="10" count="1" selected="0">
            <x v="528"/>
          </reference>
        </references>
      </pivotArea>
    </format>
    <format dxfId="3464">
      <pivotArea field="18" type="button" dataOnly="0" labelOnly="1" outline="0" axis="axisPage" fieldPosition="0"/>
    </format>
    <format dxfId="3465">
      <pivotArea field="10" type="button" dataOnly="0" labelOnly="1" outline="0" axis="axisRow" fieldPosition="0"/>
    </format>
    <format dxfId="3466">
      <pivotArea dataOnly="0" labelOnly="1" outline="0" fieldPosition="0">
        <references count="1">
          <reference field="10" count="1">
            <x v="91"/>
          </reference>
        </references>
      </pivotArea>
    </format>
    <format dxfId="3467">
      <pivotArea dataOnly="0" labelOnly="1" outline="0" fieldPosition="0">
        <references count="1">
          <reference field="10" count="1" defaultSubtotal="1">
            <x v="91"/>
          </reference>
        </references>
      </pivotArea>
    </format>
    <format dxfId="3468">
      <pivotArea dataOnly="0" labelOnly="1" outline="0" fieldPosition="0">
        <references count="1">
          <reference field="10" count="1">
            <x v="92"/>
          </reference>
        </references>
      </pivotArea>
    </format>
    <format dxfId="3469">
      <pivotArea dataOnly="0" labelOnly="1" outline="0" fieldPosition="0">
        <references count="1">
          <reference field="10" count="1" defaultSubtotal="1">
            <x v="92"/>
          </reference>
        </references>
      </pivotArea>
    </format>
    <format dxfId="3470">
      <pivotArea dataOnly="0" labelOnly="1" outline="0" fieldPosition="0">
        <references count="1">
          <reference field="10" count="1">
            <x v="103"/>
          </reference>
        </references>
      </pivotArea>
    </format>
    <format dxfId="3471">
      <pivotArea dataOnly="0" labelOnly="1" outline="0" fieldPosition="0">
        <references count="1">
          <reference field="10" count="1" defaultSubtotal="1">
            <x v="103"/>
          </reference>
        </references>
      </pivotArea>
    </format>
    <format dxfId="3472">
      <pivotArea dataOnly="0" labelOnly="1" outline="0" fieldPosition="0">
        <references count="1">
          <reference field="10" count="1">
            <x v="109"/>
          </reference>
        </references>
      </pivotArea>
    </format>
    <format dxfId="3473">
      <pivotArea dataOnly="0" labelOnly="1" outline="0" fieldPosition="0">
        <references count="1">
          <reference field="10" count="1" defaultSubtotal="1">
            <x v="109"/>
          </reference>
        </references>
      </pivotArea>
    </format>
    <format dxfId="3474">
      <pivotArea dataOnly="0" labelOnly="1" outline="0" fieldPosition="0">
        <references count="1">
          <reference field="10" count="1">
            <x v="172"/>
          </reference>
        </references>
      </pivotArea>
    </format>
    <format dxfId="3475">
      <pivotArea dataOnly="0" labelOnly="1" outline="0" fieldPosition="0">
        <references count="1">
          <reference field="10" count="1" defaultSubtotal="1">
            <x v="172"/>
          </reference>
        </references>
      </pivotArea>
    </format>
    <format dxfId="3476">
      <pivotArea dataOnly="0" labelOnly="1" outline="0" fieldPosition="0">
        <references count="1">
          <reference field="10" count="1">
            <x v="198"/>
          </reference>
        </references>
      </pivotArea>
    </format>
    <format dxfId="3477">
      <pivotArea dataOnly="0" labelOnly="1" outline="0" fieldPosition="0">
        <references count="1">
          <reference field="10" count="1" defaultSubtotal="1">
            <x v="198"/>
          </reference>
        </references>
      </pivotArea>
    </format>
    <format dxfId="3478">
      <pivotArea dataOnly="0" labelOnly="1" outline="0" fieldPosition="0">
        <references count="1">
          <reference field="10" count="1">
            <x v="208"/>
          </reference>
        </references>
      </pivotArea>
    </format>
    <format dxfId="3479">
      <pivotArea dataOnly="0" labelOnly="1" outline="0" fieldPosition="0">
        <references count="1">
          <reference field="10" count="1" defaultSubtotal="1">
            <x v="208"/>
          </reference>
        </references>
      </pivotArea>
    </format>
    <format dxfId="3480">
      <pivotArea dataOnly="0" labelOnly="1" outline="0" fieldPosition="0">
        <references count="1">
          <reference field="10" count="1">
            <x v="217"/>
          </reference>
        </references>
      </pivotArea>
    </format>
    <format dxfId="3481">
      <pivotArea dataOnly="0" labelOnly="1" outline="0" fieldPosition="0">
        <references count="1">
          <reference field="10" count="1" defaultSubtotal="1">
            <x v="217"/>
          </reference>
        </references>
      </pivotArea>
    </format>
    <format dxfId="3482">
      <pivotArea dataOnly="0" labelOnly="1" outline="0" fieldPosition="0">
        <references count="1">
          <reference field="10" count="1">
            <x v="221"/>
          </reference>
        </references>
      </pivotArea>
    </format>
    <format dxfId="3483">
      <pivotArea dataOnly="0" labelOnly="1" outline="0" fieldPosition="0">
        <references count="1">
          <reference field="10" count="1" defaultSubtotal="1">
            <x v="221"/>
          </reference>
        </references>
      </pivotArea>
    </format>
    <format dxfId="3484">
      <pivotArea dataOnly="0" labelOnly="1" outline="0" fieldPosition="0">
        <references count="1">
          <reference field="10" count="1">
            <x v="289"/>
          </reference>
        </references>
      </pivotArea>
    </format>
    <format dxfId="3485">
      <pivotArea dataOnly="0" labelOnly="1" outline="0" fieldPosition="0">
        <references count="1">
          <reference field="10" count="1" defaultSubtotal="1">
            <x v="289"/>
          </reference>
        </references>
      </pivotArea>
    </format>
    <format dxfId="3486">
      <pivotArea dataOnly="0" labelOnly="1" outline="0" fieldPosition="0">
        <references count="1">
          <reference field="10" count="1">
            <x v="304"/>
          </reference>
        </references>
      </pivotArea>
    </format>
    <format dxfId="3487">
      <pivotArea dataOnly="0" labelOnly="1" outline="0" fieldPosition="0">
        <references count="1">
          <reference field="10" count="1" defaultSubtotal="1">
            <x v="304"/>
          </reference>
        </references>
      </pivotArea>
    </format>
    <format dxfId="3488">
      <pivotArea dataOnly="0" labelOnly="1" outline="0" fieldPosition="0">
        <references count="1">
          <reference field="10" count="1">
            <x v="321"/>
          </reference>
        </references>
      </pivotArea>
    </format>
    <format dxfId="3489">
      <pivotArea dataOnly="0" labelOnly="1" outline="0" fieldPosition="0">
        <references count="1">
          <reference field="10" count="1" defaultSubtotal="1">
            <x v="321"/>
          </reference>
        </references>
      </pivotArea>
    </format>
    <format dxfId="3490">
      <pivotArea dataOnly="0" labelOnly="1" outline="0" fieldPosition="0">
        <references count="1">
          <reference field="10" count="1">
            <x v="332"/>
          </reference>
        </references>
      </pivotArea>
    </format>
    <format dxfId="3491">
      <pivotArea dataOnly="0" labelOnly="1" outline="0" fieldPosition="0">
        <references count="1">
          <reference field="10" count="1" defaultSubtotal="1">
            <x v="332"/>
          </reference>
        </references>
      </pivotArea>
    </format>
    <format dxfId="3492">
      <pivotArea dataOnly="0" labelOnly="1" outline="0" fieldPosition="0">
        <references count="1">
          <reference field="10" count="1">
            <x v="466"/>
          </reference>
        </references>
      </pivotArea>
    </format>
    <format dxfId="3493">
      <pivotArea dataOnly="0" labelOnly="1" outline="0" fieldPosition="0">
        <references count="1">
          <reference field="10" count="1" defaultSubtotal="1">
            <x v="466"/>
          </reference>
        </references>
      </pivotArea>
    </format>
    <format dxfId="3494">
      <pivotArea dataOnly="0" labelOnly="1" outline="0" fieldPosition="0">
        <references count="1">
          <reference field="10" count="1">
            <x v="474"/>
          </reference>
        </references>
      </pivotArea>
    </format>
    <format dxfId="3495">
      <pivotArea dataOnly="0" labelOnly="1" outline="0" fieldPosition="0">
        <references count="1">
          <reference field="10" count="1" defaultSubtotal="1">
            <x v="474"/>
          </reference>
        </references>
      </pivotArea>
    </format>
    <format dxfId="3496">
      <pivotArea dataOnly="0" labelOnly="1" outline="0" fieldPosition="0">
        <references count="1">
          <reference field="10" count="1">
            <x v="479"/>
          </reference>
        </references>
      </pivotArea>
    </format>
    <format dxfId="3497">
      <pivotArea dataOnly="0" labelOnly="1" outline="0" fieldPosition="0">
        <references count="1">
          <reference field="10" count="1" defaultSubtotal="1">
            <x v="479"/>
          </reference>
        </references>
      </pivotArea>
    </format>
    <format dxfId="3498">
      <pivotArea dataOnly="0" labelOnly="1" outline="0" fieldPosition="0">
        <references count="1">
          <reference field="10" count="1">
            <x v="528"/>
          </reference>
        </references>
      </pivotArea>
    </format>
    <format dxfId="3499">
      <pivotArea dataOnly="0" labelOnly="1" outline="0" fieldPosition="0">
        <references count="1">
          <reference field="10" count="1" defaultSubtotal="1">
            <x v="528"/>
          </reference>
        </references>
      </pivotArea>
    </format>
    <format dxfId="350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0E6BA-0CF5-44B4-9C2D-BB8542710276}" name="Tabla dinámica3" cacheId="8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525" firstHeaderRow="0" firstDataRow="1" firstDataCol="2" rowPageCount="1" colPageCount="1"/>
  <pivotFields count="24">
    <pivotField compact="0" outline="0" showAll="0"/>
    <pivotField compact="0" outline="0" showAll="0"/>
    <pivotField axis="axisRow" compact="0" outline="0" showAll="0">
      <items count="3480">
        <item m="1" x="1942"/>
        <item m="1" x="1943"/>
        <item m="1" x="1944"/>
        <item m="1" x="1945"/>
        <item m="1" x="1946"/>
        <item m="1" x="3415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3416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3417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3418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341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3420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3421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3422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3423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3424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3425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3426"/>
        <item m="1" x="3427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3428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3429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3430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3431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3432"/>
        <item m="1" x="2369"/>
        <item m="1" x="2370"/>
        <item m="1" x="2371"/>
        <item m="1" x="3433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3434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3435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3477"/>
        <item m="1" x="3478"/>
        <item m="1" x="2478"/>
        <item m="1" x="2479"/>
        <item m="1" x="2480"/>
        <item m="1" x="2481"/>
        <item m="1" x="2482"/>
        <item m="1" x="2483"/>
        <item m="1" x="2484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3436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3437"/>
        <item m="1" x="2629"/>
        <item m="1" x="2630"/>
        <item m="1" x="2631"/>
        <item m="1" x="2632"/>
        <item m="1" x="2633"/>
        <item m="1" x="2634"/>
        <item m="1" x="2635"/>
        <item m="1" x="2636"/>
        <item m="1" x="3438"/>
        <item m="1" x="2637"/>
        <item m="1" x="2638"/>
        <item m="1" x="2639"/>
        <item m="1" x="2640"/>
        <item m="1" x="2641"/>
        <item m="1" x="3439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3440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3441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3442"/>
        <item m="1" x="2811"/>
        <item m="1" x="2812"/>
        <item m="1" x="3443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344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3445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3446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447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448"/>
        <item m="1" x="3079"/>
        <item m="1" x="3080"/>
        <item m="1" x="3081"/>
        <item m="1" x="3082"/>
        <item m="1" x="3083"/>
        <item m="1" x="3084"/>
        <item m="1" x="3449"/>
        <item m="1" x="3450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451"/>
        <item m="1" x="3127"/>
        <item m="1" x="3128"/>
        <item m="1" x="3129"/>
        <item m="1" x="3130"/>
        <item m="1" x="3131"/>
        <item m="1" x="3132"/>
        <item m="1" x="3133"/>
        <item m="1" x="3134"/>
        <item m="1" x="3452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453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454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45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456"/>
        <item m="1" x="345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458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459"/>
        <item m="1" x="3270"/>
        <item m="1" x="3271"/>
        <item m="1" x="3272"/>
        <item m="1" x="3273"/>
        <item m="1" x="3274"/>
        <item m="1" x="3275"/>
        <item m="1" x="3276"/>
        <item m="1" x="3460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470"/>
        <item m="1" x="3370"/>
        <item m="1" x="1941"/>
        <item m="1" x="3414"/>
        <item m="1" x="3371"/>
        <item m="1" x="3372"/>
        <item m="1" x="3373"/>
        <item m="1" x="3374"/>
        <item m="1" x="3375"/>
        <item m="1" x="3376"/>
        <item m="1" x="3377"/>
        <item m="1" x="3378"/>
        <item m="1" x="3471"/>
        <item m="1" x="3379"/>
        <item m="1" x="3380"/>
        <item m="1" x="3381"/>
        <item m="1" x="3382"/>
        <item m="1" x="3383"/>
        <item m="1" x="3472"/>
        <item m="1" x="3473"/>
        <item m="1" x="3384"/>
        <item m="1" x="3385"/>
        <item m="1" x="3386"/>
        <item m="1" x="3387"/>
        <item m="1" x="3388"/>
        <item m="1" x="3389"/>
        <item m="1" x="3474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75"/>
        <item m="1" x="3404"/>
        <item m="1" x="3405"/>
        <item m="1" x="3406"/>
        <item m="1" x="3407"/>
        <item m="1" x="3408"/>
        <item m="1" x="3409"/>
        <item m="1" x="3410"/>
        <item m="1" x="3476"/>
        <item m="1" x="3411"/>
        <item m="1" x="3412"/>
        <item m="1" x="3413"/>
        <item m="1" x="1940"/>
        <item m="1" x="2477"/>
        <item m="1" x="2485"/>
        <item x="19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2"/>
        <item x="1426"/>
        <item x="1431"/>
        <item x="1435"/>
        <item x="1437"/>
        <item x="1440"/>
        <item x="1448"/>
        <item x="1450"/>
        <item x="1452"/>
        <item x="1454"/>
        <item x="1463"/>
        <item x="1465"/>
        <item x="1467"/>
        <item x="1476"/>
        <item x="1481"/>
        <item x="1482"/>
        <item x="1483"/>
        <item x="1490"/>
        <item x="1502"/>
        <item x="1506"/>
        <item x="1508"/>
        <item x="1421"/>
        <item x="1423"/>
        <item x="1424"/>
        <item x="1425"/>
        <item x="1427"/>
        <item x="1428"/>
        <item x="1429"/>
        <item x="1430"/>
        <item x="1432"/>
        <item x="1433"/>
        <item x="1434"/>
        <item x="1436"/>
        <item x="1438"/>
        <item x="1439"/>
        <item x="1441"/>
        <item x="1442"/>
        <item x="1443"/>
        <item x="1444"/>
        <item x="1445"/>
        <item x="1446"/>
        <item x="1447"/>
        <item x="1449"/>
        <item x="1451"/>
        <item x="1453"/>
        <item x="1455"/>
        <item x="1456"/>
        <item x="1457"/>
        <item x="1458"/>
        <item x="1459"/>
        <item x="1460"/>
        <item x="1461"/>
        <item x="1462"/>
        <item x="1464"/>
        <item x="1466"/>
        <item x="1468"/>
        <item x="1469"/>
        <item x="1470"/>
        <item x="1471"/>
        <item x="1472"/>
        <item x="1473"/>
        <item x="1474"/>
        <item x="1475"/>
        <item x="1477"/>
        <item x="1478"/>
        <item x="1479"/>
        <item x="1480"/>
        <item x="1484"/>
        <item x="1485"/>
        <item x="1486"/>
        <item x="1487"/>
        <item x="1488"/>
        <item x="1489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3"/>
        <item x="1504"/>
        <item x="1505"/>
        <item x="1507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833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80">
        <item x="470"/>
        <item m="1" x="916"/>
        <item m="1" x="956"/>
        <item m="1" x="974"/>
        <item m="1" x="991"/>
        <item x="640"/>
        <item x="381"/>
        <item x="34"/>
        <item x="39"/>
        <item x="245"/>
        <item x="52"/>
        <item m="1" x="835"/>
        <item x="747"/>
        <item x="225"/>
        <item x="645"/>
        <item m="1" x="915"/>
        <item x="508"/>
        <item x="124"/>
        <item m="1" x="888"/>
        <item x="554"/>
        <item x="375"/>
        <item m="1" x="944"/>
        <item m="1" x="861"/>
        <item m="1" x="889"/>
        <item m="1" x="1005"/>
        <item x="695"/>
        <item x="46"/>
        <item x="498"/>
        <item x="620"/>
        <item x="707"/>
        <item m="1" x="1072"/>
        <item m="1" x="866"/>
        <item m="1" x="1003"/>
        <item m="1" x="828"/>
        <item x="252"/>
        <item m="1" x="816"/>
        <item x="50"/>
        <item x="500"/>
        <item m="1" x="811"/>
        <item m="1" x="989"/>
        <item x="409"/>
        <item x="644"/>
        <item x="138"/>
        <item x="14"/>
        <item m="1" x="911"/>
        <item m="1" x="995"/>
        <item x="779"/>
        <item x="31"/>
        <item x="706"/>
        <item x="397"/>
        <item x="488"/>
        <item x="427"/>
        <item x="285"/>
        <item x="331"/>
        <item m="1" x="829"/>
        <item m="1" x="903"/>
        <item x="157"/>
        <item x="141"/>
        <item x="259"/>
        <item m="1" x="957"/>
        <item x="73"/>
        <item m="1" x="870"/>
        <item x="464"/>
        <item x="65"/>
        <item m="1" x="999"/>
        <item x="36"/>
        <item m="1" x="878"/>
        <item m="1" x="950"/>
        <item x="61"/>
        <item x="2"/>
        <item x="667"/>
        <item x="102"/>
        <item x="670"/>
        <item x="567"/>
        <item m="1" x="824"/>
        <item x="721"/>
        <item m="1" x="865"/>
        <item m="1" x="842"/>
        <item m="1" x="1008"/>
        <item m="1" x="847"/>
        <item m="1" x="978"/>
        <item x="0"/>
        <item x="799"/>
        <item x="334"/>
        <item x="67"/>
        <item m="1" x="831"/>
        <item x="668"/>
        <item x="621"/>
        <item m="1" x="971"/>
        <item x="310"/>
        <item m="1" x="886"/>
        <item x="12"/>
        <item x="694"/>
        <item x="107"/>
        <item x="144"/>
        <item x="424"/>
        <item m="1" x="953"/>
        <item m="1" x="1070"/>
        <item m="1" x="823"/>
        <item m="1" x="941"/>
        <item x="64"/>
        <item m="1" x="910"/>
        <item x="794"/>
        <item x="418"/>
        <item x="649"/>
        <item x="286"/>
        <item m="1" x="965"/>
        <item x="224"/>
        <item x="787"/>
        <item x="154"/>
        <item x="358"/>
        <item x="792"/>
        <item m="1" x="1002"/>
        <item x="737"/>
        <item x="560"/>
        <item m="1" x="970"/>
        <item m="1" x="925"/>
        <item m="1" x="985"/>
        <item x="481"/>
        <item m="1" x="934"/>
        <item m="1" x="1167"/>
        <item x="49"/>
        <item x="196"/>
        <item m="1" x="873"/>
        <item m="1" x="1021"/>
        <item x="528"/>
        <item x="399"/>
        <item m="1" x="990"/>
        <item x="227"/>
        <item m="1" x="947"/>
        <item m="1" x="1019"/>
        <item x="339"/>
        <item m="1" x="855"/>
        <item m="1" x="962"/>
        <item x="675"/>
        <item x="169"/>
        <item x="255"/>
        <item x="673"/>
        <item x="142"/>
        <item x="485"/>
        <item m="1" x="896"/>
        <item x="522"/>
        <item m="1" x="880"/>
        <item x="519"/>
        <item m="1" x="874"/>
        <item m="1" x="890"/>
        <item m="1" x="997"/>
        <item m="1" x="959"/>
        <item m="1" x="894"/>
        <item x="439"/>
        <item x="696"/>
        <item x="353"/>
        <item x="494"/>
        <item x="449"/>
        <item x="182"/>
        <item m="1" x="1004"/>
        <item x="122"/>
        <item x="306"/>
        <item m="1" x="955"/>
        <item x="192"/>
        <item m="1" x="1135"/>
        <item m="1" x="826"/>
        <item m="1" x="908"/>
        <item x="471"/>
        <item m="1" x="1006"/>
        <item x="806"/>
        <item m="1" x="850"/>
        <item x="239"/>
        <item x="501"/>
        <item m="1" x="895"/>
        <item x="23"/>
        <item x="86"/>
        <item m="1" x="833"/>
        <item x="398"/>
        <item m="1" x="856"/>
        <item x="344"/>
        <item m="1" x="906"/>
        <item x="602"/>
        <item m="1" x="825"/>
        <item m="1" x="1165"/>
        <item m="1" x="862"/>
        <item x="726"/>
        <item m="1" x="1057"/>
        <item m="1" x="994"/>
        <item x="24"/>
        <item x="22"/>
        <item x="37"/>
        <item m="1" x="1164"/>
        <item m="1" x="933"/>
        <item x="604"/>
        <item m="1" x="877"/>
        <item x="516"/>
        <item x="395"/>
        <item m="1" x="810"/>
        <item m="1" x="867"/>
        <item x="170"/>
        <item m="1" x="948"/>
        <item x="387"/>
        <item m="1" x="845"/>
        <item x="29"/>
        <item m="1" x="961"/>
        <item m="1" x="857"/>
        <item x="183"/>
        <item x="127"/>
        <item m="1" x="983"/>
        <item m="1" x="821"/>
        <item x="20"/>
        <item x="482"/>
        <item x="484"/>
        <item x="302"/>
        <item m="1" x="830"/>
        <item x="429"/>
        <item m="1" x="814"/>
        <item x="678"/>
        <item x="733"/>
        <item x="671"/>
        <item m="1" x="1171"/>
        <item m="1" x="839"/>
        <item x="284"/>
        <item m="1" x="929"/>
        <item x="43"/>
        <item x="714"/>
        <item m="1" x="996"/>
        <item m="1" x="859"/>
        <item x="190"/>
        <item x="248"/>
        <item m="1" x="905"/>
        <item x="171"/>
        <item x="54"/>
        <item m="1" x="863"/>
        <item m="1" x="930"/>
        <item m="1" x="836"/>
        <item m="1" x="1000"/>
        <item x="745"/>
        <item x="336"/>
        <item x="189"/>
        <item x="660"/>
        <item m="1" x="927"/>
        <item x="766"/>
        <item m="1" x="981"/>
        <item m="1" x="819"/>
        <item x="201"/>
        <item m="1" x="952"/>
        <item m="1" x="946"/>
        <item x="25"/>
        <item m="1" x="936"/>
        <item x="232"/>
        <item x="33"/>
        <item m="1" x="1020"/>
        <item x="390"/>
        <item m="1" x="893"/>
        <item x="163"/>
        <item x="164"/>
        <item x="793"/>
        <item x="616"/>
        <item m="1" x="822"/>
        <item x="762"/>
        <item x="423"/>
        <item m="1" x="918"/>
        <item x="145"/>
        <item x="487"/>
        <item m="1" x="968"/>
        <item x="194"/>
        <item x="617"/>
        <item m="1" x="1071"/>
        <item x="233"/>
        <item m="1" x="909"/>
        <item m="1" x="813"/>
        <item x="57"/>
        <item x="380"/>
        <item m="1" x="977"/>
        <item x="546"/>
        <item m="1" x="988"/>
        <item x="679"/>
        <item m="1" x="1013"/>
        <item x="176"/>
        <item x="3"/>
        <item m="1" x="914"/>
        <item m="1" x="949"/>
        <item m="1" x="932"/>
        <item x="430"/>
        <item x="99"/>
        <item x="704"/>
        <item m="1" x="898"/>
        <item m="1" x="872"/>
        <item x="447"/>
        <item m="1" x="846"/>
        <item x="441"/>
        <item x="364"/>
        <item x="548"/>
        <item m="1" x="938"/>
        <item x="456"/>
        <item m="1" x="1011"/>
        <item x="463"/>
        <item x="179"/>
        <item m="1" x="972"/>
        <item m="1" x="1018"/>
        <item x="56"/>
        <item x="175"/>
        <item x="271"/>
        <item m="1" x="939"/>
        <item m="1" x="1017"/>
        <item m="1" x="848"/>
        <item x="82"/>
        <item x="47"/>
        <item x="446"/>
        <item x="241"/>
        <item x="718"/>
        <item x="133"/>
        <item x="30"/>
        <item x="116"/>
        <item m="1" x="912"/>
        <item m="1" x="834"/>
        <item m="1" x="1169"/>
        <item x="301"/>
        <item x="686"/>
        <item m="1" x="869"/>
        <item m="1" x="1172"/>
        <item m="1" x="897"/>
        <item m="1" x="884"/>
        <item x="534"/>
        <item m="1" x="943"/>
        <item m="1" x="1173"/>
        <item x="523"/>
        <item x="307"/>
        <item x="165"/>
        <item x="113"/>
        <item x="593"/>
        <item m="1" x="904"/>
        <item m="1" x="885"/>
        <item x="211"/>
        <item m="1" x="980"/>
        <item x="359"/>
        <item x="42"/>
        <item x="221"/>
        <item m="1" x="1010"/>
        <item x="547"/>
        <item x="80"/>
        <item x="85"/>
        <item x="473"/>
        <item x="290"/>
        <item x="63"/>
        <item x="89"/>
        <item m="1" x="964"/>
        <item m="1" x="931"/>
        <item x="234"/>
        <item m="1" x="919"/>
        <item m="1" x="1166"/>
        <item x="202"/>
        <item x="28"/>
        <item m="1" x="871"/>
        <item m="1" x="945"/>
        <item x="118"/>
        <item x="515"/>
        <item x="462"/>
        <item m="1" x="887"/>
        <item x="491"/>
        <item x="215"/>
        <item m="1" x="954"/>
        <item m="1" x="924"/>
        <item m="1" x="854"/>
        <item x="778"/>
        <item x="8"/>
        <item x="251"/>
        <item m="1" x="963"/>
        <item m="1" x="920"/>
        <item m="1" x="913"/>
        <item m="1" x="815"/>
        <item m="1" x="837"/>
        <item m="1" x="860"/>
        <item m="1" x="926"/>
        <item m="1" x="942"/>
        <item x="38"/>
        <item x="499"/>
        <item m="1" x="998"/>
        <item x="720"/>
        <item x="349"/>
        <item x="287"/>
        <item x="683"/>
        <item m="1" x="827"/>
        <item m="1" x="1015"/>
        <item x="79"/>
        <item x="243"/>
        <item x="326"/>
        <item x="759"/>
        <item x="130"/>
        <item m="1" x="812"/>
        <item m="1" x="922"/>
        <item m="1" x="864"/>
        <item m="1" x="818"/>
        <item m="1" x="838"/>
        <item m="1" x="879"/>
        <item x="445"/>
        <item x="106"/>
        <item m="1" x="881"/>
        <item m="1" x="951"/>
        <item x="150"/>
        <item x="66"/>
        <item x="406"/>
        <item x="587"/>
        <item m="1" x="982"/>
        <item m="1" x="1170"/>
        <item x="386"/>
        <item x="136"/>
        <item x="186"/>
        <item x="237"/>
        <item x="58"/>
        <item x="280"/>
        <item x="472"/>
        <item m="1" x="975"/>
        <item m="1" x="844"/>
        <item x="110"/>
        <item x="324"/>
        <item x="199"/>
        <item m="1" x="901"/>
        <item x="606"/>
        <item x="253"/>
        <item x="69"/>
        <item m="1" x="841"/>
        <item m="1" x="876"/>
        <item x="16"/>
        <item x="770"/>
        <item m="1" x="921"/>
        <item x="340"/>
        <item x="230"/>
        <item x="538"/>
        <item x="493"/>
        <item x="160"/>
        <item x="717"/>
        <item x="372"/>
        <item x="509"/>
        <item x="453"/>
        <item x="510"/>
        <item m="1" x="817"/>
        <item x="385"/>
        <item m="1" x="832"/>
        <item m="1" x="899"/>
        <item x="711"/>
        <item x="40"/>
        <item m="1" x="1012"/>
        <item x="769"/>
        <item m="1" x="1009"/>
        <item m="1" x="902"/>
        <item x="744"/>
        <item x="178"/>
        <item x="126"/>
        <item m="1" x="1174"/>
        <item m="1" x="1016"/>
        <item x="213"/>
        <item x="75"/>
        <item x="261"/>
        <item m="1" x="883"/>
        <item m="1" x="976"/>
        <item x="458"/>
        <item m="1" x="979"/>
        <item x="162"/>
        <item x="203"/>
        <item x="618"/>
        <item x="44"/>
        <item x="527"/>
        <item m="1" x="973"/>
        <item x="137"/>
        <item m="1" x="868"/>
        <item x="329"/>
        <item m="1" x="892"/>
        <item x="297"/>
        <item m="1" x="820"/>
        <item x="195"/>
        <item x="184"/>
        <item x="335"/>
        <item x="596"/>
        <item m="1" x="1163"/>
        <item m="1" x="960"/>
        <item x="613"/>
        <item x="279"/>
        <item x="760"/>
        <item x="685"/>
        <item x="263"/>
        <item x="724"/>
        <item x="392"/>
        <item m="1" x="1168"/>
        <item x="317"/>
        <item m="1" x="907"/>
        <item x="657"/>
        <item x="681"/>
        <item x="94"/>
        <item x="631"/>
        <item x="87"/>
        <item x="289"/>
        <item x="632"/>
        <item m="1" x="940"/>
        <item m="1" x="840"/>
        <item x="308"/>
        <item m="1" x="984"/>
        <item x="333"/>
        <item x="140"/>
        <item m="1" x="849"/>
        <item m="1" x="992"/>
        <item x="256"/>
        <item m="1" x="928"/>
        <item m="1" x="852"/>
        <item m="1" x="923"/>
        <item m="1" x="986"/>
        <item x="425"/>
        <item x="347"/>
        <item x="543"/>
        <item x="125"/>
        <item m="1" x="967"/>
        <item x="773"/>
        <item x="55"/>
        <item m="1" x="993"/>
        <item x="692"/>
        <item x="691"/>
        <item x="48"/>
        <item m="1" x="853"/>
        <item m="1" x="937"/>
        <item x="62"/>
        <item m="1" x="987"/>
        <item m="1" x="935"/>
        <item x="111"/>
        <item x="337"/>
        <item m="1" x="1014"/>
        <item x="629"/>
        <item m="1" x="891"/>
        <item m="1" x="917"/>
        <item m="1" x="958"/>
        <item m="1" x="858"/>
        <item x="795"/>
        <item x="260"/>
        <item x="642"/>
        <item x="379"/>
        <item m="1" x="875"/>
        <item x="268"/>
        <item m="1" x="851"/>
        <item x="402"/>
        <item x="693"/>
        <item m="1" x="900"/>
        <item m="1" x="1007"/>
        <item x="805"/>
        <item x="676"/>
        <item m="1" x="966"/>
        <item x="114"/>
        <item m="1" x="882"/>
        <item m="1" x="843"/>
        <item x="148"/>
        <item x="591"/>
        <item x="382"/>
        <item m="1" x="969"/>
        <item x="258"/>
        <item x="312"/>
        <item m="1" x="1022"/>
        <item x="454"/>
        <item x="709"/>
        <item x="786"/>
        <item m="1" x="1023"/>
        <item x="658"/>
        <item x="734"/>
        <item m="1" x="1024"/>
        <item m="1" x="1025"/>
        <item m="1" x="1026"/>
        <item m="1" x="1027"/>
        <item x="319"/>
        <item x="690"/>
        <item x="197"/>
        <item m="1" x="1028"/>
        <item m="1" x="1029"/>
        <item m="1" x="1030"/>
        <item m="1" x="1031"/>
        <item m="1" x="1032"/>
        <item m="1" x="1175"/>
        <item m="1" x="1033"/>
        <item x="298"/>
        <item m="1" x="1034"/>
        <item x="699"/>
        <item m="1" x="1035"/>
        <item x="552"/>
        <item x="573"/>
        <item x="267"/>
        <item x="460"/>
        <item x="461"/>
        <item x="459"/>
        <item m="1" x="1036"/>
        <item x="129"/>
        <item m="1" x="1037"/>
        <item m="1" x="1038"/>
        <item m="1" x="1039"/>
        <item x="121"/>
        <item m="1" x="1040"/>
        <item m="1" x="1041"/>
        <item m="1" x="1042"/>
        <item m="1" x="1043"/>
        <item m="1" x="1044"/>
        <item m="1" x="1045"/>
        <item m="1" x="1046"/>
        <item x="420"/>
        <item x="247"/>
        <item m="1" x="1047"/>
        <item m="1" x="1048"/>
        <item x="595"/>
        <item x="219"/>
        <item m="1" x="1049"/>
        <item m="1" x="1050"/>
        <item m="1" x="1051"/>
        <item m="1" x="1052"/>
        <item m="1" x="1053"/>
        <item x="511"/>
        <item x="480"/>
        <item m="1" x="1054"/>
        <item m="1" x="1055"/>
        <item m="1" x="1056"/>
        <item x="207"/>
        <item x="348"/>
        <item m="1" x="1058"/>
        <item x="84"/>
        <item x="131"/>
        <item x="19"/>
        <item m="1" x="1059"/>
        <item x="314"/>
        <item m="1" x="1176"/>
        <item m="1" x="1060"/>
        <item m="1" x="1061"/>
        <item m="1" x="1062"/>
        <item m="1" x="1063"/>
        <item x="802"/>
        <item x="776"/>
        <item x="756"/>
        <item x="5"/>
        <item m="1" x="1064"/>
        <item x="352"/>
        <item m="1" x="1065"/>
        <item m="1" x="1066"/>
        <item m="1" x="1067"/>
        <item x="242"/>
        <item m="1" x="1068"/>
        <item x="592"/>
        <item x="143"/>
        <item m="1" x="1069"/>
        <item x="607"/>
        <item x="544"/>
        <item x="105"/>
        <item m="1" x="1073"/>
        <item m="1" x="1074"/>
        <item m="1" x="1075"/>
        <item m="1" x="1076"/>
        <item x="545"/>
        <item x="98"/>
        <item x="452"/>
        <item x="17"/>
        <item m="1" x="1077"/>
        <item m="1" x="1078"/>
        <item x="562"/>
        <item x="316"/>
        <item m="1" x="1079"/>
        <item x="292"/>
        <item m="1" x="1080"/>
        <item m="1" x="1081"/>
        <item x="520"/>
        <item x="193"/>
        <item m="1" x="1082"/>
        <item m="1" x="1083"/>
        <item m="1" x="1084"/>
        <item x="490"/>
        <item x="32"/>
        <item m="1" x="1085"/>
        <item m="1" x="1086"/>
        <item x="722"/>
        <item x="322"/>
        <item x="579"/>
        <item x="62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x="763"/>
        <item m="1" x="1097"/>
        <item m="1" x="1098"/>
        <item m="1" x="1099"/>
        <item x="117"/>
        <item x="404"/>
        <item x="383"/>
        <item x="168"/>
        <item x="134"/>
        <item x="521"/>
        <item m="1" x="1100"/>
        <item m="1" x="1101"/>
        <item x="536"/>
        <item x="88"/>
        <item m="1" x="1102"/>
        <item x="622"/>
        <item x="467"/>
        <item m="1" x="1103"/>
        <item x="156"/>
        <item m="1" x="1104"/>
        <item m="1" x="1105"/>
        <item m="1" x="1106"/>
        <item x="321"/>
        <item x="496"/>
        <item m="1" x="1107"/>
        <item x="674"/>
        <item x="93"/>
        <item x="223"/>
        <item x="104"/>
        <item x="477"/>
        <item m="1" x="1108"/>
        <item m="1" x="1109"/>
        <item m="1" x="1110"/>
        <item m="1" x="1111"/>
        <item x="723"/>
        <item x="680"/>
        <item m="1" x="1112"/>
        <item x="682"/>
        <item x="555"/>
        <item m="1" x="1113"/>
        <item m="1" x="1114"/>
        <item m="1" x="1115"/>
        <item m="1" x="1116"/>
        <item x="254"/>
        <item m="1" x="1117"/>
        <item x="798"/>
        <item m="1" x="1118"/>
        <item m="1" x="1119"/>
        <item m="1" x="1120"/>
        <item x="735"/>
        <item x="659"/>
        <item m="1" x="1121"/>
        <item m="1" x="1122"/>
        <item m="1" x="1123"/>
        <item m="1" x="1124"/>
        <item m="1" x="1177"/>
        <item x="669"/>
        <item x="173"/>
        <item x="803"/>
        <item x="612"/>
        <item m="1" x="1125"/>
        <item m="1" x="1126"/>
        <item m="1" x="1127"/>
        <item x="495"/>
        <item x="103"/>
        <item m="1" x="1128"/>
        <item m="1" x="1129"/>
        <item m="1" x="1130"/>
        <item x="393"/>
        <item m="1" x="1131"/>
        <item m="1" x="1132"/>
        <item m="1" x="1133"/>
        <item m="1" x="1134"/>
        <item x="304"/>
        <item m="1" x="1136"/>
        <item m="1" x="1137"/>
        <item m="1" x="1138"/>
        <item x="550"/>
        <item m="1" x="1139"/>
        <item x="749"/>
        <item m="1" x="1140"/>
        <item m="1" x="1141"/>
        <item m="1" x="1142"/>
        <item x="26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78"/>
        <item m="1" x="1154"/>
        <item x="469"/>
        <item x="220"/>
        <item x="417"/>
        <item x="346"/>
        <item m="1" x="1155"/>
        <item x="231"/>
        <item m="1" x="1156"/>
        <item m="1" x="1157"/>
        <item m="1" x="1158"/>
        <item m="1" x="1159"/>
        <item m="1" x="1160"/>
        <item m="1" x="1161"/>
        <item m="1" x="1162"/>
        <item m="1" x="1001"/>
        <item x="809"/>
        <item x="1"/>
        <item x="4"/>
        <item x="6"/>
        <item x="7"/>
        <item x="9"/>
        <item x="10"/>
        <item x="11"/>
        <item x="13"/>
        <item x="15"/>
        <item x="18"/>
        <item x="21"/>
        <item x="26"/>
        <item x="27"/>
        <item x="35"/>
        <item x="41"/>
        <item x="45"/>
        <item x="51"/>
        <item x="53"/>
        <item x="59"/>
        <item x="60"/>
        <item x="68"/>
        <item x="70"/>
        <item x="71"/>
        <item x="72"/>
        <item x="74"/>
        <item x="76"/>
        <item x="77"/>
        <item x="78"/>
        <item x="81"/>
        <item x="83"/>
        <item x="90"/>
        <item x="91"/>
        <item x="92"/>
        <item x="95"/>
        <item x="96"/>
        <item x="97"/>
        <item x="100"/>
        <item x="101"/>
        <item x="108"/>
        <item x="109"/>
        <item x="112"/>
        <item x="115"/>
        <item x="119"/>
        <item x="120"/>
        <item x="123"/>
        <item x="128"/>
        <item x="132"/>
        <item x="135"/>
        <item x="139"/>
        <item x="146"/>
        <item x="147"/>
        <item x="149"/>
        <item x="151"/>
        <item x="152"/>
        <item x="153"/>
        <item x="155"/>
        <item x="158"/>
        <item x="159"/>
        <item x="161"/>
        <item x="166"/>
        <item x="167"/>
        <item x="172"/>
        <item x="174"/>
        <item x="177"/>
        <item x="180"/>
        <item x="181"/>
        <item x="185"/>
        <item x="187"/>
        <item x="188"/>
        <item x="191"/>
        <item x="198"/>
        <item x="200"/>
        <item x="204"/>
        <item x="205"/>
        <item x="206"/>
        <item x="208"/>
        <item x="209"/>
        <item x="210"/>
        <item x="212"/>
        <item x="214"/>
        <item x="216"/>
        <item x="217"/>
        <item x="218"/>
        <item x="222"/>
        <item x="226"/>
        <item x="228"/>
        <item x="229"/>
        <item x="235"/>
        <item x="236"/>
        <item x="238"/>
        <item x="240"/>
        <item x="244"/>
        <item x="246"/>
        <item x="249"/>
        <item x="250"/>
        <item x="257"/>
        <item x="264"/>
        <item x="265"/>
        <item x="266"/>
        <item x="269"/>
        <item x="270"/>
        <item x="272"/>
        <item x="273"/>
        <item x="274"/>
        <item x="275"/>
        <item x="276"/>
        <item x="277"/>
        <item x="278"/>
        <item x="281"/>
        <item x="282"/>
        <item x="283"/>
        <item x="288"/>
        <item x="291"/>
        <item x="293"/>
        <item x="294"/>
        <item x="295"/>
        <item x="296"/>
        <item x="299"/>
        <item x="300"/>
        <item x="303"/>
        <item x="305"/>
        <item x="309"/>
        <item x="311"/>
        <item x="313"/>
        <item x="315"/>
        <item x="318"/>
        <item x="320"/>
        <item x="323"/>
        <item x="325"/>
        <item x="327"/>
        <item x="328"/>
        <item x="330"/>
        <item x="332"/>
        <item x="338"/>
        <item x="341"/>
        <item x="342"/>
        <item x="343"/>
        <item x="345"/>
        <item x="350"/>
        <item x="351"/>
        <item x="354"/>
        <item x="355"/>
        <item x="356"/>
        <item x="357"/>
        <item x="360"/>
        <item x="361"/>
        <item x="362"/>
        <item x="363"/>
        <item x="365"/>
        <item x="366"/>
        <item x="367"/>
        <item x="368"/>
        <item x="369"/>
        <item x="370"/>
        <item x="371"/>
        <item x="373"/>
        <item x="374"/>
        <item x="376"/>
        <item x="377"/>
        <item x="378"/>
        <item x="384"/>
        <item x="388"/>
        <item x="389"/>
        <item x="391"/>
        <item x="394"/>
        <item x="396"/>
        <item x="400"/>
        <item x="401"/>
        <item x="403"/>
        <item x="405"/>
        <item x="407"/>
        <item x="408"/>
        <item x="410"/>
        <item x="411"/>
        <item x="412"/>
        <item x="413"/>
        <item x="414"/>
        <item x="415"/>
        <item x="416"/>
        <item x="419"/>
        <item x="421"/>
        <item x="422"/>
        <item x="426"/>
        <item x="428"/>
        <item x="431"/>
        <item x="432"/>
        <item x="433"/>
        <item x="434"/>
        <item x="435"/>
        <item x="436"/>
        <item x="437"/>
        <item x="438"/>
        <item x="440"/>
        <item x="442"/>
        <item x="443"/>
        <item x="444"/>
        <item x="448"/>
        <item x="450"/>
        <item x="451"/>
        <item x="455"/>
        <item x="457"/>
        <item x="465"/>
        <item x="466"/>
        <item x="468"/>
        <item x="474"/>
        <item x="475"/>
        <item x="476"/>
        <item x="478"/>
        <item x="479"/>
        <item x="483"/>
        <item x="486"/>
        <item x="489"/>
        <item x="492"/>
        <item x="497"/>
        <item x="502"/>
        <item x="503"/>
        <item x="504"/>
        <item x="505"/>
        <item x="506"/>
        <item x="507"/>
        <item x="512"/>
        <item x="513"/>
        <item x="514"/>
        <item x="517"/>
        <item x="518"/>
        <item x="524"/>
        <item x="525"/>
        <item x="526"/>
        <item x="529"/>
        <item x="530"/>
        <item x="531"/>
        <item x="532"/>
        <item x="533"/>
        <item x="535"/>
        <item x="537"/>
        <item x="539"/>
        <item x="540"/>
        <item x="541"/>
        <item x="542"/>
        <item x="549"/>
        <item x="551"/>
        <item x="553"/>
        <item x="556"/>
        <item x="557"/>
        <item x="558"/>
        <item x="559"/>
        <item x="561"/>
        <item x="563"/>
        <item x="564"/>
        <item x="565"/>
        <item x="566"/>
        <item x="568"/>
        <item x="569"/>
        <item x="570"/>
        <item x="571"/>
        <item x="572"/>
        <item x="574"/>
        <item x="575"/>
        <item x="576"/>
        <item x="577"/>
        <item x="578"/>
        <item x="580"/>
        <item x="581"/>
        <item x="582"/>
        <item x="583"/>
        <item x="584"/>
        <item x="585"/>
        <item x="586"/>
        <item x="588"/>
        <item x="589"/>
        <item x="590"/>
        <item x="594"/>
        <item x="597"/>
        <item x="598"/>
        <item x="599"/>
        <item x="600"/>
        <item x="601"/>
        <item x="603"/>
        <item x="605"/>
        <item x="608"/>
        <item x="609"/>
        <item x="610"/>
        <item x="611"/>
        <item x="614"/>
        <item x="615"/>
        <item x="619"/>
        <item x="623"/>
        <item x="624"/>
        <item x="625"/>
        <item x="627"/>
        <item x="628"/>
        <item x="630"/>
        <item x="633"/>
        <item x="637"/>
        <item x="648"/>
        <item x="650"/>
        <item x="651"/>
        <item x="654"/>
        <item x="655"/>
        <item x="663"/>
        <item x="652"/>
        <item x="634"/>
        <item x="635"/>
        <item x="636"/>
        <item x="638"/>
        <item x="639"/>
        <item x="641"/>
        <item x="643"/>
        <item x="646"/>
        <item x="647"/>
        <item x="653"/>
        <item x="656"/>
        <item x="661"/>
        <item x="662"/>
        <item x="664"/>
        <item x="665"/>
        <item x="666"/>
        <item x="672"/>
        <item x="677"/>
        <item x="684"/>
        <item x="687"/>
        <item x="688"/>
        <item x="689"/>
        <item x="697"/>
        <item x="698"/>
        <item x="700"/>
        <item x="701"/>
        <item x="702"/>
        <item x="703"/>
        <item x="705"/>
        <item x="708"/>
        <item x="710"/>
        <item x="712"/>
        <item x="713"/>
        <item x="715"/>
        <item x="716"/>
        <item x="719"/>
        <item x="725"/>
        <item x="727"/>
        <item x="728"/>
        <item x="729"/>
        <item x="730"/>
        <item x="731"/>
        <item x="732"/>
        <item x="736"/>
        <item x="738"/>
        <item x="739"/>
        <item x="740"/>
        <item x="741"/>
        <item x="742"/>
        <item x="743"/>
        <item x="746"/>
        <item x="748"/>
        <item x="750"/>
        <item x="751"/>
        <item x="752"/>
        <item x="753"/>
        <item x="754"/>
        <item x="755"/>
        <item x="757"/>
        <item x="758"/>
        <item x="761"/>
        <item x="764"/>
        <item x="765"/>
        <item x="767"/>
        <item x="768"/>
        <item x="771"/>
        <item x="772"/>
        <item x="774"/>
        <item x="775"/>
        <item x="777"/>
        <item x="780"/>
        <item x="781"/>
        <item x="782"/>
        <item x="783"/>
        <item x="784"/>
        <item x="785"/>
        <item x="788"/>
        <item x="789"/>
        <item x="790"/>
        <item x="791"/>
        <item x="796"/>
        <item x="797"/>
        <item x="800"/>
        <item x="801"/>
        <item x="804"/>
        <item x="807"/>
        <item x="808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3">
        <item x="0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10"/>
    <field x="2"/>
  </rowFields>
  <rowItems count="522">
    <i>
      <x v="5"/>
      <x v="2998"/>
    </i>
    <i t="default">
      <x v="5"/>
    </i>
    <i>
      <x v="7"/>
      <x v="1611"/>
    </i>
    <i r="1">
      <x v="1612"/>
    </i>
    <i r="1">
      <x v="1613"/>
    </i>
    <i t="default">
      <x v="7"/>
    </i>
    <i>
      <x v="8"/>
      <x v="1621"/>
    </i>
    <i r="1">
      <x v="1642"/>
    </i>
    <i r="1">
      <x v="1643"/>
    </i>
    <i r="1">
      <x v="1644"/>
    </i>
    <i r="1">
      <x v="1906"/>
    </i>
    <i r="1">
      <x v="2351"/>
    </i>
    <i r="1">
      <x v="2352"/>
    </i>
    <i r="1">
      <x v="2795"/>
    </i>
    <i r="1">
      <x v="2971"/>
    </i>
    <i r="1">
      <x v="3014"/>
    </i>
    <i t="default">
      <x v="8"/>
    </i>
    <i>
      <x v="16"/>
      <x v="2586"/>
    </i>
    <i t="default">
      <x v="16"/>
    </i>
    <i>
      <x v="17"/>
      <x v="2525"/>
    </i>
    <i r="1">
      <x v="2694"/>
    </i>
    <i r="1">
      <x v="2760"/>
    </i>
    <i t="default">
      <x v="17"/>
    </i>
    <i>
      <x v="36"/>
      <x v="1655"/>
    </i>
    <i t="default">
      <x v="36"/>
    </i>
    <i>
      <x v="40"/>
      <x v="2344"/>
    </i>
    <i t="default">
      <x v="40"/>
    </i>
    <i>
      <x v="51"/>
      <x v="2389"/>
    </i>
    <i t="default">
      <x v="51"/>
    </i>
    <i>
      <x v="53"/>
      <x v="2161"/>
    </i>
    <i t="default">
      <x v="53"/>
    </i>
    <i>
      <x v="57"/>
      <x v="1800"/>
    </i>
    <i r="1">
      <x v="1801"/>
    </i>
    <i r="1">
      <x v="1810"/>
    </i>
    <i r="1">
      <x v="1949"/>
    </i>
    <i r="1">
      <x v="2958"/>
    </i>
    <i t="default">
      <x v="57"/>
    </i>
    <i>
      <x v="62"/>
      <x v="2473"/>
    </i>
    <i t="default">
      <x v="62"/>
    </i>
    <i>
      <x v="63"/>
      <x v="1679"/>
    </i>
    <i t="default">
      <x v="63"/>
    </i>
    <i>
      <x v="69"/>
      <x v="1544"/>
    </i>
    <i r="1">
      <x v="1545"/>
    </i>
    <i r="1">
      <x v="1546"/>
    </i>
    <i r="1">
      <x v="1911"/>
    </i>
    <i r="1">
      <x v="1912"/>
    </i>
    <i r="1">
      <x v="2510"/>
    </i>
    <i r="1">
      <x v="2570"/>
    </i>
    <i r="1">
      <x v="2716"/>
    </i>
    <i r="1">
      <x v="2923"/>
    </i>
    <i r="1">
      <x v="2964"/>
    </i>
    <i r="1">
      <x v="2992"/>
    </i>
    <i t="default">
      <x v="69"/>
    </i>
    <i>
      <x v="73"/>
      <x v="2775"/>
    </i>
    <i t="default">
      <x v="73"/>
    </i>
    <i>
      <x v="81"/>
      <x v="1540"/>
    </i>
    <i t="default">
      <x v="81"/>
    </i>
    <i>
      <x v="83"/>
      <x v="2176"/>
    </i>
    <i r="1">
      <x v="2227"/>
    </i>
    <i r="1">
      <x v="2229"/>
    </i>
    <i t="default">
      <x v="83"/>
    </i>
    <i>
      <x v="91"/>
      <x v="1560"/>
    </i>
    <i r="1">
      <x v="1712"/>
    </i>
    <i r="1">
      <x v="1713"/>
    </i>
    <i r="1">
      <x v="1714"/>
    </i>
    <i r="1">
      <x v="1824"/>
    </i>
    <i r="1">
      <x v="1825"/>
    </i>
    <i r="1">
      <x v="2228"/>
    </i>
    <i t="default">
      <x v="91"/>
    </i>
    <i>
      <x v="93"/>
      <x v="1749"/>
    </i>
    <i r="1">
      <x v="1753"/>
    </i>
    <i t="default">
      <x v="93"/>
    </i>
    <i>
      <x v="100"/>
      <x v="1676"/>
    </i>
    <i r="1">
      <x v="1677"/>
    </i>
    <i r="1">
      <x v="1678"/>
    </i>
    <i r="1">
      <x v="1948"/>
    </i>
    <i r="1">
      <x v="2262"/>
    </i>
    <i r="1">
      <x v="2521"/>
    </i>
    <i r="1">
      <x v="2524"/>
    </i>
    <i r="1">
      <x v="2657"/>
    </i>
    <i r="1">
      <x v="2882"/>
    </i>
    <i r="1">
      <x v="2883"/>
    </i>
    <i t="default">
      <x v="100"/>
    </i>
    <i>
      <x v="105"/>
      <x v="2070"/>
    </i>
    <i r="1">
      <x v="2676"/>
    </i>
    <i t="default">
      <x v="105"/>
    </i>
    <i>
      <x v="109"/>
      <x v="1827"/>
    </i>
    <i r="1">
      <x v="2226"/>
    </i>
    <i t="default">
      <x v="109"/>
    </i>
    <i>
      <x v="110"/>
      <x v="2224"/>
    </i>
    <i r="1">
      <x v="2225"/>
    </i>
    <i t="default">
      <x v="110"/>
    </i>
    <i>
      <x v="131"/>
      <x v="2189"/>
    </i>
    <i t="default">
      <x v="131"/>
    </i>
    <i>
      <x v="134"/>
      <x v="3069"/>
    </i>
    <i t="default">
      <x v="134"/>
    </i>
    <i>
      <x v="139"/>
      <x v="2511"/>
    </i>
    <i t="default">
      <x v="139"/>
    </i>
    <i>
      <x v="159"/>
      <x v="1913"/>
    </i>
    <i r="1">
      <x v="2033"/>
    </i>
    <i r="1">
      <x v="2381"/>
    </i>
    <i r="1">
      <x v="2458"/>
    </i>
    <i r="1">
      <x v="2559"/>
    </i>
    <i t="default">
      <x v="159"/>
    </i>
    <i>
      <x v="191"/>
      <x v="2605"/>
    </i>
    <i r="1">
      <x v="3101"/>
    </i>
    <i t="default">
      <x v="191"/>
    </i>
    <i>
      <x v="199"/>
      <x v="1606"/>
    </i>
    <i r="1">
      <x v="2793"/>
    </i>
    <i t="default">
      <x v="199"/>
    </i>
    <i>
      <x v="206"/>
      <x v="1569"/>
    </i>
    <i r="1">
      <x v="1570"/>
    </i>
    <i t="default">
      <x v="206"/>
    </i>
    <i>
      <x v="209"/>
      <x v="2100"/>
    </i>
    <i t="default">
      <x v="209"/>
    </i>
    <i>
      <x v="227"/>
      <x v="1851"/>
    </i>
    <i r="1">
      <x v="2204"/>
    </i>
    <i r="1">
      <x v="2207"/>
    </i>
    <i r="1">
      <x v="2618"/>
    </i>
    <i t="default">
      <x v="227"/>
    </i>
    <i>
      <x v="228"/>
      <x v="1942"/>
    </i>
    <i r="1">
      <x v="2307"/>
    </i>
    <i r="1">
      <x v="3019"/>
    </i>
    <i t="default">
      <x v="228"/>
    </i>
    <i>
      <x v="241"/>
      <x v="1925"/>
    </i>
    <i t="default">
      <x v="241"/>
    </i>
    <i>
      <x v="249"/>
      <x v="2306"/>
    </i>
    <i t="default">
      <x v="249"/>
    </i>
    <i>
      <x v="259"/>
      <x v="1809"/>
    </i>
    <i r="1">
      <x v="2097"/>
    </i>
    <i r="1">
      <x v="2754"/>
    </i>
    <i t="default">
      <x v="259"/>
    </i>
    <i>
      <x v="271"/>
      <x v="2684"/>
    </i>
    <i r="1">
      <x v="2685"/>
    </i>
    <i r="1">
      <x v="2686"/>
    </i>
    <i r="1">
      <x v="2687"/>
    </i>
    <i r="1">
      <x v="2884"/>
    </i>
    <i r="1">
      <x v="3192"/>
    </i>
    <i t="default">
      <x v="271"/>
    </i>
    <i>
      <x v="276"/>
      <x v="1547"/>
    </i>
    <i r="1">
      <x v="1548"/>
    </i>
    <i r="1">
      <x v="1549"/>
    </i>
    <i r="1">
      <x v="1550"/>
    </i>
    <i r="1">
      <x v="1685"/>
    </i>
    <i r="1">
      <x v="1808"/>
    </i>
    <i r="1">
      <x v="2164"/>
    </i>
    <i r="1">
      <x v="2165"/>
    </i>
    <i r="1">
      <x v="2242"/>
    </i>
    <i r="1">
      <x v="2243"/>
    </i>
    <i r="1">
      <x v="2253"/>
    </i>
    <i r="1">
      <x v="2356"/>
    </i>
    <i r="1">
      <x v="2416"/>
    </i>
    <i r="1">
      <x v="2417"/>
    </i>
    <i r="1">
      <x v="2418"/>
    </i>
    <i r="1">
      <x v="2569"/>
    </i>
    <i r="1">
      <x v="2593"/>
    </i>
    <i r="1">
      <x v="2660"/>
    </i>
    <i r="1">
      <x v="2721"/>
    </i>
    <i r="1">
      <x v="2743"/>
    </i>
    <i r="1">
      <x v="2744"/>
    </i>
    <i r="1">
      <x v="2941"/>
    </i>
    <i r="1">
      <x v="3029"/>
    </i>
    <i t="default">
      <x v="276"/>
    </i>
    <i>
      <x v="285"/>
      <x v="2429"/>
    </i>
    <i t="default">
      <x v="285"/>
    </i>
    <i>
      <x v="287"/>
      <x v="2412"/>
    </i>
    <i t="default">
      <x v="287"/>
    </i>
    <i>
      <x v="294"/>
      <x v="1867"/>
    </i>
    <i t="default">
      <x v="294"/>
    </i>
    <i>
      <x v="299"/>
      <x v="2853"/>
    </i>
    <i t="default">
      <x v="299"/>
    </i>
    <i>
      <x v="305"/>
      <x v="2424"/>
    </i>
    <i t="default">
      <x v="305"/>
    </i>
    <i>
      <x v="323"/>
      <x v="2928"/>
    </i>
    <i t="default">
      <x v="323"/>
    </i>
    <i>
      <x v="325"/>
      <x v="1842"/>
    </i>
    <i r="1">
      <x v="1844"/>
    </i>
    <i t="default">
      <x v="325"/>
    </i>
    <i>
      <x v="332"/>
      <x v="2230"/>
    </i>
    <i t="default">
      <x v="332"/>
    </i>
    <i>
      <x v="333"/>
      <x v="1635"/>
    </i>
    <i r="1">
      <x v="1638"/>
    </i>
    <i r="1">
      <x v="1639"/>
    </i>
    <i r="1">
      <x v="1640"/>
    </i>
    <i t="default">
      <x v="333"/>
    </i>
    <i>
      <x v="336"/>
      <x v="2688"/>
    </i>
    <i t="default">
      <x v="336"/>
    </i>
    <i>
      <x v="338"/>
      <x v="1716"/>
    </i>
    <i r="1">
      <x v="1806"/>
    </i>
    <i r="1">
      <x v="2407"/>
    </i>
    <i r="1">
      <x v="2641"/>
    </i>
    <i r="1">
      <x v="2893"/>
    </i>
    <i t="default">
      <x v="338"/>
    </i>
    <i>
      <x v="345"/>
      <x v="1984"/>
    </i>
    <i t="default">
      <x v="345"/>
    </i>
    <i>
      <x v="348"/>
      <x v="1927"/>
    </i>
    <i r="1">
      <x v="1928"/>
    </i>
    <i r="1">
      <x v="1929"/>
    </i>
    <i r="1">
      <x v="2091"/>
    </i>
    <i r="1">
      <x v="2093"/>
    </i>
    <i r="1">
      <x v="2464"/>
    </i>
    <i t="default">
      <x v="348"/>
    </i>
    <i>
      <x v="352"/>
      <x v="1769"/>
    </i>
    <i t="default">
      <x v="352"/>
    </i>
    <i>
      <x v="363"/>
      <x v="2008"/>
    </i>
    <i t="default">
      <x v="363"/>
    </i>
    <i>
      <x v="377"/>
      <x v="2072"/>
    </i>
    <i r="1">
      <x v="2098"/>
    </i>
    <i r="1">
      <x v="2542"/>
    </i>
    <i t="default">
      <x v="377"/>
    </i>
    <i>
      <x v="381"/>
      <x v="1735"/>
    </i>
    <i r="1">
      <x v="1737"/>
    </i>
    <i r="1">
      <x v="1738"/>
    </i>
    <i r="1">
      <x v="1739"/>
    </i>
    <i r="1">
      <x v="1954"/>
    </i>
    <i r="1">
      <x v="2139"/>
    </i>
    <i r="1">
      <x v="2140"/>
    </i>
    <i r="1">
      <x v="2256"/>
    </i>
    <i r="1">
      <x v="2292"/>
    </i>
    <i r="1">
      <x v="2293"/>
    </i>
    <i r="1">
      <x v="2294"/>
    </i>
    <i r="1">
      <x v="2472"/>
    </i>
    <i t="default">
      <x v="381"/>
    </i>
    <i>
      <x v="393"/>
      <x v="1747"/>
    </i>
    <i r="1">
      <x v="2811"/>
    </i>
    <i t="default">
      <x v="393"/>
    </i>
    <i>
      <x v="403"/>
      <x v="1792"/>
    </i>
    <i t="default">
      <x v="403"/>
    </i>
    <i>
      <x v="411"/>
      <x v="1756"/>
    </i>
    <i r="1">
      <x v="2136"/>
    </i>
    <i r="1">
      <x v="2271"/>
    </i>
    <i r="1">
      <x v="2423"/>
    </i>
    <i r="1">
      <x v="2831"/>
    </i>
    <i t="default">
      <x v="411"/>
    </i>
    <i>
      <x v="417"/>
      <x v="1683"/>
    </i>
    <i t="default">
      <x v="417"/>
    </i>
    <i>
      <x v="434"/>
      <x v="2290"/>
    </i>
    <i r="1">
      <x v="3119"/>
    </i>
    <i t="default">
      <x v="434"/>
    </i>
    <i>
      <x v="449"/>
      <x v="1691"/>
    </i>
    <i r="1">
      <x v="1692"/>
    </i>
    <i r="1">
      <x v="2516"/>
    </i>
    <i t="default">
      <x v="449"/>
    </i>
    <i>
      <x v="463"/>
      <x v="2156"/>
    </i>
    <i r="1">
      <x v="2157"/>
    </i>
    <i r="1">
      <x v="2158"/>
    </i>
    <i r="1">
      <x v="2364"/>
    </i>
    <i r="1">
      <x v="2365"/>
    </i>
    <i t="default">
      <x v="463"/>
    </i>
    <i>
      <x v="474"/>
      <x v="2059"/>
    </i>
    <i t="default">
      <x v="474"/>
    </i>
    <i>
      <x v="477"/>
      <x v="2028"/>
    </i>
    <i r="1">
      <x v="2038"/>
    </i>
    <i r="1">
      <x v="2919"/>
    </i>
    <i r="1">
      <x v="2944"/>
    </i>
    <i t="default">
      <x v="477"/>
    </i>
    <i>
      <x v="478"/>
      <x v="3238"/>
    </i>
    <i t="default">
      <x v="478"/>
    </i>
    <i>
      <x v="487"/>
      <x v="1721"/>
    </i>
    <i t="default">
      <x v="487"/>
    </i>
    <i>
      <x v="498"/>
      <x v="2014"/>
    </i>
    <i t="default">
      <x v="498"/>
    </i>
    <i>
      <x v="505"/>
      <x v="2681"/>
    </i>
    <i t="default">
      <x v="505"/>
    </i>
    <i>
      <x v="506"/>
      <x v="1777"/>
    </i>
    <i r="1">
      <x v="1778"/>
    </i>
    <i t="default">
      <x v="506"/>
    </i>
    <i>
      <x v="513"/>
      <x v="2421"/>
    </i>
    <i t="default">
      <x v="513"/>
    </i>
    <i>
      <x v="519"/>
      <x v="1757"/>
    </i>
    <i r="1">
      <x v="2186"/>
    </i>
    <i r="1">
      <x v="2550"/>
    </i>
    <i t="default">
      <x v="519"/>
    </i>
    <i>
      <x v="546"/>
      <x v="2286"/>
    </i>
    <i r="1">
      <x v="2514"/>
    </i>
    <i t="default">
      <x v="546"/>
    </i>
    <i>
      <x v="562"/>
      <x v="3109"/>
    </i>
    <i t="default">
      <x v="562"/>
    </i>
    <i>
      <x v="594"/>
      <x v="2373"/>
    </i>
    <i t="default">
      <x v="594"/>
    </i>
    <i>
      <x v="606"/>
      <x v="2503"/>
    </i>
    <i t="default">
      <x v="606"/>
    </i>
    <i>
      <x v="614"/>
      <x v="1784"/>
    </i>
    <i t="default">
      <x v="614"/>
    </i>
    <i>
      <x v="615"/>
      <x v="1568"/>
    </i>
    <i t="default">
      <x v="615"/>
    </i>
    <i>
      <x v="617"/>
      <x v="2447"/>
    </i>
    <i r="1">
      <x v="2462"/>
    </i>
    <i t="default">
      <x v="617"/>
    </i>
    <i>
      <x v="626"/>
      <x v="1553"/>
    </i>
    <i r="1">
      <x v="2285"/>
    </i>
    <i t="default">
      <x v="626"/>
    </i>
    <i>
      <x v="628"/>
      <x v="2214"/>
    </i>
    <i r="1">
      <x v="2560"/>
    </i>
    <i r="1">
      <x v="2561"/>
    </i>
    <i r="1">
      <x v="2595"/>
    </i>
    <i r="1">
      <x v="2663"/>
    </i>
    <i r="1">
      <x v="3195"/>
    </i>
    <i t="default">
      <x v="628"/>
    </i>
    <i>
      <x v="635"/>
      <x v="1805"/>
    </i>
    <i r="1">
      <x v="2709"/>
    </i>
    <i t="default">
      <x v="635"/>
    </i>
    <i>
      <x v="661"/>
      <x v="2534"/>
    </i>
    <i r="1">
      <x v="2535"/>
    </i>
    <i r="1">
      <x v="2536"/>
    </i>
    <i r="1">
      <x v="2537"/>
    </i>
    <i r="1">
      <x v="2543"/>
    </i>
    <i r="1">
      <x v="2818"/>
    </i>
    <i r="1">
      <x v="2819"/>
    </i>
    <i r="1">
      <x v="2820"/>
    </i>
    <i r="1">
      <x v="3259"/>
    </i>
    <i t="default">
      <x v="661"/>
    </i>
    <i>
      <x v="662"/>
      <x v="1609"/>
    </i>
    <i t="default">
      <x v="662"/>
    </i>
    <i>
      <x v="683"/>
      <x v="1763"/>
    </i>
    <i r="1">
      <x v="1768"/>
    </i>
    <i r="1">
      <x v="2298"/>
    </i>
    <i t="default">
      <x v="683"/>
    </i>
    <i>
      <x v="686"/>
      <x v="1847"/>
    </i>
    <i t="default">
      <x v="686"/>
    </i>
    <i>
      <x v="687"/>
      <x v="1787"/>
    </i>
    <i r="1">
      <x v="1788"/>
    </i>
    <i r="1">
      <x v="1789"/>
    </i>
    <i t="default">
      <x v="687"/>
    </i>
    <i>
      <x v="692"/>
      <x v="1722"/>
    </i>
    <i t="default">
      <x v="692"/>
    </i>
    <i>
      <x v="697"/>
      <x v="1829"/>
    </i>
    <i t="default">
      <x v="697"/>
    </i>
    <i>
      <x v="705"/>
      <x v="1729"/>
    </i>
    <i t="default">
      <x v="705"/>
    </i>
    <i>
      <x v="714"/>
      <x v="3077"/>
    </i>
    <i t="default">
      <x v="714"/>
    </i>
    <i>
      <x v="716"/>
      <x v="3084"/>
    </i>
    <i r="1">
      <x v="3085"/>
    </i>
    <i t="default">
      <x v="716"/>
    </i>
    <i>
      <x v="777"/>
      <x v="1959"/>
    </i>
    <i t="default">
      <x v="777"/>
    </i>
    <i>
      <x v="792"/>
      <x v="1551"/>
    </i>
    <i r="1">
      <x v="1552"/>
    </i>
    <i r="1">
      <x v="2009"/>
    </i>
    <i t="default">
      <x v="792"/>
    </i>
    <i>
      <x v="793"/>
      <x v="1554"/>
    </i>
    <i r="1">
      <x v="2512"/>
    </i>
    <i r="1">
      <x v="2759"/>
    </i>
    <i r="1">
      <x v="3050"/>
    </i>
    <i t="default">
      <x v="793"/>
    </i>
    <i>
      <x v="794"/>
      <x v="1555"/>
    </i>
    <i r="1">
      <x v="2540"/>
    </i>
    <i t="default">
      <x v="794"/>
    </i>
    <i>
      <x v="797"/>
      <x v="1559"/>
    </i>
    <i t="default">
      <x v="797"/>
    </i>
    <i>
      <x v="799"/>
      <x v="1563"/>
    </i>
    <i r="1">
      <x v="1564"/>
    </i>
    <i r="1">
      <x v="1936"/>
    </i>
    <i r="1">
      <x v="1937"/>
    </i>
    <i t="default">
      <x v="799"/>
    </i>
    <i>
      <x v="800"/>
      <x v="1567"/>
    </i>
    <i t="default">
      <x v="800"/>
    </i>
    <i>
      <x v="804"/>
      <x v="1614"/>
    </i>
    <i t="default">
      <x v="804"/>
    </i>
    <i>
      <x v="810"/>
      <x v="1668"/>
    </i>
    <i t="default">
      <x v="810"/>
    </i>
    <i>
      <x v="811"/>
      <x v="1682"/>
    </i>
    <i r="1">
      <x v="2461"/>
    </i>
    <i t="default">
      <x v="811"/>
    </i>
    <i>
      <x v="815"/>
      <x v="1690"/>
    </i>
    <i r="1">
      <x v="1982"/>
    </i>
    <i r="1">
      <x v="1983"/>
    </i>
    <i t="default">
      <x v="815"/>
    </i>
    <i>
      <x v="816"/>
      <x v="1693"/>
    </i>
    <i r="1">
      <x v="1694"/>
    </i>
    <i r="1">
      <x v="1696"/>
    </i>
    <i r="1">
      <x v="1697"/>
    </i>
    <i r="1">
      <x v="1698"/>
    </i>
    <i r="1">
      <x v="1699"/>
    </i>
    <i r="1">
      <x v="1703"/>
    </i>
    <i r="1">
      <x v="1704"/>
    </i>
    <i r="1">
      <x v="1705"/>
    </i>
    <i r="1">
      <x v="1706"/>
    </i>
    <i r="1">
      <x v="1975"/>
    </i>
    <i r="1">
      <x v="1976"/>
    </i>
    <i r="1">
      <x v="1977"/>
    </i>
    <i r="1">
      <x v="2911"/>
    </i>
    <i r="1">
      <x v="3080"/>
    </i>
    <i t="default">
      <x v="816"/>
    </i>
    <i>
      <x v="818"/>
      <x v="1700"/>
    </i>
    <i t="default">
      <x v="818"/>
    </i>
    <i>
      <x v="820"/>
      <x v="1711"/>
    </i>
    <i t="default">
      <x v="820"/>
    </i>
    <i>
      <x v="822"/>
      <x v="1726"/>
    </i>
    <i r="1">
      <x v="1727"/>
    </i>
    <i r="1">
      <x v="2019"/>
    </i>
    <i t="default">
      <x v="822"/>
    </i>
    <i>
      <x v="827"/>
      <x v="1741"/>
    </i>
    <i r="1">
      <x v="2067"/>
    </i>
    <i t="default">
      <x v="827"/>
    </i>
    <i>
      <x v="828"/>
      <x v="1742"/>
    </i>
    <i t="default">
      <x v="828"/>
    </i>
    <i>
      <x v="829"/>
      <x v="1750"/>
    </i>
    <i r="1">
      <x v="1915"/>
    </i>
    <i r="1">
      <x v="1939"/>
    </i>
    <i r="1">
      <x v="2142"/>
    </i>
    <i r="1">
      <x v="2460"/>
    </i>
    <i t="default">
      <x v="829"/>
    </i>
    <i>
      <x v="830"/>
      <x v="1755"/>
    </i>
    <i t="default">
      <x v="830"/>
    </i>
    <i>
      <x v="833"/>
      <x v="1770"/>
    </i>
    <i r="1">
      <x v="2876"/>
    </i>
    <i t="default">
      <x v="833"/>
    </i>
    <i>
      <x v="834"/>
      <x v="1771"/>
    </i>
    <i r="1">
      <x v="2269"/>
    </i>
    <i t="default">
      <x v="834"/>
    </i>
    <i>
      <x v="839"/>
      <x v="1796"/>
    </i>
    <i t="default">
      <x v="839"/>
    </i>
    <i>
      <x v="845"/>
      <x v="1826"/>
    </i>
    <i t="default">
      <x v="845"/>
    </i>
    <i>
      <x v="846"/>
      <x v="1828"/>
    </i>
    <i t="default">
      <x v="846"/>
    </i>
    <i>
      <x v="850"/>
      <x v="1843"/>
    </i>
    <i t="default">
      <x v="850"/>
    </i>
    <i>
      <x v="851"/>
      <x v="1846"/>
    </i>
    <i r="1">
      <x v="2438"/>
    </i>
    <i r="1">
      <x v="2481"/>
    </i>
    <i r="1">
      <x v="2552"/>
    </i>
    <i t="default">
      <x v="851"/>
    </i>
    <i>
      <x v="858"/>
      <x v="1877"/>
    </i>
    <i t="default">
      <x v="858"/>
    </i>
    <i>
      <x v="859"/>
      <x v="1878"/>
    </i>
    <i t="default">
      <x v="859"/>
    </i>
    <i>
      <x v="864"/>
      <x v="1934"/>
    </i>
    <i r="1">
      <x v="2449"/>
    </i>
    <i t="default">
      <x v="864"/>
    </i>
    <i>
      <x v="865"/>
      <x v="1935"/>
    </i>
    <i t="default">
      <x v="865"/>
    </i>
    <i>
      <x v="874"/>
      <x v="1961"/>
    </i>
    <i t="default">
      <x v="874"/>
    </i>
    <i>
      <x v="878"/>
      <x v="1985"/>
    </i>
    <i r="1">
      <x v="2603"/>
    </i>
    <i t="default">
      <x v="878"/>
    </i>
    <i>
      <x v="879"/>
      <x v="1986"/>
    </i>
    <i t="default">
      <x v="879"/>
    </i>
    <i>
      <x v="887"/>
      <x v="2032"/>
    </i>
    <i t="default">
      <x v="887"/>
    </i>
    <i>
      <x v="891"/>
      <x v="2042"/>
    </i>
    <i r="1">
      <x v="2047"/>
    </i>
    <i r="1">
      <x v="2048"/>
    </i>
    <i r="1">
      <x v="2049"/>
    </i>
    <i t="default">
      <x v="891"/>
    </i>
    <i>
      <x v="911"/>
      <x v="2107"/>
    </i>
    <i t="default">
      <x v="911"/>
    </i>
    <i>
      <x v="916"/>
      <x v="2133"/>
    </i>
    <i t="default">
      <x v="916"/>
    </i>
    <i>
      <x v="922"/>
      <x v="2567"/>
    </i>
    <i t="default">
      <x v="922"/>
    </i>
    <i>
      <x v="929"/>
      <x v="2209"/>
    </i>
    <i t="default">
      <x v="929"/>
    </i>
    <i>
      <x v="942"/>
      <x v="2259"/>
    </i>
    <i r="1">
      <x v="2757"/>
    </i>
    <i t="default">
      <x v="942"/>
    </i>
    <i>
      <x v="953"/>
      <x v="2304"/>
    </i>
    <i r="1">
      <x v="2360"/>
    </i>
    <i t="default">
      <x v="953"/>
    </i>
    <i>
      <x v="958"/>
      <x v="3104"/>
    </i>
    <i t="default">
      <x v="958"/>
    </i>
    <i>
      <x v="964"/>
      <x v="2347"/>
    </i>
    <i t="default">
      <x v="964"/>
    </i>
    <i>
      <x v="979"/>
      <x v="2400"/>
    </i>
    <i t="default">
      <x v="979"/>
    </i>
    <i>
      <x v="981"/>
      <x v="2403"/>
    </i>
    <i t="default">
      <x v="981"/>
    </i>
    <i>
      <x v="998"/>
      <x v="2496"/>
    </i>
    <i t="default">
      <x v="998"/>
    </i>
    <i>
      <x v="999"/>
      <x v="2502"/>
    </i>
    <i t="default">
      <x v="999"/>
    </i>
    <i>
      <x v="1000"/>
      <x v="2508"/>
    </i>
    <i t="default">
      <x v="1000"/>
    </i>
    <i>
      <x v="1003"/>
      <x v="2544"/>
    </i>
    <i r="1">
      <x v="2632"/>
    </i>
    <i r="1">
      <x v="2738"/>
    </i>
    <i r="1">
      <x v="2749"/>
    </i>
    <i t="default">
      <x v="1003"/>
    </i>
    <i>
      <x v="1006"/>
      <x v="2575"/>
    </i>
    <i t="default">
      <x v="1006"/>
    </i>
    <i>
      <x v="1007"/>
      <x v="2576"/>
    </i>
    <i r="1">
      <x v="2577"/>
    </i>
    <i t="default">
      <x v="1007"/>
    </i>
    <i>
      <x v="1026"/>
      <x v="2672"/>
    </i>
    <i r="1">
      <x v="2693"/>
    </i>
    <i t="default">
      <x v="1026"/>
    </i>
    <i>
      <x v="1034"/>
      <x v="2712"/>
    </i>
    <i r="1">
      <x v="2713"/>
    </i>
    <i r="1">
      <x v="2909"/>
    </i>
    <i r="1">
      <x v="2910"/>
    </i>
    <i t="default">
      <x v="1034"/>
    </i>
    <i>
      <x v="1036"/>
      <x v="2728"/>
    </i>
    <i r="1">
      <x v="2729"/>
    </i>
    <i r="1">
      <x v="2871"/>
    </i>
    <i r="1">
      <x v="3003"/>
    </i>
    <i t="default">
      <x v="1036"/>
    </i>
    <i>
      <x v="1062"/>
      <x v="2851"/>
    </i>
    <i t="default">
      <x v="1062"/>
    </i>
    <i>
      <x v="1065"/>
      <x v="2860"/>
    </i>
    <i t="default">
      <x v="1065"/>
    </i>
    <i>
      <x v="1073"/>
      <x v="2888"/>
    </i>
    <i t="default">
      <x v="1073"/>
    </i>
    <i>
      <x v="1083"/>
      <x v="2957"/>
    </i>
    <i t="default">
      <x v="1083"/>
    </i>
    <i>
      <x v="1091"/>
      <x v="2979"/>
    </i>
    <i r="1">
      <x v="3023"/>
    </i>
    <i t="default">
      <x v="1091"/>
    </i>
    <i>
      <x v="1093"/>
      <x v="3021"/>
    </i>
    <i t="default">
      <x v="1093"/>
    </i>
    <i>
      <x v="1100"/>
      <x v="3011"/>
    </i>
    <i r="1">
      <x v="3012"/>
    </i>
    <i t="default">
      <x v="1100"/>
    </i>
    <i>
      <x v="1105"/>
      <x v="3049"/>
    </i>
    <i t="default">
      <x v="1105"/>
    </i>
    <i>
      <x v="1119"/>
      <x v="3161"/>
    </i>
    <i t="default">
      <x v="1119"/>
    </i>
    <i>
      <x v="1120"/>
      <x v="3167"/>
    </i>
    <i t="default">
      <x v="1120"/>
    </i>
    <i t="grand">
      <x/>
    </i>
  </rowItems>
  <colFields count="1">
    <field x="-2"/>
  </colFields>
  <colItems count="2">
    <i>
      <x/>
    </i>
    <i i="1">
      <x v="1"/>
    </i>
  </colItems>
  <pageFields count="1">
    <pageField fld="19" hier="-1"/>
  </pageFields>
  <dataFields count="2">
    <dataField name="Cuenta de 3 ACUSE" fld="19" subtotal="count" baseField="0" baseItem="0"/>
    <dataField name="Suma de Total" fld="14" baseField="0" baseItem="0" numFmtId="164"/>
  </dataFields>
  <formats count="1058">
    <format dxfId="2394">
      <pivotArea dataOnly="0" labelOnly="1" outline="0" fieldPosition="0">
        <references count="1">
          <reference field="19" count="0"/>
        </references>
      </pivotArea>
    </format>
    <format dxfId="2395">
      <pivotArea field="2" type="button" dataOnly="0" labelOnly="1" outline="0" axis="axisRow" fieldPosition="1"/>
    </format>
    <format dxfId="2396">
      <pivotArea dataOnly="0" labelOnly="1" outline="0" fieldPosition="0">
        <references count="1">
          <reference field="10" count="1" defaultSubtotal="1">
            <x v="0"/>
          </reference>
        </references>
      </pivotArea>
    </format>
    <format dxfId="2397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2398">
      <pivotArea dataOnly="0" labelOnly="1" outline="0" fieldPosition="0">
        <references count="1">
          <reference field="10" count="1" defaultSubtotal="1">
            <x v="3"/>
          </reference>
        </references>
      </pivotArea>
    </format>
    <format dxfId="2399">
      <pivotArea dataOnly="0" labelOnly="1" outline="0" fieldPosition="0">
        <references count="1">
          <reference field="10" count="1" defaultSubtotal="1">
            <x v="4"/>
          </reference>
        </references>
      </pivotArea>
    </format>
    <format dxfId="2400">
      <pivotArea dataOnly="0" labelOnly="1" outline="0" fieldPosition="0">
        <references count="1">
          <reference field="10" count="1" defaultSubtotal="1">
            <x v="6"/>
          </reference>
        </references>
      </pivotArea>
    </format>
    <format dxfId="2401">
      <pivotArea dataOnly="0" labelOnly="1" outline="0" fieldPosition="0">
        <references count="1">
          <reference field="10" count="1" defaultSubtotal="1">
            <x v="9"/>
          </reference>
        </references>
      </pivotArea>
    </format>
    <format dxfId="2402">
      <pivotArea dataOnly="0" labelOnly="1" outline="0" fieldPosition="0">
        <references count="1">
          <reference field="10" count="1" defaultSubtotal="1">
            <x v="10"/>
          </reference>
        </references>
      </pivotArea>
    </format>
    <format dxfId="2403">
      <pivotArea dataOnly="0" labelOnly="1" outline="0" fieldPosition="0">
        <references count="1">
          <reference field="10" count="1" defaultSubtotal="1">
            <x v="11"/>
          </reference>
        </references>
      </pivotArea>
    </format>
    <format dxfId="2404">
      <pivotArea dataOnly="0" labelOnly="1" outline="0" fieldPosition="0">
        <references count="1">
          <reference field="10" count="1" defaultSubtotal="1">
            <x v="13"/>
          </reference>
        </references>
      </pivotArea>
    </format>
    <format dxfId="2405">
      <pivotArea dataOnly="0" labelOnly="1" outline="0" fieldPosition="0">
        <references count="1">
          <reference field="10" count="1" defaultSubtotal="1">
            <x v="15"/>
          </reference>
        </references>
      </pivotArea>
    </format>
    <format dxfId="2406">
      <pivotArea dataOnly="0" labelOnly="1" outline="0" fieldPosition="0">
        <references count="1">
          <reference field="10" count="1" defaultSubtotal="1">
            <x v="17"/>
          </reference>
        </references>
      </pivotArea>
    </format>
    <format dxfId="2407">
      <pivotArea dataOnly="0" labelOnly="1" outline="0" fieldPosition="0">
        <references count="1">
          <reference field="10" count="1" defaultSubtotal="1">
            <x v="18"/>
          </reference>
        </references>
      </pivotArea>
    </format>
    <format dxfId="2408">
      <pivotArea dataOnly="0" labelOnly="1" outline="0" fieldPosition="0">
        <references count="1">
          <reference field="10" count="1" defaultSubtotal="1">
            <x v="19"/>
          </reference>
        </references>
      </pivotArea>
    </format>
    <format dxfId="2409">
      <pivotArea dataOnly="0" labelOnly="1" outline="0" fieldPosition="0">
        <references count="1">
          <reference field="10" count="1" defaultSubtotal="1">
            <x v="20"/>
          </reference>
        </references>
      </pivotArea>
    </format>
    <format dxfId="2410">
      <pivotArea dataOnly="0" labelOnly="1" outline="0" fieldPosition="0">
        <references count="1">
          <reference field="10" count="1" defaultSubtotal="1">
            <x v="21"/>
          </reference>
        </references>
      </pivotArea>
    </format>
    <format dxfId="2411">
      <pivotArea dataOnly="0" labelOnly="1" outline="0" fieldPosition="0">
        <references count="1">
          <reference field="10" count="1" defaultSubtotal="1">
            <x v="22"/>
          </reference>
        </references>
      </pivotArea>
    </format>
    <format dxfId="2412">
      <pivotArea dataOnly="0" labelOnly="1" outline="0" fieldPosition="0">
        <references count="1">
          <reference field="10" count="1" defaultSubtotal="1">
            <x v="23"/>
          </reference>
        </references>
      </pivotArea>
    </format>
    <format dxfId="2413">
      <pivotArea dataOnly="0" labelOnly="1" outline="0" fieldPosition="0">
        <references count="1">
          <reference field="10" count="1" defaultSubtotal="1">
            <x v="24"/>
          </reference>
        </references>
      </pivotArea>
    </format>
    <format dxfId="2414">
      <pivotArea dataOnly="0" labelOnly="1" outline="0" fieldPosition="0">
        <references count="1">
          <reference field="10" count="1" defaultSubtotal="1">
            <x v="25"/>
          </reference>
        </references>
      </pivotArea>
    </format>
    <format dxfId="2415">
      <pivotArea dataOnly="0" labelOnly="1" outline="0" fieldPosition="0">
        <references count="1">
          <reference field="10" count="1" defaultSubtotal="1">
            <x v="26"/>
          </reference>
        </references>
      </pivotArea>
    </format>
    <format dxfId="2416">
      <pivotArea dataOnly="0" labelOnly="1" outline="0" fieldPosition="0">
        <references count="1">
          <reference field="10" count="1" defaultSubtotal="1">
            <x v="27"/>
          </reference>
        </references>
      </pivotArea>
    </format>
    <format dxfId="2417">
      <pivotArea dataOnly="0" labelOnly="1" outline="0" fieldPosition="0">
        <references count="1">
          <reference field="10" count="1" defaultSubtotal="1">
            <x v="28"/>
          </reference>
        </references>
      </pivotArea>
    </format>
    <format dxfId="2418">
      <pivotArea dataOnly="0" labelOnly="1" outline="0" fieldPosition="0">
        <references count="1">
          <reference field="10" count="1" defaultSubtotal="1">
            <x v="29"/>
          </reference>
        </references>
      </pivotArea>
    </format>
    <format dxfId="2419">
      <pivotArea dataOnly="0" labelOnly="1" outline="0" fieldPosition="0">
        <references count="1">
          <reference field="10" count="1" defaultSubtotal="1">
            <x v="30"/>
          </reference>
        </references>
      </pivotArea>
    </format>
    <format dxfId="2420">
      <pivotArea dataOnly="0" labelOnly="1" outline="0" fieldPosition="0">
        <references count="1">
          <reference field="10" count="1" defaultSubtotal="1">
            <x v="31"/>
          </reference>
        </references>
      </pivotArea>
    </format>
    <format dxfId="2421">
      <pivotArea dataOnly="0" labelOnly="1" outline="0" fieldPosition="0">
        <references count="1">
          <reference field="10" count="1" defaultSubtotal="1">
            <x v="32"/>
          </reference>
        </references>
      </pivotArea>
    </format>
    <format dxfId="2422">
      <pivotArea dataOnly="0" labelOnly="1" outline="0" fieldPosition="0">
        <references count="1">
          <reference field="10" count="1" defaultSubtotal="1">
            <x v="33"/>
          </reference>
        </references>
      </pivotArea>
    </format>
    <format dxfId="2423">
      <pivotArea dataOnly="0" labelOnly="1" outline="0" fieldPosition="0">
        <references count="1">
          <reference field="10" count="1" defaultSubtotal="1">
            <x v="34"/>
          </reference>
        </references>
      </pivotArea>
    </format>
    <format dxfId="2424">
      <pivotArea dataOnly="0" labelOnly="1" outline="0" fieldPosition="0">
        <references count="1">
          <reference field="10" count="1" defaultSubtotal="1">
            <x v="35"/>
          </reference>
        </references>
      </pivotArea>
    </format>
    <format dxfId="2425">
      <pivotArea dataOnly="0" labelOnly="1" outline="0" fieldPosition="0">
        <references count="1">
          <reference field="10" count="1" defaultSubtotal="1">
            <x v="37"/>
          </reference>
        </references>
      </pivotArea>
    </format>
    <format dxfId="2426">
      <pivotArea dataOnly="0" labelOnly="1" outline="0" fieldPosition="0">
        <references count="1">
          <reference field="10" count="1" defaultSubtotal="1">
            <x v="39"/>
          </reference>
        </references>
      </pivotArea>
    </format>
    <format dxfId="2427">
      <pivotArea dataOnly="0" labelOnly="1" outline="0" fieldPosition="0">
        <references count="1">
          <reference field="10" count="1" defaultSubtotal="1">
            <x v="41"/>
          </reference>
        </references>
      </pivotArea>
    </format>
    <format dxfId="2428">
      <pivotArea dataOnly="0" labelOnly="1" outline="0" fieldPosition="0">
        <references count="1">
          <reference field="10" count="1" defaultSubtotal="1">
            <x v="42"/>
          </reference>
        </references>
      </pivotArea>
    </format>
    <format dxfId="2429">
      <pivotArea dataOnly="0" labelOnly="1" outline="0" fieldPosition="0">
        <references count="1">
          <reference field="10" count="1" defaultSubtotal="1">
            <x v="43"/>
          </reference>
        </references>
      </pivotArea>
    </format>
    <format dxfId="2430">
      <pivotArea dataOnly="0" labelOnly="1" outline="0" fieldPosition="0">
        <references count="1">
          <reference field="10" count="1" defaultSubtotal="1">
            <x v="44"/>
          </reference>
        </references>
      </pivotArea>
    </format>
    <format dxfId="2431">
      <pivotArea dataOnly="0" labelOnly="1" outline="0" fieldPosition="0">
        <references count="1">
          <reference field="10" count="1" defaultSubtotal="1">
            <x v="45"/>
          </reference>
        </references>
      </pivotArea>
    </format>
    <format dxfId="2432">
      <pivotArea dataOnly="0" labelOnly="1" outline="0" fieldPosition="0">
        <references count="1">
          <reference field="10" count="1" defaultSubtotal="1">
            <x v="46"/>
          </reference>
        </references>
      </pivotArea>
    </format>
    <format dxfId="2433">
      <pivotArea dataOnly="0" labelOnly="1" outline="0" fieldPosition="0">
        <references count="1">
          <reference field="10" count="1" defaultSubtotal="1">
            <x v="47"/>
          </reference>
        </references>
      </pivotArea>
    </format>
    <format dxfId="2434">
      <pivotArea dataOnly="0" labelOnly="1" outline="0" fieldPosition="0">
        <references count="1">
          <reference field="10" count="1" defaultSubtotal="1">
            <x v="48"/>
          </reference>
        </references>
      </pivotArea>
    </format>
    <format dxfId="2435">
      <pivotArea dataOnly="0" labelOnly="1" outline="0" fieldPosition="0">
        <references count="1">
          <reference field="10" count="1" defaultSubtotal="1">
            <x v="49"/>
          </reference>
        </references>
      </pivotArea>
    </format>
    <format dxfId="2436">
      <pivotArea dataOnly="0" labelOnly="1" outline="0" fieldPosition="0">
        <references count="1">
          <reference field="10" count="1" defaultSubtotal="1">
            <x v="50"/>
          </reference>
        </references>
      </pivotArea>
    </format>
    <format dxfId="2437">
      <pivotArea dataOnly="0" labelOnly="1" outline="0" fieldPosition="0">
        <references count="1">
          <reference field="10" count="1" defaultSubtotal="1">
            <x v="51"/>
          </reference>
        </references>
      </pivotArea>
    </format>
    <format dxfId="2438">
      <pivotArea dataOnly="0" labelOnly="1" outline="0" fieldPosition="0">
        <references count="1">
          <reference field="10" count="1" defaultSubtotal="1">
            <x v="52"/>
          </reference>
        </references>
      </pivotArea>
    </format>
    <format dxfId="2439">
      <pivotArea dataOnly="0" labelOnly="1" outline="0" fieldPosition="0">
        <references count="1">
          <reference field="10" count="1" defaultSubtotal="1">
            <x v="53"/>
          </reference>
        </references>
      </pivotArea>
    </format>
    <format dxfId="2440">
      <pivotArea dataOnly="0" labelOnly="1" outline="0" fieldPosition="0">
        <references count="1">
          <reference field="10" count="1" defaultSubtotal="1">
            <x v="55"/>
          </reference>
        </references>
      </pivotArea>
    </format>
    <format dxfId="2441">
      <pivotArea dataOnly="0" labelOnly="1" outline="0" fieldPosition="0">
        <references count="1">
          <reference field="10" count="1" defaultSubtotal="1">
            <x v="56"/>
          </reference>
        </references>
      </pivotArea>
    </format>
    <format dxfId="2442">
      <pivotArea dataOnly="0" labelOnly="1" outline="0" fieldPosition="0">
        <references count="1">
          <reference field="10" count="1" defaultSubtotal="1">
            <x v="57"/>
          </reference>
        </references>
      </pivotArea>
    </format>
    <format dxfId="2443">
      <pivotArea dataOnly="0" labelOnly="1" outline="0" fieldPosition="0">
        <references count="1">
          <reference field="10" count="1" defaultSubtotal="1">
            <x v="58"/>
          </reference>
        </references>
      </pivotArea>
    </format>
    <format dxfId="2444">
      <pivotArea dataOnly="0" labelOnly="1" outline="0" fieldPosition="0">
        <references count="1">
          <reference field="10" count="1" defaultSubtotal="1">
            <x v="59"/>
          </reference>
        </references>
      </pivotArea>
    </format>
    <format dxfId="2445">
      <pivotArea dataOnly="0" labelOnly="1" outline="0" fieldPosition="0">
        <references count="1">
          <reference field="10" count="1" defaultSubtotal="1">
            <x v="60"/>
          </reference>
        </references>
      </pivotArea>
    </format>
    <format dxfId="2446">
      <pivotArea dataOnly="0" labelOnly="1" outline="0" fieldPosition="0">
        <references count="1">
          <reference field="10" count="1" defaultSubtotal="1">
            <x v="63"/>
          </reference>
        </references>
      </pivotArea>
    </format>
    <format dxfId="2447">
      <pivotArea dataOnly="0" labelOnly="1" outline="0" fieldPosition="0">
        <references count="1">
          <reference field="10" count="1" defaultSubtotal="1">
            <x v="64"/>
          </reference>
        </references>
      </pivotArea>
    </format>
    <format dxfId="2448">
      <pivotArea dataOnly="0" labelOnly="1" outline="0" fieldPosition="0">
        <references count="1">
          <reference field="10" count="1" defaultSubtotal="1">
            <x v="65"/>
          </reference>
        </references>
      </pivotArea>
    </format>
    <format dxfId="2449">
      <pivotArea dataOnly="0" labelOnly="1" outline="0" fieldPosition="0">
        <references count="1">
          <reference field="10" count="1" defaultSubtotal="1">
            <x v="66"/>
          </reference>
        </references>
      </pivotArea>
    </format>
    <format dxfId="2450">
      <pivotArea dataOnly="0" labelOnly="1" outline="0" fieldPosition="0">
        <references count="1">
          <reference field="10" count="1" defaultSubtotal="1">
            <x v="67"/>
          </reference>
        </references>
      </pivotArea>
    </format>
    <format dxfId="2451">
      <pivotArea dataOnly="0" labelOnly="1" outline="0" fieldPosition="0">
        <references count="1">
          <reference field="10" count="1" defaultSubtotal="1">
            <x v="68"/>
          </reference>
        </references>
      </pivotArea>
    </format>
    <format dxfId="2452">
      <pivotArea dataOnly="0" labelOnly="1" outline="0" fieldPosition="0">
        <references count="1">
          <reference field="10" count="1" defaultSubtotal="1">
            <x v="70"/>
          </reference>
        </references>
      </pivotArea>
    </format>
    <format dxfId="2453">
      <pivotArea dataOnly="0" labelOnly="1" outline="0" fieldPosition="0">
        <references count="1">
          <reference field="10" count="1" defaultSubtotal="1">
            <x v="71"/>
          </reference>
        </references>
      </pivotArea>
    </format>
    <format dxfId="2454">
      <pivotArea dataOnly="0" labelOnly="1" outline="0" fieldPosition="0">
        <references count="1">
          <reference field="10" count="1" defaultSubtotal="1">
            <x v="72"/>
          </reference>
        </references>
      </pivotArea>
    </format>
    <format dxfId="2455">
      <pivotArea dataOnly="0" labelOnly="1" outline="0" fieldPosition="0">
        <references count="1">
          <reference field="10" count="1" defaultSubtotal="1">
            <x v="73"/>
          </reference>
        </references>
      </pivotArea>
    </format>
    <format dxfId="2456">
      <pivotArea dataOnly="0" labelOnly="1" outline="0" fieldPosition="0">
        <references count="1">
          <reference field="10" count="1" defaultSubtotal="1">
            <x v="75"/>
          </reference>
        </references>
      </pivotArea>
    </format>
    <format dxfId="2457">
      <pivotArea dataOnly="0" labelOnly="1" outline="0" fieldPosition="0">
        <references count="1">
          <reference field="10" count="1" defaultSubtotal="1">
            <x v="76"/>
          </reference>
        </references>
      </pivotArea>
    </format>
    <format dxfId="2458">
      <pivotArea dataOnly="0" labelOnly="1" outline="0" fieldPosition="0">
        <references count="1">
          <reference field="10" count="1" defaultSubtotal="1">
            <x v="77"/>
          </reference>
        </references>
      </pivotArea>
    </format>
    <format dxfId="2459">
      <pivotArea dataOnly="0" labelOnly="1" outline="0" fieldPosition="0">
        <references count="1">
          <reference field="10" count="1" defaultSubtotal="1">
            <x v="78"/>
          </reference>
        </references>
      </pivotArea>
    </format>
    <format dxfId="2460">
      <pivotArea dataOnly="0" labelOnly="1" outline="0" fieldPosition="0">
        <references count="1">
          <reference field="10" count="1" defaultSubtotal="1">
            <x v="79"/>
          </reference>
        </references>
      </pivotArea>
    </format>
    <format dxfId="2461">
      <pivotArea dataOnly="0" labelOnly="1" outline="0" fieldPosition="0">
        <references count="1">
          <reference field="10" count="1" defaultSubtotal="1">
            <x v="80"/>
          </reference>
        </references>
      </pivotArea>
    </format>
    <format dxfId="2462">
      <pivotArea dataOnly="0" labelOnly="1" outline="0" fieldPosition="0">
        <references count="1">
          <reference field="10" count="1" defaultSubtotal="1">
            <x v="81"/>
          </reference>
        </references>
      </pivotArea>
    </format>
    <format dxfId="2463">
      <pivotArea dataOnly="0" labelOnly="1" outline="0" fieldPosition="0">
        <references count="1">
          <reference field="10" count="1" defaultSubtotal="1">
            <x v="82"/>
          </reference>
        </references>
      </pivotArea>
    </format>
    <format dxfId="2464">
      <pivotArea dataOnly="0" labelOnly="1" outline="0" fieldPosition="0">
        <references count="1">
          <reference field="10" count="1" defaultSubtotal="1">
            <x v="83"/>
          </reference>
        </references>
      </pivotArea>
    </format>
    <format dxfId="2465">
      <pivotArea dataOnly="0" labelOnly="1" outline="0" fieldPosition="0">
        <references count="1">
          <reference field="10" count="1" defaultSubtotal="1">
            <x v="84"/>
          </reference>
        </references>
      </pivotArea>
    </format>
    <format dxfId="2466">
      <pivotArea dataOnly="0" labelOnly="1" outline="0" fieldPosition="0">
        <references count="1">
          <reference field="10" count="1" defaultSubtotal="1">
            <x v="85"/>
          </reference>
        </references>
      </pivotArea>
    </format>
    <format dxfId="2467">
      <pivotArea dataOnly="0" labelOnly="1" outline="0" fieldPosition="0">
        <references count="1">
          <reference field="10" count="1" defaultSubtotal="1">
            <x v="87"/>
          </reference>
        </references>
      </pivotArea>
    </format>
    <format dxfId="2468">
      <pivotArea dataOnly="0" labelOnly="1" outline="0" fieldPosition="0">
        <references count="1">
          <reference field="10" count="1" defaultSubtotal="1">
            <x v="89"/>
          </reference>
        </references>
      </pivotArea>
    </format>
    <format dxfId="2469">
      <pivotArea dataOnly="0" labelOnly="1" outline="0" fieldPosition="0">
        <references count="1">
          <reference field="10" count="1" defaultSubtotal="1">
            <x v="90"/>
          </reference>
        </references>
      </pivotArea>
    </format>
    <format dxfId="2470">
      <pivotArea dataOnly="0" labelOnly="1" outline="0" fieldPosition="0">
        <references count="1">
          <reference field="10" count="1" defaultSubtotal="1">
            <x v="91"/>
          </reference>
        </references>
      </pivotArea>
    </format>
    <format dxfId="2471">
      <pivotArea dataOnly="0" labelOnly="1" outline="0" fieldPosition="0">
        <references count="1">
          <reference field="10" count="1" defaultSubtotal="1">
            <x v="92"/>
          </reference>
        </references>
      </pivotArea>
    </format>
    <format dxfId="2472">
      <pivotArea dataOnly="0" labelOnly="1" outline="0" fieldPosition="0">
        <references count="1">
          <reference field="10" count="1" defaultSubtotal="1">
            <x v="94"/>
          </reference>
        </references>
      </pivotArea>
    </format>
    <format dxfId="2473">
      <pivotArea dataOnly="0" labelOnly="1" outline="0" fieldPosition="0">
        <references count="1">
          <reference field="10" count="1" defaultSubtotal="1">
            <x v="95"/>
          </reference>
        </references>
      </pivotArea>
    </format>
    <format dxfId="2474">
      <pivotArea dataOnly="0" labelOnly="1" outline="0" fieldPosition="0">
        <references count="1">
          <reference field="10" count="1" defaultSubtotal="1">
            <x v="96"/>
          </reference>
        </references>
      </pivotArea>
    </format>
    <format dxfId="2475">
      <pivotArea dataOnly="0" labelOnly="1" outline="0" fieldPosition="0">
        <references count="1">
          <reference field="10" count="1" defaultSubtotal="1">
            <x v="97"/>
          </reference>
        </references>
      </pivotArea>
    </format>
    <format dxfId="2476">
      <pivotArea dataOnly="0" labelOnly="1" outline="0" fieldPosition="0">
        <references count="1">
          <reference field="10" count="1" defaultSubtotal="1">
            <x v="98"/>
          </reference>
        </references>
      </pivotArea>
    </format>
    <format dxfId="2477">
      <pivotArea dataOnly="0" labelOnly="1" outline="0" fieldPosition="0">
        <references count="1">
          <reference field="10" count="1" defaultSubtotal="1">
            <x v="99"/>
          </reference>
        </references>
      </pivotArea>
    </format>
    <format dxfId="2478">
      <pivotArea dataOnly="0" labelOnly="1" outline="0" fieldPosition="0">
        <references count="1">
          <reference field="10" count="1" defaultSubtotal="1">
            <x v="100"/>
          </reference>
        </references>
      </pivotArea>
    </format>
    <format dxfId="2479">
      <pivotArea dataOnly="0" labelOnly="1" outline="0" fieldPosition="0">
        <references count="1">
          <reference field="10" count="1" defaultSubtotal="1">
            <x v="103"/>
          </reference>
        </references>
      </pivotArea>
    </format>
    <format dxfId="2480">
      <pivotArea dataOnly="0" labelOnly="1" outline="0" fieldPosition="0">
        <references count="1">
          <reference field="10" count="1" defaultSubtotal="1">
            <x v="104"/>
          </reference>
        </references>
      </pivotArea>
    </format>
    <format dxfId="2481">
      <pivotArea dataOnly="0" labelOnly="1" outline="0" fieldPosition="0">
        <references count="1">
          <reference field="10" count="1" defaultSubtotal="1">
            <x v="106"/>
          </reference>
        </references>
      </pivotArea>
    </format>
    <format dxfId="2482">
      <pivotArea dataOnly="0" labelOnly="1" outline="0" fieldPosition="0">
        <references count="1">
          <reference field="10" count="1" defaultSubtotal="1">
            <x v="108"/>
          </reference>
        </references>
      </pivotArea>
    </format>
    <format dxfId="2483">
      <pivotArea dataOnly="0" labelOnly="1" outline="0" fieldPosition="0">
        <references count="1">
          <reference field="10" count="1" defaultSubtotal="1">
            <x v="109"/>
          </reference>
        </references>
      </pivotArea>
    </format>
    <format dxfId="2484">
      <pivotArea dataOnly="0" labelOnly="1" outline="0" fieldPosition="0">
        <references count="1">
          <reference field="10" count="1" defaultSubtotal="1">
            <x v="110"/>
          </reference>
        </references>
      </pivotArea>
    </format>
    <format dxfId="2485">
      <pivotArea dataOnly="0" labelOnly="1" outline="0" fieldPosition="0">
        <references count="1">
          <reference field="10" count="1" defaultSubtotal="1">
            <x v="111"/>
          </reference>
        </references>
      </pivotArea>
    </format>
    <format dxfId="2486">
      <pivotArea dataOnly="0" labelOnly="1" outline="0" fieldPosition="0">
        <references count="1">
          <reference field="10" count="1" defaultSubtotal="1">
            <x v="112"/>
          </reference>
        </references>
      </pivotArea>
    </format>
    <format dxfId="2487">
      <pivotArea dataOnly="0" labelOnly="1" outline="0" fieldPosition="0">
        <references count="1">
          <reference field="10" count="1" defaultSubtotal="1">
            <x v="113"/>
          </reference>
        </references>
      </pivotArea>
    </format>
    <format dxfId="2488">
      <pivotArea dataOnly="0" labelOnly="1" outline="0" fieldPosition="0">
        <references count="1">
          <reference field="10" count="1" defaultSubtotal="1">
            <x v="114"/>
          </reference>
        </references>
      </pivotArea>
    </format>
    <format dxfId="2489">
      <pivotArea dataOnly="0" labelOnly="1" outline="0" fieldPosition="0">
        <references count="1">
          <reference field="10" count="1" defaultSubtotal="1">
            <x v="116"/>
          </reference>
        </references>
      </pivotArea>
    </format>
    <format dxfId="2490">
      <pivotArea dataOnly="0" labelOnly="1" outline="0" fieldPosition="0">
        <references count="1">
          <reference field="10" count="1" defaultSubtotal="1">
            <x v="117"/>
          </reference>
        </references>
      </pivotArea>
    </format>
    <format dxfId="2491">
      <pivotArea dataOnly="0" labelOnly="1" outline="0" fieldPosition="0">
        <references count="1">
          <reference field="10" count="1" defaultSubtotal="1">
            <x v="118"/>
          </reference>
        </references>
      </pivotArea>
    </format>
    <format dxfId="2492">
      <pivotArea dataOnly="0" labelOnly="1" outline="0" fieldPosition="0">
        <references count="1">
          <reference field="10" count="1" defaultSubtotal="1">
            <x v="119"/>
          </reference>
        </references>
      </pivotArea>
    </format>
    <format dxfId="2493">
      <pivotArea dataOnly="0" labelOnly="1" outline="0" fieldPosition="0">
        <references count="1">
          <reference field="10" count="1" defaultSubtotal="1">
            <x v="120"/>
          </reference>
        </references>
      </pivotArea>
    </format>
    <format dxfId="2494">
      <pivotArea dataOnly="0" labelOnly="1" outline="0" fieldPosition="0">
        <references count="1">
          <reference field="10" count="1" defaultSubtotal="1">
            <x v="121"/>
          </reference>
        </references>
      </pivotArea>
    </format>
    <format dxfId="2495">
      <pivotArea dataOnly="0" labelOnly="1" outline="0" fieldPosition="0">
        <references count="1">
          <reference field="10" count="1" defaultSubtotal="1">
            <x v="122"/>
          </reference>
        </references>
      </pivotArea>
    </format>
    <format dxfId="2496">
      <pivotArea dataOnly="0" labelOnly="1" outline="0" fieldPosition="0">
        <references count="1">
          <reference field="10" count="1" defaultSubtotal="1">
            <x v="123"/>
          </reference>
        </references>
      </pivotArea>
    </format>
    <format dxfId="2497">
      <pivotArea dataOnly="0" labelOnly="1" outline="0" fieldPosition="0">
        <references count="1">
          <reference field="10" count="1" defaultSubtotal="1">
            <x v="124"/>
          </reference>
        </references>
      </pivotArea>
    </format>
    <format dxfId="2498">
      <pivotArea dataOnly="0" labelOnly="1" outline="0" fieldPosition="0">
        <references count="1">
          <reference field="10" count="1" defaultSubtotal="1">
            <x v="125"/>
          </reference>
        </references>
      </pivotArea>
    </format>
    <format dxfId="2499">
      <pivotArea dataOnly="0" labelOnly="1" outline="0" fieldPosition="0">
        <references count="1">
          <reference field="10" count="1" defaultSubtotal="1">
            <x v="126"/>
          </reference>
        </references>
      </pivotArea>
    </format>
    <format dxfId="2500">
      <pivotArea dataOnly="0" labelOnly="1" outline="0" fieldPosition="0">
        <references count="1">
          <reference field="10" count="1" defaultSubtotal="1">
            <x v="127"/>
          </reference>
        </references>
      </pivotArea>
    </format>
    <format dxfId="2501">
      <pivotArea dataOnly="0" labelOnly="1" outline="0" fieldPosition="0">
        <references count="1">
          <reference field="10" count="1" defaultSubtotal="1">
            <x v="128"/>
          </reference>
        </references>
      </pivotArea>
    </format>
    <format dxfId="2502">
      <pivotArea dataOnly="0" labelOnly="1" outline="0" fieldPosition="0">
        <references count="1">
          <reference field="10" count="1" defaultSubtotal="1">
            <x v="129"/>
          </reference>
        </references>
      </pivotArea>
    </format>
    <format dxfId="2503">
      <pivotArea dataOnly="0" labelOnly="1" outline="0" fieldPosition="0">
        <references count="1">
          <reference field="10" count="1" defaultSubtotal="1">
            <x v="130"/>
          </reference>
        </references>
      </pivotArea>
    </format>
    <format dxfId="2504">
      <pivotArea dataOnly="0" labelOnly="1" outline="0" fieldPosition="0">
        <references count="1">
          <reference field="10" count="1" defaultSubtotal="1">
            <x v="131"/>
          </reference>
        </references>
      </pivotArea>
    </format>
    <format dxfId="2505">
      <pivotArea dataOnly="0" labelOnly="1" outline="0" fieldPosition="0">
        <references count="1">
          <reference field="10" count="1" defaultSubtotal="1">
            <x v="132"/>
          </reference>
        </references>
      </pivotArea>
    </format>
    <format dxfId="2506">
      <pivotArea dataOnly="0" labelOnly="1" outline="0" fieldPosition="0">
        <references count="1">
          <reference field="10" count="1" defaultSubtotal="1">
            <x v="133"/>
          </reference>
        </references>
      </pivotArea>
    </format>
    <format dxfId="2507">
      <pivotArea dataOnly="0" labelOnly="1" outline="0" fieldPosition="0">
        <references count="1">
          <reference field="10" count="1" defaultSubtotal="1">
            <x v="134"/>
          </reference>
        </references>
      </pivotArea>
    </format>
    <format dxfId="2508">
      <pivotArea dataOnly="0" labelOnly="1" outline="0" fieldPosition="0">
        <references count="1">
          <reference field="10" count="1" defaultSubtotal="1">
            <x v="135"/>
          </reference>
        </references>
      </pivotArea>
    </format>
    <format dxfId="2509">
      <pivotArea dataOnly="0" labelOnly="1" outline="0" fieldPosition="0">
        <references count="1">
          <reference field="10" count="1" defaultSubtotal="1">
            <x v="136"/>
          </reference>
        </references>
      </pivotArea>
    </format>
    <format dxfId="2510">
      <pivotArea dataOnly="0" labelOnly="1" outline="0" fieldPosition="0">
        <references count="1">
          <reference field="10" count="1" defaultSubtotal="1">
            <x v="137"/>
          </reference>
        </references>
      </pivotArea>
    </format>
    <format dxfId="2511">
      <pivotArea dataOnly="0" labelOnly="1" outline="0" fieldPosition="0">
        <references count="1">
          <reference field="10" count="1" defaultSubtotal="1">
            <x v="138"/>
          </reference>
        </references>
      </pivotArea>
    </format>
    <format dxfId="2512">
      <pivotArea dataOnly="0" labelOnly="1" outline="0" fieldPosition="0">
        <references count="1">
          <reference field="10" count="1" defaultSubtotal="1">
            <x v="140"/>
          </reference>
        </references>
      </pivotArea>
    </format>
    <format dxfId="2513">
      <pivotArea dataOnly="0" labelOnly="1" outline="0" fieldPosition="0">
        <references count="1">
          <reference field="10" count="1" defaultSubtotal="1">
            <x v="141"/>
          </reference>
        </references>
      </pivotArea>
    </format>
    <format dxfId="2514">
      <pivotArea dataOnly="0" labelOnly="1" outline="0" fieldPosition="0">
        <references count="1">
          <reference field="10" count="1" defaultSubtotal="1">
            <x v="142"/>
          </reference>
        </references>
      </pivotArea>
    </format>
    <format dxfId="2515">
      <pivotArea dataOnly="0" labelOnly="1" outline="0" fieldPosition="0">
        <references count="1">
          <reference field="10" count="1" defaultSubtotal="1">
            <x v="143"/>
          </reference>
        </references>
      </pivotArea>
    </format>
    <format dxfId="2516">
      <pivotArea dataOnly="0" labelOnly="1" outline="0" fieldPosition="0">
        <references count="1">
          <reference field="10" count="1" defaultSubtotal="1">
            <x v="145"/>
          </reference>
        </references>
      </pivotArea>
    </format>
    <format dxfId="2517">
      <pivotArea dataOnly="0" labelOnly="1" outline="0" fieldPosition="0">
        <references count="1">
          <reference field="10" count="1" defaultSubtotal="1">
            <x v="146"/>
          </reference>
        </references>
      </pivotArea>
    </format>
    <format dxfId="2518">
      <pivotArea dataOnly="0" labelOnly="1" outline="0" fieldPosition="0">
        <references count="1">
          <reference field="10" count="1" defaultSubtotal="1">
            <x v="147"/>
          </reference>
        </references>
      </pivotArea>
    </format>
    <format dxfId="2519">
      <pivotArea dataOnly="0" labelOnly="1" outline="0" fieldPosition="0">
        <references count="1">
          <reference field="10" count="1" defaultSubtotal="1">
            <x v="149"/>
          </reference>
        </references>
      </pivotArea>
    </format>
    <format dxfId="2520">
      <pivotArea dataOnly="0" labelOnly="1" outline="0" fieldPosition="0">
        <references count="1">
          <reference field="10" count="1" defaultSubtotal="1">
            <x v="150"/>
          </reference>
        </references>
      </pivotArea>
    </format>
    <format dxfId="2521">
      <pivotArea dataOnly="0" labelOnly="1" outline="0" fieldPosition="0">
        <references count="1">
          <reference field="10" count="1" defaultSubtotal="1">
            <x v="151"/>
          </reference>
        </references>
      </pivotArea>
    </format>
    <format dxfId="2522">
      <pivotArea dataOnly="0" labelOnly="1" outline="0" fieldPosition="0">
        <references count="1">
          <reference field="10" count="1" defaultSubtotal="1">
            <x v="152"/>
          </reference>
        </references>
      </pivotArea>
    </format>
    <format dxfId="2523">
      <pivotArea dataOnly="0" labelOnly="1" outline="0" fieldPosition="0">
        <references count="1">
          <reference field="10" count="1" defaultSubtotal="1">
            <x v="153"/>
          </reference>
        </references>
      </pivotArea>
    </format>
    <format dxfId="2524">
      <pivotArea dataOnly="0" labelOnly="1" outline="0" fieldPosition="0">
        <references count="1">
          <reference field="10" count="1" defaultSubtotal="1">
            <x v="154"/>
          </reference>
        </references>
      </pivotArea>
    </format>
    <format dxfId="2525">
      <pivotArea dataOnly="0" labelOnly="1" outline="0" fieldPosition="0">
        <references count="1">
          <reference field="10" count="1" defaultSubtotal="1">
            <x v="155"/>
          </reference>
        </references>
      </pivotArea>
    </format>
    <format dxfId="2526">
      <pivotArea dataOnly="0" labelOnly="1" outline="0" fieldPosition="0">
        <references count="1">
          <reference field="10" count="1" defaultSubtotal="1">
            <x v="156"/>
          </reference>
        </references>
      </pivotArea>
    </format>
    <format dxfId="2527">
      <pivotArea dataOnly="0" labelOnly="1" outline="0" fieldPosition="0">
        <references count="1">
          <reference field="10" count="1" defaultSubtotal="1">
            <x v="158"/>
          </reference>
        </references>
      </pivotArea>
    </format>
    <format dxfId="2528">
      <pivotArea dataOnly="0" labelOnly="1" outline="0" fieldPosition="0">
        <references count="1">
          <reference field="10" count="1" defaultSubtotal="1">
            <x v="160"/>
          </reference>
        </references>
      </pivotArea>
    </format>
    <format dxfId="2529">
      <pivotArea dataOnly="0" labelOnly="1" outline="0" fieldPosition="0">
        <references count="1">
          <reference field="10" count="1" defaultSubtotal="1">
            <x v="161"/>
          </reference>
        </references>
      </pivotArea>
    </format>
    <format dxfId="2530">
      <pivotArea dataOnly="0" labelOnly="1" outline="0" fieldPosition="0">
        <references count="1">
          <reference field="10" count="1" defaultSubtotal="1">
            <x v="162"/>
          </reference>
        </references>
      </pivotArea>
    </format>
    <format dxfId="2531">
      <pivotArea dataOnly="0" labelOnly="1" outline="0" fieldPosition="0">
        <references count="1">
          <reference field="10" count="1" defaultSubtotal="1">
            <x v="163"/>
          </reference>
        </references>
      </pivotArea>
    </format>
    <format dxfId="2532">
      <pivotArea dataOnly="0" labelOnly="1" outline="0" fieldPosition="0">
        <references count="1">
          <reference field="10" count="1" defaultSubtotal="1">
            <x v="164"/>
          </reference>
        </references>
      </pivotArea>
    </format>
    <format dxfId="2533">
      <pivotArea dataOnly="0" labelOnly="1" outline="0" fieldPosition="0">
        <references count="1">
          <reference field="10" count="1" defaultSubtotal="1">
            <x v="165"/>
          </reference>
        </references>
      </pivotArea>
    </format>
    <format dxfId="2534">
      <pivotArea dataOnly="0" labelOnly="1" outline="0" fieldPosition="0">
        <references count="1">
          <reference field="10" count="1" defaultSubtotal="1">
            <x v="166"/>
          </reference>
        </references>
      </pivotArea>
    </format>
    <format dxfId="2535">
      <pivotArea dataOnly="0" labelOnly="1" outline="0" fieldPosition="0">
        <references count="1">
          <reference field="10" count="1" defaultSubtotal="1">
            <x v="167"/>
          </reference>
        </references>
      </pivotArea>
    </format>
    <format dxfId="2536">
      <pivotArea dataOnly="0" labelOnly="1" outline="0" fieldPosition="0">
        <references count="1">
          <reference field="10" count="1" defaultSubtotal="1">
            <x v="168"/>
          </reference>
        </references>
      </pivotArea>
    </format>
    <format dxfId="2537">
      <pivotArea dataOnly="0" labelOnly="1" outline="0" fieldPosition="0">
        <references count="1">
          <reference field="10" count="1" defaultSubtotal="1">
            <x v="169"/>
          </reference>
        </references>
      </pivotArea>
    </format>
    <format dxfId="2538">
      <pivotArea dataOnly="0" labelOnly="1" outline="0" fieldPosition="0">
        <references count="1">
          <reference field="10" count="1" defaultSubtotal="1">
            <x v="170"/>
          </reference>
        </references>
      </pivotArea>
    </format>
    <format dxfId="2539">
      <pivotArea dataOnly="0" labelOnly="1" outline="0" fieldPosition="0">
        <references count="1">
          <reference field="10" count="1" defaultSubtotal="1">
            <x v="173"/>
          </reference>
        </references>
      </pivotArea>
    </format>
    <format dxfId="2540">
      <pivotArea dataOnly="0" labelOnly="1" outline="0" fieldPosition="0">
        <references count="1">
          <reference field="10" count="1" defaultSubtotal="1">
            <x v="174"/>
          </reference>
        </references>
      </pivotArea>
    </format>
    <format dxfId="2541">
      <pivotArea dataOnly="0" labelOnly="1" outline="0" fieldPosition="0">
        <references count="1">
          <reference field="10" count="1" defaultSubtotal="1">
            <x v="175"/>
          </reference>
        </references>
      </pivotArea>
    </format>
    <format dxfId="2542">
      <pivotArea dataOnly="0" labelOnly="1" outline="0" fieldPosition="0">
        <references count="1">
          <reference field="10" count="1" defaultSubtotal="1">
            <x v="176"/>
          </reference>
        </references>
      </pivotArea>
    </format>
    <format dxfId="2543">
      <pivotArea dataOnly="0" labelOnly="1" outline="0" fieldPosition="0">
        <references count="1">
          <reference field="10" count="1" defaultSubtotal="1">
            <x v="177"/>
          </reference>
        </references>
      </pivotArea>
    </format>
    <format dxfId="2544">
      <pivotArea dataOnly="0" labelOnly="1" outline="0" fieldPosition="0">
        <references count="1">
          <reference field="10" count="1" defaultSubtotal="1">
            <x v="179"/>
          </reference>
        </references>
      </pivotArea>
    </format>
    <format dxfId="2545">
      <pivotArea dataOnly="0" labelOnly="1" outline="0" fieldPosition="0">
        <references count="1">
          <reference field="10" count="1" defaultSubtotal="1">
            <x v="180"/>
          </reference>
        </references>
      </pivotArea>
    </format>
    <format dxfId="2546">
      <pivotArea dataOnly="0" labelOnly="1" outline="0" fieldPosition="0">
        <references count="1">
          <reference field="10" count="1" defaultSubtotal="1">
            <x v="181"/>
          </reference>
        </references>
      </pivotArea>
    </format>
    <format dxfId="2547">
      <pivotArea dataOnly="0" labelOnly="1" outline="0" fieldPosition="0">
        <references count="1">
          <reference field="10" count="1" defaultSubtotal="1">
            <x v="182"/>
          </reference>
        </references>
      </pivotArea>
    </format>
    <format dxfId="2548">
      <pivotArea dataOnly="0" labelOnly="1" outline="0" fieldPosition="0">
        <references count="1">
          <reference field="10" count="1" defaultSubtotal="1">
            <x v="183"/>
          </reference>
        </references>
      </pivotArea>
    </format>
    <format dxfId="2549">
      <pivotArea dataOnly="0" labelOnly="1" outline="0" fieldPosition="0">
        <references count="1">
          <reference field="10" count="1" defaultSubtotal="1">
            <x v="184"/>
          </reference>
        </references>
      </pivotArea>
    </format>
    <format dxfId="2550">
      <pivotArea dataOnly="0" labelOnly="1" outline="0" fieldPosition="0">
        <references count="1">
          <reference field="10" count="1" defaultSubtotal="1">
            <x v="185"/>
          </reference>
        </references>
      </pivotArea>
    </format>
    <format dxfId="2551">
      <pivotArea dataOnly="0" labelOnly="1" outline="0" fieldPosition="0">
        <references count="1">
          <reference field="10" count="1" defaultSubtotal="1">
            <x v="186"/>
          </reference>
        </references>
      </pivotArea>
    </format>
    <format dxfId="2552">
      <pivotArea dataOnly="0" labelOnly="1" outline="0" fieldPosition="0">
        <references count="1">
          <reference field="10" count="1" defaultSubtotal="1">
            <x v="187"/>
          </reference>
        </references>
      </pivotArea>
    </format>
    <format dxfId="2553">
      <pivotArea dataOnly="0" labelOnly="1" outline="0" fieldPosition="0">
        <references count="1">
          <reference field="10" count="1" defaultSubtotal="1">
            <x v="188"/>
          </reference>
        </references>
      </pivotArea>
    </format>
    <format dxfId="2554">
      <pivotArea dataOnly="0" labelOnly="1" outline="0" fieldPosition="0">
        <references count="1">
          <reference field="10" count="1" defaultSubtotal="1">
            <x v="189"/>
          </reference>
        </references>
      </pivotArea>
    </format>
    <format dxfId="2555">
      <pivotArea dataOnly="0" labelOnly="1" outline="0" fieldPosition="0">
        <references count="1">
          <reference field="10" count="1" defaultSubtotal="1">
            <x v="190"/>
          </reference>
        </references>
      </pivotArea>
    </format>
    <format dxfId="2556">
      <pivotArea dataOnly="0" labelOnly="1" outline="0" fieldPosition="0">
        <references count="1">
          <reference field="10" count="1" defaultSubtotal="1">
            <x v="191"/>
          </reference>
        </references>
      </pivotArea>
    </format>
    <format dxfId="2557">
      <pivotArea dataOnly="0" labelOnly="1" outline="0" fieldPosition="0">
        <references count="1">
          <reference field="10" count="1" defaultSubtotal="1">
            <x v="192"/>
          </reference>
        </references>
      </pivotArea>
    </format>
    <format dxfId="2558">
      <pivotArea dataOnly="0" labelOnly="1" outline="0" fieldPosition="0">
        <references count="1">
          <reference field="10" count="1" defaultSubtotal="1">
            <x v="193"/>
          </reference>
        </references>
      </pivotArea>
    </format>
    <format dxfId="2559">
      <pivotArea dataOnly="0" labelOnly="1" outline="0" fieldPosition="0">
        <references count="1">
          <reference field="10" count="1" defaultSubtotal="1">
            <x v="194"/>
          </reference>
        </references>
      </pivotArea>
    </format>
    <format dxfId="2560">
      <pivotArea dataOnly="0" labelOnly="1" outline="0" fieldPosition="0">
        <references count="1">
          <reference field="10" count="1" defaultSubtotal="1">
            <x v="195"/>
          </reference>
        </references>
      </pivotArea>
    </format>
    <format dxfId="2561">
      <pivotArea dataOnly="0" labelOnly="1" outline="0" fieldPosition="0">
        <references count="1">
          <reference field="10" count="1" defaultSubtotal="1">
            <x v="196"/>
          </reference>
        </references>
      </pivotArea>
    </format>
    <format dxfId="2562">
      <pivotArea dataOnly="0" labelOnly="1" outline="0" fieldPosition="0">
        <references count="1">
          <reference field="10" count="1" defaultSubtotal="1">
            <x v="197"/>
          </reference>
        </references>
      </pivotArea>
    </format>
    <format dxfId="2563">
      <pivotArea dataOnly="0" labelOnly="1" outline="0" fieldPosition="0">
        <references count="1">
          <reference field="10" count="1" defaultSubtotal="1">
            <x v="198"/>
          </reference>
        </references>
      </pivotArea>
    </format>
    <format dxfId="2564">
      <pivotArea dataOnly="0" labelOnly="1" outline="0" fieldPosition="0">
        <references count="1">
          <reference field="10" count="1" defaultSubtotal="1">
            <x v="200"/>
          </reference>
        </references>
      </pivotArea>
    </format>
    <format dxfId="2565">
      <pivotArea dataOnly="0" labelOnly="1" outline="0" fieldPosition="0">
        <references count="1">
          <reference field="10" count="1" defaultSubtotal="1">
            <x v="202"/>
          </reference>
        </references>
      </pivotArea>
    </format>
    <format dxfId="2566">
      <pivotArea dataOnly="0" labelOnly="1" outline="0" fieldPosition="0">
        <references count="1">
          <reference field="10" count="1" defaultSubtotal="1">
            <x v="204"/>
          </reference>
        </references>
      </pivotArea>
    </format>
    <format dxfId="2567">
      <pivotArea dataOnly="0" labelOnly="1" outline="0" fieldPosition="0">
        <references count="1">
          <reference field="10" count="1" defaultSubtotal="1">
            <x v="205"/>
          </reference>
        </references>
      </pivotArea>
    </format>
    <format dxfId="2568">
      <pivotArea dataOnly="0" labelOnly="1" outline="0" fieldPosition="0">
        <references count="1">
          <reference field="10" count="1" defaultSubtotal="1">
            <x v="206"/>
          </reference>
        </references>
      </pivotArea>
    </format>
    <format dxfId="2569">
      <pivotArea dataOnly="0" labelOnly="1" outline="0" fieldPosition="0">
        <references count="1">
          <reference field="10" count="1" defaultSubtotal="1">
            <x v="207"/>
          </reference>
        </references>
      </pivotArea>
    </format>
    <format dxfId="2570">
      <pivotArea dataOnly="0" labelOnly="1" outline="0" fieldPosition="0">
        <references count="1">
          <reference field="10" count="1" defaultSubtotal="1">
            <x v="208"/>
          </reference>
        </references>
      </pivotArea>
    </format>
    <format dxfId="2571">
      <pivotArea dataOnly="0" labelOnly="1" outline="0" fieldPosition="0">
        <references count="1">
          <reference field="10" count="1" defaultSubtotal="1">
            <x v="210"/>
          </reference>
        </references>
      </pivotArea>
    </format>
    <format dxfId="2572">
      <pivotArea dataOnly="0" labelOnly="1" outline="0" fieldPosition="0">
        <references count="1">
          <reference field="10" count="1" defaultSubtotal="1">
            <x v="211"/>
          </reference>
        </references>
      </pivotArea>
    </format>
    <format dxfId="2573">
      <pivotArea dataOnly="0" labelOnly="1" outline="0" fieldPosition="0">
        <references count="1">
          <reference field="10" count="1" defaultSubtotal="1">
            <x v="213"/>
          </reference>
        </references>
      </pivotArea>
    </format>
    <format dxfId="2574">
      <pivotArea dataOnly="0" labelOnly="1" outline="0" fieldPosition="0">
        <references count="1">
          <reference field="10" count="1" defaultSubtotal="1">
            <x v="214"/>
          </reference>
        </references>
      </pivotArea>
    </format>
    <format dxfId="2575">
      <pivotArea dataOnly="0" labelOnly="1" outline="0" fieldPosition="0">
        <references count="1">
          <reference field="10" count="1" defaultSubtotal="1">
            <x v="215"/>
          </reference>
        </references>
      </pivotArea>
    </format>
    <format dxfId="2576">
      <pivotArea dataOnly="0" labelOnly="1" outline="0" fieldPosition="0">
        <references count="1">
          <reference field="10" count="1" defaultSubtotal="1">
            <x v="216"/>
          </reference>
        </references>
      </pivotArea>
    </format>
    <format dxfId="2577">
      <pivotArea dataOnly="0" labelOnly="1" outline="0" fieldPosition="0">
        <references count="1">
          <reference field="10" count="1" defaultSubtotal="1">
            <x v="217"/>
          </reference>
        </references>
      </pivotArea>
    </format>
    <format dxfId="2578">
      <pivotArea dataOnly="0" labelOnly="1" outline="0" fieldPosition="0">
        <references count="1">
          <reference field="10" count="1" defaultSubtotal="1">
            <x v="218"/>
          </reference>
        </references>
      </pivotArea>
    </format>
    <format dxfId="2579">
      <pivotArea dataOnly="0" labelOnly="1" outline="0" fieldPosition="0">
        <references count="1">
          <reference field="10" count="1" defaultSubtotal="1">
            <x v="219"/>
          </reference>
        </references>
      </pivotArea>
    </format>
    <format dxfId="2580">
      <pivotArea dataOnly="0" labelOnly="1" outline="0" fieldPosition="0">
        <references count="1">
          <reference field="10" count="1" defaultSubtotal="1">
            <x v="220"/>
          </reference>
        </references>
      </pivotArea>
    </format>
    <format dxfId="2581">
      <pivotArea dataOnly="0" labelOnly="1" outline="0" fieldPosition="0">
        <references count="1">
          <reference field="10" count="1" defaultSubtotal="1">
            <x v="221"/>
          </reference>
        </references>
      </pivotArea>
    </format>
    <format dxfId="2582">
      <pivotArea dataOnly="0" labelOnly="1" outline="0" fieldPosition="0">
        <references count="1">
          <reference field="10" count="1" defaultSubtotal="1">
            <x v="222"/>
          </reference>
        </references>
      </pivotArea>
    </format>
    <format dxfId="2583">
      <pivotArea dataOnly="0" labelOnly="1" outline="0" fieldPosition="0">
        <references count="1">
          <reference field="10" count="1" defaultSubtotal="1">
            <x v="223"/>
          </reference>
        </references>
      </pivotArea>
    </format>
    <format dxfId="2584">
      <pivotArea dataOnly="0" labelOnly="1" outline="0" fieldPosition="0">
        <references count="1">
          <reference field="10" count="1" defaultSubtotal="1">
            <x v="224"/>
          </reference>
        </references>
      </pivotArea>
    </format>
    <format dxfId="2585">
      <pivotArea dataOnly="0" labelOnly="1" outline="0" fieldPosition="0">
        <references count="1">
          <reference field="10" count="1" defaultSubtotal="1">
            <x v="225"/>
          </reference>
        </references>
      </pivotArea>
    </format>
    <format dxfId="2586">
      <pivotArea dataOnly="0" labelOnly="1" outline="0" fieldPosition="0">
        <references count="1">
          <reference field="10" count="1" defaultSubtotal="1">
            <x v="227"/>
          </reference>
        </references>
      </pivotArea>
    </format>
    <format dxfId="2587">
      <pivotArea dataOnly="0" labelOnly="1" outline="0" fieldPosition="0">
        <references count="1">
          <reference field="10" count="1" defaultSubtotal="1">
            <x v="229"/>
          </reference>
        </references>
      </pivotArea>
    </format>
    <format dxfId="2588">
      <pivotArea dataOnly="0" labelOnly="1" outline="0" fieldPosition="0">
        <references count="1">
          <reference field="10" count="1" defaultSubtotal="1">
            <x v="230"/>
          </reference>
        </references>
      </pivotArea>
    </format>
    <format dxfId="2589">
      <pivotArea dataOnly="0" labelOnly="1" outline="0" fieldPosition="0">
        <references count="1">
          <reference field="10" count="1" defaultSubtotal="1">
            <x v="231"/>
          </reference>
        </references>
      </pivotArea>
    </format>
    <format dxfId="2590">
      <pivotArea dataOnly="0" labelOnly="1" outline="0" fieldPosition="0">
        <references count="1">
          <reference field="10" count="1" defaultSubtotal="1">
            <x v="232"/>
          </reference>
        </references>
      </pivotArea>
    </format>
    <format dxfId="2591">
      <pivotArea dataOnly="0" labelOnly="1" outline="0" fieldPosition="0">
        <references count="1">
          <reference field="10" count="1" defaultSubtotal="1">
            <x v="233"/>
          </reference>
        </references>
      </pivotArea>
    </format>
    <format dxfId="2592">
      <pivotArea dataOnly="0" labelOnly="1" outline="0" fieldPosition="0">
        <references count="1">
          <reference field="10" count="1" defaultSubtotal="1">
            <x v="234"/>
          </reference>
        </references>
      </pivotArea>
    </format>
    <format dxfId="2593">
      <pivotArea dataOnly="0" labelOnly="1" outline="0" fieldPosition="0">
        <references count="1">
          <reference field="10" count="1" defaultSubtotal="1">
            <x v="236"/>
          </reference>
        </references>
      </pivotArea>
    </format>
    <format dxfId="2594">
      <pivotArea dataOnly="0" labelOnly="1" outline="0" fieldPosition="0">
        <references count="1">
          <reference field="10" count="1" defaultSubtotal="1">
            <x v="237"/>
          </reference>
        </references>
      </pivotArea>
    </format>
    <format dxfId="2595">
      <pivotArea dataOnly="0" labelOnly="1" outline="0" fieldPosition="0">
        <references count="1">
          <reference field="10" count="1" defaultSubtotal="1">
            <x v="238"/>
          </reference>
        </references>
      </pivotArea>
    </format>
    <format dxfId="2596">
      <pivotArea dataOnly="0" labelOnly="1" outline="0" fieldPosition="0">
        <references count="1">
          <reference field="10" count="1" defaultSubtotal="1">
            <x v="239"/>
          </reference>
        </references>
      </pivotArea>
    </format>
    <format dxfId="2597">
      <pivotArea dataOnly="0" labelOnly="1" outline="0" fieldPosition="0">
        <references count="1">
          <reference field="10" count="1" defaultSubtotal="1">
            <x v="240"/>
          </reference>
        </references>
      </pivotArea>
    </format>
    <format dxfId="2598">
      <pivotArea dataOnly="0" labelOnly="1" outline="0" fieldPosition="0">
        <references count="1">
          <reference field="10" count="1" defaultSubtotal="1">
            <x v="241"/>
          </reference>
        </references>
      </pivotArea>
    </format>
    <format dxfId="2599">
      <pivotArea dataOnly="0" labelOnly="1" outline="0" fieldPosition="0">
        <references count="1">
          <reference field="10" count="1" defaultSubtotal="1">
            <x v="242"/>
          </reference>
        </references>
      </pivotArea>
    </format>
    <format dxfId="2600">
      <pivotArea dataOnly="0" labelOnly="1" outline="0" fieldPosition="0">
        <references count="1">
          <reference field="10" count="1" defaultSubtotal="1">
            <x v="243"/>
          </reference>
        </references>
      </pivotArea>
    </format>
    <format dxfId="2601">
      <pivotArea dataOnly="0" labelOnly="1" outline="0" fieldPosition="0">
        <references count="1">
          <reference field="10" count="1" defaultSubtotal="1">
            <x v="244"/>
          </reference>
        </references>
      </pivotArea>
    </format>
    <format dxfId="2602">
      <pivotArea dataOnly="0" labelOnly="1" outline="0" fieldPosition="0">
        <references count="1">
          <reference field="10" count="1" defaultSubtotal="1">
            <x v="246"/>
          </reference>
        </references>
      </pivotArea>
    </format>
    <format dxfId="2603">
      <pivotArea dataOnly="0" labelOnly="1" outline="0" fieldPosition="0">
        <references count="1">
          <reference field="10" count="1" defaultSubtotal="1">
            <x v="247"/>
          </reference>
        </references>
      </pivotArea>
    </format>
    <format dxfId="2604">
      <pivotArea dataOnly="0" labelOnly="1" outline="0" fieldPosition="0">
        <references count="1">
          <reference field="10" count="1" defaultSubtotal="1">
            <x v="248"/>
          </reference>
        </references>
      </pivotArea>
    </format>
    <format dxfId="2605">
      <pivotArea dataOnly="0" labelOnly="1" outline="0" fieldPosition="0">
        <references count="1">
          <reference field="10" count="1" defaultSubtotal="1">
            <x v="249"/>
          </reference>
        </references>
      </pivotArea>
    </format>
    <format dxfId="2606">
      <pivotArea dataOnly="0" labelOnly="1" outline="0" fieldPosition="0">
        <references count="1">
          <reference field="10" count="1" defaultSubtotal="1">
            <x v="250"/>
          </reference>
        </references>
      </pivotArea>
    </format>
    <format dxfId="2607">
      <pivotArea dataOnly="0" labelOnly="1" outline="0" fieldPosition="0">
        <references count="1">
          <reference field="10" count="1" defaultSubtotal="1">
            <x v="251"/>
          </reference>
        </references>
      </pivotArea>
    </format>
    <format dxfId="2608">
      <pivotArea dataOnly="0" labelOnly="1" outline="0" fieldPosition="0">
        <references count="1">
          <reference field="10" count="1" defaultSubtotal="1">
            <x v="252"/>
          </reference>
        </references>
      </pivotArea>
    </format>
    <format dxfId="2609">
      <pivotArea dataOnly="0" labelOnly="1" outline="0" fieldPosition="0">
        <references count="1">
          <reference field="10" count="1" defaultSubtotal="1">
            <x v="253"/>
          </reference>
        </references>
      </pivotArea>
    </format>
    <format dxfId="2610">
      <pivotArea dataOnly="0" labelOnly="1" outline="0" fieldPosition="0">
        <references count="1">
          <reference field="10" count="1" defaultSubtotal="1">
            <x v="254"/>
          </reference>
        </references>
      </pivotArea>
    </format>
    <format dxfId="2611">
      <pivotArea dataOnly="0" labelOnly="1" outline="0" fieldPosition="0">
        <references count="1">
          <reference field="10" count="1" defaultSubtotal="1">
            <x v="255"/>
          </reference>
        </references>
      </pivotArea>
    </format>
    <format dxfId="2612">
      <pivotArea dataOnly="0" labelOnly="1" outline="0" fieldPosition="0">
        <references count="1">
          <reference field="10" count="1" defaultSubtotal="1">
            <x v="257"/>
          </reference>
        </references>
      </pivotArea>
    </format>
    <format dxfId="2613">
      <pivotArea dataOnly="0" labelOnly="1" outline="0" fieldPosition="0">
        <references count="1">
          <reference field="10" count="1" defaultSubtotal="1">
            <x v="258"/>
          </reference>
        </references>
      </pivotArea>
    </format>
    <format dxfId="2614">
      <pivotArea dataOnly="0" labelOnly="1" outline="0" fieldPosition="0">
        <references count="1">
          <reference field="10" count="1" defaultSubtotal="1">
            <x v="259"/>
          </reference>
        </references>
      </pivotArea>
    </format>
    <format dxfId="2615">
      <pivotArea dataOnly="0" labelOnly="1" outline="0" fieldPosition="0">
        <references count="1">
          <reference field="10" count="1" defaultSubtotal="1">
            <x v="261"/>
          </reference>
        </references>
      </pivotArea>
    </format>
    <format dxfId="2616">
      <pivotArea dataOnly="0" labelOnly="1" outline="0" fieldPosition="0">
        <references count="1">
          <reference field="10" count="1" defaultSubtotal="1">
            <x v="262"/>
          </reference>
        </references>
      </pivotArea>
    </format>
    <format dxfId="2617">
      <pivotArea dataOnly="0" labelOnly="1" outline="0" fieldPosition="0">
        <references count="1">
          <reference field="10" count="1" defaultSubtotal="1">
            <x v="263"/>
          </reference>
        </references>
      </pivotArea>
    </format>
    <format dxfId="2618">
      <pivotArea dataOnly="0" labelOnly="1" outline="0" fieldPosition="0">
        <references count="1">
          <reference field="10" count="1" defaultSubtotal="1">
            <x v="264"/>
          </reference>
        </references>
      </pivotArea>
    </format>
    <format dxfId="2619">
      <pivotArea dataOnly="0" labelOnly="1" outline="0" fieldPosition="0">
        <references count="1">
          <reference field="10" count="1" defaultSubtotal="1">
            <x v="265"/>
          </reference>
        </references>
      </pivotArea>
    </format>
    <format dxfId="2620">
      <pivotArea dataOnly="0" labelOnly="1" outline="0" fieldPosition="0">
        <references count="1">
          <reference field="10" count="1" defaultSubtotal="1">
            <x v="266"/>
          </reference>
        </references>
      </pivotArea>
    </format>
    <format dxfId="2621">
      <pivotArea dataOnly="0" labelOnly="1" outline="0" fieldPosition="0">
        <references count="1">
          <reference field="10" count="1" defaultSubtotal="1">
            <x v="267"/>
          </reference>
        </references>
      </pivotArea>
    </format>
    <format dxfId="2622">
      <pivotArea dataOnly="0" labelOnly="1" outline="0" fieldPosition="0">
        <references count="1">
          <reference field="10" count="1" defaultSubtotal="1">
            <x v="268"/>
          </reference>
        </references>
      </pivotArea>
    </format>
    <format dxfId="2623">
      <pivotArea dataOnly="0" labelOnly="1" outline="0" fieldPosition="0">
        <references count="1">
          <reference field="10" count="1" defaultSubtotal="1">
            <x v="269"/>
          </reference>
        </references>
      </pivotArea>
    </format>
    <format dxfId="2624">
      <pivotArea dataOnly="0" labelOnly="1" outline="0" fieldPosition="0">
        <references count="1">
          <reference field="10" count="1" defaultSubtotal="1">
            <x v="270"/>
          </reference>
        </references>
      </pivotArea>
    </format>
    <format dxfId="2625">
      <pivotArea dataOnly="0" labelOnly="1" outline="0" fieldPosition="0">
        <references count="1">
          <reference field="10" count="1" defaultSubtotal="1">
            <x v="271"/>
          </reference>
        </references>
      </pivotArea>
    </format>
    <format dxfId="2626">
      <pivotArea dataOnly="0" labelOnly="1" outline="0" fieldPosition="0">
        <references count="1">
          <reference field="10" count="1" defaultSubtotal="1">
            <x v="272"/>
          </reference>
        </references>
      </pivotArea>
    </format>
    <format dxfId="2627">
      <pivotArea dataOnly="0" labelOnly="1" outline="0" fieldPosition="0">
        <references count="1">
          <reference field="10" count="1" defaultSubtotal="1">
            <x v="274"/>
          </reference>
        </references>
      </pivotArea>
    </format>
    <format dxfId="2628">
      <pivotArea dataOnly="0" labelOnly="1" outline="0" fieldPosition="0">
        <references count="1">
          <reference field="10" count="1" defaultSubtotal="1">
            <x v="275"/>
          </reference>
        </references>
      </pivotArea>
    </format>
    <format dxfId="2629">
      <pivotArea dataOnly="0" labelOnly="1" outline="0" fieldPosition="0">
        <references count="1">
          <reference field="10" count="1" defaultSubtotal="1">
            <x v="277"/>
          </reference>
        </references>
      </pivotArea>
    </format>
    <format dxfId="2630">
      <pivotArea dataOnly="0" labelOnly="1" outline="0" fieldPosition="0">
        <references count="1">
          <reference field="10" count="1" defaultSubtotal="1">
            <x v="278"/>
          </reference>
        </references>
      </pivotArea>
    </format>
    <format dxfId="2631">
      <pivotArea dataOnly="0" labelOnly="1" outline="0" fieldPosition="0">
        <references count="1">
          <reference field="10" count="1" defaultSubtotal="1">
            <x v="279"/>
          </reference>
        </references>
      </pivotArea>
    </format>
    <format dxfId="2632">
      <pivotArea dataOnly="0" labelOnly="1" outline="0" fieldPosition="0">
        <references count="1">
          <reference field="10" count="1" defaultSubtotal="1">
            <x v="280"/>
          </reference>
        </references>
      </pivotArea>
    </format>
    <format dxfId="2633">
      <pivotArea dataOnly="0" labelOnly="1" outline="0" fieldPosition="0">
        <references count="1">
          <reference field="10" count="1" defaultSubtotal="1">
            <x v="281"/>
          </reference>
        </references>
      </pivotArea>
    </format>
    <format dxfId="2634">
      <pivotArea dataOnly="0" labelOnly="1" outline="0" fieldPosition="0">
        <references count="1">
          <reference field="10" count="1" defaultSubtotal="1">
            <x v="282"/>
          </reference>
        </references>
      </pivotArea>
    </format>
    <format dxfId="2635">
      <pivotArea dataOnly="0" labelOnly="1" outline="0" fieldPosition="0">
        <references count="1">
          <reference field="10" count="1" defaultSubtotal="1">
            <x v="283"/>
          </reference>
        </references>
      </pivotArea>
    </format>
    <format dxfId="2636">
      <pivotArea dataOnly="0" labelOnly="1" outline="0" fieldPosition="0">
        <references count="1">
          <reference field="10" count="1" defaultSubtotal="1">
            <x v="284"/>
          </reference>
        </references>
      </pivotArea>
    </format>
    <format dxfId="2637">
      <pivotArea dataOnly="0" labelOnly="1" outline="0" fieldPosition="0">
        <references count="1">
          <reference field="10" count="1" defaultSubtotal="1">
            <x v="285"/>
          </reference>
        </references>
      </pivotArea>
    </format>
    <format dxfId="2638">
      <pivotArea dataOnly="0" labelOnly="1" outline="0" fieldPosition="0">
        <references count="1">
          <reference field="10" count="1" defaultSubtotal="1">
            <x v="286"/>
          </reference>
        </references>
      </pivotArea>
    </format>
    <format dxfId="2639">
      <pivotArea dataOnly="0" labelOnly="1" outline="0" fieldPosition="0">
        <references count="1">
          <reference field="10" count="1" defaultSubtotal="1">
            <x v="288"/>
          </reference>
        </references>
      </pivotArea>
    </format>
    <format dxfId="2640">
      <pivotArea dataOnly="0" labelOnly="1" outline="0" fieldPosition="0">
        <references count="1">
          <reference field="10" count="1" defaultSubtotal="1">
            <x v="289"/>
          </reference>
        </references>
      </pivotArea>
    </format>
    <format dxfId="2641">
      <pivotArea dataOnly="0" labelOnly="1" outline="0" fieldPosition="0">
        <references count="1">
          <reference field="10" count="1" defaultSubtotal="1">
            <x v="291"/>
          </reference>
        </references>
      </pivotArea>
    </format>
    <format dxfId="2642">
      <pivotArea dataOnly="0" labelOnly="1" outline="0" fieldPosition="0">
        <references count="1">
          <reference field="10" count="1" defaultSubtotal="1">
            <x v="292"/>
          </reference>
        </references>
      </pivotArea>
    </format>
    <format dxfId="2643">
      <pivotArea dataOnly="0" labelOnly="1" outline="0" fieldPosition="0">
        <references count="1">
          <reference field="10" count="1" defaultSubtotal="1">
            <x v="293"/>
          </reference>
        </references>
      </pivotArea>
    </format>
    <format dxfId="2644">
      <pivotArea dataOnly="0" labelOnly="1" outline="0" fieldPosition="0">
        <references count="1">
          <reference field="10" count="1" defaultSubtotal="1">
            <x v="294"/>
          </reference>
        </references>
      </pivotArea>
    </format>
    <format dxfId="2645">
      <pivotArea dataOnly="0" labelOnly="1" outline="0" fieldPosition="0">
        <references count="1">
          <reference field="10" count="1" defaultSubtotal="1">
            <x v="295"/>
          </reference>
        </references>
      </pivotArea>
    </format>
    <format dxfId="2646">
      <pivotArea dataOnly="0" labelOnly="1" outline="0" fieldPosition="0">
        <references count="1">
          <reference field="10" count="1" defaultSubtotal="1">
            <x v="296"/>
          </reference>
        </references>
      </pivotArea>
    </format>
    <format dxfId="2647">
      <pivotArea dataOnly="0" labelOnly="1" outline="0" fieldPosition="0">
        <references count="1">
          <reference field="10" count="1" defaultSubtotal="1">
            <x v="297"/>
          </reference>
        </references>
      </pivotArea>
    </format>
    <format dxfId="2648">
      <pivotArea dataOnly="0" labelOnly="1" outline="0" fieldPosition="0">
        <references count="1">
          <reference field="10" count="1" defaultSubtotal="1">
            <x v="298"/>
          </reference>
        </references>
      </pivotArea>
    </format>
    <format dxfId="2649">
      <pivotArea dataOnly="0" labelOnly="1" outline="0" fieldPosition="0">
        <references count="1">
          <reference field="10" count="1" defaultSubtotal="1">
            <x v="299"/>
          </reference>
        </references>
      </pivotArea>
    </format>
    <format dxfId="2650">
      <pivotArea dataOnly="0" labelOnly="1" outline="0" fieldPosition="0">
        <references count="1">
          <reference field="10" count="1" defaultSubtotal="1">
            <x v="301"/>
          </reference>
        </references>
      </pivotArea>
    </format>
    <format dxfId="2651">
      <pivotArea dataOnly="0" labelOnly="1" outline="0" fieldPosition="0">
        <references count="1">
          <reference field="10" count="1" defaultSubtotal="1">
            <x v="302"/>
          </reference>
        </references>
      </pivotArea>
    </format>
    <format dxfId="2652">
      <pivotArea dataOnly="0" labelOnly="1" outline="0" fieldPosition="0">
        <references count="1">
          <reference field="10" count="1" defaultSubtotal="1">
            <x v="303"/>
          </reference>
        </references>
      </pivotArea>
    </format>
    <format dxfId="2653">
      <pivotArea dataOnly="0" labelOnly="1" outline="0" fieldPosition="0">
        <references count="1">
          <reference field="10" count="1" defaultSubtotal="1">
            <x v="304"/>
          </reference>
        </references>
      </pivotArea>
    </format>
    <format dxfId="2654">
      <pivotArea dataOnly="0" labelOnly="1" outline="0" fieldPosition="0">
        <references count="1">
          <reference field="10" count="1" defaultSubtotal="1">
            <x v="305"/>
          </reference>
        </references>
      </pivotArea>
    </format>
    <format dxfId="2655">
      <pivotArea dataOnly="0" labelOnly="1" outline="0" fieldPosition="0">
        <references count="1">
          <reference field="10" count="1" defaultSubtotal="1">
            <x v="306"/>
          </reference>
        </references>
      </pivotArea>
    </format>
    <format dxfId="2656">
      <pivotArea dataOnly="0" labelOnly="1" outline="0" fieldPosition="0">
        <references count="1">
          <reference field="10" count="1" defaultSubtotal="1">
            <x v="307"/>
          </reference>
        </references>
      </pivotArea>
    </format>
    <format dxfId="2657">
      <pivotArea dataOnly="0" labelOnly="1" outline="0" fieldPosition="0">
        <references count="1">
          <reference field="10" count="1" defaultSubtotal="1">
            <x v="308"/>
          </reference>
        </references>
      </pivotArea>
    </format>
    <format dxfId="2658">
      <pivotArea dataOnly="0" labelOnly="1" outline="0" fieldPosition="0">
        <references count="1">
          <reference field="10" count="1" defaultSubtotal="1">
            <x v="309"/>
          </reference>
        </references>
      </pivotArea>
    </format>
    <format dxfId="2659">
      <pivotArea dataOnly="0" labelOnly="1" outline="0" fieldPosition="0">
        <references count="1">
          <reference field="10" count="1" defaultSubtotal="1">
            <x v="310"/>
          </reference>
        </references>
      </pivotArea>
    </format>
    <format dxfId="2660">
      <pivotArea dataOnly="0" labelOnly="1" outline="0" fieldPosition="0">
        <references count="1">
          <reference field="10" count="1" defaultSubtotal="1">
            <x v="311"/>
          </reference>
        </references>
      </pivotArea>
    </format>
    <format dxfId="2661">
      <pivotArea dataOnly="0" labelOnly="1" outline="0" fieldPosition="0">
        <references count="1">
          <reference field="10" count="1" defaultSubtotal="1">
            <x v="312"/>
          </reference>
        </references>
      </pivotArea>
    </format>
    <format dxfId="2662">
      <pivotArea dataOnly="0" labelOnly="1" outline="0" fieldPosition="0">
        <references count="1">
          <reference field="10" count="1" defaultSubtotal="1">
            <x v="314"/>
          </reference>
        </references>
      </pivotArea>
    </format>
    <format dxfId="2663">
      <pivotArea dataOnly="0" labelOnly="1" outline="0" fieldPosition="0">
        <references count="1">
          <reference field="10" count="1" defaultSubtotal="1">
            <x v="315"/>
          </reference>
        </references>
      </pivotArea>
    </format>
    <format dxfId="2664">
      <pivotArea dataOnly="0" labelOnly="1" outline="0" fieldPosition="0">
        <references count="1">
          <reference field="10" count="1" defaultSubtotal="1">
            <x v="316"/>
          </reference>
        </references>
      </pivotArea>
    </format>
    <format dxfId="2665">
      <pivotArea dataOnly="0" labelOnly="1" outline="0" fieldPosition="0">
        <references count="1">
          <reference field="10" count="1" defaultSubtotal="1">
            <x v="317"/>
          </reference>
        </references>
      </pivotArea>
    </format>
    <format dxfId="2666">
      <pivotArea dataOnly="0" labelOnly="1" outline="0" fieldPosition="0">
        <references count="1">
          <reference field="10" count="1" defaultSubtotal="1">
            <x v="319"/>
          </reference>
        </references>
      </pivotArea>
    </format>
    <format dxfId="2667">
      <pivotArea dataOnly="0" labelOnly="1" outline="0" fieldPosition="0">
        <references count="1">
          <reference field="10" count="1" defaultSubtotal="1">
            <x v="320"/>
          </reference>
        </references>
      </pivotArea>
    </format>
    <format dxfId="2668">
      <pivotArea dataOnly="0" labelOnly="1" outline="0" fieldPosition="0">
        <references count="1">
          <reference field="10" count="1" defaultSubtotal="1">
            <x v="321"/>
          </reference>
        </references>
      </pivotArea>
    </format>
    <format dxfId="2669">
      <pivotArea dataOnly="0" labelOnly="1" outline="0" fieldPosition="0">
        <references count="1">
          <reference field="10" count="1" defaultSubtotal="1">
            <x v="322"/>
          </reference>
        </references>
      </pivotArea>
    </format>
    <format dxfId="2670">
      <pivotArea dataOnly="0" labelOnly="1" outline="0" fieldPosition="0">
        <references count="1">
          <reference field="10" count="1" defaultSubtotal="1">
            <x v="323"/>
          </reference>
        </references>
      </pivotArea>
    </format>
    <format dxfId="2671">
      <pivotArea dataOnly="0" labelOnly="1" outline="0" fieldPosition="0">
        <references count="1">
          <reference field="10" count="1" defaultSubtotal="1">
            <x v="324"/>
          </reference>
        </references>
      </pivotArea>
    </format>
    <format dxfId="2672">
      <pivotArea dataOnly="0" labelOnly="1" outline="0" fieldPosition="0">
        <references count="1">
          <reference field="10" count="1" defaultSubtotal="1">
            <x v="325"/>
          </reference>
        </references>
      </pivotArea>
    </format>
    <format dxfId="2673">
      <pivotArea dataOnly="0" labelOnly="1" outline="0" fieldPosition="0">
        <references count="1">
          <reference field="10" count="1" defaultSubtotal="1">
            <x v="326"/>
          </reference>
        </references>
      </pivotArea>
    </format>
    <format dxfId="2674">
      <pivotArea dataOnly="0" labelOnly="1" outline="0" fieldPosition="0">
        <references count="1">
          <reference field="10" count="1" defaultSubtotal="1">
            <x v="327"/>
          </reference>
        </references>
      </pivotArea>
    </format>
    <format dxfId="2675">
      <pivotArea dataOnly="0" labelOnly="1" outline="0" fieldPosition="0">
        <references count="1">
          <reference field="10" count="1" defaultSubtotal="1">
            <x v="328"/>
          </reference>
        </references>
      </pivotArea>
    </format>
    <format dxfId="2676">
      <pivotArea dataOnly="0" labelOnly="1" outline="0" fieldPosition="0">
        <references count="1">
          <reference field="10" count="1" defaultSubtotal="1">
            <x v="329"/>
          </reference>
        </references>
      </pivotArea>
    </format>
    <format dxfId="2677">
      <pivotArea dataOnly="0" labelOnly="1" outline="0" fieldPosition="0">
        <references count="1">
          <reference field="10" count="1" defaultSubtotal="1">
            <x v="330"/>
          </reference>
        </references>
      </pivotArea>
    </format>
    <format dxfId="2678">
      <pivotArea dataOnly="0" labelOnly="1" outline="0" fieldPosition="0">
        <references count="1">
          <reference field="10" count="1" defaultSubtotal="1">
            <x v="331"/>
          </reference>
        </references>
      </pivotArea>
    </format>
    <format dxfId="2679">
      <pivotArea dataOnly="0" labelOnly="1" outline="0" fieldPosition="0">
        <references count="1">
          <reference field="10" count="1" defaultSubtotal="1">
            <x v="332"/>
          </reference>
        </references>
      </pivotArea>
    </format>
    <format dxfId="2680">
      <pivotArea dataOnly="0" labelOnly="1" outline="0" fieldPosition="0">
        <references count="1">
          <reference field="10" count="1" defaultSubtotal="1">
            <x v="333"/>
          </reference>
        </references>
      </pivotArea>
    </format>
    <format dxfId="2681">
      <pivotArea dataOnly="0" labelOnly="1" outline="0" fieldPosition="0">
        <references count="1">
          <reference field="10" count="1" defaultSubtotal="1">
            <x v="334"/>
          </reference>
        </references>
      </pivotArea>
    </format>
    <format dxfId="2682">
      <pivotArea dataOnly="0" labelOnly="1" outline="0" fieldPosition="0">
        <references count="1">
          <reference field="10" count="1" defaultSubtotal="1">
            <x v="335"/>
          </reference>
        </references>
      </pivotArea>
    </format>
    <format dxfId="2683">
      <pivotArea dataOnly="0" labelOnly="1" outline="0" fieldPosition="0">
        <references count="1">
          <reference field="10" count="1" defaultSubtotal="1">
            <x v="336"/>
          </reference>
        </references>
      </pivotArea>
    </format>
    <format dxfId="2684">
      <pivotArea dataOnly="0" labelOnly="1" outline="0" fieldPosition="0">
        <references count="1">
          <reference field="10" count="1" defaultSubtotal="1">
            <x v="338"/>
          </reference>
        </references>
      </pivotArea>
    </format>
    <format dxfId="2685">
      <pivotArea dataOnly="0" labelOnly="1" outline="0" fieldPosition="0">
        <references count="1">
          <reference field="10" count="1" defaultSubtotal="1">
            <x v="339"/>
          </reference>
        </references>
      </pivotArea>
    </format>
    <format dxfId="2686">
      <pivotArea dataOnly="0" labelOnly="1" outline="0" fieldPosition="0">
        <references count="1">
          <reference field="10" count="1" defaultSubtotal="1">
            <x v="340"/>
          </reference>
        </references>
      </pivotArea>
    </format>
    <format dxfId="2687">
      <pivotArea dataOnly="0" labelOnly="1" outline="0" fieldPosition="0">
        <references count="1">
          <reference field="10" count="1" defaultSubtotal="1">
            <x v="341"/>
          </reference>
        </references>
      </pivotArea>
    </format>
    <format dxfId="2688">
      <pivotArea dataOnly="0" labelOnly="1" outline="0" fieldPosition="0">
        <references count="1">
          <reference field="10" count="1" defaultSubtotal="1">
            <x v="342"/>
          </reference>
        </references>
      </pivotArea>
    </format>
    <format dxfId="2689">
      <pivotArea dataOnly="0" labelOnly="1" outline="0" fieldPosition="0">
        <references count="1">
          <reference field="10" count="1" defaultSubtotal="1">
            <x v="343"/>
          </reference>
        </references>
      </pivotArea>
    </format>
    <format dxfId="2690">
      <pivotArea dataOnly="0" labelOnly="1" outline="0" fieldPosition="0">
        <references count="1">
          <reference field="10" count="1" defaultSubtotal="1">
            <x v="345"/>
          </reference>
        </references>
      </pivotArea>
    </format>
    <format dxfId="2691">
      <pivotArea dataOnly="0" labelOnly="1" outline="0" fieldPosition="0">
        <references count="1">
          <reference field="10" count="1" defaultSubtotal="1">
            <x v="346"/>
          </reference>
        </references>
      </pivotArea>
    </format>
    <format dxfId="2692">
      <pivotArea dataOnly="0" labelOnly="1" outline="0" fieldPosition="0">
        <references count="1">
          <reference field="10" count="1" defaultSubtotal="1">
            <x v="348"/>
          </reference>
        </references>
      </pivotArea>
    </format>
    <format dxfId="2693">
      <pivotArea dataOnly="0" labelOnly="1" outline="0" fieldPosition="0">
        <references count="1">
          <reference field="10" count="1" defaultSubtotal="1">
            <x v="349"/>
          </reference>
        </references>
      </pivotArea>
    </format>
    <format dxfId="2694">
      <pivotArea dataOnly="0" labelOnly="1" outline="0" fieldPosition="0">
        <references count="1">
          <reference field="10" count="1" defaultSubtotal="1">
            <x v="350"/>
          </reference>
        </references>
      </pivotArea>
    </format>
    <format dxfId="2695">
      <pivotArea dataOnly="0" labelOnly="1" outline="0" fieldPosition="0">
        <references count="1">
          <reference field="10" count="1" defaultSubtotal="1">
            <x v="352"/>
          </reference>
        </references>
      </pivotArea>
    </format>
    <format dxfId="2696">
      <pivotArea dataOnly="0" labelOnly="1" outline="0" fieldPosition="0">
        <references count="1">
          <reference field="10" count="1" defaultSubtotal="1">
            <x v="353"/>
          </reference>
        </references>
      </pivotArea>
    </format>
    <format dxfId="2697">
      <pivotArea dataOnly="0" labelOnly="1" outline="0" fieldPosition="0">
        <references count="1">
          <reference field="10" count="1" defaultSubtotal="1">
            <x v="354"/>
          </reference>
        </references>
      </pivotArea>
    </format>
    <format dxfId="2698">
      <pivotArea dataOnly="0" labelOnly="1" outline="0" fieldPosition="0">
        <references count="1">
          <reference field="10" count="1" defaultSubtotal="1">
            <x v="355"/>
          </reference>
        </references>
      </pivotArea>
    </format>
    <format dxfId="2699">
      <pivotArea dataOnly="0" labelOnly="1" outline="0" fieldPosition="0">
        <references count="1">
          <reference field="10" count="1" defaultSubtotal="1">
            <x v="356"/>
          </reference>
        </references>
      </pivotArea>
    </format>
    <format dxfId="2700">
      <pivotArea dataOnly="0" labelOnly="1" outline="0" fieldPosition="0">
        <references count="1">
          <reference field="10" count="1" defaultSubtotal="1">
            <x v="357"/>
          </reference>
        </references>
      </pivotArea>
    </format>
    <format dxfId="2701">
      <pivotArea dataOnly="0" labelOnly="1" outline="0" fieldPosition="0">
        <references count="1">
          <reference field="10" count="1" defaultSubtotal="1">
            <x v="358"/>
          </reference>
        </references>
      </pivotArea>
    </format>
    <format dxfId="2702">
      <pivotArea dataOnly="0" labelOnly="1" outline="0" fieldPosition="0">
        <references count="1">
          <reference field="10" count="1" defaultSubtotal="1">
            <x v="360"/>
          </reference>
        </references>
      </pivotArea>
    </format>
    <format dxfId="2703">
      <pivotArea dataOnly="0" labelOnly="1" outline="0" fieldPosition="0">
        <references count="1">
          <reference field="10" count="1" defaultSubtotal="1">
            <x v="361"/>
          </reference>
        </references>
      </pivotArea>
    </format>
    <format dxfId="2704">
      <pivotArea dataOnly="0" labelOnly="1" outline="0" fieldPosition="0">
        <references count="1">
          <reference field="10" count="1" defaultSubtotal="1">
            <x v="362"/>
          </reference>
        </references>
      </pivotArea>
    </format>
    <format dxfId="2705">
      <pivotArea dataOnly="0" labelOnly="1" outline="0" fieldPosition="0">
        <references count="1">
          <reference field="10" count="1" defaultSubtotal="1">
            <x v="364"/>
          </reference>
        </references>
      </pivotArea>
    </format>
    <format dxfId="2706">
      <pivotArea dataOnly="0" labelOnly="1" outline="0" fieldPosition="0">
        <references count="1">
          <reference field="10" count="1" defaultSubtotal="1">
            <x v="365"/>
          </reference>
        </references>
      </pivotArea>
    </format>
    <format dxfId="2707">
      <pivotArea dataOnly="0" labelOnly="1" outline="0" fieldPosition="0">
        <references count="1">
          <reference field="10" count="1" defaultSubtotal="1">
            <x v="366"/>
          </reference>
        </references>
      </pivotArea>
    </format>
    <format dxfId="2708">
      <pivotArea dataOnly="0" labelOnly="1" outline="0" fieldPosition="0">
        <references count="1">
          <reference field="10" count="1" defaultSubtotal="1">
            <x v="367"/>
          </reference>
        </references>
      </pivotArea>
    </format>
    <format dxfId="2709">
      <pivotArea dataOnly="0" labelOnly="1" outline="0" fieldPosition="0">
        <references count="1">
          <reference field="10" count="1" defaultSubtotal="1">
            <x v="369"/>
          </reference>
        </references>
      </pivotArea>
    </format>
    <format dxfId="2710">
      <pivotArea dataOnly="0" labelOnly="1" outline="0" fieldPosition="0">
        <references count="1">
          <reference field="10" count="1" defaultSubtotal="1">
            <x v="372"/>
          </reference>
        </references>
      </pivotArea>
    </format>
    <format dxfId="2711">
      <pivotArea dataOnly="0" labelOnly="1" outline="0" fieldPosition="0">
        <references count="1">
          <reference field="10" count="1" defaultSubtotal="1">
            <x v="373"/>
          </reference>
        </references>
      </pivotArea>
    </format>
    <format dxfId="2712">
      <pivotArea dataOnly="0" labelOnly="1" outline="0" fieldPosition="0">
        <references count="1">
          <reference field="10" count="1" defaultSubtotal="1">
            <x v="374"/>
          </reference>
        </references>
      </pivotArea>
    </format>
    <format dxfId="2713">
      <pivotArea dataOnly="0" labelOnly="1" outline="0" fieldPosition="0">
        <references count="1">
          <reference field="10" count="1" defaultSubtotal="1">
            <x v="376"/>
          </reference>
        </references>
      </pivotArea>
    </format>
    <format dxfId="2714">
      <pivotArea dataOnly="0" labelOnly="1" outline="0" fieldPosition="0">
        <references count="1">
          <reference field="10" count="1" defaultSubtotal="1">
            <x v="378"/>
          </reference>
        </references>
      </pivotArea>
    </format>
    <format dxfId="2715">
      <pivotArea dataOnly="0" labelOnly="1" outline="0" fieldPosition="0">
        <references count="1">
          <reference field="10" count="1" defaultSubtotal="1">
            <x v="379"/>
          </reference>
        </references>
      </pivotArea>
    </format>
    <format dxfId="2716">
      <pivotArea dataOnly="0" labelOnly="1" outline="0" fieldPosition="0">
        <references count="1">
          <reference field="10" count="1" defaultSubtotal="1">
            <x v="380"/>
          </reference>
        </references>
      </pivotArea>
    </format>
    <format dxfId="2717">
      <pivotArea dataOnly="0" labelOnly="1" outline="0" fieldPosition="0">
        <references count="1">
          <reference field="10" count="1" defaultSubtotal="1">
            <x v="381"/>
          </reference>
        </references>
      </pivotArea>
    </format>
    <format dxfId="2718">
      <pivotArea dataOnly="0" labelOnly="1" outline="0" fieldPosition="0">
        <references count="1">
          <reference field="10" count="1" defaultSubtotal="1">
            <x v="382"/>
          </reference>
        </references>
      </pivotArea>
    </format>
    <format dxfId="2719">
      <pivotArea dataOnly="0" labelOnly="1" outline="0" fieldPosition="0">
        <references count="1">
          <reference field="10" count="1" defaultSubtotal="1">
            <x v="383"/>
          </reference>
        </references>
      </pivotArea>
    </format>
    <format dxfId="2720">
      <pivotArea dataOnly="0" labelOnly="1" outline="0" fieldPosition="0">
        <references count="1">
          <reference field="10" count="1" defaultSubtotal="1">
            <x v="385"/>
          </reference>
        </references>
      </pivotArea>
    </format>
    <format dxfId="2721">
      <pivotArea dataOnly="0" labelOnly="1" outline="0" fieldPosition="0">
        <references count="1">
          <reference field="10" count="1" defaultSubtotal="1">
            <x v="386"/>
          </reference>
        </references>
      </pivotArea>
    </format>
    <format dxfId="2722">
      <pivotArea dataOnly="0" labelOnly="1" outline="0" fieldPosition="0">
        <references count="1">
          <reference field="10" count="1" defaultSubtotal="1">
            <x v="389"/>
          </reference>
        </references>
      </pivotArea>
    </format>
    <format dxfId="2723">
      <pivotArea dataOnly="0" labelOnly="1" outline="0" fieldPosition="0">
        <references count="1">
          <reference field="10" count="1" defaultSubtotal="1">
            <x v="390"/>
          </reference>
        </references>
      </pivotArea>
    </format>
    <format dxfId="2724">
      <pivotArea dataOnly="0" labelOnly="1" outline="0" fieldPosition="0">
        <references count="1">
          <reference field="10" count="1" defaultSubtotal="1">
            <x v="392"/>
          </reference>
        </references>
      </pivotArea>
    </format>
    <format dxfId="2725">
      <pivotArea dataOnly="0" labelOnly="1" outline="0" fieldPosition="0">
        <references count="1">
          <reference field="10" count="1" defaultSubtotal="1">
            <x v="393"/>
          </reference>
        </references>
      </pivotArea>
    </format>
    <format dxfId="2726">
      <pivotArea dataOnly="0" labelOnly="1" outline="0" fieldPosition="0">
        <references count="1">
          <reference field="10" count="1" defaultSubtotal="1">
            <x v="394"/>
          </reference>
        </references>
      </pivotArea>
    </format>
    <format dxfId="2727">
      <pivotArea dataOnly="0" labelOnly="1" outline="0" fieldPosition="0">
        <references count="1">
          <reference field="10" count="1" defaultSubtotal="1">
            <x v="395"/>
          </reference>
        </references>
      </pivotArea>
    </format>
    <format dxfId="2728">
      <pivotArea dataOnly="0" labelOnly="1" outline="0" fieldPosition="0">
        <references count="1">
          <reference field="10" count="1" defaultSubtotal="1">
            <x v="396"/>
          </reference>
        </references>
      </pivotArea>
    </format>
    <format dxfId="2729">
      <pivotArea dataOnly="0" labelOnly="1" outline="0" fieldPosition="0">
        <references count="1">
          <reference field="10" count="1" defaultSubtotal="1">
            <x v="397"/>
          </reference>
        </references>
      </pivotArea>
    </format>
    <format dxfId="2730">
      <pivotArea dataOnly="0" labelOnly="1" outline="0" fieldPosition="0">
        <references count="1">
          <reference field="10" count="1" defaultSubtotal="1">
            <x v="398"/>
          </reference>
        </references>
      </pivotArea>
    </format>
    <format dxfId="2731">
      <pivotArea dataOnly="0" labelOnly="1" outline="0" fieldPosition="0">
        <references count="1">
          <reference field="10" count="1" defaultSubtotal="1">
            <x v="399"/>
          </reference>
        </references>
      </pivotArea>
    </format>
    <format dxfId="2732">
      <pivotArea dataOnly="0" labelOnly="1" outline="0" fieldPosition="0">
        <references count="1">
          <reference field="10" count="1" defaultSubtotal="1">
            <x v="400"/>
          </reference>
        </references>
      </pivotArea>
    </format>
    <format dxfId="2733">
      <pivotArea dataOnly="0" labelOnly="1" outline="0" fieldPosition="0">
        <references count="1">
          <reference field="10" count="1" defaultSubtotal="1">
            <x v="401"/>
          </reference>
        </references>
      </pivotArea>
    </format>
    <format dxfId="2734">
      <pivotArea dataOnly="0" labelOnly="1" outline="0" fieldPosition="0">
        <references count="1">
          <reference field="10" count="1" defaultSubtotal="1">
            <x v="402"/>
          </reference>
        </references>
      </pivotArea>
    </format>
    <format dxfId="2735">
      <pivotArea dataOnly="0" labelOnly="1" outline="0" fieldPosition="0">
        <references count="1">
          <reference field="10" count="1" defaultSubtotal="1">
            <x v="404"/>
          </reference>
        </references>
      </pivotArea>
    </format>
    <format dxfId="2736">
      <pivotArea dataOnly="0" labelOnly="1" outline="0" fieldPosition="0">
        <references count="1">
          <reference field="10" count="1" defaultSubtotal="1">
            <x v="405"/>
          </reference>
        </references>
      </pivotArea>
    </format>
    <format dxfId="2737">
      <pivotArea dataOnly="0" labelOnly="1" outline="0" fieldPosition="0">
        <references count="1">
          <reference field="10" count="1" defaultSubtotal="1">
            <x v="406"/>
          </reference>
        </references>
      </pivotArea>
    </format>
    <format dxfId="2738">
      <pivotArea dataOnly="0" labelOnly="1" outline="0" fieldPosition="0">
        <references count="1">
          <reference field="10" count="1" defaultSubtotal="1">
            <x v="407"/>
          </reference>
        </references>
      </pivotArea>
    </format>
    <format dxfId="2739">
      <pivotArea dataOnly="0" labelOnly="1" outline="0" fieldPosition="0">
        <references count="1">
          <reference field="10" count="1" defaultSubtotal="1">
            <x v="408"/>
          </reference>
        </references>
      </pivotArea>
    </format>
    <format dxfId="2740">
      <pivotArea dataOnly="0" labelOnly="1" outline="0" fieldPosition="0">
        <references count="1">
          <reference field="10" count="1" defaultSubtotal="1">
            <x v="409"/>
          </reference>
        </references>
      </pivotArea>
    </format>
    <format dxfId="2741">
      <pivotArea dataOnly="0" labelOnly="1" outline="0" fieldPosition="0">
        <references count="1">
          <reference field="10" count="1" defaultSubtotal="1">
            <x v="411"/>
          </reference>
        </references>
      </pivotArea>
    </format>
    <format dxfId="2742">
      <pivotArea dataOnly="0" labelOnly="1" outline="0" fieldPosition="0">
        <references count="1">
          <reference field="10" count="1" defaultSubtotal="1">
            <x v="412"/>
          </reference>
        </references>
      </pivotArea>
    </format>
    <format dxfId="2743">
      <pivotArea dataOnly="0" labelOnly="1" outline="0" fieldPosition="0">
        <references count="1">
          <reference field="10" count="1" defaultSubtotal="1">
            <x v="413"/>
          </reference>
        </references>
      </pivotArea>
    </format>
    <format dxfId="2744">
      <pivotArea dataOnly="0" labelOnly="1" outline="0" fieldPosition="0">
        <references count="1">
          <reference field="10" count="1" defaultSubtotal="1">
            <x v="414"/>
          </reference>
        </references>
      </pivotArea>
    </format>
    <format dxfId="2745">
      <pivotArea dataOnly="0" labelOnly="1" outline="0" fieldPosition="0">
        <references count="1">
          <reference field="10" count="1" defaultSubtotal="1">
            <x v="417"/>
          </reference>
        </references>
      </pivotArea>
    </format>
    <format dxfId="2746">
      <pivotArea dataOnly="0" labelOnly="1" outline="0" fieldPosition="0">
        <references count="1">
          <reference field="10" count="1" defaultSubtotal="1">
            <x v="418"/>
          </reference>
        </references>
      </pivotArea>
    </format>
    <format dxfId="2747">
      <pivotArea dataOnly="0" labelOnly="1" outline="0" fieldPosition="0">
        <references count="1">
          <reference field="10" count="1" defaultSubtotal="1">
            <x v="419"/>
          </reference>
        </references>
      </pivotArea>
    </format>
    <format dxfId="2748">
      <pivotArea dataOnly="0" labelOnly="1" outline="0" fieldPosition="0">
        <references count="1">
          <reference field="10" count="1" defaultSubtotal="1">
            <x v="420"/>
          </reference>
        </references>
      </pivotArea>
    </format>
    <format dxfId="2749">
      <pivotArea dataOnly="0" labelOnly="1" outline="0" fieldPosition="0">
        <references count="1">
          <reference field="10" count="1" defaultSubtotal="1">
            <x v="421"/>
          </reference>
        </references>
      </pivotArea>
    </format>
    <format dxfId="2750">
      <pivotArea dataOnly="0" labelOnly="1" outline="0" fieldPosition="0">
        <references count="1">
          <reference field="10" count="1" defaultSubtotal="1">
            <x v="422"/>
          </reference>
        </references>
      </pivotArea>
    </format>
    <format dxfId="2751">
      <pivotArea dataOnly="0" labelOnly="1" outline="0" fieldPosition="0">
        <references count="1">
          <reference field="10" count="1" defaultSubtotal="1">
            <x v="425"/>
          </reference>
        </references>
      </pivotArea>
    </format>
    <format dxfId="2752">
      <pivotArea dataOnly="0" labelOnly="1" outline="0" fieldPosition="0">
        <references count="1">
          <reference field="10" count="1" defaultSubtotal="1">
            <x v="427"/>
          </reference>
        </references>
      </pivotArea>
    </format>
    <format dxfId="2753">
      <pivotArea dataOnly="0" labelOnly="1" outline="0" fieldPosition="0">
        <references count="1">
          <reference field="10" count="1" defaultSubtotal="1">
            <x v="428"/>
          </reference>
        </references>
      </pivotArea>
    </format>
    <format dxfId="2754">
      <pivotArea dataOnly="0" labelOnly="1" outline="0" fieldPosition="0">
        <references count="1">
          <reference field="10" count="1" defaultSubtotal="1">
            <x v="429"/>
          </reference>
        </references>
      </pivotArea>
    </format>
    <format dxfId="2755">
      <pivotArea dataOnly="0" labelOnly="1" outline="0" fieldPosition="0">
        <references count="1">
          <reference field="10" count="1" defaultSubtotal="1">
            <x v="430"/>
          </reference>
        </references>
      </pivotArea>
    </format>
    <format dxfId="2756">
      <pivotArea dataOnly="0" labelOnly="1" outline="0" fieldPosition="0">
        <references count="1">
          <reference field="10" count="1" defaultSubtotal="1">
            <x v="431"/>
          </reference>
        </references>
      </pivotArea>
    </format>
    <format dxfId="2757">
      <pivotArea dataOnly="0" labelOnly="1" outline="0" fieldPosition="0">
        <references count="1">
          <reference field="10" count="1" defaultSubtotal="1">
            <x v="432"/>
          </reference>
        </references>
      </pivotArea>
    </format>
    <format dxfId="2758">
      <pivotArea dataOnly="0" labelOnly="1" outline="0" fieldPosition="0">
        <references count="1">
          <reference field="10" count="1" defaultSubtotal="1">
            <x v="433"/>
          </reference>
        </references>
      </pivotArea>
    </format>
    <format dxfId="2759">
      <pivotArea dataOnly="0" labelOnly="1" outline="0" fieldPosition="0">
        <references count="1">
          <reference field="10" count="1" defaultSubtotal="1">
            <x v="436"/>
          </reference>
        </references>
      </pivotArea>
    </format>
    <format dxfId="2760">
      <pivotArea dataOnly="0" labelOnly="1" outline="0" fieldPosition="0">
        <references count="1">
          <reference field="10" count="1" defaultSubtotal="1">
            <x v="438"/>
          </reference>
        </references>
      </pivotArea>
    </format>
    <format dxfId="2761">
      <pivotArea dataOnly="0" labelOnly="1" outline="0" fieldPosition="0">
        <references count="1">
          <reference field="10" count="1" defaultSubtotal="1">
            <x v="439"/>
          </reference>
        </references>
      </pivotArea>
    </format>
    <format dxfId="2762">
      <pivotArea dataOnly="0" labelOnly="1" outline="0" fieldPosition="0">
        <references count="1">
          <reference field="10" count="1" defaultSubtotal="1">
            <x v="440"/>
          </reference>
        </references>
      </pivotArea>
    </format>
    <format dxfId="2763">
      <pivotArea dataOnly="0" labelOnly="1" outline="0" fieldPosition="0">
        <references count="1">
          <reference field="10" count="1" defaultSubtotal="1">
            <x v="441"/>
          </reference>
        </references>
      </pivotArea>
    </format>
    <format dxfId="2764">
      <pivotArea dataOnly="0" labelOnly="1" outline="0" fieldPosition="0">
        <references count="1">
          <reference field="10" count="1" defaultSubtotal="1">
            <x v="442"/>
          </reference>
        </references>
      </pivotArea>
    </format>
    <format dxfId="2765">
      <pivotArea dataOnly="0" labelOnly="1" outline="0" fieldPosition="0">
        <references count="1">
          <reference field="10" count="1" defaultSubtotal="1">
            <x v="443"/>
          </reference>
        </references>
      </pivotArea>
    </format>
    <format dxfId="2766">
      <pivotArea dataOnly="0" labelOnly="1" outline="0" fieldPosition="0">
        <references count="1">
          <reference field="10" count="1" defaultSubtotal="1">
            <x v="444"/>
          </reference>
        </references>
      </pivotArea>
    </format>
    <format dxfId="2767">
      <pivotArea dataOnly="0" labelOnly="1" outline="0" fieldPosition="0">
        <references count="1">
          <reference field="10" count="1" defaultSubtotal="1">
            <x v="445"/>
          </reference>
        </references>
      </pivotArea>
    </format>
    <format dxfId="2768">
      <pivotArea dataOnly="0" labelOnly="1" outline="0" fieldPosition="0">
        <references count="1">
          <reference field="10" count="1" defaultSubtotal="1">
            <x v="446"/>
          </reference>
        </references>
      </pivotArea>
    </format>
    <format dxfId="2769">
      <pivotArea dataOnly="0" labelOnly="1" outline="0" fieldPosition="0">
        <references count="1">
          <reference field="10" count="1" defaultSubtotal="1">
            <x v="447"/>
          </reference>
        </references>
      </pivotArea>
    </format>
    <format dxfId="2770">
      <pivotArea dataOnly="0" labelOnly="1" outline="0" fieldPosition="0">
        <references count="1">
          <reference field="10" count="1" defaultSubtotal="1">
            <x v="448"/>
          </reference>
        </references>
      </pivotArea>
    </format>
    <format dxfId="2771">
      <pivotArea dataOnly="0" labelOnly="1" outline="0" fieldPosition="0">
        <references count="1">
          <reference field="10" count="1" defaultSubtotal="1">
            <x v="450"/>
          </reference>
        </references>
      </pivotArea>
    </format>
    <format dxfId="2772">
      <pivotArea dataOnly="0" labelOnly="1" outline="0" fieldPosition="0">
        <references count="1">
          <reference field="10" count="1" defaultSubtotal="1">
            <x v="451"/>
          </reference>
        </references>
      </pivotArea>
    </format>
    <format dxfId="2773">
      <pivotArea dataOnly="0" labelOnly="1" outline="0" fieldPosition="0">
        <references count="1">
          <reference field="10" count="1" defaultSubtotal="1">
            <x v="452"/>
          </reference>
        </references>
      </pivotArea>
    </format>
    <format dxfId="2774">
      <pivotArea dataOnly="0" labelOnly="1" outline="0" fieldPosition="0">
        <references count="1">
          <reference field="10" count="1" defaultSubtotal="1">
            <x v="453"/>
          </reference>
        </references>
      </pivotArea>
    </format>
    <format dxfId="2775">
      <pivotArea dataOnly="0" labelOnly="1" outline="0" fieldPosition="0">
        <references count="1">
          <reference field="10" count="1" defaultSubtotal="1">
            <x v="454"/>
          </reference>
        </references>
      </pivotArea>
    </format>
    <format dxfId="2776">
      <pivotArea dataOnly="0" labelOnly="1" outline="0" fieldPosition="0">
        <references count="1">
          <reference field="10" count="1" defaultSubtotal="1">
            <x v="455"/>
          </reference>
        </references>
      </pivotArea>
    </format>
    <format dxfId="2777">
      <pivotArea dataOnly="0" labelOnly="1" outline="0" fieldPosition="0">
        <references count="1">
          <reference field="10" count="1" defaultSubtotal="1">
            <x v="456"/>
          </reference>
        </references>
      </pivotArea>
    </format>
    <format dxfId="2778">
      <pivotArea dataOnly="0" labelOnly="1" outline="0" fieldPosition="0">
        <references count="1">
          <reference field="10" count="1" defaultSubtotal="1">
            <x v="457"/>
          </reference>
        </references>
      </pivotArea>
    </format>
    <format dxfId="2779">
      <pivotArea dataOnly="0" labelOnly="1" outline="0" fieldPosition="0">
        <references count="1">
          <reference field="10" count="1" defaultSubtotal="1">
            <x v="458"/>
          </reference>
        </references>
      </pivotArea>
    </format>
    <format dxfId="2780">
      <pivotArea dataOnly="0" labelOnly="1" outline="0" fieldPosition="0">
        <references count="1">
          <reference field="10" count="1" defaultSubtotal="1">
            <x v="459"/>
          </reference>
        </references>
      </pivotArea>
    </format>
    <format dxfId="2781">
      <pivotArea dataOnly="0" labelOnly="1" outline="0" fieldPosition="0">
        <references count="1">
          <reference field="10" count="1" defaultSubtotal="1">
            <x v="460"/>
          </reference>
        </references>
      </pivotArea>
    </format>
    <format dxfId="2782">
      <pivotArea dataOnly="0" labelOnly="1" outline="0" fieldPosition="0">
        <references count="1">
          <reference field="10" count="1" defaultSubtotal="1">
            <x v="461"/>
          </reference>
        </references>
      </pivotArea>
    </format>
    <format dxfId="2783">
      <pivotArea dataOnly="0" labelOnly="1" outline="0" fieldPosition="0">
        <references count="1">
          <reference field="10" count="1" defaultSubtotal="1">
            <x v="462"/>
          </reference>
        </references>
      </pivotArea>
    </format>
    <format dxfId="2784">
      <pivotArea dataOnly="0" labelOnly="1" outline="0" fieldPosition="0">
        <references count="1">
          <reference field="10" count="1" defaultSubtotal="1">
            <x v="464"/>
          </reference>
        </references>
      </pivotArea>
    </format>
    <format dxfId="2785">
      <pivotArea dataOnly="0" labelOnly="1" outline="0" fieldPosition="0">
        <references count="1">
          <reference field="10" count="1" defaultSubtotal="1">
            <x v="466"/>
          </reference>
        </references>
      </pivotArea>
    </format>
    <format dxfId="2786">
      <pivotArea dataOnly="0" labelOnly="1" outline="0" fieldPosition="0">
        <references count="1">
          <reference field="10" count="1" defaultSubtotal="1">
            <x v="467"/>
          </reference>
        </references>
      </pivotArea>
    </format>
    <format dxfId="2787">
      <pivotArea dataOnly="0" labelOnly="1" outline="0" fieldPosition="0">
        <references count="1">
          <reference field="10" count="1" defaultSubtotal="1">
            <x v="468"/>
          </reference>
        </references>
      </pivotArea>
    </format>
    <format dxfId="2788">
      <pivotArea dataOnly="0" labelOnly="1" outline="0" fieldPosition="0">
        <references count="1">
          <reference field="10" count="1" defaultSubtotal="1">
            <x v="469"/>
          </reference>
        </references>
      </pivotArea>
    </format>
    <format dxfId="2789">
      <pivotArea dataOnly="0" labelOnly="1" outline="0" fieldPosition="0">
        <references count="1">
          <reference field="10" count="1" defaultSubtotal="1">
            <x v="470"/>
          </reference>
        </references>
      </pivotArea>
    </format>
    <format dxfId="2790">
      <pivotArea dataOnly="0" labelOnly="1" outline="0" fieldPosition="0">
        <references count="1">
          <reference field="10" count="1" defaultSubtotal="1">
            <x v="471"/>
          </reference>
        </references>
      </pivotArea>
    </format>
    <format dxfId="2791">
      <pivotArea dataOnly="0" labelOnly="1" outline="0" fieldPosition="0">
        <references count="1">
          <reference field="10" count="1" defaultSubtotal="1">
            <x v="472"/>
          </reference>
        </references>
      </pivotArea>
    </format>
    <format dxfId="2792">
      <pivotArea dataOnly="0" labelOnly="1" outline="0" fieldPosition="0">
        <references count="1">
          <reference field="10" count="1" defaultSubtotal="1">
            <x v="473"/>
          </reference>
        </references>
      </pivotArea>
    </format>
    <format dxfId="2793">
      <pivotArea dataOnly="0" labelOnly="1" outline="0" fieldPosition="0">
        <references count="1">
          <reference field="10" count="1" defaultSubtotal="1">
            <x v="474"/>
          </reference>
        </references>
      </pivotArea>
    </format>
    <format dxfId="2794">
      <pivotArea dataOnly="0" labelOnly="1" outline="0" fieldPosition="0">
        <references count="1">
          <reference field="10" count="1" defaultSubtotal="1">
            <x v="475"/>
          </reference>
        </references>
      </pivotArea>
    </format>
    <format dxfId="2795">
      <pivotArea dataOnly="0" labelOnly="1" outline="0" fieldPosition="0">
        <references count="1">
          <reference field="10" count="1" defaultSubtotal="1">
            <x v="476"/>
          </reference>
        </references>
      </pivotArea>
    </format>
    <format dxfId="2796">
      <pivotArea dataOnly="0" labelOnly="1" outline="0" fieldPosition="0">
        <references count="1">
          <reference field="10" count="1" defaultSubtotal="1">
            <x v="478"/>
          </reference>
        </references>
      </pivotArea>
    </format>
    <format dxfId="2797">
      <pivotArea dataOnly="0" labelOnly="1" outline="0" fieldPosition="0">
        <references count="1">
          <reference field="10" count="1" defaultSubtotal="1">
            <x v="479"/>
          </reference>
        </references>
      </pivotArea>
    </format>
    <format dxfId="2798">
      <pivotArea dataOnly="0" labelOnly="1" outline="0" fieldPosition="0">
        <references count="1">
          <reference field="10" count="1" defaultSubtotal="1">
            <x v="480"/>
          </reference>
        </references>
      </pivotArea>
    </format>
    <format dxfId="2799">
      <pivotArea dataOnly="0" labelOnly="1" outline="0" fieldPosition="0">
        <references count="1">
          <reference field="10" count="1" defaultSubtotal="1">
            <x v="481"/>
          </reference>
        </references>
      </pivotArea>
    </format>
    <format dxfId="2800">
      <pivotArea dataOnly="0" labelOnly="1" outline="0" fieldPosition="0">
        <references count="1">
          <reference field="10" count="1" defaultSubtotal="1">
            <x v="482"/>
          </reference>
        </references>
      </pivotArea>
    </format>
    <format dxfId="2801">
      <pivotArea dataOnly="0" labelOnly="1" outline="0" fieldPosition="0">
        <references count="1">
          <reference field="10" count="1" defaultSubtotal="1">
            <x v="483"/>
          </reference>
        </references>
      </pivotArea>
    </format>
    <format dxfId="2802">
      <pivotArea dataOnly="0" labelOnly="1" outline="0" fieldPosition="0">
        <references count="1">
          <reference field="10" count="1" defaultSubtotal="1">
            <x v="484"/>
          </reference>
        </references>
      </pivotArea>
    </format>
    <format dxfId="2803">
      <pivotArea dataOnly="0" labelOnly="1" outline="0" fieldPosition="0">
        <references count="1">
          <reference field="10" count="1" defaultSubtotal="1">
            <x v="485"/>
          </reference>
        </references>
      </pivotArea>
    </format>
    <format dxfId="2804">
      <pivotArea dataOnly="0" labelOnly="1" outline="0" fieldPosition="0">
        <references count="1">
          <reference field="10" count="1" defaultSubtotal="1">
            <x v="486"/>
          </reference>
        </references>
      </pivotArea>
    </format>
    <format dxfId="2805">
      <pivotArea dataOnly="0" labelOnly="1" outline="0" fieldPosition="0">
        <references count="1">
          <reference field="10" count="1" defaultSubtotal="1">
            <x v="488"/>
          </reference>
        </references>
      </pivotArea>
    </format>
    <format dxfId="2806">
      <pivotArea dataOnly="0" labelOnly="1" outline="0" fieldPosition="0">
        <references count="1">
          <reference field="10" count="1" defaultSubtotal="1">
            <x v="489"/>
          </reference>
        </references>
      </pivotArea>
    </format>
    <format dxfId="2807">
      <pivotArea dataOnly="0" labelOnly="1" outline="0" fieldPosition="0">
        <references count="1">
          <reference field="10" count="1" defaultSubtotal="1">
            <x v="490"/>
          </reference>
        </references>
      </pivotArea>
    </format>
    <format dxfId="2808">
      <pivotArea dataOnly="0" labelOnly="1" outline="0" fieldPosition="0">
        <references count="1">
          <reference field="10" count="1" defaultSubtotal="1">
            <x v="491"/>
          </reference>
        </references>
      </pivotArea>
    </format>
    <format dxfId="2809">
      <pivotArea dataOnly="0" labelOnly="1" outline="0" fieldPosition="0">
        <references count="1">
          <reference field="10" count="1" defaultSubtotal="1">
            <x v="492"/>
          </reference>
        </references>
      </pivotArea>
    </format>
    <format dxfId="2810">
      <pivotArea dataOnly="0" labelOnly="1" outline="0" fieldPosition="0">
        <references count="1">
          <reference field="10" count="1" defaultSubtotal="1">
            <x v="493"/>
          </reference>
        </references>
      </pivotArea>
    </format>
    <format dxfId="2811">
      <pivotArea dataOnly="0" labelOnly="1" outline="0" fieldPosition="0">
        <references count="1">
          <reference field="10" count="1" defaultSubtotal="1">
            <x v="494"/>
          </reference>
        </references>
      </pivotArea>
    </format>
    <format dxfId="2812">
      <pivotArea dataOnly="0" labelOnly="1" outline="0" fieldPosition="0">
        <references count="1">
          <reference field="10" count="1" defaultSubtotal="1">
            <x v="495"/>
          </reference>
        </references>
      </pivotArea>
    </format>
    <format dxfId="2813">
      <pivotArea dataOnly="0" labelOnly="1" outline="0" fieldPosition="0">
        <references count="1">
          <reference field="10" count="1" defaultSubtotal="1">
            <x v="497"/>
          </reference>
        </references>
      </pivotArea>
    </format>
    <format dxfId="2814">
      <pivotArea dataOnly="0" labelOnly="1" outline="0" fieldPosition="0">
        <references count="1">
          <reference field="10" count="1" defaultSubtotal="1">
            <x v="498"/>
          </reference>
        </references>
      </pivotArea>
    </format>
    <format dxfId="2815">
      <pivotArea dataOnly="0" labelOnly="1" outline="0" fieldPosition="0">
        <references count="1">
          <reference field="10" count="1" defaultSubtotal="1">
            <x v="499"/>
          </reference>
        </references>
      </pivotArea>
    </format>
    <format dxfId="2816">
      <pivotArea dataOnly="0" labelOnly="1" outline="0" fieldPosition="0">
        <references count="1">
          <reference field="10" count="1" defaultSubtotal="1">
            <x v="500"/>
          </reference>
        </references>
      </pivotArea>
    </format>
    <format dxfId="2817">
      <pivotArea dataOnly="0" labelOnly="1" outline="0" fieldPosition="0">
        <references count="1">
          <reference field="10" count="1" defaultSubtotal="1">
            <x v="501"/>
          </reference>
        </references>
      </pivotArea>
    </format>
    <format dxfId="2818">
      <pivotArea dataOnly="0" labelOnly="1" outline="0" fieldPosition="0">
        <references count="1">
          <reference field="10" count="1" defaultSubtotal="1">
            <x v="502"/>
          </reference>
        </references>
      </pivotArea>
    </format>
    <format dxfId="2819">
      <pivotArea dataOnly="0" labelOnly="1" outline="0" fieldPosition="0">
        <references count="1">
          <reference field="10" count="1" defaultSubtotal="1">
            <x v="503"/>
          </reference>
        </references>
      </pivotArea>
    </format>
    <format dxfId="2820">
      <pivotArea dataOnly="0" labelOnly="1" outline="0" fieldPosition="0">
        <references count="1">
          <reference field="10" count="1" defaultSubtotal="1">
            <x v="504"/>
          </reference>
        </references>
      </pivotArea>
    </format>
    <format dxfId="2821">
      <pivotArea dataOnly="0" labelOnly="1" outline="0" fieldPosition="0">
        <references count="1">
          <reference field="10" count="1" defaultSubtotal="1">
            <x v="506"/>
          </reference>
        </references>
      </pivotArea>
    </format>
    <format dxfId="2822">
      <pivotArea dataOnly="0" labelOnly="1" outline="0" fieldPosition="0">
        <references count="1">
          <reference field="10" count="1" defaultSubtotal="1">
            <x v="507"/>
          </reference>
        </references>
      </pivotArea>
    </format>
    <format dxfId="2823">
      <pivotArea dataOnly="0" labelOnly="1" outline="0" fieldPosition="0">
        <references count="1">
          <reference field="10" count="1" defaultSubtotal="1">
            <x v="508"/>
          </reference>
        </references>
      </pivotArea>
    </format>
    <format dxfId="2824">
      <pivotArea dataOnly="0" labelOnly="1" outline="0" fieldPosition="0">
        <references count="1">
          <reference field="10" count="1" defaultSubtotal="1">
            <x v="509"/>
          </reference>
        </references>
      </pivotArea>
    </format>
    <format dxfId="2825">
      <pivotArea dataOnly="0" labelOnly="1" outline="0" fieldPosition="0">
        <references count="1">
          <reference field="10" count="1" defaultSubtotal="1">
            <x v="510"/>
          </reference>
        </references>
      </pivotArea>
    </format>
    <format dxfId="2826">
      <pivotArea dataOnly="0" labelOnly="1" outline="0" fieldPosition="0">
        <references count="1">
          <reference field="10" count="1" defaultSubtotal="1">
            <x v="511"/>
          </reference>
        </references>
      </pivotArea>
    </format>
    <format dxfId="2827">
      <pivotArea dataOnly="0" labelOnly="1" outline="0" fieldPosition="0">
        <references count="1">
          <reference field="10" count="1" defaultSubtotal="1">
            <x v="512"/>
          </reference>
        </references>
      </pivotArea>
    </format>
    <format dxfId="2828">
      <pivotArea dataOnly="0" labelOnly="1" outline="0" fieldPosition="0">
        <references count="1">
          <reference field="10" count="1" defaultSubtotal="1">
            <x v="514"/>
          </reference>
        </references>
      </pivotArea>
    </format>
    <format dxfId="2829">
      <pivotArea dataOnly="0" labelOnly="1" outline="0" fieldPosition="0">
        <references count="1">
          <reference field="10" count="1" defaultSubtotal="1">
            <x v="515"/>
          </reference>
        </references>
      </pivotArea>
    </format>
    <format dxfId="2830">
      <pivotArea dataOnly="0" labelOnly="1" outline="0" fieldPosition="0">
        <references count="1">
          <reference field="10" count="1" defaultSubtotal="1">
            <x v="516"/>
          </reference>
        </references>
      </pivotArea>
    </format>
    <format dxfId="2831">
      <pivotArea dataOnly="0" labelOnly="1" outline="0" fieldPosition="0">
        <references count="1">
          <reference field="10" count="1" defaultSubtotal="1">
            <x v="517"/>
          </reference>
        </references>
      </pivotArea>
    </format>
    <format dxfId="2832">
      <pivotArea dataOnly="0" labelOnly="1" outline="0" fieldPosition="0">
        <references count="1">
          <reference field="10" count="1" defaultSubtotal="1">
            <x v="519"/>
          </reference>
        </references>
      </pivotArea>
    </format>
    <format dxfId="2833">
      <pivotArea dataOnly="0" labelOnly="1" outline="0" fieldPosition="0">
        <references count="1">
          <reference field="10" count="1" defaultSubtotal="1">
            <x v="520"/>
          </reference>
        </references>
      </pivotArea>
    </format>
    <format dxfId="2834">
      <pivotArea dataOnly="0" labelOnly="1" outline="0" fieldPosition="0">
        <references count="1">
          <reference field="10" count="1" defaultSubtotal="1">
            <x v="521"/>
          </reference>
        </references>
      </pivotArea>
    </format>
    <format dxfId="2835">
      <pivotArea dataOnly="0" labelOnly="1" outline="0" fieldPosition="0">
        <references count="1">
          <reference field="10" count="1" defaultSubtotal="1">
            <x v="522"/>
          </reference>
        </references>
      </pivotArea>
    </format>
    <format dxfId="2836">
      <pivotArea dataOnly="0" labelOnly="1" outline="0" fieldPosition="0">
        <references count="1">
          <reference field="10" count="1" defaultSubtotal="1">
            <x v="523"/>
          </reference>
        </references>
      </pivotArea>
    </format>
    <format dxfId="2837">
      <pivotArea dataOnly="0" labelOnly="1" outline="0" fieldPosition="0">
        <references count="1">
          <reference field="10" count="1" defaultSubtotal="1">
            <x v="525"/>
          </reference>
        </references>
      </pivotArea>
    </format>
    <format dxfId="2838">
      <pivotArea dataOnly="0" labelOnly="1" outline="0" fieldPosition="0">
        <references count="1">
          <reference field="10" count="1" defaultSubtotal="1">
            <x v="526"/>
          </reference>
        </references>
      </pivotArea>
    </format>
    <format dxfId="2839">
      <pivotArea dataOnly="0" labelOnly="1" outline="0" fieldPosition="0">
        <references count="1">
          <reference field="10" count="1" defaultSubtotal="1">
            <x v="527"/>
          </reference>
        </references>
      </pivotArea>
    </format>
    <format dxfId="2840">
      <pivotArea dataOnly="0" labelOnly="1" outline="0" fieldPosition="0">
        <references count="1">
          <reference field="10" count="1" defaultSubtotal="1">
            <x v="528"/>
          </reference>
        </references>
      </pivotArea>
    </format>
    <format dxfId="2841">
      <pivotArea dataOnly="0" labelOnly="1" outline="0" fieldPosition="0">
        <references count="1">
          <reference field="10" count="1" defaultSubtotal="1">
            <x v="530"/>
          </reference>
        </references>
      </pivotArea>
    </format>
    <format dxfId="2842">
      <pivotArea dataOnly="0" labelOnly="1" outline="0" fieldPosition="0">
        <references count="1">
          <reference field="10" count="1" defaultSubtotal="1">
            <x v="531"/>
          </reference>
        </references>
      </pivotArea>
    </format>
    <format dxfId="2843">
      <pivotArea dataOnly="0" labelOnly="1" outline="0" fieldPosition="0">
        <references count="1">
          <reference field="10" count="1" defaultSubtotal="1">
            <x v="532"/>
          </reference>
        </references>
      </pivotArea>
    </format>
    <format dxfId="2844">
      <pivotArea dataOnly="0" labelOnly="1" outline="0" fieldPosition="0">
        <references count="1">
          <reference field="10" count="1" defaultSubtotal="1">
            <x v="533"/>
          </reference>
        </references>
      </pivotArea>
    </format>
    <format dxfId="2845">
      <pivotArea dataOnly="0" labelOnly="1" outline="0" fieldPosition="0">
        <references count="1">
          <reference field="10" count="1" defaultSubtotal="1">
            <x v="535"/>
          </reference>
        </references>
      </pivotArea>
    </format>
    <format dxfId="2846">
      <pivotArea dataOnly="0" labelOnly="1" outline="0" fieldPosition="0">
        <references count="1">
          <reference field="10" count="1" defaultSubtotal="1">
            <x v="536"/>
          </reference>
        </references>
      </pivotArea>
    </format>
    <format dxfId="2847">
      <pivotArea dataOnly="0" labelOnly="1" outline="0" fieldPosition="0">
        <references count="1">
          <reference field="10" count="1" defaultSubtotal="1">
            <x v="537"/>
          </reference>
        </references>
      </pivotArea>
    </format>
    <format dxfId="2848">
      <pivotArea dataOnly="0" labelOnly="1" outline="0" fieldPosition="0">
        <references count="1">
          <reference field="10" count="1" defaultSubtotal="1">
            <x v="538"/>
          </reference>
        </references>
      </pivotArea>
    </format>
    <format dxfId="2849">
      <pivotArea dataOnly="0" labelOnly="1" outline="0" fieldPosition="0">
        <references count="1">
          <reference field="10" count="1" defaultSubtotal="1">
            <x v="539"/>
          </reference>
        </references>
      </pivotArea>
    </format>
    <format dxfId="2850">
      <pivotArea dataOnly="0" labelOnly="1" outline="0" fieldPosition="0">
        <references count="1">
          <reference field="10" count="1" defaultSubtotal="1">
            <x v="541"/>
          </reference>
        </references>
      </pivotArea>
    </format>
    <format dxfId="2851">
      <pivotArea dataOnly="0" labelOnly="1" outline="0" fieldPosition="0">
        <references count="1">
          <reference field="10" count="1" defaultSubtotal="1">
            <x v="542"/>
          </reference>
        </references>
      </pivotArea>
    </format>
    <format dxfId="2852">
      <pivotArea dataOnly="0" labelOnly="1" outline="0" fieldPosition="0">
        <references count="1">
          <reference field="10" count="1" defaultSubtotal="1">
            <x v="543"/>
          </reference>
        </references>
      </pivotArea>
    </format>
    <format dxfId="2853">
      <pivotArea dataOnly="0" labelOnly="1" outline="0" fieldPosition="0">
        <references count="1">
          <reference field="10" count="1" defaultSubtotal="1">
            <x v="544"/>
          </reference>
        </references>
      </pivotArea>
    </format>
    <format dxfId="2854">
      <pivotArea dataOnly="0" labelOnly="1" outline="0" fieldPosition="0">
        <references count="1">
          <reference field="10" count="1" defaultSubtotal="1">
            <x v="545"/>
          </reference>
        </references>
      </pivotArea>
    </format>
    <format dxfId="2855">
      <pivotArea dataOnly="0" labelOnly="1" outline="0" fieldPosition="0">
        <references count="1">
          <reference field="10" count="1" defaultSubtotal="1">
            <x v="548"/>
          </reference>
        </references>
      </pivotArea>
    </format>
    <format dxfId="2856">
      <pivotArea dataOnly="0" labelOnly="1" outline="0" fieldPosition="0">
        <references count="2">
          <reference field="2" count="1">
            <x v="570"/>
          </reference>
          <reference field="10" count="1" selected="0">
            <x v="0"/>
          </reference>
        </references>
      </pivotArea>
    </format>
    <format dxfId="2857">
      <pivotArea dataOnly="0" labelOnly="1" outline="0" fieldPosition="0">
        <references count="2">
          <reference field="2" count="2">
            <x v="141"/>
            <x v="142"/>
          </reference>
          <reference field="10" count="1" selected="0">
            <x v="1"/>
          </reference>
        </references>
      </pivotArea>
    </format>
    <format dxfId="2858">
      <pivotArea dataOnly="0" labelOnly="1" outline="0" fieldPosition="0">
        <references count="2">
          <reference field="2" count="1">
            <x v="296"/>
          </reference>
          <reference field="10" count="1" selected="0">
            <x v="2"/>
          </reference>
        </references>
      </pivotArea>
    </format>
    <format dxfId="2859">
      <pivotArea dataOnly="0" labelOnly="1" outline="0" fieldPosition="0">
        <references count="2">
          <reference field="2" count="1">
            <x v="404"/>
          </reference>
          <reference field="10" count="1" selected="0">
            <x v="3"/>
          </reference>
        </references>
      </pivotArea>
    </format>
    <format dxfId="2860">
      <pivotArea dataOnly="0" labelOnly="1" outline="0" fieldPosition="0">
        <references count="2">
          <reference field="2" count="1">
            <x v="502"/>
          </reference>
          <reference field="10" count="1" selected="0">
            <x v="4"/>
          </reference>
        </references>
      </pivotArea>
    </format>
    <format dxfId="2861">
      <pivotArea dataOnly="0" labelOnly="1" outline="0" fieldPosition="0">
        <references count="2">
          <reference field="2" count="2">
            <x v="14"/>
            <x v="27"/>
          </reference>
          <reference field="10" count="1" selected="0">
            <x v="5"/>
          </reference>
        </references>
      </pivotArea>
    </format>
    <format dxfId="2862">
      <pivotArea dataOnly="0" labelOnly="1" outline="0" fieldPosition="0">
        <references count="2">
          <reference field="2" count="2">
            <x v="242"/>
            <x v="508"/>
          </reference>
          <reference field="10" count="1" selected="0">
            <x v="6"/>
          </reference>
        </references>
      </pivotArea>
    </format>
    <format dxfId="2863">
      <pivotArea dataOnly="0" labelOnly="1" outline="0" fieldPosition="0">
        <references count="2">
          <reference field="2" count="1">
            <x v="652"/>
          </reference>
          <reference field="10" count="1" selected="0">
            <x v="7"/>
          </reference>
        </references>
      </pivotArea>
    </format>
    <format dxfId="2864">
      <pivotArea dataOnly="0" labelOnly="1" outline="0" fieldPosition="0">
        <references count="2">
          <reference field="2" count="2">
            <x v="0"/>
            <x v="146"/>
          </reference>
          <reference field="10" count="1" selected="0">
            <x v="8"/>
          </reference>
        </references>
      </pivotArea>
    </format>
    <format dxfId="2865">
      <pivotArea dataOnly="0" labelOnly="1" outline="0" fieldPosition="0">
        <references count="2">
          <reference field="2" count="1">
            <x v="129"/>
          </reference>
          <reference field="10" count="1" selected="0">
            <x v="9"/>
          </reference>
        </references>
      </pivotArea>
    </format>
    <format dxfId="2866">
      <pivotArea dataOnly="0" labelOnly="1" outline="0" fieldPosition="0">
        <references count="2">
          <reference field="2" count="2">
            <x v="255"/>
            <x v="256"/>
          </reference>
          <reference field="10" count="1" selected="0">
            <x v="10"/>
          </reference>
        </references>
      </pivotArea>
    </format>
    <format dxfId="2867">
      <pivotArea dataOnly="0" labelOnly="1" outline="0" fieldPosition="0">
        <references count="2">
          <reference field="2" count="3">
            <x v="72"/>
            <x v="74"/>
            <x v="75"/>
          </reference>
          <reference field="10" count="1" selected="0">
            <x v="12"/>
          </reference>
        </references>
      </pivotArea>
    </format>
    <format dxfId="2868">
      <pivotArea dataOnly="0" labelOnly="1" outline="0" fieldPosition="0">
        <references count="2">
          <reference field="2" count="2">
            <x v="594"/>
            <x v="608"/>
          </reference>
          <reference field="10" count="1" selected="0">
            <x v="13"/>
          </reference>
        </references>
      </pivotArea>
    </format>
    <format dxfId="2869">
      <pivotArea dataOnly="0" labelOnly="1" outline="0" fieldPosition="0">
        <references count="2">
          <reference field="2" count="2">
            <x v="54"/>
            <x v="666"/>
          </reference>
          <reference field="10" count="1" selected="0">
            <x v="14"/>
          </reference>
        </references>
      </pivotArea>
    </format>
    <format dxfId="2870">
      <pivotArea dataOnly="0" labelOnly="1" outline="0" fieldPosition="0">
        <references count="2">
          <reference field="2" count="2">
            <x v="136"/>
            <x v="447"/>
          </reference>
          <reference field="10" count="1" selected="0">
            <x v="15"/>
          </reference>
        </references>
      </pivotArea>
    </format>
    <format dxfId="2871">
      <pivotArea dataOnly="0" labelOnly="1" outline="0" fieldPosition="0">
        <references count="2">
          <reference field="2" count="4">
            <x v="103"/>
            <x v="224"/>
            <x v="527"/>
            <x v="604"/>
          </reference>
          <reference field="10" count="1" selected="0">
            <x v="16"/>
          </reference>
        </references>
      </pivotArea>
    </format>
    <format dxfId="2872">
      <pivotArea dataOnly="0" labelOnly="1" outline="0" fieldPosition="0">
        <references count="2">
          <reference field="2" count="2">
            <x v="114"/>
            <x v="434"/>
          </reference>
          <reference field="10" count="1" selected="0">
            <x v="17"/>
          </reference>
        </references>
      </pivotArea>
    </format>
    <format dxfId="2873">
      <pivotArea dataOnly="0" labelOnly="1" outline="0" fieldPosition="0">
        <references count="2">
          <reference field="2" count="1">
            <x v="25"/>
          </reference>
          <reference field="10" count="1" selected="0">
            <x v="18"/>
          </reference>
        </references>
      </pivotArea>
    </format>
    <format dxfId="2874">
      <pivotArea dataOnly="0" labelOnly="1" outline="0" fieldPosition="0">
        <references count="2">
          <reference field="2" count="1">
            <x v="65"/>
          </reference>
          <reference field="10" count="1" selected="0">
            <x v="19"/>
          </reference>
        </references>
      </pivotArea>
    </format>
    <format dxfId="2875">
      <pivotArea dataOnly="0" labelOnly="1" outline="0" fieldPosition="0">
        <references count="2">
          <reference field="2" count="1">
            <x v="503"/>
          </reference>
          <reference field="10" count="1" selected="0">
            <x v="20"/>
          </reference>
        </references>
      </pivotArea>
    </format>
    <format dxfId="2876">
      <pivotArea dataOnly="0" labelOnly="1" outline="0" fieldPosition="0">
        <references count="2">
          <reference field="2" count="1">
            <x v="246"/>
          </reference>
          <reference field="10" count="1" selected="0">
            <x v="21"/>
          </reference>
        </references>
      </pivotArea>
    </format>
    <format dxfId="2877">
      <pivotArea dataOnly="0" labelOnly="1" outline="0" fieldPosition="0">
        <references count="2">
          <reference field="2" count="3">
            <x v="30"/>
            <x v="31"/>
            <x v="32"/>
          </reference>
          <reference field="10" count="1" selected="0">
            <x v="23"/>
          </reference>
        </references>
      </pivotArea>
    </format>
    <format dxfId="2878">
      <pivotArea dataOnly="0" labelOnly="1" outline="0" fieldPosition="0">
        <references count="2">
          <reference field="2" count="1">
            <x v="566"/>
          </reference>
          <reference field="10" count="1" selected="0">
            <x v="24"/>
          </reference>
        </references>
      </pivotArea>
    </format>
    <format dxfId="2879">
      <pivotArea dataOnly="0" labelOnly="1" outline="0" fieldPosition="0">
        <references count="2">
          <reference field="2" count="1">
            <x v="458"/>
          </reference>
          <reference field="10" count="1" selected="0">
            <x v="25"/>
          </reference>
        </references>
      </pivotArea>
    </format>
    <format dxfId="2880">
      <pivotArea dataOnly="0" labelOnly="1" outline="0" fieldPosition="0">
        <references count="2">
          <reference field="2" count="9">
            <x v="98"/>
            <x v="371"/>
            <x v="457"/>
            <x v="541"/>
            <x v="542"/>
            <x v="567"/>
            <x v="650"/>
            <x v="651"/>
            <x v="653"/>
          </reference>
          <reference field="10" count="1" selected="0">
            <x v="26"/>
          </reference>
        </references>
      </pivotArea>
    </format>
    <format dxfId="2881">
      <pivotArea dataOnly="0" labelOnly="1" outline="0" fieldPosition="0">
        <references count="2">
          <reference field="2" count="2">
            <x v="326"/>
            <x v="330"/>
          </reference>
          <reference field="10" count="1" selected="0">
            <x v="27"/>
          </reference>
        </references>
      </pivotArea>
    </format>
    <format dxfId="2882">
      <pivotArea dataOnly="0" labelOnly="1" outline="0" fieldPosition="0">
        <references count="2">
          <reference field="2" count="1">
            <x v="535"/>
          </reference>
          <reference field="10" count="1" selected="0">
            <x v="28"/>
          </reference>
        </references>
      </pivotArea>
    </format>
    <format dxfId="2883">
      <pivotArea dataOnly="0" labelOnly="1" outline="0" fieldPosition="0">
        <references count="2">
          <reference field="2" count="1">
            <x v="341"/>
          </reference>
          <reference field="10" count="1" selected="0">
            <x v="29"/>
          </reference>
        </references>
      </pivotArea>
    </format>
    <format dxfId="2884">
      <pivotArea dataOnly="0" labelOnly="1" outline="0" fieldPosition="0">
        <references count="2">
          <reference field="2" count="1">
            <x v="559"/>
          </reference>
          <reference field="10" count="1" selected="0">
            <x v="32"/>
          </reference>
        </references>
      </pivotArea>
    </format>
    <format dxfId="2885">
      <pivotArea dataOnly="0" labelOnly="1" outline="0" fieldPosition="0">
        <references count="2">
          <reference field="2" count="1">
            <x v="130"/>
          </reference>
          <reference field="10" count="1" selected="0">
            <x v="36"/>
          </reference>
        </references>
      </pivotArea>
    </format>
    <format dxfId="2886">
      <pivotArea dataOnly="0" labelOnly="1" outline="0" fieldPosition="0">
        <references count="2">
          <reference field="2" count="1">
            <x v="327"/>
          </reference>
          <reference field="10" count="1" selected="0">
            <x v="37"/>
          </reference>
        </references>
      </pivotArea>
    </format>
    <format dxfId="2887">
      <pivotArea dataOnly="0" labelOnly="1" outline="0" fieldPosition="0">
        <references count="2">
          <reference field="2" count="1">
            <x v="493"/>
          </reference>
          <reference field="10" count="1" selected="0">
            <x v="39"/>
          </reference>
        </references>
      </pivotArea>
    </format>
    <format dxfId="2888">
      <pivotArea dataOnly="0" labelOnly="1" outline="0" fieldPosition="0">
        <references count="2">
          <reference field="2" count="1">
            <x v="381"/>
          </reference>
          <reference field="10" count="1" selected="0">
            <x v="40"/>
          </reference>
        </references>
      </pivotArea>
    </format>
    <format dxfId="2889">
      <pivotArea dataOnly="0" labelOnly="1" outline="0" fieldPosition="0">
        <references count="2">
          <reference field="2" count="1">
            <x v="494"/>
          </reference>
          <reference field="10" count="1" selected="0">
            <x v="41"/>
          </reference>
        </references>
      </pivotArea>
    </format>
    <format dxfId="2890">
      <pivotArea dataOnly="0" labelOnly="1" outline="0" fieldPosition="0">
        <references count="2">
          <reference field="2" count="1">
            <x v="113"/>
          </reference>
          <reference field="10" count="1" selected="0">
            <x v="43"/>
          </reference>
        </references>
      </pivotArea>
    </format>
    <format dxfId="2891">
      <pivotArea dataOnly="0" labelOnly="1" outline="0" fieldPosition="0">
        <references count="2">
          <reference field="2" count="1">
            <x v="112"/>
          </reference>
          <reference field="10" count="1" selected="0">
            <x v="44"/>
          </reference>
        </references>
      </pivotArea>
    </format>
    <format dxfId="2892">
      <pivotArea dataOnly="0" labelOnly="1" outline="0" fieldPosition="0">
        <references count="2">
          <reference field="2" count="1">
            <x v="514"/>
          </reference>
          <reference field="10" count="1" selected="0">
            <x v="45"/>
          </reference>
        </references>
      </pivotArea>
    </format>
    <format dxfId="2893">
      <pivotArea dataOnly="0" labelOnly="1" outline="0" fieldPosition="0">
        <references count="2">
          <reference field="2" count="1">
            <x v="245"/>
          </reference>
          <reference field="10" count="1" selected="0">
            <x v="46"/>
          </reference>
        </references>
      </pivotArea>
    </format>
    <format dxfId="2894">
      <pivotArea dataOnly="0" labelOnly="1" outline="0" fieldPosition="0">
        <references count="2">
          <reference field="2" count="2">
            <x v="378"/>
            <x v="379"/>
          </reference>
          <reference field="10" count="1" selected="0">
            <x v="48"/>
          </reference>
        </references>
      </pivotArea>
    </format>
    <format dxfId="2895">
      <pivotArea dataOnly="0" labelOnly="1" outline="0" fieldPosition="0">
        <references count="2">
          <reference field="2" count="1">
            <x v="612"/>
          </reference>
          <reference field="10" count="1" selected="0">
            <x v="49"/>
          </reference>
        </references>
      </pivotArea>
    </format>
    <format dxfId="2896">
      <pivotArea dataOnly="0" labelOnly="1" outline="0" fieldPosition="0">
        <references count="2">
          <reference field="2" count="1">
            <x v="511"/>
          </reference>
          <reference field="10" count="1" selected="0">
            <x v="50"/>
          </reference>
        </references>
      </pivotArea>
    </format>
    <format dxfId="2897">
      <pivotArea dataOnly="0" labelOnly="1" outline="0" fieldPosition="0">
        <references count="2">
          <reference field="2" count="1">
            <x v="73"/>
          </reference>
          <reference field="10" count="1" selected="0">
            <x v="55"/>
          </reference>
        </references>
      </pivotArea>
    </format>
    <format dxfId="2898">
      <pivotArea dataOnly="0" labelOnly="1" outline="0" fieldPosition="0">
        <references count="2">
          <reference field="2" count="2">
            <x v="332"/>
            <x v="365"/>
          </reference>
          <reference field="10" count="1" selected="0">
            <x v="56"/>
          </reference>
        </references>
      </pivotArea>
    </format>
    <format dxfId="2899">
      <pivotArea dataOnly="0" labelOnly="1" outline="0" fieldPosition="0">
        <references count="2">
          <reference field="2" count="3">
            <x v="352"/>
            <x v="354"/>
            <x v="576"/>
          </reference>
          <reference field="10" count="1" selected="0">
            <x v="57"/>
          </reference>
        </references>
      </pivotArea>
    </format>
    <format dxfId="2900">
      <pivotArea dataOnly="0" labelOnly="1" outline="0" fieldPosition="0">
        <references count="2">
          <reference field="2" count="1">
            <x v="91"/>
          </reference>
          <reference field="10" count="1" selected="0">
            <x v="58"/>
          </reference>
        </references>
      </pivotArea>
    </format>
    <format dxfId="2901">
      <pivotArea dataOnly="0" labelOnly="1" outline="0" fieldPosition="0">
        <references count="2">
          <reference field="2" count="1">
            <x v="297"/>
          </reference>
          <reference field="10" count="1" selected="0">
            <x v="59"/>
          </reference>
        </references>
      </pivotArea>
    </format>
    <format dxfId="2902">
      <pivotArea dataOnly="0" labelOnly="1" outline="0" fieldPosition="0">
        <references count="2">
          <reference field="2" count="1">
            <x v="466"/>
          </reference>
          <reference field="10" count="1" selected="0">
            <x v="60"/>
          </reference>
        </references>
      </pivotArea>
    </format>
    <format dxfId="2903">
      <pivotArea dataOnly="0" labelOnly="1" outline="0" fieldPosition="0">
        <references count="2">
          <reference field="2" count="1">
            <x v="598"/>
          </reference>
          <reference field="10" count="1" selected="0">
            <x v="61"/>
          </reference>
        </references>
      </pivotArea>
    </format>
    <format dxfId="2904">
      <pivotArea dataOnly="0" labelOnly="1" outline="0" fieldPosition="0">
        <references count="2">
          <reference field="2" count="1">
            <x v="272"/>
          </reference>
          <reference field="10" count="1" selected="0">
            <x v="62"/>
          </reference>
        </references>
      </pivotArea>
    </format>
    <format dxfId="2905">
      <pivotArea dataOnly="0" labelOnly="1" outline="0" fieldPosition="0">
        <references count="2">
          <reference field="2" count="1">
            <x v="548"/>
          </reference>
          <reference field="10" count="1" selected="0">
            <x v="64"/>
          </reference>
        </references>
      </pivotArea>
    </format>
    <format dxfId="2906">
      <pivotArea dataOnly="0" labelOnly="1" outline="0" fieldPosition="0">
        <references count="2">
          <reference field="2" count="3">
            <x v="82"/>
            <x v="83"/>
            <x v="84"/>
          </reference>
          <reference field="10" count="1" selected="0">
            <x v="65"/>
          </reference>
        </references>
      </pivotArea>
    </format>
    <format dxfId="2907">
      <pivotArea dataOnly="0" labelOnly="1" outline="0" fieldPosition="0">
        <references count="2">
          <reference field="2" count="1">
            <x v="6"/>
          </reference>
          <reference field="10" count="1" selected="0">
            <x v="66"/>
          </reference>
        </references>
      </pivotArea>
    </format>
    <format dxfId="2908">
      <pivotArea dataOnly="0" labelOnly="1" outline="0" fieldPosition="0">
        <references count="2">
          <reference field="2" count="2">
            <x v="262"/>
            <x v="263"/>
          </reference>
          <reference field="10" count="1" selected="0">
            <x v="67"/>
          </reference>
        </references>
      </pivotArea>
    </format>
    <format dxfId="2909">
      <pivotArea dataOnly="0" labelOnly="1" outline="0" fieldPosition="0">
        <references count="2">
          <reference field="2" count="1">
            <x v="88"/>
          </reference>
          <reference field="10" count="1" selected="0">
            <x v="68"/>
          </reference>
        </references>
      </pivotArea>
    </format>
    <format dxfId="2910">
      <pivotArea dataOnly="0" labelOnly="1" outline="0" fieldPosition="0">
        <references count="2">
          <reference field="2" count="17">
            <x v="77"/>
            <x v="228"/>
            <x v="229"/>
            <x v="481"/>
            <x v="482"/>
            <x v="483"/>
            <x v="484"/>
            <x v="579"/>
            <x v="580"/>
            <x v="581"/>
            <x v="582"/>
            <x v="583"/>
            <x v="584"/>
            <x v="585"/>
            <x v="586"/>
            <x v="587"/>
            <x v="588"/>
          </reference>
          <reference field="10" count="1" selected="0">
            <x v="69"/>
          </reference>
        </references>
      </pivotArea>
    </format>
    <format dxfId="2911">
      <pivotArea dataOnly="0" labelOnly="1" outline="0" fieldPosition="0">
        <references count="2">
          <reference field="2" count="3">
            <x v="462"/>
            <x v="463"/>
            <x v="560"/>
          </reference>
          <reference field="10" count="1" selected="0">
            <x v="70"/>
          </reference>
        </references>
      </pivotArea>
    </format>
    <format dxfId="2912">
      <pivotArea dataOnly="0" labelOnly="1" outline="0" fieldPosition="0">
        <references count="2">
          <reference field="2" count="1">
            <x v="178"/>
          </reference>
          <reference field="10" count="1" selected="0">
            <x v="71"/>
          </reference>
        </references>
      </pivotArea>
    </format>
    <format dxfId="2913">
      <pivotArea dataOnly="0" labelOnly="1" outline="0" fieldPosition="0">
        <references count="2">
          <reference field="2" count="2">
            <x v="298"/>
            <x v="311"/>
          </reference>
          <reference field="10" count="1" selected="0">
            <x v="72"/>
          </reference>
        </references>
      </pivotArea>
    </format>
    <format dxfId="2914">
      <pivotArea dataOnly="0" labelOnly="1" outline="0" fieldPosition="0">
        <references count="2">
          <reference field="2" count="2">
            <x v="190"/>
            <x v="622"/>
          </reference>
          <reference field="10" count="1" selected="0">
            <x v="73"/>
          </reference>
        </references>
      </pivotArea>
    </format>
    <format dxfId="2915">
      <pivotArea dataOnly="0" labelOnly="1" outline="0" fieldPosition="0">
        <references count="2">
          <reference field="2" count="1">
            <x v="159"/>
          </reference>
          <reference field="10" count="1" selected="0">
            <x v="74"/>
          </reference>
        </references>
      </pivotArea>
    </format>
    <format dxfId="2916">
      <pivotArea dataOnly="0" labelOnly="1" outline="0" fieldPosition="0">
        <references count="2">
          <reference field="2" count="1">
            <x v="198"/>
          </reference>
          <reference field="10" count="1" selected="0">
            <x v="75"/>
          </reference>
        </references>
      </pivotArea>
    </format>
    <format dxfId="2917">
      <pivotArea dataOnly="0" labelOnly="1" outline="0" fieldPosition="0">
        <references count="2">
          <reference field="2" count="1">
            <x v="593"/>
          </reference>
          <reference field="10" count="1" selected="0">
            <x v="78"/>
          </reference>
        </references>
      </pivotArea>
    </format>
    <format dxfId="2918">
      <pivotArea dataOnly="0" labelOnly="1" outline="0" fieldPosition="0">
        <references count="2">
          <reference field="2" count="1">
            <x v="397"/>
          </reference>
          <reference field="10" count="1" selected="0">
            <x v="79"/>
          </reference>
        </references>
      </pivotArea>
    </format>
    <format dxfId="2919">
      <pivotArea dataOnly="0" labelOnly="1" outline="0" fieldPosition="0">
        <references count="2">
          <reference field="2" count="1">
            <x v="415"/>
          </reference>
          <reference field="10" count="1" selected="0">
            <x v="80"/>
          </reference>
        </references>
      </pivotArea>
    </format>
    <format dxfId="2920">
      <pivotArea dataOnly="0" labelOnly="1" outline="0" fieldPosition="0">
        <references count="2">
          <reference field="2" count="2">
            <x v="459"/>
            <x v="515"/>
          </reference>
          <reference field="10" count="1" selected="0">
            <x v="81"/>
          </reference>
        </references>
      </pivotArea>
    </format>
    <format dxfId="2921">
      <pivotArea dataOnly="0" labelOnly="1" outline="0" fieldPosition="0">
        <references count="2">
          <reference field="2" count="2">
            <x v="147"/>
            <x v="575"/>
          </reference>
          <reference field="10" count="1" selected="0">
            <x v="82"/>
          </reference>
        </references>
      </pivotArea>
    </format>
    <format dxfId="2922">
      <pivotArea dataOnly="0" labelOnly="1" outline="0" fieldPosition="0">
        <references count="2">
          <reference field="2" count="1">
            <x v="180"/>
          </reference>
          <reference field="10" count="1" selected="0">
            <x v="84"/>
          </reference>
        </references>
      </pivotArea>
    </format>
    <format dxfId="2923">
      <pivotArea dataOnly="0" labelOnly="1" outline="0" fieldPosition="0">
        <references count="2">
          <reference field="2" count="3">
            <x v="107"/>
            <x v="294"/>
            <x v="453"/>
          </reference>
          <reference field="10" count="1" selected="0">
            <x v="86"/>
          </reference>
        </references>
      </pivotArea>
    </format>
    <format dxfId="2924">
      <pivotArea dataOnly="0" labelOnly="1" outline="0" fieldPosition="0">
        <references count="2">
          <reference field="2" count="1">
            <x v="518"/>
          </reference>
          <reference field="10" count="1" selected="0">
            <x v="87"/>
          </reference>
        </references>
      </pivotArea>
    </format>
    <format dxfId="2925">
      <pivotArea dataOnly="0" labelOnly="1" outline="0" fieldPosition="0">
        <references count="2">
          <reference field="2" count="1">
            <x v="383"/>
          </reference>
          <reference field="10" count="1" selected="0">
            <x v="88"/>
          </reference>
        </references>
      </pivotArea>
    </format>
    <format dxfId="2926">
      <pivotArea dataOnly="0" labelOnly="1" outline="0" fieldPosition="0">
        <references count="2">
          <reference field="2" count="2">
            <x v="158"/>
            <x v="358"/>
          </reference>
          <reference field="10" count="1" selected="0">
            <x v="89"/>
          </reference>
        </references>
      </pivotArea>
    </format>
    <format dxfId="2927">
      <pivotArea dataOnly="0" labelOnly="1" outline="0" fieldPosition="0">
        <references count="2">
          <reference field="2" count="1">
            <x v="23"/>
          </reference>
          <reference field="10" count="1" selected="0">
            <x v="90"/>
          </reference>
        </references>
      </pivotArea>
    </format>
    <format dxfId="2928">
      <pivotArea dataOnly="0" labelOnly="1" outline="0" fieldPosition="0">
        <references count="2">
          <reference field="2" count="2">
            <x v="537"/>
            <x v="543"/>
          </reference>
          <reference field="10" count="1" selected="0">
            <x v="91"/>
          </reference>
        </references>
      </pivotArea>
    </format>
    <format dxfId="2929">
      <pivotArea dataOnly="0" labelOnly="1" outline="0" fieldPosition="0">
        <references count="2">
          <reference field="2" count="2">
            <x v="334"/>
            <x v="539"/>
          </reference>
          <reference field="10" count="1" selected="0">
            <x v="93"/>
          </reference>
        </references>
      </pivotArea>
    </format>
    <format dxfId="2930">
      <pivotArea dataOnly="0" labelOnly="1" outline="0" fieldPosition="0">
        <references count="2">
          <reference field="2" count="1">
            <x v="456"/>
          </reference>
          <reference field="10" count="1" selected="0">
            <x v="94"/>
          </reference>
        </references>
      </pivotArea>
    </format>
    <format dxfId="2931">
      <pivotArea dataOnly="0" labelOnly="1" outline="0" fieldPosition="0">
        <references count="2">
          <reference field="2" count="2">
            <x v="265"/>
            <x v="510"/>
          </reference>
          <reference field="10" count="1" selected="0">
            <x v="95"/>
          </reference>
        </references>
      </pivotArea>
    </format>
    <format dxfId="2932">
      <pivotArea dataOnly="0" labelOnly="1" outline="0" fieldPosition="0">
        <references count="2">
          <reference field="2" count="1">
            <x v="281"/>
          </reference>
          <reference field="10" count="1" selected="0">
            <x v="96"/>
          </reference>
        </references>
      </pivotArea>
    </format>
    <format dxfId="2933">
      <pivotArea dataOnly="0" labelOnly="1" outline="0" fieldPosition="0">
        <references count="2">
          <reference field="2" count="2">
            <x v="219"/>
            <x v="226"/>
          </reference>
          <reference field="10" count="1" selected="0">
            <x v="99"/>
          </reference>
        </references>
      </pivotArea>
    </format>
    <format dxfId="2934">
      <pivotArea dataOnly="0" labelOnly="1" outline="0" fieldPosition="0">
        <references count="2">
          <reference field="2" count="8">
            <x v="104"/>
            <x v="105"/>
            <x v="106"/>
            <x v="139"/>
            <x v="140"/>
            <x v="401"/>
            <x v="561"/>
            <x v="562"/>
          </reference>
          <reference field="10" count="1" selected="0">
            <x v="101"/>
          </reference>
        </references>
      </pivotArea>
    </format>
    <format dxfId="2935">
      <pivotArea dataOnly="0" labelOnly="1" outline="0" fieldPosition="0">
        <references count="2">
          <reference field="2" count="1">
            <x v="312"/>
          </reference>
          <reference field="10" count="1" selected="0">
            <x v="102"/>
          </reference>
        </references>
      </pivotArea>
    </format>
    <format dxfId="2936">
      <pivotArea dataOnly="0" labelOnly="1" outline="0" fieldPosition="0">
        <references count="2">
          <reference field="2" count="1">
            <x v="349"/>
          </reference>
          <reference field="10" count="1" selected="0">
            <x v="103"/>
          </reference>
        </references>
      </pivotArea>
    </format>
    <format dxfId="2937">
      <pivotArea dataOnly="0" labelOnly="1" outline="0" fieldPosition="0">
        <references count="2">
          <reference field="2" count="2">
            <x v="210"/>
            <x v="211"/>
          </reference>
          <reference field="10" count="1" selected="0">
            <x v="105"/>
          </reference>
        </references>
      </pivotArea>
    </format>
    <format dxfId="2938">
      <pivotArea dataOnly="0" labelOnly="1" outline="0" fieldPosition="0">
        <references count="2">
          <reference field="2" count="1">
            <x v="343"/>
          </reference>
          <reference field="10" count="1" selected="0">
            <x v="106"/>
          </reference>
        </references>
      </pivotArea>
    </format>
    <format dxfId="2939">
      <pivotArea dataOnly="0" labelOnly="1" outline="0" fieldPosition="0">
        <references count="2">
          <reference field="2" count="4">
            <x v="40"/>
            <x v="41"/>
            <x v="52"/>
            <x v="599"/>
          </reference>
          <reference field="10" count="1" selected="0">
            <x v="107"/>
          </reference>
        </references>
      </pivotArea>
    </format>
    <format dxfId="2940">
      <pivotArea dataOnly="0" labelOnly="1" outline="0" fieldPosition="0">
        <references count="2">
          <reference field="2" count="1">
            <x v="377"/>
          </reference>
          <reference field="10" count="1" selected="0">
            <x v="108"/>
          </reference>
        </references>
      </pivotArea>
    </format>
    <format dxfId="2941">
      <pivotArea dataOnly="0" labelOnly="1" outline="0" fieldPosition="0">
        <references count="2">
          <reference field="2" count="1">
            <x v="285"/>
          </reference>
          <reference field="10" count="1" selected="0">
            <x v="110"/>
          </reference>
        </references>
      </pivotArea>
    </format>
    <format dxfId="2942">
      <pivotArea dataOnly="0" labelOnly="1" outline="0" fieldPosition="0">
        <references count="2">
          <reference field="2" count="1">
            <x v="47"/>
          </reference>
          <reference field="10" count="1" selected="0">
            <x v="111"/>
          </reference>
        </references>
      </pivotArea>
    </format>
    <format dxfId="2943">
      <pivotArea dataOnly="0" labelOnly="1" outline="0" fieldPosition="0">
        <references count="2">
          <reference field="2" count="1">
            <x v="558"/>
          </reference>
          <reference field="10" count="1" selected="0">
            <x v="112"/>
          </reference>
        </references>
      </pivotArea>
    </format>
    <format dxfId="2944">
      <pivotArea dataOnly="0" labelOnly="1" outline="0" fieldPosition="0">
        <references count="2">
          <reference field="2" count="2">
            <x v="351"/>
            <x v="367"/>
          </reference>
          <reference field="10" count="1" selected="0">
            <x v="113"/>
          </reference>
        </references>
      </pivotArea>
    </format>
    <format dxfId="2945">
      <pivotArea dataOnly="0" labelOnly="1" outline="0" fieldPosition="0">
        <references count="2">
          <reference field="2" count="1">
            <x v="382"/>
          </reference>
          <reference field="10" count="1" selected="0">
            <x v="115"/>
          </reference>
        </references>
      </pivotArea>
    </format>
    <format dxfId="2946">
      <pivotArea dataOnly="0" labelOnly="1" outline="0" fieldPosition="0">
        <references count="2">
          <reference field="2" count="1">
            <x v="176"/>
          </reference>
          <reference field="10" count="1" selected="0">
            <x v="116"/>
          </reference>
        </references>
      </pivotArea>
    </format>
    <format dxfId="2947">
      <pivotArea dataOnly="0" labelOnly="1" outline="0" fieldPosition="0">
        <references count="2">
          <reference field="2" count="1">
            <x v="472"/>
          </reference>
          <reference field="10" count="1" selected="0">
            <x v="117"/>
          </reference>
        </references>
      </pivotArea>
    </format>
    <format dxfId="2948">
      <pivotArea dataOnly="0" labelOnly="1" outline="0" fieldPosition="0">
        <references count="2">
          <reference field="2" count="1">
            <x v="602"/>
          </reference>
          <reference field="10" count="1" selected="0">
            <x v="118"/>
          </reference>
        </references>
      </pivotArea>
    </format>
    <format dxfId="2949">
      <pivotArea dataOnly="0" labelOnly="1" outline="0" fieldPosition="0">
        <references count="2">
          <reference field="2" count="1">
            <x v="199"/>
          </reference>
          <reference field="10" count="1" selected="0">
            <x v="119"/>
          </reference>
        </references>
      </pivotArea>
    </format>
    <format dxfId="2950">
      <pivotArea dataOnly="0" labelOnly="1" outline="0" fieldPosition="0">
        <references count="2">
          <reference field="2" count="2">
            <x v="617"/>
            <x v="662"/>
          </reference>
          <reference field="10" count="1" selected="0">
            <x v="122"/>
          </reference>
        </references>
      </pivotArea>
    </format>
    <format dxfId="2951">
      <pivotArea dataOnly="0" labelOnly="1" outline="0" fieldPosition="0">
        <references count="2">
          <reference field="2" count="1">
            <x v="669"/>
          </reference>
          <reference field="10" count="1" selected="0">
            <x v="124"/>
          </reference>
        </references>
      </pivotArea>
    </format>
    <format dxfId="2952">
      <pivotArea dataOnly="0" labelOnly="1" outline="0" fieldPosition="0">
        <references count="2">
          <reference field="2" count="1">
            <x v="425"/>
          </reference>
          <reference field="10" count="1" selected="0">
            <x v="125"/>
          </reference>
        </references>
      </pivotArea>
    </format>
    <format dxfId="2953">
      <pivotArea dataOnly="0" labelOnly="1" outline="0" fieldPosition="0">
        <references count="2">
          <reference field="2" count="1">
            <x v="243"/>
          </reference>
          <reference field="10" count="1" selected="0">
            <x v="126"/>
          </reference>
        </references>
      </pivotArea>
    </format>
    <format dxfId="2954">
      <pivotArea dataOnly="0" labelOnly="1" outline="0" fieldPosition="0">
        <references count="2">
          <reference field="2" count="1">
            <x v="499"/>
          </reference>
          <reference field="10" count="1" selected="0">
            <x v="127"/>
          </reference>
        </references>
      </pivotArea>
    </format>
    <format dxfId="2955">
      <pivotArea dataOnly="0" labelOnly="1" outline="0" fieldPosition="0">
        <references count="2">
          <reference field="2" count="1">
            <x v="53"/>
          </reference>
          <reference field="10" count="1" selected="0">
            <x v="128"/>
          </reference>
        </references>
      </pivotArea>
    </format>
    <format dxfId="2956">
      <pivotArea dataOnly="0" labelOnly="1" outline="0" fieldPosition="0">
        <references count="2">
          <reference field="2" count="1">
            <x v="254"/>
          </reference>
          <reference field="10" count="1" selected="0">
            <x v="129"/>
          </reference>
        </references>
      </pivotArea>
    </format>
    <format dxfId="2957">
      <pivotArea dataOnly="0" labelOnly="1" outline="0" fieldPosition="0">
        <references count="2">
          <reference field="2" count="1">
            <x v="647"/>
          </reference>
          <reference field="10" count="1" selected="0">
            <x v="130"/>
          </reference>
        </references>
      </pivotArea>
    </format>
    <format dxfId="2958">
      <pivotArea dataOnly="0" labelOnly="1" outline="0" fieldPosition="0">
        <references count="2">
          <reference field="2" count="2">
            <x v="359"/>
            <x v="361"/>
          </reference>
          <reference field="10" count="1" selected="0">
            <x v="132"/>
          </reference>
        </references>
      </pivotArea>
    </format>
    <format dxfId="2959">
      <pivotArea dataOnly="0" labelOnly="1" outline="0" fieldPosition="0">
        <references count="2">
          <reference field="2" count="2">
            <x v="307"/>
            <x v="337"/>
          </reference>
          <reference field="10" count="1" selected="0">
            <x v="133"/>
          </reference>
        </references>
      </pivotArea>
    </format>
    <format dxfId="2960">
      <pivotArea dataOnly="0" labelOnly="1" outline="0" fieldPosition="0">
        <references count="2">
          <reference field="2" count="2">
            <x v="313"/>
            <x v="534"/>
          </reference>
          <reference field="10" count="1" selected="0">
            <x v="134"/>
          </reference>
        </references>
      </pivotArea>
    </format>
    <format dxfId="2961">
      <pivotArea dataOnly="0" labelOnly="1" outline="0" fieldPosition="0">
        <references count="2">
          <reference field="2" count="2">
            <x v="251"/>
            <x v="252"/>
          </reference>
          <reference field="10" count="1" selected="0">
            <x v="135"/>
          </reference>
        </references>
      </pivotArea>
    </format>
    <format dxfId="2962">
      <pivotArea dataOnly="0" labelOnly="1" outline="0" fieldPosition="0">
        <references count="2">
          <reference field="2" count="1">
            <x v="428"/>
          </reference>
          <reference field="10" count="1" selected="0">
            <x v="136"/>
          </reference>
        </references>
      </pivotArea>
    </format>
    <format dxfId="2963">
      <pivotArea dataOnly="0" labelOnly="1" outline="0" fieldPosition="0">
        <references count="2">
          <reference field="2" count="2">
            <x v="314"/>
            <x v="315"/>
          </reference>
          <reference field="10" count="1" selected="0">
            <x v="137"/>
          </reference>
        </references>
      </pivotArea>
    </format>
    <format dxfId="2964">
      <pivotArea dataOnly="0" labelOnly="1" outline="0" fieldPosition="0">
        <references count="2">
          <reference field="2" count="4">
            <x v="133"/>
            <x v="134"/>
            <x v="135"/>
            <x v="405"/>
          </reference>
          <reference field="10" count="1" selected="0">
            <x v="138"/>
          </reference>
        </references>
      </pivotArea>
    </format>
    <format dxfId="2965">
      <pivotArea dataOnly="0" labelOnly="1" outline="0" fieldPosition="0">
        <references count="2">
          <reference field="2" count="1">
            <x v="391"/>
          </reference>
          <reference field="10" count="1" selected="0">
            <x v="139"/>
          </reference>
        </references>
      </pivotArea>
    </format>
    <format dxfId="2966">
      <pivotArea dataOnly="0" labelOnly="1" outline="0" fieldPosition="0">
        <references count="2">
          <reference field="2" count="1">
            <x v="51"/>
          </reference>
          <reference field="10" count="1" selected="0">
            <x v="140"/>
          </reference>
        </references>
      </pivotArea>
    </format>
    <format dxfId="2967">
      <pivotArea dataOnly="0" labelOnly="1" outline="0" fieldPosition="0">
        <references count="2">
          <reference field="2" count="1">
            <x v="574"/>
          </reference>
          <reference field="10" count="1" selected="0">
            <x v="141"/>
          </reference>
        </references>
      </pivotArea>
    </format>
    <format dxfId="2968">
      <pivotArea dataOnly="0" labelOnly="1" outline="0" fieldPosition="0">
        <references count="2">
          <reference field="2" count="1">
            <x v="12"/>
          </reference>
          <reference field="10" count="1" selected="0">
            <x v="142"/>
          </reference>
        </references>
      </pivotArea>
    </format>
    <format dxfId="2969">
      <pivotArea dataOnly="0" labelOnly="1" outline="0" fieldPosition="0">
        <references count="2">
          <reference field="2" count="2">
            <x v="442"/>
            <x v="595"/>
          </reference>
          <reference field="10" count="1" selected="0">
            <x v="143"/>
          </reference>
        </references>
      </pivotArea>
    </format>
    <format dxfId="2970">
      <pivotArea dataOnly="0" labelOnly="1" outline="0" fieldPosition="0">
        <references count="2">
          <reference field="2" count="3">
            <x v="34"/>
            <x v="409"/>
            <x v="632"/>
          </reference>
          <reference field="10" count="1" selected="0">
            <x v="145"/>
          </reference>
        </references>
      </pivotArea>
    </format>
    <format dxfId="2971">
      <pivotArea dataOnly="0" labelOnly="1" outline="0" fieldPosition="0">
        <references count="2">
          <reference field="2" count="1">
            <x v="540"/>
          </reference>
          <reference field="10" count="1" selected="0">
            <x v="146"/>
          </reference>
        </references>
      </pivotArea>
    </format>
    <format dxfId="2972">
      <pivotArea dataOnly="0" labelOnly="1" outline="0" fieldPosition="0">
        <references count="2">
          <reference field="2" count="1">
            <x v="303"/>
          </reference>
          <reference field="10" count="1" selected="0">
            <x v="147"/>
          </reference>
        </references>
      </pivotArea>
    </format>
    <format dxfId="2973">
      <pivotArea dataOnly="0" labelOnly="1" outline="0" fieldPosition="0">
        <references count="2">
          <reference field="2" count="1">
            <x v="46"/>
          </reference>
          <reference field="10" count="1" selected="0">
            <x v="148"/>
          </reference>
        </references>
      </pivotArea>
    </format>
    <format dxfId="2974">
      <pivotArea dataOnly="0" labelOnly="1" outline="0" fieldPosition="0">
        <references count="2">
          <reference field="2" count="1">
            <x v="205"/>
          </reference>
          <reference field="10" count="1" selected="0">
            <x v="149"/>
          </reference>
        </references>
      </pivotArea>
    </format>
    <format dxfId="2975">
      <pivotArea dataOnly="0" labelOnly="1" outline="0" fieldPosition="0">
        <references count="2">
          <reference field="2" count="2">
            <x v="172"/>
            <x v="605"/>
          </reference>
          <reference field="10" count="1" selected="0">
            <x v="150"/>
          </reference>
        </references>
      </pivotArea>
    </format>
    <format dxfId="2976">
      <pivotArea dataOnly="0" labelOnly="1" outline="0" fieldPosition="0">
        <references count="2">
          <reference field="2" count="1">
            <x v="426"/>
          </reference>
          <reference field="10" count="1" selected="0">
            <x v="151"/>
          </reference>
        </references>
      </pivotArea>
    </format>
    <format dxfId="2977">
      <pivotArea dataOnly="0" labelOnly="1" outline="0" fieldPosition="0">
        <references count="2">
          <reference field="2" count="1">
            <x v="655"/>
          </reference>
          <reference field="10" count="1" selected="0">
            <x v="153"/>
          </reference>
        </references>
      </pivotArea>
    </format>
    <format dxfId="2978">
      <pivotArea dataOnly="0" labelOnly="1" outline="0" fieldPosition="0">
        <references count="2">
          <reference field="2" count="4">
            <x v="160"/>
            <x v="161"/>
            <x v="162"/>
            <x v="163"/>
          </reference>
          <reference field="10" count="1" selected="0">
            <x v="154"/>
          </reference>
        </references>
      </pivotArea>
    </format>
    <format dxfId="2979">
      <pivotArea dataOnly="0" labelOnly="1" outline="0" fieldPosition="0">
        <references count="2">
          <reference field="2" count="2">
            <x v="486"/>
            <x v="564"/>
          </reference>
          <reference field="10" count="1" selected="0">
            <x v="155"/>
          </reference>
        </references>
      </pivotArea>
    </format>
    <format dxfId="2980">
      <pivotArea dataOnly="0" labelOnly="1" outline="0" fieldPosition="0">
        <references count="2">
          <reference field="2" count="1">
            <x v="295"/>
          </reference>
          <reference field="10" count="1" selected="0">
            <x v="158"/>
          </reference>
        </references>
      </pivotArea>
    </format>
    <format dxfId="2981">
      <pivotArea dataOnly="0" labelOnly="1" outline="0" fieldPosition="0">
        <references count="2">
          <reference field="2" count="4">
            <x v="62"/>
            <x v="102"/>
            <x v="418"/>
            <x v="607"/>
          </reference>
          <reference field="10" count="1" selected="0">
            <x v="159"/>
          </reference>
        </references>
      </pivotArea>
    </format>
    <format dxfId="2982">
      <pivotArea dataOnly="0" labelOnly="1" outline="0" fieldPosition="0">
        <references count="2">
          <reference field="2" count="1">
            <x v="99"/>
          </reference>
          <reference field="10" count="1" selected="0">
            <x v="162"/>
          </reference>
        </references>
      </pivotArea>
    </format>
    <format dxfId="2983">
      <pivotArea dataOnly="0" labelOnly="1" outline="0" fieldPosition="0">
        <references count="2">
          <reference field="2" count="1">
            <x v="568"/>
          </reference>
          <reference field="10" count="1" selected="0">
            <x v="163"/>
          </reference>
        </references>
      </pivotArea>
    </format>
    <format dxfId="2984">
      <pivotArea dataOnly="0" labelOnly="1" outline="0" fieldPosition="0">
        <references count="2">
          <reference field="2" count="1">
            <x v="569"/>
          </reference>
          <reference field="10" count="1" selected="0">
            <x v="164"/>
          </reference>
        </references>
      </pivotArea>
    </format>
    <format dxfId="2985">
      <pivotArea dataOnly="0" labelOnly="1" outline="0" fieldPosition="0">
        <references count="2">
          <reference field="2" count="1">
            <x v="218"/>
          </reference>
          <reference field="10" count="1" selected="0">
            <x v="165"/>
          </reference>
        </references>
      </pivotArea>
    </format>
    <format dxfId="2986">
      <pivotArea dataOnly="0" labelOnly="1" outline="0" fieldPosition="0">
        <references count="2">
          <reference field="2" count="2">
            <x v="338"/>
            <x v="339"/>
          </reference>
          <reference field="10" count="1" selected="0">
            <x v="167"/>
          </reference>
        </references>
      </pivotArea>
    </format>
    <format dxfId="2987">
      <pivotArea dataOnly="0" labelOnly="1" outline="0" fieldPosition="0">
        <references count="2">
          <reference field="2" count="1">
            <x v="49"/>
          </reference>
          <reference field="10" count="1" selected="0">
            <x v="169"/>
          </reference>
        </references>
      </pivotArea>
    </format>
    <format dxfId="2988">
      <pivotArea dataOnly="0" labelOnly="1" outline="0" fieldPosition="0">
        <references count="2">
          <reference field="2" count="2">
            <x v="398"/>
            <x v="654"/>
          </reference>
          <reference field="10" count="1" selected="0">
            <x v="171"/>
          </reference>
        </references>
      </pivotArea>
    </format>
    <format dxfId="2989">
      <pivotArea dataOnly="0" labelOnly="1" outline="0" fieldPosition="0">
        <references count="2">
          <reference field="2" count="3">
            <x v="531"/>
            <x v="532"/>
            <x v="533"/>
          </reference>
          <reference field="10" count="1" selected="0">
            <x v="173"/>
          </reference>
        </references>
      </pivotArea>
    </format>
    <format dxfId="2990">
      <pivotArea dataOnly="0" labelOnly="1" outline="0" fieldPosition="0">
        <references count="2">
          <reference field="2" count="1">
            <x v="26"/>
          </reference>
          <reference field="10" count="1" selected="0">
            <x v="175"/>
          </reference>
        </references>
      </pivotArea>
    </format>
    <format dxfId="2991">
      <pivotArea dataOnly="0" labelOnly="1" outline="0" fieldPosition="0">
        <references count="2">
          <reference field="2" count="3">
            <x v="93"/>
            <x v="94"/>
            <x v="95"/>
          </reference>
          <reference field="10" count="1" selected="0">
            <x v="176"/>
          </reference>
        </references>
      </pivotArea>
    </format>
    <format dxfId="2992">
      <pivotArea dataOnly="0" labelOnly="1" outline="0" fieldPosition="0">
        <references count="2">
          <reference field="2" count="2">
            <x v="225"/>
            <x v="443"/>
          </reference>
          <reference field="10" count="1" selected="0">
            <x v="177"/>
          </reference>
        </references>
      </pivotArea>
    </format>
    <format dxfId="2993">
      <pivotArea dataOnly="0" labelOnly="1" outline="0" fieldPosition="0">
        <references count="2">
          <reference field="2" count="1">
            <x v="386"/>
          </reference>
          <reference field="10" count="1" selected="0">
            <x v="180"/>
          </reference>
        </references>
      </pivotArea>
    </format>
    <format dxfId="2994">
      <pivotArea dataOnly="0" labelOnly="1" outline="0" fieldPosition="0">
        <references count="2">
          <reference field="2" count="1">
            <x v="517"/>
          </reference>
          <reference field="10" count="1" selected="0">
            <x v="181"/>
          </reference>
        </references>
      </pivotArea>
    </format>
    <format dxfId="2995">
      <pivotArea dataOnly="0" labelOnly="1" outline="0" fieldPosition="0">
        <references count="2">
          <reference field="2" count="1">
            <x v="513"/>
          </reference>
          <reference field="10" count="1" selected="0">
            <x v="183"/>
          </reference>
        </references>
      </pivotArea>
    </format>
    <format dxfId="2996">
      <pivotArea dataOnly="0" labelOnly="1" outline="0" fieldPosition="0">
        <references count="2">
          <reference field="2" count="6">
            <x v="289"/>
            <x v="290"/>
            <x v="521"/>
            <x v="522"/>
            <x v="523"/>
            <x v="530"/>
          </reference>
          <reference field="10" count="1" selected="0">
            <x v="184"/>
          </reference>
        </references>
      </pivotArea>
    </format>
    <format dxfId="2997">
      <pivotArea dataOnly="0" labelOnly="1" outline="0" fieldPosition="0">
        <references count="2">
          <reference field="2" count="2">
            <x v="291"/>
            <x v="520"/>
          </reference>
          <reference field="10" count="1" selected="0">
            <x v="185"/>
          </reference>
        </references>
      </pivotArea>
    </format>
    <format dxfId="2998">
      <pivotArea dataOnly="0" labelOnly="1" outline="0" fieldPosition="0">
        <references count="2">
          <reference field="2" count="1">
            <x v="87"/>
          </reference>
          <reference field="10" count="1" selected="0">
            <x v="186"/>
          </reference>
        </references>
      </pivotArea>
    </format>
    <format dxfId="2999">
      <pivotArea dataOnly="0" labelOnly="1" outline="0" fieldPosition="0">
        <references count="2">
          <reference field="2" count="1">
            <x v="197"/>
          </reference>
          <reference field="10" count="1" selected="0">
            <x v="188"/>
          </reference>
        </references>
      </pivotArea>
    </format>
    <format dxfId="3000">
      <pivotArea dataOnly="0" labelOnly="1" outline="0" fieldPosition="0">
        <references count="2">
          <reference field="2" count="1">
            <x v="204"/>
          </reference>
          <reference field="10" count="1" selected="0">
            <x v="189"/>
          </reference>
        </references>
      </pivotArea>
    </format>
    <format dxfId="3001">
      <pivotArea dataOnly="0" labelOnly="1" outline="0" fieldPosition="0">
        <references count="2">
          <reference field="2" count="3">
            <x v="4"/>
            <x v="111"/>
            <x v="512"/>
          </reference>
          <reference field="10" count="1" selected="0">
            <x v="190"/>
          </reference>
        </references>
      </pivotArea>
    </format>
    <format dxfId="3002">
      <pivotArea dataOnly="0" labelOnly="1" outline="0" fieldPosition="0">
        <references count="2">
          <reference field="2" count="2">
            <x v="287"/>
            <x v="592"/>
          </reference>
          <reference field="10" count="1" selected="0">
            <x v="191"/>
          </reference>
        </references>
      </pivotArea>
    </format>
    <format dxfId="3003">
      <pivotArea dataOnly="0" labelOnly="1" outline="0" fieldPosition="0">
        <references count="2">
          <reference field="2" count="2">
            <x v="29"/>
            <x v="519"/>
          </reference>
          <reference field="10" count="1" selected="0">
            <x v="192"/>
          </reference>
        </references>
      </pivotArea>
    </format>
    <format dxfId="3004">
      <pivotArea dataOnly="0" labelOnly="1" outline="0" fieldPosition="0">
        <references count="2">
          <reference field="2" count="1">
            <x v="656"/>
          </reference>
          <reference field="10" count="1" selected="0">
            <x v="194"/>
          </reference>
        </references>
      </pivotArea>
    </format>
    <format dxfId="3005">
      <pivotArea dataOnly="0" labelOnly="1" outline="0" fieldPosition="0">
        <references count="2">
          <reference field="2" count="1">
            <x v="557"/>
          </reference>
          <reference field="10" count="1" selected="0">
            <x v="195"/>
          </reference>
        </references>
      </pivotArea>
    </format>
    <format dxfId="3006">
      <pivotArea dataOnly="0" labelOnly="1" outline="0" fieldPosition="0">
        <references count="2">
          <reference field="2" count="2">
            <x v="257"/>
            <x v="264"/>
          </reference>
          <reference field="10" count="1" selected="0">
            <x v="196"/>
          </reference>
        </references>
      </pivotArea>
    </format>
    <format dxfId="3007">
      <pivotArea dataOnly="0" labelOnly="1" outline="0" fieldPosition="0">
        <references count="2">
          <reference field="2" count="1">
            <x v="500"/>
          </reference>
          <reference field="10" count="1" selected="0">
            <x v="197"/>
          </reference>
        </references>
      </pivotArea>
    </format>
    <format dxfId="3008">
      <pivotArea dataOnly="0" labelOnly="1" outline="0" fieldPosition="0">
        <references count="2">
          <reference field="2" count="1">
            <x v="316"/>
          </reference>
          <reference field="10" count="1" selected="0">
            <x v="199"/>
          </reference>
        </references>
      </pivotArea>
    </format>
    <format dxfId="3009">
      <pivotArea dataOnly="0" labelOnly="1" outline="0" fieldPosition="0">
        <references count="2">
          <reference field="2" count="1">
            <x v="306"/>
          </reference>
          <reference field="10" count="1" selected="0">
            <x v="200"/>
          </reference>
        </references>
      </pivotArea>
    </format>
    <format dxfId="3010">
      <pivotArea dataOnly="0" labelOnly="1" outline="0" fieldPosition="0">
        <references count="2">
          <reference field="2" count="1">
            <x v="164"/>
          </reference>
          <reference field="10" count="1" selected="0">
            <x v="202"/>
          </reference>
        </references>
      </pivotArea>
    </format>
    <format dxfId="3011">
      <pivotArea dataOnly="0" labelOnly="1" outline="0" fieldPosition="0">
        <references count="2">
          <reference field="2" count="1">
            <x v="468"/>
          </reference>
          <reference field="10" count="1" selected="0">
            <x v="204"/>
          </reference>
        </references>
      </pivotArea>
    </format>
    <format dxfId="3012">
      <pivotArea dataOnly="0" labelOnly="1" outline="0" fieldPosition="0">
        <references count="2">
          <reference field="2" count="1">
            <x v="601"/>
          </reference>
          <reference field="10" count="1" selected="0">
            <x v="206"/>
          </reference>
        </references>
      </pivotArea>
    </format>
    <format dxfId="3013">
      <pivotArea dataOnly="0" labelOnly="1" outline="0" fieldPosition="0">
        <references count="2">
          <reference field="2" count="1">
            <x v="611"/>
          </reference>
          <reference field="10" count="1" selected="0">
            <x v="207"/>
          </reference>
        </references>
      </pivotArea>
    </format>
    <format dxfId="3014">
      <pivotArea dataOnly="0" labelOnly="1" outline="0" fieldPosition="0">
        <references count="2">
          <reference field="2" count="1">
            <x v="55"/>
          </reference>
          <reference field="10" count="1" selected="0">
            <x v="208"/>
          </reference>
        </references>
      </pivotArea>
    </format>
    <format dxfId="3015">
      <pivotArea dataOnly="0" labelOnly="1" outline="0" fieldPosition="0">
        <references count="2">
          <reference field="2" count="3">
            <x v="454"/>
            <x v="549"/>
            <x v="645"/>
          </reference>
          <reference field="10" count="1" selected="0">
            <x v="211"/>
          </reference>
        </references>
      </pivotArea>
    </format>
    <format dxfId="3016">
      <pivotArea dataOnly="0" labelOnly="1" outline="0" fieldPosition="0">
        <references count="2">
          <reference field="2" count="4">
            <x v="317"/>
            <x v="318"/>
            <x v="319"/>
            <x v="320"/>
          </reference>
          <reference field="10" count="1" selected="0">
            <x v="213"/>
          </reference>
        </references>
      </pivotArea>
    </format>
    <format dxfId="3017">
      <pivotArea dataOnly="0" labelOnly="1" outline="0" fieldPosition="0">
        <references count="2">
          <reference field="2" count="1">
            <x v="16"/>
          </reference>
          <reference field="10" count="1" selected="0">
            <x v="214"/>
          </reference>
        </references>
      </pivotArea>
    </format>
    <format dxfId="3018">
      <pivotArea dataOnly="0" labelOnly="1" outline="0" fieldPosition="0">
        <references count="2">
          <reference field="2" count="1">
            <x v="665"/>
          </reference>
          <reference field="10" count="1" selected="0">
            <x v="215"/>
          </reference>
        </references>
      </pivotArea>
    </format>
    <format dxfId="3019">
      <pivotArea dataOnly="0" labelOnly="1" outline="0" fieldPosition="0">
        <references count="2">
          <reference field="2" count="1">
            <x v="68"/>
          </reference>
          <reference field="10" count="1" selected="0">
            <x v="216"/>
          </reference>
        </references>
      </pivotArea>
    </format>
    <format dxfId="3020">
      <pivotArea dataOnly="0" labelOnly="1" outline="0" fieldPosition="0">
        <references count="2">
          <reference field="2" count="2">
            <x v="350"/>
            <x v="427"/>
          </reference>
          <reference field="10" count="1" selected="0">
            <x v="217"/>
          </reference>
        </references>
      </pivotArea>
    </format>
    <format dxfId="3021">
      <pivotArea dataOnly="0" labelOnly="1" outline="0" fieldPosition="0">
        <references count="2">
          <reference field="2" count="4">
            <x v="186"/>
            <x v="187"/>
            <x v="353"/>
            <x v="525"/>
          </reference>
          <reference field="10" count="1" selected="0">
            <x v="219"/>
          </reference>
        </references>
      </pivotArea>
    </format>
    <format dxfId="3022">
      <pivotArea dataOnly="0" labelOnly="1" outline="0" fieldPosition="0">
        <references count="2">
          <reference field="2" count="1">
            <x v="86"/>
          </reference>
          <reference field="10" count="1" selected="0">
            <x v="220"/>
          </reference>
        </references>
      </pivotArea>
    </format>
    <format dxfId="3023">
      <pivotArea dataOnly="0" labelOnly="1" outline="0" fieldPosition="0">
        <references count="2">
          <reference field="2" count="1">
            <x v="286"/>
          </reference>
          <reference field="10" count="1" selected="0">
            <x v="221"/>
          </reference>
        </references>
      </pivotArea>
    </format>
    <format dxfId="3024">
      <pivotArea dataOnly="0" labelOnly="1" outline="0" fieldPosition="0">
        <references count="2">
          <reference field="2" count="1">
            <x v="538"/>
          </reference>
          <reference field="10" count="1" selected="0">
            <x v="222"/>
          </reference>
        </references>
      </pivotArea>
    </format>
    <format dxfId="3025">
      <pivotArea dataOnly="0" labelOnly="1" outline="0" fieldPosition="0">
        <references count="2">
          <reference field="2" count="2">
            <x v="648"/>
            <x v="649"/>
          </reference>
          <reference field="10" count="1" selected="0">
            <x v="225"/>
          </reference>
        </references>
      </pivotArea>
    </format>
    <format dxfId="3026">
      <pivotArea dataOnly="0" labelOnly="1" outline="0" fieldPosition="0">
        <references count="2">
          <reference field="2" count="2">
            <x v="89"/>
            <x v="101"/>
          </reference>
          <reference field="10" count="1" selected="0">
            <x v="226"/>
          </reference>
        </references>
      </pivotArea>
    </format>
    <format dxfId="3027">
      <pivotArea dataOnly="0" labelOnly="1" outline="0" fieldPosition="0">
        <references count="2">
          <reference field="2" count="1">
            <x v="423"/>
          </reference>
          <reference field="10" count="1" selected="0">
            <x v="227"/>
          </reference>
        </references>
      </pivotArea>
    </format>
    <format dxfId="3028">
      <pivotArea dataOnly="0" labelOnly="1" outline="0" fieldPosition="0">
        <references count="2">
          <reference field="2" count="1">
            <x v="45"/>
          </reference>
          <reference field="10" count="1" selected="0">
            <x v="228"/>
          </reference>
        </references>
      </pivotArea>
    </format>
    <format dxfId="3029">
      <pivotArea dataOnly="0" labelOnly="1" outline="0" fieldPosition="0">
        <references count="2">
          <reference field="2" count="1">
            <x v="189"/>
          </reference>
          <reference field="10" count="1" selected="0">
            <x v="230"/>
          </reference>
        </references>
      </pivotArea>
    </format>
    <format dxfId="3030">
      <pivotArea dataOnly="0" labelOnly="1" outline="0" fieldPosition="0">
        <references count="2">
          <reference field="2" count="1">
            <x v="551"/>
          </reference>
          <reference field="10" count="1" selected="0">
            <x v="232"/>
          </reference>
        </references>
      </pivotArea>
    </format>
    <format dxfId="3031">
      <pivotArea dataOnly="0" labelOnly="1" outline="0" fieldPosition="0">
        <references count="2">
          <reference field="2" count="2">
            <x v="184"/>
            <x v="236"/>
          </reference>
          <reference field="10" count="1" selected="0">
            <x v="235"/>
          </reference>
        </references>
      </pivotArea>
    </format>
    <format dxfId="3032">
      <pivotArea dataOnly="0" labelOnly="1" outline="0" fieldPosition="0">
        <references count="2">
          <reference field="2" count="1">
            <x v="424"/>
          </reference>
          <reference field="10" count="1" selected="0">
            <x v="236"/>
          </reference>
        </references>
      </pivotArea>
    </format>
    <format dxfId="3033">
      <pivotArea dataOnly="0" labelOnly="1" outline="0" fieldPosition="0">
        <references count="2">
          <reference field="2" count="1">
            <x v="179"/>
          </reference>
          <reference field="10" count="1" selected="0">
            <x v="237"/>
          </reference>
        </references>
      </pivotArea>
    </format>
    <format dxfId="3034">
      <pivotArea dataOnly="0" labelOnly="1" outline="0" fieldPosition="0">
        <references count="2">
          <reference field="2" count="1">
            <x v="356"/>
          </reference>
          <reference field="10" count="1" selected="0">
            <x v="238"/>
          </reference>
        </references>
      </pivotArea>
    </format>
    <format dxfId="3035">
      <pivotArea dataOnly="0" labelOnly="1" outline="0" fieldPosition="0">
        <references count="2">
          <reference field="2" count="1">
            <x v="435"/>
          </reference>
          <reference field="10" count="1" selected="0">
            <x v="239"/>
          </reference>
        </references>
      </pivotArea>
    </format>
    <format dxfId="3036">
      <pivotArea dataOnly="0" labelOnly="1" outline="0" fieldPosition="0">
        <references count="2">
          <reference field="2" count="1">
            <x v="271"/>
          </reference>
          <reference field="10" count="1" selected="0">
            <x v="242"/>
          </reference>
        </references>
      </pivotArea>
    </format>
    <format dxfId="3037">
      <pivotArea dataOnly="0" labelOnly="1" outline="0" fieldPosition="0">
        <references count="2">
          <reference field="2" count="2">
            <x v="253"/>
            <x v="554"/>
          </reference>
          <reference field="10" count="1" selected="0">
            <x v="243"/>
          </reference>
        </references>
      </pivotArea>
    </format>
    <format dxfId="3038">
      <pivotArea dataOnly="0" labelOnly="1" outline="0" fieldPosition="0">
        <references count="2">
          <reference field="2" count="2">
            <x v="335"/>
            <x v="498"/>
          </reference>
          <reference field="10" count="1" selected="0">
            <x v="244"/>
          </reference>
        </references>
      </pivotArea>
    </format>
    <format dxfId="3039">
      <pivotArea dataOnly="0" labelOnly="1" outline="0" fieldPosition="0">
        <references count="2">
          <reference field="2" count="1">
            <x v="206"/>
          </reference>
          <reference field="10" count="1" selected="0">
            <x v="245"/>
          </reference>
        </references>
      </pivotArea>
    </format>
    <format dxfId="3040">
      <pivotArea dataOnly="0" labelOnly="1" outline="0" fieldPosition="0">
        <references count="2">
          <reference field="2" count="1">
            <x v="571"/>
          </reference>
          <reference field="10" count="1" selected="0">
            <x v="246"/>
          </reference>
        </references>
      </pivotArea>
    </format>
    <format dxfId="3041">
      <pivotArea dataOnly="0" labelOnly="1" outline="0" fieldPosition="0">
        <references count="2">
          <reference field="2" count="1">
            <x v="660"/>
          </reference>
          <reference field="10" count="1" selected="0">
            <x v="248"/>
          </reference>
        </references>
      </pivotArea>
    </format>
    <format dxfId="3042">
      <pivotArea dataOnly="0" labelOnly="1" outline="0" fieldPosition="0">
        <references count="2">
          <reference field="2" count="1">
            <x v="36"/>
          </reference>
          <reference field="10" count="1" selected="0">
            <x v="249"/>
          </reference>
        </references>
      </pivotArea>
    </format>
    <format dxfId="3043">
      <pivotArea dataOnly="0" labelOnly="1" outline="0" fieldPosition="0">
        <references count="2">
          <reference field="2" count="1">
            <x v="43"/>
          </reference>
          <reference field="10" count="1" selected="0">
            <x v="250"/>
          </reference>
        </references>
      </pivotArea>
    </format>
    <format dxfId="3044">
      <pivotArea dataOnly="0" labelOnly="1" outline="0" fieldPosition="0">
        <references count="2">
          <reference field="2" count="1">
            <x v="461"/>
          </reference>
          <reference field="10" count="1" selected="0">
            <x v="251"/>
          </reference>
        </references>
      </pivotArea>
    </format>
    <format dxfId="3045">
      <pivotArea dataOnly="0" labelOnly="1" outline="0" fieldPosition="0">
        <references count="2">
          <reference field="2" count="1">
            <x v="460"/>
          </reference>
          <reference field="10" count="1" selected="0">
            <x v="252"/>
          </reference>
        </references>
      </pivotArea>
    </format>
    <format dxfId="3046">
      <pivotArea dataOnly="0" labelOnly="1" outline="0" fieldPosition="0">
        <references count="2">
          <reference field="2" count="3">
            <x v="121"/>
            <x v="122"/>
            <x v="128"/>
          </reference>
          <reference field="10" count="1" selected="0">
            <x v="253"/>
          </reference>
        </references>
      </pivotArea>
    </format>
    <format dxfId="3047">
      <pivotArea dataOnly="0" labelOnly="1" outline="0" fieldPosition="0">
        <references count="2">
          <reference field="2" count="1">
            <x v="267"/>
          </reference>
          <reference field="10" count="1" selected="0">
            <x v="256"/>
          </reference>
        </references>
      </pivotArea>
    </format>
    <format dxfId="3048">
      <pivotArea dataOnly="0" labelOnly="1" outline="0" fieldPosition="0">
        <references count="2">
          <reference field="2" count="5">
            <x v="273"/>
            <x v="274"/>
            <x v="275"/>
            <x v="276"/>
            <x v="419"/>
          </reference>
          <reference field="10" count="1" selected="0">
            <x v="257"/>
          </reference>
        </references>
      </pivotArea>
    </format>
    <format dxfId="3049">
      <pivotArea dataOnly="0" labelOnly="1" outline="0" fieldPosition="0">
        <references count="2">
          <reference field="2" count="1">
            <x v="150"/>
          </reference>
          <reference field="10" count="1" selected="0">
            <x v="258"/>
          </reference>
        </references>
      </pivotArea>
    </format>
    <format dxfId="3050">
      <pivotArea dataOnly="0" labelOnly="1" outline="0" fieldPosition="0">
        <references count="2">
          <reference field="2" count="1">
            <x v="370"/>
          </reference>
          <reference field="10" count="1" selected="0">
            <x v="259"/>
          </reference>
        </references>
      </pivotArea>
    </format>
    <format dxfId="3051">
      <pivotArea dataOnly="0" labelOnly="1" outline="0" fieldPosition="0">
        <references count="2">
          <reference field="2" count="1">
            <x v="363"/>
          </reference>
          <reference field="10" count="1" selected="0">
            <x v="261"/>
          </reference>
        </references>
      </pivotArea>
    </format>
    <format dxfId="3052">
      <pivotArea dataOnly="0" labelOnly="1" outline="0" fieldPosition="0">
        <references count="2">
          <reference field="2" count="2">
            <x v="33"/>
            <x v="123"/>
          </reference>
          <reference field="10" count="1" selected="0">
            <x v="262"/>
          </reference>
        </references>
      </pivotArea>
    </format>
    <format dxfId="3053">
      <pivotArea dataOnly="0" labelOnly="1" outline="0" fieldPosition="0">
        <references count="2">
          <reference field="2" count="3">
            <x v="10"/>
            <x v="11"/>
            <x v="238"/>
          </reference>
          <reference field="10" count="1" selected="0">
            <x v="265"/>
          </reference>
        </references>
      </pivotArea>
    </format>
    <format dxfId="3054">
      <pivotArea dataOnly="0" labelOnly="1" outline="0" fieldPosition="0">
        <references count="2">
          <reference field="2" count="1">
            <x v="100"/>
          </reference>
          <reference field="10" count="1" selected="0">
            <x v="266"/>
          </reference>
        </references>
      </pivotArea>
    </format>
    <format dxfId="3055">
      <pivotArea dataOnly="0" labelOnly="1" outline="0" fieldPosition="0">
        <references count="2">
          <reference field="2" count="3">
            <x v="181"/>
            <x v="182"/>
            <x v="183"/>
          </reference>
          <reference field="10" count="1" selected="0">
            <x v="268"/>
          </reference>
        </references>
      </pivotArea>
    </format>
    <format dxfId="3056">
      <pivotArea dataOnly="0" labelOnly="1" outline="0" fieldPosition="0">
        <references count="2">
          <reference field="2" count="1">
            <x v="420"/>
          </reference>
          <reference field="10" count="1" selected="0">
            <x v="269"/>
          </reference>
        </references>
      </pivotArea>
    </format>
    <format dxfId="3057">
      <pivotArea dataOnly="0" labelOnly="1" outline="0" fieldPosition="0">
        <references count="2">
          <reference field="2" count="1">
            <x v="414"/>
          </reference>
          <reference field="10" count="1" selected="0">
            <x v="270"/>
          </reference>
        </references>
      </pivotArea>
    </format>
    <format dxfId="3058">
      <pivotArea dataOnly="0" labelOnly="1" outline="0" fieldPosition="0">
        <references count="2">
          <reference field="2" count="2">
            <x v="572"/>
            <x v="573"/>
          </reference>
          <reference field="10" count="1" selected="0">
            <x v="271"/>
          </reference>
        </references>
      </pivotArea>
    </format>
    <format dxfId="3059">
      <pivotArea dataOnly="0" labelOnly="1" outline="0" fieldPosition="0">
        <references count="2">
          <reference field="2" count="2">
            <x v="490"/>
            <x v="627"/>
          </reference>
          <reference field="10" count="1" selected="0">
            <x v="272"/>
          </reference>
        </references>
      </pivotArea>
    </format>
    <format dxfId="3060">
      <pivotArea dataOnly="0" labelOnly="1" outline="0" fieldPosition="0">
        <references count="2">
          <reference field="2" count="3">
            <x v="321"/>
            <x v="613"/>
            <x v="616"/>
          </reference>
          <reference field="10" count="1" selected="0">
            <x v="273"/>
          </reference>
        </references>
      </pivotArea>
    </format>
    <format dxfId="3061">
      <pivotArea dataOnly="0" labelOnly="1" outline="0" fieldPosition="0">
        <references count="2">
          <reference field="2" count="1">
            <x v="615"/>
          </reference>
          <reference field="10" count="1" selected="0">
            <x v="274"/>
          </reference>
        </references>
      </pivotArea>
    </format>
    <format dxfId="3062">
      <pivotArea dataOnly="0" labelOnly="1" outline="0" fieldPosition="0">
        <references count="2">
          <reference field="2" count="1">
            <x v="609"/>
          </reference>
          <reference field="10" count="1" selected="0">
            <x v="275"/>
          </reference>
        </references>
      </pivotArea>
    </format>
    <format dxfId="3063">
      <pivotArea dataOnly="0" labelOnly="1" outline="0" fieldPosition="0">
        <references count="2">
          <reference field="2" count="1">
            <x v="524"/>
          </reference>
          <reference field="10" count="1" selected="0">
            <x v="276"/>
          </reference>
        </references>
      </pivotArea>
    </format>
    <format dxfId="3064">
      <pivotArea dataOnly="0" labelOnly="1" outline="0" fieldPosition="0">
        <references count="2">
          <reference field="2" count="3">
            <x v="125"/>
            <x v="126"/>
            <x v="127"/>
          </reference>
          <reference field="10" count="1" selected="0">
            <x v="277"/>
          </reference>
        </references>
      </pivotArea>
    </format>
    <format dxfId="3065">
      <pivotArea dataOnly="0" labelOnly="1" outline="0" fieldPosition="0">
        <references count="2">
          <reference field="2" count="2">
            <x v="259"/>
            <x v="260"/>
          </reference>
          <reference field="10" count="1" selected="0">
            <x v="278"/>
          </reference>
        </references>
      </pivotArea>
    </format>
    <format dxfId="3066">
      <pivotArea dataOnly="0" labelOnly="1" outline="0" fieldPosition="0">
        <references count="2">
          <reference field="2" count="2">
            <x v="5"/>
            <x v="195"/>
          </reference>
          <reference field="10" count="1" selected="0">
            <x v="279"/>
          </reference>
        </references>
      </pivotArea>
    </format>
    <format dxfId="3067">
      <pivotArea dataOnly="0" labelOnly="1" outline="0" fieldPosition="0">
        <references count="2">
          <reference field="2" count="2">
            <x v="151"/>
            <x v="152"/>
          </reference>
          <reference field="10" count="1" selected="0">
            <x v="280"/>
          </reference>
        </references>
      </pivotArea>
    </format>
    <format dxfId="3068">
      <pivotArea dataOnly="0" labelOnly="1" outline="0" fieldPosition="0">
        <references count="2">
          <reference field="2" count="1">
            <x v="470"/>
          </reference>
          <reference field="10" count="1" selected="0">
            <x v="281"/>
          </reference>
        </references>
      </pivotArea>
    </format>
    <format dxfId="3069">
      <pivotArea dataOnly="0" labelOnly="1" outline="0" fieldPosition="0">
        <references count="2">
          <reference field="2" count="1">
            <x v="590"/>
          </reference>
          <reference field="10" count="1" selected="0">
            <x v="282"/>
          </reference>
        </references>
      </pivotArea>
    </format>
    <format dxfId="3070">
      <pivotArea dataOnly="0" labelOnly="1" outline="0" fieldPosition="0">
        <references count="2">
          <reference field="2" count="1">
            <x v="63"/>
          </reference>
          <reference field="10" count="1" selected="0">
            <x v="283"/>
          </reference>
        </references>
      </pivotArea>
    </format>
    <format dxfId="3071">
      <pivotArea dataOnly="0" labelOnly="1" outline="0" fieldPosition="0">
        <references count="2">
          <reference field="2" count="1">
            <x v="402"/>
          </reference>
          <reference field="10" count="1" selected="0">
            <x v="284"/>
          </reference>
        </references>
      </pivotArea>
    </format>
    <format dxfId="3072">
      <pivotArea dataOnly="0" labelOnly="1" outline="0" fieldPosition="0">
        <references count="2">
          <reference field="2" count="1">
            <x v="119"/>
          </reference>
          <reference field="10" count="1" selected="0">
            <x v="287"/>
          </reference>
        </references>
      </pivotArea>
    </format>
    <format dxfId="3073">
      <pivotArea dataOnly="0" labelOnly="1" outline="0" fieldPosition="0">
        <references count="2">
          <reference field="2" count="1">
            <x v="56"/>
          </reference>
          <reference field="10" count="1" selected="0">
            <x v="289"/>
          </reference>
        </references>
      </pivotArea>
    </format>
    <format dxfId="3074">
      <pivotArea dataOnly="0" labelOnly="1" outline="0" fieldPosition="0">
        <references count="2">
          <reference field="2" count="1">
            <x v="209"/>
          </reference>
          <reference field="10" count="1" selected="0">
            <x v="290"/>
          </reference>
        </references>
      </pivotArea>
    </format>
    <format dxfId="3075">
      <pivotArea dataOnly="0" labelOnly="1" outline="0" fieldPosition="0">
        <references count="2">
          <reference field="2" count="1">
            <x v="194"/>
          </reference>
          <reference field="10" count="1" selected="0">
            <x v="291"/>
          </reference>
        </references>
      </pivotArea>
    </format>
    <format dxfId="3076">
      <pivotArea dataOnly="0" labelOnly="1" outline="0" fieldPosition="0">
        <references count="2">
          <reference field="2" count="1">
            <x v="610"/>
          </reference>
          <reference field="10" count="1" selected="0">
            <x v="292"/>
          </reference>
        </references>
      </pivotArea>
    </format>
    <format dxfId="3077">
      <pivotArea dataOnly="0" labelOnly="1" outline="0" fieldPosition="0">
        <references count="2">
          <reference field="2" count="1">
            <x v="603"/>
          </reference>
          <reference field="10" count="1" selected="0">
            <x v="293"/>
          </reference>
        </references>
      </pivotArea>
    </format>
    <format dxfId="3078">
      <pivotArea dataOnly="0" labelOnly="1" outline="0" fieldPosition="0">
        <references count="2">
          <reference field="2" count="3">
            <x v="202"/>
            <x v="203"/>
            <x v="497"/>
          </reference>
          <reference field="10" count="1" selected="0">
            <x v="294"/>
          </reference>
        </references>
      </pivotArea>
    </format>
    <format dxfId="3079">
      <pivotArea dataOnly="0" labelOnly="1" outline="0" fieldPosition="0">
        <references count="2">
          <reference field="2" count="1">
            <x v="390"/>
          </reference>
          <reference field="10" count="1" selected="0">
            <x v="295"/>
          </reference>
        </references>
      </pivotArea>
    </format>
    <format dxfId="3080">
      <pivotArea dataOnly="0" labelOnly="1" outline="0" fieldPosition="0">
        <references count="2">
          <reference field="2" count="1">
            <x v="646"/>
          </reference>
          <reference field="10" count="1" selected="0">
            <x v="296"/>
          </reference>
        </references>
      </pivotArea>
    </format>
    <format dxfId="3081">
      <pivotArea dataOnly="0" labelOnly="1" outline="0" fieldPosition="0">
        <references count="2">
          <reference field="2" count="1">
            <x v="261"/>
          </reference>
          <reference field="10" count="1" selected="0">
            <x v="297"/>
          </reference>
        </references>
      </pivotArea>
    </format>
    <format dxfId="3082">
      <pivotArea dataOnly="0" labelOnly="1" outline="0" fieldPosition="0">
        <references count="2">
          <reference field="2" count="6">
            <x v="110"/>
            <x v="201"/>
            <x v="362"/>
            <x v="495"/>
            <x v="496"/>
            <x v="657"/>
          </reference>
          <reference field="10" count="1" selected="0">
            <x v="298"/>
          </reference>
        </references>
      </pivotArea>
    </format>
    <format dxfId="3083">
      <pivotArea dataOnly="0" labelOnly="1" outline="0" fieldPosition="0">
        <references count="2">
          <reference field="2" count="1">
            <x v="638"/>
          </reference>
          <reference field="10" count="1" selected="0">
            <x v="299"/>
          </reference>
        </references>
      </pivotArea>
    </format>
    <format dxfId="3084">
      <pivotArea dataOnly="0" labelOnly="1" outline="0" fieldPosition="0">
        <references count="2">
          <reference field="2" count="2">
            <x v="212"/>
            <x v="213"/>
          </reference>
          <reference field="10" count="1" selected="0">
            <x v="300"/>
          </reference>
        </references>
      </pivotArea>
    </format>
    <format dxfId="3085">
      <pivotArea dataOnly="0" labelOnly="1" outline="0" fieldPosition="0">
        <references count="2">
          <reference field="2" count="1">
            <x v="644"/>
          </reference>
          <reference field="10" count="1" selected="0">
            <x v="301"/>
          </reference>
        </references>
      </pivotArea>
    </format>
    <format dxfId="3086">
      <pivotArea dataOnly="0" labelOnly="1" outline="0" fieldPosition="0">
        <references count="2">
          <reference field="2" count="1">
            <x v="109"/>
          </reference>
          <reference field="10" count="1" selected="0">
            <x v="303"/>
          </reference>
        </references>
      </pivotArea>
    </format>
    <format dxfId="3087">
      <pivotArea dataOnly="0" labelOnly="1" outline="0" fieldPosition="0">
        <references count="2">
          <reference field="2" count="2">
            <x v="342"/>
            <x v="553"/>
          </reference>
          <reference field="10" count="1" selected="0">
            <x v="304"/>
          </reference>
        </references>
      </pivotArea>
    </format>
    <format dxfId="3088">
      <pivotArea dataOnly="0" labelOnly="1" outline="0" fieldPosition="0">
        <references count="2">
          <reference field="2" count="2">
            <x v="619"/>
            <x v="620"/>
          </reference>
          <reference field="10" count="1" selected="0">
            <x v="305"/>
          </reference>
        </references>
      </pivotArea>
    </format>
    <format dxfId="3089">
      <pivotArea dataOnly="0" labelOnly="1" outline="0" fieldPosition="0">
        <references count="2">
          <reference field="2" count="1">
            <x v="445"/>
          </reference>
          <reference field="10" count="1" selected="0">
            <x v="306"/>
          </reference>
        </references>
      </pivotArea>
    </format>
    <format dxfId="3090">
      <pivotArea dataOnly="0" labelOnly="1" outline="0" fieldPosition="0">
        <references count="2">
          <reference field="2" count="1">
            <x v="282"/>
          </reference>
          <reference field="10" count="1" selected="0">
            <x v="307"/>
          </reference>
        </references>
      </pivotArea>
    </format>
    <format dxfId="3091">
      <pivotArea dataOnly="0" labelOnly="1" outline="0" fieldPosition="0">
        <references count="2">
          <reference field="2" count="6">
            <x v="97"/>
            <x v="115"/>
            <x v="116"/>
            <x v="440"/>
            <x v="480"/>
            <x v="668"/>
          </reference>
          <reference field="10" count="1" selected="0">
            <x v="309"/>
          </reference>
        </references>
      </pivotArea>
    </format>
    <format dxfId="3092">
      <pivotArea dataOnly="0" labelOnly="1" outline="0" fieldPosition="0">
        <references count="2">
          <reference field="2" count="3">
            <x v="118"/>
            <x v="369"/>
            <x v="372"/>
          </reference>
          <reference field="10" count="1" selected="0">
            <x v="311"/>
          </reference>
        </references>
      </pivotArea>
    </format>
    <format dxfId="3093">
      <pivotArea dataOnly="0" labelOnly="1" outline="0" fieldPosition="0">
        <references count="2">
          <reference field="2" count="1">
            <x v="278"/>
          </reference>
          <reference field="10" count="1" selected="0">
            <x v="314"/>
          </reference>
        </references>
      </pivotArea>
    </format>
    <format dxfId="3094">
      <pivotArea dataOnly="0" labelOnly="1" outline="0" fieldPosition="0">
        <references count="2">
          <reference field="2" count="1">
            <x v="268"/>
          </reference>
          <reference field="10" count="1" selected="0">
            <x v="315"/>
          </reference>
        </references>
      </pivotArea>
    </format>
    <format dxfId="3095">
      <pivotArea dataOnly="0" labelOnly="1" outline="0" fieldPosition="0">
        <references count="2">
          <reference field="2" count="1">
            <x v="92"/>
          </reference>
          <reference field="10" count="1" selected="0">
            <x v="317"/>
          </reference>
        </references>
      </pivotArea>
    </format>
    <format dxfId="3096">
      <pivotArea dataOnly="0" labelOnly="1" outline="0" fieldPosition="0">
        <references count="2">
          <reference field="2" count="1">
            <x v="61"/>
          </reference>
          <reference field="10" count="1" selected="0">
            <x v="318"/>
          </reference>
        </references>
      </pivotArea>
    </format>
    <format dxfId="3097">
      <pivotArea dataOnly="0" labelOnly="1" outline="0" fieldPosition="0">
        <references count="2">
          <reference field="2" count="1">
            <x v="21"/>
          </reference>
          <reference field="10" count="1" selected="0">
            <x v="319"/>
          </reference>
        </references>
      </pivotArea>
    </format>
    <format dxfId="3098">
      <pivotArea dataOnly="0" labelOnly="1" outline="0" fieldPosition="0">
        <references count="2">
          <reference field="2" count="1">
            <x v="630"/>
          </reference>
          <reference field="10" count="1" selected="0">
            <x v="320"/>
          </reference>
        </references>
      </pivotArea>
    </format>
    <format dxfId="3099">
      <pivotArea dataOnly="0" labelOnly="1" outline="0" fieldPosition="0">
        <references count="2">
          <reference field="2" count="2">
            <x v="232"/>
            <x v="244"/>
          </reference>
          <reference field="10" count="1" selected="0">
            <x v="321"/>
          </reference>
        </references>
      </pivotArea>
    </format>
    <format dxfId="3100">
      <pivotArea dataOnly="0" labelOnly="1" outline="0" fieldPosition="0">
        <references count="2">
          <reference field="2" count="1">
            <x v="412"/>
          </reference>
          <reference field="10" count="1" selected="0">
            <x v="322"/>
          </reference>
        </references>
      </pivotArea>
    </format>
    <format dxfId="3101">
      <pivotArea dataOnly="0" labelOnly="1" outline="0" fieldPosition="0">
        <references count="2">
          <reference field="2" count="3">
            <x v="347"/>
            <x v="430"/>
            <x v="431"/>
          </reference>
          <reference field="10" count="1" selected="0">
            <x v="325"/>
          </reference>
        </references>
      </pivotArea>
    </format>
    <format dxfId="3102">
      <pivotArea dataOnly="0" labelOnly="1" outline="0" fieldPosition="0">
        <references count="2">
          <reference field="2" count="1">
            <x v="340"/>
          </reference>
          <reference field="10" count="1" selected="0">
            <x v="326"/>
          </reference>
        </references>
      </pivotArea>
    </format>
    <format dxfId="3103">
      <pivotArea dataOnly="0" labelOnly="1" outline="0" fieldPosition="0">
        <references count="2">
          <reference field="2" count="1">
            <x v="227"/>
          </reference>
          <reference field="10" count="1" selected="0">
            <x v="327"/>
          </reference>
        </references>
      </pivotArea>
    </format>
    <format dxfId="3104">
      <pivotArea dataOnly="0" labelOnly="1" outline="0" fieldPosition="0">
        <references count="2">
          <reference field="2" count="1">
            <x v="81"/>
          </reference>
          <reference field="10" count="1" selected="0">
            <x v="328"/>
          </reference>
        </references>
      </pivotArea>
    </format>
    <format dxfId="3105">
      <pivotArea dataOnly="0" labelOnly="1" outline="0" fieldPosition="0">
        <references count="2">
          <reference field="2" count="1">
            <x v="22"/>
          </reference>
          <reference field="10" count="1" selected="0">
            <x v="329"/>
          </reference>
        </references>
      </pivotArea>
    </format>
    <format dxfId="3106">
      <pivotArea dataOnly="0" labelOnly="1" outline="0" fieldPosition="0">
        <references count="2">
          <reference field="2" count="1">
            <x v="552"/>
          </reference>
          <reference field="10" count="1" selected="0">
            <x v="330"/>
          </reference>
        </references>
      </pivotArea>
    </format>
    <format dxfId="3107">
      <pivotArea dataOnly="0" labelOnly="1" outline="0" fieldPosition="0">
        <references count="2">
          <reference field="2" count="1">
            <x v="433"/>
          </reference>
          <reference field="10" count="1" selected="0">
            <x v="331"/>
          </reference>
        </references>
      </pivotArea>
    </format>
    <format dxfId="3108">
      <pivotArea dataOnly="0" labelOnly="1" outline="0" fieldPosition="0">
        <references count="2">
          <reference field="2" count="2">
            <x v="284"/>
            <x v="336"/>
          </reference>
          <reference field="10" count="1" selected="0">
            <x v="332"/>
          </reference>
        </references>
      </pivotArea>
    </format>
    <format dxfId="3109">
      <pivotArea dataOnly="0" labelOnly="1" outline="0" fieldPosition="0">
        <references count="2">
          <reference field="2" count="2">
            <x v="214"/>
            <x v="432"/>
          </reference>
          <reference field="10" count="1" selected="0">
            <x v="333"/>
          </reference>
        </references>
      </pivotArea>
    </format>
    <format dxfId="3110">
      <pivotArea dataOnly="0" labelOnly="1" outline="0" fieldPosition="0">
        <references count="2">
          <reference field="2" count="2">
            <x v="79"/>
            <x v="80"/>
          </reference>
          <reference field="10" count="1" selected="0">
            <x v="334"/>
          </reference>
        </references>
      </pivotArea>
    </format>
    <format dxfId="3111">
      <pivotArea dataOnly="0" labelOnly="1" outline="0" fieldPosition="0">
        <references count="2">
          <reference field="2" count="1">
            <x v="600"/>
          </reference>
          <reference field="10" count="1" selected="0">
            <x v="335"/>
          </reference>
        </references>
      </pivotArea>
    </format>
    <format dxfId="3112">
      <pivotArea dataOnly="0" labelOnly="1" outline="0" fieldPosition="0">
        <references count="2">
          <reference field="2" count="3">
            <x v="237"/>
            <x v="467"/>
            <x v="606"/>
          </reference>
          <reference field="10" count="1" selected="0">
            <x v="337"/>
          </reference>
        </references>
      </pivotArea>
    </format>
    <format dxfId="3113">
      <pivotArea dataOnly="0" labelOnly="1" outline="0" fieldPosition="0">
        <references count="2">
          <reference field="2" count="1">
            <x v="249"/>
          </reference>
          <reference field="10" count="1" selected="0">
            <x v="340"/>
          </reference>
        </references>
      </pivotArea>
    </format>
    <format dxfId="3114">
      <pivotArea dataOnly="0" labelOnly="1" outline="0" fieldPosition="0">
        <references count="2">
          <reference field="2" count="1">
            <x v="247"/>
          </reference>
          <reference field="10" count="1" selected="0">
            <x v="342"/>
          </reference>
        </references>
      </pivotArea>
    </format>
    <format dxfId="3115">
      <pivotArea dataOnly="0" labelOnly="1" outline="0" fieldPosition="0">
        <references count="2">
          <reference field="2" count="1">
            <x v="329"/>
          </reference>
          <reference field="10" count="1" selected="0">
            <x v="343"/>
          </reference>
        </references>
      </pivotArea>
    </format>
    <format dxfId="3116">
      <pivotArea dataOnly="0" labelOnly="1" outline="0" fieldPosition="0">
        <references count="2">
          <reference field="2" count="1">
            <x v="193"/>
          </reference>
          <reference field="10" count="1" selected="0">
            <x v="344"/>
          </reference>
        </references>
      </pivotArea>
    </format>
    <format dxfId="3117">
      <pivotArea dataOnly="0" labelOnly="1" outline="0" fieldPosition="0">
        <references count="2">
          <reference field="2" count="4">
            <x v="13"/>
            <x v="385"/>
            <x v="546"/>
            <x v="547"/>
          </reference>
          <reference field="10" count="1" selected="0">
            <x v="345"/>
          </reference>
        </references>
      </pivotArea>
    </format>
    <format dxfId="3118">
      <pivotArea dataOnly="0" labelOnly="1" outline="0" fieldPosition="0">
        <references count="2">
          <reference field="2" count="1">
            <x v="153"/>
          </reference>
          <reference field="10" count="1" selected="0">
            <x v="346"/>
          </reference>
        </references>
      </pivotArea>
    </format>
    <format dxfId="3119">
      <pivotArea dataOnly="0" labelOnly="1" outline="0" fieldPosition="0">
        <references count="2">
          <reference field="2" count="1">
            <x v="250"/>
          </reference>
          <reference field="10" count="1" selected="0">
            <x v="351"/>
          </reference>
        </references>
      </pivotArea>
    </format>
    <format dxfId="3120">
      <pivotArea dataOnly="0" labelOnly="1" outline="0" fieldPosition="0">
        <references count="2">
          <reference field="2" count="1">
            <x v="42"/>
          </reference>
          <reference field="10" count="1" selected="0">
            <x v="352"/>
          </reference>
        </references>
      </pivotArea>
    </format>
    <format dxfId="3121">
      <pivotArea dataOnly="0" labelOnly="1" outline="0" fieldPosition="0">
        <references count="2">
          <reference field="2" count="1">
            <x v="417"/>
          </reference>
          <reference field="10" count="1" selected="0">
            <x v="353"/>
          </reference>
        </references>
      </pivotArea>
    </format>
    <format dxfId="3122">
      <pivotArea dataOnly="0" labelOnly="1" outline="0" fieldPosition="0">
        <references count="2">
          <reference field="2" count="1">
            <x v="24"/>
          </reference>
          <reference field="10" count="1" selected="0">
            <x v="355"/>
          </reference>
        </references>
      </pivotArea>
    </format>
    <format dxfId="3123">
      <pivotArea dataOnly="0" labelOnly="1" outline="0" fieldPosition="0">
        <references count="2">
          <reference field="2" count="1">
            <x v="90"/>
          </reference>
          <reference field="10" count="1" selected="0">
            <x v="356"/>
          </reference>
        </references>
      </pivotArea>
    </format>
    <format dxfId="3124">
      <pivotArea dataOnly="0" labelOnly="1" outline="0" fieldPosition="0">
        <references count="2">
          <reference field="2" count="4">
            <x v="355"/>
            <x v="455"/>
            <x v="473"/>
            <x v="477"/>
          </reference>
          <reference field="10" count="1" selected="0">
            <x v="357"/>
          </reference>
        </references>
      </pivotArea>
    </format>
    <format dxfId="3125">
      <pivotArea dataOnly="0" labelOnly="1" outline="0" fieldPosition="0">
        <references count="2">
          <reference field="2" count="1">
            <x v="288"/>
          </reference>
          <reference field="10" count="1" selected="0">
            <x v="358"/>
          </reference>
        </references>
      </pivotArea>
    </format>
    <format dxfId="3126">
      <pivotArea dataOnly="0" labelOnly="1" outline="0" fieldPosition="0">
        <references count="2">
          <reference field="2" count="1">
            <x v="173"/>
          </reference>
          <reference field="10" count="1" selected="0">
            <x v="359"/>
          </reference>
        </references>
      </pivotArea>
    </format>
    <format dxfId="3127">
      <pivotArea dataOnly="0" labelOnly="1" outline="0" fieldPosition="0">
        <references count="2">
          <reference field="2" count="2">
            <x v="376"/>
            <x v="384"/>
          </reference>
          <reference field="10" count="1" selected="0">
            <x v="360"/>
          </reference>
        </references>
      </pivotArea>
    </format>
    <format dxfId="3128">
      <pivotArea dataOnly="0" labelOnly="1" outline="0" fieldPosition="0">
        <references count="2">
          <reference field="2" count="1">
            <x v="230"/>
          </reference>
          <reference field="10" count="1" selected="0">
            <x v="362"/>
          </reference>
        </references>
      </pivotArea>
    </format>
    <format dxfId="3129">
      <pivotArea dataOnly="0" labelOnly="1" outline="0" fieldPosition="0">
        <references count="2">
          <reference field="2" count="1">
            <x v="39"/>
          </reference>
          <reference field="10" count="1" selected="0">
            <x v="363"/>
          </reference>
        </references>
      </pivotArea>
    </format>
    <format dxfId="3130">
      <pivotArea dataOnly="0" labelOnly="1" outline="0" fieldPosition="0">
        <references count="2">
          <reference field="2" count="1">
            <x v="328"/>
          </reference>
          <reference field="10" count="1" selected="0">
            <x v="364"/>
          </reference>
        </references>
      </pivotArea>
    </format>
    <format dxfId="3131">
      <pivotArea dataOnly="0" labelOnly="1" outline="0" fieldPosition="0">
        <references count="2">
          <reference field="2" count="1">
            <x v="154"/>
          </reference>
          <reference field="10" count="1" selected="0">
            <x v="365"/>
          </reference>
        </references>
      </pivotArea>
    </format>
    <format dxfId="3132">
      <pivotArea dataOnly="0" labelOnly="1" outline="0" fieldPosition="0">
        <references count="2">
          <reference field="2" count="1">
            <x v="120"/>
          </reference>
          <reference field="10" count="1" selected="0">
            <x v="366"/>
          </reference>
        </references>
      </pivotArea>
    </format>
    <format dxfId="3133">
      <pivotArea dataOnly="0" labelOnly="1" outline="0" fieldPosition="0">
        <references count="2">
          <reference field="2" count="1">
            <x v="177"/>
          </reference>
          <reference field="10" count="1" selected="0">
            <x v="370"/>
          </reference>
        </references>
      </pivotArea>
    </format>
    <format dxfId="3134">
      <pivotArea dataOnly="0" labelOnly="1" outline="0" fieldPosition="0">
        <references count="2">
          <reference field="2" count="2">
            <x v="17"/>
            <x v="222"/>
          </reference>
          <reference field="10" count="1" selected="0">
            <x v="371"/>
          </reference>
        </references>
      </pivotArea>
    </format>
    <format dxfId="3135">
      <pivotArea dataOnly="0" labelOnly="1" outline="0" fieldPosition="0">
        <references count="2">
          <reference field="2" count="1">
            <x v="78"/>
          </reference>
          <reference field="10" count="1" selected="0">
            <x v="372"/>
          </reference>
        </references>
      </pivotArea>
    </format>
    <format dxfId="3136">
      <pivotArea dataOnly="0" labelOnly="1" outline="0" fieldPosition="0">
        <references count="2">
          <reference field="2" count="1">
            <x v="325"/>
          </reference>
          <reference field="10" count="1" selected="0">
            <x v="373"/>
          </reference>
        </references>
      </pivotArea>
    </format>
    <format dxfId="3137">
      <pivotArea dataOnly="0" labelOnly="1" outline="0" fieldPosition="0">
        <references count="2">
          <reference field="2" count="1">
            <x v="544"/>
          </reference>
          <reference field="10" count="1" selected="0">
            <x v="374"/>
          </reference>
        </references>
      </pivotArea>
    </format>
    <format dxfId="3138">
      <pivotArea dataOnly="0" labelOnly="1" outline="0" fieldPosition="0">
        <references count="2">
          <reference field="2" count="1">
            <x v="283"/>
          </reference>
          <reference field="10" count="1" selected="0">
            <x v="375"/>
          </reference>
        </references>
      </pivotArea>
    </format>
    <format dxfId="3139">
      <pivotArea dataOnly="0" labelOnly="1" outline="0" fieldPosition="0">
        <references count="2">
          <reference field="2" count="1">
            <x v="192"/>
          </reference>
          <reference field="10" count="1" selected="0">
            <x v="376"/>
          </reference>
        </references>
      </pivotArea>
    </format>
    <format dxfId="3140">
      <pivotArea dataOnly="0" labelOnly="1" outline="0" fieldPosition="0">
        <references count="2">
          <reference field="2" count="1">
            <x v="196"/>
          </reference>
          <reference field="10" count="1" selected="0">
            <x v="377"/>
          </reference>
        </references>
      </pivotArea>
    </format>
    <format dxfId="3141">
      <pivotArea dataOnly="0" labelOnly="1" outline="0" fieldPosition="0">
        <references count="2">
          <reference field="2" count="2">
            <x v="239"/>
            <x v="240"/>
          </reference>
          <reference field="10" count="1" selected="0">
            <x v="378"/>
          </reference>
        </references>
      </pivotArea>
    </format>
    <format dxfId="3142">
      <pivotArea dataOnly="0" labelOnly="1" outline="0" fieldPosition="0">
        <references count="2">
          <reference field="2" count="2">
            <x v="633"/>
            <x v="634"/>
          </reference>
          <reference field="10" count="1" selected="0">
            <x v="380"/>
          </reference>
        </references>
      </pivotArea>
    </format>
    <format dxfId="3143">
      <pivotArea dataOnly="0" labelOnly="1" outline="0" fieldPosition="0">
        <references count="2">
          <reference field="2" count="5">
            <x v="474"/>
            <x v="475"/>
            <x v="476"/>
            <x v="556"/>
            <x v="663"/>
          </reference>
          <reference field="10" count="1" selected="0">
            <x v="381"/>
          </reference>
        </references>
      </pivotArea>
    </format>
    <format dxfId="3144">
      <pivotArea dataOnly="0" labelOnly="1" outline="0" fieldPosition="0">
        <references count="2">
          <reference field="2" count="2">
            <x v="536"/>
            <x v="625"/>
          </reference>
          <reference field="10" count="1" selected="0">
            <x v="383"/>
          </reference>
        </references>
      </pivotArea>
    </format>
    <format dxfId="3145">
      <pivotArea dataOnly="0" labelOnly="1" outline="0" fieldPosition="0">
        <references count="2">
          <reference field="2" count="1">
            <x v="85"/>
          </reference>
          <reference field="10" count="1" selected="0">
            <x v="384"/>
          </reference>
        </references>
      </pivotArea>
    </format>
    <format dxfId="3146">
      <pivotArea dataOnly="0" labelOnly="1" outline="0" fieldPosition="0">
        <references count="2">
          <reference field="2" count="2">
            <x v="165"/>
            <x v="166"/>
          </reference>
          <reference field="10" count="1" selected="0">
            <x v="387"/>
          </reference>
        </references>
      </pivotArea>
    </format>
    <format dxfId="3147">
      <pivotArea dataOnly="0" labelOnly="1" outline="0" fieldPosition="0">
        <references count="2">
          <reference field="2" count="1">
            <x v="331"/>
          </reference>
          <reference field="10" count="1" selected="0">
            <x v="389"/>
          </reference>
        </references>
      </pivotArea>
    </format>
    <format dxfId="3148">
      <pivotArea dataOnly="0" labelOnly="1" outline="0" fieldPosition="0">
        <references count="2">
          <reference field="2" count="5">
            <x v="8"/>
            <x v="9"/>
            <x v="563"/>
            <x v="658"/>
            <x v="659"/>
          </reference>
          <reference field="10" count="1" selected="0">
            <x v="391"/>
          </reference>
        </references>
      </pivotArea>
    </format>
    <format dxfId="3149">
      <pivotArea dataOnly="0" labelOnly="1" outline="0" fieldPosition="0">
        <references count="2">
          <reference field="2" count="1">
            <x v="1"/>
          </reference>
          <reference field="10" count="1" selected="0">
            <x v="393"/>
          </reference>
        </references>
      </pivotArea>
    </format>
    <format dxfId="3150">
      <pivotArea dataOnly="0" labelOnly="1" outline="0" fieldPosition="0">
        <references count="2">
          <reference field="2" count="1">
            <x v="18"/>
          </reference>
          <reference field="10" count="1" selected="0">
            <x v="394"/>
          </reference>
        </references>
      </pivotArea>
    </format>
    <format dxfId="3151">
      <pivotArea dataOnly="0" labelOnly="1" outline="0" fieldPosition="0">
        <references count="2">
          <reference field="2" count="1">
            <x v="266"/>
          </reference>
          <reference field="10" count="1" selected="0">
            <x v="395"/>
          </reference>
        </references>
      </pivotArea>
    </format>
    <format dxfId="3152">
      <pivotArea dataOnly="0" labelOnly="1" outline="0" fieldPosition="0">
        <references count="2">
          <reference field="2" count="1">
            <x v="360"/>
          </reference>
          <reference field="10" count="1" selected="0">
            <x v="396"/>
          </reference>
        </references>
      </pivotArea>
    </format>
    <format dxfId="3153">
      <pivotArea dataOnly="0" labelOnly="1" outline="0" fieldPosition="0">
        <references count="2">
          <reference field="2" count="3">
            <x v="280"/>
            <x v="308"/>
            <x v="501"/>
          </reference>
          <reference field="10" count="1" selected="0">
            <x v="397"/>
          </reference>
        </references>
      </pivotArea>
    </format>
    <format dxfId="3154">
      <pivotArea dataOnly="0" labelOnly="1" outline="0" fieldPosition="0">
        <references count="2">
          <reference field="2" count="1">
            <x v="577"/>
          </reference>
          <reference field="10" count="1" selected="0">
            <x v="398"/>
          </reference>
        </references>
      </pivotArea>
    </format>
    <format dxfId="3155">
      <pivotArea dataOnly="0" labelOnly="1" outline="0" fieldPosition="0">
        <references count="2">
          <reference field="2" count="5">
            <x v="439"/>
            <x v="448"/>
            <x v="449"/>
            <x v="451"/>
            <x v="452"/>
          </reference>
          <reference field="10" count="1" selected="0">
            <x v="399"/>
          </reference>
        </references>
      </pivotArea>
    </format>
    <format dxfId="3156">
      <pivotArea dataOnly="0" labelOnly="1" outline="0" fieldPosition="0">
        <references count="2">
          <reference field="2" count="1">
            <x v="464"/>
          </reference>
          <reference field="10" count="1" selected="0">
            <x v="400"/>
          </reference>
        </references>
      </pivotArea>
    </format>
    <format dxfId="3157">
      <pivotArea dataOnly="0" labelOnly="1" outline="0" fieldPosition="0">
        <references count="2">
          <reference field="2" count="1">
            <x v="410"/>
          </reference>
          <reference field="10" count="1" selected="0">
            <x v="404"/>
          </reference>
        </references>
      </pivotArea>
    </format>
    <format dxfId="3158">
      <pivotArea dataOnly="0" labelOnly="1" outline="0" fieldPosition="0">
        <references count="2">
          <reference field="2" count="1">
            <x v="333"/>
          </reference>
          <reference field="10" count="1" selected="0">
            <x v="405"/>
          </reference>
        </references>
      </pivotArea>
    </format>
    <format dxfId="3159">
      <pivotArea dataOnly="0" labelOnly="1" outline="0" fieldPosition="0">
        <references count="2">
          <reference field="2" count="2">
            <x v="348"/>
            <x v="492"/>
          </reference>
          <reference field="10" count="1" selected="0">
            <x v="406"/>
          </reference>
        </references>
      </pivotArea>
    </format>
    <format dxfId="3160">
      <pivotArea dataOnly="0" labelOnly="1" outline="0" fieldPosition="0">
        <references count="2">
          <reference field="2" count="1">
            <x v="117"/>
          </reference>
          <reference field="10" count="1" selected="0">
            <x v="407"/>
          </reference>
        </references>
      </pivotArea>
    </format>
    <format dxfId="3161">
      <pivotArea dataOnly="0" labelOnly="1" outline="0" fieldPosition="0">
        <references count="2">
          <reference field="2" count="1">
            <x v="305"/>
          </reference>
          <reference field="10" count="1" selected="0">
            <x v="408"/>
          </reference>
        </references>
      </pivotArea>
    </format>
    <format dxfId="3162">
      <pivotArea dataOnly="0" labelOnly="1" outline="0" fieldPosition="0">
        <references count="2">
          <reference field="2" count="1">
            <x v="411"/>
          </reference>
          <reference field="10" count="1" selected="0">
            <x v="409"/>
          </reference>
        </references>
      </pivotArea>
    </format>
    <format dxfId="3163">
      <pivotArea dataOnly="0" labelOnly="1" outline="0" fieldPosition="0">
        <references count="2">
          <reference field="2" count="2">
            <x v="44"/>
            <x v="220"/>
          </reference>
          <reference field="10" count="1" selected="0">
            <x v="411"/>
          </reference>
        </references>
      </pivotArea>
    </format>
    <format dxfId="3164">
      <pivotArea dataOnly="0" labelOnly="1" outline="0" fieldPosition="0">
        <references count="2">
          <reference field="2" count="4">
            <x v="489"/>
            <x v="628"/>
            <x v="629"/>
            <x v="631"/>
          </reference>
          <reference field="10" count="1" selected="0">
            <x v="412"/>
          </reference>
        </references>
      </pivotArea>
    </format>
    <format dxfId="3165">
      <pivotArea dataOnly="0" labelOnly="1" outline="0" fieldPosition="0">
        <references count="2">
          <reference field="2" count="2">
            <x v="3"/>
            <x v="421"/>
          </reference>
          <reference field="10" count="1" selected="0">
            <x v="413"/>
          </reference>
        </references>
      </pivotArea>
    </format>
    <format dxfId="3166">
      <pivotArea dataOnly="0" labelOnly="1" outline="0" fieldPosition="0">
        <references count="2">
          <reference field="2" count="4">
            <x v="70"/>
            <x v="394"/>
            <x v="395"/>
            <x v="396"/>
          </reference>
          <reference field="10" count="1" selected="0">
            <x v="414"/>
          </reference>
        </references>
      </pivotArea>
    </format>
    <format dxfId="3167">
      <pivotArea dataOnly="0" labelOnly="1" outline="0" fieldPosition="0">
        <references count="2">
          <reference field="2" count="1">
            <x v="66"/>
          </reference>
          <reference field="10" count="1" selected="0">
            <x v="415"/>
          </reference>
        </references>
      </pivotArea>
    </format>
    <format dxfId="3168">
      <pivotArea dataOnly="0" labelOnly="1" outline="0" fieldPosition="0">
        <references count="2">
          <reference field="2" count="3">
            <x v="28"/>
            <x v="345"/>
            <x v="643"/>
          </reference>
          <reference field="10" count="1" selected="0">
            <x v="417"/>
          </reference>
        </references>
      </pivotArea>
    </format>
    <format dxfId="3169">
      <pivotArea dataOnly="0" labelOnly="1" outline="0" fieldPosition="0">
        <references count="2">
          <reference field="2" count="1">
            <x v="2"/>
          </reference>
          <reference field="10" count="1" selected="0">
            <x v="419"/>
          </reference>
        </references>
      </pivotArea>
    </format>
    <format dxfId="3170">
      <pivotArea dataOnly="0" labelOnly="1" outline="0" fieldPosition="0">
        <references count="2">
          <reference field="2" count="1">
            <x v="155"/>
          </reference>
          <reference field="10" count="1" selected="0">
            <x v="422"/>
          </reference>
        </references>
      </pivotArea>
    </format>
    <format dxfId="3171">
      <pivotArea dataOnly="0" labelOnly="1" outline="0" fieldPosition="0">
        <references count="2">
          <reference field="2" count="2">
            <x v="388"/>
            <x v="528"/>
          </reference>
          <reference field="10" count="1" selected="0">
            <x v="423"/>
          </reference>
        </references>
      </pivotArea>
    </format>
    <format dxfId="3172">
      <pivotArea dataOnly="0" labelOnly="1" outline="0" fieldPosition="0">
        <references count="2">
          <reference field="2" count="2">
            <x v="636"/>
            <x v="637"/>
          </reference>
          <reference field="10" count="1" selected="0">
            <x v="424"/>
          </reference>
        </references>
      </pivotArea>
    </format>
    <format dxfId="3173">
      <pivotArea dataOnly="0" labelOnly="1" outline="0" fieldPosition="0">
        <references count="2">
          <reference field="2" count="1">
            <x v="293"/>
          </reference>
          <reference field="10" count="1" selected="0">
            <x v="425"/>
          </reference>
        </references>
      </pivotArea>
    </format>
    <format dxfId="3174">
      <pivotArea dataOnly="0" labelOnly="1" outline="0" fieldPosition="0">
        <references count="2">
          <reference field="2" count="1">
            <x v="132"/>
          </reference>
          <reference field="10" count="1" selected="0">
            <x v="426"/>
          </reference>
        </references>
      </pivotArea>
    </format>
    <format dxfId="3175">
      <pivotArea dataOnly="0" labelOnly="1" outline="0" fieldPosition="0">
        <references count="2">
          <reference field="2" count="1">
            <x v="624"/>
          </reference>
          <reference field="10" count="1" selected="0">
            <x v="428"/>
          </reference>
        </references>
      </pivotArea>
    </format>
    <format dxfId="3176">
      <pivotArea dataOnly="0" labelOnly="1" outline="0" fieldPosition="0">
        <references count="2">
          <reference field="2" count="3">
            <x v="248"/>
            <x v="550"/>
            <x v="555"/>
          </reference>
          <reference field="10" count="1" selected="0">
            <x v="429"/>
          </reference>
        </references>
      </pivotArea>
    </format>
    <format dxfId="3177">
      <pivotArea dataOnly="0" labelOnly="1" outline="0" fieldPosition="0">
        <references count="2">
          <reference field="2" count="1">
            <x v="59"/>
          </reference>
          <reference field="10" count="1" selected="0">
            <x v="430"/>
          </reference>
        </references>
      </pivotArea>
    </format>
    <format dxfId="3178">
      <pivotArea dataOnly="0" labelOnly="1" outline="0" fieldPosition="0">
        <references count="2">
          <reference field="2" count="2">
            <x v="58"/>
            <x v="373"/>
          </reference>
          <reference field="10" count="1" selected="0">
            <x v="431"/>
          </reference>
        </references>
      </pivotArea>
    </format>
    <format dxfId="3179">
      <pivotArea dataOnly="0" labelOnly="1" outline="0" fieldPosition="0">
        <references count="2">
          <reference field="2" count="1">
            <x v="60"/>
          </reference>
          <reference field="10" count="1" selected="0">
            <x v="432"/>
          </reference>
        </references>
      </pivotArea>
    </format>
    <format dxfId="3180">
      <pivotArea dataOnly="0" labelOnly="1" outline="0" fieldPosition="0">
        <references count="2">
          <reference field="2" count="1">
            <x v="175"/>
          </reference>
          <reference field="10" count="1" selected="0">
            <x v="433"/>
          </reference>
        </references>
      </pivotArea>
    </format>
    <format dxfId="3181">
      <pivotArea dataOnly="0" labelOnly="1" outline="0" fieldPosition="0">
        <references count="2">
          <reference field="2" count="2">
            <x v="279"/>
            <x v="346"/>
          </reference>
          <reference field="10" count="1" selected="0">
            <x v="434"/>
          </reference>
        </references>
      </pivotArea>
    </format>
    <format dxfId="3182">
      <pivotArea dataOnly="0" labelOnly="1" outline="0" fieldPosition="0">
        <references count="2">
          <reference field="2" count="1">
            <x v="591"/>
          </reference>
          <reference field="10" count="1" selected="0">
            <x v="435"/>
          </reference>
        </references>
      </pivotArea>
    </format>
    <format dxfId="3183">
      <pivotArea dataOnly="0" labelOnly="1" outline="0" fieldPosition="0">
        <references count="2">
          <reference field="2" count="1">
            <x v="67"/>
          </reference>
          <reference field="10" count="1" selected="0">
            <x v="436"/>
          </reference>
        </references>
      </pivotArea>
    </format>
    <format dxfId="3184">
      <pivotArea dataOnly="0" labelOnly="1" outline="0" fieldPosition="0">
        <references count="2">
          <reference field="2" count="1">
            <x v="258"/>
          </reference>
          <reference field="10" count="1" selected="0">
            <x v="437"/>
          </reference>
        </references>
      </pivotArea>
    </format>
    <format dxfId="3185">
      <pivotArea dataOnly="0" labelOnly="1" outline="0" fieldPosition="0">
        <references count="2">
          <reference field="2" count="2">
            <x v="76"/>
            <x v="300"/>
          </reference>
          <reference field="10" count="1" selected="0">
            <x v="438"/>
          </reference>
        </references>
      </pivotArea>
    </format>
    <format dxfId="3186">
      <pivotArea dataOnly="0" labelOnly="1" outline="0" fieldPosition="0">
        <references count="2">
          <reference field="2" count="1">
            <x v="614"/>
          </reference>
          <reference field="10" count="1" selected="0">
            <x v="439"/>
          </reference>
        </references>
      </pivotArea>
    </format>
    <format dxfId="3187">
      <pivotArea dataOnly="0" labelOnly="1" outline="0" fieldPosition="0">
        <references count="2">
          <reference field="2" count="1">
            <x v="231"/>
          </reference>
          <reference field="10" count="1" selected="0">
            <x v="440"/>
          </reference>
        </references>
      </pivotArea>
    </format>
    <format dxfId="3188">
      <pivotArea dataOnly="0" labelOnly="1" outline="0" fieldPosition="0">
        <references count="2">
          <reference field="2" count="1">
            <x v="597"/>
          </reference>
          <reference field="10" count="1" selected="0">
            <x v="441"/>
          </reference>
        </references>
      </pivotArea>
    </format>
    <format dxfId="3189">
      <pivotArea dataOnly="0" labelOnly="1" outline="0" fieldPosition="0">
        <references count="2">
          <reference field="2" count="2">
            <x v="71"/>
            <x v="465"/>
          </reference>
          <reference field="10" count="1" selected="0">
            <x v="442"/>
          </reference>
        </references>
      </pivotArea>
    </format>
    <format dxfId="3190">
      <pivotArea dataOnly="0" labelOnly="1" outline="0" fieldPosition="0">
        <references count="2">
          <reference field="2" count="1">
            <x v="7"/>
          </reference>
          <reference field="10" count="1" selected="0">
            <x v="444"/>
          </reference>
        </references>
      </pivotArea>
    </format>
    <format dxfId="3191">
      <pivotArea dataOnly="0" labelOnly="1" outline="0" fieldPosition="0">
        <references count="2">
          <reference field="2" count="1">
            <x v="57"/>
          </reference>
          <reference field="10" count="1" selected="0">
            <x v="445"/>
          </reference>
        </references>
      </pivotArea>
    </format>
    <format dxfId="3192">
      <pivotArea dataOnly="0" labelOnly="1" outline="0" fieldPosition="0">
        <references count="2">
          <reference field="2" count="1">
            <x v="444"/>
          </reference>
          <reference field="10" count="1" selected="0">
            <x v="446"/>
          </reference>
        </references>
      </pivotArea>
    </format>
    <format dxfId="3193">
      <pivotArea dataOnly="0" labelOnly="1" outline="0" fieldPosition="0">
        <references count="2">
          <reference field="2" count="1">
            <x v="642"/>
          </reference>
          <reference field="10" count="1" selected="0">
            <x v="447"/>
          </reference>
        </references>
      </pivotArea>
    </format>
    <format dxfId="3194">
      <pivotArea dataOnly="0" labelOnly="1" outline="0" fieldPosition="0">
        <references count="2">
          <reference field="2" count="1">
            <x v="618"/>
          </reference>
          <reference field="10" count="1" selected="0">
            <x v="448"/>
          </reference>
        </references>
      </pivotArea>
    </format>
    <format dxfId="3195">
      <pivotArea dataOnly="0" labelOnly="1" outline="0" fieldPosition="0">
        <references count="2">
          <reference field="2" count="2">
            <x v="221"/>
            <x v="387"/>
          </reference>
          <reference field="10" count="1" selected="0">
            <x v="449"/>
          </reference>
        </references>
      </pivotArea>
    </format>
    <format dxfId="3196">
      <pivotArea dataOnly="0" labelOnly="1" outline="0" fieldPosition="0">
        <references count="2">
          <reference field="2" count="1">
            <x v="20"/>
          </reference>
          <reference field="10" count="1" selected="0">
            <x v="451"/>
          </reference>
        </references>
      </pivotArea>
    </format>
    <format dxfId="3197">
      <pivotArea dataOnly="0" labelOnly="1" outline="0" fieldPosition="0">
        <references count="2">
          <reference field="2" count="1">
            <x v="413"/>
          </reference>
          <reference field="10" count="1" selected="0">
            <x v="452"/>
          </reference>
        </references>
      </pivotArea>
    </format>
    <format dxfId="3198">
      <pivotArea dataOnly="0" labelOnly="1" outline="0" fieldPosition="0">
        <references count="2">
          <reference field="2" count="1">
            <x v="191"/>
          </reference>
          <reference field="10" count="1" selected="0">
            <x v="453"/>
          </reference>
        </references>
      </pivotArea>
    </format>
    <format dxfId="3199">
      <pivotArea dataOnly="0" labelOnly="1" outline="0" fieldPosition="0">
        <references count="2">
          <reference field="2" count="1">
            <x v="416"/>
          </reference>
          <reference field="10" count="1" selected="0">
            <x v="454"/>
          </reference>
        </references>
      </pivotArea>
    </format>
    <format dxfId="3200">
      <pivotArea dataOnly="0" labelOnly="1" outline="0" fieldPosition="0">
        <references count="2">
          <reference field="2" count="1">
            <x v="124"/>
          </reference>
          <reference field="10" count="1" selected="0">
            <x v="455"/>
          </reference>
        </references>
      </pivotArea>
    </format>
    <format dxfId="3201">
      <pivotArea dataOnly="0" labelOnly="1" outline="0" fieldPosition="0">
        <references count="2">
          <reference field="2" count="1">
            <x v="487"/>
          </reference>
          <reference field="10" count="1" selected="0">
            <x v="456"/>
          </reference>
        </references>
      </pivotArea>
    </format>
    <format dxfId="3202">
      <pivotArea dataOnly="0" labelOnly="1" outline="0" fieldPosition="0">
        <references count="2">
          <reference field="2" count="1">
            <x v="324"/>
          </reference>
          <reference field="10" count="1" selected="0">
            <x v="457"/>
          </reference>
        </references>
      </pivotArea>
    </format>
    <format dxfId="3203">
      <pivotArea dataOnly="0" labelOnly="1" outline="0" fieldPosition="0">
        <references count="2">
          <reference field="2" count="1">
            <x v="299"/>
          </reference>
          <reference field="10" count="1" selected="0">
            <x v="458"/>
          </reference>
        </references>
      </pivotArea>
    </format>
    <format dxfId="3204">
      <pivotArea dataOnly="0" labelOnly="1" outline="0" fieldPosition="0">
        <references count="2">
          <reference field="2" count="1">
            <x v="131"/>
          </reference>
          <reference field="10" count="1" selected="0">
            <x v="459"/>
          </reference>
        </references>
      </pivotArea>
    </format>
    <format dxfId="3205">
      <pivotArea dataOnly="0" labelOnly="1" outline="0" fieldPosition="0">
        <references count="2">
          <reference field="2" count="1">
            <x v="399"/>
          </reference>
          <reference field="10" count="1" selected="0">
            <x v="460"/>
          </reference>
        </references>
      </pivotArea>
    </format>
    <format dxfId="3206">
      <pivotArea dataOnly="0" labelOnly="1" outline="0" fieldPosition="0">
        <references count="2">
          <reference field="2" count="3">
            <x v="143"/>
            <x v="400"/>
            <x v="661"/>
          </reference>
          <reference field="10" count="1" selected="0">
            <x v="463"/>
          </reference>
        </references>
      </pivotArea>
    </format>
    <format dxfId="3207">
      <pivotArea dataOnly="0" labelOnly="1" outline="0" fieldPosition="0">
        <references count="2">
          <reference field="2" count="1">
            <x v="38"/>
          </reference>
          <reference field="10" count="1" selected="0">
            <x v="464"/>
          </reference>
        </references>
      </pivotArea>
    </format>
    <format dxfId="3208">
      <pivotArea dataOnly="0" labelOnly="1" outline="0" fieldPosition="0">
        <references count="2">
          <reference field="2" count="2">
            <x v="322"/>
            <x v="323"/>
          </reference>
          <reference field="10" count="1" selected="0">
            <x v="467"/>
          </reference>
        </references>
      </pivotArea>
    </format>
    <format dxfId="3209">
      <pivotArea dataOnly="0" labelOnly="1" outline="0" fieldPosition="0">
        <references count="2">
          <reference field="2" count="1">
            <x v="108"/>
          </reference>
          <reference field="10" count="1" selected="0">
            <x v="468"/>
          </reference>
        </references>
      </pivotArea>
    </format>
    <format dxfId="3210">
      <pivotArea dataOnly="0" labelOnly="1" outline="0" fieldPosition="0">
        <references count="2">
          <reference field="2" count="1">
            <x v="406"/>
          </reference>
          <reference field="10" count="1" selected="0">
            <x v="469"/>
          </reference>
        </references>
      </pivotArea>
    </format>
    <format dxfId="3211">
      <pivotArea dataOnly="0" labelOnly="1" outline="0" fieldPosition="0">
        <references count="2">
          <reference field="2" count="4">
            <x v="167"/>
            <x v="168"/>
            <x v="169"/>
            <x v="170"/>
          </reference>
          <reference field="10" count="1" selected="0">
            <x v="470"/>
          </reference>
        </references>
      </pivotArea>
    </format>
    <format dxfId="3212">
      <pivotArea dataOnly="0" labelOnly="1" outline="0" fieldPosition="0">
        <references count="2">
          <reference field="2" count="2">
            <x v="304"/>
            <x v="621"/>
          </reference>
          <reference field="10" count="1" selected="0">
            <x v="472"/>
          </reference>
        </references>
      </pivotArea>
    </format>
    <format dxfId="3213">
      <pivotArea dataOnly="0" labelOnly="1" outline="0" fieldPosition="0">
        <references count="2">
          <reference field="2" count="1">
            <x v="217"/>
          </reference>
          <reference field="10" count="1" selected="0">
            <x v="475"/>
          </reference>
        </references>
      </pivotArea>
    </format>
    <format dxfId="3214">
      <pivotArea dataOnly="0" labelOnly="1" outline="0" fieldPosition="0">
        <references count="2">
          <reference field="2" count="1">
            <x v="241"/>
          </reference>
          <reference field="10" count="1" selected="0">
            <x v="479"/>
          </reference>
        </references>
      </pivotArea>
    </format>
    <format dxfId="3215">
      <pivotArea dataOnly="0" labelOnly="1" outline="0" fieldPosition="0">
        <references count="2">
          <reference field="2" count="2">
            <x v="15"/>
            <x v="233"/>
          </reference>
          <reference field="10" count="1" selected="0">
            <x v="481"/>
          </reference>
        </references>
      </pivotArea>
    </format>
    <format dxfId="3216">
      <pivotArea dataOnly="0" labelOnly="1" outline="0" fieldPosition="0">
        <references count="2">
          <reference field="2" count="1">
            <x v="96"/>
          </reference>
          <reference field="10" count="1" selected="0">
            <x v="482"/>
          </reference>
        </references>
      </pivotArea>
    </format>
    <format dxfId="3217">
      <pivotArea dataOnly="0" labelOnly="1" outline="0" fieldPosition="0">
        <references count="2">
          <reference field="2" count="1">
            <x v="407"/>
          </reference>
          <reference field="10" count="1" selected="0">
            <x v="483"/>
          </reference>
        </references>
      </pivotArea>
    </format>
    <format dxfId="3218">
      <pivotArea dataOnly="0" labelOnly="1" outline="0" fieldPosition="0">
        <references count="2">
          <reference field="2" count="3">
            <x v="309"/>
            <x v="310"/>
            <x v="641"/>
          </reference>
          <reference field="10" count="1" selected="0">
            <x v="484"/>
          </reference>
        </references>
      </pivotArea>
    </format>
    <format dxfId="3219">
      <pivotArea dataOnly="0" labelOnly="1" outline="0" fieldPosition="0">
        <references count="2">
          <reference field="2" count="1">
            <x v="148"/>
          </reference>
          <reference field="10" count="1" selected="0">
            <x v="485"/>
          </reference>
        </references>
      </pivotArea>
    </format>
    <format dxfId="3220">
      <pivotArea dataOnly="0" labelOnly="1" outline="0" fieldPosition="0">
        <references count="2">
          <reference field="2" count="1">
            <x v="207"/>
          </reference>
          <reference field="10" count="1" selected="0">
            <x v="486"/>
          </reference>
        </references>
      </pivotArea>
    </format>
    <format dxfId="3221">
      <pivotArea dataOnly="0" labelOnly="1" outline="0" fieldPosition="0">
        <references count="2">
          <reference field="2" count="1">
            <x v="277"/>
          </reference>
          <reference field="10" count="1" selected="0">
            <x v="487"/>
          </reference>
        </references>
      </pivotArea>
    </format>
    <format dxfId="3222">
      <pivotArea dataOnly="0" labelOnly="1" outline="0" fieldPosition="0">
        <references count="2">
          <reference field="2" count="2">
            <x v="545"/>
            <x v="667"/>
          </reference>
          <reference field="10" count="1" selected="0">
            <x v="488"/>
          </reference>
        </references>
      </pivotArea>
    </format>
    <format dxfId="3223">
      <pivotArea dataOnly="0" labelOnly="1" outline="0" fieldPosition="0">
        <references count="2">
          <reference field="2" count="2">
            <x v="48"/>
            <x v="50"/>
          </reference>
          <reference field="10" count="1" selected="0">
            <x v="489"/>
          </reference>
        </references>
      </pivotArea>
    </format>
    <format dxfId="3224">
      <pivotArea dataOnly="0" labelOnly="1" outline="0" fieldPosition="0">
        <references count="2">
          <reference field="2" count="2">
            <x v="215"/>
            <x v="216"/>
          </reference>
          <reference field="10" count="1" selected="0">
            <x v="490"/>
          </reference>
        </references>
      </pivotArea>
    </format>
    <format dxfId="3225">
      <pivotArea dataOnly="0" labelOnly="1" outline="0" fieldPosition="0">
        <references count="2">
          <reference field="2" count="2">
            <x v="471"/>
            <x v="529"/>
          </reference>
          <reference field="10" count="1" selected="0">
            <x v="493"/>
          </reference>
        </references>
      </pivotArea>
    </format>
    <format dxfId="3226">
      <pivotArea dataOnly="0" labelOnly="1" outline="0" fieldPosition="0">
        <references count="2">
          <reference field="2" count="2">
            <x v="301"/>
            <x v="526"/>
          </reference>
          <reference field="10" count="1" selected="0">
            <x v="494"/>
          </reference>
        </references>
      </pivotArea>
    </format>
    <format dxfId="3227">
      <pivotArea dataOnly="0" labelOnly="1" outline="0" fieldPosition="0">
        <references count="2">
          <reference field="2" count="2">
            <x v="174"/>
            <x v="438"/>
          </reference>
          <reference field="10" count="1" selected="0">
            <x v="495"/>
          </reference>
        </references>
      </pivotArea>
    </format>
    <format dxfId="3228">
      <pivotArea dataOnly="0" labelOnly="1" outline="0" fieldPosition="0">
        <references count="2">
          <reference field="2" count="1">
            <x v="516"/>
          </reference>
          <reference field="10" count="1" selected="0">
            <x v="496"/>
          </reference>
        </references>
      </pivotArea>
    </format>
    <format dxfId="3229">
      <pivotArea dataOnly="0" labelOnly="1" outline="0" fieldPosition="0">
        <references count="2">
          <reference field="2" count="2">
            <x v="505"/>
            <x v="506"/>
          </reference>
          <reference field="10" count="1" selected="0">
            <x v="497"/>
          </reference>
        </references>
      </pivotArea>
    </format>
    <format dxfId="3230">
      <pivotArea dataOnly="0" labelOnly="1" outline="0" fieldPosition="0">
        <references count="2">
          <reference field="2" count="1">
            <x v="664"/>
          </reference>
          <reference field="10" count="1" selected="0">
            <x v="498"/>
          </reference>
        </references>
      </pivotArea>
    </format>
    <format dxfId="3231">
      <pivotArea dataOnly="0" labelOnly="1" outline="0" fieldPosition="0">
        <references count="2">
          <reference field="2" count="1">
            <x v="185"/>
          </reference>
          <reference field="10" count="1" selected="0">
            <x v="499"/>
          </reference>
        </references>
      </pivotArea>
    </format>
    <format dxfId="3232">
      <pivotArea dataOnly="0" labelOnly="1" outline="0" fieldPosition="0">
        <references count="2">
          <reference field="2" count="1">
            <x v="234"/>
          </reference>
          <reference field="10" count="1" selected="0">
            <x v="500"/>
          </reference>
        </references>
      </pivotArea>
    </format>
    <format dxfId="3233">
      <pivotArea dataOnly="0" labelOnly="1" outline="0" fieldPosition="0">
        <references count="2">
          <reference field="2" count="1">
            <x v="171"/>
          </reference>
          <reference field="10" count="1" selected="0">
            <x v="501"/>
          </reference>
        </references>
      </pivotArea>
    </format>
    <format dxfId="3234">
      <pivotArea dataOnly="0" labelOnly="1" outline="0" fieldPosition="0">
        <references count="2">
          <reference field="2" count="1">
            <x v="478"/>
          </reference>
          <reference field="10" count="1" selected="0">
            <x v="502"/>
          </reference>
        </references>
      </pivotArea>
    </format>
    <format dxfId="3235">
      <pivotArea dataOnly="0" labelOnly="1" outline="0" fieldPosition="0">
        <references count="2">
          <reference field="2" count="1">
            <x v="565"/>
          </reference>
          <reference field="10" count="1" selected="0">
            <x v="503"/>
          </reference>
        </references>
      </pivotArea>
    </format>
    <format dxfId="3236">
      <pivotArea dataOnly="0" labelOnly="1" outline="0" fieldPosition="0">
        <references count="2">
          <reference field="2" count="1">
            <x v="137"/>
          </reference>
          <reference field="10" count="1" selected="0">
            <x v="504"/>
          </reference>
        </references>
      </pivotArea>
    </format>
    <format dxfId="3237">
      <pivotArea dataOnly="0" labelOnly="1" outline="0" fieldPosition="0">
        <references count="2">
          <reference field="2" count="2">
            <x v="156"/>
            <x v="504"/>
          </reference>
          <reference field="10" count="1" selected="0">
            <x v="506"/>
          </reference>
        </references>
      </pivotArea>
    </format>
    <format dxfId="3238">
      <pivotArea dataOnly="0" labelOnly="1" outline="0" fieldPosition="0">
        <references count="2">
          <reference field="2" count="2">
            <x v="357"/>
            <x v="366"/>
          </reference>
          <reference field="10" count="1" selected="0">
            <x v="507"/>
          </reference>
        </references>
      </pivotArea>
    </format>
    <format dxfId="3239">
      <pivotArea dataOnly="0" labelOnly="1" outline="0" fieldPosition="0">
        <references count="2">
          <reference field="2" count="1">
            <x v="635"/>
          </reference>
          <reference field="10" count="1" selected="0">
            <x v="508"/>
          </reference>
        </references>
      </pivotArea>
    </format>
    <format dxfId="3240">
      <pivotArea dataOnly="0" labelOnly="1" outline="0" fieldPosition="0">
        <references count="2">
          <reference field="2" count="1">
            <x v="509"/>
          </reference>
          <reference field="10" count="1" selected="0">
            <x v="510"/>
          </reference>
        </references>
      </pivotArea>
    </format>
    <format dxfId="3241">
      <pivotArea dataOnly="0" labelOnly="1" outline="0" fieldPosition="0">
        <references count="2">
          <reference field="2" count="8">
            <x v="138"/>
            <x v="223"/>
            <x v="392"/>
            <x v="393"/>
            <x v="436"/>
            <x v="437"/>
            <x v="441"/>
            <x v="596"/>
          </reference>
          <reference field="10" count="1" selected="0">
            <x v="513"/>
          </reference>
        </references>
      </pivotArea>
    </format>
    <format dxfId="3242">
      <pivotArea dataOnly="0" labelOnly="1" outline="0" fieldPosition="0">
        <references count="2">
          <reference field="2" count="2">
            <x v="208"/>
            <x v="403"/>
          </reference>
          <reference field="10" count="1" selected="0">
            <x v="515"/>
          </reference>
        </references>
      </pivotArea>
    </format>
    <format dxfId="3243">
      <pivotArea dataOnly="0" labelOnly="1" outline="0" fieldPosition="0">
        <references count="2">
          <reference field="2" count="2">
            <x v="374"/>
            <x v="375"/>
          </reference>
          <reference field="10" count="1" selected="0">
            <x v="516"/>
          </reference>
        </references>
      </pivotArea>
    </format>
    <format dxfId="3244">
      <pivotArea dataOnly="0" labelOnly="1" outline="0" fieldPosition="0">
        <references count="2">
          <reference field="2" count="3">
            <x v="488"/>
            <x v="491"/>
            <x v="626"/>
          </reference>
          <reference field="10" count="1" selected="0">
            <x v="517"/>
          </reference>
        </references>
      </pivotArea>
    </format>
    <format dxfId="3245">
      <pivotArea dataOnly="0" labelOnly="1" outline="0" fieldPosition="0">
        <references count="2">
          <reference field="2" count="1">
            <x v="200"/>
          </reference>
          <reference field="10" count="1" selected="0">
            <x v="518"/>
          </reference>
        </references>
      </pivotArea>
    </format>
    <format dxfId="3246">
      <pivotArea dataOnly="0" labelOnly="1" outline="0" fieldPosition="0">
        <references count="2">
          <reference field="2" count="2">
            <x v="144"/>
            <x v="145"/>
          </reference>
          <reference field="10" count="1" selected="0">
            <x v="519"/>
          </reference>
        </references>
      </pivotArea>
    </format>
    <format dxfId="3247">
      <pivotArea dataOnly="0" labelOnly="1" outline="0" fieldPosition="0">
        <references count="2">
          <reference field="2" count="1">
            <x v="389"/>
          </reference>
          <reference field="10" count="1" selected="0">
            <x v="520"/>
          </reference>
        </references>
      </pivotArea>
    </format>
    <format dxfId="3248">
      <pivotArea dataOnly="0" labelOnly="1" outline="0" fieldPosition="0">
        <references count="2">
          <reference field="2" count="1">
            <x v="623"/>
          </reference>
          <reference field="10" count="1" selected="0">
            <x v="521"/>
          </reference>
        </references>
      </pivotArea>
    </format>
    <format dxfId="3249">
      <pivotArea dataOnly="0" labelOnly="1" outline="0" fieldPosition="0">
        <references count="2">
          <reference field="2" count="2">
            <x v="469"/>
            <x v="479"/>
          </reference>
          <reference field="10" count="1" selected="0">
            <x v="522"/>
          </reference>
        </references>
      </pivotArea>
    </format>
    <format dxfId="3250">
      <pivotArea dataOnly="0" labelOnly="1" outline="0" fieldPosition="0">
        <references count="2">
          <reference field="2" count="3">
            <x v="35"/>
            <x v="37"/>
            <x v="446"/>
          </reference>
          <reference field="10" count="1" selected="0">
            <x v="523"/>
          </reference>
        </references>
      </pivotArea>
    </format>
    <format dxfId="3251">
      <pivotArea dataOnly="0" labelOnly="1" outline="0" fieldPosition="0">
        <references count="2">
          <reference field="2" count="1">
            <x v="149"/>
          </reference>
          <reference field="10" count="1" selected="0">
            <x v="524"/>
          </reference>
        </references>
      </pivotArea>
    </format>
    <format dxfId="3252">
      <pivotArea dataOnly="0" labelOnly="1" outline="0" fieldPosition="0">
        <references count="2">
          <reference field="2" count="1">
            <x v="302"/>
          </reference>
          <reference field="10" count="1" selected="0">
            <x v="525"/>
          </reference>
        </references>
      </pivotArea>
    </format>
    <format dxfId="3253">
      <pivotArea dataOnly="0" labelOnly="1" outline="0" fieldPosition="0">
        <references count="2">
          <reference field="2" count="1">
            <x v="64"/>
          </reference>
          <reference field="10" count="1" selected="0">
            <x v="526"/>
          </reference>
        </references>
      </pivotArea>
    </format>
    <format dxfId="3254">
      <pivotArea dataOnly="0" labelOnly="1" outline="0" fieldPosition="0">
        <references count="2">
          <reference field="2" count="1">
            <x v="157"/>
          </reference>
          <reference field="10" count="1" selected="0">
            <x v="527"/>
          </reference>
        </references>
      </pivotArea>
    </format>
    <format dxfId="3255">
      <pivotArea dataOnly="0" labelOnly="1" outline="0" fieldPosition="0">
        <references count="2">
          <reference field="2" count="1">
            <x v="408"/>
          </reference>
          <reference field="10" count="1" selected="0">
            <x v="528"/>
          </reference>
        </references>
      </pivotArea>
    </format>
    <format dxfId="3256">
      <pivotArea dataOnly="0" labelOnly="1" outline="0" fieldPosition="0">
        <references count="2">
          <reference field="2" count="1">
            <x v="364"/>
          </reference>
          <reference field="10" count="1" selected="0">
            <x v="529"/>
          </reference>
        </references>
      </pivotArea>
    </format>
    <format dxfId="3257">
      <pivotArea dataOnly="0" labelOnly="1" outline="0" fieldPosition="0">
        <references count="2">
          <reference field="2" count="2">
            <x v="269"/>
            <x v="270"/>
          </reference>
          <reference field="10" count="1" selected="0">
            <x v="530"/>
          </reference>
        </references>
      </pivotArea>
    </format>
    <format dxfId="3258">
      <pivotArea dataOnly="0" labelOnly="1" outline="0" fieldPosition="0">
        <references count="2">
          <reference field="2" count="1">
            <x v="450"/>
          </reference>
          <reference field="10" count="1" selected="0">
            <x v="532"/>
          </reference>
        </references>
      </pivotArea>
    </format>
    <format dxfId="3259">
      <pivotArea dataOnly="0" labelOnly="1" outline="0" fieldPosition="0">
        <references count="2">
          <reference field="2" count="5">
            <x v="235"/>
            <x v="429"/>
            <x v="507"/>
            <x v="639"/>
            <x v="640"/>
          </reference>
          <reference field="10" count="1" selected="0">
            <x v="533"/>
          </reference>
        </references>
      </pivotArea>
    </format>
    <format dxfId="3260">
      <pivotArea dataOnly="0" labelOnly="1" outline="0" fieldPosition="0">
        <references count="2">
          <reference field="2" count="1">
            <x v="380"/>
          </reference>
          <reference field="10" count="1" selected="0">
            <x v="534"/>
          </reference>
        </references>
      </pivotArea>
    </format>
    <format dxfId="3261">
      <pivotArea dataOnly="0" labelOnly="1" outline="0" fieldPosition="0">
        <references count="2">
          <reference field="2" count="1">
            <x v="292"/>
          </reference>
          <reference field="10" count="1" selected="0">
            <x v="535"/>
          </reference>
        </references>
      </pivotArea>
    </format>
    <format dxfId="3262">
      <pivotArea dataOnly="0" labelOnly="1" outline="0" fieldPosition="0">
        <references count="2">
          <reference field="2" count="1">
            <x v="69"/>
          </reference>
          <reference field="10" count="1" selected="0">
            <x v="536"/>
          </reference>
        </references>
      </pivotArea>
    </format>
    <format dxfId="3263">
      <pivotArea dataOnly="0" labelOnly="1" outline="0" fieldPosition="0">
        <references count="2">
          <reference field="2" count="1">
            <x v="578"/>
          </reference>
          <reference field="10" count="1" selected="0">
            <x v="537"/>
          </reference>
        </references>
      </pivotArea>
    </format>
    <format dxfId="3264">
      <pivotArea dataOnly="0" labelOnly="1" outline="0" fieldPosition="0">
        <references count="2">
          <reference field="2" count="1">
            <x v="188"/>
          </reference>
          <reference field="10" count="1" selected="0">
            <x v="538"/>
          </reference>
        </references>
      </pivotArea>
    </format>
    <format dxfId="3265">
      <pivotArea dataOnly="0" labelOnly="1" outline="0" fieldPosition="0">
        <references count="2">
          <reference field="2" count="1">
            <x v="422"/>
          </reference>
          <reference field="10" count="1" selected="0">
            <x v="539"/>
          </reference>
        </references>
      </pivotArea>
    </format>
    <format dxfId="3266">
      <pivotArea dataOnly="0" labelOnly="1" outline="0" fieldPosition="0">
        <references count="2">
          <reference field="2" count="1">
            <x v="344"/>
          </reference>
          <reference field="10" count="1" selected="0">
            <x v="540"/>
          </reference>
        </references>
      </pivotArea>
    </format>
    <format dxfId="3267">
      <pivotArea dataOnly="0" labelOnly="1" outline="0" fieldPosition="0">
        <references count="2">
          <reference field="2" count="1">
            <x v="19"/>
          </reference>
          <reference field="10" count="1" selected="0">
            <x v="542"/>
          </reference>
        </references>
      </pivotArea>
    </format>
    <format dxfId="3268">
      <pivotArea dataOnly="0" labelOnly="1" outline="0" fieldPosition="0">
        <references count="2">
          <reference field="2" count="1">
            <x v="485"/>
          </reference>
          <reference field="10" count="1" selected="0">
            <x v="546"/>
          </reference>
        </references>
      </pivotArea>
    </format>
    <format dxfId="3269">
      <pivotArea dataOnly="0" labelOnly="1" outline="0" fieldPosition="0">
        <references count="2">
          <reference field="2" count="1">
            <x v="368"/>
          </reference>
          <reference field="10" count="1" selected="0">
            <x v="547"/>
          </reference>
        </references>
      </pivotArea>
    </format>
    <format dxfId="3270">
      <pivotArea dataOnly="0" labelOnly="1" outline="0" fieldPosition="0">
        <references count="2">
          <reference field="2" count="1">
            <x v="589"/>
          </reference>
          <reference field="10" count="1" selected="0">
            <x v="548"/>
          </reference>
        </references>
      </pivotArea>
    </format>
    <format dxfId="3271">
      <pivotArea field="19" type="button" dataOnly="0" labelOnly="1" outline="0" axis="axisPage" fieldPosition="0"/>
    </format>
    <format dxfId="3272">
      <pivotArea field="10" type="button" dataOnly="0" labelOnly="1" outline="0" axis="axisRow" fieldPosition="0"/>
    </format>
    <format dxfId="3273">
      <pivotArea dataOnly="0" labelOnly="1" outline="0" fieldPosition="0">
        <references count="1">
          <reference field="10" count="1">
            <x v="1"/>
          </reference>
        </references>
      </pivotArea>
    </format>
    <format dxfId="3274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3275">
      <pivotArea dataOnly="0" labelOnly="1" outline="0" fieldPosition="0">
        <references count="1">
          <reference field="10" count="1">
            <x v="5"/>
          </reference>
        </references>
      </pivotArea>
    </format>
    <format dxfId="3276">
      <pivotArea dataOnly="0" labelOnly="1" outline="0" fieldPosition="0">
        <references count="1">
          <reference field="10" count="1" defaultSubtotal="1">
            <x v="5"/>
          </reference>
        </references>
      </pivotArea>
    </format>
    <format dxfId="3277">
      <pivotArea dataOnly="0" labelOnly="1" outline="0" fieldPosition="0">
        <references count="1">
          <reference field="10" count="1">
            <x v="7"/>
          </reference>
        </references>
      </pivotArea>
    </format>
    <format dxfId="3278">
      <pivotArea dataOnly="0" labelOnly="1" outline="0" fieldPosition="0">
        <references count="1">
          <reference field="10" count="1" defaultSubtotal="1">
            <x v="7"/>
          </reference>
        </references>
      </pivotArea>
    </format>
    <format dxfId="3279">
      <pivotArea dataOnly="0" labelOnly="1" outline="0" fieldPosition="0">
        <references count="1">
          <reference field="10" count="1">
            <x v="8"/>
          </reference>
        </references>
      </pivotArea>
    </format>
    <format dxfId="3280">
      <pivotArea dataOnly="0" labelOnly="1" outline="0" fieldPosition="0">
        <references count="1">
          <reference field="10" count="1" defaultSubtotal="1">
            <x v="8"/>
          </reference>
        </references>
      </pivotArea>
    </format>
    <format dxfId="3281">
      <pivotArea dataOnly="0" labelOnly="1" outline="0" fieldPosition="0">
        <references count="1">
          <reference field="10" count="1">
            <x v="12"/>
          </reference>
        </references>
      </pivotArea>
    </format>
    <format dxfId="3282">
      <pivotArea dataOnly="0" labelOnly="1" outline="0" fieldPosition="0">
        <references count="1">
          <reference field="10" count="1" defaultSubtotal="1">
            <x v="12"/>
          </reference>
        </references>
      </pivotArea>
    </format>
    <format dxfId="3283">
      <pivotArea dataOnly="0" labelOnly="1" outline="0" fieldPosition="0">
        <references count="1">
          <reference field="10" count="1">
            <x v="14"/>
          </reference>
        </references>
      </pivotArea>
    </format>
    <format dxfId="3284">
      <pivotArea dataOnly="0" labelOnly="1" outline="0" fieldPosition="0">
        <references count="1">
          <reference field="10" count="1" defaultSubtotal="1">
            <x v="14"/>
          </reference>
        </references>
      </pivotArea>
    </format>
    <format dxfId="3285">
      <pivotArea dataOnly="0" labelOnly="1" outline="0" fieldPosition="0">
        <references count="1">
          <reference field="10" count="1">
            <x v="16"/>
          </reference>
        </references>
      </pivotArea>
    </format>
    <format dxfId="3286">
      <pivotArea dataOnly="0" labelOnly="1" outline="0" fieldPosition="0">
        <references count="1">
          <reference field="10" count="1" defaultSubtotal="1">
            <x v="16"/>
          </reference>
        </references>
      </pivotArea>
    </format>
    <format dxfId="3287">
      <pivotArea dataOnly="0" labelOnly="1" outline="0" fieldPosition="0">
        <references count="1">
          <reference field="10" count="1">
            <x v="36"/>
          </reference>
        </references>
      </pivotArea>
    </format>
    <format dxfId="3288">
      <pivotArea dataOnly="0" labelOnly="1" outline="0" fieldPosition="0">
        <references count="1">
          <reference field="10" count="1" defaultSubtotal="1">
            <x v="36"/>
          </reference>
        </references>
      </pivotArea>
    </format>
    <format dxfId="3289">
      <pivotArea dataOnly="0" labelOnly="1" outline="0" fieldPosition="0">
        <references count="1">
          <reference field="10" count="1">
            <x v="38"/>
          </reference>
        </references>
      </pivotArea>
    </format>
    <format dxfId="3290">
      <pivotArea dataOnly="0" labelOnly="1" outline="0" fieldPosition="0">
        <references count="1">
          <reference field="10" count="1" defaultSubtotal="1">
            <x v="38"/>
          </reference>
        </references>
      </pivotArea>
    </format>
    <format dxfId="3291">
      <pivotArea dataOnly="0" labelOnly="1" outline="0" fieldPosition="0">
        <references count="1">
          <reference field="10" count="1">
            <x v="40"/>
          </reference>
        </references>
      </pivotArea>
    </format>
    <format dxfId="3292">
      <pivotArea dataOnly="0" labelOnly="1" outline="0" fieldPosition="0">
        <references count="1">
          <reference field="10" count="1" defaultSubtotal="1">
            <x v="40"/>
          </reference>
        </references>
      </pivotArea>
    </format>
    <format dxfId="3293">
      <pivotArea dataOnly="0" labelOnly="1" outline="0" fieldPosition="0">
        <references count="1">
          <reference field="10" count="1">
            <x v="54"/>
          </reference>
        </references>
      </pivotArea>
    </format>
    <format dxfId="3294">
      <pivotArea dataOnly="0" labelOnly="1" outline="0" fieldPosition="0">
        <references count="1">
          <reference field="10" count="1" defaultSubtotal="1">
            <x v="54"/>
          </reference>
        </references>
      </pivotArea>
    </format>
    <format dxfId="3295">
      <pivotArea dataOnly="0" labelOnly="1" outline="0" fieldPosition="0">
        <references count="1">
          <reference field="10" count="1">
            <x v="61"/>
          </reference>
        </references>
      </pivotArea>
    </format>
    <format dxfId="3296">
      <pivotArea dataOnly="0" labelOnly="1" outline="0" fieldPosition="0">
        <references count="1">
          <reference field="10" count="1" defaultSubtotal="1">
            <x v="61"/>
          </reference>
        </references>
      </pivotArea>
    </format>
    <format dxfId="3297">
      <pivotArea dataOnly="0" labelOnly="1" outline="0" fieldPosition="0">
        <references count="1">
          <reference field="10" count="1">
            <x v="62"/>
          </reference>
        </references>
      </pivotArea>
    </format>
    <format dxfId="3298">
      <pivotArea dataOnly="0" labelOnly="1" outline="0" fieldPosition="0">
        <references count="1">
          <reference field="10" count="1" defaultSubtotal="1">
            <x v="62"/>
          </reference>
        </references>
      </pivotArea>
    </format>
    <format dxfId="3299">
      <pivotArea dataOnly="0" labelOnly="1" outline="0" fieldPosition="0">
        <references count="1">
          <reference field="10" count="1">
            <x v="69"/>
          </reference>
        </references>
      </pivotArea>
    </format>
    <format dxfId="3300">
      <pivotArea dataOnly="0" labelOnly="1" outline="0" fieldPosition="0">
        <references count="1">
          <reference field="10" count="1" defaultSubtotal="1">
            <x v="69"/>
          </reference>
        </references>
      </pivotArea>
    </format>
    <format dxfId="3301">
      <pivotArea dataOnly="0" labelOnly="1" outline="0" fieldPosition="0">
        <references count="1">
          <reference field="10" count="1">
            <x v="74"/>
          </reference>
        </references>
      </pivotArea>
    </format>
    <format dxfId="3302">
      <pivotArea dataOnly="0" labelOnly="1" outline="0" fieldPosition="0">
        <references count="1">
          <reference field="10" count="1" defaultSubtotal="1">
            <x v="74"/>
          </reference>
        </references>
      </pivotArea>
    </format>
    <format dxfId="3303">
      <pivotArea dataOnly="0" labelOnly="1" outline="0" fieldPosition="0">
        <references count="1">
          <reference field="10" count="1">
            <x v="86"/>
          </reference>
        </references>
      </pivotArea>
    </format>
    <format dxfId="3304">
      <pivotArea dataOnly="0" labelOnly="1" outline="0" fieldPosition="0">
        <references count="1">
          <reference field="10" count="1" defaultSubtotal="1">
            <x v="86"/>
          </reference>
        </references>
      </pivotArea>
    </format>
    <format dxfId="3305">
      <pivotArea dataOnly="0" labelOnly="1" outline="0" fieldPosition="0">
        <references count="1">
          <reference field="10" count="1">
            <x v="88"/>
          </reference>
        </references>
      </pivotArea>
    </format>
    <format dxfId="3306">
      <pivotArea dataOnly="0" labelOnly="1" outline="0" fieldPosition="0">
        <references count="1">
          <reference field="10" count="1" defaultSubtotal="1">
            <x v="88"/>
          </reference>
        </references>
      </pivotArea>
    </format>
    <format dxfId="3307">
      <pivotArea dataOnly="0" labelOnly="1" outline="0" fieldPosition="0">
        <references count="1">
          <reference field="10" count="1">
            <x v="93"/>
          </reference>
        </references>
      </pivotArea>
    </format>
    <format dxfId="3308">
      <pivotArea dataOnly="0" labelOnly="1" outline="0" fieldPosition="0">
        <references count="1">
          <reference field="10" count="1" defaultSubtotal="1">
            <x v="93"/>
          </reference>
        </references>
      </pivotArea>
    </format>
    <format dxfId="3309">
      <pivotArea dataOnly="0" labelOnly="1" outline="0" fieldPosition="0">
        <references count="1">
          <reference field="10" count="1">
            <x v="101"/>
          </reference>
        </references>
      </pivotArea>
    </format>
    <format dxfId="3310">
      <pivotArea dataOnly="0" labelOnly="1" outline="0" fieldPosition="0">
        <references count="1">
          <reference field="10" count="1" defaultSubtotal="1">
            <x v="101"/>
          </reference>
        </references>
      </pivotArea>
    </format>
    <format dxfId="3311">
      <pivotArea dataOnly="0" labelOnly="1" outline="0" fieldPosition="0">
        <references count="1">
          <reference field="10" count="1">
            <x v="102"/>
          </reference>
        </references>
      </pivotArea>
    </format>
    <format dxfId="3312">
      <pivotArea dataOnly="0" labelOnly="1" outline="0" fieldPosition="0">
        <references count="1">
          <reference field="10" count="1" defaultSubtotal="1">
            <x v="102"/>
          </reference>
        </references>
      </pivotArea>
    </format>
    <format dxfId="3313">
      <pivotArea dataOnly="0" labelOnly="1" outline="0" fieldPosition="0">
        <references count="1">
          <reference field="10" count="1">
            <x v="105"/>
          </reference>
        </references>
      </pivotArea>
    </format>
    <format dxfId="3314">
      <pivotArea dataOnly="0" labelOnly="1" outline="0" fieldPosition="0">
        <references count="1">
          <reference field="10" count="1" defaultSubtotal="1">
            <x v="105"/>
          </reference>
        </references>
      </pivotArea>
    </format>
    <format dxfId="3315">
      <pivotArea dataOnly="0" labelOnly="1" outline="0" fieldPosition="0">
        <references count="1">
          <reference field="10" count="1">
            <x v="107"/>
          </reference>
        </references>
      </pivotArea>
    </format>
    <format dxfId="3316">
      <pivotArea dataOnly="0" labelOnly="1" outline="0" fieldPosition="0">
        <references count="1">
          <reference field="10" count="1" defaultSubtotal="1">
            <x v="107"/>
          </reference>
        </references>
      </pivotArea>
    </format>
    <format dxfId="3317">
      <pivotArea dataOnly="0" labelOnly="1" outline="0" fieldPosition="0">
        <references count="1">
          <reference field="10" count="1">
            <x v="115"/>
          </reference>
        </references>
      </pivotArea>
    </format>
    <format dxfId="3318">
      <pivotArea dataOnly="0" labelOnly="1" outline="0" fieldPosition="0">
        <references count="1">
          <reference field="10" count="1" defaultSubtotal="1">
            <x v="115"/>
          </reference>
        </references>
      </pivotArea>
    </format>
    <format dxfId="3319">
      <pivotArea dataOnly="0" labelOnly="1" outline="0" fieldPosition="0">
        <references count="1">
          <reference field="10" count="1">
            <x v="139"/>
          </reference>
        </references>
      </pivotArea>
    </format>
    <format dxfId="3320">
      <pivotArea dataOnly="0" labelOnly="1" outline="0" fieldPosition="0">
        <references count="1">
          <reference field="10" count="1" defaultSubtotal="1">
            <x v="139"/>
          </reference>
        </references>
      </pivotArea>
    </format>
    <format dxfId="3321">
      <pivotArea dataOnly="0" labelOnly="1" outline="0" fieldPosition="0">
        <references count="1">
          <reference field="10" count="1">
            <x v="144"/>
          </reference>
        </references>
      </pivotArea>
    </format>
    <format dxfId="3322">
      <pivotArea dataOnly="0" labelOnly="1" outline="0" fieldPosition="0">
        <references count="1">
          <reference field="10" count="1" defaultSubtotal="1">
            <x v="144"/>
          </reference>
        </references>
      </pivotArea>
    </format>
    <format dxfId="3323">
      <pivotArea dataOnly="0" labelOnly="1" outline="0" fieldPosition="0">
        <references count="1">
          <reference field="10" count="1">
            <x v="148"/>
          </reference>
        </references>
      </pivotArea>
    </format>
    <format dxfId="3324">
      <pivotArea dataOnly="0" labelOnly="1" outline="0" fieldPosition="0">
        <references count="1">
          <reference field="10" count="1" defaultSubtotal="1">
            <x v="148"/>
          </reference>
        </references>
      </pivotArea>
    </format>
    <format dxfId="3325">
      <pivotArea dataOnly="0" labelOnly="1" outline="0" fieldPosition="0">
        <references count="1">
          <reference field="10" count="1">
            <x v="157"/>
          </reference>
        </references>
      </pivotArea>
    </format>
    <format dxfId="3326">
      <pivotArea dataOnly="0" labelOnly="1" outline="0" fieldPosition="0">
        <references count="1">
          <reference field="10" count="1" defaultSubtotal="1">
            <x v="157"/>
          </reference>
        </references>
      </pivotArea>
    </format>
    <format dxfId="3327">
      <pivotArea dataOnly="0" labelOnly="1" outline="0" fieldPosition="0">
        <references count="1">
          <reference field="10" count="1">
            <x v="159"/>
          </reference>
        </references>
      </pivotArea>
    </format>
    <format dxfId="3328">
      <pivotArea dataOnly="0" labelOnly="1" outline="0" fieldPosition="0">
        <references count="1">
          <reference field="10" count="1" defaultSubtotal="1">
            <x v="159"/>
          </reference>
        </references>
      </pivotArea>
    </format>
    <format dxfId="3329">
      <pivotArea dataOnly="0" labelOnly="1" outline="0" fieldPosition="0">
        <references count="1">
          <reference field="10" count="1">
            <x v="171"/>
          </reference>
        </references>
      </pivotArea>
    </format>
    <format dxfId="3330">
      <pivotArea dataOnly="0" labelOnly="1" outline="0" fieldPosition="0">
        <references count="1">
          <reference field="10" count="1" defaultSubtotal="1">
            <x v="171"/>
          </reference>
        </references>
      </pivotArea>
    </format>
    <format dxfId="3331">
      <pivotArea dataOnly="0" labelOnly="1" outline="0" fieldPosition="0">
        <references count="1">
          <reference field="10" count="1">
            <x v="172"/>
          </reference>
        </references>
      </pivotArea>
    </format>
    <format dxfId="3332">
      <pivotArea dataOnly="0" labelOnly="1" outline="0" fieldPosition="0">
        <references count="1">
          <reference field="10" count="1" defaultSubtotal="1">
            <x v="172"/>
          </reference>
        </references>
      </pivotArea>
    </format>
    <format dxfId="3333">
      <pivotArea dataOnly="0" labelOnly="1" outline="0" fieldPosition="0">
        <references count="1">
          <reference field="10" count="1">
            <x v="178"/>
          </reference>
        </references>
      </pivotArea>
    </format>
    <format dxfId="3334">
      <pivotArea dataOnly="0" labelOnly="1" outline="0" fieldPosition="0">
        <references count="1">
          <reference field="10" count="1" defaultSubtotal="1">
            <x v="178"/>
          </reference>
        </references>
      </pivotArea>
    </format>
    <format dxfId="3335">
      <pivotArea dataOnly="0" labelOnly="1" outline="0" fieldPosition="0">
        <references count="1">
          <reference field="10" count="1">
            <x v="199"/>
          </reference>
        </references>
      </pivotArea>
    </format>
    <format dxfId="3336">
      <pivotArea dataOnly="0" labelOnly="1" outline="0" fieldPosition="0">
        <references count="1">
          <reference field="10" count="1" defaultSubtotal="1">
            <x v="199"/>
          </reference>
        </references>
      </pivotArea>
    </format>
    <format dxfId="3337">
      <pivotArea dataOnly="0" labelOnly="1" outline="0" fieldPosition="0">
        <references count="1">
          <reference field="10" count="1">
            <x v="201"/>
          </reference>
        </references>
      </pivotArea>
    </format>
    <format dxfId="3338">
      <pivotArea dataOnly="0" labelOnly="1" outline="0" fieldPosition="0">
        <references count="1">
          <reference field="10" count="1" defaultSubtotal="1">
            <x v="201"/>
          </reference>
        </references>
      </pivotArea>
    </format>
    <format dxfId="3339">
      <pivotArea dataOnly="0" labelOnly="1" outline="0" fieldPosition="0">
        <references count="1">
          <reference field="10" count="1">
            <x v="203"/>
          </reference>
        </references>
      </pivotArea>
    </format>
    <format dxfId="3340">
      <pivotArea dataOnly="0" labelOnly="1" outline="0" fieldPosition="0">
        <references count="1">
          <reference field="10" count="1" defaultSubtotal="1">
            <x v="203"/>
          </reference>
        </references>
      </pivotArea>
    </format>
    <format dxfId="3341">
      <pivotArea dataOnly="0" labelOnly="1" outline="0" fieldPosition="0">
        <references count="1">
          <reference field="10" count="1">
            <x v="209"/>
          </reference>
        </references>
      </pivotArea>
    </format>
    <format dxfId="3342">
      <pivotArea dataOnly="0" labelOnly="1" outline="0" fieldPosition="0">
        <references count="1">
          <reference field="10" count="1" defaultSubtotal="1">
            <x v="209"/>
          </reference>
        </references>
      </pivotArea>
    </format>
    <format dxfId="3343">
      <pivotArea dataOnly="0" labelOnly="1" outline="0" fieldPosition="0">
        <references count="1">
          <reference field="10" count="1">
            <x v="212"/>
          </reference>
        </references>
      </pivotArea>
    </format>
    <format dxfId="3344">
      <pivotArea dataOnly="0" labelOnly="1" outline="0" fieldPosition="0">
        <references count="1">
          <reference field="10" count="1" defaultSubtotal="1">
            <x v="212"/>
          </reference>
        </references>
      </pivotArea>
    </format>
    <format dxfId="3345">
      <pivotArea dataOnly="0" labelOnly="1" outline="0" fieldPosition="0">
        <references count="1">
          <reference field="10" count="1">
            <x v="226"/>
          </reference>
        </references>
      </pivotArea>
    </format>
    <format dxfId="3346">
      <pivotArea dataOnly="0" labelOnly="1" outline="0" fieldPosition="0">
        <references count="1">
          <reference field="10" count="1" defaultSubtotal="1">
            <x v="226"/>
          </reference>
        </references>
      </pivotArea>
    </format>
    <format dxfId="3347">
      <pivotArea dataOnly="0" labelOnly="1" outline="0" fieldPosition="0">
        <references count="1">
          <reference field="10" count="1">
            <x v="228"/>
          </reference>
        </references>
      </pivotArea>
    </format>
    <format dxfId="3348">
      <pivotArea dataOnly="0" labelOnly="1" outline="0" fieldPosition="0">
        <references count="1">
          <reference field="10" count="1" defaultSubtotal="1">
            <x v="228"/>
          </reference>
        </references>
      </pivotArea>
    </format>
    <format dxfId="3349">
      <pivotArea dataOnly="0" labelOnly="1" outline="0" fieldPosition="0">
        <references count="1">
          <reference field="10" count="1">
            <x v="235"/>
          </reference>
        </references>
      </pivotArea>
    </format>
    <format dxfId="3350">
      <pivotArea dataOnly="0" labelOnly="1" outline="0" fieldPosition="0">
        <references count="1">
          <reference field="10" count="1" defaultSubtotal="1">
            <x v="235"/>
          </reference>
        </references>
      </pivotArea>
    </format>
    <format dxfId="3351">
      <pivotArea dataOnly="0" labelOnly="1" outline="0" fieldPosition="0">
        <references count="1">
          <reference field="10" count="1">
            <x v="245"/>
          </reference>
        </references>
      </pivotArea>
    </format>
    <format dxfId="3352">
      <pivotArea dataOnly="0" labelOnly="1" outline="0" fieldPosition="0">
        <references count="1">
          <reference field="10" count="1" defaultSubtotal="1">
            <x v="245"/>
          </reference>
        </references>
      </pivotArea>
    </format>
    <format dxfId="3353">
      <pivotArea dataOnly="0" labelOnly="1" outline="0" fieldPosition="0">
        <references count="1">
          <reference field="10" count="1">
            <x v="256"/>
          </reference>
        </references>
      </pivotArea>
    </format>
    <format dxfId="3354">
      <pivotArea dataOnly="0" labelOnly="1" outline="0" fieldPosition="0">
        <references count="1">
          <reference field="10" count="1" defaultSubtotal="1">
            <x v="256"/>
          </reference>
        </references>
      </pivotArea>
    </format>
    <format dxfId="3355">
      <pivotArea dataOnly="0" labelOnly="1" outline="0" fieldPosition="0">
        <references count="1">
          <reference field="10" count="1">
            <x v="260"/>
          </reference>
        </references>
      </pivotArea>
    </format>
    <format dxfId="3356">
      <pivotArea dataOnly="0" labelOnly="1" outline="0" fieldPosition="0">
        <references count="1">
          <reference field="10" count="1" defaultSubtotal="1">
            <x v="260"/>
          </reference>
        </references>
      </pivotArea>
    </format>
    <format dxfId="3357">
      <pivotArea dataOnly="0" labelOnly="1" outline="0" fieldPosition="0">
        <references count="1">
          <reference field="10" count="1">
            <x v="273"/>
          </reference>
        </references>
      </pivotArea>
    </format>
    <format dxfId="3358">
      <pivotArea dataOnly="0" labelOnly="1" outline="0" fieldPosition="0">
        <references count="1">
          <reference field="10" count="1" defaultSubtotal="1">
            <x v="273"/>
          </reference>
        </references>
      </pivotArea>
    </format>
    <format dxfId="3359">
      <pivotArea dataOnly="0" labelOnly="1" outline="0" fieldPosition="0">
        <references count="1">
          <reference field="10" count="1">
            <x v="276"/>
          </reference>
        </references>
      </pivotArea>
    </format>
    <format dxfId="3360">
      <pivotArea dataOnly="0" labelOnly="1" outline="0" fieldPosition="0">
        <references count="1">
          <reference field="10" count="1" defaultSubtotal="1">
            <x v="276"/>
          </reference>
        </references>
      </pivotArea>
    </format>
    <format dxfId="3361">
      <pivotArea dataOnly="0" labelOnly="1" outline="0" fieldPosition="0">
        <references count="1">
          <reference field="10" count="1">
            <x v="287"/>
          </reference>
        </references>
      </pivotArea>
    </format>
    <format dxfId="3362">
      <pivotArea dataOnly="0" labelOnly="1" outline="0" fieldPosition="0">
        <references count="1">
          <reference field="10" count="1" defaultSubtotal="1">
            <x v="287"/>
          </reference>
        </references>
      </pivotArea>
    </format>
    <format dxfId="3363">
      <pivotArea dataOnly="0" labelOnly="1" outline="0" fieldPosition="0">
        <references count="1">
          <reference field="10" count="1">
            <x v="290"/>
          </reference>
        </references>
      </pivotArea>
    </format>
    <format dxfId="3364">
      <pivotArea dataOnly="0" labelOnly="1" outline="0" fieldPosition="0">
        <references count="1">
          <reference field="10" count="1" defaultSubtotal="1">
            <x v="290"/>
          </reference>
        </references>
      </pivotArea>
    </format>
    <format dxfId="3365">
      <pivotArea dataOnly="0" labelOnly="1" outline="0" fieldPosition="0">
        <references count="1">
          <reference field="10" count="1">
            <x v="300"/>
          </reference>
        </references>
      </pivotArea>
    </format>
    <format dxfId="3366">
      <pivotArea dataOnly="0" labelOnly="1" outline="0" fieldPosition="0">
        <references count="1">
          <reference field="10" count="1" defaultSubtotal="1">
            <x v="300"/>
          </reference>
        </references>
      </pivotArea>
    </format>
    <format dxfId="3367">
      <pivotArea dataOnly="0" labelOnly="1" outline="0" fieldPosition="0">
        <references count="1">
          <reference field="10" count="1">
            <x v="313"/>
          </reference>
        </references>
      </pivotArea>
    </format>
    <format dxfId="3368">
      <pivotArea dataOnly="0" labelOnly="1" outline="0" fieldPosition="0">
        <references count="1">
          <reference field="10" count="1" defaultSubtotal="1">
            <x v="313"/>
          </reference>
        </references>
      </pivotArea>
    </format>
    <format dxfId="3369">
      <pivotArea dataOnly="0" labelOnly="1" outline="0" fieldPosition="0">
        <references count="1">
          <reference field="10" count="1">
            <x v="318"/>
          </reference>
        </references>
      </pivotArea>
    </format>
    <format dxfId="3370">
      <pivotArea dataOnly="0" labelOnly="1" outline="0" fieldPosition="0">
        <references count="1">
          <reference field="10" count="1" defaultSubtotal="1">
            <x v="318"/>
          </reference>
        </references>
      </pivotArea>
    </format>
    <format dxfId="3371">
      <pivotArea dataOnly="0" labelOnly="1" outline="0" fieldPosition="0">
        <references count="1">
          <reference field="10" count="1">
            <x v="337"/>
          </reference>
        </references>
      </pivotArea>
    </format>
    <format dxfId="3372">
      <pivotArea dataOnly="0" labelOnly="1" outline="0" fieldPosition="0">
        <references count="1">
          <reference field="10" count="1" defaultSubtotal="1">
            <x v="337"/>
          </reference>
        </references>
      </pivotArea>
    </format>
    <format dxfId="3373">
      <pivotArea dataOnly="0" labelOnly="1" outline="0" fieldPosition="0">
        <references count="1">
          <reference field="10" count="1">
            <x v="344"/>
          </reference>
        </references>
      </pivotArea>
    </format>
    <format dxfId="3374">
      <pivotArea dataOnly="0" labelOnly="1" outline="0" fieldPosition="0">
        <references count="1">
          <reference field="10" count="1" defaultSubtotal="1">
            <x v="344"/>
          </reference>
        </references>
      </pivotArea>
    </format>
    <format dxfId="3375">
      <pivotArea dataOnly="0" labelOnly="1" outline="0" fieldPosition="0">
        <references count="1">
          <reference field="10" count="1">
            <x v="347"/>
          </reference>
        </references>
      </pivotArea>
    </format>
    <format dxfId="3376">
      <pivotArea dataOnly="0" labelOnly="1" outline="0" fieldPosition="0">
        <references count="1">
          <reference field="10" count="1" defaultSubtotal="1">
            <x v="347"/>
          </reference>
        </references>
      </pivotArea>
    </format>
    <format dxfId="3377">
      <pivotArea dataOnly="0" labelOnly="1" outline="0" fieldPosition="0">
        <references count="1">
          <reference field="10" count="1">
            <x v="351"/>
          </reference>
        </references>
      </pivotArea>
    </format>
    <format dxfId="3378">
      <pivotArea dataOnly="0" labelOnly="1" outline="0" fieldPosition="0">
        <references count="1">
          <reference field="10" count="1" defaultSubtotal="1">
            <x v="351"/>
          </reference>
        </references>
      </pivotArea>
    </format>
    <format dxfId="3379">
      <pivotArea dataOnly="0" labelOnly="1" outline="0" fieldPosition="0">
        <references count="1">
          <reference field="10" count="1">
            <x v="359"/>
          </reference>
        </references>
      </pivotArea>
    </format>
    <format dxfId="3380">
      <pivotArea dataOnly="0" labelOnly="1" outline="0" fieldPosition="0">
        <references count="1">
          <reference field="10" count="1" defaultSubtotal="1">
            <x v="359"/>
          </reference>
        </references>
      </pivotArea>
    </format>
    <format dxfId="3381">
      <pivotArea dataOnly="0" labelOnly="1" outline="0" fieldPosition="0">
        <references count="1">
          <reference field="10" count="1">
            <x v="363"/>
          </reference>
        </references>
      </pivotArea>
    </format>
    <format dxfId="3382">
      <pivotArea dataOnly="0" labelOnly="1" outline="0" fieldPosition="0">
        <references count="1">
          <reference field="10" count="1" defaultSubtotal="1">
            <x v="363"/>
          </reference>
        </references>
      </pivotArea>
    </format>
    <format dxfId="3383">
      <pivotArea dataOnly="0" labelOnly="1" outline="0" fieldPosition="0">
        <references count="1">
          <reference field="10" count="1">
            <x v="368"/>
          </reference>
        </references>
      </pivotArea>
    </format>
    <format dxfId="3384">
      <pivotArea dataOnly="0" labelOnly="1" outline="0" fieldPosition="0">
        <references count="1">
          <reference field="10" count="1" defaultSubtotal="1">
            <x v="368"/>
          </reference>
        </references>
      </pivotArea>
    </format>
    <format dxfId="3385">
      <pivotArea dataOnly="0" labelOnly="1" outline="0" fieldPosition="0">
        <references count="1">
          <reference field="10" count="1">
            <x v="370"/>
          </reference>
        </references>
      </pivotArea>
    </format>
    <format dxfId="3386">
      <pivotArea dataOnly="0" labelOnly="1" outline="0" fieldPosition="0">
        <references count="1">
          <reference field="10" count="1" defaultSubtotal="1">
            <x v="370"/>
          </reference>
        </references>
      </pivotArea>
    </format>
    <format dxfId="3387">
      <pivotArea dataOnly="0" labelOnly="1" outline="0" fieldPosition="0">
        <references count="1">
          <reference field="10" count="1">
            <x v="371"/>
          </reference>
        </references>
      </pivotArea>
    </format>
    <format dxfId="3388">
      <pivotArea dataOnly="0" labelOnly="1" outline="0" fieldPosition="0">
        <references count="1">
          <reference field="10" count="1" defaultSubtotal="1">
            <x v="371"/>
          </reference>
        </references>
      </pivotArea>
    </format>
    <format dxfId="3389">
      <pivotArea dataOnly="0" labelOnly="1" outline="0" fieldPosition="0">
        <references count="1">
          <reference field="10" count="1">
            <x v="375"/>
          </reference>
        </references>
      </pivotArea>
    </format>
    <format dxfId="3390">
      <pivotArea dataOnly="0" labelOnly="1" outline="0" fieldPosition="0">
        <references count="1">
          <reference field="10" count="1" defaultSubtotal="1">
            <x v="375"/>
          </reference>
        </references>
      </pivotArea>
    </format>
    <format dxfId="3391">
      <pivotArea dataOnly="0" labelOnly="1" outline="0" fieldPosition="0">
        <references count="1">
          <reference field="10" count="1">
            <x v="377"/>
          </reference>
        </references>
      </pivotArea>
    </format>
    <format dxfId="3392">
      <pivotArea dataOnly="0" labelOnly="1" outline="0" fieldPosition="0">
        <references count="1">
          <reference field="10" count="1" defaultSubtotal="1">
            <x v="377"/>
          </reference>
        </references>
      </pivotArea>
    </format>
    <format dxfId="3393">
      <pivotArea dataOnly="0" labelOnly="1" outline="0" fieldPosition="0">
        <references count="1">
          <reference field="10" count="1">
            <x v="384"/>
          </reference>
        </references>
      </pivotArea>
    </format>
    <format dxfId="3394">
      <pivotArea dataOnly="0" labelOnly="1" outline="0" fieldPosition="0">
        <references count="1">
          <reference field="10" count="1" defaultSubtotal="1">
            <x v="384"/>
          </reference>
        </references>
      </pivotArea>
    </format>
    <format dxfId="3395">
      <pivotArea dataOnly="0" labelOnly="1" outline="0" fieldPosition="0">
        <references count="1">
          <reference field="10" count="1">
            <x v="387"/>
          </reference>
        </references>
      </pivotArea>
    </format>
    <format dxfId="3396">
      <pivotArea dataOnly="0" labelOnly="1" outline="0" fieldPosition="0">
        <references count="1">
          <reference field="10" count="1" defaultSubtotal="1">
            <x v="387"/>
          </reference>
        </references>
      </pivotArea>
    </format>
    <format dxfId="3397">
      <pivotArea dataOnly="0" labelOnly="1" outline="0" fieldPosition="0">
        <references count="1">
          <reference field="10" count="1">
            <x v="388"/>
          </reference>
        </references>
      </pivotArea>
    </format>
    <format dxfId="3398">
      <pivotArea dataOnly="0" labelOnly="1" outline="0" fieldPosition="0">
        <references count="1">
          <reference field="10" count="1" defaultSubtotal="1">
            <x v="388"/>
          </reference>
        </references>
      </pivotArea>
    </format>
    <format dxfId="3399">
      <pivotArea dataOnly="0" labelOnly="1" outline="0" fieldPosition="0">
        <references count="1">
          <reference field="10" count="1">
            <x v="391"/>
          </reference>
        </references>
      </pivotArea>
    </format>
    <format dxfId="3400">
      <pivotArea dataOnly="0" labelOnly="1" outline="0" fieldPosition="0">
        <references count="1">
          <reference field="10" count="1" defaultSubtotal="1">
            <x v="391"/>
          </reference>
        </references>
      </pivotArea>
    </format>
    <format dxfId="3401">
      <pivotArea dataOnly="0" labelOnly="1" outline="0" fieldPosition="0">
        <references count="1">
          <reference field="10" count="1">
            <x v="403"/>
          </reference>
        </references>
      </pivotArea>
    </format>
    <format dxfId="3402">
      <pivotArea dataOnly="0" labelOnly="1" outline="0" fieldPosition="0">
        <references count="1">
          <reference field="10" count="1" defaultSubtotal="1">
            <x v="403"/>
          </reference>
        </references>
      </pivotArea>
    </format>
    <format dxfId="3403">
      <pivotArea dataOnly="0" labelOnly="1" outline="0" fieldPosition="0">
        <references count="1">
          <reference field="10" count="1">
            <x v="410"/>
          </reference>
        </references>
      </pivotArea>
    </format>
    <format dxfId="3404">
      <pivotArea dataOnly="0" labelOnly="1" outline="0" fieldPosition="0">
        <references count="1">
          <reference field="10" count="1" defaultSubtotal="1">
            <x v="410"/>
          </reference>
        </references>
      </pivotArea>
    </format>
    <format dxfId="3405">
      <pivotArea dataOnly="0" labelOnly="1" outline="0" fieldPosition="0">
        <references count="1">
          <reference field="10" count="1">
            <x v="415"/>
          </reference>
        </references>
      </pivotArea>
    </format>
    <format dxfId="3406">
      <pivotArea dataOnly="0" labelOnly="1" outline="0" fieldPosition="0">
        <references count="1">
          <reference field="10" count="1" defaultSubtotal="1">
            <x v="415"/>
          </reference>
        </references>
      </pivotArea>
    </format>
    <format dxfId="3407">
      <pivotArea dataOnly="0" labelOnly="1" outline="0" fieldPosition="0">
        <references count="1">
          <reference field="10" count="1">
            <x v="416"/>
          </reference>
        </references>
      </pivotArea>
    </format>
    <format dxfId="3408">
      <pivotArea dataOnly="0" labelOnly="1" outline="0" fieldPosition="0">
        <references count="1">
          <reference field="10" count="1" defaultSubtotal="1">
            <x v="416"/>
          </reference>
        </references>
      </pivotArea>
    </format>
    <format dxfId="3409">
      <pivotArea dataOnly="0" labelOnly="1" outline="0" fieldPosition="0">
        <references count="1">
          <reference field="10" count="1">
            <x v="423"/>
          </reference>
        </references>
      </pivotArea>
    </format>
    <format dxfId="3410">
      <pivotArea dataOnly="0" labelOnly="1" outline="0" fieldPosition="0">
        <references count="1">
          <reference field="10" count="1" defaultSubtotal="1">
            <x v="423"/>
          </reference>
        </references>
      </pivotArea>
    </format>
    <format dxfId="3411">
      <pivotArea dataOnly="0" labelOnly="1" outline="0" fieldPosition="0">
        <references count="1">
          <reference field="10" count="1">
            <x v="424"/>
          </reference>
        </references>
      </pivotArea>
    </format>
    <format dxfId="3412">
      <pivotArea dataOnly="0" labelOnly="1" outline="0" fieldPosition="0">
        <references count="1">
          <reference field="10" count="1" defaultSubtotal="1">
            <x v="424"/>
          </reference>
        </references>
      </pivotArea>
    </format>
    <format dxfId="3413">
      <pivotArea dataOnly="0" labelOnly="1" outline="0" fieldPosition="0">
        <references count="1">
          <reference field="10" count="1">
            <x v="426"/>
          </reference>
        </references>
      </pivotArea>
    </format>
    <format dxfId="3414">
      <pivotArea dataOnly="0" labelOnly="1" outline="0" fieldPosition="0">
        <references count="1">
          <reference field="10" count="1" defaultSubtotal="1">
            <x v="426"/>
          </reference>
        </references>
      </pivotArea>
    </format>
    <format dxfId="3415">
      <pivotArea dataOnly="0" labelOnly="1" outline="0" fieldPosition="0">
        <references count="1">
          <reference field="10" count="1">
            <x v="434"/>
          </reference>
        </references>
      </pivotArea>
    </format>
    <format dxfId="3416">
      <pivotArea dataOnly="0" labelOnly="1" outline="0" fieldPosition="0">
        <references count="1">
          <reference field="10" count="1" defaultSubtotal="1">
            <x v="434"/>
          </reference>
        </references>
      </pivotArea>
    </format>
    <format dxfId="3417">
      <pivotArea dataOnly="0" labelOnly="1" outline="0" fieldPosition="0">
        <references count="1">
          <reference field="10" count="1">
            <x v="435"/>
          </reference>
        </references>
      </pivotArea>
    </format>
    <format dxfId="3418">
      <pivotArea dataOnly="0" labelOnly="1" outline="0" fieldPosition="0">
        <references count="1">
          <reference field="10" count="1" defaultSubtotal="1">
            <x v="435"/>
          </reference>
        </references>
      </pivotArea>
    </format>
    <format dxfId="3419">
      <pivotArea dataOnly="0" labelOnly="1" outline="0" fieldPosition="0">
        <references count="1">
          <reference field="10" count="1">
            <x v="437"/>
          </reference>
        </references>
      </pivotArea>
    </format>
    <format dxfId="3420">
      <pivotArea dataOnly="0" labelOnly="1" outline="0" fieldPosition="0">
        <references count="1">
          <reference field="10" count="1" defaultSubtotal="1">
            <x v="437"/>
          </reference>
        </references>
      </pivotArea>
    </format>
    <format dxfId="3421">
      <pivotArea dataOnly="0" labelOnly="1" outline="0" fieldPosition="0">
        <references count="1">
          <reference field="10" count="1">
            <x v="449"/>
          </reference>
        </references>
      </pivotArea>
    </format>
    <format dxfId="3422">
      <pivotArea dataOnly="0" labelOnly="1" outline="0" fieldPosition="0">
        <references count="1">
          <reference field="10" count="1" defaultSubtotal="1">
            <x v="449"/>
          </reference>
        </references>
      </pivotArea>
    </format>
    <format dxfId="3423">
      <pivotArea dataOnly="0" labelOnly="1" outline="0" fieldPosition="0">
        <references count="1">
          <reference field="10" count="1">
            <x v="463"/>
          </reference>
        </references>
      </pivotArea>
    </format>
    <format dxfId="3424">
      <pivotArea dataOnly="0" labelOnly="1" outline="0" fieldPosition="0">
        <references count="1">
          <reference field="10" count="1" defaultSubtotal="1">
            <x v="463"/>
          </reference>
        </references>
      </pivotArea>
    </format>
    <format dxfId="3425">
      <pivotArea dataOnly="0" labelOnly="1" outline="0" fieldPosition="0">
        <references count="1">
          <reference field="10" count="1">
            <x v="465"/>
          </reference>
        </references>
      </pivotArea>
    </format>
    <format dxfId="3426">
      <pivotArea dataOnly="0" labelOnly="1" outline="0" fieldPosition="0">
        <references count="1">
          <reference field="10" count="1" defaultSubtotal="1">
            <x v="465"/>
          </reference>
        </references>
      </pivotArea>
    </format>
    <format dxfId="3427">
      <pivotArea dataOnly="0" labelOnly="1" outline="0" fieldPosition="0">
        <references count="1">
          <reference field="10" count="1">
            <x v="477"/>
          </reference>
        </references>
      </pivotArea>
    </format>
    <format dxfId="3428">
      <pivotArea dataOnly="0" labelOnly="1" outline="0" fieldPosition="0">
        <references count="1">
          <reference field="10" count="1" defaultSubtotal="1">
            <x v="477"/>
          </reference>
        </references>
      </pivotArea>
    </format>
    <format dxfId="3429">
      <pivotArea dataOnly="0" labelOnly="1" outline="0" fieldPosition="0">
        <references count="1">
          <reference field="10" count="1">
            <x v="487"/>
          </reference>
        </references>
      </pivotArea>
    </format>
    <format dxfId="3430">
      <pivotArea dataOnly="0" labelOnly="1" outline="0" fieldPosition="0">
        <references count="1">
          <reference field="10" count="1" defaultSubtotal="1">
            <x v="487"/>
          </reference>
        </references>
      </pivotArea>
    </format>
    <format dxfId="3431">
      <pivotArea dataOnly="0" labelOnly="1" outline="0" fieldPosition="0">
        <references count="1">
          <reference field="10" count="1">
            <x v="496"/>
          </reference>
        </references>
      </pivotArea>
    </format>
    <format dxfId="3432">
      <pivotArea dataOnly="0" labelOnly="1" outline="0" fieldPosition="0">
        <references count="1">
          <reference field="10" count="1" defaultSubtotal="1">
            <x v="496"/>
          </reference>
        </references>
      </pivotArea>
    </format>
    <format dxfId="3433">
      <pivotArea dataOnly="0" labelOnly="1" outline="0" fieldPosition="0">
        <references count="1">
          <reference field="10" count="1">
            <x v="505"/>
          </reference>
        </references>
      </pivotArea>
    </format>
    <format dxfId="3434">
      <pivotArea dataOnly="0" labelOnly="1" outline="0" fieldPosition="0">
        <references count="1">
          <reference field="10" count="1" defaultSubtotal="1">
            <x v="505"/>
          </reference>
        </references>
      </pivotArea>
    </format>
    <format dxfId="3435">
      <pivotArea dataOnly="0" labelOnly="1" outline="0" fieldPosition="0">
        <references count="1">
          <reference field="10" count="1">
            <x v="513"/>
          </reference>
        </references>
      </pivotArea>
    </format>
    <format dxfId="3436">
      <pivotArea dataOnly="0" labelOnly="1" outline="0" fieldPosition="0">
        <references count="1">
          <reference field="10" count="1" defaultSubtotal="1">
            <x v="513"/>
          </reference>
        </references>
      </pivotArea>
    </format>
    <format dxfId="3437">
      <pivotArea dataOnly="0" labelOnly="1" outline="0" fieldPosition="0">
        <references count="1">
          <reference field="10" count="1">
            <x v="518"/>
          </reference>
        </references>
      </pivotArea>
    </format>
    <format dxfId="3438">
      <pivotArea dataOnly="0" labelOnly="1" outline="0" fieldPosition="0">
        <references count="1">
          <reference field="10" count="1" defaultSubtotal="1">
            <x v="518"/>
          </reference>
        </references>
      </pivotArea>
    </format>
    <format dxfId="3439">
      <pivotArea dataOnly="0" labelOnly="1" outline="0" fieldPosition="0">
        <references count="1">
          <reference field="10" count="1">
            <x v="524"/>
          </reference>
        </references>
      </pivotArea>
    </format>
    <format dxfId="3440">
      <pivotArea dataOnly="0" labelOnly="1" outline="0" fieldPosition="0">
        <references count="1">
          <reference field="10" count="1" defaultSubtotal="1">
            <x v="524"/>
          </reference>
        </references>
      </pivotArea>
    </format>
    <format dxfId="3441">
      <pivotArea dataOnly="0" labelOnly="1" outline="0" fieldPosition="0">
        <references count="1">
          <reference field="10" count="1">
            <x v="529"/>
          </reference>
        </references>
      </pivotArea>
    </format>
    <format dxfId="3442">
      <pivotArea dataOnly="0" labelOnly="1" outline="0" fieldPosition="0">
        <references count="1">
          <reference field="10" count="1" defaultSubtotal="1">
            <x v="529"/>
          </reference>
        </references>
      </pivotArea>
    </format>
    <format dxfId="3443">
      <pivotArea dataOnly="0" labelOnly="1" outline="0" fieldPosition="0">
        <references count="1">
          <reference field="10" count="1">
            <x v="534"/>
          </reference>
        </references>
      </pivotArea>
    </format>
    <format dxfId="3444">
      <pivotArea dataOnly="0" labelOnly="1" outline="0" fieldPosition="0">
        <references count="1">
          <reference field="10" count="1" defaultSubtotal="1">
            <x v="534"/>
          </reference>
        </references>
      </pivotArea>
    </format>
    <format dxfId="3445">
      <pivotArea dataOnly="0" labelOnly="1" outline="0" fieldPosition="0">
        <references count="1">
          <reference field="10" count="1">
            <x v="540"/>
          </reference>
        </references>
      </pivotArea>
    </format>
    <format dxfId="3446">
      <pivotArea dataOnly="0" labelOnly="1" outline="0" fieldPosition="0">
        <references count="1">
          <reference field="10" count="1" defaultSubtotal="1">
            <x v="540"/>
          </reference>
        </references>
      </pivotArea>
    </format>
    <format dxfId="3447">
      <pivotArea dataOnly="0" labelOnly="1" outline="0" fieldPosition="0">
        <references count="1">
          <reference field="10" count="1">
            <x v="546"/>
          </reference>
        </references>
      </pivotArea>
    </format>
    <format dxfId="3448">
      <pivotArea dataOnly="0" labelOnly="1" outline="0" fieldPosition="0">
        <references count="1">
          <reference field="10" count="1" defaultSubtotal="1">
            <x v="546"/>
          </reference>
        </references>
      </pivotArea>
    </format>
    <format dxfId="3449">
      <pivotArea dataOnly="0" labelOnly="1" outline="0" fieldPosition="0">
        <references count="1">
          <reference field="10" count="1">
            <x v="547"/>
          </reference>
        </references>
      </pivotArea>
    </format>
    <format dxfId="3450">
      <pivotArea dataOnly="0" labelOnly="1" outline="0" fieldPosition="0">
        <references count="1">
          <reference field="10" count="1" defaultSubtotal="1">
            <x v="547"/>
          </reference>
        </references>
      </pivotArea>
    </format>
    <format dxfId="345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74219-5A5F-4AF4-A751-F0EFEB5FEAFA}" name="Tabla dinámica4" cacheId="8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287" firstHeaderRow="0" firstDataRow="1" firstDataCol="2" rowPageCount="1" colPageCount="1"/>
  <pivotFields count="24">
    <pivotField compact="0" outline="0" showAll="0"/>
    <pivotField compact="0" outline="0" showAll="0"/>
    <pivotField axis="axisRow" compact="0" outline="0" showAll="0">
      <items count="3480">
        <item m="1" x="1942"/>
        <item m="1" x="1943"/>
        <item m="1" x="1944"/>
        <item m="1" x="1945"/>
        <item m="1" x="1946"/>
        <item m="1" x="3415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3416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3417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3418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341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3420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3421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3422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3423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3424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3425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3426"/>
        <item m="1" x="3427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3428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3429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3430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3431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3432"/>
        <item m="1" x="2369"/>
        <item m="1" x="2370"/>
        <item m="1" x="2371"/>
        <item m="1" x="3433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3434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3435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3477"/>
        <item m="1" x="3478"/>
        <item m="1" x="2478"/>
        <item m="1" x="2479"/>
        <item m="1" x="2480"/>
        <item m="1" x="2481"/>
        <item m="1" x="2482"/>
        <item m="1" x="2483"/>
        <item m="1" x="2484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3436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3437"/>
        <item m="1" x="2629"/>
        <item m="1" x="2630"/>
        <item m="1" x="2631"/>
        <item m="1" x="2632"/>
        <item m="1" x="2633"/>
        <item m="1" x="2634"/>
        <item m="1" x="2635"/>
        <item m="1" x="2636"/>
        <item m="1" x="3438"/>
        <item m="1" x="2637"/>
        <item m="1" x="2638"/>
        <item m="1" x="2639"/>
        <item m="1" x="2640"/>
        <item m="1" x="2641"/>
        <item m="1" x="3439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3440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3441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3442"/>
        <item m="1" x="2811"/>
        <item m="1" x="2812"/>
        <item m="1" x="3443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344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3445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3446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447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448"/>
        <item m="1" x="3079"/>
        <item m="1" x="3080"/>
        <item m="1" x="3081"/>
        <item m="1" x="3082"/>
        <item m="1" x="3083"/>
        <item m="1" x="3084"/>
        <item m="1" x="3449"/>
        <item m="1" x="3450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451"/>
        <item m="1" x="3127"/>
        <item m="1" x="3128"/>
        <item m="1" x="3129"/>
        <item m="1" x="3130"/>
        <item m="1" x="3131"/>
        <item m="1" x="3132"/>
        <item m="1" x="3133"/>
        <item m="1" x="3134"/>
        <item m="1" x="3452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453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454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45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456"/>
        <item m="1" x="345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458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459"/>
        <item m="1" x="3270"/>
        <item m="1" x="3271"/>
        <item m="1" x="3272"/>
        <item m="1" x="3273"/>
        <item m="1" x="3274"/>
        <item m="1" x="3275"/>
        <item m="1" x="3276"/>
        <item m="1" x="3460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470"/>
        <item m="1" x="3370"/>
        <item m="1" x="1941"/>
        <item m="1" x="3414"/>
        <item m="1" x="3371"/>
        <item m="1" x="3372"/>
        <item m="1" x="3373"/>
        <item m="1" x="3374"/>
        <item m="1" x="3375"/>
        <item m="1" x="3376"/>
        <item m="1" x="3377"/>
        <item m="1" x="3378"/>
        <item m="1" x="3471"/>
        <item m="1" x="3379"/>
        <item m="1" x="3380"/>
        <item m="1" x="3381"/>
        <item m="1" x="3382"/>
        <item m="1" x="3383"/>
        <item m="1" x="3472"/>
        <item m="1" x="3473"/>
        <item m="1" x="3384"/>
        <item m="1" x="3385"/>
        <item m="1" x="3386"/>
        <item m="1" x="3387"/>
        <item m="1" x="3388"/>
        <item m="1" x="3389"/>
        <item m="1" x="3474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75"/>
        <item m="1" x="3404"/>
        <item m="1" x="3405"/>
        <item m="1" x="3406"/>
        <item m="1" x="3407"/>
        <item m="1" x="3408"/>
        <item m="1" x="3409"/>
        <item m="1" x="3410"/>
        <item m="1" x="3476"/>
        <item m="1" x="3411"/>
        <item m="1" x="3412"/>
        <item m="1" x="3413"/>
        <item m="1" x="1940"/>
        <item m="1" x="2477"/>
        <item m="1" x="2485"/>
        <item x="19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2"/>
        <item x="1426"/>
        <item x="1431"/>
        <item x="1435"/>
        <item x="1437"/>
        <item x="1440"/>
        <item x="1448"/>
        <item x="1450"/>
        <item x="1452"/>
        <item x="1454"/>
        <item x="1463"/>
        <item x="1465"/>
        <item x="1467"/>
        <item x="1476"/>
        <item x="1481"/>
        <item x="1482"/>
        <item x="1483"/>
        <item x="1490"/>
        <item x="1502"/>
        <item x="1506"/>
        <item x="1508"/>
        <item x="1421"/>
        <item x="1423"/>
        <item x="1424"/>
        <item x="1425"/>
        <item x="1427"/>
        <item x="1428"/>
        <item x="1429"/>
        <item x="1430"/>
        <item x="1432"/>
        <item x="1433"/>
        <item x="1434"/>
        <item x="1436"/>
        <item x="1438"/>
        <item x="1439"/>
        <item x="1441"/>
        <item x="1442"/>
        <item x="1443"/>
        <item x="1444"/>
        <item x="1445"/>
        <item x="1446"/>
        <item x="1447"/>
        <item x="1449"/>
        <item x="1451"/>
        <item x="1453"/>
        <item x="1455"/>
        <item x="1456"/>
        <item x="1457"/>
        <item x="1458"/>
        <item x="1459"/>
        <item x="1460"/>
        <item x="1461"/>
        <item x="1462"/>
        <item x="1464"/>
        <item x="1466"/>
        <item x="1468"/>
        <item x="1469"/>
        <item x="1470"/>
        <item x="1471"/>
        <item x="1472"/>
        <item x="1473"/>
        <item x="1474"/>
        <item x="1475"/>
        <item x="1477"/>
        <item x="1478"/>
        <item x="1479"/>
        <item x="1480"/>
        <item x="1484"/>
        <item x="1485"/>
        <item x="1486"/>
        <item x="1487"/>
        <item x="1488"/>
        <item x="1489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3"/>
        <item x="1504"/>
        <item x="1505"/>
        <item x="1507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833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80">
        <item x="470"/>
        <item m="1" x="916"/>
        <item m="1" x="956"/>
        <item m="1" x="974"/>
        <item m="1" x="991"/>
        <item x="640"/>
        <item x="381"/>
        <item x="34"/>
        <item x="39"/>
        <item x="245"/>
        <item x="52"/>
        <item m="1" x="835"/>
        <item x="747"/>
        <item x="225"/>
        <item x="645"/>
        <item m="1" x="915"/>
        <item x="508"/>
        <item x="124"/>
        <item m="1" x="888"/>
        <item x="554"/>
        <item x="375"/>
        <item m="1" x="944"/>
        <item m="1" x="861"/>
        <item m="1" x="889"/>
        <item m="1" x="1005"/>
        <item x="695"/>
        <item x="46"/>
        <item x="498"/>
        <item x="620"/>
        <item x="707"/>
        <item m="1" x="1072"/>
        <item m="1" x="866"/>
        <item m="1" x="1003"/>
        <item m="1" x="828"/>
        <item x="252"/>
        <item m="1" x="816"/>
        <item x="50"/>
        <item x="500"/>
        <item m="1" x="811"/>
        <item m="1" x="989"/>
        <item x="409"/>
        <item x="644"/>
        <item x="138"/>
        <item x="14"/>
        <item m="1" x="911"/>
        <item m="1" x="995"/>
        <item x="779"/>
        <item x="31"/>
        <item x="706"/>
        <item x="397"/>
        <item x="488"/>
        <item x="427"/>
        <item x="285"/>
        <item x="331"/>
        <item m="1" x="829"/>
        <item m="1" x="903"/>
        <item x="157"/>
        <item x="141"/>
        <item x="259"/>
        <item m="1" x="957"/>
        <item x="73"/>
        <item m="1" x="870"/>
        <item x="464"/>
        <item x="65"/>
        <item m="1" x="999"/>
        <item x="36"/>
        <item m="1" x="878"/>
        <item m="1" x="950"/>
        <item x="61"/>
        <item x="2"/>
        <item x="667"/>
        <item x="102"/>
        <item x="670"/>
        <item x="567"/>
        <item m="1" x="824"/>
        <item x="721"/>
        <item m="1" x="865"/>
        <item m="1" x="842"/>
        <item m="1" x="1008"/>
        <item m="1" x="847"/>
        <item m="1" x="978"/>
        <item x="0"/>
        <item x="799"/>
        <item x="334"/>
        <item x="67"/>
        <item m="1" x="831"/>
        <item x="668"/>
        <item x="621"/>
        <item m="1" x="971"/>
        <item x="310"/>
        <item m="1" x="886"/>
        <item x="12"/>
        <item x="694"/>
        <item x="107"/>
        <item x="144"/>
        <item x="424"/>
        <item m="1" x="953"/>
        <item m="1" x="1070"/>
        <item m="1" x="823"/>
        <item m="1" x="941"/>
        <item x="64"/>
        <item m="1" x="910"/>
        <item x="794"/>
        <item x="418"/>
        <item x="649"/>
        <item x="286"/>
        <item m="1" x="965"/>
        <item x="224"/>
        <item x="787"/>
        <item x="154"/>
        <item x="358"/>
        <item x="792"/>
        <item m="1" x="1002"/>
        <item x="737"/>
        <item x="560"/>
        <item m="1" x="970"/>
        <item m="1" x="925"/>
        <item m="1" x="985"/>
        <item x="481"/>
        <item m="1" x="934"/>
        <item m="1" x="1167"/>
        <item x="49"/>
        <item x="196"/>
        <item m="1" x="873"/>
        <item m="1" x="1021"/>
        <item x="528"/>
        <item x="399"/>
        <item m="1" x="990"/>
        <item x="227"/>
        <item m="1" x="947"/>
        <item m="1" x="1019"/>
        <item x="339"/>
        <item m="1" x="855"/>
        <item m="1" x="962"/>
        <item x="675"/>
        <item x="169"/>
        <item x="255"/>
        <item x="673"/>
        <item x="142"/>
        <item x="485"/>
        <item m="1" x="896"/>
        <item x="522"/>
        <item m="1" x="880"/>
        <item x="519"/>
        <item m="1" x="874"/>
        <item m="1" x="890"/>
        <item m="1" x="997"/>
        <item m="1" x="959"/>
        <item m="1" x="894"/>
        <item x="439"/>
        <item x="696"/>
        <item x="353"/>
        <item x="494"/>
        <item x="449"/>
        <item x="182"/>
        <item m="1" x="1004"/>
        <item x="122"/>
        <item x="306"/>
        <item m="1" x="955"/>
        <item x="192"/>
        <item m="1" x="1135"/>
        <item m="1" x="826"/>
        <item m="1" x="908"/>
        <item x="471"/>
        <item m="1" x="1006"/>
        <item x="806"/>
        <item m="1" x="850"/>
        <item x="239"/>
        <item x="501"/>
        <item m="1" x="895"/>
        <item x="23"/>
        <item x="86"/>
        <item m="1" x="833"/>
        <item x="398"/>
        <item m="1" x="856"/>
        <item x="344"/>
        <item m="1" x="906"/>
        <item x="602"/>
        <item m="1" x="825"/>
        <item m="1" x="1165"/>
        <item m="1" x="862"/>
        <item x="726"/>
        <item m="1" x="1057"/>
        <item m="1" x="994"/>
        <item x="24"/>
        <item x="22"/>
        <item x="37"/>
        <item m="1" x="1164"/>
        <item m="1" x="933"/>
        <item x="604"/>
        <item m="1" x="877"/>
        <item x="516"/>
        <item x="395"/>
        <item m="1" x="810"/>
        <item m="1" x="867"/>
        <item x="170"/>
        <item m="1" x="948"/>
        <item x="387"/>
        <item m="1" x="845"/>
        <item x="29"/>
        <item m="1" x="961"/>
        <item m="1" x="857"/>
        <item x="183"/>
        <item x="127"/>
        <item m="1" x="983"/>
        <item m="1" x="821"/>
        <item x="20"/>
        <item x="482"/>
        <item x="484"/>
        <item x="302"/>
        <item m="1" x="830"/>
        <item x="429"/>
        <item m="1" x="814"/>
        <item x="678"/>
        <item x="733"/>
        <item x="671"/>
        <item m="1" x="1171"/>
        <item m="1" x="839"/>
        <item x="284"/>
        <item m="1" x="929"/>
        <item x="43"/>
        <item x="714"/>
        <item m="1" x="996"/>
        <item m="1" x="859"/>
        <item x="190"/>
        <item x="248"/>
        <item m="1" x="905"/>
        <item x="171"/>
        <item x="54"/>
        <item m="1" x="863"/>
        <item m="1" x="930"/>
        <item m="1" x="836"/>
        <item m="1" x="1000"/>
        <item x="745"/>
        <item x="336"/>
        <item x="189"/>
        <item x="660"/>
        <item m="1" x="927"/>
        <item x="766"/>
        <item m="1" x="981"/>
        <item m="1" x="819"/>
        <item x="201"/>
        <item m="1" x="952"/>
        <item m="1" x="946"/>
        <item x="25"/>
        <item m="1" x="936"/>
        <item x="232"/>
        <item x="33"/>
        <item m="1" x="1020"/>
        <item x="390"/>
        <item m="1" x="893"/>
        <item x="163"/>
        <item x="164"/>
        <item x="793"/>
        <item x="616"/>
        <item m="1" x="822"/>
        <item x="762"/>
        <item x="423"/>
        <item m="1" x="918"/>
        <item x="145"/>
        <item x="487"/>
        <item m="1" x="968"/>
        <item x="194"/>
        <item x="617"/>
        <item m="1" x="1071"/>
        <item x="233"/>
        <item m="1" x="909"/>
        <item m="1" x="813"/>
        <item x="57"/>
        <item x="380"/>
        <item m="1" x="977"/>
        <item x="546"/>
        <item m="1" x="988"/>
        <item x="679"/>
        <item m="1" x="1013"/>
        <item x="176"/>
        <item x="3"/>
        <item m="1" x="914"/>
        <item m="1" x="949"/>
        <item m="1" x="932"/>
        <item x="430"/>
        <item x="99"/>
        <item x="704"/>
        <item m="1" x="898"/>
        <item m="1" x="872"/>
        <item x="447"/>
        <item m="1" x="846"/>
        <item x="441"/>
        <item x="364"/>
        <item x="548"/>
        <item m="1" x="938"/>
        <item x="456"/>
        <item m="1" x="1011"/>
        <item x="463"/>
        <item x="179"/>
        <item m="1" x="972"/>
        <item m="1" x="1018"/>
        <item x="56"/>
        <item x="175"/>
        <item x="271"/>
        <item m="1" x="939"/>
        <item m="1" x="1017"/>
        <item m="1" x="848"/>
        <item x="82"/>
        <item x="47"/>
        <item x="446"/>
        <item x="241"/>
        <item x="718"/>
        <item x="133"/>
        <item x="30"/>
        <item x="116"/>
        <item m="1" x="912"/>
        <item m="1" x="834"/>
        <item m="1" x="1169"/>
        <item x="301"/>
        <item x="686"/>
        <item m="1" x="869"/>
        <item m="1" x="1172"/>
        <item m="1" x="897"/>
        <item m="1" x="884"/>
        <item x="534"/>
        <item m="1" x="943"/>
        <item m="1" x="1173"/>
        <item x="523"/>
        <item x="307"/>
        <item x="165"/>
        <item x="113"/>
        <item x="593"/>
        <item m="1" x="904"/>
        <item m="1" x="885"/>
        <item x="211"/>
        <item m="1" x="980"/>
        <item x="359"/>
        <item x="42"/>
        <item x="221"/>
        <item m="1" x="1010"/>
        <item x="547"/>
        <item x="80"/>
        <item x="85"/>
        <item x="473"/>
        <item x="290"/>
        <item x="63"/>
        <item x="89"/>
        <item m="1" x="964"/>
        <item m="1" x="931"/>
        <item x="234"/>
        <item m="1" x="919"/>
        <item m="1" x="1166"/>
        <item x="202"/>
        <item x="28"/>
        <item m="1" x="871"/>
        <item m="1" x="945"/>
        <item x="118"/>
        <item x="515"/>
        <item x="462"/>
        <item m="1" x="887"/>
        <item x="491"/>
        <item x="215"/>
        <item m="1" x="954"/>
        <item m="1" x="924"/>
        <item m="1" x="854"/>
        <item x="778"/>
        <item x="8"/>
        <item x="251"/>
        <item m="1" x="963"/>
        <item m="1" x="920"/>
        <item m="1" x="913"/>
        <item m="1" x="815"/>
        <item m="1" x="837"/>
        <item m="1" x="860"/>
        <item m="1" x="926"/>
        <item m="1" x="942"/>
        <item x="38"/>
        <item x="499"/>
        <item m="1" x="998"/>
        <item x="720"/>
        <item x="349"/>
        <item x="287"/>
        <item x="683"/>
        <item m="1" x="827"/>
        <item m="1" x="1015"/>
        <item x="79"/>
        <item x="243"/>
        <item x="326"/>
        <item x="759"/>
        <item x="130"/>
        <item m="1" x="812"/>
        <item m="1" x="922"/>
        <item m="1" x="864"/>
        <item m="1" x="818"/>
        <item m="1" x="838"/>
        <item m="1" x="879"/>
        <item x="445"/>
        <item x="106"/>
        <item m="1" x="881"/>
        <item m="1" x="951"/>
        <item x="150"/>
        <item x="66"/>
        <item x="406"/>
        <item x="587"/>
        <item m="1" x="982"/>
        <item m="1" x="1170"/>
        <item x="386"/>
        <item x="136"/>
        <item x="186"/>
        <item x="237"/>
        <item x="58"/>
        <item x="280"/>
        <item x="472"/>
        <item m="1" x="975"/>
        <item m="1" x="844"/>
        <item x="110"/>
        <item x="324"/>
        <item x="199"/>
        <item m="1" x="901"/>
        <item x="606"/>
        <item x="253"/>
        <item x="69"/>
        <item m="1" x="841"/>
        <item m="1" x="876"/>
        <item x="16"/>
        <item x="770"/>
        <item m="1" x="921"/>
        <item x="340"/>
        <item x="230"/>
        <item x="538"/>
        <item x="493"/>
        <item x="160"/>
        <item x="717"/>
        <item x="372"/>
        <item x="509"/>
        <item x="453"/>
        <item x="510"/>
        <item m="1" x="817"/>
        <item x="385"/>
        <item m="1" x="832"/>
        <item m="1" x="899"/>
        <item x="711"/>
        <item x="40"/>
        <item m="1" x="1012"/>
        <item x="769"/>
        <item m="1" x="1009"/>
        <item m="1" x="902"/>
        <item x="744"/>
        <item x="178"/>
        <item x="126"/>
        <item m="1" x="1174"/>
        <item m="1" x="1016"/>
        <item x="213"/>
        <item x="75"/>
        <item x="261"/>
        <item m="1" x="883"/>
        <item m="1" x="976"/>
        <item x="458"/>
        <item m="1" x="979"/>
        <item x="162"/>
        <item x="203"/>
        <item x="618"/>
        <item x="44"/>
        <item x="527"/>
        <item m="1" x="973"/>
        <item x="137"/>
        <item m="1" x="868"/>
        <item x="329"/>
        <item m="1" x="892"/>
        <item x="297"/>
        <item m="1" x="820"/>
        <item x="195"/>
        <item x="184"/>
        <item x="335"/>
        <item x="596"/>
        <item m="1" x="1163"/>
        <item m="1" x="960"/>
        <item x="613"/>
        <item x="279"/>
        <item x="760"/>
        <item x="685"/>
        <item x="263"/>
        <item x="724"/>
        <item x="392"/>
        <item m="1" x="1168"/>
        <item x="317"/>
        <item m="1" x="907"/>
        <item x="657"/>
        <item x="681"/>
        <item x="94"/>
        <item x="631"/>
        <item x="87"/>
        <item x="289"/>
        <item x="632"/>
        <item m="1" x="940"/>
        <item m="1" x="840"/>
        <item x="308"/>
        <item m="1" x="984"/>
        <item x="333"/>
        <item x="140"/>
        <item m="1" x="849"/>
        <item m="1" x="992"/>
        <item x="256"/>
        <item m="1" x="928"/>
        <item m="1" x="852"/>
        <item m="1" x="923"/>
        <item m="1" x="986"/>
        <item x="425"/>
        <item x="347"/>
        <item x="543"/>
        <item x="125"/>
        <item m="1" x="967"/>
        <item x="773"/>
        <item x="55"/>
        <item m="1" x="993"/>
        <item x="692"/>
        <item x="691"/>
        <item x="48"/>
        <item m="1" x="853"/>
        <item m="1" x="937"/>
        <item x="62"/>
        <item m="1" x="987"/>
        <item m="1" x="935"/>
        <item x="111"/>
        <item x="337"/>
        <item m="1" x="1014"/>
        <item x="629"/>
        <item m="1" x="891"/>
        <item m="1" x="917"/>
        <item m="1" x="958"/>
        <item m="1" x="858"/>
        <item x="795"/>
        <item x="260"/>
        <item x="642"/>
        <item x="379"/>
        <item m="1" x="875"/>
        <item x="268"/>
        <item m="1" x="851"/>
        <item x="402"/>
        <item x="693"/>
        <item m="1" x="900"/>
        <item m="1" x="1007"/>
        <item x="805"/>
        <item x="676"/>
        <item m="1" x="966"/>
        <item x="114"/>
        <item m="1" x="882"/>
        <item m="1" x="843"/>
        <item x="148"/>
        <item x="591"/>
        <item x="382"/>
        <item m="1" x="969"/>
        <item x="258"/>
        <item x="312"/>
        <item m="1" x="1022"/>
        <item x="454"/>
        <item x="709"/>
        <item x="786"/>
        <item m="1" x="1023"/>
        <item x="658"/>
        <item x="734"/>
        <item m="1" x="1024"/>
        <item m="1" x="1025"/>
        <item m="1" x="1026"/>
        <item m="1" x="1027"/>
        <item x="319"/>
        <item x="690"/>
        <item x="197"/>
        <item m="1" x="1028"/>
        <item m="1" x="1029"/>
        <item m="1" x="1030"/>
        <item m="1" x="1031"/>
        <item m="1" x="1032"/>
        <item m="1" x="1175"/>
        <item m="1" x="1033"/>
        <item x="298"/>
        <item m="1" x="1034"/>
        <item x="699"/>
        <item m="1" x="1035"/>
        <item x="552"/>
        <item x="573"/>
        <item x="267"/>
        <item x="460"/>
        <item x="461"/>
        <item x="459"/>
        <item m="1" x="1036"/>
        <item x="129"/>
        <item m="1" x="1037"/>
        <item m="1" x="1038"/>
        <item m="1" x="1039"/>
        <item x="121"/>
        <item m="1" x="1040"/>
        <item m="1" x="1041"/>
        <item m="1" x="1042"/>
        <item m="1" x="1043"/>
        <item m="1" x="1044"/>
        <item m="1" x="1045"/>
        <item m="1" x="1046"/>
        <item x="420"/>
        <item x="247"/>
        <item m="1" x="1047"/>
        <item m="1" x="1048"/>
        <item x="595"/>
        <item x="219"/>
        <item m="1" x="1049"/>
        <item m="1" x="1050"/>
        <item m="1" x="1051"/>
        <item m="1" x="1052"/>
        <item m="1" x="1053"/>
        <item x="511"/>
        <item x="480"/>
        <item m="1" x="1054"/>
        <item m="1" x="1055"/>
        <item m="1" x="1056"/>
        <item x="207"/>
        <item x="348"/>
        <item m="1" x="1058"/>
        <item x="84"/>
        <item x="131"/>
        <item x="19"/>
        <item m="1" x="1059"/>
        <item x="314"/>
        <item m="1" x="1176"/>
        <item m="1" x="1060"/>
        <item m="1" x="1061"/>
        <item m="1" x="1062"/>
        <item m="1" x="1063"/>
        <item x="802"/>
        <item x="776"/>
        <item x="756"/>
        <item x="5"/>
        <item m="1" x="1064"/>
        <item x="352"/>
        <item m="1" x="1065"/>
        <item m="1" x="1066"/>
        <item m="1" x="1067"/>
        <item x="242"/>
        <item m="1" x="1068"/>
        <item x="592"/>
        <item x="143"/>
        <item m="1" x="1069"/>
        <item x="607"/>
        <item x="544"/>
        <item x="105"/>
        <item m="1" x="1073"/>
        <item m="1" x="1074"/>
        <item m="1" x="1075"/>
        <item m="1" x="1076"/>
        <item x="545"/>
        <item x="98"/>
        <item x="452"/>
        <item x="17"/>
        <item m="1" x="1077"/>
        <item m="1" x="1078"/>
        <item x="562"/>
        <item x="316"/>
        <item m="1" x="1079"/>
        <item x="292"/>
        <item m="1" x="1080"/>
        <item m="1" x="1081"/>
        <item x="520"/>
        <item x="193"/>
        <item m="1" x="1082"/>
        <item m="1" x="1083"/>
        <item m="1" x="1084"/>
        <item x="490"/>
        <item x="32"/>
        <item m="1" x="1085"/>
        <item m="1" x="1086"/>
        <item x="722"/>
        <item x="322"/>
        <item x="579"/>
        <item x="62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x="763"/>
        <item m="1" x="1097"/>
        <item m="1" x="1098"/>
        <item m="1" x="1099"/>
        <item x="117"/>
        <item x="404"/>
        <item x="383"/>
        <item x="168"/>
        <item x="134"/>
        <item x="521"/>
        <item m="1" x="1100"/>
        <item m="1" x="1101"/>
        <item x="536"/>
        <item x="88"/>
        <item m="1" x="1102"/>
        <item x="622"/>
        <item x="467"/>
        <item m="1" x="1103"/>
        <item x="156"/>
        <item m="1" x="1104"/>
        <item m="1" x="1105"/>
        <item m="1" x="1106"/>
        <item x="321"/>
        <item x="496"/>
        <item m="1" x="1107"/>
        <item x="674"/>
        <item x="93"/>
        <item x="223"/>
        <item x="104"/>
        <item x="477"/>
        <item m="1" x="1108"/>
        <item m="1" x="1109"/>
        <item m="1" x="1110"/>
        <item m="1" x="1111"/>
        <item x="723"/>
        <item x="680"/>
        <item m="1" x="1112"/>
        <item x="682"/>
        <item x="555"/>
        <item m="1" x="1113"/>
        <item m="1" x="1114"/>
        <item m="1" x="1115"/>
        <item m="1" x="1116"/>
        <item x="254"/>
        <item m="1" x="1117"/>
        <item x="798"/>
        <item m="1" x="1118"/>
        <item m="1" x="1119"/>
        <item m="1" x="1120"/>
        <item x="735"/>
        <item x="659"/>
        <item m="1" x="1121"/>
        <item m="1" x="1122"/>
        <item m="1" x="1123"/>
        <item m="1" x="1124"/>
        <item m="1" x="1177"/>
        <item x="669"/>
        <item x="173"/>
        <item x="803"/>
        <item x="612"/>
        <item m="1" x="1125"/>
        <item m="1" x="1126"/>
        <item m="1" x="1127"/>
        <item x="495"/>
        <item x="103"/>
        <item m="1" x="1128"/>
        <item m="1" x="1129"/>
        <item m="1" x="1130"/>
        <item x="393"/>
        <item m="1" x="1131"/>
        <item m="1" x="1132"/>
        <item m="1" x="1133"/>
        <item m="1" x="1134"/>
        <item x="304"/>
        <item m="1" x="1136"/>
        <item m="1" x="1137"/>
        <item m="1" x="1138"/>
        <item x="550"/>
        <item m="1" x="1139"/>
        <item x="749"/>
        <item m="1" x="1140"/>
        <item m="1" x="1141"/>
        <item m="1" x="1142"/>
        <item x="26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78"/>
        <item m="1" x="1154"/>
        <item x="469"/>
        <item x="220"/>
        <item x="417"/>
        <item x="346"/>
        <item m="1" x="1155"/>
        <item x="231"/>
        <item m="1" x="1156"/>
        <item m="1" x="1157"/>
        <item m="1" x="1158"/>
        <item m="1" x="1159"/>
        <item m="1" x="1160"/>
        <item m="1" x="1161"/>
        <item m="1" x="1162"/>
        <item m="1" x="1001"/>
        <item x="809"/>
        <item x="1"/>
        <item x="4"/>
        <item x="6"/>
        <item x="7"/>
        <item x="9"/>
        <item x="10"/>
        <item x="11"/>
        <item x="13"/>
        <item x="15"/>
        <item x="18"/>
        <item x="21"/>
        <item x="26"/>
        <item x="27"/>
        <item x="35"/>
        <item x="41"/>
        <item x="45"/>
        <item x="51"/>
        <item x="53"/>
        <item x="59"/>
        <item x="60"/>
        <item x="68"/>
        <item x="70"/>
        <item x="71"/>
        <item x="72"/>
        <item x="74"/>
        <item x="76"/>
        <item x="77"/>
        <item x="78"/>
        <item x="81"/>
        <item x="83"/>
        <item x="90"/>
        <item x="91"/>
        <item x="92"/>
        <item x="95"/>
        <item x="96"/>
        <item x="97"/>
        <item x="100"/>
        <item x="101"/>
        <item x="108"/>
        <item x="109"/>
        <item x="112"/>
        <item x="115"/>
        <item x="119"/>
        <item x="120"/>
        <item x="123"/>
        <item x="128"/>
        <item x="132"/>
        <item x="135"/>
        <item x="139"/>
        <item x="146"/>
        <item x="147"/>
        <item x="149"/>
        <item x="151"/>
        <item x="152"/>
        <item x="153"/>
        <item x="155"/>
        <item x="158"/>
        <item x="159"/>
        <item x="161"/>
        <item x="166"/>
        <item x="167"/>
        <item x="172"/>
        <item x="174"/>
        <item x="177"/>
        <item x="180"/>
        <item x="181"/>
        <item x="185"/>
        <item x="187"/>
        <item x="188"/>
        <item x="191"/>
        <item x="198"/>
        <item x="200"/>
        <item x="204"/>
        <item x="205"/>
        <item x="206"/>
        <item x="208"/>
        <item x="209"/>
        <item x="210"/>
        <item x="212"/>
        <item x="214"/>
        <item x="216"/>
        <item x="217"/>
        <item x="218"/>
        <item x="222"/>
        <item x="226"/>
        <item x="228"/>
        <item x="229"/>
        <item x="235"/>
        <item x="236"/>
        <item x="238"/>
        <item x="240"/>
        <item x="244"/>
        <item x="246"/>
        <item x="249"/>
        <item x="250"/>
        <item x="257"/>
        <item x="264"/>
        <item x="265"/>
        <item x="266"/>
        <item x="269"/>
        <item x="270"/>
        <item x="272"/>
        <item x="273"/>
        <item x="274"/>
        <item x="275"/>
        <item x="276"/>
        <item x="277"/>
        <item x="278"/>
        <item x="281"/>
        <item x="282"/>
        <item x="283"/>
        <item x="288"/>
        <item x="291"/>
        <item x="293"/>
        <item x="294"/>
        <item x="295"/>
        <item x="296"/>
        <item x="299"/>
        <item x="300"/>
        <item x="303"/>
        <item x="305"/>
        <item x="309"/>
        <item x="311"/>
        <item x="313"/>
        <item x="315"/>
        <item x="318"/>
        <item x="320"/>
        <item x="323"/>
        <item x="325"/>
        <item x="327"/>
        <item x="328"/>
        <item x="330"/>
        <item x="332"/>
        <item x="338"/>
        <item x="341"/>
        <item x="342"/>
        <item x="343"/>
        <item x="345"/>
        <item x="350"/>
        <item x="351"/>
        <item x="354"/>
        <item x="355"/>
        <item x="356"/>
        <item x="357"/>
        <item x="360"/>
        <item x="361"/>
        <item x="362"/>
        <item x="363"/>
        <item x="365"/>
        <item x="366"/>
        <item x="367"/>
        <item x="368"/>
        <item x="369"/>
        <item x="370"/>
        <item x="371"/>
        <item x="373"/>
        <item x="374"/>
        <item x="376"/>
        <item x="377"/>
        <item x="378"/>
        <item x="384"/>
        <item x="388"/>
        <item x="389"/>
        <item x="391"/>
        <item x="394"/>
        <item x="396"/>
        <item x="400"/>
        <item x="401"/>
        <item x="403"/>
        <item x="405"/>
        <item x="407"/>
        <item x="408"/>
        <item x="410"/>
        <item x="411"/>
        <item x="412"/>
        <item x="413"/>
        <item x="414"/>
        <item x="415"/>
        <item x="416"/>
        <item x="419"/>
        <item x="421"/>
        <item x="422"/>
        <item x="426"/>
        <item x="428"/>
        <item x="431"/>
        <item x="432"/>
        <item x="433"/>
        <item x="434"/>
        <item x="435"/>
        <item x="436"/>
        <item x="437"/>
        <item x="438"/>
        <item x="440"/>
        <item x="442"/>
        <item x="443"/>
        <item x="444"/>
        <item x="448"/>
        <item x="450"/>
        <item x="451"/>
        <item x="455"/>
        <item x="457"/>
        <item x="465"/>
        <item x="466"/>
        <item x="468"/>
        <item x="474"/>
        <item x="475"/>
        <item x="476"/>
        <item x="478"/>
        <item x="479"/>
        <item x="483"/>
        <item x="486"/>
        <item x="489"/>
        <item x="492"/>
        <item x="497"/>
        <item x="502"/>
        <item x="503"/>
        <item x="504"/>
        <item x="505"/>
        <item x="506"/>
        <item x="507"/>
        <item x="512"/>
        <item x="513"/>
        <item x="514"/>
        <item x="517"/>
        <item x="518"/>
        <item x="524"/>
        <item x="525"/>
        <item x="526"/>
        <item x="529"/>
        <item x="530"/>
        <item x="531"/>
        <item x="532"/>
        <item x="533"/>
        <item x="535"/>
        <item x="537"/>
        <item x="539"/>
        <item x="540"/>
        <item x="541"/>
        <item x="542"/>
        <item x="549"/>
        <item x="551"/>
        <item x="553"/>
        <item x="556"/>
        <item x="557"/>
        <item x="558"/>
        <item x="559"/>
        <item x="561"/>
        <item x="563"/>
        <item x="564"/>
        <item x="565"/>
        <item x="566"/>
        <item x="568"/>
        <item x="569"/>
        <item x="570"/>
        <item x="571"/>
        <item x="572"/>
        <item x="574"/>
        <item x="575"/>
        <item x="576"/>
        <item x="577"/>
        <item x="578"/>
        <item x="580"/>
        <item x="581"/>
        <item x="582"/>
        <item x="583"/>
        <item x="584"/>
        <item x="585"/>
        <item x="586"/>
        <item x="588"/>
        <item x="589"/>
        <item x="590"/>
        <item x="594"/>
        <item x="597"/>
        <item x="598"/>
        <item x="599"/>
        <item x="600"/>
        <item x="601"/>
        <item x="603"/>
        <item x="605"/>
        <item x="608"/>
        <item x="609"/>
        <item x="610"/>
        <item x="611"/>
        <item x="614"/>
        <item x="615"/>
        <item x="619"/>
        <item x="623"/>
        <item x="624"/>
        <item x="625"/>
        <item x="627"/>
        <item x="628"/>
        <item x="630"/>
        <item x="633"/>
        <item x="637"/>
        <item x="648"/>
        <item x="650"/>
        <item x="651"/>
        <item x="654"/>
        <item x="655"/>
        <item x="663"/>
        <item x="652"/>
        <item x="634"/>
        <item x="635"/>
        <item x="636"/>
        <item x="638"/>
        <item x="639"/>
        <item x="641"/>
        <item x="643"/>
        <item x="646"/>
        <item x="647"/>
        <item x="653"/>
        <item x="656"/>
        <item x="661"/>
        <item x="662"/>
        <item x="664"/>
        <item x="665"/>
        <item x="666"/>
        <item x="672"/>
        <item x="677"/>
        <item x="684"/>
        <item x="687"/>
        <item x="688"/>
        <item x="689"/>
        <item x="697"/>
        <item x="698"/>
        <item x="700"/>
        <item x="701"/>
        <item x="702"/>
        <item x="703"/>
        <item x="705"/>
        <item x="708"/>
        <item x="710"/>
        <item x="712"/>
        <item x="713"/>
        <item x="715"/>
        <item x="716"/>
        <item x="719"/>
        <item x="725"/>
        <item x="727"/>
        <item x="728"/>
        <item x="729"/>
        <item x="730"/>
        <item x="731"/>
        <item x="732"/>
        <item x="736"/>
        <item x="738"/>
        <item x="739"/>
        <item x="740"/>
        <item x="741"/>
        <item x="742"/>
        <item x="743"/>
        <item x="746"/>
        <item x="748"/>
        <item x="750"/>
        <item x="751"/>
        <item x="752"/>
        <item x="753"/>
        <item x="754"/>
        <item x="755"/>
        <item x="757"/>
        <item x="758"/>
        <item x="761"/>
        <item x="764"/>
        <item x="765"/>
        <item x="767"/>
        <item x="768"/>
        <item x="771"/>
        <item x="772"/>
        <item x="774"/>
        <item x="775"/>
        <item x="777"/>
        <item x="780"/>
        <item x="781"/>
        <item x="782"/>
        <item x="783"/>
        <item x="784"/>
        <item x="785"/>
        <item x="788"/>
        <item x="789"/>
        <item x="790"/>
        <item x="791"/>
        <item x="796"/>
        <item x="797"/>
        <item x="800"/>
        <item x="801"/>
        <item x="804"/>
        <item x="807"/>
        <item x="808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</pivotFields>
  <rowFields count="2">
    <field x="10"/>
    <field x="2"/>
  </rowFields>
  <rowItems count="1284">
    <i>
      <x/>
      <x v="2484"/>
    </i>
    <i t="default">
      <x/>
    </i>
    <i>
      <x v="5"/>
      <x v="3444"/>
    </i>
    <i r="1">
      <x v="3445"/>
    </i>
    <i t="default">
      <x v="5"/>
    </i>
    <i>
      <x v="6"/>
      <x v="2284"/>
    </i>
    <i r="1">
      <x v="2785"/>
    </i>
    <i r="1">
      <x v="3087"/>
    </i>
    <i t="default">
      <x v="6"/>
    </i>
    <i>
      <x v="13"/>
      <x v="1965"/>
    </i>
    <i r="1">
      <x v="2722"/>
    </i>
    <i r="1">
      <x v="2723"/>
    </i>
    <i r="1">
      <x v="2832"/>
    </i>
    <i r="1">
      <x v="2969"/>
    </i>
    <i r="1">
      <x v="3111"/>
    </i>
    <i r="1">
      <x v="3423"/>
    </i>
    <i r="1">
      <x v="3424"/>
    </i>
    <i t="default">
      <x v="13"/>
    </i>
    <i>
      <x v="14"/>
      <x v="3005"/>
    </i>
    <i t="default">
      <x v="14"/>
    </i>
    <i>
      <x v="16"/>
      <x v="3006"/>
    </i>
    <i t="default">
      <x v="16"/>
    </i>
    <i>
      <x v="19"/>
      <x v="2706"/>
    </i>
    <i t="default">
      <x v="19"/>
    </i>
    <i>
      <x v="20"/>
      <x v="2276"/>
    </i>
    <i t="default">
      <x v="20"/>
    </i>
    <i>
      <x v="26"/>
      <x v="1645"/>
    </i>
    <i r="1">
      <x v="1646"/>
    </i>
    <i r="1">
      <x v="1647"/>
    </i>
    <i r="1">
      <x v="1648"/>
    </i>
    <i r="1">
      <x v="1649"/>
    </i>
    <i r="1">
      <x v="1650"/>
    </i>
    <i r="1">
      <x v="1651"/>
    </i>
    <i r="1">
      <x v="1907"/>
    </i>
    <i r="1">
      <x v="1908"/>
    </i>
    <i r="1">
      <x v="1909"/>
    </i>
    <i r="1">
      <x v="2051"/>
    </i>
    <i r="1">
      <x v="2116"/>
    </i>
    <i r="1">
      <x v="2354"/>
    </i>
    <i r="1">
      <x v="2413"/>
    </i>
    <i r="1">
      <x v="2414"/>
    </i>
    <i r="1">
      <x v="2431"/>
    </i>
    <i r="1">
      <x v="2545"/>
    </i>
    <i r="1">
      <x v="2546"/>
    </i>
    <i r="1">
      <x v="2547"/>
    </i>
    <i r="1">
      <x v="2669"/>
    </i>
    <i r="1">
      <x v="2670"/>
    </i>
    <i r="1">
      <x v="2702"/>
    </i>
    <i r="1">
      <x v="2718"/>
    </i>
    <i r="1">
      <x v="2794"/>
    </i>
    <i r="1">
      <x v="2874"/>
    </i>
    <i r="1">
      <x v="2913"/>
    </i>
    <i r="1">
      <x v="2914"/>
    </i>
    <i r="1">
      <x v="2915"/>
    </i>
    <i t="default">
      <x v="26"/>
    </i>
    <i>
      <x v="27"/>
      <x v="2564"/>
    </i>
    <i r="1">
      <x v="3264"/>
    </i>
    <i t="default">
      <x v="27"/>
    </i>
    <i>
      <x v="29"/>
      <x v="3170"/>
    </i>
    <i r="1">
      <x v="3171"/>
    </i>
    <i t="default">
      <x v="29"/>
    </i>
    <i>
      <x v="37"/>
      <x v="2566"/>
    </i>
    <i t="default">
      <x v="37"/>
    </i>
    <i>
      <x v="40"/>
      <x v="2343"/>
    </i>
    <i r="1">
      <x v="2345"/>
    </i>
    <i r="1">
      <x v="3032"/>
    </i>
    <i t="default">
      <x v="40"/>
    </i>
    <i>
      <x v="46"/>
      <x v="3411"/>
    </i>
    <i t="default">
      <x v="46"/>
    </i>
    <i>
      <x v="48"/>
      <x v="3169"/>
    </i>
    <i r="1">
      <x v="3176"/>
    </i>
    <i t="default">
      <x v="48"/>
    </i>
    <i>
      <x v="49"/>
      <x v="2323"/>
    </i>
    <i t="default">
      <x v="49"/>
    </i>
    <i>
      <x v="50"/>
      <x v="2531"/>
    </i>
    <i r="1">
      <x v="2993"/>
    </i>
    <i r="1">
      <x v="3147"/>
    </i>
    <i r="1">
      <x v="3148"/>
    </i>
    <i r="1">
      <x v="3469"/>
    </i>
    <i t="default">
      <x v="50"/>
    </i>
    <i>
      <x v="52"/>
      <x v="2069"/>
    </i>
    <i r="1">
      <x v="2257"/>
    </i>
    <i t="default">
      <x v="52"/>
    </i>
    <i>
      <x v="57"/>
      <x v="3355"/>
    </i>
    <i t="default">
      <x v="57"/>
    </i>
    <i>
      <x v="58"/>
      <x v="2017"/>
    </i>
    <i t="default">
      <x v="58"/>
    </i>
    <i>
      <x v="62"/>
      <x v="2504"/>
    </i>
    <i t="default">
      <x v="62"/>
    </i>
    <i>
      <x v="63"/>
      <x v="3396"/>
    </i>
    <i t="default">
      <x v="63"/>
    </i>
    <i>
      <x v="65"/>
      <x v="1616"/>
    </i>
    <i t="default">
      <x v="65"/>
    </i>
    <i>
      <x v="68"/>
      <x v="1669"/>
    </i>
    <i r="1">
      <x v="1670"/>
    </i>
    <i t="default">
      <x v="68"/>
    </i>
    <i>
      <x v="71"/>
      <x v="3329"/>
    </i>
    <i t="default">
      <x v="71"/>
    </i>
    <i>
      <x v="73"/>
      <x v="3120"/>
    </i>
    <i r="1">
      <x v="3342"/>
    </i>
    <i t="default">
      <x v="73"/>
    </i>
    <i>
      <x v="75"/>
      <x v="3226"/>
    </i>
    <i t="default">
      <x v="75"/>
    </i>
    <i>
      <x v="82"/>
      <x v="3454"/>
    </i>
    <i t="default">
      <x v="82"/>
    </i>
    <i>
      <x v="84"/>
      <x v="3438"/>
    </i>
    <i t="default">
      <x v="84"/>
    </i>
    <i>
      <x v="87"/>
      <x v="2926"/>
    </i>
    <i t="default">
      <x v="87"/>
    </i>
    <i>
      <x v="89"/>
      <x v="2114"/>
    </i>
    <i t="default">
      <x v="89"/>
    </i>
    <i>
      <x v="100"/>
      <x v="3291"/>
    </i>
    <i t="default">
      <x v="100"/>
    </i>
    <i>
      <x v="102"/>
      <x v="3441"/>
    </i>
    <i r="1">
      <x v="3443"/>
    </i>
    <i r="1">
      <x v="3447"/>
    </i>
    <i t="default">
      <x v="102"/>
    </i>
    <i>
      <x v="104"/>
      <x v="3013"/>
    </i>
    <i r="1">
      <x v="3270"/>
    </i>
    <i t="default">
      <x v="104"/>
    </i>
    <i>
      <x v="108"/>
      <x v="3430"/>
    </i>
    <i t="default">
      <x v="108"/>
    </i>
    <i>
      <x v="109"/>
      <x v="3123"/>
    </i>
    <i r="1">
      <x v="3124"/>
    </i>
    <i t="default">
      <x v="109"/>
    </i>
    <i>
      <x v="111"/>
      <x v="3437"/>
    </i>
    <i t="default">
      <x v="111"/>
    </i>
    <i>
      <x v="113"/>
      <x v="3272"/>
    </i>
    <i t="default">
      <x v="113"/>
    </i>
    <i>
      <x v="122"/>
      <x v="2041"/>
    </i>
    <i r="1">
      <x v="3093"/>
    </i>
    <i r="1">
      <x v="3280"/>
    </i>
    <i t="default">
      <x v="122"/>
    </i>
    <i>
      <x v="125"/>
      <x v="2646"/>
    </i>
    <i t="default">
      <x v="125"/>
    </i>
    <i>
      <x v="126"/>
      <x v="2325"/>
    </i>
    <i t="default">
      <x v="126"/>
    </i>
    <i>
      <x v="128"/>
      <x v="1967"/>
    </i>
    <i r="1">
      <x v="2922"/>
    </i>
    <i r="1">
      <x v="3390"/>
    </i>
    <i r="1">
      <x v="3426"/>
    </i>
    <i t="default">
      <x v="128"/>
    </i>
    <i>
      <x v="131"/>
      <x v="2868"/>
    </i>
    <i r="1">
      <x v="2869"/>
    </i>
    <i t="default">
      <x v="131"/>
    </i>
    <i>
      <x v="135"/>
      <x v="1920"/>
    </i>
    <i t="default">
      <x v="135"/>
    </i>
    <i>
      <x v="136"/>
      <x v="2454"/>
    </i>
    <i r="1">
      <x v="2751"/>
    </i>
    <i r="1">
      <x v="2890"/>
    </i>
    <i r="1">
      <x v="2891"/>
    </i>
    <i r="1">
      <x v="3215"/>
    </i>
    <i t="default">
      <x v="136"/>
    </i>
    <i>
      <x v="137"/>
      <x v="3065"/>
    </i>
    <i t="default">
      <x v="137"/>
    </i>
    <i>
      <x v="138"/>
      <x v="2699"/>
    </i>
    <i t="default">
      <x v="138"/>
    </i>
    <i>
      <x v="141"/>
      <x v="2620"/>
    </i>
    <i t="default">
      <x v="141"/>
    </i>
    <i>
      <x v="143"/>
      <x v="2609"/>
    </i>
    <i r="1">
      <x v="2762"/>
    </i>
    <i t="default">
      <x v="143"/>
    </i>
    <i>
      <x v="149"/>
      <x v="2892"/>
    </i>
    <i r="1">
      <x v="3309"/>
    </i>
    <i t="default">
      <x v="149"/>
    </i>
    <i>
      <x v="150"/>
      <x v="3130"/>
    </i>
    <i t="default">
      <x v="150"/>
    </i>
    <i>
      <x v="151"/>
      <x v="2218"/>
    </i>
    <i t="default">
      <x v="151"/>
    </i>
    <i>
      <x v="153"/>
      <x v="2434"/>
    </i>
    <i r="1">
      <x v="3048"/>
    </i>
    <i t="default">
      <x v="153"/>
    </i>
    <i>
      <x v="154"/>
      <x v="2610"/>
    </i>
    <i r="1">
      <x v="2615"/>
    </i>
    <i r="1">
      <x v="2816"/>
    </i>
    <i r="1">
      <x v="2817"/>
    </i>
    <i t="default">
      <x v="154"/>
    </i>
    <i>
      <x v="156"/>
      <x v="1773"/>
    </i>
    <i r="1">
      <x v="1774"/>
    </i>
    <i r="1">
      <x v="2075"/>
    </i>
    <i r="1">
      <x v="2076"/>
    </i>
    <i r="1">
      <x v="2087"/>
    </i>
    <i r="1">
      <x v="2267"/>
    </i>
    <i r="1">
      <x v="2581"/>
    </i>
    <i t="default">
      <x v="156"/>
    </i>
    <i>
      <x v="159"/>
      <x v="2834"/>
    </i>
    <i r="1">
      <x v="3306"/>
    </i>
    <i t="default">
      <x v="159"/>
    </i>
    <i>
      <x v="163"/>
      <x v="2485"/>
    </i>
    <i r="1">
      <x v="2735"/>
    </i>
    <i t="default">
      <x v="163"/>
    </i>
    <i>
      <x v="165"/>
      <x v="3473"/>
    </i>
    <i t="default">
      <x v="165"/>
    </i>
    <i>
      <x v="167"/>
      <x v="1991"/>
    </i>
    <i t="default">
      <x v="167"/>
    </i>
    <i>
      <x v="170"/>
      <x v="1573"/>
    </i>
    <i t="default">
      <x v="170"/>
    </i>
    <i>
      <x v="171"/>
      <x v="1717"/>
    </i>
    <i r="1">
      <x v="1718"/>
    </i>
    <i r="1">
      <x v="1719"/>
    </i>
    <i r="1">
      <x v="1720"/>
    </i>
    <i r="1">
      <x v="2203"/>
    </i>
    <i r="1">
      <x v="2205"/>
    </i>
    <i r="1">
      <x v="2807"/>
    </i>
    <i r="1">
      <x v="2872"/>
    </i>
    <i r="1">
      <x v="3164"/>
    </i>
    <i r="1">
      <x v="3214"/>
    </i>
    <i t="default">
      <x v="171"/>
    </i>
    <i>
      <x v="177"/>
      <x v="2864"/>
    </i>
    <i t="default">
      <x v="177"/>
    </i>
    <i>
      <x v="181"/>
      <x v="3244"/>
    </i>
    <i t="default">
      <x v="181"/>
    </i>
    <i>
      <x v="185"/>
      <x v="2781"/>
    </i>
    <i r="1">
      <x v="2824"/>
    </i>
    <i r="1">
      <x v="2976"/>
    </i>
    <i t="default">
      <x v="185"/>
    </i>
    <i>
      <x v="189"/>
      <x v="2870"/>
    </i>
    <i t="default">
      <x v="189"/>
    </i>
    <i>
      <x v="192"/>
      <x v="2318"/>
    </i>
    <i r="1">
      <x v="2486"/>
    </i>
    <i t="default">
      <x v="192"/>
    </i>
    <i>
      <x v="197"/>
      <x v="2299"/>
    </i>
    <i r="1">
      <x v="2300"/>
    </i>
    <i t="default">
      <x v="197"/>
    </i>
    <i>
      <x v="213"/>
      <x v="3072"/>
    </i>
    <i r="1">
      <x v="3073"/>
    </i>
    <i r="1">
      <x v="3074"/>
    </i>
    <i t="default">
      <x v="213"/>
    </i>
    <i>
      <x v="214"/>
      <x v="3260"/>
    </i>
    <i t="default">
      <x v="214"/>
    </i>
    <i>
      <x v="215"/>
      <x v="3063"/>
    </i>
    <i t="default">
      <x v="215"/>
    </i>
    <i>
      <x v="218"/>
      <x v="2068"/>
    </i>
    <i t="default">
      <x v="218"/>
    </i>
    <i>
      <x v="225"/>
      <x v="2005"/>
    </i>
    <i r="1">
      <x v="2442"/>
    </i>
    <i r="1">
      <x v="2639"/>
    </i>
    <i r="1">
      <x v="2700"/>
    </i>
    <i t="default">
      <x v="225"/>
    </i>
    <i>
      <x v="227"/>
      <x v="3312"/>
    </i>
    <i t="default">
      <x v="227"/>
    </i>
    <i>
      <x v="228"/>
      <x v="2830"/>
    </i>
    <i t="default">
      <x v="228"/>
    </i>
    <i>
      <x v="233"/>
      <x v="3294"/>
    </i>
    <i r="1">
      <x v="3422"/>
    </i>
    <i t="default">
      <x v="233"/>
    </i>
    <i>
      <x v="234"/>
      <x v="2810"/>
    </i>
    <i t="default">
      <x v="234"/>
    </i>
    <i>
      <x v="236"/>
      <x v="3037"/>
    </i>
    <i t="default">
      <x v="236"/>
    </i>
    <i>
      <x v="238"/>
      <x v="3347"/>
    </i>
    <i t="default">
      <x v="238"/>
    </i>
    <i>
      <x v="246"/>
      <x v="1979"/>
    </i>
    <i r="1">
      <x v="3110"/>
    </i>
    <i t="default">
      <x v="246"/>
    </i>
    <i>
      <x v="247"/>
      <x v="1610"/>
    </i>
    <i r="1">
      <x v="2085"/>
    </i>
    <i r="1">
      <x v="2766"/>
    </i>
    <i t="default">
      <x v="247"/>
    </i>
    <i>
      <x v="251"/>
      <x v="1838"/>
    </i>
    <i r="1">
      <x v="1841"/>
    </i>
    <i t="default">
      <x v="251"/>
    </i>
    <i>
      <x v="252"/>
      <x v="1839"/>
    </i>
    <i r="1">
      <x v="1840"/>
    </i>
    <i r="1">
      <x v="2099"/>
    </i>
    <i t="default">
      <x v="252"/>
    </i>
    <i>
      <x v="253"/>
      <x v="3440"/>
    </i>
    <i t="default">
      <x v="253"/>
    </i>
    <i>
      <x v="254"/>
      <x v="2916"/>
    </i>
    <i t="default">
      <x v="254"/>
    </i>
    <i>
      <x v="256"/>
      <x v="3339"/>
    </i>
    <i t="default">
      <x v="256"/>
    </i>
    <i>
      <x v="262"/>
      <x v="1916"/>
    </i>
    <i r="1">
      <x v="1917"/>
    </i>
    <i r="1">
      <x v="3475"/>
    </i>
    <i t="default">
      <x v="262"/>
    </i>
    <i>
      <x v="263"/>
      <x v="2917"/>
    </i>
    <i t="default">
      <x v="263"/>
    </i>
    <i>
      <x v="268"/>
      <x v="1662"/>
    </i>
    <i r="1">
      <x v="1663"/>
    </i>
    <i r="1">
      <x v="1931"/>
    </i>
    <i r="1">
      <x v="2880"/>
    </i>
    <i t="default">
      <x v="268"/>
    </i>
    <i>
      <x v="275"/>
      <x v="1863"/>
    </i>
    <i r="1">
      <x v="2101"/>
    </i>
    <i r="1">
      <x v="2102"/>
    </i>
    <i r="1">
      <x v="2103"/>
    </i>
    <i t="default">
      <x v="275"/>
    </i>
    <i>
      <x v="288"/>
      <x v="2248"/>
    </i>
    <i t="default">
      <x v="288"/>
    </i>
    <i>
      <x v="293"/>
      <x v="2471"/>
    </i>
    <i r="1">
      <x v="2517"/>
    </i>
    <i r="1">
      <x v="3267"/>
    </i>
    <i t="default">
      <x v="293"/>
    </i>
    <i>
      <x v="294"/>
      <x v="2425"/>
    </i>
    <i t="default">
      <x v="294"/>
    </i>
    <i>
      <x v="297"/>
      <x v="1661"/>
    </i>
    <i r="1">
      <x v="2902"/>
    </i>
    <i t="default">
      <x v="297"/>
    </i>
    <i>
      <x v="298"/>
      <x v="2967"/>
    </i>
    <i t="default">
      <x v="298"/>
    </i>
    <i>
      <x v="303"/>
      <x v="1710"/>
    </i>
    <i t="default">
      <x v="303"/>
    </i>
    <i>
      <x v="304"/>
      <x v="2322"/>
    </i>
    <i r="1">
      <x v="2541"/>
    </i>
    <i r="1">
      <x v="3313"/>
    </i>
    <i t="default">
      <x v="304"/>
    </i>
    <i>
      <x v="306"/>
      <x v="1994"/>
    </i>
    <i t="default">
      <x v="306"/>
    </i>
    <i>
      <x v="307"/>
      <x v="3211"/>
    </i>
    <i t="default">
      <x v="307"/>
    </i>
    <i>
      <x v="308"/>
      <x v="1786"/>
    </i>
    <i t="default">
      <x v="308"/>
    </i>
    <i>
      <x v="315"/>
      <x v="3096"/>
    </i>
    <i r="1">
      <x v="3097"/>
    </i>
    <i r="1">
      <x v="3098"/>
    </i>
    <i r="1">
      <x v="3099"/>
    </i>
    <i r="1">
      <x v="3100"/>
    </i>
    <i r="1">
      <x v="3152"/>
    </i>
    <i t="default">
      <x v="315"/>
    </i>
    <i>
      <x v="320"/>
      <x v="2654"/>
    </i>
    <i r="1">
      <x v="2655"/>
    </i>
    <i r="1">
      <x v="2897"/>
    </i>
    <i r="1">
      <x v="3142"/>
    </i>
    <i t="default">
      <x v="320"/>
    </i>
    <i>
      <x v="323"/>
      <x v="2622"/>
    </i>
    <i r="1">
      <x v="2623"/>
    </i>
    <i t="default">
      <x v="323"/>
    </i>
    <i>
      <x v="325"/>
      <x v="1845"/>
    </i>
    <i t="default">
      <x v="325"/>
    </i>
    <i>
      <x v="326"/>
      <x v="1759"/>
    </i>
    <i r="1">
      <x v="2212"/>
    </i>
    <i t="default">
      <x v="326"/>
    </i>
    <i>
      <x v="330"/>
      <x v="2232"/>
    </i>
    <i r="1">
      <x v="3308"/>
    </i>
    <i r="1">
      <x v="3314"/>
    </i>
    <i t="default">
      <x v="330"/>
    </i>
    <i>
      <x v="334"/>
      <x v="1960"/>
    </i>
    <i t="default">
      <x v="334"/>
    </i>
    <i>
      <x v="336"/>
      <x v="3321"/>
    </i>
    <i t="default">
      <x v="336"/>
    </i>
    <i>
      <x v="337"/>
      <x v="1702"/>
    </i>
    <i r="1">
      <x v="1709"/>
    </i>
    <i r="1">
      <x v="2980"/>
    </i>
    <i t="default">
      <x v="337"/>
    </i>
    <i>
      <x v="338"/>
      <x v="2734"/>
    </i>
    <i t="default">
      <x v="338"/>
    </i>
    <i>
      <x v="340"/>
      <x v="2078"/>
    </i>
    <i r="1">
      <x v="2217"/>
    </i>
    <i r="1">
      <x v="2896"/>
    </i>
    <i r="1">
      <x v="3409"/>
    </i>
    <i t="default">
      <x v="340"/>
    </i>
    <i>
      <x v="341"/>
      <x v="3400"/>
    </i>
    <i t="default">
      <x v="341"/>
    </i>
    <i>
      <x v="342"/>
      <x v="1723"/>
    </i>
    <i r="1">
      <x v="3275"/>
    </i>
    <i t="default">
      <x v="342"/>
    </i>
    <i>
      <x v="348"/>
      <x v="3284"/>
    </i>
    <i r="1">
      <x v="3286"/>
    </i>
    <i r="1">
      <x v="3287"/>
    </i>
    <i r="1">
      <x v="3288"/>
    </i>
    <i r="1">
      <x v="3289"/>
    </i>
    <i t="default">
      <x v="348"/>
    </i>
    <i>
      <x v="354"/>
      <x v="2468"/>
    </i>
    <i r="1">
      <x v="3293"/>
    </i>
    <i t="default">
      <x v="354"/>
    </i>
    <i>
      <x v="357"/>
      <x v="1952"/>
    </i>
    <i r="1">
      <x v="2064"/>
    </i>
    <i r="1">
      <x v="3300"/>
    </i>
    <i t="default">
      <x v="357"/>
    </i>
    <i>
      <x v="361"/>
      <x v="3407"/>
    </i>
    <i t="default">
      <x v="361"/>
    </i>
    <i>
      <x v="362"/>
      <x v="1556"/>
    </i>
    <i t="default">
      <x v="362"/>
    </i>
    <i>
      <x v="373"/>
      <x v="2565"/>
    </i>
    <i t="default">
      <x v="373"/>
    </i>
    <i>
      <x v="377"/>
      <x v="3094"/>
    </i>
    <i r="1">
      <x v="3227"/>
    </i>
    <i t="default">
      <x v="377"/>
    </i>
    <i>
      <x v="378"/>
      <x v="3088"/>
    </i>
    <i t="default">
      <x v="378"/>
    </i>
    <i>
      <x v="382"/>
      <x v="1998"/>
    </i>
    <i t="default">
      <x v="382"/>
    </i>
    <i>
      <x v="384"/>
      <x v="3334"/>
    </i>
    <i t="default">
      <x v="384"/>
    </i>
    <i>
      <x v="385"/>
      <x v="1783"/>
    </i>
    <i t="default">
      <x v="385"/>
    </i>
    <i>
      <x v="392"/>
      <x v="2422"/>
    </i>
    <i r="1">
      <x v="2643"/>
    </i>
    <i t="default">
      <x v="392"/>
    </i>
    <i>
      <x v="397"/>
      <x v="1680"/>
    </i>
    <i r="1">
      <x v="1748"/>
    </i>
    <i r="1">
      <x v="2018"/>
    </i>
    <i r="1">
      <x v="2642"/>
    </i>
    <i r="1">
      <x v="2799"/>
    </i>
    <i r="1">
      <x v="2857"/>
    </i>
    <i t="default">
      <x v="397"/>
    </i>
    <i>
      <x v="398"/>
      <x v="2337"/>
    </i>
    <i r="1">
      <x v="2338"/>
    </i>
    <i t="default">
      <x v="398"/>
    </i>
    <i>
      <x v="402"/>
      <x v="3382"/>
    </i>
    <i t="default">
      <x v="402"/>
    </i>
    <i>
      <x v="407"/>
      <x v="2060"/>
    </i>
    <i t="default">
      <x v="407"/>
    </i>
    <i>
      <x v="408"/>
      <x v="2487"/>
    </i>
    <i r="1">
      <x v="2750"/>
    </i>
    <i t="default">
      <x v="408"/>
    </i>
    <i>
      <x v="412"/>
      <x v="2147"/>
    </i>
    <i r="1">
      <x v="2148"/>
    </i>
    <i r="1">
      <x v="2152"/>
    </i>
    <i r="1">
      <x v="2153"/>
    </i>
    <i r="1">
      <x v="2445"/>
    </i>
    <i r="1">
      <x v="3056"/>
    </i>
    <i r="1">
      <x v="3315"/>
    </i>
    <i r="1">
      <x v="3369"/>
    </i>
    <i r="1">
      <x v="3372"/>
    </i>
    <i t="default">
      <x v="412"/>
    </i>
    <i>
      <x v="413"/>
      <x v="1923"/>
    </i>
    <i r="1">
      <x v="2948"/>
    </i>
    <i r="1">
      <x v="3157"/>
    </i>
    <i r="1">
      <x v="3158"/>
    </i>
    <i t="default">
      <x v="413"/>
    </i>
    <i>
      <x v="415"/>
      <x v="2929"/>
    </i>
    <i r="1">
      <x v="2930"/>
    </i>
    <i r="1">
      <x v="2931"/>
    </i>
    <i t="default">
      <x v="415"/>
    </i>
    <i>
      <x v="417"/>
      <x v="1764"/>
    </i>
    <i r="1">
      <x v="1765"/>
    </i>
    <i r="1">
      <x v="1766"/>
    </i>
    <i r="1">
      <x v="1767"/>
    </i>
    <i r="1">
      <x v="2548"/>
    </i>
    <i r="1">
      <x v="2598"/>
    </i>
    <i r="1">
      <x v="2767"/>
    </i>
    <i r="1">
      <x v="2780"/>
    </i>
    <i r="1">
      <x v="2952"/>
    </i>
    <i t="default">
      <x v="417"/>
    </i>
    <i>
      <x v="421"/>
      <x v="3364"/>
    </i>
    <i t="default">
      <x v="421"/>
    </i>
    <i>
      <x v="423"/>
      <x v="2190"/>
    </i>
    <i t="default">
      <x v="423"/>
    </i>
    <i>
      <x v="425"/>
      <x v="2665"/>
    </i>
    <i r="1">
      <x v="2733"/>
    </i>
    <i t="default">
      <x v="425"/>
    </i>
    <i>
      <x v="426"/>
      <x v="2549"/>
    </i>
    <i t="default">
      <x v="426"/>
    </i>
    <i>
      <x v="427"/>
      <x v="1835"/>
    </i>
    <i t="default">
      <x v="427"/>
    </i>
    <i>
      <x v="428"/>
      <x v="3210"/>
    </i>
    <i t="default">
      <x v="428"/>
    </i>
    <i>
      <x v="429"/>
      <x v="2272"/>
    </i>
    <i r="1">
      <x v="2761"/>
    </i>
    <i r="1">
      <x v="3408"/>
    </i>
    <i r="1">
      <x v="3478"/>
    </i>
    <i t="default">
      <x v="429"/>
    </i>
    <i>
      <x v="440"/>
      <x v="3363"/>
    </i>
    <i r="1">
      <x v="3414"/>
    </i>
    <i t="default">
      <x v="440"/>
    </i>
    <i>
      <x v="443"/>
      <x v="3292"/>
    </i>
    <i r="1">
      <x v="3398"/>
    </i>
    <i t="default">
      <x v="443"/>
    </i>
    <i>
      <x v="449"/>
      <x v="1987"/>
    </i>
    <i t="default">
      <x v="449"/>
    </i>
    <i>
      <x v="455"/>
      <x v="1837"/>
    </i>
    <i t="default">
      <x v="455"/>
    </i>
    <i>
      <x v="456"/>
      <x v="1930"/>
    </i>
    <i t="default">
      <x v="456"/>
    </i>
    <i>
      <x v="458"/>
      <x v="1637"/>
    </i>
    <i t="default">
      <x v="458"/>
    </i>
    <i>
      <x v="459"/>
      <x v="2644"/>
    </i>
    <i t="default">
      <x v="459"/>
    </i>
    <i>
      <x v="461"/>
      <x v="1793"/>
    </i>
    <i r="1">
      <x v="3458"/>
    </i>
    <i t="default">
      <x v="461"/>
    </i>
    <i>
      <x v="465"/>
      <x v="2827"/>
    </i>
    <i t="default">
      <x v="465"/>
    </i>
    <i>
      <x v="467"/>
      <x v="1918"/>
    </i>
    <i r="1">
      <x v="3373"/>
    </i>
    <i r="1">
      <x v="3374"/>
    </i>
    <i r="1">
      <x v="3377"/>
    </i>
    <i t="default">
      <x v="467"/>
    </i>
    <i>
      <x v="468"/>
      <x v="1874"/>
    </i>
    <i t="default">
      <x v="468"/>
    </i>
    <i>
      <x v="473"/>
      <x v="2900"/>
    </i>
    <i t="default">
      <x v="473"/>
    </i>
    <i>
      <x v="474"/>
      <x v="2497"/>
    </i>
    <i r="1">
      <x v="2498"/>
    </i>
    <i r="1">
      <x v="3024"/>
    </i>
    <i r="1">
      <x v="3387"/>
    </i>
    <i t="default">
      <x v="474"/>
    </i>
    <i>
      <x v="475"/>
      <x v="3336"/>
    </i>
    <i t="default">
      <x v="475"/>
    </i>
    <i>
      <x v="476"/>
      <x v="3095"/>
    </i>
    <i t="default">
      <x v="476"/>
    </i>
    <i>
      <x v="478"/>
      <x v="3366"/>
    </i>
    <i t="default">
      <x v="478"/>
    </i>
    <i>
      <x v="479"/>
      <x v="2311"/>
    </i>
    <i r="1">
      <x v="3205"/>
    </i>
    <i r="1">
      <x v="3350"/>
    </i>
    <i t="default">
      <x v="479"/>
    </i>
    <i>
      <x v="483"/>
      <x v="2977"/>
    </i>
    <i r="1">
      <x v="3033"/>
    </i>
    <i t="default">
      <x v="483"/>
    </i>
    <i>
      <x v="486"/>
      <x v="2953"/>
    </i>
    <i t="default">
      <x v="486"/>
    </i>
    <i>
      <x v="488"/>
      <x v="2077"/>
    </i>
    <i r="1">
      <x v="2580"/>
    </i>
    <i r="1">
      <x v="2675"/>
    </i>
    <i r="1">
      <x v="2773"/>
    </i>
    <i r="1">
      <x v="2774"/>
    </i>
    <i r="1">
      <x v="2960"/>
    </i>
    <i r="1">
      <x v="2982"/>
    </i>
    <i r="1">
      <x v="2983"/>
    </i>
    <i r="1">
      <x v="2984"/>
    </i>
    <i t="default">
      <x v="488"/>
    </i>
    <i>
      <x v="492"/>
      <x v="2111"/>
    </i>
    <i t="default">
      <x v="492"/>
    </i>
    <i>
      <x v="503"/>
      <x v="2380"/>
    </i>
    <i r="1">
      <x v="3263"/>
    </i>
    <i t="default">
      <x v="503"/>
    </i>
    <i>
      <x v="508"/>
      <x v="3378"/>
    </i>
    <i t="default">
      <x v="508"/>
    </i>
    <i>
      <x v="509"/>
      <x v="1660"/>
    </i>
    <i r="1">
      <x v="2792"/>
    </i>
    <i t="default">
      <x v="509"/>
    </i>
    <i>
      <x v="511"/>
      <x v="3116"/>
    </i>
    <i t="default">
      <x v="511"/>
    </i>
    <i>
      <x v="512"/>
      <x v="3401"/>
    </i>
    <i t="default">
      <x v="512"/>
    </i>
    <i>
      <x v="516"/>
      <x v="1671"/>
    </i>
    <i r="1">
      <x v="1672"/>
    </i>
    <i r="1">
      <x v="1673"/>
    </i>
    <i r="1">
      <x v="3399"/>
    </i>
    <i r="1">
      <x v="3402"/>
    </i>
    <i r="1">
      <x v="3403"/>
    </i>
    <i t="default">
      <x v="516"/>
    </i>
    <i>
      <x v="519"/>
      <x v="3335"/>
    </i>
    <i t="default">
      <x v="519"/>
    </i>
    <i>
      <x v="520"/>
      <x v="2187"/>
    </i>
    <i t="default">
      <x v="520"/>
    </i>
    <i>
      <x v="522"/>
      <x v="2947"/>
    </i>
    <i r="1">
      <x v="3224"/>
    </i>
    <i r="1">
      <x v="3225"/>
    </i>
    <i r="1">
      <x v="3416"/>
    </i>
    <i r="1">
      <x v="3417"/>
    </i>
    <i t="default">
      <x v="522"/>
    </i>
    <i>
      <x v="527"/>
      <x v="3442"/>
    </i>
    <i t="default">
      <x v="527"/>
    </i>
    <i>
      <x v="529"/>
      <x v="3151"/>
    </i>
    <i r="1">
      <x v="3232"/>
    </i>
    <i t="default">
      <x v="529"/>
    </i>
    <i>
      <x v="530"/>
      <x v="2582"/>
    </i>
    <i t="default">
      <x v="530"/>
    </i>
    <i>
      <x v="532"/>
      <x v="2039"/>
    </i>
    <i r="1">
      <x v="2215"/>
    </i>
    <i t="default">
      <x v="532"/>
    </i>
    <i>
      <x v="534"/>
      <x v="2331"/>
    </i>
    <i t="default">
      <x v="534"/>
    </i>
    <i>
      <x v="535"/>
      <x v="3121"/>
    </i>
    <i t="default">
      <x v="535"/>
    </i>
    <i>
      <x v="538"/>
      <x v="3471"/>
    </i>
    <i t="default">
      <x v="538"/>
    </i>
    <i>
      <x v="539"/>
      <x v="3070"/>
    </i>
    <i r="1">
      <x v="3338"/>
    </i>
    <i t="default">
      <x v="539"/>
    </i>
    <i>
      <x v="541"/>
      <x v="1760"/>
    </i>
    <i t="default">
      <x v="541"/>
    </i>
    <i>
      <x v="544"/>
      <x v="1813"/>
    </i>
    <i t="default">
      <x v="544"/>
    </i>
    <i>
      <x v="545"/>
      <x v="2848"/>
    </i>
    <i t="default">
      <x v="545"/>
    </i>
    <i>
      <x v="546"/>
      <x v="3252"/>
    </i>
    <i r="1">
      <x v="3452"/>
    </i>
    <i t="default">
      <x v="546"/>
    </i>
    <i>
      <x v="548"/>
      <x v="2016"/>
    </i>
    <i r="1">
      <x v="3027"/>
    </i>
    <i t="default">
      <x v="548"/>
    </i>
    <i>
      <x v="551"/>
      <x v="3367"/>
    </i>
    <i r="1">
      <x v="3379"/>
    </i>
    <i t="default">
      <x v="551"/>
    </i>
    <i>
      <x v="552"/>
      <x v="3174"/>
    </i>
    <i t="default">
      <x v="552"/>
    </i>
    <i>
      <x v="553"/>
      <x v="3429"/>
    </i>
    <i t="default">
      <x v="553"/>
    </i>
    <i>
      <x v="555"/>
      <x v="3034"/>
    </i>
    <i t="default">
      <x v="555"/>
    </i>
    <i>
      <x v="556"/>
      <x v="3261"/>
    </i>
    <i t="default">
      <x v="556"/>
    </i>
    <i>
      <x v="561"/>
      <x v="2134"/>
    </i>
    <i r="1">
      <x v="3233"/>
    </i>
    <i t="default">
      <x v="561"/>
    </i>
    <i>
      <x v="563"/>
      <x v="1921"/>
    </i>
    <i r="1">
      <x v="2080"/>
    </i>
    <i r="1">
      <x v="2310"/>
    </i>
    <i r="1">
      <x v="2606"/>
    </i>
    <i r="1">
      <x v="3228"/>
    </i>
    <i r="1">
      <x v="3351"/>
    </i>
    <i r="1">
      <x v="3383"/>
    </i>
    <i r="1">
      <x v="3384"/>
    </i>
    <i r="1">
      <x v="3385"/>
    </i>
    <i r="1">
      <x v="3393"/>
    </i>
    <i t="default">
      <x v="563"/>
    </i>
    <i>
      <x v="575"/>
      <x v="2701"/>
    </i>
    <i t="default">
      <x v="575"/>
    </i>
    <i>
      <x v="576"/>
      <x v="2796"/>
    </i>
    <i r="1">
      <x v="3245"/>
    </i>
    <i t="default">
      <x v="576"/>
    </i>
    <i>
      <x v="577"/>
      <x v="2037"/>
    </i>
    <i r="1">
      <x v="2125"/>
    </i>
    <i t="default">
      <x v="577"/>
    </i>
    <i>
      <x v="578"/>
      <x v="2466"/>
    </i>
    <i t="default">
      <x v="578"/>
    </i>
    <i>
      <x v="579"/>
      <x v="2467"/>
    </i>
    <i t="default">
      <x v="579"/>
    </i>
    <i>
      <x v="580"/>
      <x v="2465"/>
    </i>
    <i t="default">
      <x v="580"/>
    </i>
    <i>
      <x v="586"/>
      <x v="1772"/>
    </i>
    <i r="1">
      <x v="1944"/>
    </i>
    <i r="1">
      <x v="2918"/>
    </i>
    <i t="default">
      <x v="586"/>
    </i>
    <i>
      <x v="595"/>
      <x v="2004"/>
    </i>
    <i t="default">
      <x v="595"/>
    </i>
    <i>
      <x v="599"/>
      <x v="3081"/>
    </i>
    <i r="1">
      <x v="3082"/>
    </i>
    <i r="1">
      <x v="3083"/>
    </i>
    <i t="default">
      <x v="599"/>
    </i>
    <i>
      <x v="605"/>
      <x v="2596"/>
    </i>
    <i r="1">
      <x v="2745"/>
    </i>
    <i r="1">
      <x v="3375"/>
    </i>
    <i t="default">
      <x v="605"/>
    </i>
    <i>
      <x v="606"/>
      <x v="2784"/>
    </i>
    <i r="1">
      <x v="2908"/>
    </i>
    <i r="1">
      <x v="3346"/>
    </i>
    <i t="default">
      <x v="606"/>
    </i>
    <i>
      <x v="610"/>
      <x v="1938"/>
    </i>
    <i t="default">
      <x v="610"/>
    </i>
    <i>
      <x v="611"/>
      <x v="2206"/>
    </i>
    <i t="default">
      <x v="611"/>
    </i>
    <i>
      <x v="615"/>
      <x v="3162"/>
    </i>
    <i t="default">
      <x v="615"/>
    </i>
    <i>
      <x v="617"/>
      <x v="2120"/>
    </i>
    <i r="1">
      <x v="2448"/>
    </i>
    <i r="1">
      <x v="3078"/>
    </i>
    <i r="1">
      <x v="3105"/>
    </i>
    <i t="default">
      <x v="617"/>
    </i>
    <i>
      <x v="623"/>
      <x v="3465"/>
    </i>
    <i t="default">
      <x v="623"/>
    </i>
    <i>
      <x v="624"/>
      <x v="3404"/>
    </i>
    <i t="default">
      <x v="624"/>
    </i>
    <i>
      <x v="625"/>
      <x v="3328"/>
    </i>
    <i r="1">
      <x v="3462"/>
    </i>
    <i t="default">
      <x v="625"/>
    </i>
    <i>
      <x v="628"/>
      <x v="2829"/>
    </i>
    <i t="default">
      <x v="628"/>
    </i>
    <i>
      <x v="634"/>
      <x v="2849"/>
    </i>
    <i t="default">
      <x v="634"/>
    </i>
    <i>
      <x v="639"/>
      <x v="2996"/>
    </i>
    <i r="1">
      <x v="3015"/>
    </i>
    <i r="1">
      <x v="3039"/>
    </i>
    <i t="default">
      <x v="639"/>
    </i>
    <i>
      <x v="644"/>
      <x v="2683"/>
    </i>
    <i t="default">
      <x v="644"/>
    </i>
    <i>
      <x v="646"/>
      <x v="2861"/>
    </i>
    <i r="1">
      <x v="3254"/>
    </i>
    <i r="1">
      <x v="3256"/>
    </i>
    <i r="1">
      <x v="3296"/>
    </i>
    <i r="1">
      <x v="3297"/>
    </i>
    <i r="1">
      <x v="3298"/>
    </i>
    <i r="1">
      <x v="3299"/>
    </i>
    <i t="default">
      <x v="646"/>
    </i>
    <i>
      <x v="647"/>
      <x v="3163"/>
    </i>
    <i t="default">
      <x v="647"/>
    </i>
    <i>
      <x v="650"/>
      <x v="2739"/>
    </i>
    <i t="default">
      <x v="650"/>
    </i>
    <i>
      <x v="651"/>
      <x v="3038"/>
    </i>
    <i r="1">
      <x v="3320"/>
    </i>
    <i t="default">
      <x v="651"/>
    </i>
    <i>
      <x v="653"/>
      <x v="2081"/>
    </i>
    <i r="1">
      <x v="3303"/>
    </i>
    <i r="1">
      <x v="3392"/>
    </i>
    <i t="default">
      <x v="653"/>
    </i>
    <i>
      <x v="656"/>
      <x v="2617"/>
    </i>
    <i t="default">
      <x v="656"/>
    </i>
    <i>
      <x v="657"/>
      <x v="3145"/>
    </i>
    <i t="default">
      <x v="657"/>
    </i>
    <i>
      <x v="665"/>
      <x v="3229"/>
    </i>
    <i t="default">
      <x v="665"/>
    </i>
    <i>
      <x v="668"/>
      <x v="2943"/>
    </i>
    <i t="default">
      <x v="668"/>
    </i>
    <i>
      <x v="679"/>
      <x v="3340"/>
    </i>
    <i r="1">
      <x v="3343"/>
    </i>
    <i t="default">
      <x v="679"/>
    </i>
    <i>
      <x v="684"/>
      <x v="2333"/>
    </i>
    <i r="1">
      <x v="2334"/>
    </i>
    <i t="default">
      <x v="684"/>
    </i>
    <i>
      <x v="688"/>
      <x v="2619"/>
    </i>
    <i r="1">
      <x v="3352"/>
    </i>
    <i t="default">
      <x v="688"/>
    </i>
    <i>
      <x v="691"/>
      <x v="2661"/>
    </i>
    <i t="default">
      <x v="691"/>
    </i>
    <i>
      <x v="694"/>
      <x v="2927"/>
    </i>
    <i t="default">
      <x v="694"/>
    </i>
    <i>
      <x v="704"/>
      <x v="3066"/>
    </i>
    <i r="1">
      <x v="3067"/>
    </i>
    <i r="1">
      <x v="3068"/>
    </i>
    <i t="default">
      <x v="704"/>
    </i>
    <i>
      <x v="708"/>
      <x v="2493"/>
    </i>
    <i r="1">
      <x v="2494"/>
    </i>
    <i t="default">
      <x v="708"/>
    </i>
    <i>
      <x v="722"/>
      <x v="3362"/>
    </i>
    <i t="default">
      <x v="722"/>
    </i>
    <i>
      <x v="724"/>
      <x v="3453"/>
    </i>
    <i r="1">
      <x v="3455"/>
    </i>
    <i r="1">
      <x v="3456"/>
    </i>
    <i t="default">
      <x v="724"/>
    </i>
    <i>
      <x v="728"/>
      <x v="3268"/>
    </i>
    <i r="1">
      <x v="3269"/>
    </i>
    <i t="default">
      <x v="728"/>
    </i>
    <i>
      <x v="729"/>
      <x v="3035"/>
    </i>
    <i t="default">
      <x v="729"/>
    </i>
    <i>
      <x v="735"/>
      <x v="3060"/>
    </i>
    <i r="1">
      <x v="3061"/>
    </i>
    <i r="1">
      <x v="3419"/>
    </i>
    <i t="default">
      <x v="735"/>
    </i>
    <i>
      <x v="737"/>
      <x v="3466"/>
    </i>
    <i t="default">
      <x v="737"/>
    </i>
    <i>
      <x v="738"/>
      <x v="3141"/>
    </i>
    <i t="default">
      <x v="738"/>
    </i>
    <i>
      <x v="742"/>
      <x v="2553"/>
    </i>
    <i t="default">
      <x v="742"/>
    </i>
    <i>
      <x v="743"/>
      <x v="1744"/>
    </i>
    <i t="default">
      <x v="743"/>
    </i>
    <i>
      <x v="747"/>
      <x v="3388"/>
    </i>
    <i t="default">
      <x v="747"/>
    </i>
    <i>
      <x v="758"/>
      <x v="3305"/>
    </i>
    <i t="default">
      <x v="758"/>
    </i>
    <i>
      <x v="762"/>
      <x v="2027"/>
    </i>
    <i r="1">
      <x v="2889"/>
    </i>
    <i t="default">
      <x v="762"/>
    </i>
    <i>
      <x v="778"/>
      <x v="3449"/>
    </i>
    <i t="default">
      <x v="778"/>
    </i>
    <i>
      <x v="791"/>
      <x v="1541"/>
    </i>
    <i t="default">
      <x v="791"/>
    </i>
    <i>
      <x v="793"/>
      <x v="2825"/>
    </i>
    <i r="1">
      <x v="2826"/>
    </i>
    <i t="default">
      <x v="793"/>
    </i>
    <i>
      <x v="796"/>
      <x v="1558"/>
    </i>
    <i t="default">
      <x v="796"/>
    </i>
    <i>
      <x v="798"/>
      <x v="1561"/>
    </i>
    <i r="1">
      <x v="1725"/>
    </i>
    <i r="1">
      <x v="2200"/>
    </i>
    <i r="1">
      <x v="2987"/>
    </i>
    <i t="default">
      <x v="798"/>
    </i>
    <i>
      <x v="803"/>
      <x v="1604"/>
    </i>
    <i t="default">
      <x v="803"/>
    </i>
    <i>
      <x v="807"/>
      <x v="1656"/>
    </i>
    <i t="default">
      <x v="807"/>
    </i>
    <i>
      <x v="808"/>
      <x v="3406"/>
    </i>
    <i t="default">
      <x v="808"/>
    </i>
    <i>
      <x v="811"/>
      <x v="3058"/>
    </i>
    <i t="default">
      <x v="811"/>
    </i>
    <i>
      <x v="812"/>
      <x v="1684"/>
    </i>
    <i t="default">
      <x v="812"/>
    </i>
    <i>
      <x v="817"/>
      <x v="1695"/>
    </i>
    <i r="1">
      <x v="3345"/>
    </i>
    <i t="default">
      <x v="817"/>
    </i>
    <i>
      <x v="819"/>
      <x v="1707"/>
    </i>
    <i r="1">
      <x v="1708"/>
    </i>
    <i r="1">
      <x v="1972"/>
    </i>
    <i r="1">
      <x v="1973"/>
    </i>
    <i r="1">
      <x v="2302"/>
    </i>
    <i r="1">
      <x v="2783"/>
    </i>
    <i r="1">
      <x v="3243"/>
    </i>
    <i t="default">
      <x v="819"/>
    </i>
    <i>
      <x v="821"/>
      <x v="1724"/>
    </i>
    <i r="1">
      <x v="2035"/>
    </i>
    <i t="default">
      <x v="821"/>
    </i>
    <i>
      <x v="824"/>
      <x v="1731"/>
    </i>
    <i r="1">
      <x v="2247"/>
    </i>
    <i t="default">
      <x v="824"/>
    </i>
    <i>
      <x v="825"/>
      <x v="1732"/>
    </i>
    <i t="default">
      <x v="825"/>
    </i>
    <i>
      <x v="826"/>
      <x v="3213"/>
    </i>
    <i t="default">
      <x v="826"/>
    </i>
    <i>
      <x v="831"/>
      <x v="1758"/>
    </i>
    <i t="default">
      <x v="831"/>
    </i>
    <i>
      <x v="832"/>
      <x v="1761"/>
    </i>
    <i t="default">
      <x v="832"/>
    </i>
    <i>
      <x v="835"/>
      <x v="1775"/>
    </i>
    <i t="default">
      <x v="835"/>
    </i>
    <i>
      <x v="836"/>
      <x v="1781"/>
    </i>
    <i t="default">
      <x v="836"/>
    </i>
    <i>
      <x v="840"/>
      <x v="1811"/>
    </i>
    <i t="default">
      <x v="840"/>
    </i>
    <i>
      <x v="841"/>
      <x v="1812"/>
    </i>
    <i r="1">
      <x v="1817"/>
    </i>
    <i r="1">
      <x v="1818"/>
    </i>
    <i r="1">
      <x v="1819"/>
    </i>
    <i r="1">
      <x v="1820"/>
    </i>
    <i r="1">
      <x v="2443"/>
    </i>
    <i r="1">
      <x v="2847"/>
    </i>
    <i t="default">
      <x v="841"/>
    </i>
    <i>
      <x v="843"/>
      <x v="1821"/>
    </i>
    <i t="default">
      <x v="843"/>
    </i>
    <i>
      <x v="847"/>
      <x v="1831"/>
    </i>
    <i t="default">
      <x v="847"/>
    </i>
    <i>
      <x v="848"/>
      <x v="1832"/>
    </i>
    <i r="1">
      <x v="1833"/>
    </i>
    <i r="1">
      <x v="1834"/>
    </i>
    <i t="default">
      <x v="848"/>
    </i>
    <i>
      <x v="849"/>
      <x v="1836"/>
    </i>
    <i t="default">
      <x v="849"/>
    </i>
    <i>
      <x v="855"/>
      <x v="3317"/>
    </i>
    <i r="1">
      <x v="3365"/>
    </i>
    <i t="default">
      <x v="855"/>
    </i>
    <i>
      <x v="860"/>
      <x v="1910"/>
    </i>
    <i r="1">
      <x v="3376"/>
    </i>
    <i t="default">
      <x v="860"/>
    </i>
    <i>
      <x v="864"/>
      <x v="2671"/>
    </i>
    <i t="default">
      <x v="864"/>
    </i>
    <i>
      <x v="866"/>
      <x v="1940"/>
    </i>
    <i r="1">
      <x v="1941"/>
    </i>
    <i r="1">
      <x v="2313"/>
    </i>
    <i r="1">
      <x v="2645"/>
    </i>
    <i r="1">
      <x v="2965"/>
    </i>
    <i r="1">
      <x v="2995"/>
    </i>
    <i r="1">
      <x v="3020"/>
    </i>
    <i r="1">
      <x v="3348"/>
    </i>
    <i r="1">
      <x v="3349"/>
    </i>
    <i r="1">
      <x v="3467"/>
    </i>
    <i r="1">
      <x v="3468"/>
    </i>
    <i t="default">
      <x v="866"/>
    </i>
    <i>
      <x v="867"/>
      <x v="1943"/>
    </i>
    <i r="1">
      <x v="2527"/>
    </i>
    <i r="1">
      <x v="2899"/>
    </i>
    <i t="default">
      <x v="867"/>
    </i>
    <i>
      <x v="870"/>
      <x v="1951"/>
    </i>
    <i t="default">
      <x v="870"/>
    </i>
    <i>
      <x v="871"/>
      <x v="1953"/>
    </i>
    <i t="default">
      <x v="871"/>
    </i>
    <i>
      <x v="872"/>
      <x v="1955"/>
    </i>
    <i t="default">
      <x v="872"/>
    </i>
    <i>
      <x v="873"/>
      <x v="1956"/>
    </i>
    <i r="1">
      <x v="2074"/>
    </i>
    <i r="1">
      <x v="2308"/>
    </i>
    <i r="1">
      <x v="2515"/>
    </i>
    <i r="1">
      <x v="2905"/>
    </i>
    <i r="1">
      <x v="3446"/>
    </i>
    <i t="default">
      <x v="873"/>
    </i>
    <i>
      <x v="875"/>
      <x v="1966"/>
    </i>
    <i t="default">
      <x v="875"/>
    </i>
    <i>
      <x v="876"/>
      <x v="1968"/>
    </i>
    <i r="1">
      <x v="1969"/>
    </i>
    <i r="1">
      <x v="1970"/>
    </i>
    <i t="default">
      <x v="876"/>
    </i>
    <i>
      <x v="880"/>
      <x v="3389"/>
    </i>
    <i t="default">
      <x v="880"/>
    </i>
    <i>
      <x v="885"/>
      <x v="2007"/>
    </i>
    <i r="1">
      <x v="2440"/>
    </i>
    <i t="default">
      <x v="885"/>
    </i>
    <i>
      <x v="888"/>
      <x v="2034"/>
    </i>
    <i r="1">
      <x v="2105"/>
    </i>
    <i t="default">
      <x v="888"/>
    </i>
    <i>
      <x v="889"/>
      <x v="2036"/>
    </i>
    <i t="default">
      <x v="889"/>
    </i>
    <i>
      <x v="892"/>
      <x v="2046"/>
    </i>
    <i t="default">
      <x v="892"/>
    </i>
    <i>
      <x v="894"/>
      <x v="2052"/>
    </i>
    <i t="default">
      <x v="894"/>
    </i>
    <i>
      <x v="896"/>
      <x v="2054"/>
    </i>
    <i t="default">
      <x v="896"/>
    </i>
    <i>
      <x v="897"/>
      <x v="2056"/>
    </i>
    <i r="1">
      <x v="2855"/>
    </i>
    <i t="default">
      <x v="897"/>
    </i>
    <i>
      <x v="898"/>
      <x v="2057"/>
    </i>
    <i r="1">
      <x v="2988"/>
    </i>
    <i t="default">
      <x v="898"/>
    </i>
    <i>
      <x v="899"/>
      <x v="2061"/>
    </i>
    <i t="default">
      <x v="899"/>
    </i>
    <i>
      <x v="901"/>
      <x v="2066"/>
    </i>
    <i t="default">
      <x v="901"/>
    </i>
    <i>
      <x v="904"/>
      <x v="2082"/>
    </i>
    <i r="1">
      <x v="2213"/>
    </i>
    <i t="default">
      <x v="904"/>
    </i>
    <i>
      <x v="905"/>
      <x v="2084"/>
    </i>
    <i t="default">
      <x v="905"/>
    </i>
    <i>
      <x v="906"/>
      <x v="2086"/>
    </i>
    <i r="1">
      <x v="2382"/>
    </i>
    <i t="default">
      <x v="906"/>
    </i>
    <i>
      <x v="907"/>
      <x v="2088"/>
    </i>
    <i r="1">
      <x v="2772"/>
    </i>
    <i t="default">
      <x v="907"/>
    </i>
    <i>
      <x v="908"/>
      <x v="2092"/>
    </i>
    <i r="1">
      <x v="2263"/>
    </i>
    <i t="default">
      <x v="908"/>
    </i>
    <i>
      <x v="909"/>
      <x v="2094"/>
    </i>
    <i r="1">
      <x v="2096"/>
    </i>
    <i r="1">
      <x v="2522"/>
    </i>
    <i r="1">
      <x v="3295"/>
    </i>
    <i r="1">
      <x v="3395"/>
    </i>
    <i t="default">
      <x v="909"/>
    </i>
    <i>
      <x v="914"/>
      <x v="2118"/>
    </i>
    <i r="1">
      <x v="2578"/>
    </i>
    <i r="1">
      <x v="2648"/>
    </i>
    <i t="default">
      <x v="914"/>
    </i>
    <i>
      <x v="915"/>
      <x v="2122"/>
    </i>
    <i r="1">
      <x v="2123"/>
    </i>
    <i r="1">
      <x v="2124"/>
    </i>
    <i t="default">
      <x v="915"/>
    </i>
    <i>
      <x v="920"/>
      <x v="2154"/>
    </i>
    <i r="1">
      <x v="2459"/>
    </i>
    <i r="1">
      <x v="3322"/>
    </i>
    <i t="default">
      <x v="920"/>
    </i>
    <i>
      <x v="921"/>
      <x v="2155"/>
    </i>
    <i t="default">
      <x v="921"/>
    </i>
    <i>
      <x v="923"/>
      <x v="2162"/>
    </i>
    <i r="1">
      <x v="2163"/>
    </i>
    <i r="1">
      <x v="2366"/>
    </i>
    <i r="1">
      <x v="2966"/>
    </i>
    <i r="1">
      <x v="2999"/>
    </i>
    <i r="1">
      <x v="3420"/>
    </i>
    <i r="1">
      <x v="3448"/>
    </i>
    <i r="1">
      <x v="3459"/>
    </i>
    <i t="default">
      <x v="923"/>
    </i>
    <i>
      <x v="924"/>
      <x v="2188"/>
    </i>
    <i t="default">
      <x v="924"/>
    </i>
    <i>
      <x v="925"/>
      <x v="2191"/>
    </i>
    <i t="default">
      <x v="925"/>
    </i>
    <i>
      <x v="928"/>
      <x v="2195"/>
    </i>
    <i t="default">
      <x v="928"/>
    </i>
    <i>
      <x v="931"/>
      <x v="2219"/>
    </i>
    <i r="1">
      <x v="2220"/>
    </i>
    <i r="1">
      <x v="2274"/>
    </i>
    <i r="1">
      <x v="2327"/>
    </i>
    <i r="1">
      <x v="3028"/>
    </i>
    <i r="1">
      <x v="3045"/>
    </i>
    <i r="1">
      <x v="3053"/>
    </i>
    <i r="1">
      <x v="3054"/>
    </i>
    <i r="1">
      <x v="3380"/>
    </i>
    <i t="default">
      <x v="931"/>
    </i>
    <i>
      <x v="932"/>
      <x v="2221"/>
    </i>
    <i t="default">
      <x v="932"/>
    </i>
    <i>
      <x v="933"/>
      <x v="2222"/>
    </i>
    <i t="default">
      <x v="933"/>
    </i>
    <i>
      <x v="934"/>
      <x v="2223"/>
    </i>
    <i t="default">
      <x v="934"/>
    </i>
    <i>
      <x v="935"/>
      <x v="2239"/>
    </i>
    <i r="1">
      <x v="2651"/>
    </i>
    <i t="default">
      <x v="935"/>
    </i>
    <i>
      <x v="939"/>
      <x v="2251"/>
    </i>
    <i r="1">
      <x v="2469"/>
    </i>
    <i r="1">
      <x v="2470"/>
    </i>
    <i r="1">
      <x v="2778"/>
    </i>
    <i t="default">
      <x v="939"/>
    </i>
    <i>
      <x v="940"/>
      <x v="2254"/>
    </i>
    <i t="default">
      <x v="940"/>
    </i>
    <i>
      <x v="944"/>
      <x v="2264"/>
    </i>
    <i r="1">
      <x v="3290"/>
    </i>
    <i t="default">
      <x v="944"/>
    </i>
    <i>
      <x v="946"/>
      <x v="2273"/>
    </i>
    <i t="default">
      <x v="946"/>
    </i>
    <i>
      <x v="947"/>
      <x v="2275"/>
    </i>
    <i t="default">
      <x v="947"/>
    </i>
    <i>
      <x v="948"/>
      <x v="2277"/>
    </i>
    <i t="default">
      <x v="948"/>
    </i>
    <i>
      <x v="950"/>
      <x v="2280"/>
    </i>
    <i t="default">
      <x v="950"/>
    </i>
    <i>
      <x v="951"/>
      <x v="2288"/>
    </i>
    <i t="default">
      <x v="951"/>
    </i>
    <i>
      <x v="955"/>
      <x v="2315"/>
    </i>
    <i r="1">
      <x v="2316"/>
    </i>
    <i t="default">
      <x v="955"/>
    </i>
    <i>
      <x v="956"/>
      <x v="2321"/>
    </i>
    <i r="1">
      <x v="3333"/>
    </i>
    <i t="default">
      <x v="956"/>
    </i>
    <i>
      <x v="957"/>
      <x v="2326"/>
    </i>
    <i r="1">
      <x v="2554"/>
    </i>
    <i r="1">
      <x v="2756"/>
    </i>
    <i r="1">
      <x v="3368"/>
    </i>
    <i t="default">
      <x v="957"/>
    </i>
    <i>
      <x v="960"/>
      <x v="3036"/>
    </i>
    <i t="default">
      <x v="960"/>
    </i>
    <i>
      <x v="961"/>
      <x v="2341"/>
    </i>
    <i t="default">
      <x v="961"/>
    </i>
    <i>
      <x v="962"/>
      <x v="2342"/>
    </i>
    <i t="default">
      <x v="962"/>
    </i>
    <i>
      <x v="965"/>
      <x v="2353"/>
    </i>
    <i t="default">
      <x v="965"/>
    </i>
    <i>
      <x v="966"/>
      <x v="2358"/>
    </i>
    <i r="1">
      <x v="2463"/>
    </i>
    <i r="1">
      <x v="3055"/>
    </i>
    <i t="default">
      <x v="966"/>
    </i>
    <i>
      <x v="967"/>
      <x v="2359"/>
    </i>
    <i r="1">
      <x v="3134"/>
    </i>
    <i t="default">
      <x v="967"/>
    </i>
    <i>
      <x v="969"/>
      <x v="2363"/>
    </i>
    <i t="default">
      <x v="969"/>
    </i>
    <i>
      <x v="971"/>
      <x v="2375"/>
    </i>
    <i r="1">
      <x v="3354"/>
    </i>
    <i t="default">
      <x v="971"/>
    </i>
    <i>
      <x v="972"/>
      <x v="2376"/>
    </i>
    <i t="default">
      <x v="972"/>
    </i>
    <i>
      <x v="973"/>
      <x v="2385"/>
    </i>
    <i t="default">
      <x v="973"/>
    </i>
    <i>
      <x v="974"/>
      <x v="2391"/>
    </i>
    <i r="1">
      <x v="2835"/>
    </i>
    <i r="1">
      <x v="3131"/>
    </i>
    <i t="default">
      <x v="974"/>
    </i>
    <i>
      <x v="975"/>
      <x v="2396"/>
    </i>
    <i t="default">
      <x v="975"/>
    </i>
    <i>
      <x v="976"/>
      <x v="2397"/>
    </i>
    <i t="default">
      <x v="976"/>
    </i>
    <i>
      <x v="977"/>
      <x v="2398"/>
    </i>
    <i t="default">
      <x v="977"/>
    </i>
    <i>
      <x v="978"/>
      <x v="2399"/>
    </i>
    <i t="default">
      <x v="978"/>
    </i>
    <i>
      <x v="980"/>
      <x v="2401"/>
    </i>
    <i r="1">
      <x v="2402"/>
    </i>
    <i r="1">
      <x v="3139"/>
    </i>
    <i t="default">
      <x v="980"/>
    </i>
    <i>
      <x v="981"/>
      <x v="3137"/>
    </i>
    <i t="default">
      <x v="981"/>
    </i>
    <i>
      <x v="982"/>
      <x v="2404"/>
    </i>
    <i t="default">
      <x v="982"/>
    </i>
    <i>
      <x v="983"/>
      <x v="2411"/>
    </i>
    <i t="default">
      <x v="983"/>
    </i>
    <i>
      <x v="986"/>
      <x v="2420"/>
    </i>
    <i r="1">
      <x v="3154"/>
    </i>
    <i r="1">
      <x v="3155"/>
    </i>
    <i r="1">
      <x v="3165"/>
    </i>
    <i t="default">
      <x v="986"/>
    </i>
    <i>
      <x v="988"/>
      <x v="2435"/>
    </i>
    <i t="default">
      <x v="988"/>
    </i>
    <i>
      <x v="990"/>
      <x v="2450"/>
    </i>
    <i r="1">
      <x v="2474"/>
    </i>
    <i r="1">
      <x v="3356"/>
    </i>
    <i t="default">
      <x v="990"/>
    </i>
    <i>
      <x v="991"/>
      <x v="2452"/>
    </i>
    <i t="default">
      <x v="991"/>
    </i>
    <i>
      <x v="992"/>
      <x v="2475"/>
    </i>
    <i t="default">
      <x v="992"/>
    </i>
    <i>
      <x v="993"/>
      <x v="3381"/>
    </i>
    <i t="default">
      <x v="993"/>
    </i>
    <i>
      <x v="994"/>
      <x v="2482"/>
    </i>
    <i t="default">
      <x v="994"/>
    </i>
    <i>
      <x v="995"/>
      <x v="2489"/>
    </i>
    <i t="default">
      <x v="995"/>
    </i>
    <i>
      <x v="1002"/>
      <x v="2533"/>
    </i>
    <i t="default">
      <x v="1002"/>
    </i>
    <i>
      <x v="1004"/>
      <x v="2562"/>
    </i>
    <i t="default">
      <x v="1004"/>
    </i>
    <i>
      <x v="1007"/>
      <x v="3323"/>
    </i>
    <i t="default">
      <x v="1007"/>
    </i>
    <i>
      <x v="1009"/>
      <x v="3463"/>
    </i>
    <i t="default">
      <x v="1009"/>
    </i>
    <i>
      <x v="1010"/>
      <x v="2585"/>
    </i>
    <i t="default">
      <x v="1010"/>
    </i>
    <i>
      <x v="1014"/>
      <x v="2607"/>
    </i>
    <i t="default">
      <x v="1014"/>
    </i>
    <i>
      <x v="1018"/>
      <x v="2636"/>
    </i>
    <i r="1">
      <x v="2637"/>
    </i>
    <i r="1">
      <x v="2638"/>
    </i>
    <i t="default">
      <x v="1018"/>
    </i>
    <i>
      <x v="1019"/>
      <x v="2647"/>
    </i>
    <i t="default">
      <x v="1019"/>
    </i>
    <i>
      <x v="1020"/>
      <x v="2649"/>
    </i>
    <i t="default">
      <x v="1020"/>
    </i>
    <i>
      <x v="1021"/>
      <x v="2650"/>
    </i>
    <i t="default">
      <x v="1021"/>
    </i>
    <i>
      <x v="1022"/>
      <x v="2652"/>
    </i>
    <i t="default">
      <x v="1022"/>
    </i>
    <i>
      <x v="1023"/>
      <x v="2653"/>
    </i>
    <i t="default">
      <x v="1023"/>
    </i>
    <i>
      <x v="1027"/>
      <x v="2674"/>
    </i>
    <i t="default">
      <x v="1027"/>
    </i>
    <i>
      <x v="1028"/>
      <x v="2677"/>
    </i>
    <i t="default">
      <x v="1028"/>
    </i>
    <i>
      <x v="1029"/>
      <x v="2678"/>
    </i>
    <i t="default">
      <x v="1029"/>
    </i>
    <i>
      <x v="1030"/>
      <x v="2691"/>
    </i>
    <i t="default">
      <x v="1030"/>
    </i>
    <i>
      <x v="1032"/>
      <x v="2705"/>
    </i>
    <i t="default">
      <x v="1032"/>
    </i>
    <i>
      <x v="1033"/>
      <x v="2708"/>
    </i>
    <i t="default">
      <x v="1033"/>
    </i>
    <i>
      <x v="1038"/>
      <x v="3239"/>
    </i>
    <i r="1">
      <x v="3240"/>
    </i>
    <i r="1">
      <x v="3241"/>
    </i>
    <i t="default">
      <x v="1038"/>
    </i>
    <i>
      <x v="1040"/>
      <x v="2764"/>
    </i>
    <i t="default">
      <x v="1040"/>
    </i>
    <i>
      <x v="1041"/>
      <x v="2765"/>
    </i>
    <i t="default">
      <x v="1041"/>
    </i>
    <i>
      <x v="1042"/>
      <x v="2777"/>
    </i>
    <i t="default">
      <x v="1042"/>
    </i>
    <i>
      <x v="1044"/>
      <x v="2782"/>
    </i>
    <i t="default">
      <x v="1044"/>
    </i>
    <i>
      <x v="1045"/>
      <x v="2789"/>
    </i>
    <i t="default">
      <x v="1045"/>
    </i>
    <i>
      <x v="1046"/>
      <x v="2790"/>
    </i>
    <i t="default">
      <x v="1046"/>
    </i>
    <i>
      <x v="1048"/>
      <x v="2798"/>
    </i>
    <i t="default">
      <x v="1048"/>
    </i>
    <i>
      <x v="1052"/>
      <x v="2813"/>
    </i>
    <i t="default">
      <x v="1052"/>
    </i>
    <i>
      <x v="1053"/>
      <x v="2822"/>
    </i>
    <i r="1">
      <x v="3394"/>
    </i>
    <i r="1">
      <x v="3472"/>
    </i>
    <i t="default">
      <x v="1053"/>
    </i>
    <i>
      <x v="1054"/>
      <x v="2823"/>
    </i>
    <i r="1">
      <x v="3009"/>
    </i>
    <i t="default">
      <x v="1054"/>
    </i>
    <i>
      <x v="1055"/>
      <x v="2836"/>
    </i>
    <i t="default">
      <x v="1055"/>
    </i>
    <i>
      <x v="1056"/>
      <x v="2837"/>
    </i>
    <i t="default">
      <x v="1056"/>
    </i>
    <i>
      <x v="1057"/>
      <x v="2839"/>
    </i>
    <i t="default">
      <x v="1057"/>
    </i>
    <i>
      <x v="1059"/>
      <x v="2843"/>
    </i>
    <i t="default">
      <x v="1059"/>
    </i>
    <i>
      <x v="1060"/>
      <x v="2844"/>
    </i>
    <i t="default">
      <x v="1060"/>
    </i>
    <i>
      <x v="1063"/>
      <x v="2858"/>
    </i>
    <i r="1">
      <x v="2991"/>
    </i>
    <i t="default">
      <x v="1063"/>
    </i>
    <i>
      <x v="1064"/>
      <x v="2859"/>
    </i>
    <i t="default">
      <x v="1064"/>
    </i>
    <i>
      <x v="1066"/>
      <x v="2862"/>
    </i>
    <i t="default">
      <x v="1066"/>
    </i>
    <i>
      <x v="1070"/>
      <x v="2878"/>
    </i>
    <i t="default">
      <x v="1070"/>
    </i>
    <i>
      <x v="1071"/>
      <x v="2886"/>
    </i>
    <i t="default">
      <x v="1071"/>
    </i>
    <i>
      <x v="1072"/>
      <x v="2887"/>
    </i>
    <i t="default">
      <x v="1072"/>
    </i>
    <i>
      <x v="1074"/>
      <x v="2903"/>
    </i>
    <i t="default">
      <x v="1074"/>
    </i>
    <i>
      <x v="1076"/>
      <x v="2924"/>
    </i>
    <i t="default">
      <x v="1076"/>
    </i>
    <i>
      <x v="1078"/>
      <x v="2939"/>
    </i>
    <i r="1">
      <x v="2940"/>
    </i>
    <i t="default">
      <x v="1078"/>
    </i>
    <i>
      <x v="1080"/>
      <x v="2945"/>
    </i>
    <i t="default">
      <x v="1080"/>
    </i>
    <i>
      <x v="1084"/>
      <x v="2962"/>
    </i>
    <i t="default">
      <x v="1084"/>
    </i>
    <i>
      <x v="1086"/>
      <x v="2972"/>
    </i>
    <i t="default">
      <x v="1086"/>
    </i>
    <i>
      <x v="1087"/>
      <x v="2973"/>
    </i>
    <i r="1">
      <x v="3427"/>
    </i>
    <i t="default">
      <x v="1087"/>
    </i>
    <i>
      <x v="1088"/>
      <x v="2974"/>
    </i>
    <i t="default">
      <x v="1088"/>
    </i>
    <i>
      <x v="1089"/>
      <x v="2975"/>
    </i>
    <i t="default">
      <x v="1089"/>
    </i>
    <i>
      <x v="1094"/>
      <x v="2986"/>
    </i>
    <i t="default">
      <x v="1094"/>
    </i>
    <i>
      <x v="1095"/>
      <x v="2990"/>
    </i>
    <i t="default">
      <x v="1095"/>
    </i>
    <i>
      <x v="1096"/>
      <x v="2994"/>
    </i>
    <i t="default">
      <x v="1096"/>
    </i>
    <i>
      <x v="1098"/>
      <x v="3002"/>
    </i>
    <i t="default">
      <x v="1098"/>
    </i>
    <i>
      <x v="1099"/>
      <x v="3008"/>
    </i>
    <i r="1">
      <x v="3086"/>
    </i>
    <i t="default">
      <x v="1099"/>
    </i>
    <i>
      <x v="1103"/>
      <x v="3040"/>
    </i>
    <i t="default">
      <x v="1103"/>
    </i>
    <i>
      <x v="1106"/>
      <x v="3046"/>
    </i>
    <i t="default">
      <x v="1106"/>
    </i>
    <i>
      <x v="1107"/>
      <x v="3052"/>
    </i>
    <i r="1">
      <x v="3172"/>
    </i>
    <i r="1">
      <x v="3208"/>
    </i>
    <i r="1">
      <x v="3319"/>
    </i>
    <i r="1">
      <x v="3359"/>
    </i>
    <i r="1">
      <x v="3410"/>
    </i>
    <i t="default">
      <x v="1107"/>
    </i>
    <i>
      <x v="1109"/>
      <x v="3071"/>
    </i>
    <i r="1">
      <x v="3113"/>
    </i>
    <i t="default">
      <x v="1109"/>
    </i>
    <i>
      <x v="1110"/>
      <x v="3089"/>
    </i>
    <i r="1">
      <x v="3090"/>
    </i>
    <i r="1">
      <x v="3281"/>
    </i>
    <i t="default">
      <x v="1110"/>
    </i>
    <i>
      <x v="1111"/>
      <x v="3102"/>
    </i>
    <i t="default">
      <x v="1111"/>
    </i>
    <i>
      <x v="1113"/>
      <x v="3107"/>
    </i>
    <i t="default">
      <x v="1113"/>
    </i>
    <i>
      <x v="1114"/>
      <x v="3133"/>
    </i>
    <i t="default">
      <x v="1114"/>
    </i>
    <i>
      <x v="1118"/>
      <x v="3149"/>
    </i>
    <i t="default">
      <x v="1118"/>
    </i>
    <i>
      <x v="1121"/>
      <x v="3173"/>
    </i>
    <i t="default">
      <x v="1121"/>
    </i>
    <i>
      <x v="1122"/>
      <x v="3175"/>
    </i>
    <i t="default">
      <x v="1122"/>
    </i>
    <i>
      <x v="1123"/>
      <x v="3193"/>
    </i>
    <i t="default">
      <x v="1123"/>
    </i>
    <i>
      <x v="1124"/>
      <x v="3197"/>
    </i>
    <i t="default">
      <x v="1124"/>
    </i>
    <i>
      <x v="1126"/>
      <x v="3202"/>
    </i>
    <i t="default">
      <x v="1126"/>
    </i>
    <i>
      <x v="1127"/>
      <x v="3216"/>
    </i>
    <i r="1">
      <x v="3217"/>
    </i>
    <i t="default">
      <x v="1127"/>
    </i>
    <i>
      <x v="1128"/>
      <x v="3242"/>
    </i>
    <i t="default">
      <x v="1128"/>
    </i>
    <i>
      <x v="1130"/>
      <x v="3247"/>
    </i>
    <i t="default">
      <x v="1130"/>
    </i>
    <i>
      <x v="1131"/>
      <x v="3249"/>
    </i>
    <i t="default">
      <x v="1131"/>
    </i>
    <i>
      <x v="1133"/>
      <x v="3251"/>
    </i>
    <i t="default">
      <x v="1133"/>
    </i>
    <i>
      <x v="1134"/>
      <x v="3258"/>
    </i>
    <i r="1">
      <x v="3262"/>
    </i>
    <i t="default">
      <x v="1134"/>
    </i>
    <i>
      <x v="1136"/>
      <x v="3277"/>
    </i>
    <i t="default">
      <x v="1136"/>
    </i>
    <i>
      <x v="1139"/>
      <x v="3439"/>
    </i>
    <i t="default">
      <x v="1139"/>
    </i>
    <i>
      <x v="1140"/>
      <x v="3283"/>
    </i>
    <i t="default">
      <x v="1140"/>
    </i>
    <i>
      <x v="1141"/>
      <x v="3285"/>
    </i>
    <i t="default">
      <x v="1141"/>
    </i>
    <i>
      <x v="1142"/>
      <x v="3301"/>
    </i>
    <i t="default">
      <x v="1142"/>
    </i>
    <i>
      <x v="1143"/>
      <x v="3304"/>
    </i>
    <i t="default">
      <x v="1143"/>
    </i>
    <i>
      <x v="1146"/>
      <x v="3316"/>
    </i>
    <i r="1">
      <x v="3418"/>
    </i>
    <i t="default">
      <x v="1146"/>
    </i>
    <i>
      <x v="1148"/>
      <x v="3326"/>
    </i>
    <i t="default">
      <x v="1148"/>
    </i>
    <i>
      <x v="1149"/>
      <x v="3327"/>
    </i>
    <i t="default">
      <x v="1149"/>
    </i>
    <i>
      <x v="1150"/>
      <x v="3330"/>
    </i>
    <i r="1">
      <x v="3331"/>
    </i>
    <i t="default">
      <x v="1150"/>
    </i>
    <i>
      <x v="1152"/>
      <x v="3337"/>
    </i>
    <i t="default">
      <x v="1152"/>
    </i>
    <i>
      <x v="1153"/>
      <x v="3341"/>
    </i>
    <i t="default">
      <x v="1153"/>
    </i>
    <i>
      <x v="1154"/>
      <x v="3344"/>
    </i>
    <i t="default">
      <x v="1154"/>
    </i>
    <i>
      <x v="1155"/>
      <x v="3357"/>
    </i>
    <i t="default">
      <x v="1155"/>
    </i>
    <i>
      <x v="1156"/>
      <x v="3360"/>
    </i>
    <i t="default">
      <x v="1156"/>
    </i>
    <i>
      <x v="1158"/>
      <x v="3371"/>
    </i>
    <i t="default">
      <x v="1158"/>
    </i>
    <i>
      <x v="1159"/>
      <x v="3391"/>
    </i>
    <i t="default">
      <x v="1159"/>
    </i>
    <i>
      <x v="1160"/>
      <x v="3397"/>
    </i>
    <i t="default">
      <x v="1160"/>
    </i>
    <i>
      <x v="1161"/>
      <x v="3405"/>
    </i>
    <i t="default">
      <x v="1161"/>
    </i>
    <i>
      <x v="1162"/>
      <x v="3412"/>
    </i>
    <i t="default">
      <x v="1162"/>
    </i>
    <i>
      <x v="1166"/>
      <x v="3425"/>
    </i>
    <i t="default">
      <x v="1166"/>
    </i>
    <i>
      <x v="1168"/>
      <x v="3431"/>
    </i>
    <i r="1">
      <x v="3432"/>
    </i>
    <i r="1">
      <x v="3434"/>
    </i>
    <i t="default">
      <x v="1168"/>
    </i>
    <i>
      <x v="1169"/>
      <x v="3433"/>
    </i>
    <i t="default">
      <x v="1169"/>
    </i>
    <i>
      <x v="1170"/>
      <x v="3435"/>
    </i>
    <i t="default">
      <x v="1170"/>
    </i>
    <i>
      <x v="1171"/>
      <x v="3436"/>
    </i>
    <i t="default">
      <x v="1171"/>
    </i>
    <i>
      <x v="1172"/>
      <x v="3450"/>
    </i>
    <i t="default">
      <x v="1172"/>
    </i>
    <i>
      <x v="1173"/>
      <x v="3451"/>
    </i>
    <i t="default">
      <x v="1173"/>
    </i>
    <i>
      <x v="1174"/>
      <x v="3457"/>
    </i>
    <i t="default">
      <x v="1174"/>
    </i>
    <i>
      <x v="1175"/>
      <x v="3464"/>
    </i>
    <i t="default">
      <x v="1175"/>
    </i>
    <i>
      <x v="1176"/>
      <x v="3470"/>
    </i>
    <i t="default">
      <x v="1176"/>
    </i>
    <i>
      <x v="1177"/>
      <x v="3476"/>
    </i>
    <i t="default">
      <x v="1177"/>
    </i>
    <i>
      <x v="1178"/>
      <x v="3477"/>
    </i>
    <i t="default">
      <x v="1178"/>
    </i>
    <i t="grand">
      <x/>
    </i>
  </rowItems>
  <colFields count="1">
    <field x="-2"/>
  </colFields>
  <colItems count="2">
    <i>
      <x/>
    </i>
    <i i="1">
      <x v="1"/>
    </i>
  </colItems>
  <pageFields count="1">
    <pageField fld="21" hier="-1"/>
  </pageFields>
  <dataFields count="2">
    <dataField name="Cuenta de SIN ACUSE" fld="21" subtotal="count" baseField="0" baseItem="0"/>
    <dataField name="Suma de Total" fld="14" baseField="0" baseItem="0" numFmtId="164"/>
  </dataFields>
  <formats count="1310">
    <format dxfId="1084">
      <pivotArea dataOnly="0" labelOnly="1" outline="0" fieldPosition="0">
        <references count="1">
          <reference field="21" count="0"/>
        </references>
      </pivotArea>
    </format>
    <format dxfId="1085">
      <pivotArea field="2" type="button" dataOnly="0" labelOnly="1" outline="0" axis="axisRow" fieldPosition="1"/>
    </format>
    <format dxfId="1086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1087">
      <pivotArea dataOnly="0" labelOnly="1" outline="0" fieldPosition="0">
        <references count="1">
          <reference field="10" count="1" defaultSubtotal="1">
            <x v="5"/>
          </reference>
        </references>
      </pivotArea>
    </format>
    <format dxfId="1088">
      <pivotArea dataOnly="0" labelOnly="1" outline="0" fieldPosition="0">
        <references count="1">
          <reference field="10" count="1" defaultSubtotal="1">
            <x v="8"/>
          </reference>
        </references>
      </pivotArea>
    </format>
    <format dxfId="1089">
      <pivotArea dataOnly="0" labelOnly="1" outline="0" fieldPosition="0">
        <references count="1">
          <reference field="10" count="1" defaultSubtotal="1">
            <x v="11"/>
          </reference>
        </references>
      </pivotArea>
    </format>
    <format dxfId="1090">
      <pivotArea dataOnly="0" labelOnly="1" outline="0" fieldPosition="0">
        <references count="1">
          <reference field="10" count="1" defaultSubtotal="1">
            <x v="12"/>
          </reference>
        </references>
      </pivotArea>
    </format>
    <format dxfId="1091">
      <pivotArea dataOnly="0" labelOnly="1" outline="0" fieldPosition="0">
        <references count="1">
          <reference field="10" count="1" defaultSubtotal="1">
            <x v="19"/>
          </reference>
        </references>
      </pivotArea>
    </format>
    <format dxfId="1092">
      <pivotArea dataOnly="0" labelOnly="1" outline="0" fieldPosition="0">
        <references count="1">
          <reference field="10" count="1" defaultSubtotal="1">
            <x v="21"/>
          </reference>
        </references>
      </pivotArea>
    </format>
    <format dxfId="1093">
      <pivotArea dataOnly="0" labelOnly="1" outline="0" fieldPosition="0">
        <references count="1">
          <reference field="10" count="1" defaultSubtotal="1">
            <x v="25"/>
          </reference>
        </references>
      </pivotArea>
    </format>
    <format dxfId="1094">
      <pivotArea dataOnly="0" labelOnly="1" outline="0" fieldPosition="0">
        <references count="1">
          <reference field="10" count="1" defaultSubtotal="1">
            <x v="30"/>
          </reference>
        </references>
      </pivotArea>
    </format>
    <format dxfId="1095">
      <pivotArea dataOnly="0" labelOnly="1" outline="0" fieldPosition="0">
        <references count="1">
          <reference field="10" count="1" defaultSubtotal="1">
            <x v="34"/>
          </reference>
        </references>
      </pivotArea>
    </format>
    <format dxfId="1096">
      <pivotArea dataOnly="0" labelOnly="1" outline="0" fieldPosition="0">
        <references count="1">
          <reference field="10" count="1" defaultSubtotal="1">
            <x v="35"/>
          </reference>
        </references>
      </pivotArea>
    </format>
    <format dxfId="1097">
      <pivotArea dataOnly="0" labelOnly="1" outline="0" fieldPosition="0">
        <references count="1">
          <reference field="10" count="1" defaultSubtotal="1">
            <x v="36"/>
          </reference>
        </references>
      </pivotArea>
    </format>
    <format dxfId="1098">
      <pivotArea dataOnly="0" labelOnly="1" outline="0" fieldPosition="0">
        <references count="1">
          <reference field="10" count="1" defaultSubtotal="1">
            <x v="38"/>
          </reference>
        </references>
      </pivotArea>
    </format>
    <format dxfId="1099">
      <pivotArea dataOnly="0" labelOnly="1" outline="0" fieldPosition="0">
        <references count="1">
          <reference field="10" count="1" defaultSubtotal="1">
            <x v="41"/>
          </reference>
        </references>
      </pivotArea>
    </format>
    <format dxfId="1100">
      <pivotArea dataOnly="0" labelOnly="1" outline="0" fieldPosition="0">
        <references count="1">
          <reference field="10" count="1" defaultSubtotal="1">
            <x v="42"/>
          </reference>
        </references>
      </pivotArea>
    </format>
    <format dxfId="1101">
      <pivotArea dataOnly="0" labelOnly="1" outline="0" fieldPosition="0">
        <references count="1">
          <reference field="10" count="1" defaultSubtotal="1">
            <x v="45"/>
          </reference>
        </references>
      </pivotArea>
    </format>
    <format dxfId="1102">
      <pivotArea dataOnly="0" labelOnly="1" outline="0" fieldPosition="0">
        <references count="1">
          <reference field="10" count="1" defaultSubtotal="1">
            <x v="47"/>
          </reference>
        </references>
      </pivotArea>
    </format>
    <format dxfId="1103">
      <pivotArea dataOnly="0" labelOnly="1" outline="0" fieldPosition="0">
        <references count="1">
          <reference field="10" count="1" defaultSubtotal="1">
            <x v="51"/>
          </reference>
        </references>
      </pivotArea>
    </format>
    <format dxfId="1104">
      <pivotArea dataOnly="0" labelOnly="1" outline="0" fieldPosition="0">
        <references count="1">
          <reference field="10" count="1" defaultSubtotal="1">
            <x v="54"/>
          </reference>
        </references>
      </pivotArea>
    </format>
    <format dxfId="1105">
      <pivotArea dataOnly="0" labelOnly="1" outline="0" fieldPosition="0">
        <references count="1">
          <reference field="10" count="1" defaultSubtotal="1">
            <x v="55"/>
          </reference>
        </references>
      </pivotArea>
    </format>
    <format dxfId="1106">
      <pivotArea dataOnly="0" labelOnly="1" outline="0" fieldPosition="0">
        <references count="1">
          <reference field="10" count="1" defaultSubtotal="1">
            <x v="56"/>
          </reference>
        </references>
      </pivotArea>
    </format>
    <format dxfId="1107">
      <pivotArea dataOnly="0" labelOnly="1" outline="0" fieldPosition="0">
        <references count="1">
          <reference field="10" count="1" defaultSubtotal="1">
            <x v="60"/>
          </reference>
        </references>
      </pivotArea>
    </format>
    <format dxfId="1108">
      <pivotArea dataOnly="0" labelOnly="1" outline="0" fieldPosition="0">
        <references count="1">
          <reference field="10" count="1" defaultSubtotal="1">
            <x v="62"/>
          </reference>
        </references>
      </pivotArea>
    </format>
    <format dxfId="1109">
      <pivotArea dataOnly="0" labelOnly="1" outline="0" fieldPosition="0">
        <references count="1">
          <reference field="10" count="1" defaultSubtotal="1">
            <x v="63"/>
          </reference>
        </references>
      </pivotArea>
    </format>
    <format dxfId="1110">
      <pivotArea dataOnly="0" labelOnly="1" outline="0" fieldPosition="0">
        <references count="1">
          <reference field="10" count="1" defaultSubtotal="1">
            <x v="70"/>
          </reference>
        </references>
      </pivotArea>
    </format>
    <format dxfId="1111">
      <pivotArea dataOnly="0" labelOnly="1" outline="0" fieldPosition="0">
        <references count="1">
          <reference field="10" count="1" defaultSubtotal="1">
            <x v="71"/>
          </reference>
        </references>
      </pivotArea>
    </format>
    <format dxfId="1112">
      <pivotArea dataOnly="0" labelOnly="1" outline="0" fieldPosition="0">
        <references count="1">
          <reference field="10" count="1" defaultSubtotal="1">
            <x v="74"/>
          </reference>
        </references>
      </pivotArea>
    </format>
    <format dxfId="1113">
      <pivotArea dataOnly="0" labelOnly="1" outline="0" fieldPosition="0">
        <references count="1">
          <reference field="10" count="1" defaultSubtotal="1">
            <x v="76"/>
          </reference>
        </references>
      </pivotArea>
    </format>
    <format dxfId="1114">
      <pivotArea dataOnly="0" labelOnly="1" outline="0" fieldPosition="0">
        <references count="1">
          <reference field="10" count="1" defaultSubtotal="1">
            <x v="79"/>
          </reference>
        </references>
      </pivotArea>
    </format>
    <format dxfId="1115">
      <pivotArea dataOnly="0" labelOnly="1" outline="0" fieldPosition="0">
        <references count="1">
          <reference field="10" count="1" defaultSubtotal="1">
            <x v="83"/>
          </reference>
        </references>
      </pivotArea>
    </format>
    <format dxfId="1116">
      <pivotArea dataOnly="0" labelOnly="1" outline="0" fieldPosition="0">
        <references count="1">
          <reference field="10" count="1" defaultSubtotal="1">
            <x v="84"/>
          </reference>
        </references>
      </pivotArea>
    </format>
    <format dxfId="1117">
      <pivotArea dataOnly="0" labelOnly="1" outline="0" fieldPosition="0">
        <references count="1">
          <reference field="10" count="1" defaultSubtotal="1">
            <x v="86"/>
          </reference>
        </references>
      </pivotArea>
    </format>
    <format dxfId="1118">
      <pivotArea dataOnly="0" labelOnly="1" outline="0" fieldPosition="0">
        <references count="1">
          <reference field="10" count="1" defaultSubtotal="1">
            <x v="88"/>
          </reference>
        </references>
      </pivotArea>
    </format>
    <format dxfId="1119">
      <pivotArea dataOnly="0" labelOnly="1" outline="0" fieldPosition="0">
        <references count="1">
          <reference field="10" count="1" defaultSubtotal="1">
            <x v="91"/>
          </reference>
        </references>
      </pivotArea>
    </format>
    <format dxfId="1120">
      <pivotArea dataOnly="0" labelOnly="1" outline="0" fieldPosition="0">
        <references count="1">
          <reference field="10" count="1" defaultSubtotal="1">
            <x v="92"/>
          </reference>
        </references>
      </pivotArea>
    </format>
    <format dxfId="1121">
      <pivotArea dataOnly="0" labelOnly="1" outline="0" fieldPosition="0">
        <references count="1">
          <reference field="10" count="1" defaultSubtotal="1">
            <x v="93"/>
          </reference>
        </references>
      </pivotArea>
    </format>
    <format dxfId="1122">
      <pivotArea dataOnly="0" labelOnly="1" outline="0" fieldPosition="0">
        <references count="1">
          <reference field="10" count="1" defaultSubtotal="1">
            <x v="94"/>
          </reference>
        </references>
      </pivotArea>
    </format>
    <format dxfId="1123">
      <pivotArea dataOnly="0" labelOnly="1" outline="0" fieldPosition="0">
        <references count="1">
          <reference field="10" count="1" defaultSubtotal="1">
            <x v="96"/>
          </reference>
        </references>
      </pivotArea>
    </format>
    <format dxfId="1124">
      <pivotArea dataOnly="0" labelOnly="1" outline="0" fieldPosition="0">
        <references count="1">
          <reference field="10" count="1" defaultSubtotal="1">
            <x v="97"/>
          </reference>
        </references>
      </pivotArea>
    </format>
    <format dxfId="1125">
      <pivotArea dataOnly="0" labelOnly="1" outline="0" fieldPosition="0">
        <references count="1">
          <reference field="10" count="1" defaultSubtotal="1">
            <x v="100"/>
          </reference>
        </references>
      </pivotArea>
    </format>
    <format dxfId="1126">
      <pivotArea dataOnly="0" labelOnly="1" outline="0" fieldPosition="0">
        <references count="1">
          <reference field="10" count="1" defaultSubtotal="1">
            <x v="102"/>
          </reference>
        </references>
      </pivotArea>
    </format>
    <format dxfId="1127">
      <pivotArea dataOnly="0" labelOnly="1" outline="0" fieldPosition="0">
        <references count="1">
          <reference field="10" count="1" defaultSubtotal="1">
            <x v="103"/>
          </reference>
        </references>
      </pivotArea>
    </format>
    <format dxfId="1128">
      <pivotArea dataOnly="0" labelOnly="1" outline="0" fieldPosition="0">
        <references count="1">
          <reference field="10" count="1" defaultSubtotal="1">
            <x v="105"/>
          </reference>
        </references>
      </pivotArea>
    </format>
    <format dxfId="1129">
      <pivotArea dataOnly="0" labelOnly="1" outline="0" fieldPosition="0">
        <references count="1">
          <reference field="10" count="1" defaultSubtotal="1">
            <x v="109"/>
          </reference>
        </references>
      </pivotArea>
    </format>
    <format dxfId="1130">
      <pivotArea dataOnly="0" labelOnly="1" outline="0" fieldPosition="0">
        <references count="1">
          <reference field="10" count="1" defaultSubtotal="1">
            <x v="110"/>
          </reference>
        </references>
      </pivotArea>
    </format>
    <format dxfId="1131">
      <pivotArea dataOnly="0" labelOnly="1" outline="0" fieldPosition="0">
        <references count="1">
          <reference field="10" count="1" defaultSubtotal="1">
            <x v="112"/>
          </reference>
        </references>
      </pivotArea>
    </format>
    <format dxfId="1132">
      <pivotArea dataOnly="0" labelOnly="1" outline="0" fieldPosition="0">
        <references count="1">
          <reference field="10" count="1" defaultSubtotal="1">
            <x v="113"/>
          </reference>
        </references>
      </pivotArea>
    </format>
    <format dxfId="1133">
      <pivotArea dataOnly="0" labelOnly="1" outline="0" fieldPosition="0">
        <references count="1">
          <reference field="10" count="1" defaultSubtotal="1">
            <x v="114"/>
          </reference>
        </references>
      </pivotArea>
    </format>
    <format dxfId="1134">
      <pivotArea dataOnly="0" labelOnly="1" outline="0" fieldPosition="0">
        <references count="1">
          <reference field="10" count="1" defaultSubtotal="1">
            <x v="115"/>
          </reference>
        </references>
      </pivotArea>
    </format>
    <format dxfId="1135">
      <pivotArea dataOnly="0" labelOnly="1" outline="0" fieldPosition="0">
        <references count="1">
          <reference field="10" count="1" defaultSubtotal="1">
            <x v="121"/>
          </reference>
        </references>
      </pivotArea>
    </format>
    <format dxfId="1136">
      <pivotArea dataOnly="0" labelOnly="1" outline="0" fieldPosition="0">
        <references count="1">
          <reference field="10" count="1" defaultSubtotal="1">
            <x v="126"/>
          </reference>
        </references>
      </pivotArea>
    </format>
    <format dxfId="1137">
      <pivotArea dataOnly="0" labelOnly="1" outline="0" fieldPosition="0">
        <references count="1">
          <reference field="10" count="1" defaultSubtotal="1">
            <x v="139"/>
          </reference>
        </references>
      </pivotArea>
    </format>
    <format dxfId="1138">
      <pivotArea dataOnly="0" labelOnly="1" outline="0" fieldPosition="0">
        <references count="1">
          <reference field="10" count="1" defaultSubtotal="1">
            <x v="142"/>
          </reference>
        </references>
      </pivotArea>
    </format>
    <format dxfId="1139">
      <pivotArea dataOnly="0" labelOnly="1" outline="0" fieldPosition="0">
        <references count="1">
          <reference field="10" count="1" defaultSubtotal="1">
            <x v="144"/>
          </reference>
        </references>
      </pivotArea>
    </format>
    <format dxfId="1140">
      <pivotArea dataOnly="0" labelOnly="1" outline="0" fieldPosition="0">
        <references count="1">
          <reference field="10" count="1" defaultSubtotal="1">
            <x v="148"/>
          </reference>
        </references>
      </pivotArea>
    </format>
    <format dxfId="1141">
      <pivotArea dataOnly="0" labelOnly="1" outline="0" fieldPosition="0">
        <references count="1">
          <reference field="10" count="1" defaultSubtotal="1">
            <x v="157"/>
          </reference>
        </references>
      </pivotArea>
    </format>
    <format dxfId="1142">
      <pivotArea dataOnly="0" labelOnly="1" outline="0" fieldPosition="0">
        <references count="1">
          <reference field="10" count="1" defaultSubtotal="1">
            <x v="158"/>
          </reference>
        </references>
      </pivotArea>
    </format>
    <format dxfId="1143">
      <pivotArea dataOnly="0" labelOnly="1" outline="0" fieldPosition="0">
        <references count="1">
          <reference field="10" count="1" defaultSubtotal="1">
            <x v="170"/>
          </reference>
        </references>
      </pivotArea>
    </format>
    <format dxfId="1144">
      <pivotArea dataOnly="0" labelOnly="1" outline="0" fieldPosition="0">
        <references count="1">
          <reference field="10" count="1" defaultSubtotal="1">
            <x v="172"/>
          </reference>
        </references>
      </pivotArea>
    </format>
    <format dxfId="1145">
      <pivotArea dataOnly="0" labelOnly="1" outline="0" fieldPosition="0">
        <references count="1">
          <reference field="10" count="1" defaultSubtotal="1">
            <x v="173"/>
          </reference>
        </references>
      </pivotArea>
    </format>
    <format dxfId="1146">
      <pivotArea dataOnly="0" labelOnly="1" outline="0" fieldPosition="0">
        <references count="1">
          <reference field="10" count="1" defaultSubtotal="1">
            <x v="174"/>
          </reference>
        </references>
      </pivotArea>
    </format>
    <format dxfId="1147">
      <pivotArea dataOnly="0" labelOnly="1" outline="0" fieldPosition="0">
        <references count="1">
          <reference field="10" count="1" defaultSubtotal="1">
            <x v="178"/>
          </reference>
        </references>
      </pivotArea>
    </format>
    <format dxfId="1148">
      <pivotArea dataOnly="0" labelOnly="1" outline="0" fieldPosition="0">
        <references count="1">
          <reference field="10" count="1" defaultSubtotal="1">
            <x v="179"/>
          </reference>
        </references>
      </pivotArea>
    </format>
    <format dxfId="1149">
      <pivotArea dataOnly="0" labelOnly="1" outline="0" fieldPosition="0">
        <references count="1">
          <reference field="10" count="1" defaultSubtotal="1">
            <x v="185"/>
          </reference>
        </references>
      </pivotArea>
    </format>
    <format dxfId="1150">
      <pivotArea dataOnly="0" labelOnly="1" outline="0" fieldPosition="0">
        <references count="1">
          <reference field="10" count="1" defaultSubtotal="1">
            <x v="186"/>
          </reference>
        </references>
      </pivotArea>
    </format>
    <format dxfId="1151">
      <pivotArea dataOnly="0" labelOnly="1" outline="0" fieldPosition="0">
        <references count="1">
          <reference field="10" count="1" defaultSubtotal="1">
            <x v="187"/>
          </reference>
        </references>
      </pivotArea>
    </format>
    <format dxfId="1152">
      <pivotArea dataOnly="0" labelOnly="1" outline="0" fieldPosition="0">
        <references count="1">
          <reference field="10" count="1" defaultSubtotal="1">
            <x v="189"/>
          </reference>
        </references>
      </pivotArea>
    </format>
    <format dxfId="1153">
      <pivotArea dataOnly="0" labelOnly="1" outline="0" fieldPosition="0">
        <references count="1">
          <reference field="10" count="1" defaultSubtotal="1">
            <x v="190"/>
          </reference>
        </references>
      </pivotArea>
    </format>
    <format dxfId="1154">
      <pivotArea dataOnly="0" labelOnly="1" outline="0" fieldPosition="0">
        <references count="1">
          <reference field="10" count="1" defaultSubtotal="1">
            <x v="198"/>
          </reference>
        </references>
      </pivotArea>
    </format>
    <format dxfId="1155">
      <pivotArea dataOnly="0" labelOnly="1" outline="0" fieldPosition="0">
        <references count="1">
          <reference field="10" count="1" defaultSubtotal="1">
            <x v="199"/>
          </reference>
        </references>
      </pivotArea>
    </format>
    <format dxfId="1156">
      <pivotArea dataOnly="0" labelOnly="1" outline="0" fieldPosition="0">
        <references count="1">
          <reference field="10" count="1" defaultSubtotal="1">
            <x v="201"/>
          </reference>
        </references>
      </pivotArea>
    </format>
    <format dxfId="1157">
      <pivotArea dataOnly="0" labelOnly="1" outline="0" fieldPosition="0">
        <references count="1">
          <reference field="10" count="1" defaultSubtotal="1">
            <x v="202"/>
          </reference>
        </references>
      </pivotArea>
    </format>
    <format dxfId="1158">
      <pivotArea dataOnly="0" labelOnly="1" outline="0" fieldPosition="0">
        <references count="1">
          <reference field="10" count="1" defaultSubtotal="1">
            <x v="203"/>
          </reference>
        </references>
      </pivotArea>
    </format>
    <format dxfId="1159">
      <pivotArea dataOnly="0" labelOnly="1" outline="0" fieldPosition="0">
        <references count="1">
          <reference field="10" count="1" defaultSubtotal="1">
            <x v="205"/>
          </reference>
        </references>
      </pivotArea>
    </format>
    <format dxfId="1160">
      <pivotArea dataOnly="0" labelOnly="1" outline="0" fieldPosition="0">
        <references count="1">
          <reference field="10" count="1" defaultSubtotal="1">
            <x v="208"/>
          </reference>
        </references>
      </pivotArea>
    </format>
    <format dxfId="1161">
      <pivotArea dataOnly="0" labelOnly="1" outline="0" fieldPosition="0">
        <references count="1">
          <reference field="10" count="1" defaultSubtotal="1">
            <x v="209"/>
          </reference>
        </references>
      </pivotArea>
    </format>
    <format dxfId="1162">
      <pivotArea dataOnly="0" labelOnly="1" outline="0" fieldPosition="0">
        <references count="1">
          <reference field="10" count="1" defaultSubtotal="1">
            <x v="210"/>
          </reference>
        </references>
      </pivotArea>
    </format>
    <format dxfId="1163">
      <pivotArea dataOnly="0" labelOnly="1" outline="0" fieldPosition="0">
        <references count="1">
          <reference field="10" count="1" defaultSubtotal="1">
            <x v="212"/>
          </reference>
        </references>
      </pivotArea>
    </format>
    <format dxfId="1164">
      <pivotArea dataOnly="0" labelOnly="1" outline="0" fieldPosition="0">
        <references count="1">
          <reference field="10" count="1" defaultSubtotal="1">
            <x v="216"/>
          </reference>
        </references>
      </pivotArea>
    </format>
    <format dxfId="1165">
      <pivotArea dataOnly="0" labelOnly="1" outline="0" fieldPosition="0">
        <references count="1">
          <reference field="10" count="1" defaultSubtotal="1">
            <x v="217"/>
          </reference>
        </references>
      </pivotArea>
    </format>
    <format dxfId="1166">
      <pivotArea dataOnly="0" labelOnly="1" outline="0" fieldPosition="0">
        <references count="1">
          <reference field="10" count="1" defaultSubtotal="1">
            <x v="220"/>
          </reference>
        </references>
      </pivotArea>
    </format>
    <format dxfId="1167">
      <pivotArea dataOnly="0" labelOnly="1" outline="0" fieldPosition="0">
        <references count="1">
          <reference field="10" count="1" defaultSubtotal="1">
            <x v="221"/>
          </reference>
        </references>
      </pivotArea>
    </format>
    <format dxfId="1168">
      <pivotArea dataOnly="0" labelOnly="1" outline="0" fieldPosition="0">
        <references count="1">
          <reference field="10" count="1" defaultSubtotal="1">
            <x v="223"/>
          </reference>
        </references>
      </pivotArea>
    </format>
    <format dxfId="1169">
      <pivotArea dataOnly="0" labelOnly="1" outline="0" fieldPosition="0">
        <references count="1">
          <reference field="10" count="1" defaultSubtotal="1">
            <x v="224"/>
          </reference>
        </references>
      </pivotArea>
    </format>
    <format dxfId="1170">
      <pivotArea dataOnly="0" labelOnly="1" outline="0" fieldPosition="0">
        <references count="1">
          <reference field="10" count="1" defaultSubtotal="1">
            <x v="228"/>
          </reference>
        </references>
      </pivotArea>
    </format>
    <format dxfId="1171">
      <pivotArea dataOnly="0" labelOnly="1" outline="0" fieldPosition="0">
        <references count="1">
          <reference field="10" count="1" defaultSubtotal="1">
            <x v="229"/>
          </reference>
        </references>
      </pivotArea>
    </format>
    <format dxfId="1172">
      <pivotArea dataOnly="0" labelOnly="1" outline="0" fieldPosition="0">
        <references count="1">
          <reference field="10" count="1" defaultSubtotal="1">
            <x v="230"/>
          </reference>
        </references>
      </pivotArea>
    </format>
    <format dxfId="1173">
      <pivotArea dataOnly="0" labelOnly="1" outline="0" fieldPosition="0">
        <references count="1">
          <reference field="10" count="1" defaultSubtotal="1">
            <x v="234"/>
          </reference>
        </references>
      </pivotArea>
    </format>
    <format dxfId="1174">
      <pivotArea dataOnly="0" labelOnly="1" outline="0" fieldPosition="0">
        <references count="1">
          <reference field="10" count="1" defaultSubtotal="1">
            <x v="235"/>
          </reference>
        </references>
      </pivotArea>
    </format>
    <format dxfId="1175">
      <pivotArea dataOnly="0" labelOnly="1" outline="0" fieldPosition="0">
        <references count="1">
          <reference field="10" count="1" defaultSubtotal="1">
            <x v="240"/>
          </reference>
        </references>
      </pivotArea>
    </format>
    <format dxfId="1176">
      <pivotArea dataOnly="0" labelOnly="1" outline="0" fieldPosition="0">
        <references count="1">
          <reference field="10" count="1" defaultSubtotal="1">
            <x v="241"/>
          </reference>
        </references>
      </pivotArea>
    </format>
    <format dxfId="1177">
      <pivotArea dataOnly="0" labelOnly="1" outline="0" fieldPosition="0">
        <references count="1">
          <reference field="10" count="1" defaultSubtotal="1">
            <x v="245"/>
          </reference>
        </references>
      </pivotArea>
    </format>
    <format dxfId="1178">
      <pivotArea dataOnly="0" labelOnly="1" outline="0" fieldPosition="0">
        <references count="1">
          <reference field="10" count="1" defaultSubtotal="1">
            <x v="253"/>
          </reference>
        </references>
      </pivotArea>
    </format>
    <format dxfId="1179">
      <pivotArea dataOnly="0" labelOnly="1" outline="0" fieldPosition="0">
        <references count="1">
          <reference field="10" count="1" defaultSubtotal="1">
            <x v="254"/>
          </reference>
        </references>
      </pivotArea>
    </format>
    <format dxfId="1180">
      <pivotArea dataOnly="0" labelOnly="1" outline="0" fieldPosition="0">
        <references count="1">
          <reference field="10" count="1" defaultSubtotal="1">
            <x v="255"/>
          </reference>
        </references>
      </pivotArea>
    </format>
    <format dxfId="1181">
      <pivotArea dataOnly="0" labelOnly="1" outline="0" fieldPosition="0">
        <references count="1">
          <reference field="10" count="1" defaultSubtotal="1">
            <x v="256"/>
          </reference>
        </references>
      </pivotArea>
    </format>
    <format dxfId="1182">
      <pivotArea dataOnly="0" labelOnly="1" outline="0" fieldPosition="0">
        <references count="1">
          <reference field="10" count="1" defaultSubtotal="1">
            <x v="257"/>
          </reference>
        </references>
      </pivotArea>
    </format>
    <format dxfId="1183">
      <pivotArea dataOnly="0" labelOnly="1" outline="0" fieldPosition="0">
        <references count="1">
          <reference field="10" count="1" defaultSubtotal="1">
            <x v="259"/>
          </reference>
        </references>
      </pivotArea>
    </format>
    <format dxfId="1184">
      <pivotArea dataOnly="0" labelOnly="1" outline="0" fieldPosition="0">
        <references count="1">
          <reference field="10" count="1" defaultSubtotal="1">
            <x v="260"/>
          </reference>
        </references>
      </pivotArea>
    </format>
    <format dxfId="1185">
      <pivotArea dataOnly="0" labelOnly="1" outline="0" fieldPosition="0">
        <references count="1">
          <reference field="10" count="1" defaultSubtotal="1">
            <x v="264"/>
          </reference>
        </references>
      </pivotArea>
    </format>
    <format dxfId="1186">
      <pivotArea dataOnly="0" labelOnly="1" outline="0" fieldPosition="0">
        <references count="1">
          <reference field="10" count="1" defaultSubtotal="1">
            <x v="265"/>
          </reference>
        </references>
      </pivotArea>
    </format>
    <format dxfId="1187">
      <pivotArea dataOnly="0" labelOnly="1" outline="0" fieldPosition="0">
        <references count="1">
          <reference field="10" count="1" defaultSubtotal="1">
            <x v="270"/>
          </reference>
        </references>
      </pivotArea>
    </format>
    <format dxfId="1188">
      <pivotArea dataOnly="0" labelOnly="1" outline="0" fieldPosition="0">
        <references count="1">
          <reference field="10" count="1" defaultSubtotal="1">
            <x v="276"/>
          </reference>
        </references>
      </pivotArea>
    </format>
    <format dxfId="1189">
      <pivotArea dataOnly="0" labelOnly="1" outline="0" fieldPosition="0">
        <references count="1">
          <reference field="10" count="1" defaultSubtotal="1">
            <x v="280"/>
          </reference>
        </references>
      </pivotArea>
    </format>
    <format dxfId="1190">
      <pivotArea dataOnly="0" labelOnly="1" outline="0" fieldPosition="0">
        <references count="1">
          <reference field="10" count="1" defaultSubtotal="1">
            <x v="281"/>
          </reference>
        </references>
      </pivotArea>
    </format>
    <format dxfId="1191">
      <pivotArea dataOnly="0" labelOnly="1" outline="0" fieldPosition="0">
        <references count="1">
          <reference field="10" count="1" defaultSubtotal="1">
            <x v="285"/>
          </reference>
        </references>
      </pivotArea>
    </format>
    <format dxfId="1192">
      <pivotArea dataOnly="0" labelOnly="1" outline="0" fieldPosition="0">
        <references count="1">
          <reference field="10" count="1" defaultSubtotal="1">
            <x v="286"/>
          </reference>
        </references>
      </pivotArea>
    </format>
    <format dxfId="1193">
      <pivotArea dataOnly="0" labelOnly="1" outline="0" fieldPosition="0">
        <references count="1">
          <reference field="10" count="1" defaultSubtotal="1">
            <x v="287"/>
          </reference>
        </references>
      </pivotArea>
    </format>
    <format dxfId="1194">
      <pivotArea dataOnly="0" labelOnly="1" outline="0" fieldPosition="0">
        <references count="1">
          <reference field="10" count="1" defaultSubtotal="1">
            <x v="289"/>
          </reference>
        </references>
      </pivotArea>
    </format>
    <format dxfId="1195">
      <pivotArea dataOnly="0" labelOnly="1" outline="0" fieldPosition="0">
        <references count="1">
          <reference field="10" count="1" defaultSubtotal="1">
            <x v="290"/>
          </reference>
        </references>
      </pivotArea>
    </format>
    <format dxfId="1196">
      <pivotArea dataOnly="0" labelOnly="1" outline="0" fieldPosition="0">
        <references count="1">
          <reference field="10" count="1" defaultSubtotal="1">
            <x v="291"/>
          </reference>
        </references>
      </pivotArea>
    </format>
    <format dxfId="1197">
      <pivotArea dataOnly="0" labelOnly="1" outline="0" fieldPosition="0">
        <references count="1">
          <reference field="10" count="1" defaultSubtotal="1">
            <x v="295"/>
          </reference>
        </references>
      </pivotArea>
    </format>
    <format dxfId="1198">
      <pivotArea dataOnly="0" labelOnly="1" outline="0" fieldPosition="0">
        <references count="1">
          <reference field="10" count="1" defaultSubtotal="1">
            <x v="300"/>
          </reference>
        </references>
      </pivotArea>
    </format>
    <format dxfId="1199">
      <pivotArea dataOnly="0" labelOnly="1" outline="0" fieldPosition="0">
        <references count="1">
          <reference field="10" count="1" defaultSubtotal="1">
            <x v="304"/>
          </reference>
        </references>
      </pivotArea>
    </format>
    <format dxfId="1200">
      <pivotArea dataOnly="0" labelOnly="1" outline="0" fieldPosition="0">
        <references count="1">
          <reference field="10" count="1" defaultSubtotal="1">
            <x v="310"/>
          </reference>
        </references>
      </pivotArea>
    </format>
    <format dxfId="1201">
      <pivotArea dataOnly="0" labelOnly="1" outline="0" fieldPosition="0">
        <references count="1">
          <reference field="10" count="1" defaultSubtotal="1">
            <x v="312"/>
          </reference>
        </references>
      </pivotArea>
    </format>
    <format dxfId="1202">
      <pivotArea dataOnly="0" labelOnly="1" outline="0" fieldPosition="0">
        <references count="1">
          <reference field="10" count="1" defaultSubtotal="1">
            <x v="313"/>
          </reference>
        </references>
      </pivotArea>
    </format>
    <format dxfId="1203">
      <pivotArea dataOnly="0" labelOnly="1" outline="0" fieldPosition="0">
        <references count="1">
          <reference field="10" count="1" defaultSubtotal="1">
            <x v="316"/>
          </reference>
        </references>
      </pivotArea>
    </format>
    <format dxfId="1204">
      <pivotArea dataOnly="0" labelOnly="1" outline="0" fieldPosition="0">
        <references count="1">
          <reference field="10" count="1" defaultSubtotal="1">
            <x v="318"/>
          </reference>
        </references>
      </pivotArea>
    </format>
    <format dxfId="1205">
      <pivotArea dataOnly="0" labelOnly="1" outline="0" fieldPosition="0">
        <references count="1">
          <reference field="10" count="1" defaultSubtotal="1">
            <x v="321"/>
          </reference>
        </references>
      </pivotArea>
    </format>
    <format dxfId="1206">
      <pivotArea dataOnly="0" labelOnly="1" outline="0" fieldPosition="0">
        <references count="1">
          <reference field="10" count="1" defaultSubtotal="1">
            <x v="324"/>
          </reference>
        </references>
      </pivotArea>
    </format>
    <format dxfId="1207">
      <pivotArea dataOnly="0" labelOnly="1" outline="0" fieldPosition="0">
        <references count="1">
          <reference field="10" count="1" defaultSubtotal="1">
            <x v="327"/>
          </reference>
        </references>
      </pivotArea>
    </format>
    <format dxfId="1208">
      <pivotArea dataOnly="0" labelOnly="1" outline="0" fieldPosition="0">
        <references count="1">
          <reference field="10" count="1" defaultSubtotal="1">
            <x v="332"/>
          </reference>
        </references>
      </pivotArea>
    </format>
    <format dxfId="1209">
      <pivotArea dataOnly="0" labelOnly="1" outline="0" fieldPosition="0">
        <references count="1">
          <reference field="10" count="1" defaultSubtotal="1">
            <x v="333"/>
          </reference>
        </references>
      </pivotArea>
    </format>
    <format dxfId="1210">
      <pivotArea dataOnly="0" labelOnly="1" outline="0" fieldPosition="0">
        <references count="1">
          <reference field="10" count="1" defaultSubtotal="1">
            <x v="334"/>
          </reference>
        </references>
      </pivotArea>
    </format>
    <format dxfId="1211">
      <pivotArea dataOnly="0" labelOnly="1" outline="0" fieldPosition="0">
        <references count="1">
          <reference field="10" count="1" defaultSubtotal="1">
            <x v="338"/>
          </reference>
        </references>
      </pivotArea>
    </format>
    <format dxfId="1212">
      <pivotArea dataOnly="0" labelOnly="1" outline="0" fieldPosition="0">
        <references count="1">
          <reference field="10" count="1" defaultSubtotal="1">
            <x v="341"/>
          </reference>
        </references>
      </pivotArea>
    </format>
    <format dxfId="1213">
      <pivotArea dataOnly="0" labelOnly="1" outline="0" fieldPosition="0">
        <references count="1">
          <reference field="10" count="1" defaultSubtotal="1">
            <x v="344"/>
          </reference>
        </references>
      </pivotArea>
    </format>
    <format dxfId="1214">
      <pivotArea dataOnly="0" labelOnly="1" outline="0" fieldPosition="0">
        <references count="1">
          <reference field="10" count="1" defaultSubtotal="1">
            <x v="347"/>
          </reference>
        </references>
      </pivotArea>
    </format>
    <format dxfId="1215">
      <pivotArea dataOnly="0" labelOnly="1" outline="0" fieldPosition="0">
        <references count="1">
          <reference field="10" count="1" defaultSubtotal="1">
            <x v="349"/>
          </reference>
        </references>
      </pivotArea>
    </format>
    <format dxfId="1216">
      <pivotArea dataOnly="0" labelOnly="1" outline="0" fieldPosition="0">
        <references count="1">
          <reference field="10" count="1" defaultSubtotal="1">
            <x v="350"/>
          </reference>
        </references>
      </pivotArea>
    </format>
    <format dxfId="1217">
      <pivotArea dataOnly="0" labelOnly="1" outline="0" fieldPosition="0">
        <references count="1">
          <reference field="10" count="1" defaultSubtotal="1">
            <x v="351"/>
          </reference>
        </references>
      </pivotArea>
    </format>
    <format dxfId="1218">
      <pivotArea dataOnly="0" labelOnly="1" outline="0" fieldPosition="0">
        <references count="1">
          <reference field="10" count="1" defaultSubtotal="1">
            <x v="352"/>
          </reference>
        </references>
      </pivotArea>
    </format>
    <format dxfId="1219">
      <pivotArea dataOnly="0" labelOnly="1" outline="0" fieldPosition="0">
        <references count="1">
          <reference field="10" count="1" defaultSubtotal="1">
            <x v="353"/>
          </reference>
        </references>
      </pivotArea>
    </format>
    <format dxfId="1220">
      <pivotArea dataOnly="0" labelOnly="1" outline="0" fieldPosition="0">
        <references count="1">
          <reference field="10" count="1" defaultSubtotal="1">
            <x v="358"/>
          </reference>
        </references>
      </pivotArea>
    </format>
    <format dxfId="1221">
      <pivotArea dataOnly="0" labelOnly="1" outline="0" fieldPosition="0">
        <references count="1">
          <reference field="10" count="1" defaultSubtotal="1">
            <x v="359"/>
          </reference>
        </references>
      </pivotArea>
    </format>
    <format dxfId="1222">
      <pivotArea dataOnly="0" labelOnly="1" outline="0" fieldPosition="0">
        <references count="1">
          <reference field="10" count="1" defaultSubtotal="1">
            <x v="363"/>
          </reference>
        </references>
      </pivotArea>
    </format>
    <format dxfId="1223">
      <pivotArea dataOnly="0" labelOnly="1" outline="0" fieldPosition="0">
        <references count="1">
          <reference field="10" count="1" defaultSubtotal="1">
            <x v="368"/>
          </reference>
        </references>
      </pivotArea>
    </format>
    <format dxfId="1224">
      <pivotArea dataOnly="0" labelOnly="1" outline="0" fieldPosition="0">
        <references count="1">
          <reference field="10" count="1" defaultSubtotal="1">
            <x v="370"/>
          </reference>
        </references>
      </pivotArea>
    </format>
    <format dxfId="1225">
      <pivotArea dataOnly="0" labelOnly="1" outline="0" fieldPosition="0">
        <references count="1">
          <reference field="10" count="1" defaultSubtotal="1">
            <x v="371"/>
          </reference>
        </references>
      </pivotArea>
    </format>
    <format dxfId="1226">
      <pivotArea dataOnly="0" labelOnly="1" outline="0" fieldPosition="0">
        <references count="1">
          <reference field="10" count="1" defaultSubtotal="1">
            <x v="372"/>
          </reference>
        </references>
      </pivotArea>
    </format>
    <format dxfId="1227">
      <pivotArea dataOnly="0" labelOnly="1" outline="0" fieldPosition="0">
        <references count="1">
          <reference field="10" count="1" defaultSubtotal="1">
            <x v="374"/>
          </reference>
        </references>
      </pivotArea>
    </format>
    <format dxfId="1228">
      <pivotArea dataOnly="0" labelOnly="1" outline="0" fieldPosition="0">
        <references count="1">
          <reference field="10" count="1" defaultSubtotal="1">
            <x v="375"/>
          </reference>
        </references>
      </pivotArea>
    </format>
    <format dxfId="1229">
      <pivotArea dataOnly="0" labelOnly="1" outline="0" fieldPosition="0">
        <references count="1">
          <reference field="10" count="1" defaultSubtotal="1">
            <x v="377"/>
          </reference>
        </references>
      </pivotArea>
    </format>
    <format dxfId="1230">
      <pivotArea dataOnly="0" labelOnly="1" outline="0" fieldPosition="0">
        <references count="1">
          <reference field="10" count="1" defaultSubtotal="1">
            <x v="379"/>
          </reference>
        </references>
      </pivotArea>
    </format>
    <format dxfId="1231">
      <pivotArea dataOnly="0" labelOnly="1" outline="0" fieldPosition="0">
        <references count="1">
          <reference field="10" count="1" defaultSubtotal="1">
            <x v="384"/>
          </reference>
        </references>
      </pivotArea>
    </format>
    <format dxfId="1232">
      <pivotArea dataOnly="0" labelOnly="1" outline="0" fieldPosition="0">
        <references count="1">
          <reference field="10" count="1" defaultSubtotal="1">
            <x v="386"/>
          </reference>
        </references>
      </pivotArea>
    </format>
    <format dxfId="1233">
      <pivotArea dataOnly="0" labelOnly="1" outline="0" fieldPosition="0">
        <references count="1">
          <reference field="10" count="1" defaultSubtotal="1">
            <x v="387"/>
          </reference>
        </references>
      </pivotArea>
    </format>
    <format dxfId="1234">
      <pivotArea dataOnly="0" labelOnly="1" outline="0" fieldPosition="0">
        <references count="1">
          <reference field="10" count="1" defaultSubtotal="1">
            <x v="388"/>
          </reference>
        </references>
      </pivotArea>
    </format>
    <format dxfId="1235">
      <pivotArea dataOnly="0" labelOnly="1" outline="0" fieldPosition="0">
        <references count="1">
          <reference field="10" count="1" defaultSubtotal="1">
            <x v="394"/>
          </reference>
        </references>
      </pivotArea>
    </format>
    <format dxfId="1236">
      <pivotArea dataOnly="0" labelOnly="1" outline="0" fieldPosition="0">
        <references count="1">
          <reference field="10" count="1" defaultSubtotal="1">
            <x v="395"/>
          </reference>
        </references>
      </pivotArea>
    </format>
    <format dxfId="1237">
      <pivotArea dataOnly="0" labelOnly="1" outline="0" fieldPosition="0">
        <references count="1">
          <reference field="10" count="1" defaultSubtotal="1">
            <x v="396"/>
          </reference>
        </references>
      </pivotArea>
    </format>
    <format dxfId="1238">
      <pivotArea dataOnly="0" labelOnly="1" outline="0" fieldPosition="0">
        <references count="1">
          <reference field="10" count="1" defaultSubtotal="1">
            <x v="400"/>
          </reference>
        </references>
      </pivotArea>
    </format>
    <format dxfId="1239">
      <pivotArea dataOnly="0" labelOnly="1" outline="0" fieldPosition="0">
        <references count="1">
          <reference field="10" count="1" defaultSubtotal="1">
            <x v="401"/>
          </reference>
        </references>
      </pivotArea>
    </format>
    <format dxfId="1240">
      <pivotArea dataOnly="0" labelOnly="1" outline="0" fieldPosition="0">
        <references count="1">
          <reference field="10" count="1" defaultSubtotal="1">
            <x v="402"/>
          </reference>
        </references>
      </pivotArea>
    </format>
    <format dxfId="1241">
      <pivotArea dataOnly="0" labelOnly="1" outline="0" fieldPosition="0">
        <references count="1">
          <reference field="10" count="1" defaultSubtotal="1">
            <x v="403"/>
          </reference>
        </references>
      </pivotArea>
    </format>
    <format dxfId="1242">
      <pivotArea dataOnly="0" labelOnly="1" outline="0" fieldPosition="0">
        <references count="1">
          <reference field="10" count="1" defaultSubtotal="1">
            <x v="405"/>
          </reference>
        </references>
      </pivotArea>
    </format>
    <format dxfId="1243">
      <pivotArea dataOnly="0" labelOnly="1" outline="0" fieldPosition="0">
        <references count="1">
          <reference field="10" count="1" defaultSubtotal="1">
            <x v="410"/>
          </reference>
        </references>
      </pivotArea>
    </format>
    <format dxfId="1244">
      <pivotArea dataOnly="0" labelOnly="1" outline="0" fieldPosition="0">
        <references count="1">
          <reference field="10" count="1" defaultSubtotal="1">
            <x v="411"/>
          </reference>
        </references>
      </pivotArea>
    </format>
    <format dxfId="1245">
      <pivotArea dataOnly="0" labelOnly="1" outline="0" fieldPosition="0">
        <references count="1">
          <reference field="10" count="1" defaultSubtotal="1">
            <x v="415"/>
          </reference>
        </references>
      </pivotArea>
    </format>
    <format dxfId="1246">
      <pivotArea dataOnly="0" labelOnly="1" outline="0" fieldPosition="0">
        <references count="1">
          <reference field="10" count="1" defaultSubtotal="1">
            <x v="416"/>
          </reference>
        </references>
      </pivotArea>
    </format>
    <format dxfId="1247">
      <pivotArea dataOnly="0" labelOnly="1" outline="0" fieldPosition="0">
        <references count="1">
          <reference field="10" count="1" defaultSubtotal="1">
            <x v="419"/>
          </reference>
        </references>
      </pivotArea>
    </format>
    <format dxfId="1248">
      <pivotArea dataOnly="0" labelOnly="1" outline="0" fieldPosition="0">
        <references count="1">
          <reference field="10" count="1" defaultSubtotal="1">
            <x v="423"/>
          </reference>
        </references>
      </pivotArea>
    </format>
    <format dxfId="1249">
      <pivotArea dataOnly="0" labelOnly="1" outline="0" fieldPosition="0">
        <references count="1">
          <reference field="10" count="1" defaultSubtotal="1">
            <x v="426"/>
          </reference>
        </references>
      </pivotArea>
    </format>
    <format dxfId="1250">
      <pivotArea dataOnly="0" labelOnly="1" outline="0" fieldPosition="0">
        <references count="1">
          <reference field="10" count="1" defaultSubtotal="1">
            <x v="430"/>
          </reference>
        </references>
      </pivotArea>
    </format>
    <format dxfId="1251">
      <pivotArea dataOnly="0" labelOnly="1" outline="0" fieldPosition="0">
        <references count="1">
          <reference field="10" count="1" defaultSubtotal="1">
            <x v="431"/>
          </reference>
        </references>
      </pivotArea>
    </format>
    <format dxfId="1252">
      <pivotArea dataOnly="0" labelOnly="1" outline="0" fieldPosition="0">
        <references count="1">
          <reference field="10" count="1" defaultSubtotal="1">
            <x v="432"/>
          </reference>
        </references>
      </pivotArea>
    </format>
    <format dxfId="1253">
      <pivotArea dataOnly="0" labelOnly="1" outline="0" fieldPosition="0">
        <references count="1">
          <reference field="10" count="1" defaultSubtotal="1">
            <x v="434"/>
          </reference>
        </references>
      </pivotArea>
    </format>
    <format dxfId="1254">
      <pivotArea dataOnly="0" labelOnly="1" outline="0" fieldPosition="0">
        <references count="1">
          <reference field="10" count="1" defaultSubtotal="1">
            <x v="437"/>
          </reference>
        </references>
      </pivotArea>
    </format>
    <format dxfId="1255">
      <pivotArea dataOnly="0" labelOnly="1" outline="0" fieldPosition="0">
        <references count="1">
          <reference field="10" count="1" defaultSubtotal="1">
            <x v="443"/>
          </reference>
        </references>
      </pivotArea>
    </format>
    <format dxfId="1256">
      <pivotArea dataOnly="0" labelOnly="1" outline="0" fieldPosition="0">
        <references count="1">
          <reference field="10" count="1" defaultSubtotal="1">
            <x v="444"/>
          </reference>
        </references>
      </pivotArea>
    </format>
    <format dxfId="1257">
      <pivotArea dataOnly="0" labelOnly="1" outline="0" fieldPosition="0">
        <references count="1">
          <reference field="10" count="1" defaultSubtotal="1">
            <x v="445"/>
          </reference>
        </references>
      </pivotArea>
    </format>
    <format dxfId="1258">
      <pivotArea dataOnly="0" labelOnly="1" outline="0" fieldPosition="0">
        <references count="1">
          <reference field="10" count="1" defaultSubtotal="1">
            <x v="450"/>
          </reference>
        </references>
      </pivotArea>
    </format>
    <format dxfId="1259">
      <pivotArea dataOnly="0" labelOnly="1" outline="0" fieldPosition="0">
        <references count="1">
          <reference field="10" count="1" defaultSubtotal="1">
            <x v="454"/>
          </reference>
        </references>
      </pivotArea>
    </format>
    <format dxfId="1260">
      <pivotArea dataOnly="0" labelOnly="1" outline="0" fieldPosition="0">
        <references count="1">
          <reference field="10" count="1" defaultSubtotal="1">
            <x v="457"/>
          </reference>
        </references>
      </pivotArea>
    </format>
    <format dxfId="1261">
      <pivotArea dataOnly="0" labelOnly="1" outline="0" fieldPosition="0">
        <references count="1">
          <reference field="10" count="1" defaultSubtotal="1">
            <x v="462"/>
          </reference>
        </references>
      </pivotArea>
    </format>
    <format dxfId="1262">
      <pivotArea dataOnly="0" labelOnly="1" outline="0" fieldPosition="0">
        <references count="1">
          <reference field="10" count="1" defaultSubtotal="1">
            <x v="465"/>
          </reference>
        </references>
      </pivotArea>
    </format>
    <format dxfId="1263">
      <pivotArea dataOnly="0" labelOnly="1" outline="0" fieldPosition="0">
        <references count="1">
          <reference field="10" count="1" defaultSubtotal="1">
            <x v="466"/>
          </reference>
        </references>
      </pivotArea>
    </format>
    <format dxfId="1264">
      <pivotArea dataOnly="0" labelOnly="1" outline="0" fieldPosition="0">
        <references count="1">
          <reference field="10" count="1" defaultSubtotal="1">
            <x v="470"/>
          </reference>
        </references>
      </pivotArea>
    </format>
    <format dxfId="1265">
      <pivotArea dataOnly="0" labelOnly="1" outline="0" fieldPosition="0">
        <references count="1">
          <reference field="10" count="1" defaultSubtotal="1">
            <x v="471"/>
          </reference>
        </references>
      </pivotArea>
    </format>
    <format dxfId="1266">
      <pivotArea dataOnly="0" labelOnly="1" outline="0" fieldPosition="0">
        <references count="1">
          <reference field="10" count="1" defaultSubtotal="1">
            <x v="474"/>
          </reference>
        </references>
      </pivotArea>
    </format>
    <format dxfId="1267">
      <pivotArea dataOnly="0" labelOnly="1" outline="0" fieldPosition="0">
        <references count="1">
          <reference field="10" count="1" defaultSubtotal="1">
            <x v="477"/>
          </reference>
        </references>
      </pivotArea>
    </format>
    <format dxfId="1268">
      <pivotArea dataOnly="0" labelOnly="1" outline="0" fieldPosition="0">
        <references count="1">
          <reference field="10" count="1" defaultSubtotal="1">
            <x v="478"/>
          </reference>
        </references>
      </pivotArea>
    </format>
    <format dxfId="1269">
      <pivotArea dataOnly="0" labelOnly="1" outline="0" fieldPosition="0">
        <references count="1">
          <reference field="10" count="1" defaultSubtotal="1">
            <x v="479"/>
          </reference>
        </references>
      </pivotArea>
    </format>
    <format dxfId="1270">
      <pivotArea dataOnly="0" labelOnly="1" outline="0" fieldPosition="0">
        <references count="1">
          <reference field="10" count="1" defaultSubtotal="1">
            <x v="480"/>
          </reference>
        </references>
      </pivotArea>
    </format>
    <format dxfId="1271">
      <pivotArea dataOnly="0" labelOnly="1" outline="0" fieldPosition="0">
        <references count="1">
          <reference field="10" count="1" defaultSubtotal="1">
            <x v="481"/>
          </reference>
        </references>
      </pivotArea>
    </format>
    <format dxfId="1272">
      <pivotArea dataOnly="0" labelOnly="1" outline="0" fieldPosition="0">
        <references count="1">
          <reference field="10" count="1" defaultSubtotal="1">
            <x v="485"/>
          </reference>
        </references>
      </pivotArea>
    </format>
    <format dxfId="1273">
      <pivotArea dataOnly="0" labelOnly="1" outline="0" fieldPosition="0">
        <references count="1">
          <reference field="10" count="1" defaultSubtotal="1">
            <x v="487"/>
          </reference>
        </references>
      </pivotArea>
    </format>
    <format dxfId="1274">
      <pivotArea dataOnly="0" labelOnly="1" outline="0" fieldPosition="0">
        <references count="1">
          <reference field="10" count="1" defaultSubtotal="1">
            <x v="494"/>
          </reference>
        </references>
      </pivotArea>
    </format>
    <format dxfId="1275">
      <pivotArea dataOnly="0" labelOnly="1" outline="0" fieldPosition="0">
        <references count="1">
          <reference field="10" count="1" defaultSubtotal="1">
            <x v="495"/>
          </reference>
        </references>
      </pivotArea>
    </format>
    <format dxfId="1276">
      <pivotArea dataOnly="0" labelOnly="1" outline="0" fieldPosition="0">
        <references count="1">
          <reference field="10" count="1" defaultSubtotal="1">
            <x v="496"/>
          </reference>
        </references>
      </pivotArea>
    </format>
    <format dxfId="1277">
      <pivotArea dataOnly="0" labelOnly="1" outline="0" fieldPosition="0">
        <references count="1">
          <reference field="10" count="1" defaultSubtotal="1">
            <x v="499"/>
          </reference>
        </references>
      </pivotArea>
    </format>
    <format dxfId="1278">
      <pivotArea dataOnly="0" labelOnly="1" outline="0" fieldPosition="0">
        <references count="1">
          <reference field="10" count="1" defaultSubtotal="1">
            <x v="500"/>
          </reference>
        </references>
      </pivotArea>
    </format>
    <format dxfId="1279">
      <pivotArea dataOnly="0" labelOnly="1" outline="0" fieldPosition="0">
        <references count="1">
          <reference field="10" count="1" defaultSubtotal="1">
            <x v="505"/>
          </reference>
        </references>
      </pivotArea>
    </format>
    <format dxfId="1280">
      <pivotArea dataOnly="0" labelOnly="1" outline="0" fieldPosition="0">
        <references count="1">
          <reference field="10" count="1" defaultSubtotal="1">
            <x v="506"/>
          </reference>
        </references>
      </pivotArea>
    </format>
    <format dxfId="1281">
      <pivotArea dataOnly="0" labelOnly="1" outline="0" fieldPosition="0">
        <references count="1">
          <reference field="10" count="1" defaultSubtotal="1">
            <x v="514"/>
          </reference>
        </references>
      </pivotArea>
    </format>
    <format dxfId="1282">
      <pivotArea dataOnly="0" labelOnly="1" outline="0" fieldPosition="0">
        <references count="1">
          <reference field="10" count="1" defaultSubtotal="1">
            <x v="516"/>
          </reference>
        </references>
      </pivotArea>
    </format>
    <format dxfId="1283">
      <pivotArea dataOnly="0" labelOnly="1" outline="0" fieldPosition="0">
        <references count="1">
          <reference field="10" count="1" defaultSubtotal="1">
            <x v="518"/>
          </reference>
        </references>
      </pivotArea>
    </format>
    <format dxfId="1284">
      <pivotArea dataOnly="0" labelOnly="1" outline="0" fieldPosition="0">
        <references count="1">
          <reference field="10" count="1" defaultSubtotal="1">
            <x v="519"/>
          </reference>
        </references>
      </pivotArea>
    </format>
    <format dxfId="1285">
      <pivotArea dataOnly="0" labelOnly="1" outline="0" fieldPosition="0">
        <references count="1">
          <reference field="10" count="1" defaultSubtotal="1">
            <x v="524"/>
          </reference>
        </references>
      </pivotArea>
    </format>
    <format dxfId="1286">
      <pivotArea dataOnly="0" labelOnly="1" outline="0" fieldPosition="0">
        <references count="1">
          <reference field="10" count="1" defaultSubtotal="1">
            <x v="528"/>
          </reference>
        </references>
      </pivotArea>
    </format>
    <format dxfId="1287">
      <pivotArea dataOnly="0" labelOnly="1" outline="0" fieldPosition="0">
        <references count="1">
          <reference field="10" count="1" defaultSubtotal="1">
            <x v="530"/>
          </reference>
        </references>
      </pivotArea>
    </format>
    <format dxfId="1288">
      <pivotArea dataOnly="0" labelOnly="1" outline="0" fieldPosition="0">
        <references count="1">
          <reference field="10" count="1" defaultSubtotal="1">
            <x v="531"/>
          </reference>
        </references>
      </pivotArea>
    </format>
    <format dxfId="1289">
      <pivotArea dataOnly="0" labelOnly="1" outline="0" fieldPosition="0">
        <references count="1">
          <reference field="10" count="1" defaultSubtotal="1">
            <x v="534"/>
          </reference>
        </references>
      </pivotArea>
    </format>
    <format dxfId="1290">
      <pivotArea dataOnly="0" labelOnly="1" outline="0" fieldPosition="0">
        <references count="1">
          <reference field="10" count="1" defaultSubtotal="1">
            <x v="535"/>
          </reference>
        </references>
      </pivotArea>
    </format>
    <format dxfId="1291">
      <pivotArea dataOnly="0" labelOnly="1" outline="0" fieldPosition="0">
        <references count="1">
          <reference field="10" count="1" defaultSubtotal="1">
            <x v="540"/>
          </reference>
        </references>
      </pivotArea>
    </format>
    <format dxfId="1292">
      <pivotArea dataOnly="0" labelOnly="1" outline="0" fieldPosition="0">
        <references count="1">
          <reference field="10" count="1" defaultSubtotal="1">
            <x v="546"/>
          </reference>
        </references>
      </pivotArea>
    </format>
    <format dxfId="1293">
      <pivotArea dataOnly="0" labelOnly="1" outline="0" fieldPosition="0">
        <references count="1">
          <reference field="10" count="1" defaultSubtotal="1">
            <x v="547"/>
          </reference>
        </references>
      </pivotArea>
    </format>
    <format dxfId="1294">
      <pivotArea dataOnly="0" labelOnly="1" outline="0" fieldPosition="0">
        <references count="2">
          <reference field="2" count="1">
            <x v="570"/>
          </reference>
          <reference field="10" count="1" selected="0">
            <x v="0"/>
          </reference>
        </references>
      </pivotArea>
    </format>
    <format dxfId="1295">
      <pivotArea dataOnly="0" labelOnly="1" outline="0" fieldPosition="0">
        <references count="2">
          <reference field="2" count="2">
            <x v="141"/>
            <x v="142"/>
          </reference>
          <reference field="10" count="1" selected="0">
            <x v="1"/>
          </reference>
        </references>
      </pivotArea>
    </format>
    <format dxfId="1296">
      <pivotArea dataOnly="0" labelOnly="1" outline="0" fieldPosition="0">
        <references count="2">
          <reference field="2" count="1">
            <x v="296"/>
          </reference>
          <reference field="10" count="1" selected="0">
            <x v="2"/>
          </reference>
        </references>
      </pivotArea>
    </format>
    <format dxfId="1297">
      <pivotArea dataOnly="0" labelOnly="1" outline="0" fieldPosition="0">
        <references count="2">
          <reference field="2" count="1">
            <x v="404"/>
          </reference>
          <reference field="10" count="1" selected="0">
            <x v="3"/>
          </reference>
        </references>
      </pivotArea>
    </format>
    <format dxfId="1298">
      <pivotArea dataOnly="0" labelOnly="1" outline="0" fieldPosition="0">
        <references count="2">
          <reference field="2" count="1">
            <x v="502"/>
          </reference>
          <reference field="10" count="1" selected="0">
            <x v="4"/>
          </reference>
        </references>
      </pivotArea>
    </format>
    <format dxfId="1299">
      <pivotArea dataOnly="0" labelOnly="1" outline="0" fieldPosition="0">
        <references count="2">
          <reference field="2" count="2">
            <x v="14"/>
            <x v="27"/>
          </reference>
          <reference field="10" count="1" selected="0">
            <x v="5"/>
          </reference>
        </references>
      </pivotArea>
    </format>
    <format dxfId="1300">
      <pivotArea dataOnly="0" labelOnly="1" outline="0" fieldPosition="0">
        <references count="2">
          <reference field="2" count="2">
            <x v="242"/>
            <x v="508"/>
          </reference>
          <reference field="10" count="1" selected="0">
            <x v="6"/>
          </reference>
        </references>
      </pivotArea>
    </format>
    <format dxfId="1301">
      <pivotArea dataOnly="0" labelOnly="1" outline="0" fieldPosition="0">
        <references count="2">
          <reference field="2" count="1">
            <x v="652"/>
          </reference>
          <reference field="10" count="1" selected="0">
            <x v="7"/>
          </reference>
        </references>
      </pivotArea>
    </format>
    <format dxfId="1302">
      <pivotArea dataOnly="0" labelOnly="1" outline="0" fieldPosition="0">
        <references count="2">
          <reference field="2" count="2">
            <x v="0"/>
            <x v="146"/>
          </reference>
          <reference field="10" count="1" selected="0">
            <x v="8"/>
          </reference>
        </references>
      </pivotArea>
    </format>
    <format dxfId="1303">
      <pivotArea dataOnly="0" labelOnly="1" outline="0" fieldPosition="0">
        <references count="2">
          <reference field="2" count="1">
            <x v="129"/>
          </reference>
          <reference field="10" count="1" selected="0">
            <x v="9"/>
          </reference>
        </references>
      </pivotArea>
    </format>
    <format dxfId="1304">
      <pivotArea dataOnly="0" labelOnly="1" outline="0" fieldPosition="0">
        <references count="2">
          <reference field="2" count="2">
            <x v="255"/>
            <x v="256"/>
          </reference>
          <reference field="10" count="1" selected="0">
            <x v="10"/>
          </reference>
        </references>
      </pivotArea>
    </format>
    <format dxfId="1305">
      <pivotArea dataOnly="0" labelOnly="1" outline="0" fieldPosition="0">
        <references count="2">
          <reference field="2" count="3">
            <x v="72"/>
            <x v="74"/>
            <x v="75"/>
          </reference>
          <reference field="10" count="1" selected="0">
            <x v="12"/>
          </reference>
        </references>
      </pivotArea>
    </format>
    <format dxfId="1306">
      <pivotArea dataOnly="0" labelOnly="1" outline="0" fieldPosition="0">
        <references count="2">
          <reference field="2" count="2">
            <x v="594"/>
            <x v="608"/>
          </reference>
          <reference field="10" count="1" selected="0">
            <x v="13"/>
          </reference>
        </references>
      </pivotArea>
    </format>
    <format dxfId="1307">
      <pivotArea dataOnly="0" labelOnly="1" outline="0" fieldPosition="0">
        <references count="2">
          <reference field="2" count="2">
            <x v="54"/>
            <x v="666"/>
          </reference>
          <reference field="10" count="1" selected="0">
            <x v="14"/>
          </reference>
        </references>
      </pivotArea>
    </format>
    <format dxfId="1308">
      <pivotArea dataOnly="0" labelOnly="1" outline="0" fieldPosition="0">
        <references count="2">
          <reference field="2" count="2">
            <x v="136"/>
            <x v="447"/>
          </reference>
          <reference field="10" count="1" selected="0">
            <x v="15"/>
          </reference>
        </references>
      </pivotArea>
    </format>
    <format dxfId="1309">
      <pivotArea dataOnly="0" labelOnly="1" outline="0" fieldPosition="0">
        <references count="2">
          <reference field="2" count="4">
            <x v="103"/>
            <x v="224"/>
            <x v="527"/>
            <x v="604"/>
          </reference>
          <reference field="10" count="1" selected="0">
            <x v="16"/>
          </reference>
        </references>
      </pivotArea>
    </format>
    <format dxfId="1310">
      <pivotArea dataOnly="0" labelOnly="1" outline="0" fieldPosition="0">
        <references count="2">
          <reference field="2" count="2">
            <x v="114"/>
            <x v="434"/>
          </reference>
          <reference field="10" count="1" selected="0">
            <x v="17"/>
          </reference>
        </references>
      </pivotArea>
    </format>
    <format dxfId="1311">
      <pivotArea dataOnly="0" labelOnly="1" outline="0" fieldPosition="0">
        <references count="2">
          <reference field="2" count="1">
            <x v="25"/>
          </reference>
          <reference field="10" count="1" selected="0">
            <x v="18"/>
          </reference>
        </references>
      </pivotArea>
    </format>
    <format dxfId="1312">
      <pivotArea dataOnly="0" labelOnly="1" outline="0" fieldPosition="0">
        <references count="2">
          <reference field="2" count="1">
            <x v="65"/>
          </reference>
          <reference field="10" count="1" selected="0">
            <x v="19"/>
          </reference>
        </references>
      </pivotArea>
    </format>
    <format dxfId="1313">
      <pivotArea dataOnly="0" labelOnly="1" outline="0" fieldPosition="0">
        <references count="2">
          <reference field="2" count="1">
            <x v="503"/>
          </reference>
          <reference field="10" count="1" selected="0">
            <x v="20"/>
          </reference>
        </references>
      </pivotArea>
    </format>
    <format dxfId="1314">
      <pivotArea dataOnly="0" labelOnly="1" outline="0" fieldPosition="0">
        <references count="2">
          <reference field="2" count="1">
            <x v="246"/>
          </reference>
          <reference field="10" count="1" selected="0">
            <x v="21"/>
          </reference>
        </references>
      </pivotArea>
    </format>
    <format dxfId="1315">
      <pivotArea dataOnly="0" labelOnly="1" outline="0" fieldPosition="0">
        <references count="2">
          <reference field="2" count="3">
            <x v="30"/>
            <x v="31"/>
            <x v="32"/>
          </reference>
          <reference field="10" count="1" selected="0">
            <x v="23"/>
          </reference>
        </references>
      </pivotArea>
    </format>
    <format dxfId="1316">
      <pivotArea dataOnly="0" labelOnly="1" outline="0" fieldPosition="0">
        <references count="2">
          <reference field="2" count="1">
            <x v="566"/>
          </reference>
          <reference field="10" count="1" selected="0">
            <x v="24"/>
          </reference>
        </references>
      </pivotArea>
    </format>
    <format dxfId="1317">
      <pivotArea dataOnly="0" labelOnly="1" outline="0" fieldPosition="0">
        <references count="2">
          <reference field="2" count="1">
            <x v="458"/>
          </reference>
          <reference field="10" count="1" selected="0">
            <x v="25"/>
          </reference>
        </references>
      </pivotArea>
    </format>
    <format dxfId="1318">
      <pivotArea dataOnly="0" labelOnly="1" outline="0" fieldPosition="0">
        <references count="2">
          <reference field="2" count="9">
            <x v="98"/>
            <x v="371"/>
            <x v="457"/>
            <x v="541"/>
            <x v="542"/>
            <x v="567"/>
            <x v="650"/>
            <x v="651"/>
            <x v="653"/>
          </reference>
          <reference field="10" count="1" selected="0">
            <x v="26"/>
          </reference>
        </references>
      </pivotArea>
    </format>
    <format dxfId="1319">
      <pivotArea dataOnly="0" labelOnly="1" outline="0" fieldPosition="0">
        <references count="2">
          <reference field="2" count="2">
            <x v="326"/>
            <x v="330"/>
          </reference>
          <reference field="10" count="1" selected="0">
            <x v="27"/>
          </reference>
        </references>
      </pivotArea>
    </format>
    <format dxfId="1320">
      <pivotArea dataOnly="0" labelOnly="1" outline="0" fieldPosition="0">
        <references count="2">
          <reference field="2" count="1">
            <x v="535"/>
          </reference>
          <reference field="10" count="1" selected="0">
            <x v="28"/>
          </reference>
        </references>
      </pivotArea>
    </format>
    <format dxfId="1321">
      <pivotArea dataOnly="0" labelOnly="1" outline="0" fieldPosition="0">
        <references count="2">
          <reference field="2" count="1">
            <x v="341"/>
          </reference>
          <reference field="10" count="1" selected="0">
            <x v="29"/>
          </reference>
        </references>
      </pivotArea>
    </format>
    <format dxfId="1322">
      <pivotArea dataOnly="0" labelOnly="1" outline="0" fieldPosition="0">
        <references count="2">
          <reference field="2" count="1">
            <x v="559"/>
          </reference>
          <reference field="10" count="1" selected="0">
            <x v="32"/>
          </reference>
        </references>
      </pivotArea>
    </format>
    <format dxfId="1323">
      <pivotArea dataOnly="0" labelOnly="1" outline="0" fieldPosition="0">
        <references count="2">
          <reference field="2" count="1">
            <x v="130"/>
          </reference>
          <reference field="10" count="1" selected="0">
            <x v="36"/>
          </reference>
        </references>
      </pivotArea>
    </format>
    <format dxfId="1324">
      <pivotArea dataOnly="0" labelOnly="1" outline="0" fieldPosition="0">
        <references count="2">
          <reference field="2" count="1">
            <x v="327"/>
          </reference>
          <reference field="10" count="1" selected="0">
            <x v="37"/>
          </reference>
        </references>
      </pivotArea>
    </format>
    <format dxfId="1325">
      <pivotArea dataOnly="0" labelOnly="1" outline="0" fieldPosition="0">
        <references count="2">
          <reference field="2" count="1">
            <x v="493"/>
          </reference>
          <reference field="10" count="1" selected="0">
            <x v="39"/>
          </reference>
        </references>
      </pivotArea>
    </format>
    <format dxfId="1326">
      <pivotArea dataOnly="0" labelOnly="1" outline="0" fieldPosition="0">
        <references count="2">
          <reference field="2" count="1">
            <x v="381"/>
          </reference>
          <reference field="10" count="1" selected="0">
            <x v="40"/>
          </reference>
        </references>
      </pivotArea>
    </format>
    <format dxfId="1327">
      <pivotArea dataOnly="0" labelOnly="1" outline="0" fieldPosition="0">
        <references count="2">
          <reference field="2" count="1">
            <x v="494"/>
          </reference>
          <reference field="10" count="1" selected="0">
            <x v="41"/>
          </reference>
        </references>
      </pivotArea>
    </format>
    <format dxfId="1328">
      <pivotArea dataOnly="0" labelOnly="1" outline="0" fieldPosition="0">
        <references count="2">
          <reference field="2" count="1">
            <x v="113"/>
          </reference>
          <reference field="10" count="1" selected="0">
            <x v="43"/>
          </reference>
        </references>
      </pivotArea>
    </format>
    <format dxfId="1329">
      <pivotArea dataOnly="0" labelOnly="1" outline="0" fieldPosition="0">
        <references count="2">
          <reference field="2" count="1">
            <x v="112"/>
          </reference>
          <reference field="10" count="1" selected="0">
            <x v="44"/>
          </reference>
        </references>
      </pivotArea>
    </format>
    <format dxfId="1330">
      <pivotArea dataOnly="0" labelOnly="1" outline="0" fieldPosition="0">
        <references count="2">
          <reference field="2" count="1">
            <x v="514"/>
          </reference>
          <reference field="10" count="1" selected="0">
            <x v="45"/>
          </reference>
        </references>
      </pivotArea>
    </format>
    <format dxfId="1331">
      <pivotArea dataOnly="0" labelOnly="1" outline="0" fieldPosition="0">
        <references count="2">
          <reference field="2" count="1">
            <x v="245"/>
          </reference>
          <reference field="10" count="1" selected="0">
            <x v="46"/>
          </reference>
        </references>
      </pivotArea>
    </format>
    <format dxfId="1332">
      <pivotArea dataOnly="0" labelOnly="1" outline="0" fieldPosition="0">
        <references count="2">
          <reference field="2" count="2">
            <x v="378"/>
            <x v="379"/>
          </reference>
          <reference field="10" count="1" selected="0">
            <x v="48"/>
          </reference>
        </references>
      </pivotArea>
    </format>
    <format dxfId="1333">
      <pivotArea dataOnly="0" labelOnly="1" outline="0" fieldPosition="0">
        <references count="2">
          <reference field="2" count="1">
            <x v="612"/>
          </reference>
          <reference field="10" count="1" selected="0">
            <x v="49"/>
          </reference>
        </references>
      </pivotArea>
    </format>
    <format dxfId="1334">
      <pivotArea dataOnly="0" labelOnly="1" outline="0" fieldPosition="0">
        <references count="2">
          <reference field="2" count="1">
            <x v="511"/>
          </reference>
          <reference field="10" count="1" selected="0">
            <x v="50"/>
          </reference>
        </references>
      </pivotArea>
    </format>
    <format dxfId="1335">
      <pivotArea dataOnly="0" labelOnly="1" outline="0" fieldPosition="0">
        <references count="2">
          <reference field="2" count="1">
            <x v="73"/>
          </reference>
          <reference field="10" count="1" selected="0">
            <x v="55"/>
          </reference>
        </references>
      </pivotArea>
    </format>
    <format dxfId="1336">
      <pivotArea dataOnly="0" labelOnly="1" outline="0" fieldPosition="0">
        <references count="2">
          <reference field="2" count="2">
            <x v="332"/>
            <x v="365"/>
          </reference>
          <reference field="10" count="1" selected="0">
            <x v="56"/>
          </reference>
        </references>
      </pivotArea>
    </format>
    <format dxfId="1337">
      <pivotArea dataOnly="0" labelOnly="1" outline="0" fieldPosition="0">
        <references count="2">
          <reference field="2" count="3">
            <x v="352"/>
            <x v="354"/>
            <x v="576"/>
          </reference>
          <reference field="10" count="1" selected="0">
            <x v="57"/>
          </reference>
        </references>
      </pivotArea>
    </format>
    <format dxfId="1338">
      <pivotArea dataOnly="0" labelOnly="1" outline="0" fieldPosition="0">
        <references count="2">
          <reference field="2" count="1">
            <x v="91"/>
          </reference>
          <reference field="10" count="1" selected="0">
            <x v="58"/>
          </reference>
        </references>
      </pivotArea>
    </format>
    <format dxfId="1339">
      <pivotArea dataOnly="0" labelOnly="1" outline="0" fieldPosition="0">
        <references count="2">
          <reference field="2" count="1">
            <x v="297"/>
          </reference>
          <reference field="10" count="1" selected="0">
            <x v="59"/>
          </reference>
        </references>
      </pivotArea>
    </format>
    <format dxfId="1340">
      <pivotArea dataOnly="0" labelOnly="1" outline="0" fieldPosition="0">
        <references count="2">
          <reference field="2" count="1">
            <x v="466"/>
          </reference>
          <reference field="10" count="1" selected="0">
            <x v="60"/>
          </reference>
        </references>
      </pivotArea>
    </format>
    <format dxfId="1341">
      <pivotArea dataOnly="0" labelOnly="1" outline="0" fieldPosition="0">
        <references count="2">
          <reference field="2" count="1">
            <x v="598"/>
          </reference>
          <reference field="10" count="1" selected="0">
            <x v="61"/>
          </reference>
        </references>
      </pivotArea>
    </format>
    <format dxfId="1342">
      <pivotArea dataOnly="0" labelOnly="1" outline="0" fieldPosition="0">
        <references count="2">
          <reference field="2" count="1">
            <x v="272"/>
          </reference>
          <reference field="10" count="1" selected="0">
            <x v="62"/>
          </reference>
        </references>
      </pivotArea>
    </format>
    <format dxfId="1343">
      <pivotArea dataOnly="0" labelOnly="1" outline="0" fieldPosition="0">
        <references count="2">
          <reference field="2" count="1">
            <x v="548"/>
          </reference>
          <reference field="10" count="1" selected="0">
            <x v="64"/>
          </reference>
        </references>
      </pivotArea>
    </format>
    <format dxfId="1344">
      <pivotArea dataOnly="0" labelOnly="1" outline="0" fieldPosition="0">
        <references count="2">
          <reference field="2" count="3">
            <x v="82"/>
            <x v="83"/>
            <x v="84"/>
          </reference>
          <reference field="10" count="1" selected="0">
            <x v="65"/>
          </reference>
        </references>
      </pivotArea>
    </format>
    <format dxfId="1345">
      <pivotArea dataOnly="0" labelOnly="1" outline="0" fieldPosition="0">
        <references count="2">
          <reference field="2" count="1">
            <x v="6"/>
          </reference>
          <reference field="10" count="1" selected="0">
            <x v="66"/>
          </reference>
        </references>
      </pivotArea>
    </format>
    <format dxfId="1346">
      <pivotArea dataOnly="0" labelOnly="1" outline="0" fieldPosition="0">
        <references count="2">
          <reference field="2" count="2">
            <x v="262"/>
            <x v="263"/>
          </reference>
          <reference field="10" count="1" selected="0">
            <x v="67"/>
          </reference>
        </references>
      </pivotArea>
    </format>
    <format dxfId="1347">
      <pivotArea dataOnly="0" labelOnly="1" outline="0" fieldPosition="0">
        <references count="2">
          <reference field="2" count="1">
            <x v="88"/>
          </reference>
          <reference field="10" count="1" selected="0">
            <x v="68"/>
          </reference>
        </references>
      </pivotArea>
    </format>
    <format dxfId="1348">
      <pivotArea dataOnly="0" labelOnly="1" outline="0" fieldPosition="0">
        <references count="2">
          <reference field="2" count="17">
            <x v="77"/>
            <x v="228"/>
            <x v="229"/>
            <x v="481"/>
            <x v="482"/>
            <x v="483"/>
            <x v="484"/>
            <x v="579"/>
            <x v="580"/>
            <x v="581"/>
            <x v="582"/>
            <x v="583"/>
            <x v="584"/>
            <x v="585"/>
            <x v="586"/>
            <x v="587"/>
            <x v="588"/>
          </reference>
          <reference field="10" count="1" selected="0">
            <x v="69"/>
          </reference>
        </references>
      </pivotArea>
    </format>
    <format dxfId="1349">
      <pivotArea dataOnly="0" labelOnly="1" outline="0" fieldPosition="0">
        <references count="2">
          <reference field="2" count="3">
            <x v="462"/>
            <x v="463"/>
            <x v="560"/>
          </reference>
          <reference field="10" count="1" selected="0">
            <x v="70"/>
          </reference>
        </references>
      </pivotArea>
    </format>
    <format dxfId="1350">
      <pivotArea dataOnly="0" labelOnly="1" outline="0" fieldPosition="0">
        <references count="2">
          <reference field="2" count="1">
            <x v="178"/>
          </reference>
          <reference field="10" count="1" selected="0">
            <x v="71"/>
          </reference>
        </references>
      </pivotArea>
    </format>
    <format dxfId="1351">
      <pivotArea dataOnly="0" labelOnly="1" outline="0" fieldPosition="0">
        <references count="2">
          <reference field="2" count="2">
            <x v="298"/>
            <x v="311"/>
          </reference>
          <reference field="10" count="1" selected="0">
            <x v="72"/>
          </reference>
        </references>
      </pivotArea>
    </format>
    <format dxfId="1352">
      <pivotArea dataOnly="0" labelOnly="1" outline="0" fieldPosition="0">
        <references count="2">
          <reference field="2" count="2">
            <x v="190"/>
            <x v="622"/>
          </reference>
          <reference field="10" count="1" selected="0">
            <x v="73"/>
          </reference>
        </references>
      </pivotArea>
    </format>
    <format dxfId="1353">
      <pivotArea dataOnly="0" labelOnly="1" outline="0" fieldPosition="0">
        <references count="2">
          <reference field="2" count="1">
            <x v="159"/>
          </reference>
          <reference field="10" count="1" selected="0">
            <x v="74"/>
          </reference>
        </references>
      </pivotArea>
    </format>
    <format dxfId="1354">
      <pivotArea dataOnly="0" labelOnly="1" outline="0" fieldPosition="0">
        <references count="2">
          <reference field="2" count="1">
            <x v="198"/>
          </reference>
          <reference field="10" count="1" selected="0">
            <x v="75"/>
          </reference>
        </references>
      </pivotArea>
    </format>
    <format dxfId="1355">
      <pivotArea dataOnly="0" labelOnly="1" outline="0" fieldPosition="0">
        <references count="2">
          <reference field="2" count="1">
            <x v="593"/>
          </reference>
          <reference field="10" count="1" selected="0">
            <x v="78"/>
          </reference>
        </references>
      </pivotArea>
    </format>
    <format dxfId="1356">
      <pivotArea dataOnly="0" labelOnly="1" outline="0" fieldPosition="0">
        <references count="2">
          <reference field="2" count="1">
            <x v="397"/>
          </reference>
          <reference field="10" count="1" selected="0">
            <x v="79"/>
          </reference>
        </references>
      </pivotArea>
    </format>
    <format dxfId="1357">
      <pivotArea dataOnly="0" labelOnly="1" outline="0" fieldPosition="0">
        <references count="2">
          <reference field="2" count="1">
            <x v="415"/>
          </reference>
          <reference field="10" count="1" selected="0">
            <x v="80"/>
          </reference>
        </references>
      </pivotArea>
    </format>
    <format dxfId="1358">
      <pivotArea dataOnly="0" labelOnly="1" outline="0" fieldPosition="0">
        <references count="2">
          <reference field="2" count="2">
            <x v="459"/>
            <x v="515"/>
          </reference>
          <reference field="10" count="1" selected="0">
            <x v="81"/>
          </reference>
        </references>
      </pivotArea>
    </format>
    <format dxfId="1359">
      <pivotArea dataOnly="0" labelOnly="1" outline="0" fieldPosition="0">
        <references count="2">
          <reference field="2" count="2">
            <x v="147"/>
            <x v="575"/>
          </reference>
          <reference field="10" count="1" selected="0">
            <x v="82"/>
          </reference>
        </references>
      </pivotArea>
    </format>
    <format dxfId="1360">
      <pivotArea dataOnly="0" labelOnly="1" outline="0" fieldPosition="0">
        <references count="2">
          <reference field="2" count="1">
            <x v="180"/>
          </reference>
          <reference field="10" count="1" selected="0">
            <x v="84"/>
          </reference>
        </references>
      </pivotArea>
    </format>
    <format dxfId="1361">
      <pivotArea dataOnly="0" labelOnly="1" outline="0" fieldPosition="0">
        <references count="2">
          <reference field="2" count="3">
            <x v="107"/>
            <x v="294"/>
            <x v="453"/>
          </reference>
          <reference field="10" count="1" selected="0">
            <x v="86"/>
          </reference>
        </references>
      </pivotArea>
    </format>
    <format dxfId="1362">
      <pivotArea dataOnly="0" labelOnly="1" outline="0" fieldPosition="0">
        <references count="2">
          <reference field="2" count="1">
            <x v="518"/>
          </reference>
          <reference field="10" count="1" selected="0">
            <x v="87"/>
          </reference>
        </references>
      </pivotArea>
    </format>
    <format dxfId="1363">
      <pivotArea dataOnly="0" labelOnly="1" outline="0" fieldPosition="0">
        <references count="2">
          <reference field="2" count="1">
            <x v="383"/>
          </reference>
          <reference field="10" count="1" selected="0">
            <x v="88"/>
          </reference>
        </references>
      </pivotArea>
    </format>
    <format dxfId="1364">
      <pivotArea dataOnly="0" labelOnly="1" outline="0" fieldPosition="0">
        <references count="2">
          <reference field="2" count="2">
            <x v="158"/>
            <x v="358"/>
          </reference>
          <reference field="10" count="1" selected="0">
            <x v="89"/>
          </reference>
        </references>
      </pivotArea>
    </format>
    <format dxfId="1365">
      <pivotArea dataOnly="0" labelOnly="1" outline="0" fieldPosition="0">
        <references count="2">
          <reference field="2" count="1">
            <x v="23"/>
          </reference>
          <reference field="10" count="1" selected="0">
            <x v="90"/>
          </reference>
        </references>
      </pivotArea>
    </format>
    <format dxfId="1366">
      <pivotArea dataOnly="0" labelOnly="1" outline="0" fieldPosition="0">
        <references count="2">
          <reference field="2" count="2">
            <x v="537"/>
            <x v="543"/>
          </reference>
          <reference field="10" count="1" selected="0">
            <x v="91"/>
          </reference>
        </references>
      </pivotArea>
    </format>
    <format dxfId="1367">
      <pivotArea dataOnly="0" labelOnly="1" outline="0" fieldPosition="0">
        <references count="2">
          <reference field="2" count="2">
            <x v="334"/>
            <x v="539"/>
          </reference>
          <reference field="10" count="1" selected="0">
            <x v="93"/>
          </reference>
        </references>
      </pivotArea>
    </format>
    <format dxfId="1368">
      <pivotArea dataOnly="0" labelOnly="1" outline="0" fieldPosition="0">
        <references count="2">
          <reference field="2" count="1">
            <x v="456"/>
          </reference>
          <reference field="10" count="1" selected="0">
            <x v="94"/>
          </reference>
        </references>
      </pivotArea>
    </format>
    <format dxfId="1369">
      <pivotArea dataOnly="0" labelOnly="1" outline="0" fieldPosition="0">
        <references count="2">
          <reference field="2" count="2">
            <x v="265"/>
            <x v="510"/>
          </reference>
          <reference field="10" count="1" selected="0">
            <x v="95"/>
          </reference>
        </references>
      </pivotArea>
    </format>
    <format dxfId="1370">
      <pivotArea dataOnly="0" labelOnly="1" outline="0" fieldPosition="0">
        <references count="2">
          <reference field="2" count="1">
            <x v="281"/>
          </reference>
          <reference field="10" count="1" selected="0">
            <x v="96"/>
          </reference>
        </references>
      </pivotArea>
    </format>
    <format dxfId="1371">
      <pivotArea dataOnly="0" labelOnly="1" outline="0" fieldPosition="0">
        <references count="2">
          <reference field="2" count="2">
            <x v="219"/>
            <x v="226"/>
          </reference>
          <reference field="10" count="1" selected="0">
            <x v="99"/>
          </reference>
        </references>
      </pivotArea>
    </format>
    <format dxfId="1372">
      <pivotArea dataOnly="0" labelOnly="1" outline="0" fieldPosition="0">
        <references count="2">
          <reference field="2" count="8">
            <x v="104"/>
            <x v="105"/>
            <x v="106"/>
            <x v="139"/>
            <x v="140"/>
            <x v="401"/>
            <x v="561"/>
            <x v="562"/>
          </reference>
          <reference field="10" count="1" selected="0">
            <x v="101"/>
          </reference>
        </references>
      </pivotArea>
    </format>
    <format dxfId="1373">
      <pivotArea dataOnly="0" labelOnly="1" outline="0" fieldPosition="0">
        <references count="2">
          <reference field="2" count="1">
            <x v="312"/>
          </reference>
          <reference field="10" count="1" selected="0">
            <x v="102"/>
          </reference>
        </references>
      </pivotArea>
    </format>
    <format dxfId="1374">
      <pivotArea dataOnly="0" labelOnly="1" outline="0" fieldPosition="0">
        <references count="2">
          <reference field="2" count="1">
            <x v="349"/>
          </reference>
          <reference field="10" count="1" selected="0">
            <x v="103"/>
          </reference>
        </references>
      </pivotArea>
    </format>
    <format dxfId="1375">
      <pivotArea dataOnly="0" labelOnly="1" outline="0" fieldPosition="0">
        <references count="2">
          <reference field="2" count="2">
            <x v="210"/>
            <x v="211"/>
          </reference>
          <reference field="10" count="1" selected="0">
            <x v="105"/>
          </reference>
        </references>
      </pivotArea>
    </format>
    <format dxfId="1376">
      <pivotArea dataOnly="0" labelOnly="1" outline="0" fieldPosition="0">
        <references count="2">
          <reference field="2" count="1">
            <x v="343"/>
          </reference>
          <reference field="10" count="1" selected="0">
            <x v="106"/>
          </reference>
        </references>
      </pivotArea>
    </format>
    <format dxfId="1377">
      <pivotArea dataOnly="0" labelOnly="1" outline="0" fieldPosition="0">
        <references count="2">
          <reference field="2" count="4">
            <x v="40"/>
            <x v="41"/>
            <x v="52"/>
            <x v="599"/>
          </reference>
          <reference field="10" count="1" selected="0">
            <x v="107"/>
          </reference>
        </references>
      </pivotArea>
    </format>
    <format dxfId="1378">
      <pivotArea dataOnly="0" labelOnly="1" outline="0" fieldPosition="0">
        <references count="2">
          <reference field="2" count="1">
            <x v="377"/>
          </reference>
          <reference field="10" count="1" selected="0">
            <x v="108"/>
          </reference>
        </references>
      </pivotArea>
    </format>
    <format dxfId="1379">
      <pivotArea dataOnly="0" labelOnly="1" outline="0" fieldPosition="0">
        <references count="2">
          <reference field="2" count="1">
            <x v="285"/>
          </reference>
          <reference field="10" count="1" selected="0">
            <x v="110"/>
          </reference>
        </references>
      </pivotArea>
    </format>
    <format dxfId="1380">
      <pivotArea dataOnly="0" labelOnly="1" outline="0" fieldPosition="0">
        <references count="2">
          <reference field="2" count="1">
            <x v="47"/>
          </reference>
          <reference field="10" count="1" selected="0">
            <x v="111"/>
          </reference>
        </references>
      </pivotArea>
    </format>
    <format dxfId="1381">
      <pivotArea dataOnly="0" labelOnly="1" outline="0" fieldPosition="0">
        <references count="2">
          <reference field="2" count="1">
            <x v="558"/>
          </reference>
          <reference field="10" count="1" selected="0">
            <x v="112"/>
          </reference>
        </references>
      </pivotArea>
    </format>
    <format dxfId="1382">
      <pivotArea dataOnly="0" labelOnly="1" outline="0" fieldPosition="0">
        <references count="2">
          <reference field="2" count="2">
            <x v="351"/>
            <x v="367"/>
          </reference>
          <reference field="10" count="1" selected="0">
            <x v="113"/>
          </reference>
        </references>
      </pivotArea>
    </format>
    <format dxfId="1383">
      <pivotArea dataOnly="0" labelOnly="1" outline="0" fieldPosition="0">
        <references count="2">
          <reference field="2" count="1">
            <x v="382"/>
          </reference>
          <reference field="10" count="1" selected="0">
            <x v="115"/>
          </reference>
        </references>
      </pivotArea>
    </format>
    <format dxfId="1384">
      <pivotArea dataOnly="0" labelOnly="1" outline="0" fieldPosition="0">
        <references count="2">
          <reference field="2" count="1">
            <x v="176"/>
          </reference>
          <reference field="10" count="1" selected="0">
            <x v="116"/>
          </reference>
        </references>
      </pivotArea>
    </format>
    <format dxfId="1385">
      <pivotArea dataOnly="0" labelOnly="1" outline="0" fieldPosition="0">
        <references count="2">
          <reference field="2" count="1">
            <x v="472"/>
          </reference>
          <reference field="10" count="1" selected="0">
            <x v="117"/>
          </reference>
        </references>
      </pivotArea>
    </format>
    <format dxfId="1386">
      <pivotArea dataOnly="0" labelOnly="1" outline="0" fieldPosition="0">
        <references count="2">
          <reference field="2" count="1">
            <x v="602"/>
          </reference>
          <reference field="10" count="1" selected="0">
            <x v="118"/>
          </reference>
        </references>
      </pivotArea>
    </format>
    <format dxfId="1387">
      <pivotArea dataOnly="0" labelOnly="1" outline="0" fieldPosition="0">
        <references count="2">
          <reference field="2" count="1">
            <x v="199"/>
          </reference>
          <reference field="10" count="1" selected="0">
            <x v="119"/>
          </reference>
        </references>
      </pivotArea>
    </format>
    <format dxfId="1388">
      <pivotArea dataOnly="0" labelOnly="1" outline="0" fieldPosition="0">
        <references count="2">
          <reference field="2" count="2">
            <x v="617"/>
            <x v="662"/>
          </reference>
          <reference field="10" count="1" selected="0">
            <x v="122"/>
          </reference>
        </references>
      </pivotArea>
    </format>
    <format dxfId="1389">
      <pivotArea dataOnly="0" labelOnly="1" outline="0" fieldPosition="0">
        <references count="2">
          <reference field="2" count="1">
            <x v="669"/>
          </reference>
          <reference field="10" count="1" selected="0">
            <x v="124"/>
          </reference>
        </references>
      </pivotArea>
    </format>
    <format dxfId="1390">
      <pivotArea dataOnly="0" labelOnly="1" outline="0" fieldPosition="0">
        <references count="2">
          <reference field="2" count="1">
            <x v="425"/>
          </reference>
          <reference field="10" count="1" selected="0">
            <x v="125"/>
          </reference>
        </references>
      </pivotArea>
    </format>
    <format dxfId="1391">
      <pivotArea dataOnly="0" labelOnly="1" outline="0" fieldPosition="0">
        <references count="2">
          <reference field="2" count="1">
            <x v="243"/>
          </reference>
          <reference field="10" count="1" selected="0">
            <x v="126"/>
          </reference>
        </references>
      </pivotArea>
    </format>
    <format dxfId="1392">
      <pivotArea dataOnly="0" labelOnly="1" outline="0" fieldPosition="0">
        <references count="2">
          <reference field="2" count="1">
            <x v="499"/>
          </reference>
          <reference field="10" count="1" selected="0">
            <x v="127"/>
          </reference>
        </references>
      </pivotArea>
    </format>
    <format dxfId="1393">
      <pivotArea dataOnly="0" labelOnly="1" outline="0" fieldPosition="0">
        <references count="2">
          <reference field="2" count="1">
            <x v="53"/>
          </reference>
          <reference field="10" count="1" selected="0">
            <x v="128"/>
          </reference>
        </references>
      </pivotArea>
    </format>
    <format dxfId="1394">
      <pivotArea dataOnly="0" labelOnly="1" outline="0" fieldPosition="0">
        <references count="2">
          <reference field="2" count="1">
            <x v="254"/>
          </reference>
          <reference field="10" count="1" selected="0">
            <x v="129"/>
          </reference>
        </references>
      </pivotArea>
    </format>
    <format dxfId="1395">
      <pivotArea dataOnly="0" labelOnly="1" outline="0" fieldPosition="0">
        <references count="2">
          <reference field="2" count="1">
            <x v="647"/>
          </reference>
          <reference field="10" count="1" selected="0">
            <x v="130"/>
          </reference>
        </references>
      </pivotArea>
    </format>
    <format dxfId="1396">
      <pivotArea dataOnly="0" labelOnly="1" outline="0" fieldPosition="0">
        <references count="2">
          <reference field="2" count="2">
            <x v="359"/>
            <x v="361"/>
          </reference>
          <reference field="10" count="1" selected="0">
            <x v="132"/>
          </reference>
        </references>
      </pivotArea>
    </format>
    <format dxfId="1397">
      <pivotArea dataOnly="0" labelOnly="1" outline="0" fieldPosition="0">
        <references count="2">
          <reference field="2" count="2">
            <x v="307"/>
            <x v="337"/>
          </reference>
          <reference field="10" count="1" selected="0">
            <x v="133"/>
          </reference>
        </references>
      </pivotArea>
    </format>
    <format dxfId="1398">
      <pivotArea dataOnly="0" labelOnly="1" outline="0" fieldPosition="0">
        <references count="2">
          <reference field="2" count="2">
            <x v="313"/>
            <x v="534"/>
          </reference>
          <reference field="10" count="1" selected="0">
            <x v="134"/>
          </reference>
        </references>
      </pivotArea>
    </format>
    <format dxfId="1399">
      <pivotArea dataOnly="0" labelOnly="1" outline="0" fieldPosition="0">
        <references count="2">
          <reference field="2" count="2">
            <x v="251"/>
            <x v="252"/>
          </reference>
          <reference field="10" count="1" selected="0">
            <x v="135"/>
          </reference>
        </references>
      </pivotArea>
    </format>
    <format dxfId="1400">
      <pivotArea dataOnly="0" labelOnly="1" outline="0" fieldPosition="0">
        <references count="2">
          <reference field="2" count="1">
            <x v="428"/>
          </reference>
          <reference field="10" count="1" selected="0">
            <x v="136"/>
          </reference>
        </references>
      </pivotArea>
    </format>
    <format dxfId="1401">
      <pivotArea dataOnly="0" labelOnly="1" outline="0" fieldPosition="0">
        <references count="2">
          <reference field="2" count="2">
            <x v="314"/>
            <x v="315"/>
          </reference>
          <reference field="10" count="1" selected="0">
            <x v="137"/>
          </reference>
        </references>
      </pivotArea>
    </format>
    <format dxfId="1402">
      <pivotArea dataOnly="0" labelOnly="1" outline="0" fieldPosition="0">
        <references count="2">
          <reference field="2" count="4">
            <x v="133"/>
            <x v="134"/>
            <x v="135"/>
            <x v="405"/>
          </reference>
          <reference field="10" count="1" selected="0">
            <x v="138"/>
          </reference>
        </references>
      </pivotArea>
    </format>
    <format dxfId="1403">
      <pivotArea dataOnly="0" labelOnly="1" outline="0" fieldPosition="0">
        <references count="2">
          <reference field="2" count="1">
            <x v="391"/>
          </reference>
          <reference field="10" count="1" selected="0">
            <x v="139"/>
          </reference>
        </references>
      </pivotArea>
    </format>
    <format dxfId="1404">
      <pivotArea dataOnly="0" labelOnly="1" outline="0" fieldPosition="0">
        <references count="2">
          <reference field="2" count="1">
            <x v="51"/>
          </reference>
          <reference field="10" count="1" selected="0">
            <x v="140"/>
          </reference>
        </references>
      </pivotArea>
    </format>
    <format dxfId="1405">
      <pivotArea dataOnly="0" labelOnly="1" outline="0" fieldPosition="0">
        <references count="2">
          <reference field="2" count="1">
            <x v="574"/>
          </reference>
          <reference field="10" count="1" selected="0">
            <x v="141"/>
          </reference>
        </references>
      </pivotArea>
    </format>
    <format dxfId="1406">
      <pivotArea dataOnly="0" labelOnly="1" outline="0" fieldPosition="0">
        <references count="2">
          <reference field="2" count="1">
            <x v="12"/>
          </reference>
          <reference field="10" count="1" selected="0">
            <x v="142"/>
          </reference>
        </references>
      </pivotArea>
    </format>
    <format dxfId="1407">
      <pivotArea dataOnly="0" labelOnly="1" outline="0" fieldPosition="0">
        <references count="2">
          <reference field="2" count="2">
            <x v="442"/>
            <x v="595"/>
          </reference>
          <reference field="10" count="1" selected="0">
            <x v="143"/>
          </reference>
        </references>
      </pivotArea>
    </format>
    <format dxfId="1408">
      <pivotArea dataOnly="0" labelOnly="1" outline="0" fieldPosition="0">
        <references count="2">
          <reference field="2" count="3">
            <x v="34"/>
            <x v="409"/>
            <x v="632"/>
          </reference>
          <reference field="10" count="1" selected="0">
            <x v="145"/>
          </reference>
        </references>
      </pivotArea>
    </format>
    <format dxfId="1409">
      <pivotArea dataOnly="0" labelOnly="1" outline="0" fieldPosition="0">
        <references count="2">
          <reference field="2" count="1">
            <x v="540"/>
          </reference>
          <reference field="10" count="1" selected="0">
            <x v="146"/>
          </reference>
        </references>
      </pivotArea>
    </format>
    <format dxfId="1410">
      <pivotArea dataOnly="0" labelOnly="1" outline="0" fieldPosition="0">
        <references count="2">
          <reference field="2" count="1">
            <x v="303"/>
          </reference>
          <reference field="10" count="1" selected="0">
            <x v="147"/>
          </reference>
        </references>
      </pivotArea>
    </format>
    <format dxfId="1411">
      <pivotArea dataOnly="0" labelOnly="1" outline="0" fieldPosition="0">
        <references count="2">
          <reference field="2" count="1">
            <x v="46"/>
          </reference>
          <reference field="10" count="1" selected="0">
            <x v="148"/>
          </reference>
        </references>
      </pivotArea>
    </format>
    <format dxfId="1412">
      <pivotArea dataOnly="0" labelOnly="1" outline="0" fieldPosition="0">
        <references count="2">
          <reference field="2" count="1">
            <x v="205"/>
          </reference>
          <reference field="10" count="1" selected="0">
            <x v="149"/>
          </reference>
        </references>
      </pivotArea>
    </format>
    <format dxfId="1413">
      <pivotArea dataOnly="0" labelOnly="1" outline="0" fieldPosition="0">
        <references count="2">
          <reference field="2" count="2">
            <x v="172"/>
            <x v="605"/>
          </reference>
          <reference field="10" count="1" selected="0">
            <x v="150"/>
          </reference>
        </references>
      </pivotArea>
    </format>
    <format dxfId="1414">
      <pivotArea dataOnly="0" labelOnly="1" outline="0" fieldPosition="0">
        <references count="2">
          <reference field="2" count="1">
            <x v="426"/>
          </reference>
          <reference field="10" count="1" selected="0">
            <x v="151"/>
          </reference>
        </references>
      </pivotArea>
    </format>
    <format dxfId="1415">
      <pivotArea dataOnly="0" labelOnly="1" outline="0" fieldPosition="0">
        <references count="2">
          <reference field="2" count="1">
            <x v="655"/>
          </reference>
          <reference field="10" count="1" selected="0">
            <x v="153"/>
          </reference>
        </references>
      </pivotArea>
    </format>
    <format dxfId="1416">
      <pivotArea dataOnly="0" labelOnly="1" outline="0" fieldPosition="0">
        <references count="2">
          <reference field="2" count="4">
            <x v="160"/>
            <x v="161"/>
            <x v="162"/>
            <x v="163"/>
          </reference>
          <reference field="10" count="1" selected="0">
            <x v="154"/>
          </reference>
        </references>
      </pivotArea>
    </format>
    <format dxfId="1417">
      <pivotArea dataOnly="0" labelOnly="1" outline="0" fieldPosition="0">
        <references count="2">
          <reference field="2" count="2">
            <x v="486"/>
            <x v="564"/>
          </reference>
          <reference field="10" count="1" selected="0">
            <x v="155"/>
          </reference>
        </references>
      </pivotArea>
    </format>
    <format dxfId="1418">
      <pivotArea dataOnly="0" labelOnly="1" outline="0" fieldPosition="0">
        <references count="2">
          <reference field="2" count="1">
            <x v="295"/>
          </reference>
          <reference field="10" count="1" selected="0">
            <x v="158"/>
          </reference>
        </references>
      </pivotArea>
    </format>
    <format dxfId="1419">
      <pivotArea dataOnly="0" labelOnly="1" outline="0" fieldPosition="0">
        <references count="2">
          <reference field="2" count="4">
            <x v="62"/>
            <x v="102"/>
            <x v="418"/>
            <x v="607"/>
          </reference>
          <reference field="10" count="1" selected="0">
            <x v="159"/>
          </reference>
        </references>
      </pivotArea>
    </format>
    <format dxfId="1420">
      <pivotArea dataOnly="0" labelOnly="1" outline="0" fieldPosition="0">
        <references count="2">
          <reference field="2" count="1">
            <x v="99"/>
          </reference>
          <reference field="10" count="1" selected="0">
            <x v="162"/>
          </reference>
        </references>
      </pivotArea>
    </format>
    <format dxfId="1421">
      <pivotArea dataOnly="0" labelOnly="1" outline="0" fieldPosition="0">
        <references count="2">
          <reference field="2" count="1">
            <x v="568"/>
          </reference>
          <reference field="10" count="1" selected="0">
            <x v="163"/>
          </reference>
        </references>
      </pivotArea>
    </format>
    <format dxfId="1422">
      <pivotArea dataOnly="0" labelOnly="1" outline="0" fieldPosition="0">
        <references count="2">
          <reference field="2" count="1">
            <x v="569"/>
          </reference>
          <reference field="10" count="1" selected="0">
            <x v="164"/>
          </reference>
        </references>
      </pivotArea>
    </format>
    <format dxfId="1423">
      <pivotArea dataOnly="0" labelOnly="1" outline="0" fieldPosition="0">
        <references count="2">
          <reference field="2" count="1">
            <x v="218"/>
          </reference>
          <reference field="10" count="1" selected="0">
            <x v="165"/>
          </reference>
        </references>
      </pivotArea>
    </format>
    <format dxfId="1424">
      <pivotArea dataOnly="0" labelOnly="1" outline="0" fieldPosition="0">
        <references count="2">
          <reference field="2" count="2">
            <x v="338"/>
            <x v="339"/>
          </reference>
          <reference field="10" count="1" selected="0">
            <x v="167"/>
          </reference>
        </references>
      </pivotArea>
    </format>
    <format dxfId="1425">
      <pivotArea dataOnly="0" labelOnly="1" outline="0" fieldPosition="0">
        <references count="2">
          <reference field="2" count="1">
            <x v="49"/>
          </reference>
          <reference field="10" count="1" selected="0">
            <x v="169"/>
          </reference>
        </references>
      </pivotArea>
    </format>
    <format dxfId="1426">
      <pivotArea dataOnly="0" labelOnly="1" outline="0" fieldPosition="0">
        <references count="2">
          <reference field="2" count="2">
            <x v="398"/>
            <x v="654"/>
          </reference>
          <reference field="10" count="1" selected="0">
            <x v="171"/>
          </reference>
        </references>
      </pivotArea>
    </format>
    <format dxfId="1427">
      <pivotArea dataOnly="0" labelOnly="1" outline="0" fieldPosition="0">
        <references count="2">
          <reference field="2" count="3">
            <x v="531"/>
            <x v="532"/>
            <x v="533"/>
          </reference>
          <reference field="10" count="1" selected="0">
            <x v="173"/>
          </reference>
        </references>
      </pivotArea>
    </format>
    <format dxfId="1428">
      <pivotArea dataOnly="0" labelOnly="1" outline="0" fieldPosition="0">
        <references count="2">
          <reference field="2" count="1">
            <x v="26"/>
          </reference>
          <reference field="10" count="1" selected="0">
            <x v="175"/>
          </reference>
        </references>
      </pivotArea>
    </format>
    <format dxfId="1429">
      <pivotArea dataOnly="0" labelOnly="1" outline="0" fieldPosition="0">
        <references count="2">
          <reference field="2" count="3">
            <x v="93"/>
            <x v="94"/>
            <x v="95"/>
          </reference>
          <reference field="10" count="1" selected="0">
            <x v="176"/>
          </reference>
        </references>
      </pivotArea>
    </format>
    <format dxfId="1430">
      <pivotArea dataOnly="0" labelOnly="1" outline="0" fieldPosition="0">
        <references count="2">
          <reference field="2" count="2">
            <x v="225"/>
            <x v="443"/>
          </reference>
          <reference field="10" count="1" selected="0">
            <x v="177"/>
          </reference>
        </references>
      </pivotArea>
    </format>
    <format dxfId="1431">
      <pivotArea dataOnly="0" labelOnly="1" outline="0" fieldPosition="0">
        <references count="2">
          <reference field="2" count="1">
            <x v="386"/>
          </reference>
          <reference field="10" count="1" selected="0">
            <x v="180"/>
          </reference>
        </references>
      </pivotArea>
    </format>
    <format dxfId="1432">
      <pivotArea dataOnly="0" labelOnly="1" outline="0" fieldPosition="0">
        <references count="2">
          <reference field="2" count="1">
            <x v="517"/>
          </reference>
          <reference field="10" count="1" selected="0">
            <x v="181"/>
          </reference>
        </references>
      </pivotArea>
    </format>
    <format dxfId="1433">
      <pivotArea dataOnly="0" labelOnly="1" outline="0" fieldPosition="0">
        <references count="2">
          <reference field="2" count="1">
            <x v="513"/>
          </reference>
          <reference field="10" count="1" selected="0">
            <x v="183"/>
          </reference>
        </references>
      </pivotArea>
    </format>
    <format dxfId="1434">
      <pivotArea dataOnly="0" labelOnly="1" outline="0" fieldPosition="0">
        <references count="2">
          <reference field="2" count="6">
            <x v="289"/>
            <x v="290"/>
            <x v="521"/>
            <x v="522"/>
            <x v="523"/>
            <x v="530"/>
          </reference>
          <reference field="10" count="1" selected="0">
            <x v="184"/>
          </reference>
        </references>
      </pivotArea>
    </format>
    <format dxfId="1435">
      <pivotArea dataOnly="0" labelOnly="1" outline="0" fieldPosition="0">
        <references count="2">
          <reference field="2" count="2">
            <x v="291"/>
            <x v="520"/>
          </reference>
          <reference field="10" count="1" selected="0">
            <x v="185"/>
          </reference>
        </references>
      </pivotArea>
    </format>
    <format dxfId="1436">
      <pivotArea dataOnly="0" labelOnly="1" outline="0" fieldPosition="0">
        <references count="2">
          <reference field="2" count="1">
            <x v="87"/>
          </reference>
          <reference field="10" count="1" selected="0">
            <x v="186"/>
          </reference>
        </references>
      </pivotArea>
    </format>
    <format dxfId="1437">
      <pivotArea dataOnly="0" labelOnly="1" outline="0" fieldPosition="0">
        <references count="2">
          <reference field="2" count="1">
            <x v="197"/>
          </reference>
          <reference field="10" count="1" selected="0">
            <x v="188"/>
          </reference>
        </references>
      </pivotArea>
    </format>
    <format dxfId="1438">
      <pivotArea dataOnly="0" labelOnly="1" outline="0" fieldPosition="0">
        <references count="2">
          <reference field="2" count="1">
            <x v="204"/>
          </reference>
          <reference field="10" count="1" selected="0">
            <x v="189"/>
          </reference>
        </references>
      </pivotArea>
    </format>
    <format dxfId="1439">
      <pivotArea dataOnly="0" labelOnly="1" outline="0" fieldPosition="0">
        <references count="2">
          <reference field="2" count="3">
            <x v="4"/>
            <x v="111"/>
            <x v="512"/>
          </reference>
          <reference field="10" count="1" selected="0">
            <x v="190"/>
          </reference>
        </references>
      </pivotArea>
    </format>
    <format dxfId="1440">
      <pivotArea dataOnly="0" labelOnly="1" outline="0" fieldPosition="0">
        <references count="2">
          <reference field="2" count="2">
            <x v="287"/>
            <x v="592"/>
          </reference>
          <reference field="10" count="1" selected="0">
            <x v="191"/>
          </reference>
        </references>
      </pivotArea>
    </format>
    <format dxfId="1441">
      <pivotArea dataOnly="0" labelOnly="1" outline="0" fieldPosition="0">
        <references count="2">
          <reference field="2" count="2">
            <x v="29"/>
            <x v="519"/>
          </reference>
          <reference field="10" count="1" selected="0">
            <x v="192"/>
          </reference>
        </references>
      </pivotArea>
    </format>
    <format dxfId="1442">
      <pivotArea dataOnly="0" labelOnly="1" outline="0" fieldPosition="0">
        <references count="2">
          <reference field="2" count="1">
            <x v="656"/>
          </reference>
          <reference field="10" count="1" selected="0">
            <x v="194"/>
          </reference>
        </references>
      </pivotArea>
    </format>
    <format dxfId="1443">
      <pivotArea dataOnly="0" labelOnly="1" outline="0" fieldPosition="0">
        <references count="2">
          <reference field="2" count="1">
            <x v="557"/>
          </reference>
          <reference field="10" count="1" selected="0">
            <x v="195"/>
          </reference>
        </references>
      </pivotArea>
    </format>
    <format dxfId="1444">
      <pivotArea dataOnly="0" labelOnly="1" outline="0" fieldPosition="0">
        <references count="2">
          <reference field="2" count="2">
            <x v="257"/>
            <x v="264"/>
          </reference>
          <reference field="10" count="1" selected="0">
            <x v="196"/>
          </reference>
        </references>
      </pivotArea>
    </format>
    <format dxfId="1445">
      <pivotArea dataOnly="0" labelOnly="1" outline="0" fieldPosition="0">
        <references count="2">
          <reference field="2" count="1">
            <x v="500"/>
          </reference>
          <reference field="10" count="1" selected="0">
            <x v="197"/>
          </reference>
        </references>
      </pivotArea>
    </format>
    <format dxfId="1446">
      <pivotArea dataOnly="0" labelOnly="1" outline="0" fieldPosition="0">
        <references count="2">
          <reference field="2" count="1">
            <x v="316"/>
          </reference>
          <reference field="10" count="1" selected="0">
            <x v="199"/>
          </reference>
        </references>
      </pivotArea>
    </format>
    <format dxfId="1447">
      <pivotArea dataOnly="0" labelOnly="1" outline="0" fieldPosition="0">
        <references count="2">
          <reference field="2" count="1">
            <x v="306"/>
          </reference>
          <reference field="10" count="1" selected="0">
            <x v="200"/>
          </reference>
        </references>
      </pivotArea>
    </format>
    <format dxfId="1448">
      <pivotArea dataOnly="0" labelOnly="1" outline="0" fieldPosition="0">
        <references count="2">
          <reference field="2" count="1">
            <x v="164"/>
          </reference>
          <reference field="10" count="1" selected="0">
            <x v="202"/>
          </reference>
        </references>
      </pivotArea>
    </format>
    <format dxfId="1449">
      <pivotArea dataOnly="0" labelOnly="1" outline="0" fieldPosition="0">
        <references count="2">
          <reference field="2" count="1">
            <x v="468"/>
          </reference>
          <reference field="10" count="1" selected="0">
            <x v="204"/>
          </reference>
        </references>
      </pivotArea>
    </format>
    <format dxfId="1450">
      <pivotArea dataOnly="0" labelOnly="1" outline="0" fieldPosition="0">
        <references count="2">
          <reference field="2" count="1">
            <x v="601"/>
          </reference>
          <reference field="10" count="1" selected="0">
            <x v="206"/>
          </reference>
        </references>
      </pivotArea>
    </format>
    <format dxfId="1451">
      <pivotArea dataOnly="0" labelOnly="1" outline="0" fieldPosition="0">
        <references count="2">
          <reference field="2" count="1">
            <x v="611"/>
          </reference>
          <reference field="10" count="1" selected="0">
            <x v="207"/>
          </reference>
        </references>
      </pivotArea>
    </format>
    <format dxfId="1452">
      <pivotArea dataOnly="0" labelOnly="1" outline="0" fieldPosition="0">
        <references count="2">
          <reference field="2" count="1">
            <x v="55"/>
          </reference>
          <reference field="10" count="1" selected="0">
            <x v="208"/>
          </reference>
        </references>
      </pivotArea>
    </format>
    <format dxfId="1453">
      <pivotArea dataOnly="0" labelOnly="1" outline="0" fieldPosition="0">
        <references count="2">
          <reference field="2" count="3">
            <x v="454"/>
            <x v="549"/>
            <x v="645"/>
          </reference>
          <reference field="10" count="1" selected="0">
            <x v="211"/>
          </reference>
        </references>
      </pivotArea>
    </format>
    <format dxfId="1454">
      <pivotArea dataOnly="0" labelOnly="1" outline="0" fieldPosition="0">
        <references count="2">
          <reference field="2" count="4">
            <x v="317"/>
            <x v="318"/>
            <x v="319"/>
            <x v="320"/>
          </reference>
          <reference field="10" count="1" selected="0">
            <x v="213"/>
          </reference>
        </references>
      </pivotArea>
    </format>
    <format dxfId="1455">
      <pivotArea dataOnly="0" labelOnly="1" outline="0" fieldPosition="0">
        <references count="2">
          <reference field="2" count="1">
            <x v="16"/>
          </reference>
          <reference field="10" count="1" selected="0">
            <x v="214"/>
          </reference>
        </references>
      </pivotArea>
    </format>
    <format dxfId="1456">
      <pivotArea dataOnly="0" labelOnly="1" outline="0" fieldPosition="0">
        <references count="2">
          <reference field="2" count="1">
            <x v="665"/>
          </reference>
          <reference field="10" count="1" selected="0">
            <x v="215"/>
          </reference>
        </references>
      </pivotArea>
    </format>
    <format dxfId="1457">
      <pivotArea dataOnly="0" labelOnly="1" outline="0" fieldPosition="0">
        <references count="2">
          <reference field="2" count="1">
            <x v="68"/>
          </reference>
          <reference field="10" count="1" selected="0">
            <x v="216"/>
          </reference>
        </references>
      </pivotArea>
    </format>
    <format dxfId="1458">
      <pivotArea dataOnly="0" labelOnly="1" outline="0" fieldPosition="0">
        <references count="2">
          <reference field="2" count="2">
            <x v="350"/>
            <x v="427"/>
          </reference>
          <reference field="10" count="1" selected="0">
            <x v="217"/>
          </reference>
        </references>
      </pivotArea>
    </format>
    <format dxfId="1459">
      <pivotArea dataOnly="0" labelOnly="1" outline="0" fieldPosition="0">
        <references count="2">
          <reference field="2" count="4">
            <x v="186"/>
            <x v="187"/>
            <x v="353"/>
            <x v="525"/>
          </reference>
          <reference field="10" count="1" selected="0">
            <x v="219"/>
          </reference>
        </references>
      </pivotArea>
    </format>
    <format dxfId="1460">
      <pivotArea dataOnly="0" labelOnly="1" outline="0" fieldPosition="0">
        <references count="2">
          <reference field="2" count="1">
            <x v="86"/>
          </reference>
          <reference field="10" count="1" selected="0">
            <x v="220"/>
          </reference>
        </references>
      </pivotArea>
    </format>
    <format dxfId="1461">
      <pivotArea dataOnly="0" labelOnly="1" outline="0" fieldPosition="0">
        <references count="2">
          <reference field="2" count="1">
            <x v="286"/>
          </reference>
          <reference field="10" count="1" selected="0">
            <x v="221"/>
          </reference>
        </references>
      </pivotArea>
    </format>
    <format dxfId="1462">
      <pivotArea dataOnly="0" labelOnly="1" outline="0" fieldPosition="0">
        <references count="2">
          <reference field="2" count="1">
            <x v="538"/>
          </reference>
          <reference field="10" count="1" selected="0">
            <x v="222"/>
          </reference>
        </references>
      </pivotArea>
    </format>
    <format dxfId="1463">
      <pivotArea dataOnly="0" labelOnly="1" outline="0" fieldPosition="0">
        <references count="2">
          <reference field="2" count="2">
            <x v="648"/>
            <x v="649"/>
          </reference>
          <reference field="10" count="1" selected="0">
            <x v="225"/>
          </reference>
        </references>
      </pivotArea>
    </format>
    <format dxfId="1464">
      <pivotArea dataOnly="0" labelOnly="1" outline="0" fieldPosition="0">
        <references count="2">
          <reference field="2" count="2">
            <x v="89"/>
            <x v="101"/>
          </reference>
          <reference field="10" count="1" selected="0">
            <x v="226"/>
          </reference>
        </references>
      </pivotArea>
    </format>
    <format dxfId="1465">
      <pivotArea dataOnly="0" labelOnly="1" outline="0" fieldPosition="0">
        <references count="2">
          <reference field="2" count="1">
            <x v="423"/>
          </reference>
          <reference field="10" count="1" selected="0">
            <x v="227"/>
          </reference>
        </references>
      </pivotArea>
    </format>
    <format dxfId="1466">
      <pivotArea dataOnly="0" labelOnly="1" outline="0" fieldPosition="0">
        <references count="2">
          <reference field="2" count="1">
            <x v="45"/>
          </reference>
          <reference field="10" count="1" selected="0">
            <x v="228"/>
          </reference>
        </references>
      </pivotArea>
    </format>
    <format dxfId="1467">
      <pivotArea dataOnly="0" labelOnly="1" outline="0" fieldPosition="0">
        <references count="2">
          <reference field="2" count="1">
            <x v="189"/>
          </reference>
          <reference field="10" count="1" selected="0">
            <x v="230"/>
          </reference>
        </references>
      </pivotArea>
    </format>
    <format dxfId="1468">
      <pivotArea dataOnly="0" labelOnly="1" outline="0" fieldPosition="0">
        <references count="2">
          <reference field="2" count="1">
            <x v="551"/>
          </reference>
          <reference field="10" count="1" selected="0">
            <x v="232"/>
          </reference>
        </references>
      </pivotArea>
    </format>
    <format dxfId="1469">
      <pivotArea dataOnly="0" labelOnly="1" outline="0" fieldPosition="0">
        <references count="2">
          <reference field="2" count="2">
            <x v="184"/>
            <x v="236"/>
          </reference>
          <reference field="10" count="1" selected="0">
            <x v="235"/>
          </reference>
        </references>
      </pivotArea>
    </format>
    <format dxfId="1470">
      <pivotArea dataOnly="0" labelOnly="1" outline="0" fieldPosition="0">
        <references count="2">
          <reference field="2" count="1">
            <x v="424"/>
          </reference>
          <reference field="10" count="1" selected="0">
            <x v="236"/>
          </reference>
        </references>
      </pivotArea>
    </format>
    <format dxfId="1471">
      <pivotArea dataOnly="0" labelOnly="1" outline="0" fieldPosition="0">
        <references count="2">
          <reference field="2" count="1">
            <x v="179"/>
          </reference>
          <reference field="10" count="1" selected="0">
            <x v="237"/>
          </reference>
        </references>
      </pivotArea>
    </format>
    <format dxfId="1472">
      <pivotArea dataOnly="0" labelOnly="1" outline="0" fieldPosition="0">
        <references count="2">
          <reference field="2" count="1">
            <x v="356"/>
          </reference>
          <reference field="10" count="1" selected="0">
            <x v="238"/>
          </reference>
        </references>
      </pivotArea>
    </format>
    <format dxfId="1473">
      <pivotArea dataOnly="0" labelOnly="1" outline="0" fieldPosition="0">
        <references count="2">
          <reference field="2" count="1">
            <x v="435"/>
          </reference>
          <reference field="10" count="1" selected="0">
            <x v="239"/>
          </reference>
        </references>
      </pivotArea>
    </format>
    <format dxfId="1474">
      <pivotArea dataOnly="0" labelOnly="1" outline="0" fieldPosition="0">
        <references count="2">
          <reference field="2" count="1">
            <x v="271"/>
          </reference>
          <reference field="10" count="1" selected="0">
            <x v="242"/>
          </reference>
        </references>
      </pivotArea>
    </format>
    <format dxfId="1475">
      <pivotArea dataOnly="0" labelOnly="1" outline="0" fieldPosition="0">
        <references count="2">
          <reference field="2" count="2">
            <x v="253"/>
            <x v="554"/>
          </reference>
          <reference field="10" count="1" selected="0">
            <x v="243"/>
          </reference>
        </references>
      </pivotArea>
    </format>
    <format dxfId="1476">
      <pivotArea dataOnly="0" labelOnly="1" outline="0" fieldPosition="0">
        <references count="2">
          <reference field="2" count="2">
            <x v="335"/>
            <x v="498"/>
          </reference>
          <reference field="10" count="1" selected="0">
            <x v="244"/>
          </reference>
        </references>
      </pivotArea>
    </format>
    <format dxfId="1477">
      <pivotArea dataOnly="0" labelOnly="1" outline="0" fieldPosition="0">
        <references count="2">
          <reference field="2" count="1">
            <x v="206"/>
          </reference>
          <reference field="10" count="1" selected="0">
            <x v="245"/>
          </reference>
        </references>
      </pivotArea>
    </format>
    <format dxfId="1478">
      <pivotArea dataOnly="0" labelOnly="1" outline="0" fieldPosition="0">
        <references count="2">
          <reference field="2" count="1">
            <x v="571"/>
          </reference>
          <reference field="10" count="1" selected="0">
            <x v="246"/>
          </reference>
        </references>
      </pivotArea>
    </format>
    <format dxfId="1479">
      <pivotArea dataOnly="0" labelOnly="1" outline="0" fieldPosition="0">
        <references count="2">
          <reference field="2" count="1">
            <x v="660"/>
          </reference>
          <reference field="10" count="1" selected="0">
            <x v="248"/>
          </reference>
        </references>
      </pivotArea>
    </format>
    <format dxfId="1480">
      <pivotArea dataOnly="0" labelOnly="1" outline="0" fieldPosition="0">
        <references count="2">
          <reference field="2" count="1">
            <x v="36"/>
          </reference>
          <reference field="10" count="1" selected="0">
            <x v="249"/>
          </reference>
        </references>
      </pivotArea>
    </format>
    <format dxfId="1481">
      <pivotArea dataOnly="0" labelOnly="1" outline="0" fieldPosition="0">
        <references count="2">
          <reference field="2" count="1">
            <x v="43"/>
          </reference>
          <reference field="10" count="1" selected="0">
            <x v="250"/>
          </reference>
        </references>
      </pivotArea>
    </format>
    <format dxfId="1482">
      <pivotArea dataOnly="0" labelOnly="1" outline="0" fieldPosition="0">
        <references count="2">
          <reference field="2" count="1">
            <x v="461"/>
          </reference>
          <reference field="10" count="1" selected="0">
            <x v="251"/>
          </reference>
        </references>
      </pivotArea>
    </format>
    <format dxfId="1483">
      <pivotArea dataOnly="0" labelOnly="1" outline="0" fieldPosition="0">
        <references count="2">
          <reference field="2" count="1">
            <x v="460"/>
          </reference>
          <reference field="10" count="1" selected="0">
            <x v="252"/>
          </reference>
        </references>
      </pivotArea>
    </format>
    <format dxfId="1484">
      <pivotArea dataOnly="0" labelOnly="1" outline="0" fieldPosition="0">
        <references count="2">
          <reference field="2" count="3">
            <x v="121"/>
            <x v="122"/>
            <x v="128"/>
          </reference>
          <reference field="10" count="1" selected="0">
            <x v="253"/>
          </reference>
        </references>
      </pivotArea>
    </format>
    <format dxfId="1485">
      <pivotArea dataOnly="0" labelOnly="1" outline="0" fieldPosition="0">
        <references count="2">
          <reference field="2" count="1">
            <x v="267"/>
          </reference>
          <reference field="10" count="1" selected="0">
            <x v="256"/>
          </reference>
        </references>
      </pivotArea>
    </format>
    <format dxfId="1486">
      <pivotArea dataOnly="0" labelOnly="1" outline="0" fieldPosition="0">
        <references count="2">
          <reference field="2" count="5">
            <x v="273"/>
            <x v="274"/>
            <x v="275"/>
            <x v="276"/>
            <x v="419"/>
          </reference>
          <reference field="10" count="1" selected="0">
            <x v="257"/>
          </reference>
        </references>
      </pivotArea>
    </format>
    <format dxfId="1487">
      <pivotArea dataOnly="0" labelOnly="1" outline="0" fieldPosition="0">
        <references count="2">
          <reference field="2" count="1">
            <x v="150"/>
          </reference>
          <reference field="10" count="1" selected="0">
            <x v="258"/>
          </reference>
        </references>
      </pivotArea>
    </format>
    <format dxfId="1488">
      <pivotArea dataOnly="0" labelOnly="1" outline="0" fieldPosition="0">
        <references count="2">
          <reference field="2" count="1">
            <x v="370"/>
          </reference>
          <reference field="10" count="1" selected="0">
            <x v="259"/>
          </reference>
        </references>
      </pivotArea>
    </format>
    <format dxfId="1489">
      <pivotArea dataOnly="0" labelOnly="1" outline="0" fieldPosition="0">
        <references count="2">
          <reference field="2" count="1">
            <x v="363"/>
          </reference>
          <reference field="10" count="1" selected="0">
            <x v="261"/>
          </reference>
        </references>
      </pivotArea>
    </format>
    <format dxfId="1490">
      <pivotArea dataOnly="0" labelOnly="1" outline="0" fieldPosition="0">
        <references count="2">
          <reference field="2" count="2">
            <x v="33"/>
            <x v="123"/>
          </reference>
          <reference field="10" count="1" selected="0">
            <x v="262"/>
          </reference>
        </references>
      </pivotArea>
    </format>
    <format dxfId="1491">
      <pivotArea dataOnly="0" labelOnly="1" outline="0" fieldPosition="0">
        <references count="2">
          <reference field="2" count="3">
            <x v="10"/>
            <x v="11"/>
            <x v="238"/>
          </reference>
          <reference field="10" count="1" selected="0">
            <x v="265"/>
          </reference>
        </references>
      </pivotArea>
    </format>
    <format dxfId="1492">
      <pivotArea dataOnly="0" labelOnly="1" outline="0" fieldPosition="0">
        <references count="2">
          <reference field="2" count="1">
            <x v="100"/>
          </reference>
          <reference field="10" count="1" selected="0">
            <x v="266"/>
          </reference>
        </references>
      </pivotArea>
    </format>
    <format dxfId="1493">
      <pivotArea dataOnly="0" labelOnly="1" outline="0" fieldPosition="0">
        <references count="2">
          <reference field="2" count="3">
            <x v="181"/>
            <x v="182"/>
            <x v="183"/>
          </reference>
          <reference field="10" count="1" selected="0">
            <x v="268"/>
          </reference>
        </references>
      </pivotArea>
    </format>
    <format dxfId="1494">
      <pivotArea dataOnly="0" labelOnly="1" outline="0" fieldPosition="0">
        <references count="2">
          <reference field="2" count="1">
            <x v="420"/>
          </reference>
          <reference field="10" count="1" selected="0">
            <x v="269"/>
          </reference>
        </references>
      </pivotArea>
    </format>
    <format dxfId="1495">
      <pivotArea dataOnly="0" labelOnly="1" outline="0" fieldPosition="0">
        <references count="2">
          <reference field="2" count="1">
            <x v="414"/>
          </reference>
          <reference field="10" count="1" selected="0">
            <x v="270"/>
          </reference>
        </references>
      </pivotArea>
    </format>
    <format dxfId="1496">
      <pivotArea dataOnly="0" labelOnly="1" outline="0" fieldPosition="0">
        <references count="2">
          <reference field="2" count="2">
            <x v="572"/>
            <x v="573"/>
          </reference>
          <reference field="10" count="1" selected="0">
            <x v="271"/>
          </reference>
        </references>
      </pivotArea>
    </format>
    <format dxfId="1497">
      <pivotArea dataOnly="0" labelOnly="1" outline="0" fieldPosition="0">
        <references count="2">
          <reference field="2" count="2">
            <x v="490"/>
            <x v="627"/>
          </reference>
          <reference field="10" count="1" selected="0">
            <x v="272"/>
          </reference>
        </references>
      </pivotArea>
    </format>
    <format dxfId="1498">
      <pivotArea dataOnly="0" labelOnly="1" outline="0" fieldPosition="0">
        <references count="2">
          <reference field="2" count="3">
            <x v="321"/>
            <x v="613"/>
            <x v="616"/>
          </reference>
          <reference field="10" count="1" selected="0">
            <x v="273"/>
          </reference>
        </references>
      </pivotArea>
    </format>
    <format dxfId="1499">
      <pivotArea dataOnly="0" labelOnly="1" outline="0" fieldPosition="0">
        <references count="2">
          <reference field="2" count="1">
            <x v="615"/>
          </reference>
          <reference field="10" count="1" selected="0">
            <x v="274"/>
          </reference>
        </references>
      </pivotArea>
    </format>
    <format dxfId="1500">
      <pivotArea dataOnly="0" labelOnly="1" outline="0" fieldPosition="0">
        <references count="2">
          <reference field="2" count="1">
            <x v="609"/>
          </reference>
          <reference field="10" count="1" selected="0">
            <x v="275"/>
          </reference>
        </references>
      </pivotArea>
    </format>
    <format dxfId="1501">
      <pivotArea dataOnly="0" labelOnly="1" outline="0" fieldPosition="0">
        <references count="2">
          <reference field="2" count="1">
            <x v="524"/>
          </reference>
          <reference field="10" count="1" selected="0">
            <x v="276"/>
          </reference>
        </references>
      </pivotArea>
    </format>
    <format dxfId="1502">
      <pivotArea dataOnly="0" labelOnly="1" outline="0" fieldPosition="0">
        <references count="2">
          <reference field="2" count="3">
            <x v="125"/>
            <x v="126"/>
            <x v="127"/>
          </reference>
          <reference field="10" count="1" selected="0">
            <x v="277"/>
          </reference>
        </references>
      </pivotArea>
    </format>
    <format dxfId="1503">
      <pivotArea dataOnly="0" labelOnly="1" outline="0" fieldPosition="0">
        <references count="2">
          <reference field="2" count="2">
            <x v="259"/>
            <x v="260"/>
          </reference>
          <reference field="10" count="1" selected="0">
            <x v="278"/>
          </reference>
        </references>
      </pivotArea>
    </format>
    <format dxfId="1504">
      <pivotArea dataOnly="0" labelOnly="1" outline="0" fieldPosition="0">
        <references count="2">
          <reference field="2" count="2">
            <x v="5"/>
            <x v="195"/>
          </reference>
          <reference field="10" count="1" selected="0">
            <x v="279"/>
          </reference>
        </references>
      </pivotArea>
    </format>
    <format dxfId="1505">
      <pivotArea dataOnly="0" labelOnly="1" outline="0" fieldPosition="0">
        <references count="2">
          <reference field="2" count="2">
            <x v="151"/>
            <x v="152"/>
          </reference>
          <reference field="10" count="1" selected="0">
            <x v="280"/>
          </reference>
        </references>
      </pivotArea>
    </format>
    <format dxfId="1506">
      <pivotArea dataOnly="0" labelOnly="1" outline="0" fieldPosition="0">
        <references count="2">
          <reference field="2" count="1">
            <x v="470"/>
          </reference>
          <reference field="10" count="1" selected="0">
            <x v="281"/>
          </reference>
        </references>
      </pivotArea>
    </format>
    <format dxfId="1507">
      <pivotArea dataOnly="0" labelOnly="1" outline="0" fieldPosition="0">
        <references count="2">
          <reference field="2" count="1">
            <x v="590"/>
          </reference>
          <reference field="10" count="1" selected="0">
            <x v="282"/>
          </reference>
        </references>
      </pivotArea>
    </format>
    <format dxfId="1508">
      <pivotArea dataOnly="0" labelOnly="1" outline="0" fieldPosition="0">
        <references count="2">
          <reference field="2" count="1">
            <x v="63"/>
          </reference>
          <reference field="10" count="1" selected="0">
            <x v="283"/>
          </reference>
        </references>
      </pivotArea>
    </format>
    <format dxfId="1509">
      <pivotArea dataOnly="0" labelOnly="1" outline="0" fieldPosition="0">
        <references count="2">
          <reference field="2" count="1">
            <x v="402"/>
          </reference>
          <reference field="10" count="1" selected="0">
            <x v="284"/>
          </reference>
        </references>
      </pivotArea>
    </format>
    <format dxfId="1510">
      <pivotArea dataOnly="0" labelOnly="1" outline="0" fieldPosition="0">
        <references count="2">
          <reference field="2" count="1">
            <x v="119"/>
          </reference>
          <reference field="10" count="1" selected="0">
            <x v="287"/>
          </reference>
        </references>
      </pivotArea>
    </format>
    <format dxfId="1511">
      <pivotArea dataOnly="0" labelOnly="1" outline="0" fieldPosition="0">
        <references count="2">
          <reference field="2" count="1">
            <x v="56"/>
          </reference>
          <reference field="10" count="1" selected="0">
            <x v="289"/>
          </reference>
        </references>
      </pivotArea>
    </format>
    <format dxfId="1512">
      <pivotArea dataOnly="0" labelOnly="1" outline="0" fieldPosition="0">
        <references count="2">
          <reference field="2" count="1">
            <x v="209"/>
          </reference>
          <reference field="10" count="1" selected="0">
            <x v="290"/>
          </reference>
        </references>
      </pivotArea>
    </format>
    <format dxfId="1513">
      <pivotArea dataOnly="0" labelOnly="1" outline="0" fieldPosition="0">
        <references count="2">
          <reference field="2" count="1">
            <x v="194"/>
          </reference>
          <reference field="10" count="1" selected="0">
            <x v="291"/>
          </reference>
        </references>
      </pivotArea>
    </format>
    <format dxfId="1514">
      <pivotArea dataOnly="0" labelOnly="1" outline="0" fieldPosition="0">
        <references count="2">
          <reference field="2" count="1">
            <x v="610"/>
          </reference>
          <reference field="10" count="1" selected="0">
            <x v="292"/>
          </reference>
        </references>
      </pivotArea>
    </format>
    <format dxfId="1515">
      <pivotArea dataOnly="0" labelOnly="1" outline="0" fieldPosition="0">
        <references count="2">
          <reference field="2" count="1">
            <x v="603"/>
          </reference>
          <reference field="10" count="1" selected="0">
            <x v="293"/>
          </reference>
        </references>
      </pivotArea>
    </format>
    <format dxfId="1516">
      <pivotArea dataOnly="0" labelOnly="1" outline="0" fieldPosition="0">
        <references count="2">
          <reference field="2" count="3">
            <x v="202"/>
            <x v="203"/>
            <x v="497"/>
          </reference>
          <reference field="10" count="1" selected="0">
            <x v="294"/>
          </reference>
        </references>
      </pivotArea>
    </format>
    <format dxfId="1517">
      <pivotArea dataOnly="0" labelOnly="1" outline="0" fieldPosition="0">
        <references count="2">
          <reference field="2" count="1">
            <x v="390"/>
          </reference>
          <reference field="10" count="1" selected="0">
            <x v="295"/>
          </reference>
        </references>
      </pivotArea>
    </format>
    <format dxfId="1518">
      <pivotArea dataOnly="0" labelOnly="1" outline="0" fieldPosition="0">
        <references count="2">
          <reference field="2" count="1">
            <x v="646"/>
          </reference>
          <reference field="10" count="1" selected="0">
            <x v="296"/>
          </reference>
        </references>
      </pivotArea>
    </format>
    <format dxfId="1519">
      <pivotArea dataOnly="0" labelOnly="1" outline="0" fieldPosition="0">
        <references count="2">
          <reference field="2" count="1">
            <x v="261"/>
          </reference>
          <reference field="10" count="1" selected="0">
            <x v="297"/>
          </reference>
        </references>
      </pivotArea>
    </format>
    <format dxfId="1520">
      <pivotArea dataOnly="0" labelOnly="1" outline="0" fieldPosition="0">
        <references count="2">
          <reference field="2" count="6">
            <x v="110"/>
            <x v="201"/>
            <x v="362"/>
            <x v="495"/>
            <x v="496"/>
            <x v="657"/>
          </reference>
          <reference field="10" count="1" selected="0">
            <x v="298"/>
          </reference>
        </references>
      </pivotArea>
    </format>
    <format dxfId="1521">
      <pivotArea dataOnly="0" labelOnly="1" outline="0" fieldPosition="0">
        <references count="2">
          <reference field="2" count="1">
            <x v="638"/>
          </reference>
          <reference field="10" count="1" selected="0">
            <x v="299"/>
          </reference>
        </references>
      </pivotArea>
    </format>
    <format dxfId="1522">
      <pivotArea dataOnly="0" labelOnly="1" outline="0" fieldPosition="0">
        <references count="2">
          <reference field="2" count="2">
            <x v="212"/>
            <x v="213"/>
          </reference>
          <reference field="10" count="1" selected="0">
            <x v="300"/>
          </reference>
        </references>
      </pivotArea>
    </format>
    <format dxfId="1523">
      <pivotArea dataOnly="0" labelOnly="1" outline="0" fieldPosition="0">
        <references count="2">
          <reference field="2" count="1">
            <x v="644"/>
          </reference>
          <reference field="10" count="1" selected="0">
            <x v="301"/>
          </reference>
        </references>
      </pivotArea>
    </format>
    <format dxfId="1524">
      <pivotArea dataOnly="0" labelOnly="1" outline="0" fieldPosition="0">
        <references count="2">
          <reference field="2" count="1">
            <x v="109"/>
          </reference>
          <reference field="10" count="1" selected="0">
            <x v="303"/>
          </reference>
        </references>
      </pivotArea>
    </format>
    <format dxfId="1525">
      <pivotArea dataOnly="0" labelOnly="1" outline="0" fieldPosition="0">
        <references count="2">
          <reference field="2" count="2">
            <x v="342"/>
            <x v="553"/>
          </reference>
          <reference field="10" count="1" selected="0">
            <x v="304"/>
          </reference>
        </references>
      </pivotArea>
    </format>
    <format dxfId="1526">
      <pivotArea dataOnly="0" labelOnly="1" outline="0" fieldPosition="0">
        <references count="2">
          <reference field="2" count="2">
            <x v="619"/>
            <x v="620"/>
          </reference>
          <reference field="10" count="1" selected="0">
            <x v="305"/>
          </reference>
        </references>
      </pivotArea>
    </format>
    <format dxfId="1527">
      <pivotArea dataOnly="0" labelOnly="1" outline="0" fieldPosition="0">
        <references count="2">
          <reference field="2" count="1">
            <x v="445"/>
          </reference>
          <reference field="10" count="1" selected="0">
            <x v="306"/>
          </reference>
        </references>
      </pivotArea>
    </format>
    <format dxfId="1528">
      <pivotArea dataOnly="0" labelOnly="1" outline="0" fieldPosition="0">
        <references count="2">
          <reference field="2" count="1">
            <x v="282"/>
          </reference>
          <reference field="10" count="1" selected="0">
            <x v="307"/>
          </reference>
        </references>
      </pivotArea>
    </format>
    <format dxfId="1529">
      <pivotArea dataOnly="0" labelOnly="1" outline="0" fieldPosition="0">
        <references count="2">
          <reference field="2" count="6">
            <x v="97"/>
            <x v="115"/>
            <x v="116"/>
            <x v="440"/>
            <x v="480"/>
            <x v="668"/>
          </reference>
          <reference field="10" count="1" selected="0">
            <x v="309"/>
          </reference>
        </references>
      </pivotArea>
    </format>
    <format dxfId="1530">
      <pivotArea dataOnly="0" labelOnly="1" outline="0" fieldPosition="0">
        <references count="2">
          <reference field="2" count="3">
            <x v="118"/>
            <x v="369"/>
            <x v="372"/>
          </reference>
          <reference field="10" count="1" selected="0">
            <x v="311"/>
          </reference>
        </references>
      </pivotArea>
    </format>
    <format dxfId="1531">
      <pivotArea dataOnly="0" labelOnly="1" outline="0" fieldPosition="0">
        <references count="2">
          <reference field="2" count="1">
            <x v="278"/>
          </reference>
          <reference field="10" count="1" selected="0">
            <x v="314"/>
          </reference>
        </references>
      </pivotArea>
    </format>
    <format dxfId="1532">
      <pivotArea dataOnly="0" labelOnly="1" outline="0" fieldPosition="0">
        <references count="2">
          <reference field="2" count="1">
            <x v="268"/>
          </reference>
          <reference field="10" count="1" selected="0">
            <x v="315"/>
          </reference>
        </references>
      </pivotArea>
    </format>
    <format dxfId="1533">
      <pivotArea dataOnly="0" labelOnly="1" outline="0" fieldPosition="0">
        <references count="2">
          <reference field="2" count="1">
            <x v="92"/>
          </reference>
          <reference field="10" count="1" selected="0">
            <x v="317"/>
          </reference>
        </references>
      </pivotArea>
    </format>
    <format dxfId="1534">
      <pivotArea dataOnly="0" labelOnly="1" outline="0" fieldPosition="0">
        <references count="2">
          <reference field="2" count="1">
            <x v="61"/>
          </reference>
          <reference field="10" count="1" selected="0">
            <x v="318"/>
          </reference>
        </references>
      </pivotArea>
    </format>
    <format dxfId="1535">
      <pivotArea dataOnly="0" labelOnly="1" outline="0" fieldPosition="0">
        <references count="2">
          <reference field="2" count="1">
            <x v="21"/>
          </reference>
          <reference field="10" count="1" selected="0">
            <x v="319"/>
          </reference>
        </references>
      </pivotArea>
    </format>
    <format dxfId="1536">
      <pivotArea dataOnly="0" labelOnly="1" outline="0" fieldPosition="0">
        <references count="2">
          <reference field="2" count="1">
            <x v="630"/>
          </reference>
          <reference field="10" count="1" selected="0">
            <x v="320"/>
          </reference>
        </references>
      </pivotArea>
    </format>
    <format dxfId="1537">
      <pivotArea dataOnly="0" labelOnly="1" outline="0" fieldPosition="0">
        <references count="2">
          <reference field="2" count="2">
            <x v="232"/>
            <x v="244"/>
          </reference>
          <reference field="10" count="1" selected="0">
            <x v="321"/>
          </reference>
        </references>
      </pivotArea>
    </format>
    <format dxfId="1538">
      <pivotArea dataOnly="0" labelOnly="1" outline="0" fieldPosition="0">
        <references count="2">
          <reference field="2" count="1">
            <x v="412"/>
          </reference>
          <reference field="10" count="1" selected="0">
            <x v="322"/>
          </reference>
        </references>
      </pivotArea>
    </format>
    <format dxfId="1539">
      <pivotArea dataOnly="0" labelOnly="1" outline="0" fieldPosition="0">
        <references count="2">
          <reference field="2" count="3">
            <x v="347"/>
            <x v="430"/>
            <x v="431"/>
          </reference>
          <reference field="10" count="1" selected="0">
            <x v="325"/>
          </reference>
        </references>
      </pivotArea>
    </format>
    <format dxfId="1540">
      <pivotArea dataOnly="0" labelOnly="1" outline="0" fieldPosition="0">
        <references count="2">
          <reference field="2" count="1">
            <x v="340"/>
          </reference>
          <reference field="10" count="1" selected="0">
            <x v="326"/>
          </reference>
        </references>
      </pivotArea>
    </format>
    <format dxfId="1541">
      <pivotArea dataOnly="0" labelOnly="1" outline="0" fieldPosition="0">
        <references count="2">
          <reference field="2" count="1">
            <x v="227"/>
          </reference>
          <reference field="10" count="1" selected="0">
            <x v="327"/>
          </reference>
        </references>
      </pivotArea>
    </format>
    <format dxfId="1542">
      <pivotArea dataOnly="0" labelOnly="1" outline="0" fieldPosition="0">
        <references count="2">
          <reference field="2" count="1">
            <x v="81"/>
          </reference>
          <reference field="10" count="1" selected="0">
            <x v="328"/>
          </reference>
        </references>
      </pivotArea>
    </format>
    <format dxfId="1543">
      <pivotArea dataOnly="0" labelOnly="1" outline="0" fieldPosition="0">
        <references count="2">
          <reference field="2" count="1">
            <x v="22"/>
          </reference>
          <reference field="10" count="1" selected="0">
            <x v="329"/>
          </reference>
        </references>
      </pivotArea>
    </format>
    <format dxfId="1544">
      <pivotArea dataOnly="0" labelOnly="1" outline="0" fieldPosition="0">
        <references count="2">
          <reference field="2" count="1">
            <x v="552"/>
          </reference>
          <reference field="10" count="1" selected="0">
            <x v="330"/>
          </reference>
        </references>
      </pivotArea>
    </format>
    <format dxfId="1545">
      <pivotArea dataOnly="0" labelOnly="1" outline="0" fieldPosition="0">
        <references count="2">
          <reference field="2" count="1">
            <x v="433"/>
          </reference>
          <reference field="10" count="1" selected="0">
            <x v="331"/>
          </reference>
        </references>
      </pivotArea>
    </format>
    <format dxfId="1546">
      <pivotArea dataOnly="0" labelOnly="1" outline="0" fieldPosition="0">
        <references count="2">
          <reference field="2" count="2">
            <x v="284"/>
            <x v="336"/>
          </reference>
          <reference field="10" count="1" selected="0">
            <x v="332"/>
          </reference>
        </references>
      </pivotArea>
    </format>
    <format dxfId="1547">
      <pivotArea dataOnly="0" labelOnly="1" outline="0" fieldPosition="0">
        <references count="2">
          <reference field="2" count="2">
            <x v="214"/>
            <x v="432"/>
          </reference>
          <reference field="10" count="1" selected="0">
            <x v="333"/>
          </reference>
        </references>
      </pivotArea>
    </format>
    <format dxfId="1548">
      <pivotArea dataOnly="0" labelOnly="1" outline="0" fieldPosition="0">
        <references count="2">
          <reference field="2" count="2">
            <x v="79"/>
            <x v="80"/>
          </reference>
          <reference field="10" count="1" selected="0">
            <x v="334"/>
          </reference>
        </references>
      </pivotArea>
    </format>
    <format dxfId="1549">
      <pivotArea dataOnly="0" labelOnly="1" outline="0" fieldPosition="0">
        <references count="2">
          <reference field="2" count="1">
            <x v="600"/>
          </reference>
          <reference field="10" count="1" selected="0">
            <x v="335"/>
          </reference>
        </references>
      </pivotArea>
    </format>
    <format dxfId="1550">
      <pivotArea dataOnly="0" labelOnly="1" outline="0" fieldPosition="0">
        <references count="2">
          <reference field="2" count="3">
            <x v="237"/>
            <x v="467"/>
            <x v="606"/>
          </reference>
          <reference field="10" count="1" selected="0">
            <x v="337"/>
          </reference>
        </references>
      </pivotArea>
    </format>
    <format dxfId="1551">
      <pivotArea dataOnly="0" labelOnly="1" outline="0" fieldPosition="0">
        <references count="2">
          <reference field="2" count="1">
            <x v="249"/>
          </reference>
          <reference field="10" count="1" selected="0">
            <x v="340"/>
          </reference>
        </references>
      </pivotArea>
    </format>
    <format dxfId="1552">
      <pivotArea dataOnly="0" labelOnly="1" outline="0" fieldPosition="0">
        <references count="2">
          <reference field="2" count="1">
            <x v="247"/>
          </reference>
          <reference field="10" count="1" selected="0">
            <x v="342"/>
          </reference>
        </references>
      </pivotArea>
    </format>
    <format dxfId="1553">
      <pivotArea dataOnly="0" labelOnly="1" outline="0" fieldPosition="0">
        <references count="2">
          <reference field="2" count="1">
            <x v="329"/>
          </reference>
          <reference field="10" count="1" selected="0">
            <x v="343"/>
          </reference>
        </references>
      </pivotArea>
    </format>
    <format dxfId="1554">
      <pivotArea dataOnly="0" labelOnly="1" outline="0" fieldPosition="0">
        <references count="2">
          <reference field="2" count="1">
            <x v="193"/>
          </reference>
          <reference field="10" count="1" selected="0">
            <x v="344"/>
          </reference>
        </references>
      </pivotArea>
    </format>
    <format dxfId="1555">
      <pivotArea dataOnly="0" labelOnly="1" outline="0" fieldPosition="0">
        <references count="2">
          <reference field="2" count="4">
            <x v="13"/>
            <x v="385"/>
            <x v="546"/>
            <x v="547"/>
          </reference>
          <reference field="10" count="1" selected="0">
            <x v="345"/>
          </reference>
        </references>
      </pivotArea>
    </format>
    <format dxfId="1556">
      <pivotArea dataOnly="0" labelOnly="1" outline="0" fieldPosition="0">
        <references count="2">
          <reference field="2" count="1">
            <x v="153"/>
          </reference>
          <reference field="10" count="1" selected="0">
            <x v="346"/>
          </reference>
        </references>
      </pivotArea>
    </format>
    <format dxfId="1557">
      <pivotArea dataOnly="0" labelOnly="1" outline="0" fieldPosition="0">
        <references count="2">
          <reference field="2" count="1">
            <x v="250"/>
          </reference>
          <reference field="10" count="1" selected="0">
            <x v="351"/>
          </reference>
        </references>
      </pivotArea>
    </format>
    <format dxfId="1558">
      <pivotArea dataOnly="0" labelOnly="1" outline="0" fieldPosition="0">
        <references count="2">
          <reference field="2" count="1">
            <x v="42"/>
          </reference>
          <reference field="10" count="1" selected="0">
            <x v="352"/>
          </reference>
        </references>
      </pivotArea>
    </format>
    <format dxfId="1559">
      <pivotArea dataOnly="0" labelOnly="1" outline="0" fieldPosition="0">
        <references count="2">
          <reference field="2" count="1">
            <x v="417"/>
          </reference>
          <reference field="10" count="1" selected="0">
            <x v="353"/>
          </reference>
        </references>
      </pivotArea>
    </format>
    <format dxfId="1560">
      <pivotArea dataOnly="0" labelOnly="1" outline="0" fieldPosition="0">
        <references count="2">
          <reference field="2" count="1">
            <x v="24"/>
          </reference>
          <reference field="10" count="1" selected="0">
            <x v="355"/>
          </reference>
        </references>
      </pivotArea>
    </format>
    <format dxfId="1561">
      <pivotArea dataOnly="0" labelOnly="1" outline="0" fieldPosition="0">
        <references count="2">
          <reference field="2" count="1">
            <x v="90"/>
          </reference>
          <reference field="10" count="1" selected="0">
            <x v="356"/>
          </reference>
        </references>
      </pivotArea>
    </format>
    <format dxfId="1562">
      <pivotArea dataOnly="0" labelOnly="1" outline="0" fieldPosition="0">
        <references count="2">
          <reference field="2" count="4">
            <x v="355"/>
            <x v="455"/>
            <x v="473"/>
            <x v="477"/>
          </reference>
          <reference field="10" count="1" selected="0">
            <x v="357"/>
          </reference>
        </references>
      </pivotArea>
    </format>
    <format dxfId="1563">
      <pivotArea dataOnly="0" labelOnly="1" outline="0" fieldPosition="0">
        <references count="2">
          <reference field="2" count="1">
            <x v="288"/>
          </reference>
          <reference field="10" count="1" selected="0">
            <x v="358"/>
          </reference>
        </references>
      </pivotArea>
    </format>
    <format dxfId="1564">
      <pivotArea dataOnly="0" labelOnly="1" outline="0" fieldPosition="0">
        <references count="2">
          <reference field="2" count="1">
            <x v="173"/>
          </reference>
          <reference field="10" count="1" selected="0">
            <x v="359"/>
          </reference>
        </references>
      </pivotArea>
    </format>
    <format dxfId="1565">
      <pivotArea dataOnly="0" labelOnly="1" outline="0" fieldPosition="0">
        <references count="2">
          <reference field="2" count="2">
            <x v="376"/>
            <x v="384"/>
          </reference>
          <reference field="10" count="1" selected="0">
            <x v="360"/>
          </reference>
        </references>
      </pivotArea>
    </format>
    <format dxfId="1566">
      <pivotArea dataOnly="0" labelOnly="1" outline="0" fieldPosition="0">
        <references count="2">
          <reference field="2" count="1">
            <x v="230"/>
          </reference>
          <reference field="10" count="1" selected="0">
            <x v="362"/>
          </reference>
        </references>
      </pivotArea>
    </format>
    <format dxfId="1567">
      <pivotArea dataOnly="0" labelOnly="1" outline="0" fieldPosition="0">
        <references count="2">
          <reference field="2" count="1">
            <x v="39"/>
          </reference>
          <reference field="10" count="1" selected="0">
            <x v="363"/>
          </reference>
        </references>
      </pivotArea>
    </format>
    <format dxfId="1568">
      <pivotArea dataOnly="0" labelOnly="1" outline="0" fieldPosition="0">
        <references count="2">
          <reference field="2" count="1">
            <x v="328"/>
          </reference>
          <reference field="10" count="1" selected="0">
            <x v="364"/>
          </reference>
        </references>
      </pivotArea>
    </format>
    <format dxfId="1569">
      <pivotArea dataOnly="0" labelOnly="1" outline="0" fieldPosition="0">
        <references count="2">
          <reference field="2" count="1">
            <x v="154"/>
          </reference>
          <reference field="10" count="1" selected="0">
            <x v="365"/>
          </reference>
        </references>
      </pivotArea>
    </format>
    <format dxfId="1570">
      <pivotArea dataOnly="0" labelOnly="1" outline="0" fieldPosition="0">
        <references count="2">
          <reference field="2" count="1">
            <x v="120"/>
          </reference>
          <reference field="10" count="1" selected="0">
            <x v="366"/>
          </reference>
        </references>
      </pivotArea>
    </format>
    <format dxfId="1571">
      <pivotArea dataOnly="0" labelOnly="1" outline="0" fieldPosition="0">
        <references count="2">
          <reference field="2" count="1">
            <x v="177"/>
          </reference>
          <reference field="10" count="1" selected="0">
            <x v="370"/>
          </reference>
        </references>
      </pivotArea>
    </format>
    <format dxfId="1572">
      <pivotArea dataOnly="0" labelOnly="1" outline="0" fieldPosition="0">
        <references count="2">
          <reference field="2" count="2">
            <x v="17"/>
            <x v="222"/>
          </reference>
          <reference field="10" count="1" selected="0">
            <x v="371"/>
          </reference>
        </references>
      </pivotArea>
    </format>
    <format dxfId="1573">
      <pivotArea dataOnly="0" labelOnly="1" outline="0" fieldPosition="0">
        <references count="2">
          <reference field="2" count="1">
            <x v="78"/>
          </reference>
          <reference field="10" count="1" selected="0">
            <x v="372"/>
          </reference>
        </references>
      </pivotArea>
    </format>
    <format dxfId="1574">
      <pivotArea dataOnly="0" labelOnly="1" outline="0" fieldPosition="0">
        <references count="2">
          <reference field="2" count="1">
            <x v="325"/>
          </reference>
          <reference field="10" count="1" selected="0">
            <x v="373"/>
          </reference>
        </references>
      </pivotArea>
    </format>
    <format dxfId="1575">
      <pivotArea dataOnly="0" labelOnly="1" outline="0" fieldPosition="0">
        <references count="2">
          <reference field="2" count="1">
            <x v="544"/>
          </reference>
          <reference field="10" count="1" selected="0">
            <x v="374"/>
          </reference>
        </references>
      </pivotArea>
    </format>
    <format dxfId="1576">
      <pivotArea dataOnly="0" labelOnly="1" outline="0" fieldPosition="0">
        <references count="2">
          <reference field="2" count="1">
            <x v="283"/>
          </reference>
          <reference field="10" count="1" selected="0">
            <x v="375"/>
          </reference>
        </references>
      </pivotArea>
    </format>
    <format dxfId="1577">
      <pivotArea dataOnly="0" labelOnly="1" outline="0" fieldPosition="0">
        <references count="2">
          <reference field="2" count="1">
            <x v="192"/>
          </reference>
          <reference field="10" count="1" selected="0">
            <x v="376"/>
          </reference>
        </references>
      </pivotArea>
    </format>
    <format dxfId="1578">
      <pivotArea dataOnly="0" labelOnly="1" outline="0" fieldPosition="0">
        <references count="2">
          <reference field="2" count="1">
            <x v="196"/>
          </reference>
          <reference field="10" count="1" selected="0">
            <x v="377"/>
          </reference>
        </references>
      </pivotArea>
    </format>
    <format dxfId="1579">
      <pivotArea dataOnly="0" labelOnly="1" outline="0" fieldPosition="0">
        <references count="2">
          <reference field="2" count="2">
            <x v="239"/>
            <x v="240"/>
          </reference>
          <reference field="10" count="1" selected="0">
            <x v="378"/>
          </reference>
        </references>
      </pivotArea>
    </format>
    <format dxfId="1580">
      <pivotArea dataOnly="0" labelOnly="1" outline="0" fieldPosition="0">
        <references count="2">
          <reference field="2" count="2">
            <x v="633"/>
            <x v="634"/>
          </reference>
          <reference field="10" count="1" selected="0">
            <x v="380"/>
          </reference>
        </references>
      </pivotArea>
    </format>
    <format dxfId="1581">
      <pivotArea dataOnly="0" labelOnly="1" outline="0" fieldPosition="0">
        <references count="2">
          <reference field="2" count="5">
            <x v="474"/>
            <x v="475"/>
            <x v="476"/>
            <x v="556"/>
            <x v="663"/>
          </reference>
          <reference field="10" count="1" selected="0">
            <x v="381"/>
          </reference>
        </references>
      </pivotArea>
    </format>
    <format dxfId="1582">
      <pivotArea dataOnly="0" labelOnly="1" outline="0" fieldPosition="0">
        <references count="2">
          <reference field="2" count="2">
            <x v="536"/>
            <x v="625"/>
          </reference>
          <reference field="10" count="1" selected="0">
            <x v="383"/>
          </reference>
        </references>
      </pivotArea>
    </format>
    <format dxfId="1583">
      <pivotArea dataOnly="0" labelOnly="1" outline="0" fieldPosition="0">
        <references count="2">
          <reference field="2" count="1">
            <x v="85"/>
          </reference>
          <reference field="10" count="1" selected="0">
            <x v="384"/>
          </reference>
        </references>
      </pivotArea>
    </format>
    <format dxfId="1584">
      <pivotArea dataOnly="0" labelOnly="1" outline="0" fieldPosition="0">
        <references count="2">
          <reference field="2" count="2">
            <x v="165"/>
            <x v="166"/>
          </reference>
          <reference field="10" count="1" selected="0">
            <x v="387"/>
          </reference>
        </references>
      </pivotArea>
    </format>
    <format dxfId="1585">
      <pivotArea dataOnly="0" labelOnly="1" outline="0" fieldPosition="0">
        <references count="2">
          <reference field="2" count="1">
            <x v="331"/>
          </reference>
          <reference field="10" count="1" selected="0">
            <x v="389"/>
          </reference>
        </references>
      </pivotArea>
    </format>
    <format dxfId="1586">
      <pivotArea dataOnly="0" labelOnly="1" outline="0" fieldPosition="0">
        <references count="2">
          <reference field="2" count="5">
            <x v="8"/>
            <x v="9"/>
            <x v="563"/>
            <x v="658"/>
            <x v="659"/>
          </reference>
          <reference field="10" count="1" selected="0">
            <x v="391"/>
          </reference>
        </references>
      </pivotArea>
    </format>
    <format dxfId="1587">
      <pivotArea dataOnly="0" labelOnly="1" outline="0" fieldPosition="0">
        <references count="2">
          <reference field="2" count="1">
            <x v="1"/>
          </reference>
          <reference field="10" count="1" selected="0">
            <x v="393"/>
          </reference>
        </references>
      </pivotArea>
    </format>
    <format dxfId="1588">
      <pivotArea dataOnly="0" labelOnly="1" outline="0" fieldPosition="0">
        <references count="2">
          <reference field="2" count="1">
            <x v="18"/>
          </reference>
          <reference field="10" count="1" selected="0">
            <x v="394"/>
          </reference>
        </references>
      </pivotArea>
    </format>
    <format dxfId="1589">
      <pivotArea dataOnly="0" labelOnly="1" outline="0" fieldPosition="0">
        <references count="2">
          <reference field="2" count="1">
            <x v="266"/>
          </reference>
          <reference field="10" count="1" selected="0">
            <x v="395"/>
          </reference>
        </references>
      </pivotArea>
    </format>
    <format dxfId="1590">
      <pivotArea dataOnly="0" labelOnly="1" outline="0" fieldPosition="0">
        <references count="2">
          <reference field="2" count="1">
            <x v="360"/>
          </reference>
          <reference field="10" count="1" selected="0">
            <x v="396"/>
          </reference>
        </references>
      </pivotArea>
    </format>
    <format dxfId="1591">
      <pivotArea dataOnly="0" labelOnly="1" outline="0" fieldPosition="0">
        <references count="2">
          <reference field="2" count="3">
            <x v="280"/>
            <x v="308"/>
            <x v="501"/>
          </reference>
          <reference field="10" count="1" selected="0">
            <x v="397"/>
          </reference>
        </references>
      </pivotArea>
    </format>
    <format dxfId="1592">
      <pivotArea dataOnly="0" labelOnly="1" outline="0" fieldPosition="0">
        <references count="2">
          <reference field="2" count="1">
            <x v="577"/>
          </reference>
          <reference field="10" count="1" selected="0">
            <x v="398"/>
          </reference>
        </references>
      </pivotArea>
    </format>
    <format dxfId="1593">
      <pivotArea dataOnly="0" labelOnly="1" outline="0" fieldPosition="0">
        <references count="2">
          <reference field="2" count="5">
            <x v="439"/>
            <x v="448"/>
            <x v="449"/>
            <x v="451"/>
            <x v="452"/>
          </reference>
          <reference field="10" count="1" selected="0">
            <x v="399"/>
          </reference>
        </references>
      </pivotArea>
    </format>
    <format dxfId="1594">
      <pivotArea dataOnly="0" labelOnly="1" outline="0" fieldPosition="0">
        <references count="2">
          <reference field="2" count="1">
            <x v="464"/>
          </reference>
          <reference field="10" count="1" selected="0">
            <x v="400"/>
          </reference>
        </references>
      </pivotArea>
    </format>
    <format dxfId="1595">
      <pivotArea dataOnly="0" labelOnly="1" outline="0" fieldPosition="0">
        <references count="2">
          <reference field="2" count="1">
            <x v="410"/>
          </reference>
          <reference field="10" count="1" selected="0">
            <x v="404"/>
          </reference>
        </references>
      </pivotArea>
    </format>
    <format dxfId="1596">
      <pivotArea dataOnly="0" labelOnly="1" outline="0" fieldPosition="0">
        <references count="2">
          <reference field="2" count="1">
            <x v="333"/>
          </reference>
          <reference field="10" count="1" selected="0">
            <x v="405"/>
          </reference>
        </references>
      </pivotArea>
    </format>
    <format dxfId="1597">
      <pivotArea dataOnly="0" labelOnly="1" outline="0" fieldPosition="0">
        <references count="2">
          <reference field="2" count="2">
            <x v="348"/>
            <x v="492"/>
          </reference>
          <reference field="10" count="1" selected="0">
            <x v="406"/>
          </reference>
        </references>
      </pivotArea>
    </format>
    <format dxfId="1598">
      <pivotArea dataOnly="0" labelOnly="1" outline="0" fieldPosition="0">
        <references count="2">
          <reference field="2" count="1">
            <x v="117"/>
          </reference>
          <reference field="10" count="1" selected="0">
            <x v="407"/>
          </reference>
        </references>
      </pivotArea>
    </format>
    <format dxfId="1599">
      <pivotArea dataOnly="0" labelOnly="1" outline="0" fieldPosition="0">
        <references count="2">
          <reference field="2" count="1">
            <x v="305"/>
          </reference>
          <reference field="10" count="1" selected="0">
            <x v="408"/>
          </reference>
        </references>
      </pivotArea>
    </format>
    <format dxfId="1600">
      <pivotArea dataOnly="0" labelOnly="1" outline="0" fieldPosition="0">
        <references count="2">
          <reference field="2" count="1">
            <x v="411"/>
          </reference>
          <reference field="10" count="1" selected="0">
            <x v="409"/>
          </reference>
        </references>
      </pivotArea>
    </format>
    <format dxfId="1601">
      <pivotArea dataOnly="0" labelOnly="1" outline="0" fieldPosition="0">
        <references count="2">
          <reference field="2" count="2">
            <x v="44"/>
            <x v="220"/>
          </reference>
          <reference field="10" count="1" selected="0">
            <x v="411"/>
          </reference>
        </references>
      </pivotArea>
    </format>
    <format dxfId="1602">
      <pivotArea dataOnly="0" labelOnly="1" outline="0" fieldPosition="0">
        <references count="2">
          <reference field="2" count="4">
            <x v="489"/>
            <x v="628"/>
            <x v="629"/>
            <x v="631"/>
          </reference>
          <reference field="10" count="1" selected="0">
            <x v="412"/>
          </reference>
        </references>
      </pivotArea>
    </format>
    <format dxfId="1603">
      <pivotArea dataOnly="0" labelOnly="1" outline="0" fieldPosition="0">
        <references count="2">
          <reference field="2" count="2">
            <x v="3"/>
            <x v="421"/>
          </reference>
          <reference field="10" count="1" selected="0">
            <x v="413"/>
          </reference>
        </references>
      </pivotArea>
    </format>
    <format dxfId="1604">
      <pivotArea dataOnly="0" labelOnly="1" outline="0" fieldPosition="0">
        <references count="2">
          <reference field="2" count="4">
            <x v="70"/>
            <x v="394"/>
            <x v="395"/>
            <x v="396"/>
          </reference>
          <reference field="10" count="1" selected="0">
            <x v="414"/>
          </reference>
        </references>
      </pivotArea>
    </format>
    <format dxfId="1605">
      <pivotArea dataOnly="0" labelOnly="1" outline="0" fieldPosition="0">
        <references count="2">
          <reference field="2" count="1">
            <x v="66"/>
          </reference>
          <reference field="10" count="1" selected="0">
            <x v="415"/>
          </reference>
        </references>
      </pivotArea>
    </format>
    <format dxfId="1606">
      <pivotArea dataOnly="0" labelOnly="1" outline="0" fieldPosition="0">
        <references count="2">
          <reference field="2" count="3">
            <x v="28"/>
            <x v="345"/>
            <x v="643"/>
          </reference>
          <reference field="10" count="1" selected="0">
            <x v="417"/>
          </reference>
        </references>
      </pivotArea>
    </format>
    <format dxfId="1607">
      <pivotArea dataOnly="0" labelOnly="1" outline="0" fieldPosition="0">
        <references count="2">
          <reference field="2" count="1">
            <x v="2"/>
          </reference>
          <reference field="10" count="1" selected="0">
            <x v="419"/>
          </reference>
        </references>
      </pivotArea>
    </format>
    <format dxfId="1608">
      <pivotArea dataOnly="0" labelOnly="1" outline="0" fieldPosition="0">
        <references count="2">
          <reference field="2" count="1">
            <x v="155"/>
          </reference>
          <reference field="10" count="1" selected="0">
            <x v="422"/>
          </reference>
        </references>
      </pivotArea>
    </format>
    <format dxfId="1609">
      <pivotArea dataOnly="0" labelOnly="1" outline="0" fieldPosition="0">
        <references count="2">
          <reference field="2" count="2">
            <x v="388"/>
            <x v="528"/>
          </reference>
          <reference field="10" count="1" selected="0">
            <x v="423"/>
          </reference>
        </references>
      </pivotArea>
    </format>
    <format dxfId="1610">
      <pivotArea dataOnly="0" labelOnly="1" outline="0" fieldPosition="0">
        <references count="2">
          <reference field="2" count="2">
            <x v="636"/>
            <x v="637"/>
          </reference>
          <reference field="10" count="1" selected="0">
            <x v="424"/>
          </reference>
        </references>
      </pivotArea>
    </format>
    <format dxfId="1611">
      <pivotArea dataOnly="0" labelOnly="1" outline="0" fieldPosition="0">
        <references count="2">
          <reference field="2" count="1">
            <x v="293"/>
          </reference>
          <reference field="10" count="1" selected="0">
            <x v="425"/>
          </reference>
        </references>
      </pivotArea>
    </format>
    <format dxfId="1612">
      <pivotArea dataOnly="0" labelOnly="1" outline="0" fieldPosition="0">
        <references count="2">
          <reference field="2" count="1">
            <x v="132"/>
          </reference>
          <reference field="10" count="1" selected="0">
            <x v="426"/>
          </reference>
        </references>
      </pivotArea>
    </format>
    <format dxfId="1613">
      <pivotArea dataOnly="0" labelOnly="1" outline="0" fieldPosition="0">
        <references count="2">
          <reference field="2" count="1">
            <x v="624"/>
          </reference>
          <reference field="10" count="1" selected="0">
            <x v="428"/>
          </reference>
        </references>
      </pivotArea>
    </format>
    <format dxfId="1614">
      <pivotArea dataOnly="0" labelOnly="1" outline="0" fieldPosition="0">
        <references count="2">
          <reference field="2" count="3">
            <x v="248"/>
            <x v="550"/>
            <x v="555"/>
          </reference>
          <reference field="10" count="1" selected="0">
            <x v="429"/>
          </reference>
        </references>
      </pivotArea>
    </format>
    <format dxfId="1615">
      <pivotArea dataOnly="0" labelOnly="1" outline="0" fieldPosition="0">
        <references count="2">
          <reference field="2" count="1">
            <x v="59"/>
          </reference>
          <reference field="10" count="1" selected="0">
            <x v="430"/>
          </reference>
        </references>
      </pivotArea>
    </format>
    <format dxfId="1616">
      <pivotArea dataOnly="0" labelOnly="1" outline="0" fieldPosition="0">
        <references count="2">
          <reference field="2" count="2">
            <x v="58"/>
            <x v="373"/>
          </reference>
          <reference field="10" count="1" selected="0">
            <x v="431"/>
          </reference>
        </references>
      </pivotArea>
    </format>
    <format dxfId="1617">
      <pivotArea dataOnly="0" labelOnly="1" outline="0" fieldPosition="0">
        <references count="2">
          <reference field="2" count="1">
            <x v="60"/>
          </reference>
          <reference field="10" count="1" selected="0">
            <x v="432"/>
          </reference>
        </references>
      </pivotArea>
    </format>
    <format dxfId="1618">
      <pivotArea dataOnly="0" labelOnly="1" outline="0" fieldPosition="0">
        <references count="2">
          <reference field="2" count="1">
            <x v="175"/>
          </reference>
          <reference field="10" count="1" selected="0">
            <x v="433"/>
          </reference>
        </references>
      </pivotArea>
    </format>
    <format dxfId="1619">
      <pivotArea dataOnly="0" labelOnly="1" outline="0" fieldPosition="0">
        <references count="2">
          <reference field="2" count="2">
            <x v="279"/>
            <x v="346"/>
          </reference>
          <reference field="10" count="1" selected="0">
            <x v="434"/>
          </reference>
        </references>
      </pivotArea>
    </format>
    <format dxfId="1620">
      <pivotArea dataOnly="0" labelOnly="1" outline="0" fieldPosition="0">
        <references count="2">
          <reference field="2" count="1">
            <x v="591"/>
          </reference>
          <reference field="10" count="1" selected="0">
            <x v="435"/>
          </reference>
        </references>
      </pivotArea>
    </format>
    <format dxfId="1621">
      <pivotArea dataOnly="0" labelOnly="1" outline="0" fieldPosition="0">
        <references count="2">
          <reference field="2" count="1">
            <x v="67"/>
          </reference>
          <reference field="10" count="1" selected="0">
            <x v="436"/>
          </reference>
        </references>
      </pivotArea>
    </format>
    <format dxfId="1622">
      <pivotArea dataOnly="0" labelOnly="1" outline="0" fieldPosition="0">
        <references count="2">
          <reference field="2" count="1">
            <x v="258"/>
          </reference>
          <reference field="10" count="1" selected="0">
            <x v="437"/>
          </reference>
        </references>
      </pivotArea>
    </format>
    <format dxfId="1623">
      <pivotArea dataOnly="0" labelOnly="1" outline="0" fieldPosition="0">
        <references count="2">
          <reference field="2" count="2">
            <x v="76"/>
            <x v="300"/>
          </reference>
          <reference field="10" count="1" selected="0">
            <x v="438"/>
          </reference>
        </references>
      </pivotArea>
    </format>
    <format dxfId="1624">
      <pivotArea dataOnly="0" labelOnly="1" outline="0" fieldPosition="0">
        <references count="2">
          <reference field="2" count="1">
            <x v="614"/>
          </reference>
          <reference field="10" count="1" selected="0">
            <x v="439"/>
          </reference>
        </references>
      </pivotArea>
    </format>
    <format dxfId="1625">
      <pivotArea dataOnly="0" labelOnly="1" outline="0" fieldPosition="0">
        <references count="2">
          <reference field="2" count="1">
            <x v="231"/>
          </reference>
          <reference field="10" count="1" selected="0">
            <x v="440"/>
          </reference>
        </references>
      </pivotArea>
    </format>
    <format dxfId="1626">
      <pivotArea dataOnly="0" labelOnly="1" outline="0" fieldPosition="0">
        <references count="2">
          <reference field="2" count="1">
            <x v="597"/>
          </reference>
          <reference field="10" count="1" selected="0">
            <x v="441"/>
          </reference>
        </references>
      </pivotArea>
    </format>
    <format dxfId="1627">
      <pivotArea dataOnly="0" labelOnly="1" outline="0" fieldPosition="0">
        <references count="2">
          <reference field="2" count="2">
            <x v="71"/>
            <x v="465"/>
          </reference>
          <reference field="10" count="1" selected="0">
            <x v="442"/>
          </reference>
        </references>
      </pivotArea>
    </format>
    <format dxfId="1628">
      <pivotArea dataOnly="0" labelOnly="1" outline="0" fieldPosition="0">
        <references count="2">
          <reference field="2" count="1">
            <x v="7"/>
          </reference>
          <reference field="10" count="1" selected="0">
            <x v="444"/>
          </reference>
        </references>
      </pivotArea>
    </format>
    <format dxfId="1629">
      <pivotArea dataOnly="0" labelOnly="1" outline="0" fieldPosition="0">
        <references count="2">
          <reference field="2" count="1">
            <x v="57"/>
          </reference>
          <reference field="10" count="1" selected="0">
            <x v="445"/>
          </reference>
        </references>
      </pivotArea>
    </format>
    <format dxfId="1630">
      <pivotArea dataOnly="0" labelOnly="1" outline="0" fieldPosition="0">
        <references count="2">
          <reference field="2" count="1">
            <x v="444"/>
          </reference>
          <reference field="10" count="1" selected="0">
            <x v="446"/>
          </reference>
        </references>
      </pivotArea>
    </format>
    <format dxfId="1631">
      <pivotArea dataOnly="0" labelOnly="1" outline="0" fieldPosition="0">
        <references count="2">
          <reference field="2" count="1">
            <x v="642"/>
          </reference>
          <reference field="10" count="1" selected="0">
            <x v="447"/>
          </reference>
        </references>
      </pivotArea>
    </format>
    <format dxfId="1632">
      <pivotArea dataOnly="0" labelOnly="1" outline="0" fieldPosition="0">
        <references count="2">
          <reference field="2" count="1">
            <x v="618"/>
          </reference>
          <reference field="10" count="1" selected="0">
            <x v="448"/>
          </reference>
        </references>
      </pivotArea>
    </format>
    <format dxfId="1633">
      <pivotArea dataOnly="0" labelOnly="1" outline="0" fieldPosition="0">
        <references count="2">
          <reference field="2" count="2">
            <x v="221"/>
            <x v="387"/>
          </reference>
          <reference field="10" count="1" selected="0">
            <x v="449"/>
          </reference>
        </references>
      </pivotArea>
    </format>
    <format dxfId="1634">
      <pivotArea dataOnly="0" labelOnly="1" outline="0" fieldPosition="0">
        <references count="2">
          <reference field="2" count="1">
            <x v="20"/>
          </reference>
          <reference field="10" count="1" selected="0">
            <x v="451"/>
          </reference>
        </references>
      </pivotArea>
    </format>
    <format dxfId="1635">
      <pivotArea dataOnly="0" labelOnly="1" outline="0" fieldPosition="0">
        <references count="2">
          <reference field="2" count="1">
            <x v="413"/>
          </reference>
          <reference field="10" count="1" selected="0">
            <x v="452"/>
          </reference>
        </references>
      </pivotArea>
    </format>
    <format dxfId="1636">
      <pivotArea dataOnly="0" labelOnly="1" outline="0" fieldPosition="0">
        <references count="2">
          <reference field="2" count="1">
            <x v="191"/>
          </reference>
          <reference field="10" count="1" selected="0">
            <x v="453"/>
          </reference>
        </references>
      </pivotArea>
    </format>
    <format dxfId="1637">
      <pivotArea dataOnly="0" labelOnly="1" outline="0" fieldPosition="0">
        <references count="2">
          <reference field="2" count="1">
            <x v="416"/>
          </reference>
          <reference field="10" count="1" selected="0">
            <x v="454"/>
          </reference>
        </references>
      </pivotArea>
    </format>
    <format dxfId="1638">
      <pivotArea dataOnly="0" labelOnly="1" outline="0" fieldPosition="0">
        <references count="2">
          <reference field="2" count="1">
            <x v="124"/>
          </reference>
          <reference field="10" count="1" selected="0">
            <x v="455"/>
          </reference>
        </references>
      </pivotArea>
    </format>
    <format dxfId="1639">
      <pivotArea dataOnly="0" labelOnly="1" outline="0" fieldPosition="0">
        <references count="2">
          <reference field="2" count="1">
            <x v="487"/>
          </reference>
          <reference field="10" count="1" selected="0">
            <x v="456"/>
          </reference>
        </references>
      </pivotArea>
    </format>
    <format dxfId="1640">
      <pivotArea dataOnly="0" labelOnly="1" outline="0" fieldPosition="0">
        <references count="2">
          <reference field="2" count="1">
            <x v="324"/>
          </reference>
          <reference field="10" count="1" selected="0">
            <x v="457"/>
          </reference>
        </references>
      </pivotArea>
    </format>
    <format dxfId="1641">
      <pivotArea dataOnly="0" labelOnly="1" outline="0" fieldPosition="0">
        <references count="2">
          <reference field="2" count="1">
            <x v="299"/>
          </reference>
          <reference field="10" count="1" selected="0">
            <x v="458"/>
          </reference>
        </references>
      </pivotArea>
    </format>
    <format dxfId="1642">
      <pivotArea dataOnly="0" labelOnly="1" outline="0" fieldPosition="0">
        <references count="2">
          <reference field="2" count="1">
            <x v="131"/>
          </reference>
          <reference field="10" count="1" selected="0">
            <x v="459"/>
          </reference>
        </references>
      </pivotArea>
    </format>
    <format dxfId="1643">
      <pivotArea dataOnly="0" labelOnly="1" outline="0" fieldPosition="0">
        <references count="2">
          <reference field="2" count="1">
            <x v="399"/>
          </reference>
          <reference field="10" count="1" selected="0">
            <x v="460"/>
          </reference>
        </references>
      </pivotArea>
    </format>
    <format dxfId="1644">
      <pivotArea dataOnly="0" labelOnly="1" outline="0" fieldPosition="0">
        <references count="2">
          <reference field="2" count="3">
            <x v="143"/>
            <x v="400"/>
            <x v="661"/>
          </reference>
          <reference field="10" count="1" selected="0">
            <x v="463"/>
          </reference>
        </references>
      </pivotArea>
    </format>
    <format dxfId="1645">
      <pivotArea dataOnly="0" labelOnly="1" outline="0" fieldPosition="0">
        <references count="2">
          <reference field="2" count="1">
            <x v="38"/>
          </reference>
          <reference field="10" count="1" selected="0">
            <x v="464"/>
          </reference>
        </references>
      </pivotArea>
    </format>
    <format dxfId="1646">
      <pivotArea dataOnly="0" labelOnly="1" outline="0" fieldPosition="0">
        <references count="2">
          <reference field="2" count="2">
            <x v="322"/>
            <x v="323"/>
          </reference>
          <reference field="10" count="1" selected="0">
            <x v="467"/>
          </reference>
        </references>
      </pivotArea>
    </format>
    <format dxfId="1647">
      <pivotArea dataOnly="0" labelOnly="1" outline="0" fieldPosition="0">
        <references count="2">
          <reference field="2" count="1">
            <x v="108"/>
          </reference>
          <reference field="10" count="1" selected="0">
            <x v="468"/>
          </reference>
        </references>
      </pivotArea>
    </format>
    <format dxfId="1648">
      <pivotArea dataOnly="0" labelOnly="1" outline="0" fieldPosition="0">
        <references count="2">
          <reference field="2" count="1">
            <x v="406"/>
          </reference>
          <reference field="10" count="1" selected="0">
            <x v="469"/>
          </reference>
        </references>
      </pivotArea>
    </format>
    <format dxfId="1649">
      <pivotArea dataOnly="0" labelOnly="1" outline="0" fieldPosition="0">
        <references count="2">
          <reference field="2" count="4">
            <x v="167"/>
            <x v="168"/>
            <x v="169"/>
            <x v="170"/>
          </reference>
          <reference field="10" count="1" selected="0">
            <x v="470"/>
          </reference>
        </references>
      </pivotArea>
    </format>
    <format dxfId="1650">
      <pivotArea dataOnly="0" labelOnly="1" outline="0" fieldPosition="0">
        <references count="2">
          <reference field="2" count="2">
            <x v="304"/>
            <x v="621"/>
          </reference>
          <reference field="10" count="1" selected="0">
            <x v="472"/>
          </reference>
        </references>
      </pivotArea>
    </format>
    <format dxfId="1651">
      <pivotArea dataOnly="0" labelOnly="1" outline="0" fieldPosition="0">
        <references count="2">
          <reference field="2" count="1">
            <x v="217"/>
          </reference>
          <reference field="10" count="1" selected="0">
            <x v="475"/>
          </reference>
        </references>
      </pivotArea>
    </format>
    <format dxfId="1652">
      <pivotArea dataOnly="0" labelOnly="1" outline="0" fieldPosition="0">
        <references count="2">
          <reference field="2" count="1">
            <x v="241"/>
          </reference>
          <reference field="10" count="1" selected="0">
            <x v="479"/>
          </reference>
        </references>
      </pivotArea>
    </format>
    <format dxfId="1653">
      <pivotArea dataOnly="0" labelOnly="1" outline="0" fieldPosition="0">
        <references count="2">
          <reference field="2" count="2">
            <x v="15"/>
            <x v="233"/>
          </reference>
          <reference field="10" count="1" selected="0">
            <x v="481"/>
          </reference>
        </references>
      </pivotArea>
    </format>
    <format dxfId="1654">
      <pivotArea dataOnly="0" labelOnly="1" outline="0" fieldPosition="0">
        <references count="2">
          <reference field="2" count="1">
            <x v="96"/>
          </reference>
          <reference field="10" count="1" selected="0">
            <x v="482"/>
          </reference>
        </references>
      </pivotArea>
    </format>
    <format dxfId="1655">
      <pivotArea dataOnly="0" labelOnly="1" outline="0" fieldPosition="0">
        <references count="2">
          <reference field="2" count="1">
            <x v="407"/>
          </reference>
          <reference field="10" count="1" selected="0">
            <x v="483"/>
          </reference>
        </references>
      </pivotArea>
    </format>
    <format dxfId="1656">
      <pivotArea dataOnly="0" labelOnly="1" outline="0" fieldPosition="0">
        <references count="2">
          <reference field="2" count="3">
            <x v="309"/>
            <x v="310"/>
            <x v="641"/>
          </reference>
          <reference field="10" count="1" selected="0">
            <x v="484"/>
          </reference>
        </references>
      </pivotArea>
    </format>
    <format dxfId="1657">
      <pivotArea dataOnly="0" labelOnly="1" outline="0" fieldPosition="0">
        <references count="2">
          <reference field="2" count="1">
            <x v="148"/>
          </reference>
          <reference field="10" count="1" selected="0">
            <x v="485"/>
          </reference>
        </references>
      </pivotArea>
    </format>
    <format dxfId="1658">
      <pivotArea dataOnly="0" labelOnly="1" outline="0" fieldPosition="0">
        <references count="2">
          <reference field="2" count="1">
            <x v="207"/>
          </reference>
          <reference field="10" count="1" selected="0">
            <x v="486"/>
          </reference>
        </references>
      </pivotArea>
    </format>
    <format dxfId="1659">
      <pivotArea dataOnly="0" labelOnly="1" outline="0" fieldPosition="0">
        <references count="2">
          <reference field="2" count="1">
            <x v="277"/>
          </reference>
          <reference field="10" count="1" selected="0">
            <x v="487"/>
          </reference>
        </references>
      </pivotArea>
    </format>
    <format dxfId="1660">
      <pivotArea dataOnly="0" labelOnly="1" outline="0" fieldPosition="0">
        <references count="2">
          <reference field="2" count="2">
            <x v="545"/>
            <x v="667"/>
          </reference>
          <reference field="10" count="1" selected="0">
            <x v="488"/>
          </reference>
        </references>
      </pivotArea>
    </format>
    <format dxfId="1661">
      <pivotArea dataOnly="0" labelOnly="1" outline="0" fieldPosition="0">
        <references count="2">
          <reference field="2" count="2">
            <x v="48"/>
            <x v="50"/>
          </reference>
          <reference field="10" count="1" selected="0">
            <x v="489"/>
          </reference>
        </references>
      </pivotArea>
    </format>
    <format dxfId="1662">
      <pivotArea dataOnly="0" labelOnly="1" outline="0" fieldPosition="0">
        <references count="2">
          <reference field="2" count="2">
            <x v="215"/>
            <x v="216"/>
          </reference>
          <reference field="10" count="1" selected="0">
            <x v="490"/>
          </reference>
        </references>
      </pivotArea>
    </format>
    <format dxfId="1663">
      <pivotArea dataOnly="0" labelOnly="1" outline="0" fieldPosition="0">
        <references count="2">
          <reference field="2" count="2">
            <x v="471"/>
            <x v="529"/>
          </reference>
          <reference field="10" count="1" selected="0">
            <x v="493"/>
          </reference>
        </references>
      </pivotArea>
    </format>
    <format dxfId="1664">
      <pivotArea dataOnly="0" labelOnly="1" outline="0" fieldPosition="0">
        <references count="2">
          <reference field="2" count="2">
            <x v="301"/>
            <x v="526"/>
          </reference>
          <reference field="10" count="1" selected="0">
            <x v="494"/>
          </reference>
        </references>
      </pivotArea>
    </format>
    <format dxfId="1665">
      <pivotArea dataOnly="0" labelOnly="1" outline="0" fieldPosition="0">
        <references count="2">
          <reference field="2" count="2">
            <x v="174"/>
            <x v="438"/>
          </reference>
          <reference field="10" count="1" selected="0">
            <x v="495"/>
          </reference>
        </references>
      </pivotArea>
    </format>
    <format dxfId="1666">
      <pivotArea dataOnly="0" labelOnly="1" outline="0" fieldPosition="0">
        <references count="2">
          <reference field="2" count="1">
            <x v="516"/>
          </reference>
          <reference field="10" count="1" selected="0">
            <x v="496"/>
          </reference>
        </references>
      </pivotArea>
    </format>
    <format dxfId="1667">
      <pivotArea dataOnly="0" labelOnly="1" outline="0" fieldPosition="0">
        <references count="2">
          <reference field="2" count="2">
            <x v="505"/>
            <x v="506"/>
          </reference>
          <reference field="10" count="1" selected="0">
            <x v="497"/>
          </reference>
        </references>
      </pivotArea>
    </format>
    <format dxfId="1668">
      <pivotArea dataOnly="0" labelOnly="1" outline="0" fieldPosition="0">
        <references count="2">
          <reference field="2" count="1">
            <x v="664"/>
          </reference>
          <reference field="10" count="1" selected="0">
            <x v="498"/>
          </reference>
        </references>
      </pivotArea>
    </format>
    <format dxfId="1669">
      <pivotArea dataOnly="0" labelOnly="1" outline="0" fieldPosition="0">
        <references count="2">
          <reference field="2" count="1">
            <x v="185"/>
          </reference>
          <reference field="10" count="1" selected="0">
            <x v="499"/>
          </reference>
        </references>
      </pivotArea>
    </format>
    <format dxfId="1670">
      <pivotArea dataOnly="0" labelOnly="1" outline="0" fieldPosition="0">
        <references count="2">
          <reference field="2" count="1">
            <x v="234"/>
          </reference>
          <reference field="10" count="1" selected="0">
            <x v="500"/>
          </reference>
        </references>
      </pivotArea>
    </format>
    <format dxfId="1671">
      <pivotArea dataOnly="0" labelOnly="1" outline="0" fieldPosition="0">
        <references count="2">
          <reference field="2" count="1">
            <x v="171"/>
          </reference>
          <reference field="10" count="1" selected="0">
            <x v="501"/>
          </reference>
        </references>
      </pivotArea>
    </format>
    <format dxfId="1672">
      <pivotArea dataOnly="0" labelOnly="1" outline="0" fieldPosition="0">
        <references count="2">
          <reference field="2" count="1">
            <x v="478"/>
          </reference>
          <reference field="10" count="1" selected="0">
            <x v="502"/>
          </reference>
        </references>
      </pivotArea>
    </format>
    <format dxfId="1673">
      <pivotArea dataOnly="0" labelOnly="1" outline="0" fieldPosition="0">
        <references count="2">
          <reference field="2" count="1">
            <x v="565"/>
          </reference>
          <reference field="10" count="1" selected="0">
            <x v="503"/>
          </reference>
        </references>
      </pivotArea>
    </format>
    <format dxfId="1674">
      <pivotArea dataOnly="0" labelOnly="1" outline="0" fieldPosition="0">
        <references count="2">
          <reference field="2" count="1">
            <x v="137"/>
          </reference>
          <reference field="10" count="1" selected="0">
            <x v="504"/>
          </reference>
        </references>
      </pivotArea>
    </format>
    <format dxfId="1675">
      <pivotArea dataOnly="0" labelOnly="1" outline="0" fieldPosition="0">
        <references count="2">
          <reference field="2" count="2">
            <x v="156"/>
            <x v="504"/>
          </reference>
          <reference field="10" count="1" selected="0">
            <x v="506"/>
          </reference>
        </references>
      </pivotArea>
    </format>
    <format dxfId="1676">
      <pivotArea dataOnly="0" labelOnly="1" outline="0" fieldPosition="0">
        <references count="2">
          <reference field="2" count="2">
            <x v="357"/>
            <x v="366"/>
          </reference>
          <reference field="10" count="1" selected="0">
            <x v="507"/>
          </reference>
        </references>
      </pivotArea>
    </format>
    <format dxfId="1677">
      <pivotArea dataOnly="0" labelOnly="1" outline="0" fieldPosition="0">
        <references count="2">
          <reference field="2" count="1">
            <x v="635"/>
          </reference>
          <reference field="10" count="1" selected="0">
            <x v="508"/>
          </reference>
        </references>
      </pivotArea>
    </format>
    <format dxfId="1678">
      <pivotArea dataOnly="0" labelOnly="1" outline="0" fieldPosition="0">
        <references count="2">
          <reference field="2" count="1">
            <x v="509"/>
          </reference>
          <reference field="10" count="1" selected="0">
            <x v="510"/>
          </reference>
        </references>
      </pivotArea>
    </format>
    <format dxfId="1679">
      <pivotArea dataOnly="0" labelOnly="1" outline="0" fieldPosition="0">
        <references count="2">
          <reference field="2" count="8">
            <x v="138"/>
            <x v="223"/>
            <x v="392"/>
            <x v="393"/>
            <x v="436"/>
            <x v="437"/>
            <x v="441"/>
            <x v="596"/>
          </reference>
          <reference field="10" count="1" selected="0">
            <x v="513"/>
          </reference>
        </references>
      </pivotArea>
    </format>
    <format dxfId="1680">
      <pivotArea dataOnly="0" labelOnly="1" outline="0" fieldPosition="0">
        <references count="2">
          <reference field="2" count="2">
            <x v="208"/>
            <x v="403"/>
          </reference>
          <reference field="10" count="1" selected="0">
            <x v="515"/>
          </reference>
        </references>
      </pivotArea>
    </format>
    <format dxfId="1681">
      <pivotArea dataOnly="0" labelOnly="1" outline="0" fieldPosition="0">
        <references count="2">
          <reference field="2" count="2">
            <x v="374"/>
            <x v="375"/>
          </reference>
          <reference field="10" count="1" selected="0">
            <x v="516"/>
          </reference>
        </references>
      </pivotArea>
    </format>
    <format dxfId="1682">
      <pivotArea dataOnly="0" labelOnly="1" outline="0" fieldPosition="0">
        <references count="2">
          <reference field="2" count="3">
            <x v="488"/>
            <x v="491"/>
            <x v="626"/>
          </reference>
          <reference field="10" count="1" selected="0">
            <x v="517"/>
          </reference>
        </references>
      </pivotArea>
    </format>
    <format dxfId="1683">
      <pivotArea dataOnly="0" labelOnly="1" outline="0" fieldPosition="0">
        <references count="2">
          <reference field="2" count="1">
            <x v="200"/>
          </reference>
          <reference field="10" count="1" selected="0">
            <x v="518"/>
          </reference>
        </references>
      </pivotArea>
    </format>
    <format dxfId="1684">
      <pivotArea dataOnly="0" labelOnly="1" outline="0" fieldPosition="0">
        <references count="2">
          <reference field="2" count="2">
            <x v="144"/>
            <x v="145"/>
          </reference>
          <reference field="10" count="1" selected="0">
            <x v="519"/>
          </reference>
        </references>
      </pivotArea>
    </format>
    <format dxfId="1685">
      <pivotArea dataOnly="0" labelOnly="1" outline="0" fieldPosition="0">
        <references count="2">
          <reference field="2" count="1">
            <x v="389"/>
          </reference>
          <reference field="10" count="1" selected="0">
            <x v="520"/>
          </reference>
        </references>
      </pivotArea>
    </format>
    <format dxfId="1686">
      <pivotArea dataOnly="0" labelOnly="1" outline="0" fieldPosition="0">
        <references count="2">
          <reference field="2" count="1">
            <x v="623"/>
          </reference>
          <reference field="10" count="1" selected="0">
            <x v="521"/>
          </reference>
        </references>
      </pivotArea>
    </format>
    <format dxfId="1687">
      <pivotArea dataOnly="0" labelOnly="1" outline="0" fieldPosition="0">
        <references count="2">
          <reference field="2" count="2">
            <x v="469"/>
            <x v="479"/>
          </reference>
          <reference field="10" count="1" selected="0">
            <x v="522"/>
          </reference>
        </references>
      </pivotArea>
    </format>
    <format dxfId="1688">
      <pivotArea dataOnly="0" labelOnly="1" outline="0" fieldPosition="0">
        <references count="2">
          <reference field="2" count="3">
            <x v="35"/>
            <x v="37"/>
            <x v="446"/>
          </reference>
          <reference field="10" count="1" selected="0">
            <x v="523"/>
          </reference>
        </references>
      </pivotArea>
    </format>
    <format dxfId="1689">
      <pivotArea dataOnly="0" labelOnly="1" outline="0" fieldPosition="0">
        <references count="2">
          <reference field="2" count="1">
            <x v="149"/>
          </reference>
          <reference field="10" count="1" selected="0">
            <x v="524"/>
          </reference>
        </references>
      </pivotArea>
    </format>
    <format dxfId="1690">
      <pivotArea dataOnly="0" labelOnly="1" outline="0" fieldPosition="0">
        <references count="2">
          <reference field="2" count="1">
            <x v="302"/>
          </reference>
          <reference field="10" count="1" selected="0">
            <x v="525"/>
          </reference>
        </references>
      </pivotArea>
    </format>
    <format dxfId="1691">
      <pivotArea dataOnly="0" labelOnly="1" outline="0" fieldPosition="0">
        <references count="2">
          <reference field="2" count="1">
            <x v="64"/>
          </reference>
          <reference field="10" count="1" selected="0">
            <x v="526"/>
          </reference>
        </references>
      </pivotArea>
    </format>
    <format dxfId="1692">
      <pivotArea dataOnly="0" labelOnly="1" outline="0" fieldPosition="0">
        <references count="2">
          <reference field="2" count="1">
            <x v="157"/>
          </reference>
          <reference field="10" count="1" selected="0">
            <x v="527"/>
          </reference>
        </references>
      </pivotArea>
    </format>
    <format dxfId="1693">
      <pivotArea dataOnly="0" labelOnly="1" outline="0" fieldPosition="0">
        <references count="2">
          <reference field="2" count="1">
            <x v="408"/>
          </reference>
          <reference field="10" count="1" selected="0">
            <x v="528"/>
          </reference>
        </references>
      </pivotArea>
    </format>
    <format dxfId="1694">
      <pivotArea dataOnly="0" labelOnly="1" outline="0" fieldPosition="0">
        <references count="2">
          <reference field="2" count="1">
            <x v="364"/>
          </reference>
          <reference field="10" count="1" selected="0">
            <x v="529"/>
          </reference>
        </references>
      </pivotArea>
    </format>
    <format dxfId="1695">
      <pivotArea dataOnly="0" labelOnly="1" outline="0" fieldPosition="0">
        <references count="2">
          <reference field="2" count="2">
            <x v="269"/>
            <x v="270"/>
          </reference>
          <reference field="10" count="1" selected="0">
            <x v="530"/>
          </reference>
        </references>
      </pivotArea>
    </format>
    <format dxfId="1696">
      <pivotArea dataOnly="0" labelOnly="1" outline="0" fieldPosition="0">
        <references count="2">
          <reference field="2" count="1">
            <x v="450"/>
          </reference>
          <reference field="10" count="1" selected="0">
            <x v="532"/>
          </reference>
        </references>
      </pivotArea>
    </format>
    <format dxfId="1697">
      <pivotArea dataOnly="0" labelOnly="1" outline="0" fieldPosition="0">
        <references count="2">
          <reference field="2" count="5">
            <x v="235"/>
            <x v="429"/>
            <x v="507"/>
            <x v="639"/>
            <x v="640"/>
          </reference>
          <reference field="10" count="1" selected="0">
            <x v="533"/>
          </reference>
        </references>
      </pivotArea>
    </format>
    <format dxfId="1698">
      <pivotArea dataOnly="0" labelOnly="1" outline="0" fieldPosition="0">
        <references count="2">
          <reference field="2" count="1">
            <x v="380"/>
          </reference>
          <reference field="10" count="1" selected="0">
            <x v="534"/>
          </reference>
        </references>
      </pivotArea>
    </format>
    <format dxfId="1699">
      <pivotArea dataOnly="0" labelOnly="1" outline="0" fieldPosition="0">
        <references count="2">
          <reference field="2" count="1">
            <x v="292"/>
          </reference>
          <reference field="10" count="1" selected="0">
            <x v="535"/>
          </reference>
        </references>
      </pivotArea>
    </format>
    <format dxfId="1700">
      <pivotArea dataOnly="0" labelOnly="1" outline="0" fieldPosition="0">
        <references count="2">
          <reference field="2" count="1">
            <x v="69"/>
          </reference>
          <reference field="10" count="1" selected="0">
            <x v="536"/>
          </reference>
        </references>
      </pivotArea>
    </format>
    <format dxfId="1701">
      <pivotArea dataOnly="0" labelOnly="1" outline="0" fieldPosition="0">
        <references count="2">
          <reference field="2" count="1">
            <x v="578"/>
          </reference>
          <reference field="10" count="1" selected="0">
            <x v="537"/>
          </reference>
        </references>
      </pivotArea>
    </format>
    <format dxfId="1702">
      <pivotArea dataOnly="0" labelOnly="1" outline="0" fieldPosition="0">
        <references count="2">
          <reference field="2" count="1">
            <x v="188"/>
          </reference>
          <reference field="10" count="1" selected="0">
            <x v="538"/>
          </reference>
        </references>
      </pivotArea>
    </format>
    <format dxfId="1703">
      <pivotArea dataOnly="0" labelOnly="1" outline="0" fieldPosition="0">
        <references count="2">
          <reference field="2" count="1">
            <x v="422"/>
          </reference>
          <reference field="10" count="1" selected="0">
            <x v="539"/>
          </reference>
        </references>
      </pivotArea>
    </format>
    <format dxfId="1704">
      <pivotArea dataOnly="0" labelOnly="1" outline="0" fieldPosition="0">
        <references count="2">
          <reference field="2" count="1">
            <x v="344"/>
          </reference>
          <reference field="10" count="1" selected="0">
            <x v="540"/>
          </reference>
        </references>
      </pivotArea>
    </format>
    <format dxfId="1705">
      <pivotArea dataOnly="0" labelOnly="1" outline="0" fieldPosition="0">
        <references count="2">
          <reference field="2" count="1">
            <x v="19"/>
          </reference>
          <reference field="10" count="1" selected="0">
            <x v="542"/>
          </reference>
        </references>
      </pivotArea>
    </format>
    <format dxfId="1706">
      <pivotArea dataOnly="0" labelOnly="1" outline="0" fieldPosition="0">
        <references count="2">
          <reference field="2" count="1">
            <x v="485"/>
          </reference>
          <reference field="10" count="1" selected="0">
            <x v="546"/>
          </reference>
        </references>
      </pivotArea>
    </format>
    <format dxfId="1707">
      <pivotArea dataOnly="0" labelOnly="1" outline="0" fieldPosition="0">
        <references count="2">
          <reference field="2" count="1">
            <x v="368"/>
          </reference>
          <reference field="10" count="1" selected="0">
            <x v="547"/>
          </reference>
        </references>
      </pivotArea>
    </format>
    <format dxfId="1708">
      <pivotArea dataOnly="0" labelOnly="1" outline="0" fieldPosition="0">
        <references count="2">
          <reference field="2" count="1">
            <x v="589"/>
          </reference>
          <reference field="10" count="1" selected="0">
            <x v="548"/>
          </reference>
        </references>
      </pivotArea>
    </format>
    <format dxfId="1709">
      <pivotArea field="21" type="button" dataOnly="0" labelOnly="1" outline="0" axis="axisPage" fieldPosition="0"/>
    </format>
    <format dxfId="1710">
      <pivotArea field="10" type="button" dataOnly="0" labelOnly="1" outline="0" axis="axisRow" fieldPosition="0"/>
    </format>
    <format dxfId="1711">
      <pivotArea dataOnly="0" labelOnly="1" outline="0" fieldPosition="0">
        <references count="1">
          <reference field="10" count="1">
            <x v="0"/>
          </reference>
        </references>
      </pivotArea>
    </format>
    <format dxfId="1712">
      <pivotArea dataOnly="0" labelOnly="1" outline="0" fieldPosition="0">
        <references count="1">
          <reference field="10" count="1" defaultSubtotal="1">
            <x v="0"/>
          </reference>
        </references>
      </pivotArea>
    </format>
    <format dxfId="1713">
      <pivotArea dataOnly="0" labelOnly="1" outline="0" fieldPosition="0">
        <references count="1">
          <reference field="10" count="1">
            <x v="2"/>
          </reference>
        </references>
      </pivotArea>
    </format>
    <format dxfId="1714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1715">
      <pivotArea dataOnly="0" labelOnly="1" outline="0" fieldPosition="0">
        <references count="1">
          <reference field="10" count="1">
            <x v="3"/>
          </reference>
        </references>
      </pivotArea>
    </format>
    <format dxfId="1716">
      <pivotArea dataOnly="0" labelOnly="1" outline="0" fieldPosition="0">
        <references count="1">
          <reference field="10" count="1" defaultSubtotal="1">
            <x v="3"/>
          </reference>
        </references>
      </pivotArea>
    </format>
    <format dxfId="1717">
      <pivotArea dataOnly="0" labelOnly="1" outline="0" fieldPosition="0">
        <references count="1">
          <reference field="10" count="1">
            <x v="4"/>
          </reference>
        </references>
      </pivotArea>
    </format>
    <format dxfId="1718">
      <pivotArea dataOnly="0" labelOnly="1" outline="0" fieldPosition="0">
        <references count="1">
          <reference field="10" count="1" defaultSubtotal="1">
            <x v="4"/>
          </reference>
        </references>
      </pivotArea>
    </format>
    <format dxfId="1719">
      <pivotArea dataOnly="0" labelOnly="1" outline="0" fieldPosition="0">
        <references count="1">
          <reference field="10" count="1">
            <x v="6"/>
          </reference>
        </references>
      </pivotArea>
    </format>
    <format dxfId="1720">
      <pivotArea dataOnly="0" labelOnly="1" outline="0" fieldPosition="0">
        <references count="1">
          <reference field="10" count="1" defaultSubtotal="1">
            <x v="6"/>
          </reference>
        </references>
      </pivotArea>
    </format>
    <format dxfId="1721">
      <pivotArea dataOnly="0" labelOnly="1" outline="0" fieldPosition="0">
        <references count="1">
          <reference field="10" count="1">
            <x v="7"/>
          </reference>
        </references>
      </pivotArea>
    </format>
    <format dxfId="1722">
      <pivotArea dataOnly="0" labelOnly="1" outline="0" fieldPosition="0">
        <references count="1">
          <reference field="10" count="1" defaultSubtotal="1">
            <x v="7"/>
          </reference>
        </references>
      </pivotArea>
    </format>
    <format dxfId="1723">
      <pivotArea dataOnly="0" labelOnly="1" outline="0" fieldPosition="0">
        <references count="1">
          <reference field="10" count="1">
            <x v="9"/>
          </reference>
        </references>
      </pivotArea>
    </format>
    <format dxfId="1724">
      <pivotArea dataOnly="0" labelOnly="1" outline="0" fieldPosition="0">
        <references count="1">
          <reference field="10" count="1" defaultSubtotal="1">
            <x v="9"/>
          </reference>
        </references>
      </pivotArea>
    </format>
    <format dxfId="1725">
      <pivotArea dataOnly="0" labelOnly="1" outline="0" fieldPosition="0">
        <references count="1">
          <reference field="10" count="1">
            <x v="10"/>
          </reference>
        </references>
      </pivotArea>
    </format>
    <format dxfId="1726">
      <pivotArea dataOnly="0" labelOnly="1" outline="0" fieldPosition="0">
        <references count="1">
          <reference field="10" count="1" defaultSubtotal="1">
            <x v="10"/>
          </reference>
        </references>
      </pivotArea>
    </format>
    <format dxfId="1727">
      <pivotArea dataOnly="0" labelOnly="1" outline="0" fieldPosition="0">
        <references count="1">
          <reference field="10" count="1">
            <x v="13"/>
          </reference>
        </references>
      </pivotArea>
    </format>
    <format dxfId="1728">
      <pivotArea dataOnly="0" labelOnly="1" outline="0" fieldPosition="0">
        <references count="1">
          <reference field="10" count="1" defaultSubtotal="1">
            <x v="13"/>
          </reference>
        </references>
      </pivotArea>
    </format>
    <format dxfId="1729">
      <pivotArea dataOnly="0" labelOnly="1" outline="0" fieldPosition="0">
        <references count="1">
          <reference field="10" count="1">
            <x v="14"/>
          </reference>
        </references>
      </pivotArea>
    </format>
    <format dxfId="1730">
      <pivotArea dataOnly="0" labelOnly="1" outline="0" fieldPosition="0">
        <references count="1">
          <reference field="10" count="1" defaultSubtotal="1">
            <x v="14"/>
          </reference>
        </references>
      </pivotArea>
    </format>
    <format dxfId="1731">
      <pivotArea dataOnly="0" labelOnly="1" outline="0" fieldPosition="0">
        <references count="1">
          <reference field="10" count="1">
            <x v="15"/>
          </reference>
        </references>
      </pivotArea>
    </format>
    <format dxfId="1732">
      <pivotArea dataOnly="0" labelOnly="1" outline="0" fieldPosition="0">
        <references count="1">
          <reference field="10" count="1" defaultSubtotal="1">
            <x v="15"/>
          </reference>
        </references>
      </pivotArea>
    </format>
    <format dxfId="1733">
      <pivotArea dataOnly="0" labelOnly="1" outline="0" fieldPosition="0">
        <references count="1">
          <reference field="10" count="1">
            <x v="16"/>
          </reference>
        </references>
      </pivotArea>
    </format>
    <format dxfId="1734">
      <pivotArea dataOnly="0" labelOnly="1" outline="0" fieldPosition="0">
        <references count="1">
          <reference field="10" count="1" defaultSubtotal="1">
            <x v="16"/>
          </reference>
        </references>
      </pivotArea>
    </format>
    <format dxfId="1735">
      <pivotArea dataOnly="0" labelOnly="1" outline="0" fieldPosition="0">
        <references count="1">
          <reference field="10" count="1">
            <x v="17"/>
          </reference>
        </references>
      </pivotArea>
    </format>
    <format dxfId="1736">
      <pivotArea dataOnly="0" labelOnly="1" outline="0" fieldPosition="0">
        <references count="1">
          <reference field="10" count="1" defaultSubtotal="1">
            <x v="17"/>
          </reference>
        </references>
      </pivotArea>
    </format>
    <format dxfId="1737">
      <pivotArea dataOnly="0" labelOnly="1" outline="0" fieldPosition="0">
        <references count="1">
          <reference field="10" count="1">
            <x v="18"/>
          </reference>
        </references>
      </pivotArea>
    </format>
    <format dxfId="1738">
      <pivotArea dataOnly="0" labelOnly="1" outline="0" fieldPosition="0">
        <references count="1">
          <reference field="10" count="1" defaultSubtotal="1">
            <x v="18"/>
          </reference>
        </references>
      </pivotArea>
    </format>
    <format dxfId="1739">
      <pivotArea dataOnly="0" labelOnly="1" outline="0" fieldPosition="0">
        <references count="1">
          <reference field="10" count="1">
            <x v="20"/>
          </reference>
        </references>
      </pivotArea>
    </format>
    <format dxfId="1740">
      <pivotArea dataOnly="0" labelOnly="1" outline="0" fieldPosition="0">
        <references count="1">
          <reference field="10" count="1" defaultSubtotal="1">
            <x v="20"/>
          </reference>
        </references>
      </pivotArea>
    </format>
    <format dxfId="1741">
      <pivotArea dataOnly="0" labelOnly="1" outline="0" fieldPosition="0">
        <references count="1">
          <reference field="10" count="1">
            <x v="22"/>
          </reference>
        </references>
      </pivotArea>
    </format>
    <format dxfId="1742">
      <pivotArea dataOnly="0" labelOnly="1" outline="0" fieldPosition="0">
        <references count="1">
          <reference field="10" count="1" defaultSubtotal="1">
            <x v="22"/>
          </reference>
        </references>
      </pivotArea>
    </format>
    <format dxfId="1743">
      <pivotArea dataOnly="0" labelOnly="1" outline="0" fieldPosition="0">
        <references count="1">
          <reference field="10" count="1">
            <x v="23"/>
          </reference>
        </references>
      </pivotArea>
    </format>
    <format dxfId="1744">
      <pivotArea dataOnly="0" labelOnly="1" outline="0" fieldPosition="0">
        <references count="1">
          <reference field="10" count="1" defaultSubtotal="1">
            <x v="23"/>
          </reference>
        </references>
      </pivotArea>
    </format>
    <format dxfId="1745">
      <pivotArea dataOnly="0" labelOnly="1" outline="0" fieldPosition="0">
        <references count="1">
          <reference field="10" count="1">
            <x v="24"/>
          </reference>
        </references>
      </pivotArea>
    </format>
    <format dxfId="1746">
      <pivotArea dataOnly="0" labelOnly="1" outline="0" fieldPosition="0">
        <references count="1">
          <reference field="10" count="1" defaultSubtotal="1">
            <x v="24"/>
          </reference>
        </references>
      </pivotArea>
    </format>
    <format dxfId="1747">
      <pivotArea dataOnly="0" labelOnly="1" outline="0" fieldPosition="0">
        <references count="1">
          <reference field="10" count="1">
            <x v="26"/>
          </reference>
        </references>
      </pivotArea>
    </format>
    <format dxfId="1748">
      <pivotArea dataOnly="0" labelOnly="1" outline="0" fieldPosition="0">
        <references count="1">
          <reference field="10" count="1" defaultSubtotal="1">
            <x v="26"/>
          </reference>
        </references>
      </pivotArea>
    </format>
    <format dxfId="1749">
      <pivotArea dataOnly="0" labelOnly="1" outline="0" fieldPosition="0">
        <references count="1">
          <reference field="10" count="1">
            <x v="27"/>
          </reference>
        </references>
      </pivotArea>
    </format>
    <format dxfId="1750">
      <pivotArea dataOnly="0" labelOnly="1" outline="0" fieldPosition="0">
        <references count="1">
          <reference field="10" count="1" defaultSubtotal="1">
            <x v="27"/>
          </reference>
        </references>
      </pivotArea>
    </format>
    <format dxfId="1751">
      <pivotArea dataOnly="0" labelOnly="1" outline="0" fieldPosition="0">
        <references count="1">
          <reference field="10" count="1">
            <x v="28"/>
          </reference>
        </references>
      </pivotArea>
    </format>
    <format dxfId="1752">
      <pivotArea dataOnly="0" labelOnly="1" outline="0" fieldPosition="0">
        <references count="1">
          <reference field="10" count="1" defaultSubtotal="1">
            <x v="28"/>
          </reference>
        </references>
      </pivotArea>
    </format>
    <format dxfId="1753">
      <pivotArea dataOnly="0" labelOnly="1" outline="0" fieldPosition="0">
        <references count="1">
          <reference field="10" count="1">
            <x v="29"/>
          </reference>
        </references>
      </pivotArea>
    </format>
    <format dxfId="1754">
      <pivotArea dataOnly="0" labelOnly="1" outline="0" fieldPosition="0">
        <references count="1">
          <reference field="10" count="1" defaultSubtotal="1">
            <x v="29"/>
          </reference>
        </references>
      </pivotArea>
    </format>
    <format dxfId="1755">
      <pivotArea dataOnly="0" labelOnly="1" outline="0" fieldPosition="0">
        <references count="1">
          <reference field="10" count="1">
            <x v="31"/>
          </reference>
        </references>
      </pivotArea>
    </format>
    <format dxfId="1756">
      <pivotArea dataOnly="0" labelOnly="1" outline="0" fieldPosition="0">
        <references count="1">
          <reference field="10" count="1" defaultSubtotal="1">
            <x v="31"/>
          </reference>
        </references>
      </pivotArea>
    </format>
    <format dxfId="1757">
      <pivotArea dataOnly="0" labelOnly="1" outline="0" fieldPosition="0">
        <references count="1">
          <reference field="10" count="1">
            <x v="32"/>
          </reference>
        </references>
      </pivotArea>
    </format>
    <format dxfId="1758">
      <pivotArea dataOnly="0" labelOnly="1" outline="0" fieldPosition="0">
        <references count="1">
          <reference field="10" count="1" defaultSubtotal="1">
            <x v="32"/>
          </reference>
        </references>
      </pivotArea>
    </format>
    <format dxfId="1759">
      <pivotArea dataOnly="0" labelOnly="1" outline="0" fieldPosition="0">
        <references count="1">
          <reference field="10" count="1">
            <x v="33"/>
          </reference>
        </references>
      </pivotArea>
    </format>
    <format dxfId="1760">
      <pivotArea dataOnly="0" labelOnly="1" outline="0" fieldPosition="0">
        <references count="1">
          <reference field="10" count="1" defaultSubtotal="1">
            <x v="33"/>
          </reference>
        </references>
      </pivotArea>
    </format>
    <format dxfId="1761">
      <pivotArea dataOnly="0" labelOnly="1" outline="0" fieldPosition="0">
        <references count="1">
          <reference field="10" count="1">
            <x v="37"/>
          </reference>
        </references>
      </pivotArea>
    </format>
    <format dxfId="1762">
      <pivotArea dataOnly="0" labelOnly="1" outline="0" fieldPosition="0">
        <references count="1">
          <reference field="10" count="1" defaultSubtotal="1">
            <x v="37"/>
          </reference>
        </references>
      </pivotArea>
    </format>
    <format dxfId="1763">
      <pivotArea dataOnly="0" labelOnly="1" outline="0" fieldPosition="0">
        <references count="1">
          <reference field="10" count="1">
            <x v="39"/>
          </reference>
        </references>
      </pivotArea>
    </format>
    <format dxfId="1764">
      <pivotArea dataOnly="0" labelOnly="1" outline="0" fieldPosition="0">
        <references count="1">
          <reference field="10" count="1" defaultSubtotal="1">
            <x v="39"/>
          </reference>
        </references>
      </pivotArea>
    </format>
    <format dxfId="1765">
      <pivotArea dataOnly="0" labelOnly="1" outline="0" fieldPosition="0">
        <references count="1">
          <reference field="10" count="1">
            <x v="40"/>
          </reference>
        </references>
      </pivotArea>
    </format>
    <format dxfId="1766">
      <pivotArea dataOnly="0" labelOnly="1" outline="0" fieldPosition="0">
        <references count="1">
          <reference field="10" count="1" defaultSubtotal="1">
            <x v="40"/>
          </reference>
        </references>
      </pivotArea>
    </format>
    <format dxfId="1767">
      <pivotArea dataOnly="0" labelOnly="1" outline="0" fieldPosition="0">
        <references count="1">
          <reference field="10" count="1">
            <x v="43"/>
          </reference>
        </references>
      </pivotArea>
    </format>
    <format dxfId="1768">
      <pivotArea dataOnly="0" labelOnly="1" outline="0" fieldPosition="0">
        <references count="1">
          <reference field="10" count="1" defaultSubtotal="1">
            <x v="43"/>
          </reference>
        </references>
      </pivotArea>
    </format>
    <format dxfId="1769">
      <pivotArea dataOnly="0" labelOnly="1" outline="0" fieldPosition="0">
        <references count="1">
          <reference field="10" count="1">
            <x v="44"/>
          </reference>
        </references>
      </pivotArea>
    </format>
    <format dxfId="1770">
      <pivotArea dataOnly="0" labelOnly="1" outline="0" fieldPosition="0">
        <references count="1">
          <reference field="10" count="1" defaultSubtotal="1">
            <x v="44"/>
          </reference>
        </references>
      </pivotArea>
    </format>
    <format dxfId="1771">
      <pivotArea dataOnly="0" labelOnly="1" outline="0" fieldPosition="0">
        <references count="1">
          <reference field="10" count="1">
            <x v="46"/>
          </reference>
        </references>
      </pivotArea>
    </format>
    <format dxfId="1772">
      <pivotArea dataOnly="0" labelOnly="1" outline="0" fieldPosition="0">
        <references count="1">
          <reference field="10" count="1" defaultSubtotal="1">
            <x v="46"/>
          </reference>
        </references>
      </pivotArea>
    </format>
    <format dxfId="1773">
      <pivotArea dataOnly="0" labelOnly="1" outline="0" fieldPosition="0">
        <references count="1">
          <reference field="10" count="1">
            <x v="48"/>
          </reference>
        </references>
      </pivotArea>
    </format>
    <format dxfId="1774">
      <pivotArea dataOnly="0" labelOnly="1" outline="0" fieldPosition="0">
        <references count="1">
          <reference field="10" count="1" defaultSubtotal="1">
            <x v="48"/>
          </reference>
        </references>
      </pivotArea>
    </format>
    <format dxfId="1775">
      <pivotArea dataOnly="0" labelOnly="1" outline="0" fieldPosition="0">
        <references count="1">
          <reference field="10" count="1">
            <x v="49"/>
          </reference>
        </references>
      </pivotArea>
    </format>
    <format dxfId="1776">
      <pivotArea dataOnly="0" labelOnly="1" outline="0" fieldPosition="0">
        <references count="1">
          <reference field="10" count="1" defaultSubtotal="1">
            <x v="49"/>
          </reference>
        </references>
      </pivotArea>
    </format>
    <format dxfId="1777">
      <pivotArea dataOnly="0" labelOnly="1" outline="0" fieldPosition="0">
        <references count="1">
          <reference field="10" count="1">
            <x v="50"/>
          </reference>
        </references>
      </pivotArea>
    </format>
    <format dxfId="1778">
      <pivotArea dataOnly="0" labelOnly="1" outline="0" fieldPosition="0">
        <references count="1">
          <reference field="10" count="1" defaultSubtotal="1">
            <x v="50"/>
          </reference>
        </references>
      </pivotArea>
    </format>
    <format dxfId="1779">
      <pivotArea dataOnly="0" labelOnly="1" outline="0" fieldPosition="0">
        <references count="1">
          <reference field="10" count="1">
            <x v="52"/>
          </reference>
        </references>
      </pivotArea>
    </format>
    <format dxfId="1780">
      <pivotArea dataOnly="0" labelOnly="1" outline="0" fieldPosition="0">
        <references count="1">
          <reference field="10" count="1" defaultSubtotal="1">
            <x v="52"/>
          </reference>
        </references>
      </pivotArea>
    </format>
    <format dxfId="1781">
      <pivotArea dataOnly="0" labelOnly="1" outline="0" fieldPosition="0">
        <references count="1">
          <reference field="10" count="1">
            <x v="53"/>
          </reference>
        </references>
      </pivotArea>
    </format>
    <format dxfId="1782">
      <pivotArea dataOnly="0" labelOnly="1" outline="0" fieldPosition="0">
        <references count="1">
          <reference field="10" count="1" defaultSubtotal="1">
            <x v="53"/>
          </reference>
        </references>
      </pivotArea>
    </format>
    <format dxfId="1783">
      <pivotArea dataOnly="0" labelOnly="1" outline="0" fieldPosition="0">
        <references count="1">
          <reference field="10" count="1">
            <x v="57"/>
          </reference>
        </references>
      </pivotArea>
    </format>
    <format dxfId="1784">
      <pivotArea dataOnly="0" labelOnly="1" outline="0" fieldPosition="0">
        <references count="1">
          <reference field="10" count="1" defaultSubtotal="1">
            <x v="57"/>
          </reference>
        </references>
      </pivotArea>
    </format>
    <format dxfId="1785">
      <pivotArea dataOnly="0" labelOnly="1" outline="0" fieldPosition="0">
        <references count="1">
          <reference field="10" count="1">
            <x v="58"/>
          </reference>
        </references>
      </pivotArea>
    </format>
    <format dxfId="1786">
      <pivotArea dataOnly="0" labelOnly="1" outline="0" fieldPosition="0">
        <references count="1">
          <reference field="10" count="1" defaultSubtotal="1">
            <x v="58"/>
          </reference>
        </references>
      </pivotArea>
    </format>
    <format dxfId="1787">
      <pivotArea dataOnly="0" labelOnly="1" outline="0" fieldPosition="0">
        <references count="1">
          <reference field="10" count="1">
            <x v="59"/>
          </reference>
        </references>
      </pivotArea>
    </format>
    <format dxfId="1788">
      <pivotArea dataOnly="0" labelOnly="1" outline="0" fieldPosition="0">
        <references count="1">
          <reference field="10" count="1" defaultSubtotal="1">
            <x v="59"/>
          </reference>
        </references>
      </pivotArea>
    </format>
    <format dxfId="1789">
      <pivotArea dataOnly="0" labelOnly="1" outline="0" fieldPosition="0">
        <references count="1">
          <reference field="10" count="1">
            <x v="61"/>
          </reference>
        </references>
      </pivotArea>
    </format>
    <format dxfId="1790">
      <pivotArea dataOnly="0" labelOnly="1" outline="0" fieldPosition="0">
        <references count="1">
          <reference field="10" count="1" defaultSubtotal="1">
            <x v="61"/>
          </reference>
        </references>
      </pivotArea>
    </format>
    <format dxfId="1791">
      <pivotArea dataOnly="0" labelOnly="1" outline="0" fieldPosition="0">
        <references count="1">
          <reference field="10" count="1">
            <x v="64"/>
          </reference>
        </references>
      </pivotArea>
    </format>
    <format dxfId="1792">
      <pivotArea dataOnly="0" labelOnly="1" outline="0" fieldPosition="0">
        <references count="1">
          <reference field="10" count="1" defaultSubtotal="1">
            <x v="64"/>
          </reference>
        </references>
      </pivotArea>
    </format>
    <format dxfId="1793">
      <pivotArea dataOnly="0" labelOnly="1" outline="0" fieldPosition="0">
        <references count="1">
          <reference field="10" count="1">
            <x v="65"/>
          </reference>
        </references>
      </pivotArea>
    </format>
    <format dxfId="1794">
      <pivotArea dataOnly="0" labelOnly="1" outline="0" fieldPosition="0">
        <references count="1">
          <reference field="10" count="1" defaultSubtotal="1">
            <x v="65"/>
          </reference>
        </references>
      </pivotArea>
    </format>
    <format dxfId="1795">
      <pivotArea dataOnly="0" labelOnly="1" outline="0" fieldPosition="0">
        <references count="1">
          <reference field="10" count="1">
            <x v="66"/>
          </reference>
        </references>
      </pivotArea>
    </format>
    <format dxfId="1796">
      <pivotArea dataOnly="0" labelOnly="1" outline="0" fieldPosition="0">
        <references count="1">
          <reference field="10" count="1" defaultSubtotal="1">
            <x v="66"/>
          </reference>
        </references>
      </pivotArea>
    </format>
    <format dxfId="1797">
      <pivotArea dataOnly="0" labelOnly="1" outline="0" fieldPosition="0">
        <references count="1">
          <reference field="10" count="1">
            <x v="67"/>
          </reference>
        </references>
      </pivotArea>
    </format>
    <format dxfId="1798">
      <pivotArea dataOnly="0" labelOnly="1" outline="0" fieldPosition="0">
        <references count="1">
          <reference field="10" count="1" defaultSubtotal="1">
            <x v="67"/>
          </reference>
        </references>
      </pivotArea>
    </format>
    <format dxfId="1799">
      <pivotArea dataOnly="0" labelOnly="1" outline="0" fieldPosition="0">
        <references count="1">
          <reference field="10" count="1">
            <x v="68"/>
          </reference>
        </references>
      </pivotArea>
    </format>
    <format dxfId="1800">
      <pivotArea dataOnly="0" labelOnly="1" outline="0" fieldPosition="0">
        <references count="1">
          <reference field="10" count="1" defaultSubtotal="1">
            <x v="68"/>
          </reference>
        </references>
      </pivotArea>
    </format>
    <format dxfId="1801">
      <pivotArea dataOnly="0" labelOnly="1" outline="0" fieldPosition="0">
        <references count="1">
          <reference field="10" count="1">
            <x v="69"/>
          </reference>
        </references>
      </pivotArea>
    </format>
    <format dxfId="1802">
      <pivotArea dataOnly="0" labelOnly="1" outline="0" fieldPosition="0">
        <references count="1">
          <reference field="10" count="1" defaultSubtotal="1">
            <x v="69"/>
          </reference>
        </references>
      </pivotArea>
    </format>
    <format dxfId="1803">
      <pivotArea dataOnly="0" labelOnly="1" outline="0" fieldPosition="0">
        <references count="1">
          <reference field="10" count="1">
            <x v="72"/>
          </reference>
        </references>
      </pivotArea>
    </format>
    <format dxfId="1804">
      <pivotArea dataOnly="0" labelOnly="1" outline="0" fieldPosition="0">
        <references count="1">
          <reference field="10" count="1" defaultSubtotal="1">
            <x v="72"/>
          </reference>
        </references>
      </pivotArea>
    </format>
    <format dxfId="1805">
      <pivotArea dataOnly="0" labelOnly="1" outline="0" fieldPosition="0">
        <references count="1">
          <reference field="10" count="1">
            <x v="73"/>
          </reference>
        </references>
      </pivotArea>
    </format>
    <format dxfId="1806">
      <pivotArea dataOnly="0" labelOnly="1" outline="0" fieldPosition="0">
        <references count="1">
          <reference field="10" count="1" defaultSubtotal="1">
            <x v="73"/>
          </reference>
        </references>
      </pivotArea>
    </format>
    <format dxfId="1807">
      <pivotArea dataOnly="0" labelOnly="1" outline="0" fieldPosition="0">
        <references count="1">
          <reference field="10" count="1">
            <x v="75"/>
          </reference>
        </references>
      </pivotArea>
    </format>
    <format dxfId="1808">
      <pivotArea dataOnly="0" labelOnly="1" outline="0" fieldPosition="0">
        <references count="1">
          <reference field="10" count="1" defaultSubtotal="1">
            <x v="75"/>
          </reference>
        </references>
      </pivotArea>
    </format>
    <format dxfId="1809">
      <pivotArea dataOnly="0" labelOnly="1" outline="0" fieldPosition="0">
        <references count="1">
          <reference field="10" count="1">
            <x v="77"/>
          </reference>
        </references>
      </pivotArea>
    </format>
    <format dxfId="1810">
      <pivotArea dataOnly="0" labelOnly="1" outline="0" fieldPosition="0">
        <references count="1">
          <reference field="10" count="1" defaultSubtotal="1">
            <x v="77"/>
          </reference>
        </references>
      </pivotArea>
    </format>
    <format dxfId="1811">
      <pivotArea dataOnly="0" labelOnly="1" outline="0" fieldPosition="0">
        <references count="1">
          <reference field="10" count="1">
            <x v="78"/>
          </reference>
        </references>
      </pivotArea>
    </format>
    <format dxfId="1812">
      <pivotArea dataOnly="0" labelOnly="1" outline="0" fieldPosition="0">
        <references count="1">
          <reference field="10" count="1" defaultSubtotal="1">
            <x v="78"/>
          </reference>
        </references>
      </pivotArea>
    </format>
    <format dxfId="1813">
      <pivotArea dataOnly="0" labelOnly="1" outline="0" fieldPosition="0">
        <references count="1">
          <reference field="10" count="1">
            <x v="80"/>
          </reference>
        </references>
      </pivotArea>
    </format>
    <format dxfId="1814">
      <pivotArea dataOnly="0" labelOnly="1" outline="0" fieldPosition="0">
        <references count="1">
          <reference field="10" count="1" defaultSubtotal="1">
            <x v="80"/>
          </reference>
        </references>
      </pivotArea>
    </format>
    <format dxfId="1815">
      <pivotArea dataOnly="0" labelOnly="1" outline="0" fieldPosition="0">
        <references count="1">
          <reference field="10" count="1">
            <x v="81"/>
          </reference>
        </references>
      </pivotArea>
    </format>
    <format dxfId="1816">
      <pivotArea dataOnly="0" labelOnly="1" outline="0" fieldPosition="0">
        <references count="1">
          <reference field="10" count="1" defaultSubtotal="1">
            <x v="81"/>
          </reference>
        </references>
      </pivotArea>
    </format>
    <format dxfId="1817">
      <pivotArea dataOnly="0" labelOnly="1" outline="0" fieldPosition="0">
        <references count="1">
          <reference field="10" count="1">
            <x v="82"/>
          </reference>
        </references>
      </pivotArea>
    </format>
    <format dxfId="1818">
      <pivotArea dataOnly="0" labelOnly="1" outline="0" fieldPosition="0">
        <references count="1">
          <reference field="10" count="1" defaultSubtotal="1">
            <x v="82"/>
          </reference>
        </references>
      </pivotArea>
    </format>
    <format dxfId="1819">
      <pivotArea dataOnly="0" labelOnly="1" outline="0" fieldPosition="0">
        <references count="1">
          <reference field="10" count="1">
            <x v="85"/>
          </reference>
        </references>
      </pivotArea>
    </format>
    <format dxfId="1820">
      <pivotArea dataOnly="0" labelOnly="1" outline="0" fieldPosition="0">
        <references count="1">
          <reference field="10" count="1" defaultSubtotal="1">
            <x v="85"/>
          </reference>
        </references>
      </pivotArea>
    </format>
    <format dxfId="1821">
      <pivotArea dataOnly="0" labelOnly="1" outline="0" fieldPosition="0">
        <references count="1">
          <reference field="10" count="1">
            <x v="87"/>
          </reference>
        </references>
      </pivotArea>
    </format>
    <format dxfId="1822">
      <pivotArea dataOnly="0" labelOnly="1" outline="0" fieldPosition="0">
        <references count="1">
          <reference field="10" count="1" defaultSubtotal="1">
            <x v="87"/>
          </reference>
        </references>
      </pivotArea>
    </format>
    <format dxfId="1823">
      <pivotArea dataOnly="0" labelOnly="1" outline="0" fieldPosition="0">
        <references count="1">
          <reference field="10" count="1">
            <x v="89"/>
          </reference>
        </references>
      </pivotArea>
    </format>
    <format dxfId="1824">
      <pivotArea dataOnly="0" labelOnly="1" outline="0" fieldPosition="0">
        <references count="1">
          <reference field="10" count="1" defaultSubtotal="1">
            <x v="89"/>
          </reference>
        </references>
      </pivotArea>
    </format>
    <format dxfId="1825">
      <pivotArea dataOnly="0" labelOnly="1" outline="0" fieldPosition="0">
        <references count="1">
          <reference field="10" count="1">
            <x v="90"/>
          </reference>
        </references>
      </pivotArea>
    </format>
    <format dxfId="1826">
      <pivotArea dataOnly="0" labelOnly="1" outline="0" fieldPosition="0">
        <references count="1">
          <reference field="10" count="1" defaultSubtotal="1">
            <x v="90"/>
          </reference>
        </references>
      </pivotArea>
    </format>
    <format dxfId="1827">
      <pivotArea dataOnly="0" labelOnly="1" outline="0" fieldPosition="0">
        <references count="1">
          <reference field="10" count="1">
            <x v="95"/>
          </reference>
        </references>
      </pivotArea>
    </format>
    <format dxfId="1828">
      <pivotArea dataOnly="0" labelOnly="1" outline="0" fieldPosition="0">
        <references count="1">
          <reference field="10" count="1" defaultSubtotal="1">
            <x v="95"/>
          </reference>
        </references>
      </pivotArea>
    </format>
    <format dxfId="1829">
      <pivotArea dataOnly="0" labelOnly="1" outline="0" fieldPosition="0">
        <references count="1">
          <reference field="10" count="1">
            <x v="98"/>
          </reference>
        </references>
      </pivotArea>
    </format>
    <format dxfId="1830">
      <pivotArea dataOnly="0" labelOnly="1" outline="0" fieldPosition="0">
        <references count="1">
          <reference field="10" count="1" defaultSubtotal="1">
            <x v="98"/>
          </reference>
        </references>
      </pivotArea>
    </format>
    <format dxfId="1831">
      <pivotArea dataOnly="0" labelOnly="1" outline="0" fieldPosition="0">
        <references count="1">
          <reference field="10" count="1">
            <x v="99"/>
          </reference>
        </references>
      </pivotArea>
    </format>
    <format dxfId="1832">
      <pivotArea dataOnly="0" labelOnly="1" outline="0" fieldPosition="0">
        <references count="1">
          <reference field="10" count="1" defaultSubtotal="1">
            <x v="99"/>
          </reference>
        </references>
      </pivotArea>
    </format>
    <format dxfId="1833">
      <pivotArea dataOnly="0" labelOnly="1" outline="0" fieldPosition="0">
        <references count="1">
          <reference field="10" count="1">
            <x v="101"/>
          </reference>
        </references>
      </pivotArea>
    </format>
    <format dxfId="1834">
      <pivotArea dataOnly="0" labelOnly="1" outline="0" fieldPosition="0">
        <references count="1">
          <reference field="10" count="1" defaultSubtotal="1">
            <x v="101"/>
          </reference>
        </references>
      </pivotArea>
    </format>
    <format dxfId="1835">
      <pivotArea dataOnly="0" labelOnly="1" outline="0" fieldPosition="0">
        <references count="1">
          <reference field="10" count="1">
            <x v="104"/>
          </reference>
        </references>
      </pivotArea>
    </format>
    <format dxfId="1836">
      <pivotArea dataOnly="0" labelOnly="1" outline="0" fieldPosition="0">
        <references count="1">
          <reference field="10" count="1" defaultSubtotal="1">
            <x v="104"/>
          </reference>
        </references>
      </pivotArea>
    </format>
    <format dxfId="1837">
      <pivotArea dataOnly="0" labelOnly="1" outline="0" fieldPosition="0">
        <references count="1">
          <reference field="10" count="1">
            <x v="106"/>
          </reference>
        </references>
      </pivotArea>
    </format>
    <format dxfId="1838">
      <pivotArea dataOnly="0" labelOnly="1" outline="0" fieldPosition="0">
        <references count="1">
          <reference field="10" count="1" defaultSubtotal="1">
            <x v="106"/>
          </reference>
        </references>
      </pivotArea>
    </format>
    <format dxfId="1839">
      <pivotArea dataOnly="0" labelOnly="1" outline="0" fieldPosition="0">
        <references count="1">
          <reference field="10" count="1">
            <x v="107"/>
          </reference>
        </references>
      </pivotArea>
    </format>
    <format dxfId="1840">
      <pivotArea dataOnly="0" labelOnly="1" outline="0" fieldPosition="0">
        <references count="1">
          <reference field="10" count="1" defaultSubtotal="1">
            <x v="107"/>
          </reference>
        </references>
      </pivotArea>
    </format>
    <format dxfId="1841">
      <pivotArea dataOnly="0" labelOnly="1" outline="0" fieldPosition="0">
        <references count="1">
          <reference field="10" count="1">
            <x v="108"/>
          </reference>
        </references>
      </pivotArea>
    </format>
    <format dxfId="1842">
      <pivotArea dataOnly="0" labelOnly="1" outline="0" fieldPosition="0">
        <references count="1">
          <reference field="10" count="1" defaultSubtotal="1">
            <x v="108"/>
          </reference>
        </references>
      </pivotArea>
    </format>
    <format dxfId="1843">
      <pivotArea dataOnly="0" labelOnly="1" outline="0" fieldPosition="0">
        <references count="1">
          <reference field="10" count="1">
            <x v="111"/>
          </reference>
        </references>
      </pivotArea>
    </format>
    <format dxfId="1844">
      <pivotArea dataOnly="0" labelOnly="1" outline="0" fieldPosition="0">
        <references count="1">
          <reference field="10" count="1" defaultSubtotal="1">
            <x v="111"/>
          </reference>
        </references>
      </pivotArea>
    </format>
    <format dxfId="1845">
      <pivotArea dataOnly="0" labelOnly="1" outline="0" fieldPosition="0">
        <references count="1">
          <reference field="10" count="1">
            <x v="116"/>
          </reference>
        </references>
      </pivotArea>
    </format>
    <format dxfId="1846">
      <pivotArea dataOnly="0" labelOnly="1" outline="0" fieldPosition="0">
        <references count="1">
          <reference field="10" count="1" defaultSubtotal="1">
            <x v="116"/>
          </reference>
        </references>
      </pivotArea>
    </format>
    <format dxfId="1847">
      <pivotArea dataOnly="0" labelOnly="1" outline="0" fieldPosition="0">
        <references count="1">
          <reference field="10" count="1">
            <x v="117"/>
          </reference>
        </references>
      </pivotArea>
    </format>
    <format dxfId="1848">
      <pivotArea dataOnly="0" labelOnly="1" outline="0" fieldPosition="0">
        <references count="1">
          <reference field="10" count="1" defaultSubtotal="1">
            <x v="117"/>
          </reference>
        </references>
      </pivotArea>
    </format>
    <format dxfId="1849">
      <pivotArea dataOnly="0" labelOnly="1" outline="0" fieldPosition="0">
        <references count="1">
          <reference field="10" count="1">
            <x v="118"/>
          </reference>
        </references>
      </pivotArea>
    </format>
    <format dxfId="1850">
      <pivotArea dataOnly="0" labelOnly="1" outline="0" fieldPosition="0">
        <references count="1">
          <reference field="10" count="1" defaultSubtotal="1">
            <x v="118"/>
          </reference>
        </references>
      </pivotArea>
    </format>
    <format dxfId="1851">
      <pivotArea dataOnly="0" labelOnly="1" outline="0" fieldPosition="0">
        <references count="1">
          <reference field="10" count="1">
            <x v="119"/>
          </reference>
        </references>
      </pivotArea>
    </format>
    <format dxfId="1852">
      <pivotArea dataOnly="0" labelOnly="1" outline="0" fieldPosition="0">
        <references count="1">
          <reference field="10" count="1" defaultSubtotal="1">
            <x v="119"/>
          </reference>
        </references>
      </pivotArea>
    </format>
    <format dxfId="1853">
      <pivotArea dataOnly="0" labelOnly="1" outline="0" fieldPosition="0">
        <references count="1">
          <reference field="10" count="1">
            <x v="120"/>
          </reference>
        </references>
      </pivotArea>
    </format>
    <format dxfId="1854">
      <pivotArea dataOnly="0" labelOnly="1" outline="0" fieldPosition="0">
        <references count="1">
          <reference field="10" count="1" defaultSubtotal="1">
            <x v="120"/>
          </reference>
        </references>
      </pivotArea>
    </format>
    <format dxfId="1855">
      <pivotArea dataOnly="0" labelOnly="1" outline="0" fieldPosition="0">
        <references count="1">
          <reference field="10" count="1">
            <x v="122"/>
          </reference>
        </references>
      </pivotArea>
    </format>
    <format dxfId="1856">
      <pivotArea dataOnly="0" labelOnly="1" outline="0" fieldPosition="0">
        <references count="1">
          <reference field="10" count="1" defaultSubtotal="1">
            <x v="122"/>
          </reference>
        </references>
      </pivotArea>
    </format>
    <format dxfId="1857">
      <pivotArea dataOnly="0" labelOnly="1" outline="0" fieldPosition="0">
        <references count="1">
          <reference field="10" count="1">
            <x v="123"/>
          </reference>
        </references>
      </pivotArea>
    </format>
    <format dxfId="1858">
      <pivotArea dataOnly="0" labelOnly="1" outline="0" fieldPosition="0">
        <references count="1">
          <reference field="10" count="1" defaultSubtotal="1">
            <x v="123"/>
          </reference>
        </references>
      </pivotArea>
    </format>
    <format dxfId="1859">
      <pivotArea dataOnly="0" labelOnly="1" outline="0" fieldPosition="0">
        <references count="1">
          <reference field="10" count="1">
            <x v="124"/>
          </reference>
        </references>
      </pivotArea>
    </format>
    <format dxfId="1860">
      <pivotArea dataOnly="0" labelOnly="1" outline="0" fieldPosition="0">
        <references count="1">
          <reference field="10" count="1" defaultSubtotal="1">
            <x v="124"/>
          </reference>
        </references>
      </pivotArea>
    </format>
    <format dxfId="1861">
      <pivotArea dataOnly="0" labelOnly="1" outline="0" fieldPosition="0">
        <references count="1">
          <reference field="10" count="1">
            <x v="125"/>
          </reference>
        </references>
      </pivotArea>
    </format>
    <format dxfId="1862">
      <pivotArea dataOnly="0" labelOnly="1" outline="0" fieldPosition="0">
        <references count="1">
          <reference field="10" count="1" defaultSubtotal="1">
            <x v="125"/>
          </reference>
        </references>
      </pivotArea>
    </format>
    <format dxfId="1863">
      <pivotArea dataOnly="0" labelOnly="1" outline="0" fieldPosition="0">
        <references count="1">
          <reference field="10" count="1">
            <x v="127"/>
          </reference>
        </references>
      </pivotArea>
    </format>
    <format dxfId="1864">
      <pivotArea dataOnly="0" labelOnly="1" outline="0" fieldPosition="0">
        <references count="1">
          <reference field="10" count="1" defaultSubtotal="1">
            <x v="127"/>
          </reference>
        </references>
      </pivotArea>
    </format>
    <format dxfId="1865">
      <pivotArea dataOnly="0" labelOnly="1" outline="0" fieldPosition="0">
        <references count="1">
          <reference field="10" count="1">
            <x v="128"/>
          </reference>
        </references>
      </pivotArea>
    </format>
    <format dxfId="1866">
      <pivotArea dataOnly="0" labelOnly="1" outline="0" fieldPosition="0">
        <references count="1">
          <reference field="10" count="1" defaultSubtotal="1">
            <x v="128"/>
          </reference>
        </references>
      </pivotArea>
    </format>
    <format dxfId="1867">
      <pivotArea dataOnly="0" labelOnly="1" outline="0" fieldPosition="0">
        <references count="1">
          <reference field="10" count="1">
            <x v="129"/>
          </reference>
        </references>
      </pivotArea>
    </format>
    <format dxfId="1868">
      <pivotArea dataOnly="0" labelOnly="1" outline="0" fieldPosition="0">
        <references count="1">
          <reference field="10" count="1" defaultSubtotal="1">
            <x v="129"/>
          </reference>
        </references>
      </pivotArea>
    </format>
    <format dxfId="1869">
      <pivotArea dataOnly="0" labelOnly="1" outline="0" fieldPosition="0">
        <references count="1">
          <reference field="10" count="1">
            <x v="130"/>
          </reference>
        </references>
      </pivotArea>
    </format>
    <format dxfId="1870">
      <pivotArea dataOnly="0" labelOnly="1" outline="0" fieldPosition="0">
        <references count="1">
          <reference field="10" count="1" defaultSubtotal="1">
            <x v="130"/>
          </reference>
        </references>
      </pivotArea>
    </format>
    <format dxfId="1871">
      <pivotArea dataOnly="0" labelOnly="1" outline="0" fieldPosition="0">
        <references count="1">
          <reference field="10" count="1">
            <x v="131"/>
          </reference>
        </references>
      </pivotArea>
    </format>
    <format dxfId="1872">
      <pivotArea dataOnly="0" labelOnly="1" outline="0" fieldPosition="0">
        <references count="1">
          <reference field="10" count="1" defaultSubtotal="1">
            <x v="131"/>
          </reference>
        </references>
      </pivotArea>
    </format>
    <format dxfId="1873">
      <pivotArea dataOnly="0" labelOnly="1" outline="0" fieldPosition="0">
        <references count="1">
          <reference field="10" count="1">
            <x v="132"/>
          </reference>
        </references>
      </pivotArea>
    </format>
    <format dxfId="1874">
      <pivotArea dataOnly="0" labelOnly="1" outline="0" fieldPosition="0">
        <references count="1">
          <reference field="10" count="1" defaultSubtotal="1">
            <x v="132"/>
          </reference>
        </references>
      </pivotArea>
    </format>
    <format dxfId="1875">
      <pivotArea dataOnly="0" labelOnly="1" outline="0" fieldPosition="0">
        <references count="1">
          <reference field="10" count="1">
            <x v="133"/>
          </reference>
        </references>
      </pivotArea>
    </format>
    <format dxfId="1876">
      <pivotArea dataOnly="0" labelOnly="1" outline="0" fieldPosition="0">
        <references count="1">
          <reference field="10" count="1" defaultSubtotal="1">
            <x v="133"/>
          </reference>
        </references>
      </pivotArea>
    </format>
    <format dxfId="1877">
      <pivotArea dataOnly="0" labelOnly="1" outline="0" fieldPosition="0">
        <references count="1">
          <reference field="10" count="1">
            <x v="134"/>
          </reference>
        </references>
      </pivotArea>
    </format>
    <format dxfId="1878">
      <pivotArea dataOnly="0" labelOnly="1" outline="0" fieldPosition="0">
        <references count="1">
          <reference field="10" count="1" defaultSubtotal="1">
            <x v="134"/>
          </reference>
        </references>
      </pivotArea>
    </format>
    <format dxfId="1879">
      <pivotArea dataOnly="0" labelOnly="1" outline="0" fieldPosition="0">
        <references count="1">
          <reference field="10" count="1">
            <x v="135"/>
          </reference>
        </references>
      </pivotArea>
    </format>
    <format dxfId="1880">
      <pivotArea dataOnly="0" labelOnly="1" outline="0" fieldPosition="0">
        <references count="1">
          <reference field="10" count="1" defaultSubtotal="1">
            <x v="135"/>
          </reference>
        </references>
      </pivotArea>
    </format>
    <format dxfId="1881">
      <pivotArea dataOnly="0" labelOnly="1" outline="0" fieldPosition="0">
        <references count="1">
          <reference field="10" count="1">
            <x v="136"/>
          </reference>
        </references>
      </pivotArea>
    </format>
    <format dxfId="1882">
      <pivotArea dataOnly="0" labelOnly="1" outline="0" fieldPosition="0">
        <references count="1">
          <reference field="10" count="1" defaultSubtotal="1">
            <x v="136"/>
          </reference>
        </references>
      </pivotArea>
    </format>
    <format dxfId="1883">
      <pivotArea dataOnly="0" labelOnly="1" outline="0" fieldPosition="0">
        <references count="1">
          <reference field="10" count="1">
            <x v="137"/>
          </reference>
        </references>
      </pivotArea>
    </format>
    <format dxfId="1884">
      <pivotArea dataOnly="0" labelOnly="1" outline="0" fieldPosition="0">
        <references count="1">
          <reference field="10" count="1" defaultSubtotal="1">
            <x v="137"/>
          </reference>
        </references>
      </pivotArea>
    </format>
    <format dxfId="1885">
      <pivotArea dataOnly="0" labelOnly="1" outline="0" fieldPosition="0">
        <references count="1">
          <reference field="10" count="1">
            <x v="138"/>
          </reference>
        </references>
      </pivotArea>
    </format>
    <format dxfId="1886">
      <pivotArea dataOnly="0" labelOnly="1" outline="0" fieldPosition="0">
        <references count="1">
          <reference field="10" count="1" defaultSubtotal="1">
            <x v="138"/>
          </reference>
        </references>
      </pivotArea>
    </format>
    <format dxfId="1887">
      <pivotArea dataOnly="0" labelOnly="1" outline="0" fieldPosition="0">
        <references count="1">
          <reference field="10" count="1">
            <x v="140"/>
          </reference>
        </references>
      </pivotArea>
    </format>
    <format dxfId="1888">
      <pivotArea dataOnly="0" labelOnly="1" outline="0" fieldPosition="0">
        <references count="1">
          <reference field="10" count="1" defaultSubtotal="1">
            <x v="140"/>
          </reference>
        </references>
      </pivotArea>
    </format>
    <format dxfId="1889">
      <pivotArea dataOnly="0" labelOnly="1" outline="0" fieldPosition="0">
        <references count="1">
          <reference field="10" count="1">
            <x v="141"/>
          </reference>
        </references>
      </pivotArea>
    </format>
    <format dxfId="1890">
      <pivotArea dataOnly="0" labelOnly="1" outline="0" fieldPosition="0">
        <references count="1">
          <reference field="10" count="1" defaultSubtotal="1">
            <x v="141"/>
          </reference>
        </references>
      </pivotArea>
    </format>
    <format dxfId="1891">
      <pivotArea dataOnly="0" labelOnly="1" outline="0" fieldPosition="0">
        <references count="1">
          <reference field="10" count="1">
            <x v="143"/>
          </reference>
        </references>
      </pivotArea>
    </format>
    <format dxfId="1892">
      <pivotArea dataOnly="0" labelOnly="1" outline="0" fieldPosition="0">
        <references count="1">
          <reference field="10" count="1" defaultSubtotal="1">
            <x v="143"/>
          </reference>
        </references>
      </pivotArea>
    </format>
    <format dxfId="1893">
      <pivotArea dataOnly="0" labelOnly="1" outline="0" fieldPosition="0">
        <references count="1">
          <reference field="10" count="1">
            <x v="145"/>
          </reference>
        </references>
      </pivotArea>
    </format>
    <format dxfId="1894">
      <pivotArea dataOnly="0" labelOnly="1" outline="0" fieldPosition="0">
        <references count="1">
          <reference field="10" count="1" defaultSubtotal="1">
            <x v="145"/>
          </reference>
        </references>
      </pivotArea>
    </format>
    <format dxfId="1895">
      <pivotArea dataOnly="0" labelOnly="1" outline="0" fieldPosition="0">
        <references count="1">
          <reference field="10" count="1">
            <x v="146"/>
          </reference>
        </references>
      </pivotArea>
    </format>
    <format dxfId="1896">
      <pivotArea dataOnly="0" labelOnly="1" outline="0" fieldPosition="0">
        <references count="1">
          <reference field="10" count="1" defaultSubtotal="1">
            <x v="146"/>
          </reference>
        </references>
      </pivotArea>
    </format>
    <format dxfId="1897">
      <pivotArea dataOnly="0" labelOnly="1" outline="0" fieldPosition="0">
        <references count="1">
          <reference field="10" count="1">
            <x v="147"/>
          </reference>
        </references>
      </pivotArea>
    </format>
    <format dxfId="1898">
      <pivotArea dataOnly="0" labelOnly="1" outline="0" fieldPosition="0">
        <references count="1">
          <reference field="10" count="1" defaultSubtotal="1">
            <x v="147"/>
          </reference>
        </references>
      </pivotArea>
    </format>
    <format dxfId="1899">
      <pivotArea dataOnly="0" labelOnly="1" outline="0" fieldPosition="0">
        <references count="1">
          <reference field="10" count="1">
            <x v="149"/>
          </reference>
        </references>
      </pivotArea>
    </format>
    <format dxfId="1900">
      <pivotArea dataOnly="0" labelOnly="1" outline="0" fieldPosition="0">
        <references count="1">
          <reference field="10" count="1" defaultSubtotal="1">
            <x v="149"/>
          </reference>
        </references>
      </pivotArea>
    </format>
    <format dxfId="1901">
      <pivotArea dataOnly="0" labelOnly="1" outline="0" fieldPosition="0">
        <references count="1">
          <reference field="10" count="1">
            <x v="150"/>
          </reference>
        </references>
      </pivotArea>
    </format>
    <format dxfId="1902">
      <pivotArea dataOnly="0" labelOnly="1" outline="0" fieldPosition="0">
        <references count="1">
          <reference field="10" count="1" defaultSubtotal="1">
            <x v="150"/>
          </reference>
        </references>
      </pivotArea>
    </format>
    <format dxfId="1903">
      <pivotArea dataOnly="0" labelOnly="1" outline="0" fieldPosition="0">
        <references count="1">
          <reference field="10" count="1">
            <x v="151"/>
          </reference>
        </references>
      </pivotArea>
    </format>
    <format dxfId="1904">
      <pivotArea dataOnly="0" labelOnly="1" outline="0" fieldPosition="0">
        <references count="1">
          <reference field="10" count="1" defaultSubtotal="1">
            <x v="151"/>
          </reference>
        </references>
      </pivotArea>
    </format>
    <format dxfId="1905">
      <pivotArea dataOnly="0" labelOnly="1" outline="0" fieldPosition="0">
        <references count="1">
          <reference field="10" count="1">
            <x v="152"/>
          </reference>
        </references>
      </pivotArea>
    </format>
    <format dxfId="1906">
      <pivotArea dataOnly="0" labelOnly="1" outline="0" fieldPosition="0">
        <references count="1">
          <reference field="10" count="1" defaultSubtotal="1">
            <x v="152"/>
          </reference>
        </references>
      </pivotArea>
    </format>
    <format dxfId="1907">
      <pivotArea dataOnly="0" labelOnly="1" outline="0" fieldPosition="0">
        <references count="1">
          <reference field="10" count="1">
            <x v="153"/>
          </reference>
        </references>
      </pivotArea>
    </format>
    <format dxfId="1908">
      <pivotArea dataOnly="0" labelOnly="1" outline="0" fieldPosition="0">
        <references count="1">
          <reference field="10" count="1" defaultSubtotal="1">
            <x v="153"/>
          </reference>
        </references>
      </pivotArea>
    </format>
    <format dxfId="1909">
      <pivotArea dataOnly="0" labelOnly="1" outline="0" fieldPosition="0">
        <references count="1">
          <reference field="10" count="1">
            <x v="154"/>
          </reference>
        </references>
      </pivotArea>
    </format>
    <format dxfId="1910">
      <pivotArea dataOnly="0" labelOnly="1" outline="0" fieldPosition="0">
        <references count="1">
          <reference field="10" count="1" defaultSubtotal="1">
            <x v="154"/>
          </reference>
        </references>
      </pivotArea>
    </format>
    <format dxfId="1911">
      <pivotArea dataOnly="0" labelOnly="1" outline="0" fieldPosition="0">
        <references count="1">
          <reference field="10" count="1">
            <x v="155"/>
          </reference>
        </references>
      </pivotArea>
    </format>
    <format dxfId="1912">
      <pivotArea dataOnly="0" labelOnly="1" outline="0" fieldPosition="0">
        <references count="1">
          <reference field="10" count="1" defaultSubtotal="1">
            <x v="155"/>
          </reference>
        </references>
      </pivotArea>
    </format>
    <format dxfId="1913">
      <pivotArea dataOnly="0" labelOnly="1" outline="0" fieldPosition="0">
        <references count="1">
          <reference field="10" count="1">
            <x v="156"/>
          </reference>
        </references>
      </pivotArea>
    </format>
    <format dxfId="1914">
      <pivotArea dataOnly="0" labelOnly="1" outline="0" fieldPosition="0">
        <references count="1">
          <reference field="10" count="1" defaultSubtotal="1">
            <x v="156"/>
          </reference>
        </references>
      </pivotArea>
    </format>
    <format dxfId="1915">
      <pivotArea dataOnly="0" labelOnly="1" outline="0" fieldPosition="0">
        <references count="1">
          <reference field="10" count="1">
            <x v="159"/>
          </reference>
        </references>
      </pivotArea>
    </format>
    <format dxfId="1916">
      <pivotArea dataOnly="0" labelOnly="1" outline="0" fieldPosition="0">
        <references count="1">
          <reference field="10" count="1" defaultSubtotal="1">
            <x v="159"/>
          </reference>
        </references>
      </pivotArea>
    </format>
    <format dxfId="1917">
      <pivotArea dataOnly="0" labelOnly="1" outline="0" fieldPosition="0">
        <references count="1">
          <reference field="10" count="1">
            <x v="160"/>
          </reference>
        </references>
      </pivotArea>
    </format>
    <format dxfId="1918">
      <pivotArea dataOnly="0" labelOnly="1" outline="0" fieldPosition="0">
        <references count="1">
          <reference field="10" count="1" defaultSubtotal="1">
            <x v="160"/>
          </reference>
        </references>
      </pivotArea>
    </format>
    <format dxfId="1919">
      <pivotArea dataOnly="0" labelOnly="1" outline="0" fieldPosition="0">
        <references count="1">
          <reference field="10" count="1">
            <x v="161"/>
          </reference>
        </references>
      </pivotArea>
    </format>
    <format dxfId="1920">
      <pivotArea dataOnly="0" labelOnly="1" outline="0" fieldPosition="0">
        <references count="1">
          <reference field="10" count="1" defaultSubtotal="1">
            <x v="161"/>
          </reference>
        </references>
      </pivotArea>
    </format>
    <format dxfId="1921">
      <pivotArea dataOnly="0" labelOnly="1" outline="0" fieldPosition="0">
        <references count="1">
          <reference field="10" count="1">
            <x v="162"/>
          </reference>
        </references>
      </pivotArea>
    </format>
    <format dxfId="1922">
      <pivotArea dataOnly="0" labelOnly="1" outline="0" fieldPosition="0">
        <references count="1">
          <reference field="10" count="1" defaultSubtotal="1">
            <x v="162"/>
          </reference>
        </references>
      </pivotArea>
    </format>
    <format dxfId="1923">
      <pivotArea dataOnly="0" labelOnly="1" outline="0" fieldPosition="0">
        <references count="1">
          <reference field="10" count="1">
            <x v="163"/>
          </reference>
        </references>
      </pivotArea>
    </format>
    <format dxfId="1924">
      <pivotArea dataOnly="0" labelOnly="1" outline="0" fieldPosition="0">
        <references count="1">
          <reference field="10" count="1" defaultSubtotal="1">
            <x v="163"/>
          </reference>
        </references>
      </pivotArea>
    </format>
    <format dxfId="1925">
      <pivotArea dataOnly="0" labelOnly="1" outline="0" fieldPosition="0">
        <references count="1">
          <reference field="10" count="1">
            <x v="164"/>
          </reference>
        </references>
      </pivotArea>
    </format>
    <format dxfId="1926">
      <pivotArea dataOnly="0" labelOnly="1" outline="0" fieldPosition="0">
        <references count="1">
          <reference field="10" count="1" defaultSubtotal="1">
            <x v="164"/>
          </reference>
        </references>
      </pivotArea>
    </format>
    <format dxfId="1927">
      <pivotArea dataOnly="0" labelOnly="1" outline="0" fieldPosition="0">
        <references count="1">
          <reference field="10" count="1">
            <x v="165"/>
          </reference>
        </references>
      </pivotArea>
    </format>
    <format dxfId="1928">
      <pivotArea dataOnly="0" labelOnly="1" outline="0" fieldPosition="0">
        <references count="1">
          <reference field="10" count="1" defaultSubtotal="1">
            <x v="165"/>
          </reference>
        </references>
      </pivotArea>
    </format>
    <format dxfId="1929">
      <pivotArea dataOnly="0" labelOnly="1" outline="0" fieldPosition="0">
        <references count="1">
          <reference field="10" count="1">
            <x v="166"/>
          </reference>
        </references>
      </pivotArea>
    </format>
    <format dxfId="1930">
      <pivotArea dataOnly="0" labelOnly="1" outline="0" fieldPosition="0">
        <references count="1">
          <reference field="10" count="1" defaultSubtotal="1">
            <x v="166"/>
          </reference>
        </references>
      </pivotArea>
    </format>
    <format dxfId="1931">
      <pivotArea dataOnly="0" labelOnly="1" outline="0" fieldPosition="0">
        <references count="1">
          <reference field="10" count="1">
            <x v="167"/>
          </reference>
        </references>
      </pivotArea>
    </format>
    <format dxfId="1932">
      <pivotArea dataOnly="0" labelOnly="1" outline="0" fieldPosition="0">
        <references count="1">
          <reference field="10" count="1" defaultSubtotal="1">
            <x v="167"/>
          </reference>
        </references>
      </pivotArea>
    </format>
    <format dxfId="1933">
      <pivotArea dataOnly="0" labelOnly="1" outline="0" fieldPosition="0">
        <references count="1">
          <reference field="10" count="1">
            <x v="168"/>
          </reference>
        </references>
      </pivotArea>
    </format>
    <format dxfId="1934">
      <pivotArea dataOnly="0" labelOnly="1" outline="0" fieldPosition="0">
        <references count="1">
          <reference field="10" count="1" defaultSubtotal="1">
            <x v="168"/>
          </reference>
        </references>
      </pivotArea>
    </format>
    <format dxfId="1935">
      <pivotArea dataOnly="0" labelOnly="1" outline="0" fieldPosition="0">
        <references count="1">
          <reference field="10" count="1">
            <x v="169"/>
          </reference>
        </references>
      </pivotArea>
    </format>
    <format dxfId="1936">
      <pivotArea dataOnly="0" labelOnly="1" outline="0" fieldPosition="0">
        <references count="1">
          <reference field="10" count="1" defaultSubtotal="1">
            <x v="169"/>
          </reference>
        </references>
      </pivotArea>
    </format>
    <format dxfId="1937">
      <pivotArea dataOnly="0" labelOnly="1" outline="0" fieldPosition="0">
        <references count="1">
          <reference field="10" count="1">
            <x v="171"/>
          </reference>
        </references>
      </pivotArea>
    </format>
    <format dxfId="1938">
      <pivotArea dataOnly="0" labelOnly="1" outline="0" fieldPosition="0">
        <references count="1">
          <reference field="10" count="1" defaultSubtotal="1">
            <x v="171"/>
          </reference>
        </references>
      </pivotArea>
    </format>
    <format dxfId="1939">
      <pivotArea dataOnly="0" labelOnly="1" outline="0" fieldPosition="0">
        <references count="1">
          <reference field="10" count="1">
            <x v="175"/>
          </reference>
        </references>
      </pivotArea>
    </format>
    <format dxfId="1940">
      <pivotArea dataOnly="0" labelOnly="1" outline="0" fieldPosition="0">
        <references count="1">
          <reference field="10" count="1" defaultSubtotal="1">
            <x v="175"/>
          </reference>
        </references>
      </pivotArea>
    </format>
    <format dxfId="1941">
      <pivotArea dataOnly="0" labelOnly="1" outline="0" fieldPosition="0">
        <references count="1">
          <reference field="10" count="1">
            <x v="176"/>
          </reference>
        </references>
      </pivotArea>
    </format>
    <format dxfId="1942">
      <pivotArea dataOnly="0" labelOnly="1" outline="0" fieldPosition="0">
        <references count="1">
          <reference field="10" count="1" defaultSubtotal="1">
            <x v="176"/>
          </reference>
        </references>
      </pivotArea>
    </format>
    <format dxfId="1943">
      <pivotArea dataOnly="0" labelOnly="1" outline="0" fieldPosition="0">
        <references count="1">
          <reference field="10" count="1">
            <x v="177"/>
          </reference>
        </references>
      </pivotArea>
    </format>
    <format dxfId="1944">
      <pivotArea dataOnly="0" labelOnly="1" outline="0" fieldPosition="0">
        <references count="1">
          <reference field="10" count="1" defaultSubtotal="1">
            <x v="177"/>
          </reference>
        </references>
      </pivotArea>
    </format>
    <format dxfId="1945">
      <pivotArea dataOnly="0" labelOnly="1" outline="0" fieldPosition="0">
        <references count="1">
          <reference field="10" count="1">
            <x v="180"/>
          </reference>
        </references>
      </pivotArea>
    </format>
    <format dxfId="1946">
      <pivotArea dataOnly="0" labelOnly="1" outline="0" fieldPosition="0">
        <references count="1">
          <reference field="10" count="1" defaultSubtotal="1">
            <x v="180"/>
          </reference>
        </references>
      </pivotArea>
    </format>
    <format dxfId="1947">
      <pivotArea dataOnly="0" labelOnly="1" outline="0" fieldPosition="0">
        <references count="1">
          <reference field="10" count="1">
            <x v="181"/>
          </reference>
        </references>
      </pivotArea>
    </format>
    <format dxfId="1948">
      <pivotArea dataOnly="0" labelOnly="1" outline="0" fieldPosition="0">
        <references count="1">
          <reference field="10" count="1" defaultSubtotal="1">
            <x v="181"/>
          </reference>
        </references>
      </pivotArea>
    </format>
    <format dxfId="1949">
      <pivotArea dataOnly="0" labelOnly="1" outline="0" fieldPosition="0">
        <references count="1">
          <reference field="10" count="1">
            <x v="182"/>
          </reference>
        </references>
      </pivotArea>
    </format>
    <format dxfId="1950">
      <pivotArea dataOnly="0" labelOnly="1" outline="0" fieldPosition="0">
        <references count="1">
          <reference field="10" count="1" defaultSubtotal="1">
            <x v="182"/>
          </reference>
        </references>
      </pivotArea>
    </format>
    <format dxfId="1951">
      <pivotArea dataOnly="0" labelOnly="1" outline="0" fieldPosition="0">
        <references count="1">
          <reference field="10" count="1">
            <x v="183"/>
          </reference>
        </references>
      </pivotArea>
    </format>
    <format dxfId="1952">
      <pivotArea dataOnly="0" labelOnly="1" outline="0" fieldPosition="0">
        <references count="1">
          <reference field="10" count="1" defaultSubtotal="1">
            <x v="183"/>
          </reference>
        </references>
      </pivotArea>
    </format>
    <format dxfId="1953">
      <pivotArea dataOnly="0" labelOnly="1" outline="0" fieldPosition="0">
        <references count="1">
          <reference field="10" count="1">
            <x v="184"/>
          </reference>
        </references>
      </pivotArea>
    </format>
    <format dxfId="1954">
      <pivotArea dataOnly="0" labelOnly="1" outline="0" fieldPosition="0">
        <references count="1">
          <reference field="10" count="1" defaultSubtotal="1">
            <x v="184"/>
          </reference>
        </references>
      </pivotArea>
    </format>
    <format dxfId="1955">
      <pivotArea dataOnly="0" labelOnly="1" outline="0" fieldPosition="0">
        <references count="1">
          <reference field="10" count="1">
            <x v="188"/>
          </reference>
        </references>
      </pivotArea>
    </format>
    <format dxfId="1956">
      <pivotArea dataOnly="0" labelOnly="1" outline="0" fieldPosition="0">
        <references count="1">
          <reference field="10" count="1" defaultSubtotal="1">
            <x v="188"/>
          </reference>
        </references>
      </pivotArea>
    </format>
    <format dxfId="1957">
      <pivotArea dataOnly="0" labelOnly="1" outline="0" fieldPosition="0">
        <references count="1">
          <reference field="10" count="1">
            <x v="191"/>
          </reference>
        </references>
      </pivotArea>
    </format>
    <format dxfId="1958">
      <pivotArea dataOnly="0" labelOnly="1" outline="0" fieldPosition="0">
        <references count="1">
          <reference field="10" count="1" defaultSubtotal="1">
            <x v="191"/>
          </reference>
        </references>
      </pivotArea>
    </format>
    <format dxfId="1959">
      <pivotArea dataOnly="0" labelOnly="1" outline="0" fieldPosition="0">
        <references count="1">
          <reference field="10" count="1">
            <x v="192"/>
          </reference>
        </references>
      </pivotArea>
    </format>
    <format dxfId="1960">
      <pivotArea dataOnly="0" labelOnly="1" outline="0" fieldPosition="0">
        <references count="1">
          <reference field="10" count="1" defaultSubtotal="1">
            <x v="192"/>
          </reference>
        </references>
      </pivotArea>
    </format>
    <format dxfId="1961">
      <pivotArea dataOnly="0" labelOnly="1" outline="0" fieldPosition="0">
        <references count="1">
          <reference field="10" count="1">
            <x v="193"/>
          </reference>
        </references>
      </pivotArea>
    </format>
    <format dxfId="1962">
      <pivotArea dataOnly="0" labelOnly="1" outline="0" fieldPosition="0">
        <references count="1">
          <reference field="10" count="1" defaultSubtotal="1">
            <x v="193"/>
          </reference>
        </references>
      </pivotArea>
    </format>
    <format dxfId="1963">
      <pivotArea dataOnly="0" labelOnly="1" outline="0" fieldPosition="0">
        <references count="1">
          <reference field="10" count="1">
            <x v="194"/>
          </reference>
        </references>
      </pivotArea>
    </format>
    <format dxfId="1964">
      <pivotArea dataOnly="0" labelOnly="1" outline="0" fieldPosition="0">
        <references count="1">
          <reference field="10" count="1" defaultSubtotal="1">
            <x v="194"/>
          </reference>
        </references>
      </pivotArea>
    </format>
    <format dxfId="1965">
      <pivotArea dataOnly="0" labelOnly="1" outline="0" fieldPosition="0">
        <references count="1">
          <reference field="10" count="1">
            <x v="195"/>
          </reference>
        </references>
      </pivotArea>
    </format>
    <format dxfId="1966">
      <pivotArea dataOnly="0" labelOnly="1" outline="0" fieldPosition="0">
        <references count="1">
          <reference field="10" count="1" defaultSubtotal="1">
            <x v="195"/>
          </reference>
        </references>
      </pivotArea>
    </format>
    <format dxfId="1967">
      <pivotArea dataOnly="0" labelOnly="1" outline="0" fieldPosition="0">
        <references count="1">
          <reference field="10" count="1">
            <x v="196"/>
          </reference>
        </references>
      </pivotArea>
    </format>
    <format dxfId="1968">
      <pivotArea dataOnly="0" labelOnly="1" outline="0" fieldPosition="0">
        <references count="1">
          <reference field="10" count="1" defaultSubtotal="1">
            <x v="196"/>
          </reference>
        </references>
      </pivotArea>
    </format>
    <format dxfId="1969">
      <pivotArea dataOnly="0" labelOnly="1" outline="0" fieldPosition="0">
        <references count="1">
          <reference field="10" count="1">
            <x v="197"/>
          </reference>
        </references>
      </pivotArea>
    </format>
    <format dxfId="1970">
      <pivotArea dataOnly="0" labelOnly="1" outline="0" fieldPosition="0">
        <references count="1">
          <reference field="10" count="1" defaultSubtotal="1">
            <x v="197"/>
          </reference>
        </references>
      </pivotArea>
    </format>
    <format dxfId="1971">
      <pivotArea dataOnly="0" labelOnly="1" outline="0" fieldPosition="0">
        <references count="1">
          <reference field="10" count="1">
            <x v="200"/>
          </reference>
        </references>
      </pivotArea>
    </format>
    <format dxfId="1972">
      <pivotArea dataOnly="0" labelOnly="1" outline="0" fieldPosition="0">
        <references count="1">
          <reference field="10" count="1" defaultSubtotal="1">
            <x v="200"/>
          </reference>
        </references>
      </pivotArea>
    </format>
    <format dxfId="1973">
      <pivotArea dataOnly="0" labelOnly="1" outline="0" fieldPosition="0">
        <references count="1">
          <reference field="10" count="1">
            <x v="204"/>
          </reference>
        </references>
      </pivotArea>
    </format>
    <format dxfId="1974">
      <pivotArea dataOnly="0" labelOnly="1" outline="0" fieldPosition="0">
        <references count="1">
          <reference field="10" count="1" defaultSubtotal="1">
            <x v="204"/>
          </reference>
        </references>
      </pivotArea>
    </format>
    <format dxfId="1975">
      <pivotArea dataOnly="0" labelOnly="1" outline="0" fieldPosition="0">
        <references count="1">
          <reference field="10" count="1">
            <x v="206"/>
          </reference>
        </references>
      </pivotArea>
    </format>
    <format dxfId="1976">
      <pivotArea dataOnly="0" labelOnly="1" outline="0" fieldPosition="0">
        <references count="1">
          <reference field="10" count="1" defaultSubtotal="1">
            <x v="206"/>
          </reference>
        </references>
      </pivotArea>
    </format>
    <format dxfId="1977">
      <pivotArea dataOnly="0" labelOnly="1" outline="0" fieldPosition="0">
        <references count="1">
          <reference field="10" count="1">
            <x v="207"/>
          </reference>
        </references>
      </pivotArea>
    </format>
    <format dxfId="1978">
      <pivotArea dataOnly="0" labelOnly="1" outline="0" fieldPosition="0">
        <references count="1">
          <reference field="10" count="1" defaultSubtotal="1">
            <x v="207"/>
          </reference>
        </references>
      </pivotArea>
    </format>
    <format dxfId="1979">
      <pivotArea dataOnly="0" labelOnly="1" outline="0" fieldPosition="0">
        <references count="1">
          <reference field="10" count="1">
            <x v="211"/>
          </reference>
        </references>
      </pivotArea>
    </format>
    <format dxfId="1980">
      <pivotArea dataOnly="0" labelOnly="1" outline="0" fieldPosition="0">
        <references count="1">
          <reference field="10" count="1" defaultSubtotal="1">
            <x v="211"/>
          </reference>
        </references>
      </pivotArea>
    </format>
    <format dxfId="1981">
      <pivotArea dataOnly="0" labelOnly="1" outline="0" fieldPosition="0">
        <references count="1">
          <reference field="10" count="1">
            <x v="213"/>
          </reference>
        </references>
      </pivotArea>
    </format>
    <format dxfId="1982">
      <pivotArea dataOnly="0" labelOnly="1" outline="0" fieldPosition="0">
        <references count="1">
          <reference field="10" count="1" defaultSubtotal="1">
            <x v="213"/>
          </reference>
        </references>
      </pivotArea>
    </format>
    <format dxfId="1983">
      <pivotArea dataOnly="0" labelOnly="1" outline="0" fieldPosition="0">
        <references count="1">
          <reference field="10" count="1">
            <x v="214"/>
          </reference>
        </references>
      </pivotArea>
    </format>
    <format dxfId="1984">
      <pivotArea dataOnly="0" labelOnly="1" outline="0" fieldPosition="0">
        <references count="1">
          <reference field="10" count="1" defaultSubtotal="1">
            <x v="214"/>
          </reference>
        </references>
      </pivotArea>
    </format>
    <format dxfId="1985">
      <pivotArea dataOnly="0" labelOnly="1" outline="0" fieldPosition="0">
        <references count="1">
          <reference field="10" count="1">
            <x v="215"/>
          </reference>
        </references>
      </pivotArea>
    </format>
    <format dxfId="1986">
      <pivotArea dataOnly="0" labelOnly="1" outline="0" fieldPosition="0">
        <references count="1">
          <reference field="10" count="1" defaultSubtotal="1">
            <x v="215"/>
          </reference>
        </references>
      </pivotArea>
    </format>
    <format dxfId="1987">
      <pivotArea dataOnly="0" labelOnly="1" outline="0" fieldPosition="0">
        <references count="1">
          <reference field="10" count="1">
            <x v="218"/>
          </reference>
        </references>
      </pivotArea>
    </format>
    <format dxfId="1988">
      <pivotArea dataOnly="0" labelOnly="1" outline="0" fieldPosition="0">
        <references count="1">
          <reference field="10" count="1" defaultSubtotal="1">
            <x v="218"/>
          </reference>
        </references>
      </pivotArea>
    </format>
    <format dxfId="1989">
      <pivotArea dataOnly="0" labelOnly="1" outline="0" fieldPosition="0">
        <references count="1">
          <reference field="10" count="1">
            <x v="219"/>
          </reference>
        </references>
      </pivotArea>
    </format>
    <format dxfId="1990">
      <pivotArea dataOnly="0" labelOnly="1" outline="0" fieldPosition="0">
        <references count="1">
          <reference field="10" count="1" defaultSubtotal="1">
            <x v="219"/>
          </reference>
        </references>
      </pivotArea>
    </format>
    <format dxfId="1991">
      <pivotArea dataOnly="0" labelOnly="1" outline="0" fieldPosition="0">
        <references count="1">
          <reference field="10" count="1">
            <x v="222"/>
          </reference>
        </references>
      </pivotArea>
    </format>
    <format dxfId="1992">
      <pivotArea dataOnly="0" labelOnly="1" outline="0" fieldPosition="0">
        <references count="1">
          <reference field="10" count="1" defaultSubtotal="1">
            <x v="222"/>
          </reference>
        </references>
      </pivotArea>
    </format>
    <format dxfId="1993">
      <pivotArea dataOnly="0" labelOnly="1" outline="0" fieldPosition="0">
        <references count="1">
          <reference field="10" count="1">
            <x v="225"/>
          </reference>
        </references>
      </pivotArea>
    </format>
    <format dxfId="1994">
      <pivotArea dataOnly="0" labelOnly="1" outline="0" fieldPosition="0">
        <references count="1">
          <reference field="10" count="1" defaultSubtotal="1">
            <x v="225"/>
          </reference>
        </references>
      </pivotArea>
    </format>
    <format dxfId="1995">
      <pivotArea dataOnly="0" labelOnly="1" outline="0" fieldPosition="0">
        <references count="1">
          <reference field="10" count="1">
            <x v="226"/>
          </reference>
        </references>
      </pivotArea>
    </format>
    <format dxfId="1996">
      <pivotArea dataOnly="0" labelOnly="1" outline="0" fieldPosition="0">
        <references count="1">
          <reference field="10" count="1" defaultSubtotal="1">
            <x v="226"/>
          </reference>
        </references>
      </pivotArea>
    </format>
    <format dxfId="1997">
      <pivotArea dataOnly="0" labelOnly="1" outline="0" fieldPosition="0">
        <references count="1">
          <reference field="10" count="1">
            <x v="227"/>
          </reference>
        </references>
      </pivotArea>
    </format>
    <format dxfId="1998">
      <pivotArea dataOnly="0" labelOnly="1" outline="0" fieldPosition="0">
        <references count="1">
          <reference field="10" count="1" defaultSubtotal="1">
            <x v="227"/>
          </reference>
        </references>
      </pivotArea>
    </format>
    <format dxfId="1999">
      <pivotArea dataOnly="0" labelOnly="1" outline="0" fieldPosition="0">
        <references count="1">
          <reference field="10" count="1">
            <x v="231"/>
          </reference>
        </references>
      </pivotArea>
    </format>
    <format dxfId="2000">
      <pivotArea dataOnly="0" labelOnly="1" outline="0" fieldPosition="0">
        <references count="1">
          <reference field="10" count="1" defaultSubtotal="1">
            <x v="231"/>
          </reference>
        </references>
      </pivotArea>
    </format>
    <format dxfId="2001">
      <pivotArea dataOnly="0" labelOnly="1" outline="0" fieldPosition="0">
        <references count="1">
          <reference field="10" count="1">
            <x v="232"/>
          </reference>
        </references>
      </pivotArea>
    </format>
    <format dxfId="2002">
      <pivotArea dataOnly="0" labelOnly="1" outline="0" fieldPosition="0">
        <references count="1">
          <reference field="10" count="1" defaultSubtotal="1">
            <x v="232"/>
          </reference>
        </references>
      </pivotArea>
    </format>
    <format dxfId="2003">
      <pivotArea dataOnly="0" labelOnly="1" outline="0" fieldPosition="0">
        <references count="1">
          <reference field="10" count="1">
            <x v="233"/>
          </reference>
        </references>
      </pivotArea>
    </format>
    <format dxfId="2004">
      <pivotArea dataOnly="0" labelOnly="1" outline="0" fieldPosition="0">
        <references count="1">
          <reference field="10" count="1" defaultSubtotal="1">
            <x v="233"/>
          </reference>
        </references>
      </pivotArea>
    </format>
    <format dxfId="2005">
      <pivotArea dataOnly="0" labelOnly="1" outline="0" fieldPosition="0">
        <references count="1">
          <reference field="10" count="1">
            <x v="236"/>
          </reference>
        </references>
      </pivotArea>
    </format>
    <format dxfId="2006">
      <pivotArea dataOnly="0" labelOnly="1" outline="0" fieldPosition="0">
        <references count="1">
          <reference field="10" count="1" defaultSubtotal="1">
            <x v="236"/>
          </reference>
        </references>
      </pivotArea>
    </format>
    <format dxfId="2007">
      <pivotArea dataOnly="0" labelOnly="1" outline="0" fieldPosition="0">
        <references count="1">
          <reference field="10" count="1">
            <x v="237"/>
          </reference>
        </references>
      </pivotArea>
    </format>
    <format dxfId="2008">
      <pivotArea dataOnly="0" labelOnly="1" outline="0" fieldPosition="0">
        <references count="1">
          <reference field="10" count="1" defaultSubtotal="1">
            <x v="237"/>
          </reference>
        </references>
      </pivotArea>
    </format>
    <format dxfId="2009">
      <pivotArea dataOnly="0" labelOnly="1" outline="0" fieldPosition="0">
        <references count="1">
          <reference field="10" count="1">
            <x v="238"/>
          </reference>
        </references>
      </pivotArea>
    </format>
    <format dxfId="2010">
      <pivotArea dataOnly="0" labelOnly="1" outline="0" fieldPosition="0">
        <references count="1">
          <reference field="10" count="1" defaultSubtotal="1">
            <x v="238"/>
          </reference>
        </references>
      </pivotArea>
    </format>
    <format dxfId="2011">
      <pivotArea dataOnly="0" labelOnly="1" outline="0" fieldPosition="0">
        <references count="1">
          <reference field="10" count="1">
            <x v="239"/>
          </reference>
        </references>
      </pivotArea>
    </format>
    <format dxfId="2012">
      <pivotArea dataOnly="0" labelOnly="1" outline="0" fieldPosition="0">
        <references count="1">
          <reference field="10" count="1" defaultSubtotal="1">
            <x v="239"/>
          </reference>
        </references>
      </pivotArea>
    </format>
    <format dxfId="2013">
      <pivotArea dataOnly="0" labelOnly="1" outline="0" fieldPosition="0">
        <references count="1">
          <reference field="10" count="1">
            <x v="242"/>
          </reference>
        </references>
      </pivotArea>
    </format>
    <format dxfId="2014">
      <pivotArea dataOnly="0" labelOnly="1" outline="0" fieldPosition="0">
        <references count="1">
          <reference field="10" count="1" defaultSubtotal="1">
            <x v="242"/>
          </reference>
        </references>
      </pivotArea>
    </format>
    <format dxfId="2015">
      <pivotArea dataOnly="0" labelOnly="1" outline="0" fieldPosition="0">
        <references count="1">
          <reference field="10" count="1">
            <x v="243"/>
          </reference>
        </references>
      </pivotArea>
    </format>
    <format dxfId="2016">
      <pivotArea dataOnly="0" labelOnly="1" outline="0" fieldPosition="0">
        <references count="1">
          <reference field="10" count="1" defaultSubtotal="1">
            <x v="243"/>
          </reference>
        </references>
      </pivotArea>
    </format>
    <format dxfId="2017">
      <pivotArea dataOnly="0" labelOnly="1" outline="0" fieldPosition="0">
        <references count="1">
          <reference field="10" count="1">
            <x v="244"/>
          </reference>
        </references>
      </pivotArea>
    </format>
    <format dxfId="2018">
      <pivotArea dataOnly="0" labelOnly="1" outline="0" fieldPosition="0">
        <references count="1">
          <reference field="10" count="1" defaultSubtotal="1">
            <x v="244"/>
          </reference>
        </references>
      </pivotArea>
    </format>
    <format dxfId="2019">
      <pivotArea dataOnly="0" labelOnly="1" outline="0" fieldPosition="0">
        <references count="1">
          <reference field="10" count="1">
            <x v="246"/>
          </reference>
        </references>
      </pivotArea>
    </format>
    <format dxfId="2020">
      <pivotArea dataOnly="0" labelOnly="1" outline="0" fieldPosition="0">
        <references count="1">
          <reference field="10" count="1" defaultSubtotal="1">
            <x v="246"/>
          </reference>
        </references>
      </pivotArea>
    </format>
    <format dxfId="2021">
      <pivotArea dataOnly="0" labelOnly="1" outline="0" fieldPosition="0">
        <references count="1">
          <reference field="10" count="1">
            <x v="247"/>
          </reference>
        </references>
      </pivotArea>
    </format>
    <format dxfId="2022">
      <pivotArea dataOnly="0" labelOnly="1" outline="0" fieldPosition="0">
        <references count="1">
          <reference field="10" count="1" defaultSubtotal="1">
            <x v="247"/>
          </reference>
        </references>
      </pivotArea>
    </format>
    <format dxfId="2023">
      <pivotArea dataOnly="0" labelOnly="1" outline="0" fieldPosition="0">
        <references count="1">
          <reference field="10" count="1">
            <x v="248"/>
          </reference>
        </references>
      </pivotArea>
    </format>
    <format dxfId="2024">
      <pivotArea dataOnly="0" labelOnly="1" outline="0" fieldPosition="0">
        <references count="1">
          <reference field="10" count="1" defaultSubtotal="1">
            <x v="248"/>
          </reference>
        </references>
      </pivotArea>
    </format>
    <format dxfId="2025">
      <pivotArea dataOnly="0" labelOnly="1" outline="0" fieldPosition="0">
        <references count="1">
          <reference field="10" count="1">
            <x v="249"/>
          </reference>
        </references>
      </pivotArea>
    </format>
    <format dxfId="2026">
      <pivotArea dataOnly="0" labelOnly="1" outline="0" fieldPosition="0">
        <references count="1">
          <reference field="10" count="1" defaultSubtotal="1">
            <x v="249"/>
          </reference>
        </references>
      </pivotArea>
    </format>
    <format dxfId="2027">
      <pivotArea dataOnly="0" labelOnly="1" outline="0" fieldPosition="0">
        <references count="1">
          <reference field="10" count="1">
            <x v="250"/>
          </reference>
        </references>
      </pivotArea>
    </format>
    <format dxfId="2028">
      <pivotArea dataOnly="0" labelOnly="1" outline="0" fieldPosition="0">
        <references count="1">
          <reference field="10" count="1" defaultSubtotal="1">
            <x v="250"/>
          </reference>
        </references>
      </pivotArea>
    </format>
    <format dxfId="2029">
      <pivotArea dataOnly="0" labelOnly="1" outline="0" fieldPosition="0">
        <references count="1">
          <reference field="10" count="1">
            <x v="251"/>
          </reference>
        </references>
      </pivotArea>
    </format>
    <format dxfId="2030">
      <pivotArea dataOnly="0" labelOnly="1" outline="0" fieldPosition="0">
        <references count="1">
          <reference field="10" count="1" defaultSubtotal="1">
            <x v="251"/>
          </reference>
        </references>
      </pivotArea>
    </format>
    <format dxfId="2031">
      <pivotArea dataOnly="0" labelOnly="1" outline="0" fieldPosition="0">
        <references count="1">
          <reference field="10" count="1">
            <x v="252"/>
          </reference>
        </references>
      </pivotArea>
    </format>
    <format dxfId="2032">
      <pivotArea dataOnly="0" labelOnly="1" outline="0" fieldPosition="0">
        <references count="1">
          <reference field="10" count="1" defaultSubtotal="1">
            <x v="252"/>
          </reference>
        </references>
      </pivotArea>
    </format>
    <format dxfId="2033">
      <pivotArea dataOnly="0" labelOnly="1" outline="0" fieldPosition="0">
        <references count="1">
          <reference field="10" count="1">
            <x v="258"/>
          </reference>
        </references>
      </pivotArea>
    </format>
    <format dxfId="2034">
      <pivotArea dataOnly="0" labelOnly="1" outline="0" fieldPosition="0">
        <references count="1">
          <reference field="10" count="1" defaultSubtotal="1">
            <x v="258"/>
          </reference>
        </references>
      </pivotArea>
    </format>
    <format dxfId="2035">
      <pivotArea dataOnly="0" labelOnly="1" outline="0" fieldPosition="0">
        <references count="1">
          <reference field="10" count="1">
            <x v="261"/>
          </reference>
        </references>
      </pivotArea>
    </format>
    <format dxfId="2036">
      <pivotArea dataOnly="0" labelOnly="1" outline="0" fieldPosition="0">
        <references count="1">
          <reference field="10" count="1" defaultSubtotal="1">
            <x v="261"/>
          </reference>
        </references>
      </pivotArea>
    </format>
    <format dxfId="2037">
      <pivotArea dataOnly="0" labelOnly="1" outline="0" fieldPosition="0">
        <references count="1">
          <reference field="10" count="1">
            <x v="262"/>
          </reference>
        </references>
      </pivotArea>
    </format>
    <format dxfId="2038">
      <pivotArea dataOnly="0" labelOnly="1" outline="0" fieldPosition="0">
        <references count="1">
          <reference field="10" count="1" defaultSubtotal="1">
            <x v="262"/>
          </reference>
        </references>
      </pivotArea>
    </format>
    <format dxfId="2039">
      <pivotArea dataOnly="0" labelOnly="1" outline="0" fieldPosition="0">
        <references count="1">
          <reference field="10" count="1">
            <x v="263"/>
          </reference>
        </references>
      </pivotArea>
    </format>
    <format dxfId="2040">
      <pivotArea dataOnly="0" labelOnly="1" outline="0" fieldPosition="0">
        <references count="1">
          <reference field="10" count="1" defaultSubtotal="1">
            <x v="263"/>
          </reference>
        </references>
      </pivotArea>
    </format>
    <format dxfId="2041">
      <pivotArea dataOnly="0" labelOnly="1" outline="0" fieldPosition="0">
        <references count="1">
          <reference field="10" count="1">
            <x v="266"/>
          </reference>
        </references>
      </pivotArea>
    </format>
    <format dxfId="2042">
      <pivotArea dataOnly="0" labelOnly="1" outline="0" fieldPosition="0">
        <references count="1">
          <reference field="10" count="1" defaultSubtotal="1">
            <x v="266"/>
          </reference>
        </references>
      </pivotArea>
    </format>
    <format dxfId="2043">
      <pivotArea dataOnly="0" labelOnly="1" outline="0" fieldPosition="0">
        <references count="1">
          <reference field="10" count="1">
            <x v="267"/>
          </reference>
        </references>
      </pivotArea>
    </format>
    <format dxfId="2044">
      <pivotArea dataOnly="0" labelOnly="1" outline="0" fieldPosition="0">
        <references count="1">
          <reference field="10" count="1" defaultSubtotal="1">
            <x v="267"/>
          </reference>
        </references>
      </pivotArea>
    </format>
    <format dxfId="2045">
      <pivotArea dataOnly="0" labelOnly="1" outline="0" fieldPosition="0">
        <references count="1">
          <reference field="10" count="1">
            <x v="268"/>
          </reference>
        </references>
      </pivotArea>
    </format>
    <format dxfId="2046">
      <pivotArea dataOnly="0" labelOnly="1" outline="0" fieldPosition="0">
        <references count="1">
          <reference field="10" count="1" defaultSubtotal="1">
            <x v="268"/>
          </reference>
        </references>
      </pivotArea>
    </format>
    <format dxfId="2047">
      <pivotArea dataOnly="0" labelOnly="1" outline="0" fieldPosition="0">
        <references count="1">
          <reference field="10" count="1">
            <x v="269"/>
          </reference>
        </references>
      </pivotArea>
    </format>
    <format dxfId="2048">
      <pivotArea dataOnly="0" labelOnly="1" outline="0" fieldPosition="0">
        <references count="1">
          <reference field="10" count="1" defaultSubtotal="1">
            <x v="269"/>
          </reference>
        </references>
      </pivotArea>
    </format>
    <format dxfId="2049">
      <pivotArea dataOnly="0" labelOnly="1" outline="0" fieldPosition="0">
        <references count="1">
          <reference field="10" count="1">
            <x v="271"/>
          </reference>
        </references>
      </pivotArea>
    </format>
    <format dxfId="2050">
      <pivotArea dataOnly="0" labelOnly="1" outline="0" fieldPosition="0">
        <references count="1">
          <reference field="10" count="1" defaultSubtotal="1">
            <x v="271"/>
          </reference>
        </references>
      </pivotArea>
    </format>
    <format dxfId="2051">
      <pivotArea dataOnly="0" labelOnly="1" outline="0" fieldPosition="0">
        <references count="1">
          <reference field="10" count="1">
            <x v="272"/>
          </reference>
        </references>
      </pivotArea>
    </format>
    <format dxfId="2052">
      <pivotArea dataOnly="0" labelOnly="1" outline="0" fieldPosition="0">
        <references count="1">
          <reference field="10" count="1" defaultSubtotal="1">
            <x v="272"/>
          </reference>
        </references>
      </pivotArea>
    </format>
    <format dxfId="2053">
      <pivotArea dataOnly="0" labelOnly="1" outline="0" fieldPosition="0">
        <references count="1">
          <reference field="10" count="1">
            <x v="273"/>
          </reference>
        </references>
      </pivotArea>
    </format>
    <format dxfId="2054">
      <pivotArea dataOnly="0" labelOnly="1" outline="0" fieldPosition="0">
        <references count="1">
          <reference field="10" count="1" defaultSubtotal="1">
            <x v="273"/>
          </reference>
        </references>
      </pivotArea>
    </format>
    <format dxfId="2055">
      <pivotArea dataOnly="0" labelOnly="1" outline="0" fieldPosition="0">
        <references count="1">
          <reference field="10" count="1">
            <x v="274"/>
          </reference>
        </references>
      </pivotArea>
    </format>
    <format dxfId="2056">
      <pivotArea dataOnly="0" labelOnly="1" outline="0" fieldPosition="0">
        <references count="1">
          <reference field="10" count="1" defaultSubtotal="1">
            <x v="274"/>
          </reference>
        </references>
      </pivotArea>
    </format>
    <format dxfId="2057">
      <pivotArea dataOnly="0" labelOnly="1" outline="0" fieldPosition="0">
        <references count="1">
          <reference field="10" count="1">
            <x v="275"/>
          </reference>
        </references>
      </pivotArea>
    </format>
    <format dxfId="2058">
      <pivotArea dataOnly="0" labelOnly="1" outline="0" fieldPosition="0">
        <references count="1">
          <reference field="10" count="1" defaultSubtotal="1">
            <x v="275"/>
          </reference>
        </references>
      </pivotArea>
    </format>
    <format dxfId="2059">
      <pivotArea dataOnly="0" labelOnly="1" outline="0" fieldPosition="0">
        <references count="1">
          <reference field="10" count="1">
            <x v="277"/>
          </reference>
        </references>
      </pivotArea>
    </format>
    <format dxfId="2060">
      <pivotArea dataOnly="0" labelOnly="1" outline="0" fieldPosition="0">
        <references count="1">
          <reference field="10" count="1" defaultSubtotal="1">
            <x v="277"/>
          </reference>
        </references>
      </pivotArea>
    </format>
    <format dxfId="2061">
      <pivotArea dataOnly="0" labelOnly="1" outline="0" fieldPosition="0">
        <references count="1">
          <reference field="10" count="1">
            <x v="278"/>
          </reference>
        </references>
      </pivotArea>
    </format>
    <format dxfId="2062">
      <pivotArea dataOnly="0" labelOnly="1" outline="0" fieldPosition="0">
        <references count="1">
          <reference field="10" count="1" defaultSubtotal="1">
            <x v="278"/>
          </reference>
        </references>
      </pivotArea>
    </format>
    <format dxfId="2063">
      <pivotArea dataOnly="0" labelOnly="1" outline="0" fieldPosition="0">
        <references count="1">
          <reference field="10" count="1">
            <x v="279"/>
          </reference>
        </references>
      </pivotArea>
    </format>
    <format dxfId="2064">
      <pivotArea dataOnly="0" labelOnly="1" outline="0" fieldPosition="0">
        <references count="1">
          <reference field="10" count="1" defaultSubtotal="1">
            <x v="279"/>
          </reference>
        </references>
      </pivotArea>
    </format>
    <format dxfId="2065">
      <pivotArea dataOnly="0" labelOnly="1" outline="0" fieldPosition="0">
        <references count="1">
          <reference field="10" count="1">
            <x v="282"/>
          </reference>
        </references>
      </pivotArea>
    </format>
    <format dxfId="2066">
      <pivotArea dataOnly="0" labelOnly="1" outline="0" fieldPosition="0">
        <references count="1">
          <reference field="10" count="1" defaultSubtotal="1">
            <x v="282"/>
          </reference>
        </references>
      </pivotArea>
    </format>
    <format dxfId="2067">
      <pivotArea dataOnly="0" labelOnly="1" outline="0" fieldPosition="0">
        <references count="1">
          <reference field="10" count="1">
            <x v="283"/>
          </reference>
        </references>
      </pivotArea>
    </format>
    <format dxfId="2068">
      <pivotArea dataOnly="0" labelOnly="1" outline="0" fieldPosition="0">
        <references count="1">
          <reference field="10" count="1" defaultSubtotal="1">
            <x v="283"/>
          </reference>
        </references>
      </pivotArea>
    </format>
    <format dxfId="2069">
      <pivotArea dataOnly="0" labelOnly="1" outline="0" fieldPosition="0">
        <references count="1">
          <reference field="10" count="1">
            <x v="284"/>
          </reference>
        </references>
      </pivotArea>
    </format>
    <format dxfId="2070">
      <pivotArea dataOnly="0" labelOnly="1" outline="0" fieldPosition="0">
        <references count="1">
          <reference field="10" count="1" defaultSubtotal="1">
            <x v="284"/>
          </reference>
        </references>
      </pivotArea>
    </format>
    <format dxfId="2071">
      <pivotArea dataOnly="0" labelOnly="1" outline="0" fieldPosition="0">
        <references count="1">
          <reference field="10" count="1">
            <x v="288"/>
          </reference>
        </references>
      </pivotArea>
    </format>
    <format dxfId="2072">
      <pivotArea dataOnly="0" labelOnly="1" outline="0" fieldPosition="0">
        <references count="1">
          <reference field="10" count="1" defaultSubtotal="1">
            <x v="288"/>
          </reference>
        </references>
      </pivotArea>
    </format>
    <format dxfId="2073">
      <pivotArea dataOnly="0" labelOnly="1" outline="0" fieldPosition="0">
        <references count="1">
          <reference field="10" count="1">
            <x v="292"/>
          </reference>
        </references>
      </pivotArea>
    </format>
    <format dxfId="2074">
      <pivotArea dataOnly="0" labelOnly="1" outline="0" fieldPosition="0">
        <references count="1">
          <reference field="10" count="1" defaultSubtotal="1">
            <x v="292"/>
          </reference>
        </references>
      </pivotArea>
    </format>
    <format dxfId="2075">
      <pivotArea dataOnly="0" labelOnly="1" outline="0" fieldPosition="0">
        <references count="1">
          <reference field="10" count="1">
            <x v="293"/>
          </reference>
        </references>
      </pivotArea>
    </format>
    <format dxfId="2076">
      <pivotArea dataOnly="0" labelOnly="1" outline="0" fieldPosition="0">
        <references count="1">
          <reference field="10" count="1" defaultSubtotal="1">
            <x v="293"/>
          </reference>
        </references>
      </pivotArea>
    </format>
    <format dxfId="2077">
      <pivotArea dataOnly="0" labelOnly="1" outline="0" fieldPosition="0">
        <references count="1">
          <reference field="10" count="1">
            <x v="294"/>
          </reference>
        </references>
      </pivotArea>
    </format>
    <format dxfId="2078">
      <pivotArea dataOnly="0" labelOnly="1" outline="0" fieldPosition="0">
        <references count="1">
          <reference field="10" count="1" defaultSubtotal="1">
            <x v="294"/>
          </reference>
        </references>
      </pivotArea>
    </format>
    <format dxfId="2079">
      <pivotArea dataOnly="0" labelOnly="1" outline="0" fieldPosition="0">
        <references count="1">
          <reference field="10" count="1">
            <x v="296"/>
          </reference>
        </references>
      </pivotArea>
    </format>
    <format dxfId="2080">
      <pivotArea dataOnly="0" labelOnly="1" outline="0" fieldPosition="0">
        <references count="1">
          <reference field="10" count="1" defaultSubtotal="1">
            <x v="296"/>
          </reference>
        </references>
      </pivotArea>
    </format>
    <format dxfId="2081">
      <pivotArea dataOnly="0" labelOnly="1" outline="0" fieldPosition="0">
        <references count="1">
          <reference field="10" count="1">
            <x v="297"/>
          </reference>
        </references>
      </pivotArea>
    </format>
    <format dxfId="2082">
      <pivotArea dataOnly="0" labelOnly="1" outline="0" fieldPosition="0">
        <references count="1">
          <reference field="10" count="1" defaultSubtotal="1">
            <x v="297"/>
          </reference>
        </references>
      </pivotArea>
    </format>
    <format dxfId="2083">
      <pivotArea dataOnly="0" labelOnly="1" outline="0" fieldPosition="0">
        <references count="1">
          <reference field="10" count="1">
            <x v="298"/>
          </reference>
        </references>
      </pivotArea>
    </format>
    <format dxfId="2084">
      <pivotArea dataOnly="0" labelOnly="1" outline="0" fieldPosition="0">
        <references count="1">
          <reference field="10" count="1" defaultSubtotal="1">
            <x v="298"/>
          </reference>
        </references>
      </pivotArea>
    </format>
    <format dxfId="2085">
      <pivotArea dataOnly="0" labelOnly="1" outline="0" fieldPosition="0">
        <references count="1">
          <reference field="10" count="1">
            <x v="299"/>
          </reference>
        </references>
      </pivotArea>
    </format>
    <format dxfId="2086">
      <pivotArea dataOnly="0" labelOnly="1" outline="0" fieldPosition="0">
        <references count="1">
          <reference field="10" count="1" defaultSubtotal="1">
            <x v="299"/>
          </reference>
        </references>
      </pivotArea>
    </format>
    <format dxfId="2087">
      <pivotArea dataOnly="0" labelOnly="1" outline="0" fieldPosition="0">
        <references count="1">
          <reference field="10" count="1">
            <x v="301"/>
          </reference>
        </references>
      </pivotArea>
    </format>
    <format dxfId="2088">
      <pivotArea dataOnly="0" labelOnly="1" outline="0" fieldPosition="0">
        <references count="1">
          <reference field="10" count="1" defaultSubtotal="1">
            <x v="301"/>
          </reference>
        </references>
      </pivotArea>
    </format>
    <format dxfId="2089">
      <pivotArea dataOnly="0" labelOnly="1" outline="0" fieldPosition="0">
        <references count="1">
          <reference field="10" count="1">
            <x v="302"/>
          </reference>
        </references>
      </pivotArea>
    </format>
    <format dxfId="2090">
      <pivotArea dataOnly="0" labelOnly="1" outline="0" fieldPosition="0">
        <references count="1">
          <reference field="10" count="1" defaultSubtotal="1">
            <x v="302"/>
          </reference>
        </references>
      </pivotArea>
    </format>
    <format dxfId="2091">
      <pivotArea dataOnly="0" labelOnly="1" outline="0" fieldPosition="0">
        <references count="1">
          <reference field="10" count="1">
            <x v="303"/>
          </reference>
        </references>
      </pivotArea>
    </format>
    <format dxfId="2092">
      <pivotArea dataOnly="0" labelOnly="1" outline="0" fieldPosition="0">
        <references count="1">
          <reference field="10" count="1" defaultSubtotal="1">
            <x v="303"/>
          </reference>
        </references>
      </pivotArea>
    </format>
    <format dxfId="2093">
      <pivotArea dataOnly="0" labelOnly="1" outline="0" fieldPosition="0">
        <references count="1">
          <reference field="10" count="1">
            <x v="305"/>
          </reference>
        </references>
      </pivotArea>
    </format>
    <format dxfId="2094">
      <pivotArea dataOnly="0" labelOnly="1" outline="0" fieldPosition="0">
        <references count="1">
          <reference field="10" count="1" defaultSubtotal="1">
            <x v="305"/>
          </reference>
        </references>
      </pivotArea>
    </format>
    <format dxfId="2095">
      <pivotArea dataOnly="0" labelOnly="1" outline="0" fieldPosition="0">
        <references count="1">
          <reference field="10" count="1">
            <x v="306"/>
          </reference>
        </references>
      </pivotArea>
    </format>
    <format dxfId="2096">
      <pivotArea dataOnly="0" labelOnly="1" outline="0" fieldPosition="0">
        <references count="1">
          <reference field="10" count="1" defaultSubtotal="1">
            <x v="306"/>
          </reference>
        </references>
      </pivotArea>
    </format>
    <format dxfId="2097">
      <pivotArea dataOnly="0" labelOnly="1" outline="0" fieldPosition="0">
        <references count="1">
          <reference field="10" count="1">
            <x v="307"/>
          </reference>
        </references>
      </pivotArea>
    </format>
    <format dxfId="2098">
      <pivotArea dataOnly="0" labelOnly="1" outline="0" fieldPosition="0">
        <references count="1">
          <reference field="10" count="1" defaultSubtotal="1">
            <x v="307"/>
          </reference>
        </references>
      </pivotArea>
    </format>
    <format dxfId="2099">
      <pivotArea dataOnly="0" labelOnly="1" outline="0" fieldPosition="0">
        <references count="1">
          <reference field="10" count="1">
            <x v="308"/>
          </reference>
        </references>
      </pivotArea>
    </format>
    <format dxfId="2100">
      <pivotArea dataOnly="0" labelOnly="1" outline="0" fieldPosition="0">
        <references count="1">
          <reference field="10" count="1" defaultSubtotal="1">
            <x v="308"/>
          </reference>
        </references>
      </pivotArea>
    </format>
    <format dxfId="2101">
      <pivotArea dataOnly="0" labelOnly="1" outline="0" fieldPosition="0">
        <references count="1">
          <reference field="10" count="1">
            <x v="309"/>
          </reference>
        </references>
      </pivotArea>
    </format>
    <format dxfId="2102">
      <pivotArea dataOnly="0" labelOnly="1" outline="0" fieldPosition="0">
        <references count="1">
          <reference field="10" count="1" defaultSubtotal="1">
            <x v="309"/>
          </reference>
        </references>
      </pivotArea>
    </format>
    <format dxfId="2103">
      <pivotArea dataOnly="0" labelOnly="1" outline="0" fieldPosition="0">
        <references count="1">
          <reference field="10" count="1">
            <x v="311"/>
          </reference>
        </references>
      </pivotArea>
    </format>
    <format dxfId="2104">
      <pivotArea dataOnly="0" labelOnly="1" outline="0" fieldPosition="0">
        <references count="1">
          <reference field="10" count="1" defaultSubtotal="1">
            <x v="311"/>
          </reference>
        </references>
      </pivotArea>
    </format>
    <format dxfId="2105">
      <pivotArea dataOnly="0" labelOnly="1" outline="0" fieldPosition="0">
        <references count="1">
          <reference field="10" count="1">
            <x v="314"/>
          </reference>
        </references>
      </pivotArea>
    </format>
    <format dxfId="2106">
      <pivotArea dataOnly="0" labelOnly="1" outline="0" fieldPosition="0">
        <references count="1">
          <reference field="10" count="1" defaultSubtotal="1">
            <x v="314"/>
          </reference>
        </references>
      </pivotArea>
    </format>
    <format dxfId="2107">
      <pivotArea dataOnly="0" labelOnly="1" outline="0" fieldPosition="0">
        <references count="1">
          <reference field="10" count="1">
            <x v="315"/>
          </reference>
        </references>
      </pivotArea>
    </format>
    <format dxfId="2108">
      <pivotArea dataOnly="0" labelOnly="1" outline="0" fieldPosition="0">
        <references count="1">
          <reference field="10" count="1" defaultSubtotal="1">
            <x v="315"/>
          </reference>
        </references>
      </pivotArea>
    </format>
    <format dxfId="2109">
      <pivotArea dataOnly="0" labelOnly="1" outline="0" fieldPosition="0">
        <references count="1">
          <reference field="10" count="1">
            <x v="317"/>
          </reference>
        </references>
      </pivotArea>
    </format>
    <format dxfId="2110">
      <pivotArea dataOnly="0" labelOnly="1" outline="0" fieldPosition="0">
        <references count="1">
          <reference field="10" count="1" defaultSubtotal="1">
            <x v="317"/>
          </reference>
        </references>
      </pivotArea>
    </format>
    <format dxfId="2111">
      <pivotArea dataOnly="0" labelOnly="1" outline="0" fieldPosition="0">
        <references count="1">
          <reference field="10" count="1">
            <x v="319"/>
          </reference>
        </references>
      </pivotArea>
    </format>
    <format dxfId="2112">
      <pivotArea dataOnly="0" labelOnly="1" outline="0" fieldPosition="0">
        <references count="1">
          <reference field="10" count="1" defaultSubtotal="1">
            <x v="319"/>
          </reference>
        </references>
      </pivotArea>
    </format>
    <format dxfId="2113">
      <pivotArea dataOnly="0" labelOnly="1" outline="0" fieldPosition="0">
        <references count="1">
          <reference field="10" count="1">
            <x v="320"/>
          </reference>
        </references>
      </pivotArea>
    </format>
    <format dxfId="2114">
      <pivotArea dataOnly="0" labelOnly="1" outline="0" fieldPosition="0">
        <references count="1">
          <reference field="10" count="1" defaultSubtotal="1">
            <x v="320"/>
          </reference>
        </references>
      </pivotArea>
    </format>
    <format dxfId="2115">
      <pivotArea dataOnly="0" labelOnly="1" outline="0" fieldPosition="0">
        <references count="1">
          <reference field="10" count="1">
            <x v="322"/>
          </reference>
        </references>
      </pivotArea>
    </format>
    <format dxfId="2116">
      <pivotArea dataOnly="0" labelOnly="1" outline="0" fieldPosition="0">
        <references count="1">
          <reference field="10" count="1" defaultSubtotal="1">
            <x v="322"/>
          </reference>
        </references>
      </pivotArea>
    </format>
    <format dxfId="2117">
      <pivotArea dataOnly="0" labelOnly="1" outline="0" fieldPosition="0">
        <references count="1">
          <reference field="10" count="1">
            <x v="323"/>
          </reference>
        </references>
      </pivotArea>
    </format>
    <format dxfId="2118">
      <pivotArea dataOnly="0" labelOnly="1" outline="0" fieldPosition="0">
        <references count="1">
          <reference field="10" count="1" defaultSubtotal="1">
            <x v="323"/>
          </reference>
        </references>
      </pivotArea>
    </format>
    <format dxfId="2119">
      <pivotArea dataOnly="0" labelOnly="1" outline="0" fieldPosition="0">
        <references count="1">
          <reference field="10" count="1">
            <x v="325"/>
          </reference>
        </references>
      </pivotArea>
    </format>
    <format dxfId="2120">
      <pivotArea dataOnly="0" labelOnly="1" outline="0" fieldPosition="0">
        <references count="1">
          <reference field="10" count="1" defaultSubtotal="1">
            <x v="325"/>
          </reference>
        </references>
      </pivotArea>
    </format>
    <format dxfId="2121">
      <pivotArea dataOnly="0" labelOnly="1" outline="0" fieldPosition="0">
        <references count="1">
          <reference field="10" count="1">
            <x v="326"/>
          </reference>
        </references>
      </pivotArea>
    </format>
    <format dxfId="2122">
      <pivotArea dataOnly="0" labelOnly="1" outline="0" fieldPosition="0">
        <references count="1">
          <reference field="10" count="1" defaultSubtotal="1">
            <x v="326"/>
          </reference>
        </references>
      </pivotArea>
    </format>
    <format dxfId="2123">
      <pivotArea dataOnly="0" labelOnly="1" outline="0" fieldPosition="0">
        <references count="1">
          <reference field="10" count="1">
            <x v="328"/>
          </reference>
        </references>
      </pivotArea>
    </format>
    <format dxfId="2124">
      <pivotArea dataOnly="0" labelOnly="1" outline="0" fieldPosition="0">
        <references count="1">
          <reference field="10" count="1" defaultSubtotal="1">
            <x v="328"/>
          </reference>
        </references>
      </pivotArea>
    </format>
    <format dxfId="2125">
      <pivotArea dataOnly="0" labelOnly="1" outline="0" fieldPosition="0">
        <references count="1">
          <reference field="10" count="1">
            <x v="329"/>
          </reference>
        </references>
      </pivotArea>
    </format>
    <format dxfId="2126">
      <pivotArea dataOnly="0" labelOnly="1" outline="0" fieldPosition="0">
        <references count="1">
          <reference field="10" count="1" defaultSubtotal="1">
            <x v="329"/>
          </reference>
        </references>
      </pivotArea>
    </format>
    <format dxfId="2127">
      <pivotArea dataOnly="0" labelOnly="1" outline="0" fieldPosition="0">
        <references count="1">
          <reference field="10" count="1">
            <x v="330"/>
          </reference>
        </references>
      </pivotArea>
    </format>
    <format dxfId="2128">
      <pivotArea dataOnly="0" labelOnly="1" outline="0" fieldPosition="0">
        <references count="1">
          <reference field="10" count="1" defaultSubtotal="1">
            <x v="330"/>
          </reference>
        </references>
      </pivotArea>
    </format>
    <format dxfId="2129">
      <pivotArea dataOnly="0" labelOnly="1" outline="0" fieldPosition="0">
        <references count="1">
          <reference field="10" count="1">
            <x v="331"/>
          </reference>
        </references>
      </pivotArea>
    </format>
    <format dxfId="2130">
      <pivotArea dataOnly="0" labelOnly="1" outline="0" fieldPosition="0">
        <references count="1">
          <reference field="10" count="1" defaultSubtotal="1">
            <x v="331"/>
          </reference>
        </references>
      </pivotArea>
    </format>
    <format dxfId="2131">
      <pivotArea dataOnly="0" labelOnly="1" outline="0" fieldPosition="0">
        <references count="1">
          <reference field="10" count="1">
            <x v="335"/>
          </reference>
        </references>
      </pivotArea>
    </format>
    <format dxfId="2132">
      <pivotArea dataOnly="0" labelOnly="1" outline="0" fieldPosition="0">
        <references count="1">
          <reference field="10" count="1" defaultSubtotal="1">
            <x v="335"/>
          </reference>
        </references>
      </pivotArea>
    </format>
    <format dxfId="2133">
      <pivotArea dataOnly="0" labelOnly="1" outline="0" fieldPosition="0">
        <references count="1">
          <reference field="10" count="1">
            <x v="336"/>
          </reference>
        </references>
      </pivotArea>
    </format>
    <format dxfId="2134">
      <pivotArea dataOnly="0" labelOnly="1" outline="0" fieldPosition="0">
        <references count="1">
          <reference field="10" count="1" defaultSubtotal="1">
            <x v="336"/>
          </reference>
        </references>
      </pivotArea>
    </format>
    <format dxfId="2135">
      <pivotArea dataOnly="0" labelOnly="1" outline="0" fieldPosition="0">
        <references count="1">
          <reference field="10" count="1">
            <x v="337"/>
          </reference>
        </references>
      </pivotArea>
    </format>
    <format dxfId="2136">
      <pivotArea dataOnly="0" labelOnly="1" outline="0" fieldPosition="0">
        <references count="1">
          <reference field="10" count="1" defaultSubtotal="1">
            <x v="337"/>
          </reference>
        </references>
      </pivotArea>
    </format>
    <format dxfId="2137">
      <pivotArea dataOnly="0" labelOnly="1" outline="0" fieldPosition="0">
        <references count="1">
          <reference field="10" count="1">
            <x v="339"/>
          </reference>
        </references>
      </pivotArea>
    </format>
    <format dxfId="2138">
      <pivotArea dataOnly="0" labelOnly="1" outline="0" fieldPosition="0">
        <references count="1">
          <reference field="10" count="1" defaultSubtotal="1">
            <x v="339"/>
          </reference>
        </references>
      </pivotArea>
    </format>
    <format dxfId="2139">
      <pivotArea dataOnly="0" labelOnly="1" outline="0" fieldPosition="0">
        <references count="1">
          <reference field="10" count="1">
            <x v="340"/>
          </reference>
        </references>
      </pivotArea>
    </format>
    <format dxfId="2140">
      <pivotArea dataOnly="0" labelOnly="1" outline="0" fieldPosition="0">
        <references count="1">
          <reference field="10" count="1" defaultSubtotal="1">
            <x v="340"/>
          </reference>
        </references>
      </pivotArea>
    </format>
    <format dxfId="2141">
      <pivotArea dataOnly="0" labelOnly="1" outline="0" fieldPosition="0">
        <references count="1">
          <reference field="10" count="1">
            <x v="342"/>
          </reference>
        </references>
      </pivotArea>
    </format>
    <format dxfId="2142">
      <pivotArea dataOnly="0" labelOnly="1" outline="0" fieldPosition="0">
        <references count="1">
          <reference field="10" count="1" defaultSubtotal="1">
            <x v="342"/>
          </reference>
        </references>
      </pivotArea>
    </format>
    <format dxfId="2143">
      <pivotArea dataOnly="0" labelOnly="1" outline="0" fieldPosition="0">
        <references count="1">
          <reference field="10" count="1">
            <x v="343"/>
          </reference>
        </references>
      </pivotArea>
    </format>
    <format dxfId="2144">
      <pivotArea dataOnly="0" labelOnly="1" outline="0" fieldPosition="0">
        <references count="1">
          <reference field="10" count="1" defaultSubtotal="1">
            <x v="343"/>
          </reference>
        </references>
      </pivotArea>
    </format>
    <format dxfId="2145">
      <pivotArea dataOnly="0" labelOnly="1" outline="0" fieldPosition="0">
        <references count="1">
          <reference field="10" count="1">
            <x v="345"/>
          </reference>
        </references>
      </pivotArea>
    </format>
    <format dxfId="2146">
      <pivotArea dataOnly="0" labelOnly="1" outline="0" fieldPosition="0">
        <references count="1">
          <reference field="10" count="1" defaultSubtotal="1">
            <x v="345"/>
          </reference>
        </references>
      </pivotArea>
    </format>
    <format dxfId="2147">
      <pivotArea dataOnly="0" labelOnly="1" outline="0" fieldPosition="0">
        <references count="1">
          <reference field="10" count="1">
            <x v="346"/>
          </reference>
        </references>
      </pivotArea>
    </format>
    <format dxfId="2148">
      <pivotArea dataOnly="0" labelOnly="1" outline="0" fieldPosition="0">
        <references count="1">
          <reference field="10" count="1" defaultSubtotal="1">
            <x v="346"/>
          </reference>
        </references>
      </pivotArea>
    </format>
    <format dxfId="2149">
      <pivotArea dataOnly="0" labelOnly="1" outline="0" fieldPosition="0">
        <references count="1">
          <reference field="10" count="1">
            <x v="348"/>
          </reference>
        </references>
      </pivotArea>
    </format>
    <format dxfId="2150">
      <pivotArea dataOnly="0" labelOnly="1" outline="0" fieldPosition="0">
        <references count="1">
          <reference field="10" count="1" defaultSubtotal="1">
            <x v="348"/>
          </reference>
        </references>
      </pivotArea>
    </format>
    <format dxfId="2151">
      <pivotArea dataOnly="0" labelOnly="1" outline="0" fieldPosition="0">
        <references count="1">
          <reference field="10" count="1">
            <x v="354"/>
          </reference>
        </references>
      </pivotArea>
    </format>
    <format dxfId="2152">
      <pivotArea dataOnly="0" labelOnly="1" outline="0" fieldPosition="0">
        <references count="1">
          <reference field="10" count="1" defaultSubtotal="1">
            <x v="354"/>
          </reference>
        </references>
      </pivotArea>
    </format>
    <format dxfId="2153">
      <pivotArea dataOnly="0" labelOnly="1" outline="0" fieldPosition="0">
        <references count="1">
          <reference field="10" count="1">
            <x v="355"/>
          </reference>
        </references>
      </pivotArea>
    </format>
    <format dxfId="2154">
      <pivotArea dataOnly="0" labelOnly="1" outline="0" fieldPosition="0">
        <references count="1">
          <reference field="10" count="1" defaultSubtotal="1">
            <x v="355"/>
          </reference>
        </references>
      </pivotArea>
    </format>
    <format dxfId="2155">
      <pivotArea dataOnly="0" labelOnly="1" outline="0" fieldPosition="0">
        <references count="1">
          <reference field="10" count="1">
            <x v="356"/>
          </reference>
        </references>
      </pivotArea>
    </format>
    <format dxfId="2156">
      <pivotArea dataOnly="0" labelOnly="1" outline="0" fieldPosition="0">
        <references count="1">
          <reference field="10" count="1" defaultSubtotal="1">
            <x v="356"/>
          </reference>
        </references>
      </pivotArea>
    </format>
    <format dxfId="2157">
      <pivotArea dataOnly="0" labelOnly="1" outline="0" fieldPosition="0">
        <references count="1">
          <reference field="10" count="1">
            <x v="357"/>
          </reference>
        </references>
      </pivotArea>
    </format>
    <format dxfId="2158">
      <pivotArea dataOnly="0" labelOnly="1" outline="0" fieldPosition="0">
        <references count="1">
          <reference field="10" count="1" defaultSubtotal="1">
            <x v="357"/>
          </reference>
        </references>
      </pivotArea>
    </format>
    <format dxfId="2159">
      <pivotArea dataOnly="0" labelOnly="1" outline="0" fieldPosition="0">
        <references count="1">
          <reference field="10" count="1">
            <x v="360"/>
          </reference>
        </references>
      </pivotArea>
    </format>
    <format dxfId="2160">
      <pivotArea dataOnly="0" labelOnly="1" outline="0" fieldPosition="0">
        <references count="1">
          <reference field="10" count="1" defaultSubtotal="1">
            <x v="360"/>
          </reference>
        </references>
      </pivotArea>
    </format>
    <format dxfId="2161">
      <pivotArea dataOnly="0" labelOnly="1" outline="0" fieldPosition="0">
        <references count="1">
          <reference field="10" count="1">
            <x v="361"/>
          </reference>
        </references>
      </pivotArea>
    </format>
    <format dxfId="2162">
      <pivotArea dataOnly="0" labelOnly="1" outline="0" fieldPosition="0">
        <references count="1">
          <reference field="10" count="1" defaultSubtotal="1">
            <x v="361"/>
          </reference>
        </references>
      </pivotArea>
    </format>
    <format dxfId="2163">
      <pivotArea dataOnly="0" labelOnly="1" outline="0" fieldPosition="0">
        <references count="1">
          <reference field="10" count="1">
            <x v="362"/>
          </reference>
        </references>
      </pivotArea>
    </format>
    <format dxfId="2164">
      <pivotArea dataOnly="0" labelOnly="1" outline="0" fieldPosition="0">
        <references count="1">
          <reference field="10" count="1" defaultSubtotal="1">
            <x v="362"/>
          </reference>
        </references>
      </pivotArea>
    </format>
    <format dxfId="2165">
      <pivotArea dataOnly="0" labelOnly="1" outline="0" fieldPosition="0">
        <references count="1">
          <reference field="10" count="1">
            <x v="364"/>
          </reference>
        </references>
      </pivotArea>
    </format>
    <format dxfId="2166">
      <pivotArea dataOnly="0" labelOnly="1" outline="0" fieldPosition="0">
        <references count="1">
          <reference field="10" count="1" defaultSubtotal="1">
            <x v="364"/>
          </reference>
        </references>
      </pivotArea>
    </format>
    <format dxfId="2167">
      <pivotArea dataOnly="0" labelOnly="1" outline="0" fieldPosition="0">
        <references count="1">
          <reference field="10" count="1">
            <x v="365"/>
          </reference>
        </references>
      </pivotArea>
    </format>
    <format dxfId="2168">
      <pivotArea dataOnly="0" labelOnly="1" outline="0" fieldPosition="0">
        <references count="1">
          <reference field="10" count="1" defaultSubtotal="1">
            <x v="365"/>
          </reference>
        </references>
      </pivotArea>
    </format>
    <format dxfId="2169">
      <pivotArea dataOnly="0" labelOnly="1" outline="0" fieldPosition="0">
        <references count="1">
          <reference field="10" count="1">
            <x v="366"/>
          </reference>
        </references>
      </pivotArea>
    </format>
    <format dxfId="2170">
      <pivotArea dataOnly="0" labelOnly="1" outline="0" fieldPosition="0">
        <references count="1">
          <reference field="10" count="1" defaultSubtotal="1">
            <x v="366"/>
          </reference>
        </references>
      </pivotArea>
    </format>
    <format dxfId="2171">
      <pivotArea dataOnly="0" labelOnly="1" outline="0" fieldPosition="0">
        <references count="1">
          <reference field="10" count="1">
            <x v="367"/>
          </reference>
        </references>
      </pivotArea>
    </format>
    <format dxfId="2172">
      <pivotArea dataOnly="0" labelOnly="1" outline="0" fieldPosition="0">
        <references count="1">
          <reference field="10" count="1" defaultSubtotal="1">
            <x v="367"/>
          </reference>
        </references>
      </pivotArea>
    </format>
    <format dxfId="2173">
      <pivotArea dataOnly="0" labelOnly="1" outline="0" fieldPosition="0">
        <references count="1">
          <reference field="10" count="1">
            <x v="369"/>
          </reference>
        </references>
      </pivotArea>
    </format>
    <format dxfId="2174">
      <pivotArea dataOnly="0" labelOnly="1" outline="0" fieldPosition="0">
        <references count="1">
          <reference field="10" count="1" defaultSubtotal="1">
            <x v="369"/>
          </reference>
        </references>
      </pivotArea>
    </format>
    <format dxfId="2175">
      <pivotArea dataOnly="0" labelOnly="1" outline="0" fieldPosition="0">
        <references count="1">
          <reference field="10" count="1">
            <x v="373"/>
          </reference>
        </references>
      </pivotArea>
    </format>
    <format dxfId="2176">
      <pivotArea dataOnly="0" labelOnly="1" outline="0" fieldPosition="0">
        <references count="1">
          <reference field="10" count="1" defaultSubtotal="1">
            <x v="373"/>
          </reference>
        </references>
      </pivotArea>
    </format>
    <format dxfId="2177">
      <pivotArea dataOnly="0" labelOnly="1" outline="0" fieldPosition="0">
        <references count="1">
          <reference field="10" count="1">
            <x v="376"/>
          </reference>
        </references>
      </pivotArea>
    </format>
    <format dxfId="2178">
      <pivotArea dataOnly="0" labelOnly="1" outline="0" fieldPosition="0">
        <references count="1">
          <reference field="10" count="1" defaultSubtotal="1">
            <x v="376"/>
          </reference>
        </references>
      </pivotArea>
    </format>
    <format dxfId="2179">
      <pivotArea dataOnly="0" labelOnly="1" outline="0" fieldPosition="0">
        <references count="1">
          <reference field="10" count="1">
            <x v="378"/>
          </reference>
        </references>
      </pivotArea>
    </format>
    <format dxfId="2180">
      <pivotArea dataOnly="0" labelOnly="1" outline="0" fieldPosition="0">
        <references count="1">
          <reference field="10" count="1" defaultSubtotal="1">
            <x v="378"/>
          </reference>
        </references>
      </pivotArea>
    </format>
    <format dxfId="2181">
      <pivotArea dataOnly="0" labelOnly="1" outline="0" fieldPosition="0">
        <references count="1">
          <reference field="10" count="1">
            <x v="380"/>
          </reference>
        </references>
      </pivotArea>
    </format>
    <format dxfId="2182">
      <pivotArea dataOnly="0" labelOnly="1" outline="0" fieldPosition="0">
        <references count="1">
          <reference field="10" count="1" defaultSubtotal="1">
            <x v="380"/>
          </reference>
        </references>
      </pivotArea>
    </format>
    <format dxfId="2183">
      <pivotArea dataOnly="0" labelOnly="1" outline="0" fieldPosition="0">
        <references count="1">
          <reference field="10" count="1">
            <x v="381"/>
          </reference>
        </references>
      </pivotArea>
    </format>
    <format dxfId="2184">
      <pivotArea dataOnly="0" labelOnly="1" outline="0" fieldPosition="0">
        <references count="1">
          <reference field="10" count="1" defaultSubtotal="1">
            <x v="381"/>
          </reference>
        </references>
      </pivotArea>
    </format>
    <format dxfId="2185">
      <pivotArea dataOnly="0" labelOnly="1" outline="0" fieldPosition="0">
        <references count="1">
          <reference field="10" count="1">
            <x v="382"/>
          </reference>
        </references>
      </pivotArea>
    </format>
    <format dxfId="2186">
      <pivotArea dataOnly="0" labelOnly="1" outline="0" fieldPosition="0">
        <references count="1">
          <reference field="10" count="1" defaultSubtotal="1">
            <x v="382"/>
          </reference>
        </references>
      </pivotArea>
    </format>
    <format dxfId="2187">
      <pivotArea dataOnly="0" labelOnly="1" outline="0" fieldPosition="0">
        <references count="1">
          <reference field="10" count="1">
            <x v="383"/>
          </reference>
        </references>
      </pivotArea>
    </format>
    <format dxfId="2188">
      <pivotArea dataOnly="0" labelOnly="1" outline="0" fieldPosition="0">
        <references count="1">
          <reference field="10" count="1" defaultSubtotal="1">
            <x v="383"/>
          </reference>
        </references>
      </pivotArea>
    </format>
    <format dxfId="2189">
      <pivotArea dataOnly="0" labelOnly="1" outline="0" fieldPosition="0">
        <references count="1">
          <reference field="10" count="1">
            <x v="385"/>
          </reference>
        </references>
      </pivotArea>
    </format>
    <format dxfId="2190">
      <pivotArea dataOnly="0" labelOnly="1" outline="0" fieldPosition="0">
        <references count="1">
          <reference field="10" count="1" defaultSubtotal="1">
            <x v="385"/>
          </reference>
        </references>
      </pivotArea>
    </format>
    <format dxfId="2191">
      <pivotArea dataOnly="0" labelOnly="1" outline="0" fieldPosition="0">
        <references count="1">
          <reference field="10" count="1">
            <x v="389"/>
          </reference>
        </references>
      </pivotArea>
    </format>
    <format dxfId="2192">
      <pivotArea dataOnly="0" labelOnly="1" outline="0" fieldPosition="0">
        <references count="1">
          <reference field="10" count="1" defaultSubtotal="1">
            <x v="389"/>
          </reference>
        </references>
      </pivotArea>
    </format>
    <format dxfId="2193">
      <pivotArea dataOnly="0" labelOnly="1" outline="0" fieldPosition="0">
        <references count="1">
          <reference field="10" count="1">
            <x v="390"/>
          </reference>
        </references>
      </pivotArea>
    </format>
    <format dxfId="2194">
      <pivotArea dataOnly="0" labelOnly="1" outline="0" fieldPosition="0">
        <references count="1">
          <reference field="10" count="1" defaultSubtotal="1">
            <x v="390"/>
          </reference>
        </references>
      </pivotArea>
    </format>
    <format dxfId="2195">
      <pivotArea dataOnly="0" labelOnly="1" outline="0" fieldPosition="0">
        <references count="1">
          <reference field="10" count="1">
            <x v="391"/>
          </reference>
        </references>
      </pivotArea>
    </format>
    <format dxfId="2196">
      <pivotArea dataOnly="0" labelOnly="1" outline="0" fieldPosition="0">
        <references count="1">
          <reference field="10" count="1" defaultSubtotal="1">
            <x v="391"/>
          </reference>
        </references>
      </pivotArea>
    </format>
    <format dxfId="2197">
      <pivotArea dataOnly="0" labelOnly="1" outline="0" fieldPosition="0">
        <references count="1">
          <reference field="10" count="1">
            <x v="392"/>
          </reference>
        </references>
      </pivotArea>
    </format>
    <format dxfId="2198">
      <pivotArea dataOnly="0" labelOnly="1" outline="0" fieldPosition="0">
        <references count="1">
          <reference field="10" count="1" defaultSubtotal="1">
            <x v="392"/>
          </reference>
        </references>
      </pivotArea>
    </format>
    <format dxfId="2199">
      <pivotArea dataOnly="0" labelOnly="1" outline="0" fieldPosition="0">
        <references count="1">
          <reference field="10" count="1">
            <x v="393"/>
          </reference>
        </references>
      </pivotArea>
    </format>
    <format dxfId="2200">
      <pivotArea dataOnly="0" labelOnly="1" outline="0" fieldPosition="0">
        <references count="1">
          <reference field="10" count="1" defaultSubtotal="1">
            <x v="393"/>
          </reference>
        </references>
      </pivotArea>
    </format>
    <format dxfId="2201">
      <pivotArea dataOnly="0" labelOnly="1" outline="0" fieldPosition="0">
        <references count="1">
          <reference field="10" count="1">
            <x v="397"/>
          </reference>
        </references>
      </pivotArea>
    </format>
    <format dxfId="2202">
      <pivotArea dataOnly="0" labelOnly="1" outline="0" fieldPosition="0">
        <references count="1">
          <reference field="10" count="1" defaultSubtotal="1">
            <x v="397"/>
          </reference>
        </references>
      </pivotArea>
    </format>
    <format dxfId="2203">
      <pivotArea dataOnly="0" labelOnly="1" outline="0" fieldPosition="0">
        <references count="1">
          <reference field="10" count="1">
            <x v="398"/>
          </reference>
        </references>
      </pivotArea>
    </format>
    <format dxfId="2204">
      <pivotArea dataOnly="0" labelOnly="1" outline="0" fieldPosition="0">
        <references count="1">
          <reference field="10" count="1" defaultSubtotal="1">
            <x v="398"/>
          </reference>
        </references>
      </pivotArea>
    </format>
    <format dxfId="2205">
      <pivotArea dataOnly="0" labelOnly="1" outline="0" fieldPosition="0">
        <references count="1">
          <reference field="10" count="1">
            <x v="399"/>
          </reference>
        </references>
      </pivotArea>
    </format>
    <format dxfId="2206">
      <pivotArea dataOnly="0" labelOnly="1" outline="0" fieldPosition="0">
        <references count="1">
          <reference field="10" count="1" defaultSubtotal="1">
            <x v="399"/>
          </reference>
        </references>
      </pivotArea>
    </format>
    <format dxfId="2207">
      <pivotArea dataOnly="0" labelOnly="1" outline="0" fieldPosition="0">
        <references count="1">
          <reference field="10" count="1">
            <x v="404"/>
          </reference>
        </references>
      </pivotArea>
    </format>
    <format dxfId="2208">
      <pivotArea dataOnly="0" labelOnly="1" outline="0" fieldPosition="0">
        <references count="1">
          <reference field="10" count="1" defaultSubtotal="1">
            <x v="404"/>
          </reference>
        </references>
      </pivotArea>
    </format>
    <format dxfId="2209">
      <pivotArea dataOnly="0" labelOnly="1" outline="0" fieldPosition="0">
        <references count="1">
          <reference field="10" count="1">
            <x v="406"/>
          </reference>
        </references>
      </pivotArea>
    </format>
    <format dxfId="2210">
      <pivotArea dataOnly="0" labelOnly="1" outline="0" fieldPosition="0">
        <references count="1">
          <reference field="10" count="1" defaultSubtotal="1">
            <x v="406"/>
          </reference>
        </references>
      </pivotArea>
    </format>
    <format dxfId="2211">
      <pivotArea dataOnly="0" labelOnly="1" outline="0" fieldPosition="0">
        <references count="1">
          <reference field="10" count="1">
            <x v="407"/>
          </reference>
        </references>
      </pivotArea>
    </format>
    <format dxfId="2212">
      <pivotArea dataOnly="0" labelOnly="1" outline="0" fieldPosition="0">
        <references count="1">
          <reference field="10" count="1" defaultSubtotal="1">
            <x v="407"/>
          </reference>
        </references>
      </pivotArea>
    </format>
    <format dxfId="2213">
      <pivotArea dataOnly="0" labelOnly="1" outline="0" fieldPosition="0">
        <references count="1">
          <reference field="10" count="1">
            <x v="408"/>
          </reference>
        </references>
      </pivotArea>
    </format>
    <format dxfId="2214">
      <pivotArea dataOnly="0" labelOnly="1" outline="0" fieldPosition="0">
        <references count="1">
          <reference field="10" count="1" defaultSubtotal="1">
            <x v="408"/>
          </reference>
        </references>
      </pivotArea>
    </format>
    <format dxfId="2215">
      <pivotArea dataOnly="0" labelOnly="1" outline="0" fieldPosition="0">
        <references count="1">
          <reference field="10" count="1">
            <x v="409"/>
          </reference>
        </references>
      </pivotArea>
    </format>
    <format dxfId="2216">
      <pivotArea dataOnly="0" labelOnly="1" outline="0" fieldPosition="0">
        <references count="1">
          <reference field="10" count="1" defaultSubtotal="1">
            <x v="409"/>
          </reference>
        </references>
      </pivotArea>
    </format>
    <format dxfId="2217">
      <pivotArea dataOnly="0" labelOnly="1" outline="0" fieldPosition="0">
        <references count="1">
          <reference field="10" count="1">
            <x v="412"/>
          </reference>
        </references>
      </pivotArea>
    </format>
    <format dxfId="2218">
      <pivotArea dataOnly="0" labelOnly="1" outline="0" fieldPosition="0">
        <references count="1">
          <reference field="10" count="1" defaultSubtotal="1">
            <x v="412"/>
          </reference>
        </references>
      </pivotArea>
    </format>
    <format dxfId="2219">
      <pivotArea dataOnly="0" labelOnly="1" outline="0" fieldPosition="0">
        <references count="1">
          <reference field="10" count="1">
            <x v="413"/>
          </reference>
        </references>
      </pivotArea>
    </format>
    <format dxfId="2220">
      <pivotArea dataOnly="0" labelOnly="1" outline="0" fieldPosition="0">
        <references count="1">
          <reference field="10" count="1" defaultSubtotal="1">
            <x v="413"/>
          </reference>
        </references>
      </pivotArea>
    </format>
    <format dxfId="2221">
      <pivotArea dataOnly="0" labelOnly="1" outline="0" fieldPosition="0">
        <references count="1">
          <reference field="10" count="1">
            <x v="414"/>
          </reference>
        </references>
      </pivotArea>
    </format>
    <format dxfId="2222">
      <pivotArea dataOnly="0" labelOnly="1" outline="0" fieldPosition="0">
        <references count="1">
          <reference field="10" count="1" defaultSubtotal="1">
            <x v="414"/>
          </reference>
        </references>
      </pivotArea>
    </format>
    <format dxfId="2223">
      <pivotArea dataOnly="0" labelOnly="1" outline="0" fieldPosition="0">
        <references count="1">
          <reference field="10" count="1">
            <x v="417"/>
          </reference>
        </references>
      </pivotArea>
    </format>
    <format dxfId="2224">
      <pivotArea dataOnly="0" labelOnly="1" outline="0" fieldPosition="0">
        <references count="1">
          <reference field="10" count="1" defaultSubtotal="1">
            <x v="417"/>
          </reference>
        </references>
      </pivotArea>
    </format>
    <format dxfId="2225">
      <pivotArea dataOnly="0" labelOnly="1" outline="0" fieldPosition="0">
        <references count="1">
          <reference field="10" count="1">
            <x v="418"/>
          </reference>
        </references>
      </pivotArea>
    </format>
    <format dxfId="2226">
      <pivotArea dataOnly="0" labelOnly="1" outline="0" fieldPosition="0">
        <references count="1">
          <reference field="10" count="1" defaultSubtotal="1">
            <x v="418"/>
          </reference>
        </references>
      </pivotArea>
    </format>
    <format dxfId="2227">
      <pivotArea dataOnly="0" labelOnly="1" outline="0" fieldPosition="0">
        <references count="1">
          <reference field="10" count="1">
            <x v="420"/>
          </reference>
        </references>
      </pivotArea>
    </format>
    <format dxfId="2228">
      <pivotArea dataOnly="0" labelOnly="1" outline="0" fieldPosition="0">
        <references count="1">
          <reference field="10" count="1" defaultSubtotal="1">
            <x v="420"/>
          </reference>
        </references>
      </pivotArea>
    </format>
    <format dxfId="2229">
      <pivotArea dataOnly="0" labelOnly="1" outline="0" fieldPosition="0">
        <references count="1">
          <reference field="10" count="1">
            <x v="421"/>
          </reference>
        </references>
      </pivotArea>
    </format>
    <format dxfId="2230">
      <pivotArea dataOnly="0" labelOnly="1" outline="0" fieldPosition="0">
        <references count="1">
          <reference field="10" count="1" defaultSubtotal="1">
            <x v="421"/>
          </reference>
        </references>
      </pivotArea>
    </format>
    <format dxfId="2231">
      <pivotArea dataOnly="0" labelOnly="1" outline="0" fieldPosition="0">
        <references count="1">
          <reference field="10" count="1">
            <x v="422"/>
          </reference>
        </references>
      </pivotArea>
    </format>
    <format dxfId="2232">
      <pivotArea dataOnly="0" labelOnly="1" outline="0" fieldPosition="0">
        <references count="1">
          <reference field="10" count="1" defaultSubtotal="1">
            <x v="422"/>
          </reference>
        </references>
      </pivotArea>
    </format>
    <format dxfId="2233">
      <pivotArea dataOnly="0" labelOnly="1" outline="0" fieldPosition="0">
        <references count="1">
          <reference field="10" count="1">
            <x v="424"/>
          </reference>
        </references>
      </pivotArea>
    </format>
    <format dxfId="2234">
      <pivotArea dataOnly="0" labelOnly="1" outline="0" fieldPosition="0">
        <references count="1">
          <reference field="10" count="1" defaultSubtotal="1">
            <x v="424"/>
          </reference>
        </references>
      </pivotArea>
    </format>
    <format dxfId="2235">
      <pivotArea dataOnly="0" labelOnly="1" outline="0" fieldPosition="0">
        <references count="1">
          <reference field="10" count="1">
            <x v="425"/>
          </reference>
        </references>
      </pivotArea>
    </format>
    <format dxfId="2236">
      <pivotArea dataOnly="0" labelOnly="1" outline="0" fieldPosition="0">
        <references count="1">
          <reference field="10" count="1" defaultSubtotal="1">
            <x v="425"/>
          </reference>
        </references>
      </pivotArea>
    </format>
    <format dxfId="2237">
      <pivotArea dataOnly="0" labelOnly="1" outline="0" fieldPosition="0">
        <references count="1">
          <reference field="10" count="1">
            <x v="427"/>
          </reference>
        </references>
      </pivotArea>
    </format>
    <format dxfId="2238">
      <pivotArea dataOnly="0" labelOnly="1" outline="0" fieldPosition="0">
        <references count="1">
          <reference field="10" count="1" defaultSubtotal="1">
            <x v="427"/>
          </reference>
        </references>
      </pivotArea>
    </format>
    <format dxfId="2239">
      <pivotArea dataOnly="0" labelOnly="1" outline="0" fieldPosition="0">
        <references count="1">
          <reference field="10" count="1">
            <x v="428"/>
          </reference>
        </references>
      </pivotArea>
    </format>
    <format dxfId="2240">
      <pivotArea dataOnly="0" labelOnly="1" outline="0" fieldPosition="0">
        <references count="1">
          <reference field="10" count="1" defaultSubtotal="1">
            <x v="428"/>
          </reference>
        </references>
      </pivotArea>
    </format>
    <format dxfId="2241">
      <pivotArea dataOnly="0" labelOnly="1" outline="0" fieldPosition="0">
        <references count="1">
          <reference field="10" count="1">
            <x v="429"/>
          </reference>
        </references>
      </pivotArea>
    </format>
    <format dxfId="2242">
      <pivotArea dataOnly="0" labelOnly="1" outline="0" fieldPosition="0">
        <references count="1">
          <reference field="10" count="1" defaultSubtotal="1">
            <x v="429"/>
          </reference>
        </references>
      </pivotArea>
    </format>
    <format dxfId="2243">
      <pivotArea dataOnly="0" labelOnly="1" outline="0" fieldPosition="0">
        <references count="1">
          <reference field="10" count="1">
            <x v="433"/>
          </reference>
        </references>
      </pivotArea>
    </format>
    <format dxfId="2244">
      <pivotArea dataOnly="0" labelOnly="1" outline="0" fieldPosition="0">
        <references count="1">
          <reference field="10" count="1" defaultSubtotal="1">
            <x v="433"/>
          </reference>
        </references>
      </pivotArea>
    </format>
    <format dxfId="2245">
      <pivotArea dataOnly="0" labelOnly="1" outline="0" fieldPosition="0">
        <references count="1">
          <reference field="10" count="1">
            <x v="435"/>
          </reference>
        </references>
      </pivotArea>
    </format>
    <format dxfId="2246">
      <pivotArea dataOnly="0" labelOnly="1" outline="0" fieldPosition="0">
        <references count="1">
          <reference field="10" count="1" defaultSubtotal="1">
            <x v="435"/>
          </reference>
        </references>
      </pivotArea>
    </format>
    <format dxfId="2247">
      <pivotArea dataOnly="0" labelOnly="1" outline="0" fieldPosition="0">
        <references count="1">
          <reference field="10" count="1">
            <x v="436"/>
          </reference>
        </references>
      </pivotArea>
    </format>
    <format dxfId="2248">
      <pivotArea dataOnly="0" labelOnly="1" outline="0" fieldPosition="0">
        <references count="1">
          <reference field="10" count="1" defaultSubtotal="1">
            <x v="436"/>
          </reference>
        </references>
      </pivotArea>
    </format>
    <format dxfId="2249">
      <pivotArea dataOnly="0" labelOnly="1" outline="0" fieldPosition="0">
        <references count="1">
          <reference field="10" count="1">
            <x v="438"/>
          </reference>
        </references>
      </pivotArea>
    </format>
    <format dxfId="2250">
      <pivotArea dataOnly="0" labelOnly="1" outline="0" fieldPosition="0">
        <references count="1">
          <reference field="10" count="1" defaultSubtotal="1">
            <x v="438"/>
          </reference>
        </references>
      </pivotArea>
    </format>
    <format dxfId="2251">
      <pivotArea dataOnly="0" labelOnly="1" outline="0" fieldPosition="0">
        <references count="1">
          <reference field="10" count="1">
            <x v="439"/>
          </reference>
        </references>
      </pivotArea>
    </format>
    <format dxfId="2252">
      <pivotArea dataOnly="0" labelOnly="1" outline="0" fieldPosition="0">
        <references count="1">
          <reference field="10" count="1" defaultSubtotal="1">
            <x v="439"/>
          </reference>
        </references>
      </pivotArea>
    </format>
    <format dxfId="2253">
      <pivotArea dataOnly="0" labelOnly="1" outline="0" fieldPosition="0">
        <references count="1">
          <reference field="10" count="1">
            <x v="440"/>
          </reference>
        </references>
      </pivotArea>
    </format>
    <format dxfId="2254">
      <pivotArea dataOnly="0" labelOnly="1" outline="0" fieldPosition="0">
        <references count="1">
          <reference field="10" count="1" defaultSubtotal="1">
            <x v="440"/>
          </reference>
        </references>
      </pivotArea>
    </format>
    <format dxfId="2255">
      <pivotArea dataOnly="0" labelOnly="1" outline="0" fieldPosition="0">
        <references count="1">
          <reference field="10" count="1">
            <x v="441"/>
          </reference>
        </references>
      </pivotArea>
    </format>
    <format dxfId="2256">
      <pivotArea dataOnly="0" labelOnly="1" outline="0" fieldPosition="0">
        <references count="1">
          <reference field="10" count="1" defaultSubtotal="1">
            <x v="441"/>
          </reference>
        </references>
      </pivotArea>
    </format>
    <format dxfId="2257">
      <pivotArea dataOnly="0" labelOnly="1" outline="0" fieldPosition="0">
        <references count="1">
          <reference field="10" count="1">
            <x v="442"/>
          </reference>
        </references>
      </pivotArea>
    </format>
    <format dxfId="2258">
      <pivotArea dataOnly="0" labelOnly="1" outline="0" fieldPosition="0">
        <references count="1">
          <reference field="10" count="1" defaultSubtotal="1">
            <x v="442"/>
          </reference>
        </references>
      </pivotArea>
    </format>
    <format dxfId="2259">
      <pivotArea dataOnly="0" labelOnly="1" outline="0" fieldPosition="0">
        <references count="1">
          <reference field="10" count="1">
            <x v="446"/>
          </reference>
        </references>
      </pivotArea>
    </format>
    <format dxfId="2260">
      <pivotArea dataOnly="0" labelOnly="1" outline="0" fieldPosition="0">
        <references count="1">
          <reference field="10" count="1" defaultSubtotal="1">
            <x v="446"/>
          </reference>
        </references>
      </pivotArea>
    </format>
    <format dxfId="2261">
      <pivotArea dataOnly="0" labelOnly="1" outline="0" fieldPosition="0">
        <references count="1">
          <reference field="10" count="1">
            <x v="447"/>
          </reference>
        </references>
      </pivotArea>
    </format>
    <format dxfId="2262">
      <pivotArea dataOnly="0" labelOnly="1" outline="0" fieldPosition="0">
        <references count="1">
          <reference field="10" count="1" defaultSubtotal="1">
            <x v="447"/>
          </reference>
        </references>
      </pivotArea>
    </format>
    <format dxfId="2263">
      <pivotArea dataOnly="0" labelOnly="1" outline="0" fieldPosition="0">
        <references count="1">
          <reference field="10" count="1">
            <x v="448"/>
          </reference>
        </references>
      </pivotArea>
    </format>
    <format dxfId="2264">
      <pivotArea dataOnly="0" labelOnly="1" outline="0" fieldPosition="0">
        <references count="1">
          <reference field="10" count="1" defaultSubtotal="1">
            <x v="448"/>
          </reference>
        </references>
      </pivotArea>
    </format>
    <format dxfId="2265">
      <pivotArea dataOnly="0" labelOnly="1" outline="0" fieldPosition="0">
        <references count="1">
          <reference field="10" count="1">
            <x v="449"/>
          </reference>
        </references>
      </pivotArea>
    </format>
    <format dxfId="2266">
      <pivotArea dataOnly="0" labelOnly="1" outline="0" fieldPosition="0">
        <references count="1">
          <reference field="10" count="1" defaultSubtotal="1">
            <x v="449"/>
          </reference>
        </references>
      </pivotArea>
    </format>
    <format dxfId="2267">
      <pivotArea dataOnly="0" labelOnly="1" outline="0" fieldPosition="0">
        <references count="1">
          <reference field="10" count="1">
            <x v="451"/>
          </reference>
        </references>
      </pivotArea>
    </format>
    <format dxfId="2268">
      <pivotArea dataOnly="0" labelOnly="1" outline="0" fieldPosition="0">
        <references count="1">
          <reference field="10" count="1" defaultSubtotal="1">
            <x v="451"/>
          </reference>
        </references>
      </pivotArea>
    </format>
    <format dxfId="2269">
      <pivotArea dataOnly="0" labelOnly="1" outline="0" fieldPosition="0">
        <references count="1">
          <reference field="10" count="1">
            <x v="452"/>
          </reference>
        </references>
      </pivotArea>
    </format>
    <format dxfId="2270">
      <pivotArea dataOnly="0" labelOnly="1" outline="0" fieldPosition="0">
        <references count="1">
          <reference field="10" count="1" defaultSubtotal="1">
            <x v="452"/>
          </reference>
        </references>
      </pivotArea>
    </format>
    <format dxfId="2271">
      <pivotArea dataOnly="0" labelOnly="1" outline="0" fieldPosition="0">
        <references count="1">
          <reference field="10" count="1">
            <x v="453"/>
          </reference>
        </references>
      </pivotArea>
    </format>
    <format dxfId="2272">
      <pivotArea dataOnly="0" labelOnly="1" outline="0" fieldPosition="0">
        <references count="1">
          <reference field="10" count="1" defaultSubtotal="1">
            <x v="453"/>
          </reference>
        </references>
      </pivotArea>
    </format>
    <format dxfId="2273">
      <pivotArea dataOnly="0" labelOnly="1" outline="0" fieldPosition="0">
        <references count="1">
          <reference field="10" count="1">
            <x v="455"/>
          </reference>
        </references>
      </pivotArea>
    </format>
    <format dxfId="2274">
      <pivotArea dataOnly="0" labelOnly="1" outline="0" fieldPosition="0">
        <references count="1">
          <reference field="10" count="1" defaultSubtotal="1">
            <x v="455"/>
          </reference>
        </references>
      </pivotArea>
    </format>
    <format dxfId="2275">
      <pivotArea dataOnly="0" labelOnly="1" outline="0" fieldPosition="0">
        <references count="1">
          <reference field="10" count="1">
            <x v="456"/>
          </reference>
        </references>
      </pivotArea>
    </format>
    <format dxfId="2276">
      <pivotArea dataOnly="0" labelOnly="1" outline="0" fieldPosition="0">
        <references count="1">
          <reference field="10" count="1" defaultSubtotal="1">
            <x v="456"/>
          </reference>
        </references>
      </pivotArea>
    </format>
    <format dxfId="2277">
      <pivotArea dataOnly="0" labelOnly="1" outline="0" fieldPosition="0">
        <references count="1">
          <reference field="10" count="1">
            <x v="458"/>
          </reference>
        </references>
      </pivotArea>
    </format>
    <format dxfId="2278">
      <pivotArea dataOnly="0" labelOnly="1" outline="0" fieldPosition="0">
        <references count="1">
          <reference field="10" count="1" defaultSubtotal="1">
            <x v="458"/>
          </reference>
        </references>
      </pivotArea>
    </format>
    <format dxfId="2279">
      <pivotArea dataOnly="0" labelOnly="1" outline="0" fieldPosition="0">
        <references count="1">
          <reference field="10" count="1">
            <x v="459"/>
          </reference>
        </references>
      </pivotArea>
    </format>
    <format dxfId="2280">
      <pivotArea dataOnly="0" labelOnly="1" outline="0" fieldPosition="0">
        <references count="1">
          <reference field="10" count="1" defaultSubtotal="1">
            <x v="459"/>
          </reference>
        </references>
      </pivotArea>
    </format>
    <format dxfId="2281">
      <pivotArea dataOnly="0" labelOnly="1" outline="0" fieldPosition="0">
        <references count="1">
          <reference field="10" count="1">
            <x v="460"/>
          </reference>
        </references>
      </pivotArea>
    </format>
    <format dxfId="2282">
      <pivotArea dataOnly="0" labelOnly="1" outline="0" fieldPosition="0">
        <references count="1">
          <reference field="10" count="1" defaultSubtotal="1">
            <x v="460"/>
          </reference>
        </references>
      </pivotArea>
    </format>
    <format dxfId="2283">
      <pivotArea dataOnly="0" labelOnly="1" outline="0" fieldPosition="0">
        <references count="1">
          <reference field="10" count="1">
            <x v="461"/>
          </reference>
        </references>
      </pivotArea>
    </format>
    <format dxfId="2284">
      <pivotArea dataOnly="0" labelOnly="1" outline="0" fieldPosition="0">
        <references count="1">
          <reference field="10" count="1" defaultSubtotal="1">
            <x v="461"/>
          </reference>
        </references>
      </pivotArea>
    </format>
    <format dxfId="2285">
      <pivotArea dataOnly="0" labelOnly="1" outline="0" fieldPosition="0">
        <references count="1">
          <reference field="10" count="1">
            <x v="463"/>
          </reference>
        </references>
      </pivotArea>
    </format>
    <format dxfId="2286">
      <pivotArea dataOnly="0" labelOnly="1" outline="0" fieldPosition="0">
        <references count="1">
          <reference field="10" count="1" defaultSubtotal="1">
            <x v="463"/>
          </reference>
        </references>
      </pivotArea>
    </format>
    <format dxfId="2287">
      <pivotArea dataOnly="0" labelOnly="1" outline="0" fieldPosition="0">
        <references count="1">
          <reference field="10" count="1">
            <x v="464"/>
          </reference>
        </references>
      </pivotArea>
    </format>
    <format dxfId="2288">
      <pivotArea dataOnly="0" labelOnly="1" outline="0" fieldPosition="0">
        <references count="1">
          <reference field="10" count="1" defaultSubtotal="1">
            <x v="464"/>
          </reference>
        </references>
      </pivotArea>
    </format>
    <format dxfId="2289">
      <pivotArea dataOnly="0" labelOnly="1" outline="0" fieldPosition="0">
        <references count="1">
          <reference field="10" count="1">
            <x v="467"/>
          </reference>
        </references>
      </pivotArea>
    </format>
    <format dxfId="2290">
      <pivotArea dataOnly="0" labelOnly="1" outline="0" fieldPosition="0">
        <references count="1">
          <reference field="10" count="1" defaultSubtotal="1">
            <x v="467"/>
          </reference>
        </references>
      </pivotArea>
    </format>
    <format dxfId="2291">
      <pivotArea dataOnly="0" labelOnly="1" outline="0" fieldPosition="0">
        <references count="1">
          <reference field="10" count="1">
            <x v="468"/>
          </reference>
        </references>
      </pivotArea>
    </format>
    <format dxfId="2292">
      <pivotArea dataOnly="0" labelOnly="1" outline="0" fieldPosition="0">
        <references count="1">
          <reference field="10" count="1" defaultSubtotal="1">
            <x v="468"/>
          </reference>
        </references>
      </pivotArea>
    </format>
    <format dxfId="2293">
      <pivotArea dataOnly="0" labelOnly="1" outline="0" fieldPosition="0">
        <references count="1">
          <reference field="10" count="1">
            <x v="469"/>
          </reference>
        </references>
      </pivotArea>
    </format>
    <format dxfId="2294">
      <pivotArea dataOnly="0" labelOnly="1" outline="0" fieldPosition="0">
        <references count="1">
          <reference field="10" count="1" defaultSubtotal="1">
            <x v="469"/>
          </reference>
        </references>
      </pivotArea>
    </format>
    <format dxfId="2295">
      <pivotArea dataOnly="0" labelOnly="1" outline="0" fieldPosition="0">
        <references count="1">
          <reference field="10" count="1">
            <x v="472"/>
          </reference>
        </references>
      </pivotArea>
    </format>
    <format dxfId="2296">
      <pivotArea dataOnly="0" labelOnly="1" outline="0" fieldPosition="0">
        <references count="1">
          <reference field="10" count="1" defaultSubtotal="1">
            <x v="472"/>
          </reference>
        </references>
      </pivotArea>
    </format>
    <format dxfId="2297">
      <pivotArea dataOnly="0" labelOnly="1" outline="0" fieldPosition="0">
        <references count="1">
          <reference field="10" count="1">
            <x v="473"/>
          </reference>
        </references>
      </pivotArea>
    </format>
    <format dxfId="2298">
      <pivotArea dataOnly="0" labelOnly="1" outline="0" fieldPosition="0">
        <references count="1">
          <reference field="10" count="1" defaultSubtotal="1">
            <x v="473"/>
          </reference>
        </references>
      </pivotArea>
    </format>
    <format dxfId="2299">
      <pivotArea dataOnly="0" labelOnly="1" outline="0" fieldPosition="0">
        <references count="1">
          <reference field="10" count="1">
            <x v="475"/>
          </reference>
        </references>
      </pivotArea>
    </format>
    <format dxfId="2300">
      <pivotArea dataOnly="0" labelOnly="1" outline="0" fieldPosition="0">
        <references count="1">
          <reference field="10" count="1" defaultSubtotal="1">
            <x v="475"/>
          </reference>
        </references>
      </pivotArea>
    </format>
    <format dxfId="2301">
      <pivotArea dataOnly="0" labelOnly="1" outline="0" fieldPosition="0">
        <references count="1">
          <reference field="10" count="1">
            <x v="476"/>
          </reference>
        </references>
      </pivotArea>
    </format>
    <format dxfId="2302">
      <pivotArea dataOnly="0" labelOnly="1" outline="0" fieldPosition="0">
        <references count="1">
          <reference field="10" count="1" defaultSubtotal="1">
            <x v="476"/>
          </reference>
        </references>
      </pivotArea>
    </format>
    <format dxfId="2303">
      <pivotArea dataOnly="0" labelOnly="1" outline="0" fieldPosition="0">
        <references count="1">
          <reference field="10" count="1">
            <x v="482"/>
          </reference>
        </references>
      </pivotArea>
    </format>
    <format dxfId="2304">
      <pivotArea dataOnly="0" labelOnly="1" outline="0" fieldPosition="0">
        <references count="1">
          <reference field="10" count="1" defaultSubtotal="1">
            <x v="482"/>
          </reference>
        </references>
      </pivotArea>
    </format>
    <format dxfId="2305">
      <pivotArea dataOnly="0" labelOnly="1" outline="0" fieldPosition="0">
        <references count="1">
          <reference field="10" count="1">
            <x v="483"/>
          </reference>
        </references>
      </pivotArea>
    </format>
    <format dxfId="2306">
      <pivotArea dataOnly="0" labelOnly="1" outline="0" fieldPosition="0">
        <references count="1">
          <reference field="10" count="1" defaultSubtotal="1">
            <x v="483"/>
          </reference>
        </references>
      </pivotArea>
    </format>
    <format dxfId="2307">
      <pivotArea dataOnly="0" labelOnly="1" outline="0" fieldPosition="0">
        <references count="1">
          <reference field="10" count="1">
            <x v="484"/>
          </reference>
        </references>
      </pivotArea>
    </format>
    <format dxfId="2308">
      <pivotArea dataOnly="0" labelOnly="1" outline="0" fieldPosition="0">
        <references count="1">
          <reference field="10" count="1" defaultSubtotal="1">
            <x v="484"/>
          </reference>
        </references>
      </pivotArea>
    </format>
    <format dxfId="2309">
      <pivotArea dataOnly="0" labelOnly="1" outline="0" fieldPosition="0">
        <references count="1">
          <reference field="10" count="1">
            <x v="486"/>
          </reference>
        </references>
      </pivotArea>
    </format>
    <format dxfId="2310">
      <pivotArea dataOnly="0" labelOnly="1" outline="0" fieldPosition="0">
        <references count="1">
          <reference field="10" count="1" defaultSubtotal="1">
            <x v="486"/>
          </reference>
        </references>
      </pivotArea>
    </format>
    <format dxfId="2311">
      <pivotArea dataOnly="0" labelOnly="1" outline="0" fieldPosition="0">
        <references count="1">
          <reference field="10" count="1">
            <x v="488"/>
          </reference>
        </references>
      </pivotArea>
    </format>
    <format dxfId="2312">
      <pivotArea dataOnly="0" labelOnly="1" outline="0" fieldPosition="0">
        <references count="1">
          <reference field="10" count="1" defaultSubtotal="1">
            <x v="488"/>
          </reference>
        </references>
      </pivotArea>
    </format>
    <format dxfId="2313">
      <pivotArea dataOnly="0" labelOnly="1" outline="0" fieldPosition="0">
        <references count="1">
          <reference field="10" count="1">
            <x v="489"/>
          </reference>
        </references>
      </pivotArea>
    </format>
    <format dxfId="2314">
      <pivotArea dataOnly="0" labelOnly="1" outline="0" fieldPosition="0">
        <references count="1">
          <reference field="10" count="1" defaultSubtotal="1">
            <x v="489"/>
          </reference>
        </references>
      </pivotArea>
    </format>
    <format dxfId="2315">
      <pivotArea dataOnly="0" labelOnly="1" outline="0" fieldPosition="0">
        <references count="1">
          <reference field="10" count="1">
            <x v="490"/>
          </reference>
        </references>
      </pivotArea>
    </format>
    <format dxfId="2316">
      <pivotArea dataOnly="0" labelOnly="1" outline="0" fieldPosition="0">
        <references count="1">
          <reference field="10" count="1" defaultSubtotal="1">
            <x v="490"/>
          </reference>
        </references>
      </pivotArea>
    </format>
    <format dxfId="2317">
      <pivotArea dataOnly="0" labelOnly="1" outline="0" fieldPosition="0">
        <references count="1">
          <reference field="10" count="1">
            <x v="491"/>
          </reference>
        </references>
      </pivotArea>
    </format>
    <format dxfId="2318">
      <pivotArea dataOnly="0" labelOnly="1" outline="0" fieldPosition="0">
        <references count="1">
          <reference field="10" count="1" defaultSubtotal="1">
            <x v="491"/>
          </reference>
        </references>
      </pivotArea>
    </format>
    <format dxfId="2319">
      <pivotArea dataOnly="0" labelOnly="1" outline="0" fieldPosition="0">
        <references count="1">
          <reference field="10" count="1">
            <x v="492"/>
          </reference>
        </references>
      </pivotArea>
    </format>
    <format dxfId="2320">
      <pivotArea dataOnly="0" labelOnly="1" outline="0" fieldPosition="0">
        <references count="1">
          <reference field="10" count="1" defaultSubtotal="1">
            <x v="492"/>
          </reference>
        </references>
      </pivotArea>
    </format>
    <format dxfId="2321">
      <pivotArea dataOnly="0" labelOnly="1" outline="0" fieldPosition="0">
        <references count="1">
          <reference field="10" count="1">
            <x v="493"/>
          </reference>
        </references>
      </pivotArea>
    </format>
    <format dxfId="2322">
      <pivotArea dataOnly="0" labelOnly="1" outline="0" fieldPosition="0">
        <references count="1">
          <reference field="10" count="1" defaultSubtotal="1">
            <x v="493"/>
          </reference>
        </references>
      </pivotArea>
    </format>
    <format dxfId="2323">
      <pivotArea dataOnly="0" labelOnly="1" outline="0" fieldPosition="0">
        <references count="1">
          <reference field="10" count="1">
            <x v="497"/>
          </reference>
        </references>
      </pivotArea>
    </format>
    <format dxfId="2324">
      <pivotArea dataOnly="0" labelOnly="1" outline="0" fieldPosition="0">
        <references count="1">
          <reference field="10" count="1" defaultSubtotal="1">
            <x v="497"/>
          </reference>
        </references>
      </pivotArea>
    </format>
    <format dxfId="2325">
      <pivotArea dataOnly="0" labelOnly="1" outline="0" fieldPosition="0">
        <references count="1">
          <reference field="10" count="1">
            <x v="498"/>
          </reference>
        </references>
      </pivotArea>
    </format>
    <format dxfId="2326">
      <pivotArea dataOnly="0" labelOnly="1" outline="0" fieldPosition="0">
        <references count="1">
          <reference field="10" count="1" defaultSubtotal="1">
            <x v="498"/>
          </reference>
        </references>
      </pivotArea>
    </format>
    <format dxfId="2327">
      <pivotArea dataOnly="0" labelOnly="1" outline="0" fieldPosition="0">
        <references count="1">
          <reference field="10" count="1">
            <x v="501"/>
          </reference>
        </references>
      </pivotArea>
    </format>
    <format dxfId="2328">
      <pivotArea dataOnly="0" labelOnly="1" outline="0" fieldPosition="0">
        <references count="1">
          <reference field="10" count="1" defaultSubtotal="1">
            <x v="501"/>
          </reference>
        </references>
      </pivotArea>
    </format>
    <format dxfId="2329">
      <pivotArea dataOnly="0" labelOnly="1" outline="0" fieldPosition="0">
        <references count="1">
          <reference field="10" count="1">
            <x v="502"/>
          </reference>
        </references>
      </pivotArea>
    </format>
    <format dxfId="2330">
      <pivotArea dataOnly="0" labelOnly="1" outline="0" fieldPosition="0">
        <references count="1">
          <reference field="10" count="1" defaultSubtotal="1">
            <x v="502"/>
          </reference>
        </references>
      </pivotArea>
    </format>
    <format dxfId="2331">
      <pivotArea dataOnly="0" labelOnly="1" outline="0" fieldPosition="0">
        <references count="1">
          <reference field="10" count="1">
            <x v="503"/>
          </reference>
        </references>
      </pivotArea>
    </format>
    <format dxfId="2332">
      <pivotArea dataOnly="0" labelOnly="1" outline="0" fieldPosition="0">
        <references count="1">
          <reference field="10" count="1" defaultSubtotal="1">
            <x v="503"/>
          </reference>
        </references>
      </pivotArea>
    </format>
    <format dxfId="2333">
      <pivotArea dataOnly="0" labelOnly="1" outline="0" fieldPosition="0">
        <references count="1">
          <reference field="10" count="1">
            <x v="504"/>
          </reference>
        </references>
      </pivotArea>
    </format>
    <format dxfId="2334">
      <pivotArea dataOnly="0" labelOnly="1" outline="0" fieldPosition="0">
        <references count="1">
          <reference field="10" count="1" defaultSubtotal="1">
            <x v="504"/>
          </reference>
        </references>
      </pivotArea>
    </format>
    <format dxfId="2335">
      <pivotArea dataOnly="0" labelOnly="1" outline="0" fieldPosition="0">
        <references count="1">
          <reference field="10" count="1">
            <x v="507"/>
          </reference>
        </references>
      </pivotArea>
    </format>
    <format dxfId="2336">
      <pivotArea dataOnly="0" labelOnly="1" outline="0" fieldPosition="0">
        <references count="1">
          <reference field="10" count="1" defaultSubtotal="1">
            <x v="507"/>
          </reference>
        </references>
      </pivotArea>
    </format>
    <format dxfId="2337">
      <pivotArea dataOnly="0" labelOnly="1" outline="0" fieldPosition="0">
        <references count="1">
          <reference field="10" count="1">
            <x v="508"/>
          </reference>
        </references>
      </pivotArea>
    </format>
    <format dxfId="2338">
      <pivotArea dataOnly="0" labelOnly="1" outline="0" fieldPosition="0">
        <references count="1">
          <reference field="10" count="1" defaultSubtotal="1">
            <x v="508"/>
          </reference>
        </references>
      </pivotArea>
    </format>
    <format dxfId="2339">
      <pivotArea dataOnly="0" labelOnly="1" outline="0" fieldPosition="0">
        <references count="1">
          <reference field="10" count="1">
            <x v="509"/>
          </reference>
        </references>
      </pivotArea>
    </format>
    <format dxfId="2340">
      <pivotArea dataOnly="0" labelOnly="1" outline="0" fieldPosition="0">
        <references count="1">
          <reference field="10" count="1" defaultSubtotal="1">
            <x v="509"/>
          </reference>
        </references>
      </pivotArea>
    </format>
    <format dxfId="2341">
      <pivotArea dataOnly="0" labelOnly="1" outline="0" fieldPosition="0">
        <references count="1">
          <reference field="10" count="1">
            <x v="510"/>
          </reference>
        </references>
      </pivotArea>
    </format>
    <format dxfId="2342">
      <pivotArea dataOnly="0" labelOnly="1" outline="0" fieldPosition="0">
        <references count="1">
          <reference field="10" count="1" defaultSubtotal="1">
            <x v="510"/>
          </reference>
        </references>
      </pivotArea>
    </format>
    <format dxfId="2343">
      <pivotArea dataOnly="0" labelOnly="1" outline="0" fieldPosition="0">
        <references count="1">
          <reference field="10" count="1">
            <x v="511"/>
          </reference>
        </references>
      </pivotArea>
    </format>
    <format dxfId="2344">
      <pivotArea dataOnly="0" labelOnly="1" outline="0" fieldPosition="0">
        <references count="1">
          <reference field="10" count="1" defaultSubtotal="1">
            <x v="511"/>
          </reference>
        </references>
      </pivotArea>
    </format>
    <format dxfId="2345">
      <pivotArea dataOnly="0" labelOnly="1" outline="0" fieldPosition="0">
        <references count="1">
          <reference field="10" count="1">
            <x v="512"/>
          </reference>
        </references>
      </pivotArea>
    </format>
    <format dxfId="2346">
      <pivotArea dataOnly="0" labelOnly="1" outline="0" fieldPosition="0">
        <references count="1">
          <reference field="10" count="1" defaultSubtotal="1">
            <x v="512"/>
          </reference>
        </references>
      </pivotArea>
    </format>
    <format dxfId="2347">
      <pivotArea dataOnly="0" labelOnly="1" outline="0" fieldPosition="0">
        <references count="1">
          <reference field="10" count="1">
            <x v="513"/>
          </reference>
        </references>
      </pivotArea>
    </format>
    <format dxfId="2348">
      <pivotArea dataOnly="0" labelOnly="1" outline="0" fieldPosition="0">
        <references count="1">
          <reference field="10" count="1" defaultSubtotal="1">
            <x v="513"/>
          </reference>
        </references>
      </pivotArea>
    </format>
    <format dxfId="2349">
      <pivotArea dataOnly="0" labelOnly="1" outline="0" fieldPosition="0">
        <references count="1">
          <reference field="10" count="1">
            <x v="515"/>
          </reference>
        </references>
      </pivotArea>
    </format>
    <format dxfId="2350">
      <pivotArea dataOnly="0" labelOnly="1" outline="0" fieldPosition="0">
        <references count="1">
          <reference field="10" count="1" defaultSubtotal="1">
            <x v="515"/>
          </reference>
        </references>
      </pivotArea>
    </format>
    <format dxfId="2351">
      <pivotArea dataOnly="0" labelOnly="1" outline="0" fieldPosition="0">
        <references count="1">
          <reference field="10" count="1">
            <x v="517"/>
          </reference>
        </references>
      </pivotArea>
    </format>
    <format dxfId="2352">
      <pivotArea dataOnly="0" labelOnly="1" outline="0" fieldPosition="0">
        <references count="1">
          <reference field="10" count="1" defaultSubtotal="1">
            <x v="517"/>
          </reference>
        </references>
      </pivotArea>
    </format>
    <format dxfId="2353">
      <pivotArea dataOnly="0" labelOnly="1" outline="0" fieldPosition="0">
        <references count="1">
          <reference field="10" count="1">
            <x v="520"/>
          </reference>
        </references>
      </pivotArea>
    </format>
    <format dxfId="2354">
      <pivotArea dataOnly="0" labelOnly="1" outline="0" fieldPosition="0">
        <references count="1">
          <reference field="10" count="1" defaultSubtotal="1">
            <x v="520"/>
          </reference>
        </references>
      </pivotArea>
    </format>
    <format dxfId="2355">
      <pivotArea dataOnly="0" labelOnly="1" outline="0" fieldPosition="0">
        <references count="1">
          <reference field="10" count="1">
            <x v="521"/>
          </reference>
        </references>
      </pivotArea>
    </format>
    <format dxfId="2356">
      <pivotArea dataOnly="0" labelOnly="1" outline="0" fieldPosition="0">
        <references count="1">
          <reference field="10" count="1" defaultSubtotal="1">
            <x v="521"/>
          </reference>
        </references>
      </pivotArea>
    </format>
    <format dxfId="2357">
      <pivotArea dataOnly="0" labelOnly="1" outline="0" fieldPosition="0">
        <references count="1">
          <reference field="10" count="1">
            <x v="522"/>
          </reference>
        </references>
      </pivotArea>
    </format>
    <format dxfId="2358">
      <pivotArea dataOnly="0" labelOnly="1" outline="0" fieldPosition="0">
        <references count="1">
          <reference field="10" count="1" defaultSubtotal="1">
            <x v="522"/>
          </reference>
        </references>
      </pivotArea>
    </format>
    <format dxfId="2359">
      <pivotArea dataOnly="0" labelOnly="1" outline="0" fieldPosition="0">
        <references count="1">
          <reference field="10" count="1">
            <x v="523"/>
          </reference>
        </references>
      </pivotArea>
    </format>
    <format dxfId="2360">
      <pivotArea dataOnly="0" labelOnly="1" outline="0" fieldPosition="0">
        <references count="1">
          <reference field="10" count="1" defaultSubtotal="1">
            <x v="523"/>
          </reference>
        </references>
      </pivotArea>
    </format>
    <format dxfId="2361">
      <pivotArea dataOnly="0" labelOnly="1" outline="0" fieldPosition="0">
        <references count="1">
          <reference field="10" count="1">
            <x v="525"/>
          </reference>
        </references>
      </pivotArea>
    </format>
    <format dxfId="2362">
      <pivotArea dataOnly="0" labelOnly="1" outline="0" fieldPosition="0">
        <references count="1">
          <reference field="10" count="1" defaultSubtotal="1">
            <x v="525"/>
          </reference>
        </references>
      </pivotArea>
    </format>
    <format dxfId="2363">
      <pivotArea dataOnly="0" labelOnly="1" outline="0" fieldPosition="0">
        <references count="1">
          <reference field="10" count="1">
            <x v="526"/>
          </reference>
        </references>
      </pivotArea>
    </format>
    <format dxfId="2364">
      <pivotArea dataOnly="0" labelOnly="1" outline="0" fieldPosition="0">
        <references count="1">
          <reference field="10" count="1" defaultSubtotal="1">
            <x v="526"/>
          </reference>
        </references>
      </pivotArea>
    </format>
    <format dxfId="2365">
      <pivotArea dataOnly="0" labelOnly="1" outline="0" fieldPosition="0">
        <references count="1">
          <reference field="10" count="1">
            <x v="527"/>
          </reference>
        </references>
      </pivotArea>
    </format>
    <format dxfId="2366">
      <pivotArea dataOnly="0" labelOnly="1" outline="0" fieldPosition="0">
        <references count="1">
          <reference field="10" count="1" defaultSubtotal="1">
            <x v="527"/>
          </reference>
        </references>
      </pivotArea>
    </format>
    <format dxfId="2367">
      <pivotArea dataOnly="0" labelOnly="1" outline="0" fieldPosition="0">
        <references count="1">
          <reference field="10" count="1">
            <x v="529"/>
          </reference>
        </references>
      </pivotArea>
    </format>
    <format dxfId="2368">
      <pivotArea dataOnly="0" labelOnly="1" outline="0" fieldPosition="0">
        <references count="1">
          <reference field="10" count="1" defaultSubtotal="1">
            <x v="529"/>
          </reference>
        </references>
      </pivotArea>
    </format>
    <format dxfId="2369">
      <pivotArea dataOnly="0" labelOnly="1" outline="0" fieldPosition="0">
        <references count="1">
          <reference field="10" count="1">
            <x v="532"/>
          </reference>
        </references>
      </pivotArea>
    </format>
    <format dxfId="2370">
      <pivotArea dataOnly="0" labelOnly="1" outline="0" fieldPosition="0">
        <references count="1">
          <reference field="10" count="1" defaultSubtotal="1">
            <x v="532"/>
          </reference>
        </references>
      </pivotArea>
    </format>
    <format dxfId="2371">
      <pivotArea dataOnly="0" labelOnly="1" outline="0" fieldPosition="0">
        <references count="1">
          <reference field="10" count="1">
            <x v="533"/>
          </reference>
        </references>
      </pivotArea>
    </format>
    <format dxfId="2372">
      <pivotArea dataOnly="0" labelOnly="1" outline="0" fieldPosition="0">
        <references count="1">
          <reference field="10" count="1" defaultSubtotal="1">
            <x v="533"/>
          </reference>
        </references>
      </pivotArea>
    </format>
    <format dxfId="2373">
      <pivotArea dataOnly="0" labelOnly="1" outline="0" fieldPosition="0">
        <references count="1">
          <reference field="10" count="1">
            <x v="536"/>
          </reference>
        </references>
      </pivotArea>
    </format>
    <format dxfId="2374">
      <pivotArea dataOnly="0" labelOnly="1" outline="0" fieldPosition="0">
        <references count="1">
          <reference field="10" count="1" defaultSubtotal="1">
            <x v="536"/>
          </reference>
        </references>
      </pivotArea>
    </format>
    <format dxfId="2375">
      <pivotArea dataOnly="0" labelOnly="1" outline="0" fieldPosition="0">
        <references count="1">
          <reference field="10" count="1">
            <x v="537"/>
          </reference>
        </references>
      </pivotArea>
    </format>
    <format dxfId="2376">
      <pivotArea dataOnly="0" labelOnly="1" outline="0" fieldPosition="0">
        <references count="1">
          <reference field="10" count="1" defaultSubtotal="1">
            <x v="537"/>
          </reference>
        </references>
      </pivotArea>
    </format>
    <format dxfId="2377">
      <pivotArea dataOnly="0" labelOnly="1" outline="0" fieldPosition="0">
        <references count="1">
          <reference field="10" count="1">
            <x v="538"/>
          </reference>
        </references>
      </pivotArea>
    </format>
    <format dxfId="2378">
      <pivotArea dataOnly="0" labelOnly="1" outline="0" fieldPosition="0">
        <references count="1">
          <reference field="10" count="1" defaultSubtotal="1">
            <x v="538"/>
          </reference>
        </references>
      </pivotArea>
    </format>
    <format dxfId="2379">
      <pivotArea dataOnly="0" labelOnly="1" outline="0" fieldPosition="0">
        <references count="1">
          <reference field="10" count="1">
            <x v="539"/>
          </reference>
        </references>
      </pivotArea>
    </format>
    <format dxfId="2380">
      <pivotArea dataOnly="0" labelOnly="1" outline="0" fieldPosition="0">
        <references count="1">
          <reference field="10" count="1" defaultSubtotal="1">
            <x v="539"/>
          </reference>
        </references>
      </pivotArea>
    </format>
    <format dxfId="2381">
      <pivotArea dataOnly="0" labelOnly="1" outline="0" fieldPosition="0">
        <references count="1">
          <reference field="10" count="1">
            <x v="541"/>
          </reference>
        </references>
      </pivotArea>
    </format>
    <format dxfId="2382">
      <pivotArea dataOnly="0" labelOnly="1" outline="0" fieldPosition="0">
        <references count="1">
          <reference field="10" count="1" defaultSubtotal="1">
            <x v="541"/>
          </reference>
        </references>
      </pivotArea>
    </format>
    <format dxfId="2383">
      <pivotArea dataOnly="0" labelOnly="1" outline="0" fieldPosition="0">
        <references count="1">
          <reference field="10" count="1">
            <x v="542"/>
          </reference>
        </references>
      </pivotArea>
    </format>
    <format dxfId="2384">
      <pivotArea dataOnly="0" labelOnly="1" outline="0" fieldPosition="0">
        <references count="1">
          <reference field="10" count="1" defaultSubtotal="1">
            <x v="542"/>
          </reference>
        </references>
      </pivotArea>
    </format>
    <format dxfId="2385">
      <pivotArea dataOnly="0" labelOnly="1" outline="0" fieldPosition="0">
        <references count="1">
          <reference field="10" count="1">
            <x v="543"/>
          </reference>
        </references>
      </pivotArea>
    </format>
    <format dxfId="2386">
      <pivotArea dataOnly="0" labelOnly="1" outline="0" fieldPosition="0">
        <references count="1">
          <reference field="10" count="1" defaultSubtotal="1">
            <x v="543"/>
          </reference>
        </references>
      </pivotArea>
    </format>
    <format dxfId="2387">
      <pivotArea dataOnly="0" labelOnly="1" outline="0" fieldPosition="0">
        <references count="1">
          <reference field="10" count="1">
            <x v="544"/>
          </reference>
        </references>
      </pivotArea>
    </format>
    <format dxfId="2388">
      <pivotArea dataOnly="0" labelOnly="1" outline="0" fieldPosition="0">
        <references count="1">
          <reference field="10" count="1" defaultSubtotal="1">
            <x v="544"/>
          </reference>
        </references>
      </pivotArea>
    </format>
    <format dxfId="2389">
      <pivotArea dataOnly="0" labelOnly="1" outline="0" fieldPosition="0">
        <references count="1">
          <reference field="10" count="1">
            <x v="545"/>
          </reference>
        </references>
      </pivotArea>
    </format>
    <format dxfId="2390">
      <pivotArea dataOnly="0" labelOnly="1" outline="0" fieldPosition="0">
        <references count="1">
          <reference field="10" count="1" defaultSubtotal="1">
            <x v="545"/>
          </reference>
        </references>
      </pivotArea>
    </format>
    <format dxfId="2391">
      <pivotArea dataOnly="0" labelOnly="1" outline="0" fieldPosition="0">
        <references count="1">
          <reference field="10" count="1">
            <x v="548"/>
          </reference>
        </references>
      </pivotArea>
    </format>
    <format dxfId="2392">
      <pivotArea dataOnly="0" labelOnly="1" outline="0" fieldPosition="0">
        <references count="1">
          <reference field="10" count="1" defaultSubtotal="1">
            <x v="548"/>
          </reference>
        </references>
      </pivotArea>
    </format>
    <format dxfId="239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D917C-4666-4692-A961-C4669D7AC6BF}" name="Tabla dinámica5" cacheId="8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77" firstHeaderRow="0" firstDataRow="1" firstDataCol="2" rowPageCount="1" colPageCount="1"/>
  <pivotFields count="24">
    <pivotField compact="0" outline="0" showAll="0"/>
    <pivotField compact="0" outline="0" showAll="0"/>
    <pivotField axis="axisRow" compact="0" outline="0" showAll="0">
      <items count="3480">
        <item m="1" x="1942"/>
        <item m="1" x="1943"/>
        <item m="1" x="1944"/>
        <item m="1" x="1945"/>
        <item m="1" x="1946"/>
        <item m="1" x="3415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3416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3417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3418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341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3420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3421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3422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3423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3424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3425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3426"/>
        <item m="1" x="3427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3428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3429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3430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3431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3432"/>
        <item m="1" x="2369"/>
        <item m="1" x="2370"/>
        <item m="1" x="2371"/>
        <item m="1" x="3433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3434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3435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3477"/>
        <item m="1" x="3478"/>
        <item m="1" x="2478"/>
        <item m="1" x="2479"/>
        <item m="1" x="2480"/>
        <item m="1" x="2481"/>
        <item m="1" x="2482"/>
        <item m="1" x="2483"/>
        <item m="1" x="2484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3436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3437"/>
        <item m="1" x="2629"/>
        <item m="1" x="2630"/>
        <item m="1" x="2631"/>
        <item m="1" x="2632"/>
        <item m="1" x="2633"/>
        <item m="1" x="2634"/>
        <item m="1" x="2635"/>
        <item m="1" x="2636"/>
        <item m="1" x="3438"/>
        <item m="1" x="2637"/>
        <item m="1" x="2638"/>
        <item m="1" x="2639"/>
        <item m="1" x="2640"/>
        <item m="1" x="2641"/>
        <item m="1" x="3439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3440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3441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3442"/>
        <item m="1" x="2811"/>
        <item m="1" x="2812"/>
        <item m="1" x="3443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344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3445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3446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447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448"/>
        <item m="1" x="3079"/>
        <item m="1" x="3080"/>
        <item m="1" x="3081"/>
        <item m="1" x="3082"/>
        <item m="1" x="3083"/>
        <item m="1" x="3084"/>
        <item m="1" x="3449"/>
        <item m="1" x="3450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451"/>
        <item m="1" x="3127"/>
        <item m="1" x="3128"/>
        <item m="1" x="3129"/>
        <item m="1" x="3130"/>
        <item m="1" x="3131"/>
        <item m="1" x="3132"/>
        <item m="1" x="3133"/>
        <item m="1" x="3134"/>
        <item m="1" x="3452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453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454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45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456"/>
        <item m="1" x="345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458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459"/>
        <item m="1" x="3270"/>
        <item m="1" x="3271"/>
        <item m="1" x="3272"/>
        <item m="1" x="3273"/>
        <item m="1" x="3274"/>
        <item m="1" x="3275"/>
        <item m="1" x="3276"/>
        <item m="1" x="3460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470"/>
        <item m="1" x="3370"/>
        <item m="1" x="1941"/>
        <item m="1" x="3414"/>
        <item m="1" x="3371"/>
        <item m="1" x="3372"/>
        <item m="1" x="3373"/>
        <item m="1" x="3374"/>
        <item m="1" x="3375"/>
        <item m="1" x="3376"/>
        <item m="1" x="3377"/>
        <item m="1" x="3378"/>
        <item m="1" x="3471"/>
        <item m="1" x="3379"/>
        <item m="1" x="3380"/>
        <item m="1" x="3381"/>
        <item m="1" x="3382"/>
        <item m="1" x="3383"/>
        <item m="1" x="3472"/>
        <item m="1" x="3473"/>
        <item m="1" x="3384"/>
        <item m="1" x="3385"/>
        <item m="1" x="3386"/>
        <item m="1" x="3387"/>
        <item m="1" x="3388"/>
        <item m="1" x="3389"/>
        <item m="1" x="3474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75"/>
        <item m="1" x="3404"/>
        <item m="1" x="3405"/>
        <item m="1" x="3406"/>
        <item m="1" x="3407"/>
        <item m="1" x="3408"/>
        <item m="1" x="3409"/>
        <item m="1" x="3410"/>
        <item m="1" x="3476"/>
        <item m="1" x="3411"/>
        <item m="1" x="3412"/>
        <item m="1" x="3413"/>
        <item m="1" x="1940"/>
        <item m="1" x="2477"/>
        <item m="1" x="2485"/>
        <item x="19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2"/>
        <item x="1426"/>
        <item x="1431"/>
        <item x="1435"/>
        <item x="1437"/>
        <item x="1440"/>
        <item x="1448"/>
        <item x="1450"/>
        <item x="1452"/>
        <item x="1454"/>
        <item x="1463"/>
        <item x="1465"/>
        <item x="1467"/>
        <item x="1476"/>
        <item x="1481"/>
        <item x="1482"/>
        <item x="1483"/>
        <item x="1490"/>
        <item x="1502"/>
        <item x="1506"/>
        <item x="1508"/>
        <item x="1421"/>
        <item x="1423"/>
        <item x="1424"/>
        <item x="1425"/>
        <item x="1427"/>
        <item x="1428"/>
        <item x="1429"/>
        <item x="1430"/>
        <item x="1432"/>
        <item x="1433"/>
        <item x="1434"/>
        <item x="1436"/>
        <item x="1438"/>
        <item x="1439"/>
        <item x="1441"/>
        <item x="1442"/>
        <item x="1443"/>
        <item x="1444"/>
        <item x="1445"/>
        <item x="1446"/>
        <item x="1447"/>
        <item x="1449"/>
        <item x="1451"/>
        <item x="1453"/>
        <item x="1455"/>
        <item x="1456"/>
        <item x="1457"/>
        <item x="1458"/>
        <item x="1459"/>
        <item x="1460"/>
        <item x="1461"/>
        <item x="1462"/>
        <item x="1464"/>
        <item x="1466"/>
        <item x="1468"/>
        <item x="1469"/>
        <item x="1470"/>
        <item x="1471"/>
        <item x="1472"/>
        <item x="1473"/>
        <item x="1474"/>
        <item x="1475"/>
        <item x="1477"/>
        <item x="1478"/>
        <item x="1479"/>
        <item x="1480"/>
        <item x="1484"/>
        <item x="1485"/>
        <item x="1486"/>
        <item x="1487"/>
        <item x="1488"/>
        <item x="1489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3"/>
        <item x="1504"/>
        <item x="1505"/>
        <item x="1507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833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80">
        <item x="470"/>
        <item m="1" x="916"/>
        <item m="1" x="956"/>
        <item m="1" x="974"/>
        <item m="1" x="991"/>
        <item x="640"/>
        <item x="381"/>
        <item x="34"/>
        <item x="39"/>
        <item x="245"/>
        <item x="52"/>
        <item m="1" x="835"/>
        <item x="747"/>
        <item x="225"/>
        <item x="645"/>
        <item m="1" x="915"/>
        <item x="508"/>
        <item x="124"/>
        <item m="1" x="888"/>
        <item x="554"/>
        <item x="375"/>
        <item m="1" x="944"/>
        <item m="1" x="861"/>
        <item m="1" x="889"/>
        <item m="1" x="1005"/>
        <item x="695"/>
        <item x="46"/>
        <item x="498"/>
        <item x="620"/>
        <item x="707"/>
        <item m="1" x="1072"/>
        <item m="1" x="866"/>
        <item m="1" x="1003"/>
        <item m="1" x="828"/>
        <item x="252"/>
        <item m="1" x="816"/>
        <item x="50"/>
        <item x="500"/>
        <item m="1" x="811"/>
        <item m="1" x="989"/>
        <item x="409"/>
        <item x="644"/>
        <item x="138"/>
        <item x="14"/>
        <item m="1" x="911"/>
        <item m="1" x="995"/>
        <item x="779"/>
        <item x="31"/>
        <item x="706"/>
        <item x="397"/>
        <item x="488"/>
        <item x="427"/>
        <item x="285"/>
        <item x="331"/>
        <item m="1" x="829"/>
        <item m="1" x="903"/>
        <item x="157"/>
        <item x="141"/>
        <item x="259"/>
        <item m="1" x="957"/>
        <item x="73"/>
        <item m="1" x="870"/>
        <item x="464"/>
        <item x="65"/>
        <item m="1" x="999"/>
        <item x="36"/>
        <item m="1" x="878"/>
        <item m="1" x="950"/>
        <item x="61"/>
        <item x="2"/>
        <item x="667"/>
        <item x="102"/>
        <item x="670"/>
        <item x="567"/>
        <item m="1" x="824"/>
        <item x="721"/>
        <item m="1" x="865"/>
        <item m="1" x="842"/>
        <item m="1" x="1008"/>
        <item m="1" x="847"/>
        <item m="1" x="978"/>
        <item x="0"/>
        <item x="799"/>
        <item x="334"/>
        <item x="67"/>
        <item m="1" x="831"/>
        <item x="668"/>
        <item x="621"/>
        <item m="1" x="971"/>
        <item x="310"/>
        <item m="1" x="886"/>
        <item x="12"/>
        <item x="694"/>
        <item x="107"/>
        <item x="144"/>
        <item x="424"/>
        <item m="1" x="953"/>
        <item m="1" x="1070"/>
        <item m="1" x="823"/>
        <item m="1" x="941"/>
        <item x="64"/>
        <item m="1" x="910"/>
        <item x="794"/>
        <item x="418"/>
        <item x="649"/>
        <item x="286"/>
        <item m="1" x="965"/>
        <item x="224"/>
        <item x="787"/>
        <item x="154"/>
        <item x="358"/>
        <item x="792"/>
        <item m="1" x="1002"/>
        <item x="737"/>
        <item x="560"/>
        <item m="1" x="970"/>
        <item m="1" x="925"/>
        <item m="1" x="985"/>
        <item x="481"/>
        <item m="1" x="934"/>
        <item m="1" x="1167"/>
        <item x="49"/>
        <item x="196"/>
        <item m="1" x="873"/>
        <item m="1" x="1021"/>
        <item x="528"/>
        <item x="399"/>
        <item m="1" x="990"/>
        <item x="227"/>
        <item m="1" x="947"/>
        <item m="1" x="1019"/>
        <item x="339"/>
        <item m="1" x="855"/>
        <item m="1" x="962"/>
        <item x="675"/>
        <item x="169"/>
        <item x="255"/>
        <item x="673"/>
        <item x="142"/>
        <item x="485"/>
        <item m="1" x="896"/>
        <item x="522"/>
        <item m="1" x="880"/>
        <item x="519"/>
        <item m="1" x="874"/>
        <item m="1" x="890"/>
        <item m="1" x="997"/>
        <item m="1" x="959"/>
        <item m="1" x="894"/>
        <item x="439"/>
        <item x="696"/>
        <item x="353"/>
        <item x="494"/>
        <item x="449"/>
        <item x="182"/>
        <item m="1" x="1004"/>
        <item x="122"/>
        <item x="306"/>
        <item m="1" x="955"/>
        <item x="192"/>
        <item m="1" x="1135"/>
        <item m="1" x="826"/>
        <item m="1" x="908"/>
        <item x="471"/>
        <item m="1" x="1006"/>
        <item x="806"/>
        <item m="1" x="850"/>
        <item x="239"/>
        <item x="501"/>
        <item m="1" x="895"/>
        <item x="23"/>
        <item x="86"/>
        <item m="1" x="833"/>
        <item x="398"/>
        <item m="1" x="856"/>
        <item x="344"/>
        <item m="1" x="906"/>
        <item x="602"/>
        <item m="1" x="825"/>
        <item m="1" x="1165"/>
        <item m="1" x="862"/>
        <item x="726"/>
        <item m="1" x="1057"/>
        <item m="1" x="994"/>
        <item x="24"/>
        <item x="22"/>
        <item x="37"/>
        <item m="1" x="1164"/>
        <item m="1" x="933"/>
        <item x="604"/>
        <item m="1" x="877"/>
        <item x="516"/>
        <item x="395"/>
        <item m="1" x="810"/>
        <item m="1" x="867"/>
        <item x="170"/>
        <item m="1" x="948"/>
        <item x="387"/>
        <item m="1" x="845"/>
        <item x="29"/>
        <item m="1" x="961"/>
        <item m="1" x="857"/>
        <item x="183"/>
        <item x="127"/>
        <item m="1" x="983"/>
        <item m="1" x="821"/>
        <item x="20"/>
        <item x="482"/>
        <item x="484"/>
        <item x="302"/>
        <item m="1" x="830"/>
        <item x="429"/>
        <item m="1" x="814"/>
        <item x="678"/>
        <item x="733"/>
        <item x="671"/>
        <item m="1" x="1171"/>
        <item m="1" x="839"/>
        <item x="284"/>
        <item m="1" x="929"/>
        <item x="43"/>
        <item x="714"/>
        <item m="1" x="996"/>
        <item m="1" x="859"/>
        <item x="190"/>
        <item x="248"/>
        <item m="1" x="905"/>
        <item x="171"/>
        <item x="54"/>
        <item m="1" x="863"/>
        <item m="1" x="930"/>
        <item m="1" x="836"/>
        <item m="1" x="1000"/>
        <item x="745"/>
        <item x="336"/>
        <item x="189"/>
        <item x="660"/>
        <item m="1" x="927"/>
        <item x="766"/>
        <item m="1" x="981"/>
        <item m="1" x="819"/>
        <item x="201"/>
        <item m="1" x="952"/>
        <item m="1" x="946"/>
        <item x="25"/>
        <item m="1" x="936"/>
        <item x="232"/>
        <item x="33"/>
        <item m="1" x="1020"/>
        <item x="390"/>
        <item m="1" x="893"/>
        <item x="163"/>
        <item x="164"/>
        <item x="793"/>
        <item x="616"/>
        <item m="1" x="822"/>
        <item x="762"/>
        <item x="423"/>
        <item m="1" x="918"/>
        <item x="145"/>
        <item x="487"/>
        <item m="1" x="968"/>
        <item x="194"/>
        <item x="617"/>
        <item m="1" x="1071"/>
        <item x="233"/>
        <item m="1" x="909"/>
        <item m="1" x="813"/>
        <item x="57"/>
        <item x="380"/>
        <item m="1" x="977"/>
        <item x="546"/>
        <item m="1" x="988"/>
        <item x="679"/>
        <item m="1" x="1013"/>
        <item x="176"/>
        <item x="3"/>
        <item m="1" x="914"/>
        <item m="1" x="949"/>
        <item m="1" x="932"/>
        <item x="430"/>
        <item x="99"/>
        <item x="704"/>
        <item m="1" x="898"/>
        <item m="1" x="872"/>
        <item x="447"/>
        <item m="1" x="846"/>
        <item x="441"/>
        <item x="364"/>
        <item x="548"/>
        <item m="1" x="938"/>
        <item x="456"/>
        <item m="1" x="1011"/>
        <item x="463"/>
        <item x="179"/>
        <item m="1" x="972"/>
        <item m="1" x="1018"/>
        <item x="56"/>
        <item x="175"/>
        <item x="271"/>
        <item m="1" x="939"/>
        <item m="1" x="1017"/>
        <item m="1" x="848"/>
        <item x="82"/>
        <item x="47"/>
        <item x="446"/>
        <item x="241"/>
        <item x="718"/>
        <item x="133"/>
        <item x="30"/>
        <item x="116"/>
        <item m="1" x="912"/>
        <item m="1" x="834"/>
        <item m="1" x="1169"/>
        <item x="301"/>
        <item x="686"/>
        <item m="1" x="869"/>
        <item m="1" x="1172"/>
        <item m="1" x="897"/>
        <item m="1" x="884"/>
        <item x="534"/>
        <item m="1" x="943"/>
        <item m="1" x="1173"/>
        <item x="523"/>
        <item x="307"/>
        <item x="165"/>
        <item x="113"/>
        <item x="593"/>
        <item m="1" x="904"/>
        <item m="1" x="885"/>
        <item x="211"/>
        <item m="1" x="980"/>
        <item x="359"/>
        <item x="42"/>
        <item x="221"/>
        <item m="1" x="1010"/>
        <item x="547"/>
        <item x="80"/>
        <item x="85"/>
        <item x="473"/>
        <item x="290"/>
        <item x="63"/>
        <item x="89"/>
        <item m="1" x="964"/>
        <item m="1" x="931"/>
        <item x="234"/>
        <item m="1" x="919"/>
        <item m="1" x="1166"/>
        <item x="202"/>
        <item x="28"/>
        <item m="1" x="871"/>
        <item m="1" x="945"/>
        <item x="118"/>
        <item x="515"/>
        <item x="462"/>
        <item m="1" x="887"/>
        <item x="491"/>
        <item x="215"/>
        <item m="1" x="954"/>
        <item m="1" x="924"/>
        <item m="1" x="854"/>
        <item x="778"/>
        <item x="8"/>
        <item x="251"/>
        <item m="1" x="963"/>
        <item m="1" x="920"/>
        <item m="1" x="913"/>
        <item m="1" x="815"/>
        <item m="1" x="837"/>
        <item m="1" x="860"/>
        <item m="1" x="926"/>
        <item m="1" x="942"/>
        <item x="38"/>
        <item x="499"/>
        <item m="1" x="998"/>
        <item x="720"/>
        <item x="349"/>
        <item x="287"/>
        <item x="683"/>
        <item m="1" x="827"/>
        <item m="1" x="1015"/>
        <item x="79"/>
        <item x="243"/>
        <item x="326"/>
        <item x="759"/>
        <item x="130"/>
        <item m="1" x="812"/>
        <item m="1" x="922"/>
        <item m="1" x="864"/>
        <item m="1" x="818"/>
        <item m="1" x="838"/>
        <item m="1" x="879"/>
        <item x="445"/>
        <item x="106"/>
        <item m="1" x="881"/>
        <item m="1" x="951"/>
        <item x="150"/>
        <item x="66"/>
        <item x="406"/>
        <item x="587"/>
        <item m="1" x="982"/>
        <item m="1" x="1170"/>
        <item x="386"/>
        <item x="136"/>
        <item x="186"/>
        <item x="237"/>
        <item x="58"/>
        <item x="280"/>
        <item x="472"/>
        <item m="1" x="975"/>
        <item m="1" x="844"/>
        <item x="110"/>
        <item x="324"/>
        <item x="199"/>
        <item m="1" x="901"/>
        <item x="606"/>
        <item x="253"/>
        <item x="69"/>
        <item m="1" x="841"/>
        <item m="1" x="876"/>
        <item x="16"/>
        <item x="770"/>
        <item m="1" x="921"/>
        <item x="340"/>
        <item x="230"/>
        <item x="538"/>
        <item x="493"/>
        <item x="160"/>
        <item x="717"/>
        <item x="372"/>
        <item x="509"/>
        <item x="453"/>
        <item x="510"/>
        <item m="1" x="817"/>
        <item x="385"/>
        <item m="1" x="832"/>
        <item m="1" x="899"/>
        <item x="711"/>
        <item x="40"/>
        <item m="1" x="1012"/>
        <item x="769"/>
        <item m="1" x="1009"/>
        <item m="1" x="902"/>
        <item x="744"/>
        <item x="178"/>
        <item x="126"/>
        <item m="1" x="1174"/>
        <item m="1" x="1016"/>
        <item x="213"/>
        <item x="75"/>
        <item x="261"/>
        <item m="1" x="883"/>
        <item m="1" x="976"/>
        <item x="458"/>
        <item m="1" x="979"/>
        <item x="162"/>
        <item x="203"/>
        <item x="618"/>
        <item x="44"/>
        <item x="527"/>
        <item m="1" x="973"/>
        <item x="137"/>
        <item m="1" x="868"/>
        <item x="329"/>
        <item m="1" x="892"/>
        <item x="297"/>
        <item m="1" x="820"/>
        <item x="195"/>
        <item x="184"/>
        <item x="335"/>
        <item x="596"/>
        <item m="1" x="1163"/>
        <item m="1" x="960"/>
        <item x="613"/>
        <item x="279"/>
        <item x="760"/>
        <item x="685"/>
        <item x="263"/>
        <item x="724"/>
        <item x="392"/>
        <item m="1" x="1168"/>
        <item x="317"/>
        <item m="1" x="907"/>
        <item x="657"/>
        <item x="681"/>
        <item x="94"/>
        <item x="631"/>
        <item x="87"/>
        <item x="289"/>
        <item x="632"/>
        <item m="1" x="940"/>
        <item m="1" x="840"/>
        <item x="308"/>
        <item m="1" x="984"/>
        <item x="333"/>
        <item x="140"/>
        <item m="1" x="849"/>
        <item m="1" x="992"/>
        <item x="256"/>
        <item m="1" x="928"/>
        <item m="1" x="852"/>
        <item m="1" x="923"/>
        <item m="1" x="986"/>
        <item x="425"/>
        <item x="347"/>
        <item x="543"/>
        <item x="125"/>
        <item m="1" x="967"/>
        <item x="773"/>
        <item x="55"/>
        <item m="1" x="993"/>
        <item x="692"/>
        <item x="691"/>
        <item x="48"/>
        <item m="1" x="853"/>
        <item m="1" x="937"/>
        <item x="62"/>
        <item m="1" x="987"/>
        <item m="1" x="935"/>
        <item x="111"/>
        <item x="337"/>
        <item m="1" x="1014"/>
        <item x="629"/>
        <item m="1" x="891"/>
        <item m="1" x="917"/>
        <item m="1" x="958"/>
        <item m="1" x="858"/>
        <item x="795"/>
        <item x="260"/>
        <item x="642"/>
        <item x="379"/>
        <item m="1" x="875"/>
        <item x="268"/>
        <item m="1" x="851"/>
        <item x="402"/>
        <item x="693"/>
        <item m="1" x="900"/>
        <item m="1" x="1007"/>
        <item x="805"/>
        <item x="676"/>
        <item m="1" x="966"/>
        <item x="114"/>
        <item m="1" x="882"/>
        <item m="1" x="843"/>
        <item x="148"/>
        <item x="591"/>
        <item x="382"/>
        <item m="1" x="969"/>
        <item x="258"/>
        <item x="312"/>
        <item m="1" x="1022"/>
        <item x="454"/>
        <item x="709"/>
        <item x="786"/>
        <item m="1" x="1023"/>
        <item x="658"/>
        <item x="734"/>
        <item m="1" x="1024"/>
        <item m="1" x="1025"/>
        <item m="1" x="1026"/>
        <item m="1" x="1027"/>
        <item x="319"/>
        <item x="690"/>
        <item x="197"/>
        <item m="1" x="1028"/>
        <item m="1" x="1029"/>
        <item m="1" x="1030"/>
        <item m="1" x="1031"/>
        <item m="1" x="1032"/>
        <item m="1" x="1175"/>
        <item m="1" x="1033"/>
        <item x="298"/>
        <item m="1" x="1034"/>
        <item x="699"/>
        <item m="1" x="1035"/>
        <item x="552"/>
        <item x="573"/>
        <item x="267"/>
        <item x="460"/>
        <item x="461"/>
        <item x="459"/>
        <item m="1" x="1036"/>
        <item x="129"/>
        <item m="1" x="1037"/>
        <item m="1" x="1038"/>
        <item m="1" x="1039"/>
        <item x="121"/>
        <item m="1" x="1040"/>
        <item m="1" x="1041"/>
        <item m="1" x="1042"/>
        <item m="1" x="1043"/>
        <item m="1" x="1044"/>
        <item m="1" x="1045"/>
        <item m="1" x="1046"/>
        <item x="420"/>
        <item x="247"/>
        <item m="1" x="1047"/>
        <item m="1" x="1048"/>
        <item x="595"/>
        <item x="219"/>
        <item m="1" x="1049"/>
        <item m="1" x="1050"/>
        <item m="1" x="1051"/>
        <item m="1" x="1052"/>
        <item m="1" x="1053"/>
        <item x="511"/>
        <item x="480"/>
        <item m="1" x="1054"/>
        <item m="1" x="1055"/>
        <item m="1" x="1056"/>
        <item x="207"/>
        <item x="348"/>
        <item m="1" x="1058"/>
        <item x="84"/>
        <item x="131"/>
        <item x="19"/>
        <item m="1" x="1059"/>
        <item x="314"/>
        <item m="1" x="1176"/>
        <item m="1" x="1060"/>
        <item m="1" x="1061"/>
        <item m="1" x="1062"/>
        <item m="1" x="1063"/>
        <item x="802"/>
        <item x="776"/>
        <item x="756"/>
        <item x="5"/>
        <item m="1" x="1064"/>
        <item x="352"/>
        <item m="1" x="1065"/>
        <item m="1" x="1066"/>
        <item m="1" x="1067"/>
        <item x="242"/>
        <item m="1" x="1068"/>
        <item x="592"/>
        <item x="143"/>
        <item m="1" x="1069"/>
        <item x="607"/>
        <item x="544"/>
        <item x="105"/>
        <item m="1" x="1073"/>
        <item m="1" x="1074"/>
        <item m="1" x="1075"/>
        <item m="1" x="1076"/>
        <item x="545"/>
        <item x="98"/>
        <item x="452"/>
        <item x="17"/>
        <item m="1" x="1077"/>
        <item m="1" x="1078"/>
        <item x="562"/>
        <item x="316"/>
        <item m="1" x="1079"/>
        <item x="292"/>
        <item m="1" x="1080"/>
        <item m="1" x="1081"/>
        <item x="520"/>
        <item x="193"/>
        <item m="1" x="1082"/>
        <item m="1" x="1083"/>
        <item m="1" x="1084"/>
        <item x="490"/>
        <item x="32"/>
        <item m="1" x="1085"/>
        <item m="1" x="1086"/>
        <item x="722"/>
        <item x="322"/>
        <item x="579"/>
        <item x="62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x="763"/>
        <item m="1" x="1097"/>
        <item m="1" x="1098"/>
        <item m="1" x="1099"/>
        <item x="117"/>
        <item x="404"/>
        <item x="383"/>
        <item x="168"/>
        <item x="134"/>
        <item x="521"/>
        <item m="1" x="1100"/>
        <item m="1" x="1101"/>
        <item x="536"/>
        <item x="88"/>
        <item m="1" x="1102"/>
        <item x="622"/>
        <item x="467"/>
        <item m="1" x="1103"/>
        <item x="156"/>
        <item m="1" x="1104"/>
        <item m="1" x="1105"/>
        <item m="1" x="1106"/>
        <item x="321"/>
        <item x="496"/>
        <item m="1" x="1107"/>
        <item x="674"/>
        <item x="93"/>
        <item x="223"/>
        <item x="104"/>
        <item x="477"/>
        <item m="1" x="1108"/>
        <item m="1" x="1109"/>
        <item m="1" x="1110"/>
        <item m="1" x="1111"/>
        <item x="723"/>
        <item x="680"/>
        <item m="1" x="1112"/>
        <item x="682"/>
        <item x="555"/>
        <item m="1" x="1113"/>
        <item m="1" x="1114"/>
        <item m="1" x="1115"/>
        <item m="1" x="1116"/>
        <item x="254"/>
        <item m="1" x="1117"/>
        <item x="798"/>
        <item m="1" x="1118"/>
        <item m="1" x="1119"/>
        <item m="1" x="1120"/>
        <item x="735"/>
        <item x="659"/>
        <item m="1" x="1121"/>
        <item m="1" x="1122"/>
        <item m="1" x="1123"/>
        <item m="1" x="1124"/>
        <item m="1" x="1177"/>
        <item x="669"/>
        <item x="173"/>
        <item x="803"/>
        <item x="612"/>
        <item m="1" x="1125"/>
        <item m="1" x="1126"/>
        <item m="1" x="1127"/>
        <item x="495"/>
        <item x="103"/>
        <item m="1" x="1128"/>
        <item m="1" x="1129"/>
        <item m="1" x="1130"/>
        <item x="393"/>
        <item m="1" x="1131"/>
        <item m="1" x="1132"/>
        <item m="1" x="1133"/>
        <item m="1" x="1134"/>
        <item x="304"/>
        <item m="1" x="1136"/>
        <item m="1" x="1137"/>
        <item m="1" x="1138"/>
        <item x="550"/>
        <item m="1" x="1139"/>
        <item x="749"/>
        <item m="1" x="1140"/>
        <item m="1" x="1141"/>
        <item m="1" x="1142"/>
        <item x="26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78"/>
        <item m="1" x="1154"/>
        <item x="469"/>
        <item x="220"/>
        <item x="417"/>
        <item x="346"/>
        <item m="1" x="1155"/>
        <item x="231"/>
        <item m="1" x="1156"/>
        <item m="1" x="1157"/>
        <item m="1" x="1158"/>
        <item m="1" x="1159"/>
        <item m="1" x="1160"/>
        <item m="1" x="1161"/>
        <item m="1" x="1162"/>
        <item m="1" x="1001"/>
        <item x="809"/>
        <item x="1"/>
        <item x="4"/>
        <item x="6"/>
        <item x="7"/>
        <item x="9"/>
        <item x="10"/>
        <item x="11"/>
        <item x="13"/>
        <item x="15"/>
        <item x="18"/>
        <item x="21"/>
        <item x="26"/>
        <item x="27"/>
        <item x="35"/>
        <item x="41"/>
        <item x="45"/>
        <item x="51"/>
        <item x="53"/>
        <item x="59"/>
        <item x="60"/>
        <item x="68"/>
        <item x="70"/>
        <item x="71"/>
        <item x="72"/>
        <item x="74"/>
        <item x="76"/>
        <item x="77"/>
        <item x="78"/>
        <item x="81"/>
        <item x="83"/>
        <item x="90"/>
        <item x="91"/>
        <item x="92"/>
        <item x="95"/>
        <item x="96"/>
        <item x="97"/>
        <item x="100"/>
        <item x="101"/>
        <item x="108"/>
        <item x="109"/>
        <item x="112"/>
        <item x="115"/>
        <item x="119"/>
        <item x="120"/>
        <item x="123"/>
        <item x="128"/>
        <item x="132"/>
        <item x="135"/>
        <item x="139"/>
        <item x="146"/>
        <item x="147"/>
        <item x="149"/>
        <item x="151"/>
        <item x="152"/>
        <item x="153"/>
        <item x="155"/>
        <item x="158"/>
        <item x="159"/>
        <item x="161"/>
        <item x="166"/>
        <item x="167"/>
        <item x="172"/>
        <item x="174"/>
        <item x="177"/>
        <item x="180"/>
        <item x="181"/>
        <item x="185"/>
        <item x="187"/>
        <item x="188"/>
        <item x="191"/>
        <item x="198"/>
        <item x="200"/>
        <item x="204"/>
        <item x="205"/>
        <item x="206"/>
        <item x="208"/>
        <item x="209"/>
        <item x="210"/>
        <item x="212"/>
        <item x="214"/>
        <item x="216"/>
        <item x="217"/>
        <item x="218"/>
        <item x="222"/>
        <item x="226"/>
        <item x="228"/>
        <item x="229"/>
        <item x="235"/>
        <item x="236"/>
        <item x="238"/>
        <item x="240"/>
        <item x="244"/>
        <item x="246"/>
        <item x="249"/>
        <item x="250"/>
        <item x="257"/>
        <item x="264"/>
        <item x="265"/>
        <item x="266"/>
        <item x="269"/>
        <item x="270"/>
        <item x="272"/>
        <item x="273"/>
        <item x="274"/>
        <item x="275"/>
        <item x="276"/>
        <item x="277"/>
        <item x="278"/>
        <item x="281"/>
        <item x="282"/>
        <item x="283"/>
        <item x="288"/>
        <item x="291"/>
        <item x="293"/>
        <item x="294"/>
        <item x="295"/>
        <item x="296"/>
        <item x="299"/>
        <item x="300"/>
        <item x="303"/>
        <item x="305"/>
        <item x="309"/>
        <item x="311"/>
        <item x="313"/>
        <item x="315"/>
        <item x="318"/>
        <item x="320"/>
        <item x="323"/>
        <item x="325"/>
        <item x="327"/>
        <item x="328"/>
        <item x="330"/>
        <item x="332"/>
        <item x="338"/>
        <item x="341"/>
        <item x="342"/>
        <item x="343"/>
        <item x="345"/>
        <item x="350"/>
        <item x="351"/>
        <item x="354"/>
        <item x="355"/>
        <item x="356"/>
        <item x="357"/>
        <item x="360"/>
        <item x="361"/>
        <item x="362"/>
        <item x="363"/>
        <item x="365"/>
        <item x="366"/>
        <item x="367"/>
        <item x="368"/>
        <item x="369"/>
        <item x="370"/>
        <item x="371"/>
        <item x="373"/>
        <item x="374"/>
        <item x="376"/>
        <item x="377"/>
        <item x="378"/>
        <item x="384"/>
        <item x="388"/>
        <item x="389"/>
        <item x="391"/>
        <item x="394"/>
        <item x="396"/>
        <item x="400"/>
        <item x="401"/>
        <item x="403"/>
        <item x="405"/>
        <item x="407"/>
        <item x="408"/>
        <item x="410"/>
        <item x="411"/>
        <item x="412"/>
        <item x="413"/>
        <item x="414"/>
        <item x="415"/>
        <item x="416"/>
        <item x="419"/>
        <item x="421"/>
        <item x="422"/>
        <item x="426"/>
        <item x="428"/>
        <item x="431"/>
        <item x="432"/>
        <item x="433"/>
        <item x="434"/>
        <item x="435"/>
        <item x="436"/>
        <item x="437"/>
        <item x="438"/>
        <item x="440"/>
        <item x="442"/>
        <item x="443"/>
        <item x="444"/>
        <item x="448"/>
        <item x="450"/>
        <item x="451"/>
        <item x="455"/>
        <item x="457"/>
        <item x="465"/>
        <item x="466"/>
        <item x="468"/>
        <item x="474"/>
        <item x="475"/>
        <item x="476"/>
        <item x="478"/>
        <item x="479"/>
        <item x="483"/>
        <item x="486"/>
        <item x="489"/>
        <item x="492"/>
        <item x="497"/>
        <item x="502"/>
        <item x="503"/>
        <item x="504"/>
        <item x="505"/>
        <item x="506"/>
        <item x="507"/>
        <item x="512"/>
        <item x="513"/>
        <item x="514"/>
        <item x="517"/>
        <item x="518"/>
        <item x="524"/>
        <item x="525"/>
        <item x="526"/>
        <item x="529"/>
        <item x="530"/>
        <item x="531"/>
        <item x="532"/>
        <item x="533"/>
        <item x="535"/>
        <item x="537"/>
        <item x="539"/>
        <item x="540"/>
        <item x="541"/>
        <item x="542"/>
        <item x="549"/>
        <item x="551"/>
        <item x="553"/>
        <item x="556"/>
        <item x="557"/>
        <item x="558"/>
        <item x="559"/>
        <item x="561"/>
        <item x="563"/>
        <item x="564"/>
        <item x="565"/>
        <item x="566"/>
        <item x="568"/>
        <item x="569"/>
        <item x="570"/>
        <item x="571"/>
        <item x="572"/>
        <item x="574"/>
        <item x="575"/>
        <item x="576"/>
        <item x="577"/>
        <item x="578"/>
        <item x="580"/>
        <item x="581"/>
        <item x="582"/>
        <item x="583"/>
        <item x="584"/>
        <item x="585"/>
        <item x="586"/>
        <item x="588"/>
        <item x="589"/>
        <item x="590"/>
        <item x="594"/>
        <item x="597"/>
        <item x="598"/>
        <item x="599"/>
        <item x="600"/>
        <item x="601"/>
        <item x="603"/>
        <item x="605"/>
        <item x="608"/>
        <item x="609"/>
        <item x="610"/>
        <item x="611"/>
        <item x="614"/>
        <item x="615"/>
        <item x="619"/>
        <item x="623"/>
        <item x="624"/>
        <item x="625"/>
        <item x="627"/>
        <item x="628"/>
        <item x="630"/>
        <item x="633"/>
        <item x="637"/>
        <item x="648"/>
        <item x="650"/>
        <item x="651"/>
        <item x="654"/>
        <item x="655"/>
        <item x="663"/>
        <item x="652"/>
        <item x="634"/>
        <item x="635"/>
        <item x="636"/>
        <item x="638"/>
        <item x="639"/>
        <item x="641"/>
        <item x="643"/>
        <item x="646"/>
        <item x="647"/>
        <item x="653"/>
        <item x="656"/>
        <item x="661"/>
        <item x="662"/>
        <item x="664"/>
        <item x="665"/>
        <item x="666"/>
        <item x="672"/>
        <item x="677"/>
        <item x="684"/>
        <item x="687"/>
        <item x="688"/>
        <item x="689"/>
        <item x="697"/>
        <item x="698"/>
        <item x="700"/>
        <item x="701"/>
        <item x="702"/>
        <item x="703"/>
        <item x="705"/>
        <item x="708"/>
        <item x="710"/>
        <item x="712"/>
        <item x="713"/>
        <item x="715"/>
        <item x="716"/>
        <item x="719"/>
        <item x="725"/>
        <item x="727"/>
        <item x="728"/>
        <item x="729"/>
        <item x="730"/>
        <item x="731"/>
        <item x="732"/>
        <item x="736"/>
        <item x="738"/>
        <item x="739"/>
        <item x="740"/>
        <item x="741"/>
        <item x="742"/>
        <item x="743"/>
        <item x="746"/>
        <item x="748"/>
        <item x="750"/>
        <item x="751"/>
        <item x="752"/>
        <item x="753"/>
        <item x="754"/>
        <item x="755"/>
        <item x="757"/>
        <item x="758"/>
        <item x="761"/>
        <item x="764"/>
        <item x="765"/>
        <item x="767"/>
        <item x="768"/>
        <item x="771"/>
        <item x="772"/>
        <item x="774"/>
        <item x="775"/>
        <item x="777"/>
        <item x="780"/>
        <item x="781"/>
        <item x="782"/>
        <item x="783"/>
        <item x="784"/>
        <item x="785"/>
        <item x="788"/>
        <item x="789"/>
        <item x="790"/>
        <item x="791"/>
        <item x="796"/>
        <item x="797"/>
        <item x="800"/>
        <item x="801"/>
        <item x="804"/>
        <item x="807"/>
        <item x="808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10"/>
    <field x="2"/>
  </rowFields>
  <rowItems count="74">
    <i>
      <x v="13"/>
      <x v="3018"/>
    </i>
    <i t="default">
      <x v="13"/>
    </i>
    <i>
      <x v="89"/>
      <x v="2113"/>
    </i>
    <i r="1">
      <x v="2348"/>
    </i>
    <i r="1">
      <x v="2350"/>
    </i>
    <i t="default">
      <x v="89"/>
    </i>
    <i>
      <x v="105"/>
      <x v="2083"/>
    </i>
    <i t="default">
      <x v="105"/>
    </i>
    <i>
      <x v="128"/>
      <x v="2809"/>
    </i>
    <i t="default">
      <x v="128"/>
    </i>
    <i>
      <x v="184"/>
      <x v="1575"/>
    </i>
    <i r="1">
      <x v="1576"/>
    </i>
    <i r="1">
      <x v="1577"/>
    </i>
    <i r="1">
      <x v="1578"/>
    </i>
    <i r="1">
      <x v="1579"/>
    </i>
    <i r="1">
      <x v="1583"/>
    </i>
    <i r="1">
      <x v="1585"/>
    </i>
    <i r="1">
      <x v="1586"/>
    </i>
    <i r="1">
      <x v="1588"/>
    </i>
    <i r="1">
      <x v="1589"/>
    </i>
    <i r="1">
      <x v="1590"/>
    </i>
    <i r="1">
      <x v="1591"/>
    </i>
    <i r="1">
      <x v="1592"/>
    </i>
    <i r="1">
      <x v="1593"/>
    </i>
    <i r="1">
      <x v="1594"/>
    </i>
    <i r="1">
      <x v="1595"/>
    </i>
    <i r="1">
      <x v="1596"/>
    </i>
    <i r="1">
      <x v="1597"/>
    </i>
    <i r="1">
      <x v="1598"/>
    </i>
    <i r="1">
      <x v="2171"/>
    </i>
    <i r="1">
      <x v="2174"/>
    </i>
    <i t="default">
      <x v="184"/>
    </i>
    <i>
      <x v="225"/>
      <x v="2616"/>
    </i>
    <i t="default">
      <x v="225"/>
    </i>
    <i>
      <x v="265"/>
      <x v="1980"/>
    </i>
    <i t="default">
      <x v="265"/>
    </i>
    <i>
      <x v="289"/>
      <x v="2932"/>
    </i>
    <i t="default">
      <x v="289"/>
    </i>
    <i>
      <x v="330"/>
      <x v="2238"/>
    </i>
    <i t="default">
      <x v="330"/>
    </i>
    <i>
      <x v="342"/>
      <x v="3196"/>
    </i>
    <i r="1">
      <x v="3234"/>
    </i>
    <i t="default">
      <x v="342"/>
    </i>
    <i>
      <x v="413"/>
      <x v="3318"/>
    </i>
    <i t="default">
      <x v="413"/>
    </i>
    <i>
      <x v="437"/>
      <x v="3191"/>
    </i>
    <i t="default">
      <x v="437"/>
    </i>
    <i>
      <x v="638"/>
      <x v="2682"/>
    </i>
    <i t="default">
      <x v="638"/>
    </i>
    <i>
      <x v="645"/>
      <x v="1734"/>
    </i>
    <i t="default">
      <x v="645"/>
    </i>
    <i>
      <x v="646"/>
      <x v="2437"/>
    </i>
    <i r="1">
      <x v="2441"/>
    </i>
    <i t="default">
      <x v="646"/>
    </i>
    <i>
      <x v="667"/>
      <x v="2812"/>
    </i>
    <i t="default">
      <x v="667"/>
    </i>
    <i>
      <x v="701"/>
      <x v="2137"/>
    </i>
    <i t="default">
      <x v="701"/>
    </i>
    <i>
      <x v="799"/>
      <x v="2989"/>
    </i>
    <i t="default">
      <x v="799"/>
    </i>
    <i>
      <x v="920"/>
      <x v="2444"/>
    </i>
    <i t="default">
      <x v="920"/>
    </i>
    <i>
      <x v="958"/>
      <x v="2330"/>
    </i>
    <i t="default">
      <x v="958"/>
    </i>
    <i>
      <x v="986"/>
      <x v="3153"/>
    </i>
    <i t="default">
      <x v="986"/>
    </i>
    <i>
      <x v="1067"/>
      <x v="2863"/>
    </i>
    <i t="default">
      <x v="1067"/>
    </i>
    <i>
      <x v="1115"/>
      <x v="3136"/>
    </i>
    <i t="default">
      <x v="1115"/>
    </i>
    <i>
      <x v="1135"/>
      <x v="3271"/>
    </i>
    <i r="1">
      <x v="3273"/>
    </i>
    <i t="default">
      <x v="1135"/>
    </i>
    <i t="grand">
      <x/>
    </i>
  </rowItems>
  <colFields count="1">
    <field x="-2"/>
  </colFields>
  <colItems count="2">
    <i>
      <x/>
    </i>
    <i i="1">
      <x v="1"/>
    </i>
  </colItems>
  <pageFields count="1">
    <pageField fld="20" hier="-1"/>
  </pageFields>
  <dataFields count="2">
    <dataField name="Cuenta de RECHAZADA" fld="20" subtotal="count" baseField="0" baseItem="0"/>
    <dataField name="Suma de Total" fld="14" baseField="0" baseItem="0" numFmtId="164"/>
  </dataFields>
  <formats count="983">
    <format dxfId="101">
      <pivotArea dataOnly="0" labelOnly="1" outline="0" fieldPosition="0">
        <references count="1">
          <reference field="20" count="0"/>
        </references>
      </pivotArea>
    </format>
    <format dxfId="102">
      <pivotArea field="2" type="button" dataOnly="0" labelOnly="1" outline="0" axis="axisRow" fieldPosition="1"/>
    </format>
    <format dxfId="103">
      <pivotArea dataOnly="0" labelOnly="1" outline="0" fieldPosition="0">
        <references count="1">
          <reference field="10" count="1" defaultSubtotal="1">
            <x v="0"/>
          </reference>
        </references>
      </pivotArea>
    </format>
    <format dxfId="104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105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106">
      <pivotArea dataOnly="0" labelOnly="1" outline="0" fieldPosition="0">
        <references count="1">
          <reference field="10" count="1" defaultSubtotal="1">
            <x v="3"/>
          </reference>
        </references>
      </pivotArea>
    </format>
    <format dxfId="107">
      <pivotArea dataOnly="0" labelOnly="1" outline="0" fieldPosition="0">
        <references count="1">
          <reference field="10" count="1" defaultSubtotal="1">
            <x v="4"/>
          </reference>
        </references>
      </pivotArea>
    </format>
    <format dxfId="108">
      <pivotArea dataOnly="0" labelOnly="1" outline="0" fieldPosition="0">
        <references count="1">
          <reference field="10" count="1" defaultSubtotal="1">
            <x v="5"/>
          </reference>
        </references>
      </pivotArea>
    </format>
    <format dxfId="109">
      <pivotArea dataOnly="0" labelOnly="1" outline="0" fieldPosition="0">
        <references count="1">
          <reference field="10" count="1" defaultSubtotal="1">
            <x v="6"/>
          </reference>
        </references>
      </pivotArea>
    </format>
    <format dxfId="110">
      <pivotArea dataOnly="0" labelOnly="1" outline="0" fieldPosition="0">
        <references count="1">
          <reference field="10" count="1" defaultSubtotal="1">
            <x v="7"/>
          </reference>
        </references>
      </pivotArea>
    </format>
    <format dxfId="111">
      <pivotArea dataOnly="0" labelOnly="1" outline="0" fieldPosition="0">
        <references count="1">
          <reference field="10" count="1" defaultSubtotal="1">
            <x v="8"/>
          </reference>
        </references>
      </pivotArea>
    </format>
    <format dxfId="112">
      <pivotArea dataOnly="0" labelOnly="1" outline="0" fieldPosition="0">
        <references count="1">
          <reference field="10" count="1" defaultSubtotal="1">
            <x v="9"/>
          </reference>
        </references>
      </pivotArea>
    </format>
    <format dxfId="113">
      <pivotArea dataOnly="0" labelOnly="1" outline="0" fieldPosition="0">
        <references count="1">
          <reference field="10" count="1" defaultSubtotal="1">
            <x v="10"/>
          </reference>
        </references>
      </pivotArea>
    </format>
    <format dxfId="114">
      <pivotArea dataOnly="0" labelOnly="1" outline="0" fieldPosition="0">
        <references count="1">
          <reference field="10" count="1" defaultSubtotal="1">
            <x v="11"/>
          </reference>
        </references>
      </pivotArea>
    </format>
    <format dxfId="115">
      <pivotArea dataOnly="0" labelOnly="1" outline="0" fieldPosition="0">
        <references count="1">
          <reference field="10" count="1" defaultSubtotal="1">
            <x v="12"/>
          </reference>
        </references>
      </pivotArea>
    </format>
    <format dxfId="116">
      <pivotArea dataOnly="0" labelOnly="1" outline="0" fieldPosition="0">
        <references count="1">
          <reference field="10" count="1" defaultSubtotal="1">
            <x v="13"/>
          </reference>
        </references>
      </pivotArea>
    </format>
    <format dxfId="117">
      <pivotArea dataOnly="0" labelOnly="1" outline="0" fieldPosition="0">
        <references count="1">
          <reference field="10" count="1" defaultSubtotal="1">
            <x v="14"/>
          </reference>
        </references>
      </pivotArea>
    </format>
    <format dxfId="118">
      <pivotArea dataOnly="0" labelOnly="1" outline="0" fieldPosition="0">
        <references count="1">
          <reference field="10" count="1" defaultSubtotal="1">
            <x v="15"/>
          </reference>
        </references>
      </pivotArea>
    </format>
    <format dxfId="119">
      <pivotArea dataOnly="0" labelOnly="1" outline="0" fieldPosition="0">
        <references count="1">
          <reference field="10" count="1" defaultSubtotal="1">
            <x v="17"/>
          </reference>
        </references>
      </pivotArea>
    </format>
    <format dxfId="120">
      <pivotArea dataOnly="0" labelOnly="1" outline="0" fieldPosition="0">
        <references count="1">
          <reference field="10" count="1" defaultSubtotal="1">
            <x v="18"/>
          </reference>
        </references>
      </pivotArea>
    </format>
    <format dxfId="121">
      <pivotArea dataOnly="0" labelOnly="1" outline="0" fieldPosition="0">
        <references count="1">
          <reference field="10" count="1" defaultSubtotal="1">
            <x v="19"/>
          </reference>
        </references>
      </pivotArea>
    </format>
    <format dxfId="122">
      <pivotArea dataOnly="0" labelOnly="1" outline="0" fieldPosition="0">
        <references count="1">
          <reference field="10" count="1" defaultSubtotal="1">
            <x v="20"/>
          </reference>
        </references>
      </pivotArea>
    </format>
    <format dxfId="123">
      <pivotArea dataOnly="0" labelOnly="1" outline="0" fieldPosition="0">
        <references count="1">
          <reference field="10" count="1" defaultSubtotal="1">
            <x v="21"/>
          </reference>
        </references>
      </pivotArea>
    </format>
    <format dxfId="124">
      <pivotArea dataOnly="0" labelOnly="1" outline="0" fieldPosition="0">
        <references count="1">
          <reference field="10" count="1" defaultSubtotal="1">
            <x v="22"/>
          </reference>
        </references>
      </pivotArea>
    </format>
    <format dxfId="125">
      <pivotArea dataOnly="0" labelOnly="1" outline="0" fieldPosition="0">
        <references count="1">
          <reference field="10" count="1" defaultSubtotal="1">
            <x v="23"/>
          </reference>
        </references>
      </pivotArea>
    </format>
    <format dxfId="126">
      <pivotArea dataOnly="0" labelOnly="1" outline="0" fieldPosition="0">
        <references count="1">
          <reference field="10" count="1" defaultSubtotal="1">
            <x v="24"/>
          </reference>
        </references>
      </pivotArea>
    </format>
    <format dxfId="127">
      <pivotArea dataOnly="0" labelOnly="1" outline="0" fieldPosition="0">
        <references count="1">
          <reference field="10" count="1" defaultSubtotal="1">
            <x v="25"/>
          </reference>
        </references>
      </pivotArea>
    </format>
    <format dxfId="128">
      <pivotArea dataOnly="0" labelOnly="1" outline="0" fieldPosition="0">
        <references count="1">
          <reference field="10" count="1" defaultSubtotal="1">
            <x v="26"/>
          </reference>
        </references>
      </pivotArea>
    </format>
    <format dxfId="129">
      <pivotArea dataOnly="0" labelOnly="1" outline="0" fieldPosition="0">
        <references count="1">
          <reference field="10" count="1" defaultSubtotal="1">
            <x v="27"/>
          </reference>
        </references>
      </pivotArea>
    </format>
    <format dxfId="130">
      <pivotArea dataOnly="0" labelOnly="1" outline="0" fieldPosition="0">
        <references count="1">
          <reference field="10" count="1" defaultSubtotal="1">
            <x v="28"/>
          </reference>
        </references>
      </pivotArea>
    </format>
    <format dxfId="131">
      <pivotArea dataOnly="0" labelOnly="1" outline="0" fieldPosition="0">
        <references count="1">
          <reference field="10" count="1" defaultSubtotal="1">
            <x v="29"/>
          </reference>
        </references>
      </pivotArea>
    </format>
    <format dxfId="132">
      <pivotArea dataOnly="0" labelOnly="1" outline="0" fieldPosition="0">
        <references count="1">
          <reference field="10" count="1" defaultSubtotal="1">
            <x v="31"/>
          </reference>
        </references>
      </pivotArea>
    </format>
    <format dxfId="133">
      <pivotArea dataOnly="0" labelOnly="1" outline="0" fieldPosition="0">
        <references count="1">
          <reference field="10" count="1" defaultSubtotal="1">
            <x v="32"/>
          </reference>
        </references>
      </pivotArea>
    </format>
    <format dxfId="134">
      <pivotArea dataOnly="0" labelOnly="1" outline="0" fieldPosition="0">
        <references count="1">
          <reference field="10" count="1" defaultSubtotal="1">
            <x v="33"/>
          </reference>
        </references>
      </pivotArea>
    </format>
    <format dxfId="135">
      <pivotArea dataOnly="0" labelOnly="1" outline="0" fieldPosition="0">
        <references count="1">
          <reference field="10" count="1" defaultSubtotal="1">
            <x v="34"/>
          </reference>
        </references>
      </pivotArea>
    </format>
    <format dxfId="136">
      <pivotArea dataOnly="0" labelOnly="1" outline="0" fieldPosition="0">
        <references count="1">
          <reference field="10" count="1" defaultSubtotal="1">
            <x v="35"/>
          </reference>
        </references>
      </pivotArea>
    </format>
    <format dxfId="137">
      <pivotArea dataOnly="0" labelOnly="1" outline="0" fieldPosition="0">
        <references count="1">
          <reference field="10" count="1" defaultSubtotal="1">
            <x v="36"/>
          </reference>
        </references>
      </pivotArea>
    </format>
    <format dxfId="138">
      <pivotArea dataOnly="0" labelOnly="1" outline="0" fieldPosition="0">
        <references count="1">
          <reference field="10" count="1" defaultSubtotal="1">
            <x v="37"/>
          </reference>
        </references>
      </pivotArea>
    </format>
    <format dxfId="139">
      <pivotArea dataOnly="0" labelOnly="1" outline="0" fieldPosition="0">
        <references count="1">
          <reference field="10" count="1" defaultSubtotal="1">
            <x v="38"/>
          </reference>
        </references>
      </pivotArea>
    </format>
    <format dxfId="140">
      <pivotArea dataOnly="0" labelOnly="1" outline="0" fieldPosition="0">
        <references count="1">
          <reference field="10" count="1" defaultSubtotal="1">
            <x v="39"/>
          </reference>
        </references>
      </pivotArea>
    </format>
    <format dxfId="141">
      <pivotArea dataOnly="0" labelOnly="1" outline="0" fieldPosition="0">
        <references count="1">
          <reference field="10" count="1" defaultSubtotal="1">
            <x v="40"/>
          </reference>
        </references>
      </pivotArea>
    </format>
    <format dxfId="142">
      <pivotArea dataOnly="0" labelOnly="1" outline="0" fieldPosition="0">
        <references count="1">
          <reference field="10" count="1" defaultSubtotal="1">
            <x v="41"/>
          </reference>
        </references>
      </pivotArea>
    </format>
    <format dxfId="143">
      <pivotArea dataOnly="0" labelOnly="1" outline="0" fieldPosition="0">
        <references count="1">
          <reference field="10" count="1" defaultSubtotal="1">
            <x v="42"/>
          </reference>
        </references>
      </pivotArea>
    </format>
    <format dxfId="144">
      <pivotArea dataOnly="0" labelOnly="1" outline="0" fieldPosition="0">
        <references count="1">
          <reference field="10" count="1" defaultSubtotal="1">
            <x v="43"/>
          </reference>
        </references>
      </pivotArea>
    </format>
    <format dxfId="145">
      <pivotArea dataOnly="0" labelOnly="1" outline="0" fieldPosition="0">
        <references count="1">
          <reference field="10" count="1" defaultSubtotal="1">
            <x v="44"/>
          </reference>
        </references>
      </pivotArea>
    </format>
    <format dxfId="146">
      <pivotArea dataOnly="0" labelOnly="1" outline="0" fieldPosition="0">
        <references count="1">
          <reference field="10" count="1" defaultSubtotal="1">
            <x v="45"/>
          </reference>
        </references>
      </pivotArea>
    </format>
    <format dxfId="147">
      <pivotArea dataOnly="0" labelOnly="1" outline="0" fieldPosition="0">
        <references count="1">
          <reference field="10" count="1" defaultSubtotal="1">
            <x v="46"/>
          </reference>
        </references>
      </pivotArea>
    </format>
    <format dxfId="148">
      <pivotArea dataOnly="0" labelOnly="1" outline="0" fieldPosition="0">
        <references count="1">
          <reference field="10" count="1" defaultSubtotal="1">
            <x v="47"/>
          </reference>
        </references>
      </pivotArea>
    </format>
    <format dxfId="149">
      <pivotArea dataOnly="0" labelOnly="1" outline="0" fieldPosition="0">
        <references count="1">
          <reference field="10" count="1" defaultSubtotal="1">
            <x v="48"/>
          </reference>
        </references>
      </pivotArea>
    </format>
    <format dxfId="150">
      <pivotArea dataOnly="0" labelOnly="1" outline="0" fieldPosition="0">
        <references count="1">
          <reference field="10" count="1" defaultSubtotal="1">
            <x v="49"/>
          </reference>
        </references>
      </pivotArea>
    </format>
    <format dxfId="151">
      <pivotArea dataOnly="0" labelOnly="1" outline="0" fieldPosition="0">
        <references count="1">
          <reference field="10" count="1" defaultSubtotal="1">
            <x v="50"/>
          </reference>
        </references>
      </pivotArea>
    </format>
    <format dxfId="152">
      <pivotArea dataOnly="0" labelOnly="1" outline="0" fieldPosition="0">
        <references count="1">
          <reference field="10" count="1" defaultSubtotal="1">
            <x v="51"/>
          </reference>
        </references>
      </pivotArea>
    </format>
    <format dxfId="153">
      <pivotArea dataOnly="0" labelOnly="1" outline="0" fieldPosition="0">
        <references count="1">
          <reference field="10" count="1" defaultSubtotal="1">
            <x v="52"/>
          </reference>
        </references>
      </pivotArea>
    </format>
    <format dxfId="154">
      <pivotArea dataOnly="0" labelOnly="1" outline="0" fieldPosition="0">
        <references count="1">
          <reference field="10" count="1" defaultSubtotal="1">
            <x v="53"/>
          </reference>
        </references>
      </pivotArea>
    </format>
    <format dxfId="155">
      <pivotArea dataOnly="0" labelOnly="1" outline="0" fieldPosition="0">
        <references count="1">
          <reference field="10" count="1" defaultSubtotal="1">
            <x v="54"/>
          </reference>
        </references>
      </pivotArea>
    </format>
    <format dxfId="156">
      <pivotArea dataOnly="0" labelOnly="1" outline="0" fieldPosition="0">
        <references count="1">
          <reference field="10" count="1" defaultSubtotal="1">
            <x v="55"/>
          </reference>
        </references>
      </pivotArea>
    </format>
    <format dxfId="157">
      <pivotArea dataOnly="0" labelOnly="1" outline="0" fieldPosition="0">
        <references count="1">
          <reference field="10" count="1" defaultSubtotal="1">
            <x v="57"/>
          </reference>
        </references>
      </pivotArea>
    </format>
    <format dxfId="158">
      <pivotArea dataOnly="0" labelOnly="1" outline="0" fieldPosition="0">
        <references count="1">
          <reference field="10" count="1" defaultSubtotal="1">
            <x v="58"/>
          </reference>
        </references>
      </pivotArea>
    </format>
    <format dxfId="159">
      <pivotArea dataOnly="0" labelOnly="1" outline="0" fieldPosition="0">
        <references count="1">
          <reference field="10" count="1" defaultSubtotal="1">
            <x v="59"/>
          </reference>
        </references>
      </pivotArea>
    </format>
    <format dxfId="160">
      <pivotArea dataOnly="0" labelOnly="1" outline="0" fieldPosition="0">
        <references count="1">
          <reference field="10" count="1" defaultSubtotal="1">
            <x v="60"/>
          </reference>
        </references>
      </pivotArea>
    </format>
    <format dxfId="161">
      <pivotArea dataOnly="0" labelOnly="1" outline="0" fieldPosition="0">
        <references count="1">
          <reference field="10" count="1" defaultSubtotal="1">
            <x v="61"/>
          </reference>
        </references>
      </pivotArea>
    </format>
    <format dxfId="162">
      <pivotArea dataOnly="0" labelOnly="1" outline="0" fieldPosition="0">
        <references count="1">
          <reference field="10" count="1" defaultSubtotal="1">
            <x v="62"/>
          </reference>
        </references>
      </pivotArea>
    </format>
    <format dxfId="163">
      <pivotArea dataOnly="0" labelOnly="1" outline="0" fieldPosition="0">
        <references count="1">
          <reference field="10" count="1" defaultSubtotal="1">
            <x v="63"/>
          </reference>
        </references>
      </pivotArea>
    </format>
    <format dxfId="164">
      <pivotArea dataOnly="0" labelOnly="1" outline="0" fieldPosition="0">
        <references count="1">
          <reference field="10" count="1" defaultSubtotal="1">
            <x v="64"/>
          </reference>
        </references>
      </pivotArea>
    </format>
    <format dxfId="165">
      <pivotArea dataOnly="0" labelOnly="1" outline="0" fieldPosition="0">
        <references count="1">
          <reference field="10" count="1" defaultSubtotal="1">
            <x v="65"/>
          </reference>
        </references>
      </pivotArea>
    </format>
    <format dxfId="166">
      <pivotArea dataOnly="0" labelOnly="1" outline="0" fieldPosition="0">
        <references count="1">
          <reference field="10" count="1" defaultSubtotal="1">
            <x v="66"/>
          </reference>
        </references>
      </pivotArea>
    </format>
    <format dxfId="167">
      <pivotArea dataOnly="0" labelOnly="1" outline="0" fieldPosition="0">
        <references count="1">
          <reference field="10" count="1" defaultSubtotal="1">
            <x v="67"/>
          </reference>
        </references>
      </pivotArea>
    </format>
    <format dxfId="168">
      <pivotArea dataOnly="0" labelOnly="1" outline="0" fieldPosition="0">
        <references count="1">
          <reference field="10" count="1" defaultSubtotal="1">
            <x v="68"/>
          </reference>
        </references>
      </pivotArea>
    </format>
    <format dxfId="169">
      <pivotArea dataOnly="0" labelOnly="1" outline="0" fieldPosition="0">
        <references count="1">
          <reference field="10" count="1" defaultSubtotal="1">
            <x v="70"/>
          </reference>
        </references>
      </pivotArea>
    </format>
    <format dxfId="170">
      <pivotArea dataOnly="0" labelOnly="1" outline="0" fieldPosition="0">
        <references count="1">
          <reference field="10" count="1" defaultSubtotal="1">
            <x v="71"/>
          </reference>
        </references>
      </pivotArea>
    </format>
    <format dxfId="171">
      <pivotArea dataOnly="0" labelOnly="1" outline="0" fieldPosition="0">
        <references count="1">
          <reference field="10" count="1" defaultSubtotal="1">
            <x v="72"/>
          </reference>
        </references>
      </pivotArea>
    </format>
    <format dxfId="172">
      <pivotArea dataOnly="0" labelOnly="1" outline="0" fieldPosition="0">
        <references count="1">
          <reference field="10" count="1" defaultSubtotal="1">
            <x v="73"/>
          </reference>
        </references>
      </pivotArea>
    </format>
    <format dxfId="173">
      <pivotArea dataOnly="0" labelOnly="1" outline="0" fieldPosition="0">
        <references count="1">
          <reference field="10" count="1" defaultSubtotal="1">
            <x v="74"/>
          </reference>
        </references>
      </pivotArea>
    </format>
    <format dxfId="174">
      <pivotArea dataOnly="0" labelOnly="1" outline="0" fieldPosition="0">
        <references count="1">
          <reference field="10" count="1" defaultSubtotal="1">
            <x v="75"/>
          </reference>
        </references>
      </pivotArea>
    </format>
    <format dxfId="175">
      <pivotArea dataOnly="0" labelOnly="1" outline="0" fieldPosition="0">
        <references count="1">
          <reference field="10" count="1" defaultSubtotal="1">
            <x v="76"/>
          </reference>
        </references>
      </pivotArea>
    </format>
    <format dxfId="176">
      <pivotArea dataOnly="0" labelOnly="1" outline="0" fieldPosition="0">
        <references count="1">
          <reference field="10" count="1" defaultSubtotal="1">
            <x v="77"/>
          </reference>
        </references>
      </pivotArea>
    </format>
    <format dxfId="177">
      <pivotArea dataOnly="0" labelOnly="1" outline="0" fieldPosition="0">
        <references count="1">
          <reference field="10" count="1" defaultSubtotal="1">
            <x v="78"/>
          </reference>
        </references>
      </pivotArea>
    </format>
    <format dxfId="178">
      <pivotArea dataOnly="0" labelOnly="1" outline="0" fieldPosition="0">
        <references count="1">
          <reference field="10" count="1" defaultSubtotal="1">
            <x v="79"/>
          </reference>
        </references>
      </pivotArea>
    </format>
    <format dxfId="179">
      <pivotArea dataOnly="0" labelOnly="1" outline="0" fieldPosition="0">
        <references count="1">
          <reference field="10" count="1" defaultSubtotal="1">
            <x v="80"/>
          </reference>
        </references>
      </pivotArea>
    </format>
    <format dxfId="180">
      <pivotArea dataOnly="0" labelOnly="1" outline="0" fieldPosition="0">
        <references count="1">
          <reference field="10" count="1" defaultSubtotal="1">
            <x v="81"/>
          </reference>
        </references>
      </pivotArea>
    </format>
    <format dxfId="181">
      <pivotArea dataOnly="0" labelOnly="1" outline="0" fieldPosition="0">
        <references count="1">
          <reference field="10" count="1" defaultSubtotal="1">
            <x v="82"/>
          </reference>
        </references>
      </pivotArea>
    </format>
    <format dxfId="182">
      <pivotArea dataOnly="0" labelOnly="1" outline="0" fieldPosition="0">
        <references count="1">
          <reference field="10" count="1" defaultSubtotal="1">
            <x v="83"/>
          </reference>
        </references>
      </pivotArea>
    </format>
    <format dxfId="183">
      <pivotArea dataOnly="0" labelOnly="1" outline="0" fieldPosition="0">
        <references count="1">
          <reference field="10" count="1" defaultSubtotal="1">
            <x v="84"/>
          </reference>
        </references>
      </pivotArea>
    </format>
    <format dxfId="184">
      <pivotArea dataOnly="0" labelOnly="1" outline="0" fieldPosition="0">
        <references count="1">
          <reference field="10" count="1" defaultSubtotal="1">
            <x v="85"/>
          </reference>
        </references>
      </pivotArea>
    </format>
    <format dxfId="185">
      <pivotArea dataOnly="0" labelOnly="1" outline="0" fieldPosition="0">
        <references count="1">
          <reference field="10" count="1" defaultSubtotal="1">
            <x v="86"/>
          </reference>
        </references>
      </pivotArea>
    </format>
    <format dxfId="186">
      <pivotArea dataOnly="0" labelOnly="1" outline="0" fieldPosition="0">
        <references count="1">
          <reference field="10" count="1" defaultSubtotal="1">
            <x v="87"/>
          </reference>
        </references>
      </pivotArea>
    </format>
    <format dxfId="187">
      <pivotArea dataOnly="0" labelOnly="1" outline="0" fieldPosition="0">
        <references count="1">
          <reference field="10" count="1" defaultSubtotal="1">
            <x v="88"/>
          </reference>
        </references>
      </pivotArea>
    </format>
    <format dxfId="188">
      <pivotArea dataOnly="0" labelOnly="1" outline="0" fieldPosition="0">
        <references count="1">
          <reference field="10" count="1" defaultSubtotal="1">
            <x v="89"/>
          </reference>
        </references>
      </pivotArea>
    </format>
    <format dxfId="189">
      <pivotArea dataOnly="0" labelOnly="1" outline="0" fieldPosition="0">
        <references count="1">
          <reference field="10" count="1" defaultSubtotal="1">
            <x v="90"/>
          </reference>
        </references>
      </pivotArea>
    </format>
    <format dxfId="190">
      <pivotArea dataOnly="0" labelOnly="1" outline="0" fieldPosition="0">
        <references count="1">
          <reference field="10" count="1" defaultSubtotal="1">
            <x v="91"/>
          </reference>
        </references>
      </pivotArea>
    </format>
    <format dxfId="191">
      <pivotArea dataOnly="0" labelOnly="1" outline="0" fieldPosition="0">
        <references count="1">
          <reference field="10" count="1" defaultSubtotal="1">
            <x v="92"/>
          </reference>
        </references>
      </pivotArea>
    </format>
    <format dxfId="192">
      <pivotArea dataOnly="0" labelOnly="1" outline="0" fieldPosition="0">
        <references count="1">
          <reference field="10" count="1" defaultSubtotal="1">
            <x v="93"/>
          </reference>
        </references>
      </pivotArea>
    </format>
    <format dxfId="193">
      <pivotArea dataOnly="0" labelOnly="1" outline="0" fieldPosition="0">
        <references count="1">
          <reference field="10" count="1" defaultSubtotal="1">
            <x v="94"/>
          </reference>
        </references>
      </pivotArea>
    </format>
    <format dxfId="194">
      <pivotArea dataOnly="0" labelOnly="1" outline="0" fieldPosition="0">
        <references count="1">
          <reference field="10" count="1" defaultSubtotal="1">
            <x v="95"/>
          </reference>
        </references>
      </pivotArea>
    </format>
    <format dxfId="195">
      <pivotArea dataOnly="0" labelOnly="1" outline="0" fieldPosition="0">
        <references count="1">
          <reference field="10" count="1" defaultSubtotal="1">
            <x v="96"/>
          </reference>
        </references>
      </pivotArea>
    </format>
    <format dxfId="196">
      <pivotArea dataOnly="0" labelOnly="1" outline="0" fieldPosition="0">
        <references count="1">
          <reference field="10" count="1" defaultSubtotal="1">
            <x v="97"/>
          </reference>
        </references>
      </pivotArea>
    </format>
    <format dxfId="197">
      <pivotArea dataOnly="0" labelOnly="1" outline="0" fieldPosition="0">
        <references count="1">
          <reference field="10" count="1" defaultSubtotal="1">
            <x v="98"/>
          </reference>
        </references>
      </pivotArea>
    </format>
    <format dxfId="198">
      <pivotArea dataOnly="0" labelOnly="1" outline="0" fieldPosition="0">
        <references count="1">
          <reference field="10" count="1" defaultSubtotal="1">
            <x v="99"/>
          </reference>
        </references>
      </pivotArea>
    </format>
    <format dxfId="199">
      <pivotArea dataOnly="0" labelOnly="1" outline="0" fieldPosition="0">
        <references count="1">
          <reference field="10" count="1" defaultSubtotal="1">
            <x v="100"/>
          </reference>
        </references>
      </pivotArea>
    </format>
    <format dxfId="200">
      <pivotArea dataOnly="0" labelOnly="1" outline="0" fieldPosition="0">
        <references count="1">
          <reference field="10" count="1" defaultSubtotal="1">
            <x v="101"/>
          </reference>
        </references>
      </pivotArea>
    </format>
    <format dxfId="201">
      <pivotArea dataOnly="0" labelOnly="1" outline="0" fieldPosition="0">
        <references count="1">
          <reference field="10" count="1" defaultSubtotal="1">
            <x v="102"/>
          </reference>
        </references>
      </pivotArea>
    </format>
    <format dxfId="202">
      <pivotArea dataOnly="0" labelOnly="1" outline="0" fieldPosition="0">
        <references count="1">
          <reference field="10" count="1" defaultSubtotal="1">
            <x v="103"/>
          </reference>
        </references>
      </pivotArea>
    </format>
    <format dxfId="203">
      <pivotArea dataOnly="0" labelOnly="1" outline="0" fieldPosition="0">
        <references count="1">
          <reference field="10" count="1" defaultSubtotal="1">
            <x v="104"/>
          </reference>
        </references>
      </pivotArea>
    </format>
    <format dxfId="204">
      <pivotArea dataOnly="0" labelOnly="1" outline="0" fieldPosition="0">
        <references count="1">
          <reference field="10" count="1" defaultSubtotal="1">
            <x v="105"/>
          </reference>
        </references>
      </pivotArea>
    </format>
    <format dxfId="205">
      <pivotArea dataOnly="0" labelOnly="1" outline="0" fieldPosition="0">
        <references count="1">
          <reference field="10" count="1" defaultSubtotal="1">
            <x v="106"/>
          </reference>
        </references>
      </pivotArea>
    </format>
    <format dxfId="206">
      <pivotArea dataOnly="0" labelOnly="1" outline="0" fieldPosition="0">
        <references count="1">
          <reference field="10" count="1" defaultSubtotal="1">
            <x v="107"/>
          </reference>
        </references>
      </pivotArea>
    </format>
    <format dxfId="207">
      <pivotArea dataOnly="0" labelOnly="1" outline="0" fieldPosition="0">
        <references count="1">
          <reference field="10" count="1" defaultSubtotal="1">
            <x v="108"/>
          </reference>
        </references>
      </pivotArea>
    </format>
    <format dxfId="208">
      <pivotArea dataOnly="0" labelOnly="1" outline="0" fieldPosition="0">
        <references count="1">
          <reference field="10" count="1" defaultSubtotal="1">
            <x v="109"/>
          </reference>
        </references>
      </pivotArea>
    </format>
    <format dxfId="209">
      <pivotArea dataOnly="0" labelOnly="1" outline="0" fieldPosition="0">
        <references count="1">
          <reference field="10" count="1" defaultSubtotal="1">
            <x v="110"/>
          </reference>
        </references>
      </pivotArea>
    </format>
    <format dxfId="210">
      <pivotArea dataOnly="0" labelOnly="1" outline="0" fieldPosition="0">
        <references count="1">
          <reference field="10" count="1" defaultSubtotal="1">
            <x v="111"/>
          </reference>
        </references>
      </pivotArea>
    </format>
    <format dxfId="211">
      <pivotArea dataOnly="0" labelOnly="1" outline="0" fieldPosition="0">
        <references count="1">
          <reference field="10" count="1" defaultSubtotal="1">
            <x v="112"/>
          </reference>
        </references>
      </pivotArea>
    </format>
    <format dxfId="212">
      <pivotArea dataOnly="0" labelOnly="1" outline="0" fieldPosition="0">
        <references count="1">
          <reference field="10" count="1" defaultSubtotal="1">
            <x v="113"/>
          </reference>
        </references>
      </pivotArea>
    </format>
    <format dxfId="213">
      <pivotArea dataOnly="0" labelOnly="1" outline="0" fieldPosition="0">
        <references count="1">
          <reference field="10" count="1" defaultSubtotal="1">
            <x v="114"/>
          </reference>
        </references>
      </pivotArea>
    </format>
    <format dxfId="214">
      <pivotArea dataOnly="0" labelOnly="1" outline="0" fieldPosition="0">
        <references count="1">
          <reference field="10" count="1" defaultSubtotal="1">
            <x v="115"/>
          </reference>
        </references>
      </pivotArea>
    </format>
    <format dxfId="215">
      <pivotArea dataOnly="0" labelOnly="1" outline="0" fieldPosition="0">
        <references count="1">
          <reference field="10" count="1" defaultSubtotal="1">
            <x v="116"/>
          </reference>
        </references>
      </pivotArea>
    </format>
    <format dxfId="216">
      <pivotArea dataOnly="0" labelOnly="1" outline="0" fieldPosition="0">
        <references count="1">
          <reference field="10" count="1" defaultSubtotal="1">
            <x v="117"/>
          </reference>
        </references>
      </pivotArea>
    </format>
    <format dxfId="217">
      <pivotArea dataOnly="0" labelOnly="1" outline="0" fieldPosition="0">
        <references count="1">
          <reference field="10" count="1" defaultSubtotal="1">
            <x v="118"/>
          </reference>
        </references>
      </pivotArea>
    </format>
    <format dxfId="218">
      <pivotArea dataOnly="0" labelOnly="1" outline="0" fieldPosition="0">
        <references count="1">
          <reference field="10" count="1" defaultSubtotal="1">
            <x v="119"/>
          </reference>
        </references>
      </pivotArea>
    </format>
    <format dxfId="219">
      <pivotArea dataOnly="0" labelOnly="1" outline="0" fieldPosition="0">
        <references count="1">
          <reference field="10" count="1" defaultSubtotal="1">
            <x v="120"/>
          </reference>
        </references>
      </pivotArea>
    </format>
    <format dxfId="220">
      <pivotArea dataOnly="0" labelOnly="1" outline="0" fieldPosition="0">
        <references count="1">
          <reference field="10" count="1" defaultSubtotal="1">
            <x v="121"/>
          </reference>
        </references>
      </pivotArea>
    </format>
    <format dxfId="221">
      <pivotArea dataOnly="0" labelOnly="1" outline="0" fieldPosition="0">
        <references count="1">
          <reference field="10" count="1" defaultSubtotal="1">
            <x v="122"/>
          </reference>
        </references>
      </pivotArea>
    </format>
    <format dxfId="222">
      <pivotArea dataOnly="0" labelOnly="1" outline="0" fieldPosition="0">
        <references count="1">
          <reference field="10" count="1" defaultSubtotal="1">
            <x v="123"/>
          </reference>
        </references>
      </pivotArea>
    </format>
    <format dxfId="223">
      <pivotArea dataOnly="0" labelOnly="1" outline="0" fieldPosition="0">
        <references count="1">
          <reference field="10" count="1" defaultSubtotal="1">
            <x v="124"/>
          </reference>
        </references>
      </pivotArea>
    </format>
    <format dxfId="224">
      <pivotArea dataOnly="0" labelOnly="1" outline="0" fieldPosition="0">
        <references count="1">
          <reference field="10" count="1" defaultSubtotal="1">
            <x v="125"/>
          </reference>
        </references>
      </pivotArea>
    </format>
    <format dxfId="225">
      <pivotArea dataOnly="0" labelOnly="1" outline="0" fieldPosition="0">
        <references count="1">
          <reference field="10" count="1" defaultSubtotal="1">
            <x v="126"/>
          </reference>
        </references>
      </pivotArea>
    </format>
    <format dxfId="226">
      <pivotArea dataOnly="0" labelOnly="1" outline="0" fieldPosition="0">
        <references count="1">
          <reference field="10" count="1" defaultSubtotal="1">
            <x v="127"/>
          </reference>
        </references>
      </pivotArea>
    </format>
    <format dxfId="227">
      <pivotArea dataOnly="0" labelOnly="1" outline="0" fieldPosition="0">
        <references count="1">
          <reference field="10" count="1" defaultSubtotal="1">
            <x v="128"/>
          </reference>
        </references>
      </pivotArea>
    </format>
    <format dxfId="228">
      <pivotArea dataOnly="0" labelOnly="1" outline="0" fieldPosition="0">
        <references count="1">
          <reference field="10" count="1" defaultSubtotal="1">
            <x v="129"/>
          </reference>
        </references>
      </pivotArea>
    </format>
    <format dxfId="229">
      <pivotArea dataOnly="0" labelOnly="1" outline="0" fieldPosition="0">
        <references count="1">
          <reference field="10" count="1" defaultSubtotal="1">
            <x v="130"/>
          </reference>
        </references>
      </pivotArea>
    </format>
    <format dxfId="230">
      <pivotArea dataOnly="0" labelOnly="1" outline="0" fieldPosition="0">
        <references count="1">
          <reference field="10" count="1" defaultSubtotal="1">
            <x v="131"/>
          </reference>
        </references>
      </pivotArea>
    </format>
    <format dxfId="231">
      <pivotArea dataOnly="0" labelOnly="1" outline="0" fieldPosition="0">
        <references count="1">
          <reference field="10" count="1" defaultSubtotal="1">
            <x v="132"/>
          </reference>
        </references>
      </pivotArea>
    </format>
    <format dxfId="232">
      <pivotArea dataOnly="0" labelOnly="1" outline="0" fieldPosition="0">
        <references count="1">
          <reference field="10" count="1" defaultSubtotal="1">
            <x v="133"/>
          </reference>
        </references>
      </pivotArea>
    </format>
    <format dxfId="233">
      <pivotArea dataOnly="0" labelOnly="1" outline="0" fieldPosition="0">
        <references count="1">
          <reference field="10" count="1" defaultSubtotal="1">
            <x v="134"/>
          </reference>
        </references>
      </pivotArea>
    </format>
    <format dxfId="234">
      <pivotArea dataOnly="0" labelOnly="1" outline="0" fieldPosition="0">
        <references count="1">
          <reference field="10" count="1" defaultSubtotal="1">
            <x v="135"/>
          </reference>
        </references>
      </pivotArea>
    </format>
    <format dxfId="235">
      <pivotArea dataOnly="0" labelOnly="1" outline="0" fieldPosition="0">
        <references count="1">
          <reference field="10" count="1" defaultSubtotal="1">
            <x v="136"/>
          </reference>
        </references>
      </pivotArea>
    </format>
    <format dxfId="236">
      <pivotArea dataOnly="0" labelOnly="1" outline="0" fieldPosition="0">
        <references count="1">
          <reference field="10" count="1" defaultSubtotal="1">
            <x v="137"/>
          </reference>
        </references>
      </pivotArea>
    </format>
    <format dxfId="237">
      <pivotArea dataOnly="0" labelOnly="1" outline="0" fieldPosition="0">
        <references count="1">
          <reference field="10" count="1" defaultSubtotal="1">
            <x v="138"/>
          </reference>
        </references>
      </pivotArea>
    </format>
    <format dxfId="238">
      <pivotArea dataOnly="0" labelOnly="1" outline="0" fieldPosition="0">
        <references count="1">
          <reference field="10" count="1" defaultSubtotal="1">
            <x v="139"/>
          </reference>
        </references>
      </pivotArea>
    </format>
    <format dxfId="239">
      <pivotArea dataOnly="0" labelOnly="1" outline="0" fieldPosition="0">
        <references count="1">
          <reference field="10" count="1" defaultSubtotal="1">
            <x v="140"/>
          </reference>
        </references>
      </pivotArea>
    </format>
    <format dxfId="240">
      <pivotArea dataOnly="0" labelOnly="1" outline="0" fieldPosition="0">
        <references count="1">
          <reference field="10" count="1" defaultSubtotal="1">
            <x v="141"/>
          </reference>
        </references>
      </pivotArea>
    </format>
    <format dxfId="241">
      <pivotArea dataOnly="0" labelOnly="1" outline="0" fieldPosition="0">
        <references count="1">
          <reference field="10" count="1" defaultSubtotal="1">
            <x v="142"/>
          </reference>
        </references>
      </pivotArea>
    </format>
    <format dxfId="242">
      <pivotArea dataOnly="0" labelOnly="1" outline="0" fieldPosition="0">
        <references count="1">
          <reference field="10" count="1" defaultSubtotal="1">
            <x v="143"/>
          </reference>
        </references>
      </pivotArea>
    </format>
    <format dxfId="243">
      <pivotArea dataOnly="0" labelOnly="1" outline="0" fieldPosition="0">
        <references count="1">
          <reference field="10" count="1" defaultSubtotal="1">
            <x v="144"/>
          </reference>
        </references>
      </pivotArea>
    </format>
    <format dxfId="244">
      <pivotArea dataOnly="0" labelOnly="1" outline="0" fieldPosition="0">
        <references count="1">
          <reference field="10" count="1" defaultSubtotal="1">
            <x v="145"/>
          </reference>
        </references>
      </pivotArea>
    </format>
    <format dxfId="245">
      <pivotArea dataOnly="0" labelOnly="1" outline="0" fieldPosition="0">
        <references count="1">
          <reference field="10" count="1" defaultSubtotal="1">
            <x v="146"/>
          </reference>
        </references>
      </pivotArea>
    </format>
    <format dxfId="246">
      <pivotArea dataOnly="0" labelOnly="1" outline="0" fieldPosition="0">
        <references count="1">
          <reference field="10" count="1" defaultSubtotal="1">
            <x v="147"/>
          </reference>
        </references>
      </pivotArea>
    </format>
    <format dxfId="247">
      <pivotArea dataOnly="0" labelOnly="1" outline="0" fieldPosition="0">
        <references count="1">
          <reference field="10" count="1" defaultSubtotal="1">
            <x v="148"/>
          </reference>
        </references>
      </pivotArea>
    </format>
    <format dxfId="248">
      <pivotArea dataOnly="0" labelOnly="1" outline="0" fieldPosition="0">
        <references count="1">
          <reference field="10" count="1" defaultSubtotal="1">
            <x v="149"/>
          </reference>
        </references>
      </pivotArea>
    </format>
    <format dxfId="249">
      <pivotArea dataOnly="0" labelOnly="1" outline="0" fieldPosition="0">
        <references count="1">
          <reference field="10" count="1" defaultSubtotal="1">
            <x v="150"/>
          </reference>
        </references>
      </pivotArea>
    </format>
    <format dxfId="250">
      <pivotArea dataOnly="0" labelOnly="1" outline="0" fieldPosition="0">
        <references count="1">
          <reference field="10" count="1" defaultSubtotal="1">
            <x v="151"/>
          </reference>
        </references>
      </pivotArea>
    </format>
    <format dxfId="251">
      <pivotArea dataOnly="0" labelOnly="1" outline="0" fieldPosition="0">
        <references count="1">
          <reference field="10" count="1" defaultSubtotal="1">
            <x v="152"/>
          </reference>
        </references>
      </pivotArea>
    </format>
    <format dxfId="252">
      <pivotArea dataOnly="0" labelOnly="1" outline="0" fieldPosition="0">
        <references count="1">
          <reference field="10" count="1" defaultSubtotal="1">
            <x v="153"/>
          </reference>
        </references>
      </pivotArea>
    </format>
    <format dxfId="253">
      <pivotArea dataOnly="0" labelOnly="1" outline="0" fieldPosition="0">
        <references count="1">
          <reference field="10" count="1" defaultSubtotal="1">
            <x v="154"/>
          </reference>
        </references>
      </pivotArea>
    </format>
    <format dxfId="254">
      <pivotArea dataOnly="0" labelOnly="1" outline="0" fieldPosition="0">
        <references count="1">
          <reference field="10" count="1" defaultSubtotal="1">
            <x v="156"/>
          </reference>
        </references>
      </pivotArea>
    </format>
    <format dxfId="255">
      <pivotArea dataOnly="0" labelOnly="1" outline="0" fieldPosition="0">
        <references count="1">
          <reference field="10" count="1" defaultSubtotal="1">
            <x v="157"/>
          </reference>
        </references>
      </pivotArea>
    </format>
    <format dxfId="256">
      <pivotArea dataOnly="0" labelOnly="1" outline="0" fieldPosition="0">
        <references count="1">
          <reference field="10" count="1" defaultSubtotal="1">
            <x v="158"/>
          </reference>
        </references>
      </pivotArea>
    </format>
    <format dxfId="257">
      <pivotArea dataOnly="0" labelOnly="1" outline="0" fieldPosition="0">
        <references count="1">
          <reference field="10" count="1" defaultSubtotal="1">
            <x v="159"/>
          </reference>
        </references>
      </pivotArea>
    </format>
    <format dxfId="258">
      <pivotArea dataOnly="0" labelOnly="1" outline="0" fieldPosition="0">
        <references count="1">
          <reference field="10" count="1" defaultSubtotal="1">
            <x v="160"/>
          </reference>
        </references>
      </pivotArea>
    </format>
    <format dxfId="259">
      <pivotArea dataOnly="0" labelOnly="1" outline="0" fieldPosition="0">
        <references count="1">
          <reference field="10" count="1" defaultSubtotal="1">
            <x v="161"/>
          </reference>
        </references>
      </pivotArea>
    </format>
    <format dxfId="260">
      <pivotArea dataOnly="0" labelOnly="1" outline="0" fieldPosition="0">
        <references count="1">
          <reference field="10" count="1" defaultSubtotal="1">
            <x v="162"/>
          </reference>
        </references>
      </pivotArea>
    </format>
    <format dxfId="261">
      <pivotArea dataOnly="0" labelOnly="1" outline="0" fieldPosition="0">
        <references count="1">
          <reference field="10" count="1" defaultSubtotal="1">
            <x v="163"/>
          </reference>
        </references>
      </pivotArea>
    </format>
    <format dxfId="262">
      <pivotArea dataOnly="0" labelOnly="1" outline="0" fieldPosition="0">
        <references count="1">
          <reference field="10" count="1" defaultSubtotal="1">
            <x v="164"/>
          </reference>
        </references>
      </pivotArea>
    </format>
    <format dxfId="263">
      <pivotArea dataOnly="0" labelOnly="1" outline="0" fieldPosition="0">
        <references count="1">
          <reference field="10" count="1" defaultSubtotal="1">
            <x v="165"/>
          </reference>
        </references>
      </pivotArea>
    </format>
    <format dxfId="264">
      <pivotArea dataOnly="0" labelOnly="1" outline="0" fieldPosition="0">
        <references count="1">
          <reference field="10" count="1" defaultSubtotal="1">
            <x v="166"/>
          </reference>
        </references>
      </pivotArea>
    </format>
    <format dxfId="265">
      <pivotArea dataOnly="0" labelOnly="1" outline="0" fieldPosition="0">
        <references count="1">
          <reference field="10" count="1" defaultSubtotal="1">
            <x v="167"/>
          </reference>
        </references>
      </pivotArea>
    </format>
    <format dxfId="266">
      <pivotArea dataOnly="0" labelOnly="1" outline="0" fieldPosition="0">
        <references count="1">
          <reference field="10" count="1" defaultSubtotal="1">
            <x v="168"/>
          </reference>
        </references>
      </pivotArea>
    </format>
    <format dxfId="267">
      <pivotArea dataOnly="0" labelOnly="1" outline="0" fieldPosition="0">
        <references count="1">
          <reference field="10" count="1" defaultSubtotal="1">
            <x v="169"/>
          </reference>
        </references>
      </pivotArea>
    </format>
    <format dxfId="268">
      <pivotArea dataOnly="0" labelOnly="1" outline="0" fieldPosition="0">
        <references count="1">
          <reference field="10" count="1" defaultSubtotal="1">
            <x v="170"/>
          </reference>
        </references>
      </pivotArea>
    </format>
    <format dxfId="269">
      <pivotArea dataOnly="0" labelOnly="1" outline="0" fieldPosition="0">
        <references count="1">
          <reference field="10" count="1" defaultSubtotal="1">
            <x v="171"/>
          </reference>
        </references>
      </pivotArea>
    </format>
    <format dxfId="270">
      <pivotArea dataOnly="0" labelOnly="1" outline="0" fieldPosition="0">
        <references count="1">
          <reference field="10" count="1" defaultSubtotal="1">
            <x v="172"/>
          </reference>
        </references>
      </pivotArea>
    </format>
    <format dxfId="271">
      <pivotArea dataOnly="0" labelOnly="1" outline="0" fieldPosition="0">
        <references count="1">
          <reference field="10" count="1" defaultSubtotal="1">
            <x v="173"/>
          </reference>
        </references>
      </pivotArea>
    </format>
    <format dxfId="272">
      <pivotArea dataOnly="0" labelOnly="1" outline="0" fieldPosition="0">
        <references count="1">
          <reference field="10" count="1" defaultSubtotal="1">
            <x v="174"/>
          </reference>
        </references>
      </pivotArea>
    </format>
    <format dxfId="273">
      <pivotArea dataOnly="0" labelOnly="1" outline="0" fieldPosition="0">
        <references count="1">
          <reference field="10" count="1" defaultSubtotal="1">
            <x v="175"/>
          </reference>
        </references>
      </pivotArea>
    </format>
    <format dxfId="274">
      <pivotArea dataOnly="0" labelOnly="1" outline="0" fieldPosition="0">
        <references count="1">
          <reference field="10" count="1" defaultSubtotal="1">
            <x v="176"/>
          </reference>
        </references>
      </pivotArea>
    </format>
    <format dxfId="275">
      <pivotArea dataOnly="0" labelOnly="1" outline="0" fieldPosition="0">
        <references count="1">
          <reference field="10" count="1" defaultSubtotal="1">
            <x v="177"/>
          </reference>
        </references>
      </pivotArea>
    </format>
    <format dxfId="276">
      <pivotArea dataOnly="0" labelOnly="1" outline="0" fieldPosition="0">
        <references count="1">
          <reference field="10" count="1" defaultSubtotal="1">
            <x v="178"/>
          </reference>
        </references>
      </pivotArea>
    </format>
    <format dxfId="277">
      <pivotArea dataOnly="0" labelOnly="1" outline="0" fieldPosition="0">
        <references count="1">
          <reference field="10" count="1" defaultSubtotal="1">
            <x v="179"/>
          </reference>
        </references>
      </pivotArea>
    </format>
    <format dxfId="278">
      <pivotArea dataOnly="0" labelOnly="1" outline="0" fieldPosition="0">
        <references count="1">
          <reference field="10" count="1" defaultSubtotal="1">
            <x v="180"/>
          </reference>
        </references>
      </pivotArea>
    </format>
    <format dxfId="279">
      <pivotArea dataOnly="0" labelOnly="1" outline="0" fieldPosition="0">
        <references count="1">
          <reference field="10" count="1" defaultSubtotal="1">
            <x v="181"/>
          </reference>
        </references>
      </pivotArea>
    </format>
    <format dxfId="280">
      <pivotArea dataOnly="0" labelOnly="1" outline="0" fieldPosition="0">
        <references count="1">
          <reference field="10" count="1" defaultSubtotal="1">
            <x v="182"/>
          </reference>
        </references>
      </pivotArea>
    </format>
    <format dxfId="281">
      <pivotArea dataOnly="0" labelOnly="1" outline="0" fieldPosition="0">
        <references count="1">
          <reference field="10" count="1" defaultSubtotal="1">
            <x v="183"/>
          </reference>
        </references>
      </pivotArea>
    </format>
    <format dxfId="282">
      <pivotArea dataOnly="0" labelOnly="1" outline="0" fieldPosition="0">
        <references count="1">
          <reference field="10" count="1" defaultSubtotal="1">
            <x v="186"/>
          </reference>
        </references>
      </pivotArea>
    </format>
    <format dxfId="283">
      <pivotArea dataOnly="0" labelOnly="1" outline="0" fieldPosition="0">
        <references count="1">
          <reference field="10" count="1" defaultSubtotal="1">
            <x v="187"/>
          </reference>
        </references>
      </pivotArea>
    </format>
    <format dxfId="284">
      <pivotArea dataOnly="0" labelOnly="1" outline="0" fieldPosition="0">
        <references count="1">
          <reference field="10" count="1" defaultSubtotal="1">
            <x v="188"/>
          </reference>
        </references>
      </pivotArea>
    </format>
    <format dxfId="285">
      <pivotArea dataOnly="0" labelOnly="1" outline="0" fieldPosition="0">
        <references count="1">
          <reference field="10" count="1" defaultSubtotal="1">
            <x v="189"/>
          </reference>
        </references>
      </pivotArea>
    </format>
    <format dxfId="286">
      <pivotArea dataOnly="0" labelOnly="1" outline="0" fieldPosition="0">
        <references count="1">
          <reference field="10" count="1" defaultSubtotal="1">
            <x v="190"/>
          </reference>
        </references>
      </pivotArea>
    </format>
    <format dxfId="287">
      <pivotArea dataOnly="0" labelOnly="1" outline="0" fieldPosition="0">
        <references count="1">
          <reference field="10" count="1" defaultSubtotal="1">
            <x v="191"/>
          </reference>
        </references>
      </pivotArea>
    </format>
    <format dxfId="288">
      <pivotArea dataOnly="0" labelOnly="1" outline="0" fieldPosition="0">
        <references count="1">
          <reference field="10" count="1" defaultSubtotal="1">
            <x v="192"/>
          </reference>
        </references>
      </pivotArea>
    </format>
    <format dxfId="289">
      <pivotArea dataOnly="0" labelOnly="1" outline="0" fieldPosition="0">
        <references count="1">
          <reference field="10" count="1" defaultSubtotal="1">
            <x v="193"/>
          </reference>
        </references>
      </pivotArea>
    </format>
    <format dxfId="290">
      <pivotArea dataOnly="0" labelOnly="1" outline="0" fieldPosition="0">
        <references count="1">
          <reference field="10" count="1" defaultSubtotal="1">
            <x v="194"/>
          </reference>
        </references>
      </pivotArea>
    </format>
    <format dxfId="291">
      <pivotArea dataOnly="0" labelOnly="1" outline="0" fieldPosition="0">
        <references count="1">
          <reference field="10" count="1" defaultSubtotal="1">
            <x v="195"/>
          </reference>
        </references>
      </pivotArea>
    </format>
    <format dxfId="292">
      <pivotArea dataOnly="0" labelOnly="1" outline="0" fieldPosition="0">
        <references count="1">
          <reference field="10" count="1" defaultSubtotal="1">
            <x v="196"/>
          </reference>
        </references>
      </pivotArea>
    </format>
    <format dxfId="293">
      <pivotArea dataOnly="0" labelOnly="1" outline="0" fieldPosition="0">
        <references count="1">
          <reference field="10" count="1" defaultSubtotal="1">
            <x v="197"/>
          </reference>
        </references>
      </pivotArea>
    </format>
    <format dxfId="294">
      <pivotArea dataOnly="0" labelOnly="1" outline="0" fieldPosition="0">
        <references count="1">
          <reference field="10" count="1" defaultSubtotal="1">
            <x v="198"/>
          </reference>
        </references>
      </pivotArea>
    </format>
    <format dxfId="295">
      <pivotArea dataOnly="0" labelOnly="1" outline="0" fieldPosition="0">
        <references count="1">
          <reference field="10" count="1" defaultSubtotal="1">
            <x v="199"/>
          </reference>
        </references>
      </pivotArea>
    </format>
    <format dxfId="296">
      <pivotArea dataOnly="0" labelOnly="1" outline="0" fieldPosition="0">
        <references count="1">
          <reference field="10" count="1" defaultSubtotal="1">
            <x v="200"/>
          </reference>
        </references>
      </pivotArea>
    </format>
    <format dxfId="297">
      <pivotArea dataOnly="0" labelOnly="1" outline="0" fieldPosition="0">
        <references count="1">
          <reference field="10" count="1" defaultSubtotal="1">
            <x v="201"/>
          </reference>
        </references>
      </pivotArea>
    </format>
    <format dxfId="298">
      <pivotArea dataOnly="0" labelOnly="1" outline="0" fieldPosition="0">
        <references count="1">
          <reference field="10" count="1" defaultSubtotal="1">
            <x v="202"/>
          </reference>
        </references>
      </pivotArea>
    </format>
    <format dxfId="299">
      <pivotArea dataOnly="0" labelOnly="1" outline="0" fieldPosition="0">
        <references count="1">
          <reference field="10" count="1" defaultSubtotal="1">
            <x v="203"/>
          </reference>
        </references>
      </pivotArea>
    </format>
    <format dxfId="300">
      <pivotArea dataOnly="0" labelOnly="1" outline="0" fieldPosition="0">
        <references count="1">
          <reference field="10" count="1" defaultSubtotal="1">
            <x v="204"/>
          </reference>
        </references>
      </pivotArea>
    </format>
    <format dxfId="301">
      <pivotArea dataOnly="0" labelOnly="1" outline="0" fieldPosition="0">
        <references count="1">
          <reference field="10" count="1" defaultSubtotal="1">
            <x v="205"/>
          </reference>
        </references>
      </pivotArea>
    </format>
    <format dxfId="302">
      <pivotArea dataOnly="0" labelOnly="1" outline="0" fieldPosition="0">
        <references count="1">
          <reference field="10" count="1" defaultSubtotal="1">
            <x v="206"/>
          </reference>
        </references>
      </pivotArea>
    </format>
    <format dxfId="303">
      <pivotArea dataOnly="0" labelOnly="1" outline="0" fieldPosition="0">
        <references count="1">
          <reference field="10" count="1" defaultSubtotal="1">
            <x v="207"/>
          </reference>
        </references>
      </pivotArea>
    </format>
    <format dxfId="304">
      <pivotArea dataOnly="0" labelOnly="1" outline="0" fieldPosition="0">
        <references count="1">
          <reference field="10" count="1" defaultSubtotal="1">
            <x v="208"/>
          </reference>
        </references>
      </pivotArea>
    </format>
    <format dxfId="305">
      <pivotArea dataOnly="0" labelOnly="1" outline="0" fieldPosition="0">
        <references count="1">
          <reference field="10" count="1" defaultSubtotal="1">
            <x v="209"/>
          </reference>
        </references>
      </pivotArea>
    </format>
    <format dxfId="306">
      <pivotArea dataOnly="0" labelOnly="1" outline="0" fieldPosition="0">
        <references count="1">
          <reference field="10" count="1" defaultSubtotal="1">
            <x v="210"/>
          </reference>
        </references>
      </pivotArea>
    </format>
    <format dxfId="307">
      <pivotArea dataOnly="0" labelOnly="1" outline="0" fieldPosition="0">
        <references count="1">
          <reference field="10" count="1" defaultSubtotal="1">
            <x v="211"/>
          </reference>
        </references>
      </pivotArea>
    </format>
    <format dxfId="308">
      <pivotArea dataOnly="0" labelOnly="1" outline="0" fieldPosition="0">
        <references count="1">
          <reference field="10" count="1" defaultSubtotal="1">
            <x v="212"/>
          </reference>
        </references>
      </pivotArea>
    </format>
    <format dxfId="309">
      <pivotArea dataOnly="0" labelOnly="1" outline="0" fieldPosition="0">
        <references count="1">
          <reference field="10" count="1" defaultSubtotal="1">
            <x v="213"/>
          </reference>
        </references>
      </pivotArea>
    </format>
    <format dxfId="310">
      <pivotArea dataOnly="0" labelOnly="1" outline="0" fieldPosition="0">
        <references count="1">
          <reference field="10" count="1" defaultSubtotal="1">
            <x v="214"/>
          </reference>
        </references>
      </pivotArea>
    </format>
    <format dxfId="311">
      <pivotArea dataOnly="0" labelOnly="1" outline="0" fieldPosition="0">
        <references count="1">
          <reference field="10" count="1" defaultSubtotal="1">
            <x v="215"/>
          </reference>
        </references>
      </pivotArea>
    </format>
    <format dxfId="312">
      <pivotArea dataOnly="0" labelOnly="1" outline="0" fieldPosition="0">
        <references count="1">
          <reference field="10" count="1" defaultSubtotal="1">
            <x v="217"/>
          </reference>
        </references>
      </pivotArea>
    </format>
    <format dxfId="313">
      <pivotArea dataOnly="0" labelOnly="1" outline="0" fieldPosition="0">
        <references count="1">
          <reference field="10" count="1" defaultSubtotal="1">
            <x v="218"/>
          </reference>
        </references>
      </pivotArea>
    </format>
    <format dxfId="314">
      <pivotArea dataOnly="0" labelOnly="1" outline="0" fieldPosition="0">
        <references count="1">
          <reference field="10" count="1" defaultSubtotal="1">
            <x v="219"/>
          </reference>
        </references>
      </pivotArea>
    </format>
    <format dxfId="315">
      <pivotArea dataOnly="0" labelOnly="1" outline="0" fieldPosition="0">
        <references count="1">
          <reference field="10" count="1" defaultSubtotal="1">
            <x v="220"/>
          </reference>
        </references>
      </pivotArea>
    </format>
    <format dxfId="316">
      <pivotArea dataOnly="0" labelOnly="1" outline="0" fieldPosition="0">
        <references count="1">
          <reference field="10" count="1" defaultSubtotal="1">
            <x v="221"/>
          </reference>
        </references>
      </pivotArea>
    </format>
    <format dxfId="317">
      <pivotArea dataOnly="0" labelOnly="1" outline="0" fieldPosition="0">
        <references count="1">
          <reference field="10" count="1" defaultSubtotal="1">
            <x v="222"/>
          </reference>
        </references>
      </pivotArea>
    </format>
    <format dxfId="318">
      <pivotArea dataOnly="0" labelOnly="1" outline="0" fieldPosition="0">
        <references count="1">
          <reference field="10" count="1" defaultSubtotal="1">
            <x v="223"/>
          </reference>
        </references>
      </pivotArea>
    </format>
    <format dxfId="319">
      <pivotArea dataOnly="0" labelOnly="1" outline="0" fieldPosition="0">
        <references count="1">
          <reference field="10" count="1" defaultSubtotal="1">
            <x v="224"/>
          </reference>
        </references>
      </pivotArea>
    </format>
    <format dxfId="320">
      <pivotArea dataOnly="0" labelOnly="1" outline="0" fieldPosition="0">
        <references count="1">
          <reference field="10" count="1" defaultSubtotal="1">
            <x v="225"/>
          </reference>
        </references>
      </pivotArea>
    </format>
    <format dxfId="321">
      <pivotArea dataOnly="0" labelOnly="1" outline="0" fieldPosition="0">
        <references count="1">
          <reference field="10" count="1" defaultSubtotal="1">
            <x v="226"/>
          </reference>
        </references>
      </pivotArea>
    </format>
    <format dxfId="322">
      <pivotArea dataOnly="0" labelOnly="1" outline="0" fieldPosition="0">
        <references count="1">
          <reference field="10" count="1" defaultSubtotal="1">
            <x v="227"/>
          </reference>
        </references>
      </pivotArea>
    </format>
    <format dxfId="323">
      <pivotArea dataOnly="0" labelOnly="1" outline="0" fieldPosition="0">
        <references count="1">
          <reference field="10" count="1" defaultSubtotal="1">
            <x v="228"/>
          </reference>
        </references>
      </pivotArea>
    </format>
    <format dxfId="324">
      <pivotArea dataOnly="0" labelOnly="1" outline="0" fieldPosition="0">
        <references count="1">
          <reference field="10" count="1" defaultSubtotal="1">
            <x v="229"/>
          </reference>
        </references>
      </pivotArea>
    </format>
    <format dxfId="325">
      <pivotArea dataOnly="0" labelOnly="1" outline="0" fieldPosition="0">
        <references count="1">
          <reference field="10" count="1" defaultSubtotal="1">
            <x v="230"/>
          </reference>
        </references>
      </pivotArea>
    </format>
    <format dxfId="326">
      <pivotArea dataOnly="0" labelOnly="1" outline="0" fieldPosition="0">
        <references count="1">
          <reference field="10" count="1" defaultSubtotal="1">
            <x v="231"/>
          </reference>
        </references>
      </pivotArea>
    </format>
    <format dxfId="327">
      <pivotArea dataOnly="0" labelOnly="1" outline="0" fieldPosition="0">
        <references count="1">
          <reference field="10" count="1" defaultSubtotal="1">
            <x v="232"/>
          </reference>
        </references>
      </pivotArea>
    </format>
    <format dxfId="328">
      <pivotArea dataOnly="0" labelOnly="1" outline="0" fieldPosition="0">
        <references count="1">
          <reference field="10" count="1" defaultSubtotal="1">
            <x v="233"/>
          </reference>
        </references>
      </pivotArea>
    </format>
    <format dxfId="329">
      <pivotArea dataOnly="0" labelOnly="1" outline="0" fieldPosition="0">
        <references count="1">
          <reference field="10" count="1" defaultSubtotal="1">
            <x v="234"/>
          </reference>
        </references>
      </pivotArea>
    </format>
    <format dxfId="330">
      <pivotArea dataOnly="0" labelOnly="1" outline="0" fieldPosition="0">
        <references count="1">
          <reference field="10" count="1" defaultSubtotal="1">
            <x v="236"/>
          </reference>
        </references>
      </pivotArea>
    </format>
    <format dxfId="331">
      <pivotArea dataOnly="0" labelOnly="1" outline="0" fieldPosition="0">
        <references count="1">
          <reference field="10" count="1" defaultSubtotal="1">
            <x v="237"/>
          </reference>
        </references>
      </pivotArea>
    </format>
    <format dxfId="332">
      <pivotArea dataOnly="0" labelOnly="1" outline="0" fieldPosition="0">
        <references count="1">
          <reference field="10" count="1" defaultSubtotal="1">
            <x v="238"/>
          </reference>
        </references>
      </pivotArea>
    </format>
    <format dxfId="333">
      <pivotArea dataOnly="0" labelOnly="1" outline="0" fieldPosition="0">
        <references count="1">
          <reference field="10" count="1" defaultSubtotal="1">
            <x v="239"/>
          </reference>
        </references>
      </pivotArea>
    </format>
    <format dxfId="334">
      <pivotArea dataOnly="0" labelOnly="1" outline="0" fieldPosition="0">
        <references count="1">
          <reference field="10" count="1" defaultSubtotal="1">
            <x v="240"/>
          </reference>
        </references>
      </pivotArea>
    </format>
    <format dxfId="335">
      <pivotArea dataOnly="0" labelOnly="1" outline="0" fieldPosition="0">
        <references count="1">
          <reference field="10" count="1" defaultSubtotal="1">
            <x v="241"/>
          </reference>
        </references>
      </pivotArea>
    </format>
    <format dxfId="336">
      <pivotArea dataOnly="0" labelOnly="1" outline="0" fieldPosition="0">
        <references count="1">
          <reference field="10" count="1" defaultSubtotal="1">
            <x v="242"/>
          </reference>
        </references>
      </pivotArea>
    </format>
    <format dxfId="337">
      <pivotArea dataOnly="0" labelOnly="1" outline="0" fieldPosition="0">
        <references count="1">
          <reference field="10" count="1" defaultSubtotal="1">
            <x v="243"/>
          </reference>
        </references>
      </pivotArea>
    </format>
    <format dxfId="338">
      <pivotArea dataOnly="0" labelOnly="1" outline="0" fieldPosition="0">
        <references count="1">
          <reference field="10" count="1" defaultSubtotal="1">
            <x v="244"/>
          </reference>
        </references>
      </pivotArea>
    </format>
    <format dxfId="339">
      <pivotArea dataOnly="0" labelOnly="1" outline="0" fieldPosition="0">
        <references count="1">
          <reference field="10" count="1" defaultSubtotal="1">
            <x v="245"/>
          </reference>
        </references>
      </pivotArea>
    </format>
    <format dxfId="340">
      <pivotArea dataOnly="0" labelOnly="1" outline="0" fieldPosition="0">
        <references count="1">
          <reference field="10" count="1" defaultSubtotal="1">
            <x v="246"/>
          </reference>
        </references>
      </pivotArea>
    </format>
    <format dxfId="341">
      <pivotArea dataOnly="0" labelOnly="1" outline="0" fieldPosition="0">
        <references count="1">
          <reference field="10" count="1" defaultSubtotal="1">
            <x v="247"/>
          </reference>
        </references>
      </pivotArea>
    </format>
    <format dxfId="342">
      <pivotArea dataOnly="0" labelOnly="1" outline="0" fieldPosition="0">
        <references count="1">
          <reference field="10" count="1" defaultSubtotal="1">
            <x v="248"/>
          </reference>
        </references>
      </pivotArea>
    </format>
    <format dxfId="343">
      <pivotArea dataOnly="0" labelOnly="1" outline="0" fieldPosition="0">
        <references count="1">
          <reference field="10" count="1" defaultSubtotal="1">
            <x v="249"/>
          </reference>
        </references>
      </pivotArea>
    </format>
    <format dxfId="344">
      <pivotArea dataOnly="0" labelOnly="1" outline="0" fieldPosition="0">
        <references count="1">
          <reference field="10" count="1" defaultSubtotal="1">
            <x v="250"/>
          </reference>
        </references>
      </pivotArea>
    </format>
    <format dxfId="345">
      <pivotArea dataOnly="0" labelOnly="1" outline="0" fieldPosition="0">
        <references count="1">
          <reference field="10" count="1" defaultSubtotal="1">
            <x v="251"/>
          </reference>
        </references>
      </pivotArea>
    </format>
    <format dxfId="346">
      <pivotArea dataOnly="0" labelOnly="1" outline="0" fieldPosition="0">
        <references count="1">
          <reference field="10" count="1" defaultSubtotal="1">
            <x v="252"/>
          </reference>
        </references>
      </pivotArea>
    </format>
    <format dxfId="347">
      <pivotArea dataOnly="0" labelOnly="1" outline="0" fieldPosition="0">
        <references count="1">
          <reference field="10" count="1" defaultSubtotal="1">
            <x v="253"/>
          </reference>
        </references>
      </pivotArea>
    </format>
    <format dxfId="348">
      <pivotArea dataOnly="0" labelOnly="1" outline="0" fieldPosition="0">
        <references count="1">
          <reference field="10" count="1" defaultSubtotal="1">
            <x v="254"/>
          </reference>
        </references>
      </pivotArea>
    </format>
    <format dxfId="349">
      <pivotArea dataOnly="0" labelOnly="1" outline="0" fieldPosition="0">
        <references count="1">
          <reference field="10" count="1" defaultSubtotal="1">
            <x v="255"/>
          </reference>
        </references>
      </pivotArea>
    </format>
    <format dxfId="350">
      <pivotArea dataOnly="0" labelOnly="1" outline="0" fieldPosition="0">
        <references count="1">
          <reference field="10" count="1" defaultSubtotal="1">
            <x v="256"/>
          </reference>
        </references>
      </pivotArea>
    </format>
    <format dxfId="351">
      <pivotArea dataOnly="0" labelOnly="1" outline="0" fieldPosition="0">
        <references count="1">
          <reference field="10" count="1" defaultSubtotal="1">
            <x v="257"/>
          </reference>
        </references>
      </pivotArea>
    </format>
    <format dxfId="352">
      <pivotArea dataOnly="0" labelOnly="1" outline="0" fieldPosition="0">
        <references count="1">
          <reference field="10" count="1" defaultSubtotal="1">
            <x v="258"/>
          </reference>
        </references>
      </pivotArea>
    </format>
    <format dxfId="353">
      <pivotArea dataOnly="0" labelOnly="1" outline="0" fieldPosition="0">
        <references count="1">
          <reference field="10" count="1" defaultSubtotal="1">
            <x v="259"/>
          </reference>
        </references>
      </pivotArea>
    </format>
    <format dxfId="354">
      <pivotArea dataOnly="0" labelOnly="1" outline="0" fieldPosition="0">
        <references count="1">
          <reference field="10" count="1" defaultSubtotal="1">
            <x v="260"/>
          </reference>
        </references>
      </pivotArea>
    </format>
    <format dxfId="355">
      <pivotArea dataOnly="0" labelOnly="1" outline="0" fieldPosition="0">
        <references count="1">
          <reference field="10" count="1" defaultSubtotal="1">
            <x v="261"/>
          </reference>
        </references>
      </pivotArea>
    </format>
    <format dxfId="356">
      <pivotArea dataOnly="0" labelOnly="1" outline="0" fieldPosition="0">
        <references count="1">
          <reference field="10" count="1" defaultSubtotal="1">
            <x v="262"/>
          </reference>
        </references>
      </pivotArea>
    </format>
    <format dxfId="357">
      <pivotArea dataOnly="0" labelOnly="1" outline="0" fieldPosition="0">
        <references count="1">
          <reference field="10" count="1" defaultSubtotal="1">
            <x v="263"/>
          </reference>
        </references>
      </pivotArea>
    </format>
    <format dxfId="358">
      <pivotArea dataOnly="0" labelOnly="1" outline="0" fieldPosition="0">
        <references count="1">
          <reference field="10" count="1" defaultSubtotal="1">
            <x v="264"/>
          </reference>
        </references>
      </pivotArea>
    </format>
    <format dxfId="359">
      <pivotArea dataOnly="0" labelOnly="1" outline="0" fieldPosition="0">
        <references count="1">
          <reference field="10" count="1" defaultSubtotal="1">
            <x v="265"/>
          </reference>
        </references>
      </pivotArea>
    </format>
    <format dxfId="360">
      <pivotArea dataOnly="0" labelOnly="1" outline="0" fieldPosition="0">
        <references count="1">
          <reference field="10" count="1" defaultSubtotal="1">
            <x v="266"/>
          </reference>
        </references>
      </pivotArea>
    </format>
    <format dxfId="361">
      <pivotArea dataOnly="0" labelOnly="1" outline="0" fieldPosition="0">
        <references count="1">
          <reference field="10" count="1" defaultSubtotal="1">
            <x v="267"/>
          </reference>
        </references>
      </pivotArea>
    </format>
    <format dxfId="362">
      <pivotArea dataOnly="0" labelOnly="1" outline="0" fieldPosition="0">
        <references count="1">
          <reference field="10" count="1" defaultSubtotal="1">
            <x v="268"/>
          </reference>
        </references>
      </pivotArea>
    </format>
    <format dxfId="363">
      <pivotArea dataOnly="0" labelOnly="1" outline="0" fieldPosition="0">
        <references count="1">
          <reference field="10" count="1" defaultSubtotal="1">
            <x v="269"/>
          </reference>
        </references>
      </pivotArea>
    </format>
    <format dxfId="364">
      <pivotArea dataOnly="0" labelOnly="1" outline="0" fieldPosition="0">
        <references count="1">
          <reference field="10" count="1" defaultSubtotal="1">
            <x v="270"/>
          </reference>
        </references>
      </pivotArea>
    </format>
    <format dxfId="365">
      <pivotArea dataOnly="0" labelOnly="1" outline="0" fieldPosition="0">
        <references count="1">
          <reference field="10" count="1" defaultSubtotal="1">
            <x v="271"/>
          </reference>
        </references>
      </pivotArea>
    </format>
    <format dxfId="366">
      <pivotArea dataOnly="0" labelOnly="1" outline="0" fieldPosition="0">
        <references count="1">
          <reference field="10" count="1" defaultSubtotal="1">
            <x v="272"/>
          </reference>
        </references>
      </pivotArea>
    </format>
    <format dxfId="367">
      <pivotArea dataOnly="0" labelOnly="1" outline="0" fieldPosition="0">
        <references count="1">
          <reference field="10" count="1" defaultSubtotal="1">
            <x v="273"/>
          </reference>
        </references>
      </pivotArea>
    </format>
    <format dxfId="368">
      <pivotArea dataOnly="0" labelOnly="1" outline="0" fieldPosition="0">
        <references count="1">
          <reference field="10" count="1" defaultSubtotal="1">
            <x v="274"/>
          </reference>
        </references>
      </pivotArea>
    </format>
    <format dxfId="369">
      <pivotArea dataOnly="0" labelOnly="1" outline="0" fieldPosition="0">
        <references count="1">
          <reference field="10" count="1" defaultSubtotal="1">
            <x v="275"/>
          </reference>
        </references>
      </pivotArea>
    </format>
    <format dxfId="370">
      <pivotArea dataOnly="0" labelOnly="1" outline="0" fieldPosition="0">
        <references count="1">
          <reference field="10" count="1" defaultSubtotal="1">
            <x v="276"/>
          </reference>
        </references>
      </pivotArea>
    </format>
    <format dxfId="371">
      <pivotArea dataOnly="0" labelOnly="1" outline="0" fieldPosition="0">
        <references count="1">
          <reference field="10" count="1" defaultSubtotal="1">
            <x v="277"/>
          </reference>
        </references>
      </pivotArea>
    </format>
    <format dxfId="372">
      <pivotArea dataOnly="0" labelOnly="1" outline="0" fieldPosition="0">
        <references count="1">
          <reference field="10" count="1" defaultSubtotal="1">
            <x v="278"/>
          </reference>
        </references>
      </pivotArea>
    </format>
    <format dxfId="373">
      <pivotArea dataOnly="0" labelOnly="1" outline="0" fieldPosition="0">
        <references count="1">
          <reference field="10" count="1" defaultSubtotal="1">
            <x v="280"/>
          </reference>
        </references>
      </pivotArea>
    </format>
    <format dxfId="374">
      <pivotArea dataOnly="0" labelOnly="1" outline="0" fieldPosition="0">
        <references count="1">
          <reference field="10" count="1" defaultSubtotal="1">
            <x v="281"/>
          </reference>
        </references>
      </pivotArea>
    </format>
    <format dxfId="375">
      <pivotArea dataOnly="0" labelOnly="1" outline="0" fieldPosition="0">
        <references count="1">
          <reference field="10" count="1" defaultSubtotal="1">
            <x v="282"/>
          </reference>
        </references>
      </pivotArea>
    </format>
    <format dxfId="376">
      <pivotArea dataOnly="0" labelOnly="1" outline="0" fieldPosition="0">
        <references count="1">
          <reference field="10" count="1" defaultSubtotal="1">
            <x v="283"/>
          </reference>
        </references>
      </pivotArea>
    </format>
    <format dxfId="377">
      <pivotArea dataOnly="0" labelOnly="1" outline="0" fieldPosition="0">
        <references count="1">
          <reference field="10" count="1" defaultSubtotal="1">
            <x v="284"/>
          </reference>
        </references>
      </pivotArea>
    </format>
    <format dxfId="378">
      <pivotArea dataOnly="0" labelOnly="1" outline="0" fieldPosition="0">
        <references count="1">
          <reference field="10" count="1" defaultSubtotal="1">
            <x v="285"/>
          </reference>
        </references>
      </pivotArea>
    </format>
    <format dxfId="379">
      <pivotArea dataOnly="0" labelOnly="1" outline="0" fieldPosition="0">
        <references count="1">
          <reference field="10" count="1" defaultSubtotal="1">
            <x v="286"/>
          </reference>
        </references>
      </pivotArea>
    </format>
    <format dxfId="380">
      <pivotArea dataOnly="0" labelOnly="1" outline="0" fieldPosition="0">
        <references count="1">
          <reference field="10" count="1" defaultSubtotal="1">
            <x v="287"/>
          </reference>
        </references>
      </pivotArea>
    </format>
    <format dxfId="381">
      <pivotArea dataOnly="0" labelOnly="1" outline="0" fieldPosition="0">
        <references count="1">
          <reference field="10" count="1" defaultSubtotal="1">
            <x v="288"/>
          </reference>
        </references>
      </pivotArea>
    </format>
    <format dxfId="382">
      <pivotArea dataOnly="0" labelOnly="1" outline="0" fieldPosition="0">
        <references count="1">
          <reference field="10" count="1" defaultSubtotal="1">
            <x v="289"/>
          </reference>
        </references>
      </pivotArea>
    </format>
    <format dxfId="383">
      <pivotArea dataOnly="0" labelOnly="1" outline="0" fieldPosition="0">
        <references count="1">
          <reference field="10" count="1" defaultSubtotal="1">
            <x v="290"/>
          </reference>
        </references>
      </pivotArea>
    </format>
    <format dxfId="384">
      <pivotArea dataOnly="0" labelOnly="1" outline="0" fieldPosition="0">
        <references count="1">
          <reference field="10" count="1" defaultSubtotal="1">
            <x v="291"/>
          </reference>
        </references>
      </pivotArea>
    </format>
    <format dxfId="385">
      <pivotArea dataOnly="0" labelOnly="1" outline="0" fieldPosition="0">
        <references count="1">
          <reference field="10" count="1" defaultSubtotal="1">
            <x v="292"/>
          </reference>
        </references>
      </pivotArea>
    </format>
    <format dxfId="386">
      <pivotArea dataOnly="0" labelOnly="1" outline="0" fieldPosition="0">
        <references count="1">
          <reference field="10" count="1" defaultSubtotal="1">
            <x v="293"/>
          </reference>
        </references>
      </pivotArea>
    </format>
    <format dxfId="387">
      <pivotArea dataOnly="0" labelOnly="1" outline="0" fieldPosition="0">
        <references count="1">
          <reference field="10" count="1" defaultSubtotal="1">
            <x v="294"/>
          </reference>
        </references>
      </pivotArea>
    </format>
    <format dxfId="388">
      <pivotArea dataOnly="0" labelOnly="1" outline="0" fieldPosition="0">
        <references count="1">
          <reference field="10" count="1" defaultSubtotal="1">
            <x v="295"/>
          </reference>
        </references>
      </pivotArea>
    </format>
    <format dxfId="389">
      <pivotArea dataOnly="0" labelOnly="1" outline="0" fieldPosition="0">
        <references count="1">
          <reference field="10" count="1" defaultSubtotal="1">
            <x v="296"/>
          </reference>
        </references>
      </pivotArea>
    </format>
    <format dxfId="390">
      <pivotArea dataOnly="0" labelOnly="1" outline="0" fieldPosition="0">
        <references count="1">
          <reference field="10" count="1" defaultSubtotal="1">
            <x v="297"/>
          </reference>
        </references>
      </pivotArea>
    </format>
    <format dxfId="391">
      <pivotArea dataOnly="0" labelOnly="1" outline="0" fieldPosition="0">
        <references count="1">
          <reference field="10" count="1" defaultSubtotal="1">
            <x v="299"/>
          </reference>
        </references>
      </pivotArea>
    </format>
    <format dxfId="392">
      <pivotArea dataOnly="0" labelOnly="1" outline="0" fieldPosition="0">
        <references count="1">
          <reference field="10" count="1" defaultSubtotal="1">
            <x v="300"/>
          </reference>
        </references>
      </pivotArea>
    </format>
    <format dxfId="393">
      <pivotArea dataOnly="0" labelOnly="1" outline="0" fieldPosition="0">
        <references count="1">
          <reference field="10" count="1" defaultSubtotal="1">
            <x v="301"/>
          </reference>
        </references>
      </pivotArea>
    </format>
    <format dxfId="394">
      <pivotArea dataOnly="0" labelOnly="1" outline="0" fieldPosition="0">
        <references count="1">
          <reference field="10" count="1" defaultSubtotal="1">
            <x v="302"/>
          </reference>
        </references>
      </pivotArea>
    </format>
    <format dxfId="395">
      <pivotArea dataOnly="0" labelOnly="1" outline="0" fieldPosition="0">
        <references count="1">
          <reference field="10" count="1" defaultSubtotal="1">
            <x v="303"/>
          </reference>
        </references>
      </pivotArea>
    </format>
    <format dxfId="396">
      <pivotArea dataOnly="0" labelOnly="1" outline="0" fieldPosition="0">
        <references count="1">
          <reference field="10" count="1" defaultSubtotal="1">
            <x v="304"/>
          </reference>
        </references>
      </pivotArea>
    </format>
    <format dxfId="397">
      <pivotArea dataOnly="0" labelOnly="1" outline="0" fieldPosition="0">
        <references count="1">
          <reference field="10" count="1" defaultSubtotal="1">
            <x v="305"/>
          </reference>
        </references>
      </pivotArea>
    </format>
    <format dxfId="398">
      <pivotArea dataOnly="0" labelOnly="1" outline="0" fieldPosition="0">
        <references count="1">
          <reference field="10" count="1" defaultSubtotal="1">
            <x v="306"/>
          </reference>
        </references>
      </pivotArea>
    </format>
    <format dxfId="399">
      <pivotArea dataOnly="0" labelOnly="1" outline="0" fieldPosition="0">
        <references count="1">
          <reference field="10" count="1" defaultSubtotal="1">
            <x v="307"/>
          </reference>
        </references>
      </pivotArea>
    </format>
    <format dxfId="400">
      <pivotArea dataOnly="0" labelOnly="1" outline="0" fieldPosition="0">
        <references count="1">
          <reference field="10" count="1" defaultSubtotal="1">
            <x v="308"/>
          </reference>
        </references>
      </pivotArea>
    </format>
    <format dxfId="401">
      <pivotArea dataOnly="0" labelOnly="1" outline="0" fieldPosition="0">
        <references count="1">
          <reference field="10" count="1" defaultSubtotal="1">
            <x v="310"/>
          </reference>
        </references>
      </pivotArea>
    </format>
    <format dxfId="402">
      <pivotArea dataOnly="0" labelOnly="1" outline="0" fieldPosition="0">
        <references count="1">
          <reference field="10" count="1" defaultSubtotal="1">
            <x v="311"/>
          </reference>
        </references>
      </pivotArea>
    </format>
    <format dxfId="403">
      <pivotArea dataOnly="0" labelOnly="1" outline="0" fieldPosition="0">
        <references count="1">
          <reference field="10" count="1" defaultSubtotal="1">
            <x v="312"/>
          </reference>
        </references>
      </pivotArea>
    </format>
    <format dxfId="404">
      <pivotArea dataOnly="0" labelOnly="1" outline="0" fieldPosition="0">
        <references count="1">
          <reference field="10" count="1" defaultSubtotal="1">
            <x v="313"/>
          </reference>
        </references>
      </pivotArea>
    </format>
    <format dxfId="405">
      <pivotArea dataOnly="0" labelOnly="1" outline="0" fieldPosition="0">
        <references count="1">
          <reference field="10" count="1" defaultSubtotal="1">
            <x v="314"/>
          </reference>
        </references>
      </pivotArea>
    </format>
    <format dxfId="406">
      <pivotArea dataOnly="0" labelOnly="1" outline="0" fieldPosition="0">
        <references count="1">
          <reference field="10" count="1" defaultSubtotal="1">
            <x v="315"/>
          </reference>
        </references>
      </pivotArea>
    </format>
    <format dxfId="407">
      <pivotArea dataOnly="0" labelOnly="1" outline="0" fieldPosition="0">
        <references count="1">
          <reference field="10" count="1" defaultSubtotal="1">
            <x v="316"/>
          </reference>
        </references>
      </pivotArea>
    </format>
    <format dxfId="408">
      <pivotArea dataOnly="0" labelOnly="1" outline="0" fieldPosition="0">
        <references count="1">
          <reference field="10" count="1" defaultSubtotal="1">
            <x v="317"/>
          </reference>
        </references>
      </pivotArea>
    </format>
    <format dxfId="409">
      <pivotArea dataOnly="0" labelOnly="1" outline="0" fieldPosition="0">
        <references count="1">
          <reference field="10" count="1" defaultSubtotal="1">
            <x v="318"/>
          </reference>
        </references>
      </pivotArea>
    </format>
    <format dxfId="410">
      <pivotArea dataOnly="0" labelOnly="1" outline="0" fieldPosition="0">
        <references count="1">
          <reference field="10" count="1" defaultSubtotal="1">
            <x v="319"/>
          </reference>
        </references>
      </pivotArea>
    </format>
    <format dxfId="411">
      <pivotArea dataOnly="0" labelOnly="1" outline="0" fieldPosition="0">
        <references count="1">
          <reference field="10" count="1" defaultSubtotal="1">
            <x v="320"/>
          </reference>
        </references>
      </pivotArea>
    </format>
    <format dxfId="412">
      <pivotArea dataOnly="0" labelOnly="1" outline="0" fieldPosition="0">
        <references count="1">
          <reference field="10" count="1" defaultSubtotal="1">
            <x v="321"/>
          </reference>
        </references>
      </pivotArea>
    </format>
    <format dxfId="413">
      <pivotArea dataOnly="0" labelOnly="1" outline="0" fieldPosition="0">
        <references count="1">
          <reference field="10" count="1" defaultSubtotal="1">
            <x v="322"/>
          </reference>
        </references>
      </pivotArea>
    </format>
    <format dxfId="414">
      <pivotArea dataOnly="0" labelOnly="1" outline="0" fieldPosition="0">
        <references count="1">
          <reference field="10" count="1" defaultSubtotal="1">
            <x v="323"/>
          </reference>
        </references>
      </pivotArea>
    </format>
    <format dxfId="415">
      <pivotArea dataOnly="0" labelOnly="1" outline="0" fieldPosition="0">
        <references count="1">
          <reference field="10" count="1" defaultSubtotal="1">
            <x v="324"/>
          </reference>
        </references>
      </pivotArea>
    </format>
    <format dxfId="416">
      <pivotArea dataOnly="0" labelOnly="1" outline="0" fieldPosition="0">
        <references count="1">
          <reference field="10" count="1" defaultSubtotal="1">
            <x v="325"/>
          </reference>
        </references>
      </pivotArea>
    </format>
    <format dxfId="417">
      <pivotArea dataOnly="0" labelOnly="1" outline="0" fieldPosition="0">
        <references count="1">
          <reference field="10" count="1" defaultSubtotal="1">
            <x v="326"/>
          </reference>
        </references>
      </pivotArea>
    </format>
    <format dxfId="418">
      <pivotArea dataOnly="0" labelOnly="1" outline="0" fieldPosition="0">
        <references count="1">
          <reference field="10" count="1" defaultSubtotal="1">
            <x v="327"/>
          </reference>
        </references>
      </pivotArea>
    </format>
    <format dxfId="419">
      <pivotArea dataOnly="0" labelOnly="1" outline="0" fieldPosition="0">
        <references count="1">
          <reference field="10" count="1" defaultSubtotal="1">
            <x v="328"/>
          </reference>
        </references>
      </pivotArea>
    </format>
    <format dxfId="420">
      <pivotArea dataOnly="0" labelOnly="1" outline="0" fieldPosition="0">
        <references count="1">
          <reference field="10" count="1" defaultSubtotal="1">
            <x v="329"/>
          </reference>
        </references>
      </pivotArea>
    </format>
    <format dxfId="421">
      <pivotArea dataOnly="0" labelOnly="1" outline="0" fieldPosition="0">
        <references count="1">
          <reference field="10" count="1" defaultSubtotal="1">
            <x v="330"/>
          </reference>
        </references>
      </pivotArea>
    </format>
    <format dxfId="422">
      <pivotArea dataOnly="0" labelOnly="1" outline="0" fieldPosition="0">
        <references count="1">
          <reference field="10" count="1" defaultSubtotal="1">
            <x v="331"/>
          </reference>
        </references>
      </pivotArea>
    </format>
    <format dxfId="423">
      <pivotArea dataOnly="0" labelOnly="1" outline="0" fieldPosition="0">
        <references count="1">
          <reference field="10" count="1" defaultSubtotal="1">
            <x v="332"/>
          </reference>
        </references>
      </pivotArea>
    </format>
    <format dxfId="424">
      <pivotArea dataOnly="0" labelOnly="1" outline="0" fieldPosition="0">
        <references count="1">
          <reference field="10" count="1" defaultSubtotal="1">
            <x v="333"/>
          </reference>
        </references>
      </pivotArea>
    </format>
    <format dxfId="425">
      <pivotArea dataOnly="0" labelOnly="1" outline="0" fieldPosition="0">
        <references count="1">
          <reference field="10" count="1" defaultSubtotal="1">
            <x v="334"/>
          </reference>
        </references>
      </pivotArea>
    </format>
    <format dxfId="426">
      <pivotArea dataOnly="0" labelOnly="1" outline="0" fieldPosition="0">
        <references count="1">
          <reference field="10" count="1" defaultSubtotal="1">
            <x v="335"/>
          </reference>
        </references>
      </pivotArea>
    </format>
    <format dxfId="427">
      <pivotArea dataOnly="0" labelOnly="1" outline="0" fieldPosition="0">
        <references count="1">
          <reference field="10" count="1" defaultSubtotal="1">
            <x v="336"/>
          </reference>
        </references>
      </pivotArea>
    </format>
    <format dxfId="428">
      <pivotArea dataOnly="0" labelOnly="1" outline="0" fieldPosition="0">
        <references count="1">
          <reference field="10" count="1" defaultSubtotal="1">
            <x v="337"/>
          </reference>
        </references>
      </pivotArea>
    </format>
    <format dxfId="429">
      <pivotArea dataOnly="0" labelOnly="1" outline="0" fieldPosition="0">
        <references count="1">
          <reference field="10" count="1" defaultSubtotal="1">
            <x v="338"/>
          </reference>
        </references>
      </pivotArea>
    </format>
    <format dxfId="430">
      <pivotArea dataOnly="0" labelOnly="1" outline="0" fieldPosition="0">
        <references count="1">
          <reference field="10" count="1" defaultSubtotal="1">
            <x v="339"/>
          </reference>
        </references>
      </pivotArea>
    </format>
    <format dxfId="431">
      <pivotArea dataOnly="0" labelOnly="1" outline="0" fieldPosition="0">
        <references count="1">
          <reference field="10" count="1" defaultSubtotal="1">
            <x v="340"/>
          </reference>
        </references>
      </pivotArea>
    </format>
    <format dxfId="432">
      <pivotArea dataOnly="0" labelOnly="1" outline="0" fieldPosition="0">
        <references count="1">
          <reference field="10" count="1" defaultSubtotal="1">
            <x v="341"/>
          </reference>
        </references>
      </pivotArea>
    </format>
    <format dxfId="433">
      <pivotArea dataOnly="0" labelOnly="1" outline="0" fieldPosition="0">
        <references count="1">
          <reference field="10" count="1" defaultSubtotal="1">
            <x v="342"/>
          </reference>
        </references>
      </pivotArea>
    </format>
    <format dxfId="434">
      <pivotArea dataOnly="0" labelOnly="1" outline="0" fieldPosition="0">
        <references count="1">
          <reference field="10" count="1" defaultSubtotal="1">
            <x v="343"/>
          </reference>
        </references>
      </pivotArea>
    </format>
    <format dxfId="435">
      <pivotArea dataOnly="0" labelOnly="1" outline="0" fieldPosition="0">
        <references count="1">
          <reference field="10" count="1" defaultSubtotal="1">
            <x v="344"/>
          </reference>
        </references>
      </pivotArea>
    </format>
    <format dxfId="436">
      <pivotArea dataOnly="0" labelOnly="1" outline="0" fieldPosition="0">
        <references count="1">
          <reference field="10" count="1" defaultSubtotal="1">
            <x v="345"/>
          </reference>
        </references>
      </pivotArea>
    </format>
    <format dxfId="437">
      <pivotArea dataOnly="0" labelOnly="1" outline="0" fieldPosition="0">
        <references count="1">
          <reference field="10" count="1" defaultSubtotal="1">
            <x v="346"/>
          </reference>
        </references>
      </pivotArea>
    </format>
    <format dxfId="438">
      <pivotArea dataOnly="0" labelOnly="1" outline="0" fieldPosition="0">
        <references count="1">
          <reference field="10" count="1" defaultSubtotal="1">
            <x v="347"/>
          </reference>
        </references>
      </pivotArea>
    </format>
    <format dxfId="439">
      <pivotArea dataOnly="0" labelOnly="1" outline="0" fieldPosition="0">
        <references count="1">
          <reference field="10" count="1" defaultSubtotal="1">
            <x v="348"/>
          </reference>
        </references>
      </pivotArea>
    </format>
    <format dxfId="440">
      <pivotArea dataOnly="0" labelOnly="1" outline="0" fieldPosition="0">
        <references count="1">
          <reference field="10" count="1" defaultSubtotal="1">
            <x v="349"/>
          </reference>
        </references>
      </pivotArea>
    </format>
    <format dxfId="441">
      <pivotArea dataOnly="0" labelOnly="1" outline="0" fieldPosition="0">
        <references count="1">
          <reference field="10" count="1" defaultSubtotal="1">
            <x v="350"/>
          </reference>
        </references>
      </pivotArea>
    </format>
    <format dxfId="442">
      <pivotArea dataOnly="0" labelOnly="1" outline="0" fieldPosition="0">
        <references count="1">
          <reference field="10" count="1" defaultSubtotal="1">
            <x v="351"/>
          </reference>
        </references>
      </pivotArea>
    </format>
    <format dxfId="443">
      <pivotArea dataOnly="0" labelOnly="1" outline="0" fieldPosition="0">
        <references count="1">
          <reference field="10" count="1" defaultSubtotal="1">
            <x v="352"/>
          </reference>
        </references>
      </pivotArea>
    </format>
    <format dxfId="444">
      <pivotArea dataOnly="0" labelOnly="1" outline="0" fieldPosition="0">
        <references count="1">
          <reference field="10" count="1" defaultSubtotal="1">
            <x v="353"/>
          </reference>
        </references>
      </pivotArea>
    </format>
    <format dxfId="445">
      <pivotArea dataOnly="0" labelOnly="1" outline="0" fieldPosition="0">
        <references count="1">
          <reference field="10" count="1" defaultSubtotal="1">
            <x v="354"/>
          </reference>
        </references>
      </pivotArea>
    </format>
    <format dxfId="446">
      <pivotArea dataOnly="0" labelOnly="1" outline="0" fieldPosition="0">
        <references count="1">
          <reference field="10" count="1" defaultSubtotal="1">
            <x v="355"/>
          </reference>
        </references>
      </pivotArea>
    </format>
    <format dxfId="447">
      <pivotArea dataOnly="0" labelOnly="1" outline="0" fieldPosition="0">
        <references count="1">
          <reference field="10" count="1" defaultSubtotal="1">
            <x v="356"/>
          </reference>
        </references>
      </pivotArea>
    </format>
    <format dxfId="448">
      <pivotArea dataOnly="0" labelOnly="1" outline="0" fieldPosition="0">
        <references count="1">
          <reference field="10" count="1" defaultSubtotal="1">
            <x v="357"/>
          </reference>
        </references>
      </pivotArea>
    </format>
    <format dxfId="449">
      <pivotArea dataOnly="0" labelOnly="1" outline="0" fieldPosition="0">
        <references count="1">
          <reference field="10" count="1" defaultSubtotal="1">
            <x v="358"/>
          </reference>
        </references>
      </pivotArea>
    </format>
    <format dxfId="450">
      <pivotArea dataOnly="0" labelOnly="1" outline="0" fieldPosition="0">
        <references count="1">
          <reference field="10" count="1" defaultSubtotal="1">
            <x v="359"/>
          </reference>
        </references>
      </pivotArea>
    </format>
    <format dxfId="451">
      <pivotArea dataOnly="0" labelOnly="1" outline="0" fieldPosition="0">
        <references count="1">
          <reference field="10" count="1" defaultSubtotal="1">
            <x v="360"/>
          </reference>
        </references>
      </pivotArea>
    </format>
    <format dxfId="452">
      <pivotArea dataOnly="0" labelOnly="1" outline="0" fieldPosition="0">
        <references count="1">
          <reference field="10" count="1" defaultSubtotal="1">
            <x v="361"/>
          </reference>
        </references>
      </pivotArea>
    </format>
    <format dxfId="453">
      <pivotArea dataOnly="0" labelOnly="1" outline="0" fieldPosition="0">
        <references count="1">
          <reference field="10" count="1" defaultSubtotal="1">
            <x v="362"/>
          </reference>
        </references>
      </pivotArea>
    </format>
    <format dxfId="454">
      <pivotArea dataOnly="0" labelOnly="1" outline="0" fieldPosition="0">
        <references count="1">
          <reference field="10" count="1" defaultSubtotal="1">
            <x v="363"/>
          </reference>
        </references>
      </pivotArea>
    </format>
    <format dxfId="455">
      <pivotArea dataOnly="0" labelOnly="1" outline="0" fieldPosition="0">
        <references count="1">
          <reference field="10" count="1" defaultSubtotal="1">
            <x v="364"/>
          </reference>
        </references>
      </pivotArea>
    </format>
    <format dxfId="456">
      <pivotArea dataOnly="0" labelOnly="1" outline="0" fieldPosition="0">
        <references count="1">
          <reference field="10" count="1" defaultSubtotal="1">
            <x v="365"/>
          </reference>
        </references>
      </pivotArea>
    </format>
    <format dxfId="457">
      <pivotArea dataOnly="0" labelOnly="1" outline="0" fieldPosition="0">
        <references count="1">
          <reference field="10" count="1" defaultSubtotal="1">
            <x v="366"/>
          </reference>
        </references>
      </pivotArea>
    </format>
    <format dxfId="458">
      <pivotArea dataOnly="0" labelOnly="1" outline="0" fieldPosition="0">
        <references count="1">
          <reference field="10" count="1" defaultSubtotal="1">
            <x v="367"/>
          </reference>
        </references>
      </pivotArea>
    </format>
    <format dxfId="459">
      <pivotArea dataOnly="0" labelOnly="1" outline="0" fieldPosition="0">
        <references count="1">
          <reference field="10" count="1" defaultSubtotal="1">
            <x v="368"/>
          </reference>
        </references>
      </pivotArea>
    </format>
    <format dxfId="460">
      <pivotArea dataOnly="0" labelOnly="1" outline="0" fieldPosition="0">
        <references count="1">
          <reference field="10" count="1" defaultSubtotal="1">
            <x v="369"/>
          </reference>
        </references>
      </pivotArea>
    </format>
    <format dxfId="461">
      <pivotArea dataOnly="0" labelOnly="1" outline="0" fieldPosition="0">
        <references count="1">
          <reference field="10" count="1" defaultSubtotal="1">
            <x v="370"/>
          </reference>
        </references>
      </pivotArea>
    </format>
    <format dxfId="462">
      <pivotArea dataOnly="0" labelOnly="1" outline="0" fieldPosition="0">
        <references count="1">
          <reference field="10" count="1" defaultSubtotal="1">
            <x v="372"/>
          </reference>
        </references>
      </pivotArea>
    </format>
    <format dxfId="463">
      <pivotArea dataOnly="0" labelOnly="1" outline="0" fieldPosition="0">
        <references count="1">
          <reference field="10" count="1" defaultSubtotal="1">
            <x v="373"/>
          </reference>
        </references>
      </pivotArea>
    </format>
    <format dxfId="464">
      <pivotArea dataOnly="0" labelOnly="1" outline="0" fieldPosition="0">
        <references count="1">
          <reference field="10" count="1" defaultSubtotal="1">
            <x v="374"/>
          </reference>
        </references>
      </pivotArea>
    </format>
    <format dxfId="465">
      <pivotArea dataOnly="0" labelOnly="1" outline="0" fieldPosition="0">
        <references count="1">
          <reference field="10" count="1" defaultSubtotal="1">
            <x v="375"/>
          </reference>
        </references>
      </pivotArea>
    </format>
    <format dxfId="466">
      <pivotArea dataOnly="0" labelOnly="1" outline="0" fieldPosition="0">
        <references count="1">
          <reference field="10" count="1" defaultSubtotal="1">
            <x v="376"/>
          </reference>
        </references>
      </pivotArea>
    </format>
    <format dxfId="467">
      <pivotArea dataOnly="0" labelOnly="1" outline="0" fieldPosition="0">
        <references count="1">
          <reference field="10" count="1" defaultSubtotal="1">
            <x v="377"/>
          </reference>
        </references>
      </pivotArea>
    </format>
    <format dxfId="468">
      <pivotArea dataOnly="0" labelOnly="1" outline="0" fieldPosition="0">
        <references count="1">
          <reference field="10" count="1" defaultSubtotal="1">
            <x v="378"/>
          </reference>
        </references>
      </pivotArea>
    </format>
    <format dxfId="469">
      <pivotArea dataOnly="0" labelOnly="1" outline="0" fieldPosition="0">
        <references count="1">
          <reference field="10" count="1" defaultSubtotal="1">
            <x v="379"/>
          </reference>
        </references>
      </pivotArea>
    </format>
    <format dxfId="470">
      <pivotArea dataOnly="0" labelOnly="1" outline="0" fieldPosition="0">
        <references count="1">
          <reference field="10" count="1" defaultSubtotal="1">
            <x v="380"/>
          </reference>
        </references>
      </pivotArea>
    </format>
    <format dxfId="471">
      <pivotArea dataOnly="0" labelOnly="1" outline="0" fieldPosition="0">
        <references count="1">
          <reference field="10" count="1" defaultSubtotal="1">
            <x v="381"/>
          </reference>
        </references>
      </pivotArea>
    </format>
    <format dxfId="472">
      <pivotArea dataOnly="0" labelOnly="1" outline="0" fieldPosition="0">
        <references count="1">
          <reference field="10" count="1" defaultSubtotal="1">
            <x v="382"/>
          </reference>
        </references>
      </pivotArea>
    </format>
    <format dxfId="473">
      <pivotArea dataOnly="0" labelOnly="1" outline="0" fieldPosition="0">
        <references count="1">
          <reference field="10" count="1" defaultSubtotal="1">
            <x v="383"/>
          </reference>
        </references>
      </pivotArea>
    </format>
    <format dxfId="474">
      <pivotArea dataOnly="0" labelOnly="1" outline="0" fieldPosition="0">
        <references count="1">
          <reference field="10" count="1" defaultSubtotal="1">
            <x v="384"/>
          </reference>
        </references>
      </pivotArea>
    </format>
    <format dxfId="475">
      <pivotArea dataOnly="0" labelOnly="1" outline="0" fieldPosition="0">
        <references count="1">
          <reference field="10" count="1" defaultSubtotal="1">
            <x v="385"/>
          </reference>
        </references>
      </pivotArea>
    </format>
    <format dxfId="476">
      <pivotArea dataOnly="0" labelOnly="1" outline="0" fieldPosition="0">
        <references count="1">
          <reference field="10" count="1" defaultSubtotal="1">
            <x v="386"/>
          </reference>
        </references>
      </pivotArea>
    </format>
    <format dxfId="477">
      <pivotArea dataOnly="0" labelOnly="1" outline="0" fieldPosition="0">
        <references count="1">
          <reference field="10" count="1" defaultSubtotal="1">
            <x v="387"/>
          </reference>
        </references>
      </pivotArea>
    </format>
    <format dxfId="478">
      <pivotArea dataOnly="0" labelOnly="1" outline="0" fieldPosition="0">
        <references count="1">
          <reference field="10" count="1" defaultSubtotal="1">
            <x v="388"/>
          </reference>
        </references>
      </pivotArea>
    </format>
    <format dxfId="479">
      <pivotArea dataOnly="0" labelOnly="1" outline="0" fieldPosition="0">
        <references count="1">
          <reference field="10" count="1" defaultSubtotal="1">
            <x v="389"/>
          </reference>
        </references>
      </pivotArea>
    </format>
    <format dxfId="480">
      <pivotArea dataOnly="0" labelOnly="1" outline="0" fieldPosition="0">
        <references count="1">
          <reference field="10" count="1" defaultSubtotal="1">
            <x v="390"/>
          </reference>
        </references>
      </pivotArea>
    </format>
    <format dxfId="481">
      <pivotArea dataOnly="0" labelOnly="1" outline="0" fieldPosition="0">
        <references count="1">
          <reference field="10" count="1" defaultSubtotal="1">
            <x v="391"/>
          </reference>
        </references>
      </pivotArea>
    </format>
    <format dxfId="482">
      <pivotArea dataOnly="0" labelOnly="1" outline="0" fieldPosition="0">
        <references count="1">
          <reference field="10" count="1" defaultSubtotal="1">
            <x v="392"/>
          </reference>
        </references>
      </pivotArea>
    </format>
    <format dxfId="483">
      <pivotArea dataOnly="0" labelOnly="1" outline="0" fieldPosition="0">
        <references count="1">
          <reference field="10" count="1" defaultSubtotal="1">
            <x v="393"/>
          </reference>
        </references>
      </pivotArea>
    </format>
    <format dxfId="484">
      <pivotArea dataOnly="0" labelOnly="1" outline="0" fieldPosition="0">
        <references count="1">
          <reference field="10" count="1" defaultSubtotal="1">
            <x v="394"/>
          </reference>
        </references>
      </pivotArea>
    </format>
    <format dxfId="485">
      <pivotArea dataOnly="0" labelOnly="1" outline="0" fieldPosition="0">
        <references count="1">
          <reference field="10" count="1" defaultSubtotal="1">
            <x v="395"/>
          </reference>
        </references>
      </pivotArea>
    </format>
    <format dxfId="486">
      <pivotArea dataOnly="0" labelOnly="1" outline="0" fieldPosition="0">
        <references count="1">
          <reference field="10" count="1" defaultSubtotal="1">
            <x v="396"/>
          </reference>
        </references>
      </pivotArea>
    </format>
    <format dxfId="487">
      <pivotArea dataOnly="0" labelOnly="1" outline="0" fieldPosition="0">
        <references count="1">
          <reference field="10" count="1" defaultSubtotal="1">
            <x v="397"/>
          </reference>
        </references>
      </pivotArea>
    </format>
    <format dxfId="488">
      <pivotArea dataOnly="0" labelOnly="1" outline="0" fieldPosition="0">
        <references count="1">
          <reference field="10" count="1" defaultSubtotal="1">
            <x v="398"/>
          </reference>
        </references>
      </pivotArea>
    </format>
    <format dxfId="489">
      <pivotArea dataOnly="0" labelOnly="1" outline="0" fieldPosition="0">
        <references count="1">
          <reference field="10" count="1" defaultSubtotal="1">
            <x v="399"/>
          </reference>
        </references>
      </pivotArea>
    </format>
    <format dxfId="490">
      <pivotArea dataOnly="0" labelOnly="1" outline="0" fieldPosition="0">
        <references count="1">
          <reference field="10" count="1" defaultSubtotal="1">
            <x v="400"/>
          </reference>
        </references>
      </pivotArea>
    </format>
    <format dxfId="491">
      <pivotArea dataOnly="0" labelOnly="1" outline="0" fieldPosition="0">
        <references count="1">
          <reference field="10" count="1" defaultSubtotal="1">
            <x v="401"/>
          </reference>
        </references>
      </pivotArea>
    </format>
    <format dxfId="492">
      <pivotArea dataOnly="0" labelOnly="1" outline="0" fieldPosition="0">
        <references count="1">
          <reference field="10" count="1" defaultSubtotal="1">
            <x v="402"/>
          </reference>
        </references>
      </pivotArea>
    </format>
    <format dxfId="493">
      <pivotArea dataOnly="0" labelOnly="1" outline="0" fieldPosition="0">
        <references count="1">
          <reference field="10" count="1" defaultSubtotal="1">
            <x v="403"/>
          </reference>
        </references>
      </pivotArea>
    </format>
    <format dxfId="494">
      <pivotArea dataOnly="0" labelOnly="1" outline="0" fieldPosition="0">
        <references count="1">
          <reference field="10" count="1" defaultSubtotal="1">
            <x v="404"/>
          </reference>
        </references>
      </pivotArea>
    </format>
    <format dxfId="495">
      <pivotArea dataOnly="0" labelOnly="1" outline="0" fieldPosition="0">
        <references count="1">
          <reference field="10" count="1" defaultSubtotal="1">
            <x v="405"/>
          </reference>
        </references>
      </pivotArea>
    </format>
    <format dxfId="496">
      <pivotArea dataOnly="0" labelOnly="1" outline="0" fieldPosition="0">
        <references count="1">
          <reference field="10" count="1" defaultSubtotal="1">
            <x v="406"/>
          </reference>
        </references>
      </pivotArea>
    </format>
    <format dxfId="497">
      <pivotArea dataOnly="0" labelOnly="1" outline="0" fieldPosition="0">
        <references count="1">
          <reference field="10" count="1" defaultSubtotal="1">
            <x v="407"/>
          </reference>
        </references>
      </pivotArea>
    </format>
    <format dxfId="498">
      <pivotArea dataOnly="0" labelOnly="1" outline="0" fieldPosition="0">
        <references count="1">
          <reference field="10" count="1" defaultSubtotal="1">
            <x v="408"/>
          </reference>
        </references>
      </pivotArea>
    </format>
    <format dxfId="499">
      <pivotArea dataOnly="0" labelOnly="1" outline="0" fieldPosition="0">
        <references count="1">
          <reference field="10" count="1" defaultSubtotal="1">
            <x v="409"/>
          </reference>
        </references>
      </pivotArea>
    </format>
    <format dxfId="500">
      <pivotArea dataOnly="0" labelOnly="1" outline="0" fieldPosition="0">
        <references count="1">
          <reference field="10" count="1" defaultSubtotal="1">
            <x v="410"/>
          </reference>
        </references>
      </pivotArea>
    </format>
    <format dxfId="501">
      <pivotArea dataOnly="0" labelOnly="1" outline="0" fieldPosition="0">
        <references count="1">
          <reference field="10" count="1" defaultSubtotal="1">
            <x v="411"/>
          </reference>
        </references>
      </pivotArea>
    </format>
    <format dxfId="502">
      <pivotArea dataOnly="0" labelOnly="1" outline="0" fieldPosition="0">
        <references count="1">
          <reference field="10" count="1" defaultSubtotal="1">
            <x v="412"/>
          </reference>
        </references>
      </pivotArea>
    </format>
    <format dxfId="503">
      <pivotArea dataOnly="0" labelOnly="1" outline="0" fieldPosition="0">
        <references count="1">
          <reference field="10" count="1" defaultSubtotal="1">
            <x v="413"/>
          </reference>
        </references>
      </pivotArea>
    </format>
    <format dxfId="504">
      <pivotArea dataOnly="0" labelOnly="1" outline="0" fieldPosition="0">
        <references count="1">
          <reference field="10" count="1" defaultSubtotal="1">
            <x v="414"/>
          </reference>
        </references>
      </pivotArea>
    </format>
    <format dxfId="505">
      <pivotArea dataOnly="0" labelOnly="1" outline="0" fieldPosition="0">
        <references count="1">
          <reference field="10" count="1" defaultSubtotal="1">
            <x v="415"/>
          </reference>
        </references>
      </pivotArea>
    </format>
    <format dxfId="506">
      <pivotArea dataOnly="0" labelOnly="1" outline="0" fieldPosition="0">
        <references count="1">
          <reference field="10" count="1" defaultSubtotal="1">
            <x v="416"/>
          </reference>
        </references>
      </pivotArea>
    </format>
    <format dxfId="507">
      <pivotArea dataOnly="0" labelOnly="1" outline="0" fieldPosition="0">
        <references count="1">
          <reference field="10" count="1" defaultSubtotal="1">
            <x v="417"/>
          </reference>
        </references>
      </pivotArea>
    </format>
    <format dxfId="508">
      <pivotArea dataOnly="0" labelOnly="1" outline="0" fieldPosition="0">
        <references count="1">
          <reference field="10" count="1" defaultSubtotal="1">
            <x v="418"/>
          </reference>
        </references>
      </pivotArea>
    </format>
    <format dxfId="509">
      <pivotArea dataOnly="0" labelOnly="1" outline="0" fieldPosition="0">
        <references count="1">
          <reference field="10" count="1" defaultSubtotal="1">
            <x v="419"/>
          </reference>
        </references>
      </pivotArea>
    </format>
    <format dxfId="510">
      <pivotArea dataOnly="0" labelOnly="1" outline="0" fieldPosition="0">
        <references count="1">
          <reference field="10" count="1" defaultSubtotal="1">
            <x v="420"/>
          </reference>
        </references>
      </pivotArea>
    </format>
    <format dxfId="511">
      <pivotArea dataOnly="0" labelOnly="1" outline="0" fieldPosition="0">
        <references count="1">
          <reference field="10" count="1" defaultSubtotal="1">
            <x v="421"/>
          </reference>
        </references>
      </pivotArea>
    </format>
    <format dxfId="512">
      <pivotArea dataOnly="0" labelOnly="1" outline="0" fieldPosition="0">
        <references count="1">
          <reference field="10" count="1" defaultSubtotal="1">
            <x v="422"/>
          </reference>
        </references>
      </pivotArea>
    </format>
    <format dxfId="513">
      <pivotArea dataOnly="0" labelOnly="1" outline="0" fieldPosition="0">
        <references count="1">
          <reference field="10" count="1" defaultSubtotal="1">
            <x v="423"/>
          </reference>
        </references>
      </pivotArea>
    </format>
    <format dxfId="514">
      <pivotArea dataOnly="0" labelOnly="1" outline="0" fieldPosition="0">
        <references count="1">
          <reference field="10" count="1" defaultSubtotal="1">
            <x v="424"/>
          </reference>
        </references>
      </pivotArea>
    </format>
    <format dxfId="515">
      <pivotArea dataOnly="0" labelOnly="1" outline="0" fieldPosition="0">
        <references count="1">
          <reference field="10" count="1" defaultSubtotal="1">
            <x v="425"/>
          </reference>
        </references>
      </pivotArea>
    </format>
    <format dxfId="516">
      <pivotArea dataOnly="0" labelOnly="1" outline="0" fieldPosition="0">
        <references count="1">
          <reference field="10" count="1" defaultSubtotal="1">
            <x v="426"/>
          </reference>
        </references>
      </pivotArea>
    </format>
    <format dxfId="517">
      <pivotArea dataOnly="0" labelOnly="1" outline="0" fieldPosition="0">
        <references count="1">
          <reference field="10" count="1" defaultSubtotal="1">
            <x v="427"/>
          </reference>
        </references>
      </pivotArea>
    </format>
    <format dxfId="518">
      <pivotArea dataOnly="0" labelOnly="1" outline="0" fieldPosition="0">
        <references count="1">
          <reference field="10" count="1" defaultSubtotal="1">
            <x v="428"/>
          </reference>
        </references>
      </pivotArea>
    </format>
    <format dxfId="519">
      <pivotArea dataOnly="0" labelOnly="1" outline="0" fieldPosition="0">
        <references count="1">
          <reference field="10" count="1" defaultSubtotal="1">
            <x v="429"/>
          </reference>
        </references>
      </pivotArea>
    </format>
    <format dxfId="520">
      <pivotArea dataOnly="0" labelOnly="1" outline="0" fieldPosition="0">
        <references count="1">
          <reference field="10" count="1" defaultSubtotal="1">
            <x v="430"/>
          </reference>
        </references>
      </pivotArea>
    </format>
    <format dxfId="521">
      <pivotArea dataOnly="0" labelOnly="1" outline="0" fieldPosition="0">
        <references count="1">
          <reference field="10" count="1" defaultSubtotal="1">
            <x v="431"/>
          </reference>
        </references>
      </pivotArea>
    </format>
    <format dxfId="522">
      <pivotArea dataOnly="0" labelOnly="1" outline="0" fieldPosition="0">
        <references count="1">
          <reference field="10" count="1" defaultSubtotal="1">
            <x v="432"/>
          </reference>
        </references>
      </pivotArea>
    </format>
    <format dxfId="523">
      <pivotArea dataOnly="0" labelOnly="1" outline="0" fieldPosition="0">
        <references count="1">
          <reference field="10" count="1" defaultSubtotal="1">
            <x v="433"/>
          </reference>
        </references>
      </pivotArea>
    </format>
    <format dxfId="524">
      <pivotArea dataOnly="0" labelOnly="1" outline="0" fieldPosition="0">
        <references count="1">
          <reference field="10" count="1" defaultSubtotal="1">
            <x v="434"/>
          </reference>
        </references>
      </pivotArea>
    </format>
    <format dxfId="525">
      <pivotArea dataOnly="0" labelOnly="1" outline="0" fieldPosition="0">
        <references count="1">
          <reference field="10" count="1" defaultSubtotal="1">
            <x v="435"/>
          </reference>
        </references>
      </pivotArea>
    </format>
    <format dxfId="526">
      <pivotArea dataOnly="0" labelOnly="1" outline="0" fieldPosition="0">
        <references count="1">
          <reference field="10" count="1" defaultSubtotal="1">
            <x v="436"/>
          </reference>
        </references>
      </pivotArea>
    </format>
    <format dxfId="527">
      <pivotArea dataOnly="0" labelOnly="1" outline="0" fieldPosition="0">
        <references count="1">
          <reference field="10" count="1" defaultSubtotal="1">
            <x v="437"/>
          </reference>
        </references>
      </pivotArea>
    </format>
    <format dxfId="528">
      <pivotArea dataOnly="0" labelOnly="1" outline="0" fieldPosition="0">
        <references count="1">
          <reference field="10" count="1" defaultSubtotal="1">
            <x v="438"/>
          </reference>
        </references>
      </pivotArea>
    </format>
    <format dxfId="529">
      <pivotArea dataOnly="0" labelOnly="1" outline="0" fieldPosition="0">
        <references count="1">
          <reference field="10" count="1" defaultSubtotal="1">
            <x v="439"/>
          </reference>
        </references>
      </pivotArea>
    </format>
    <format dxfId="530">
      <pivotArea dataOnly="0" labelOnly="1" outline="0" fieldPosition="0">
        <references count="1">
          <reference field="10" count="1" defaultSubtotal="1">
            <x v="440"/>
          </reference>
        </references>
      </pivotArea>
    </format>
    <format dxfId="531">
      <pivotArea dataOnly="0" labelOnly="1" outline="0" fieldPosition="0">
        <references count="1">
          <reference field="10" count="1" defaultSubtotal="1">
            <x v="441"/>
          </reference>
        </references>
      </pivotArea>
    </format>
    <format dxfId="532">
      <pivotArea dataOnly="0" labelOnly="1" outline="0" fieldPosition="0">
        <references count="1">
          <reference field="10" count="1" defaultSubtotal="1">
            <x v="442"/>
          </reference>
        </references>
      </pivotArea>
    </format>
    <format dxfId="533">
      <pivotArea dataOnly="0" labelOnly="1" outline="0" fieldPosition="0">
        <references count="1">
          <reference field="10" count="1" defaultSubtotal="1">
            <x v="443"/>
          </reference>
        </references>
      </pivotArea>
    </format>
    <format dxfId="534">
      <pivotArea dataOnly="0" labelOnly="1" outline="0" fieldPosition="0">
        <references count="1">
          <reference field="10" count="1" defaultSubtotal="1">
            <x v="444"/>
          </reference>
        </references>
      </pivotArea>
    </format>
    <format dxfId="535">
      <pivotArea dataOnly="0" labelOnly="1" outline="0" fieldPosition="0">
        <references count="1">
          <reference field="10" count="1" defaultSubtotal="1">
            <x v="445"/>
          </reference>
        </references>
      </pivotArea>
    </format>
    <format dxfId="536">
      <pivotArea dataOnly="0" labelOnly="1" outline="0" fieldPosition="0">
        <references count="1">
          <reference field="10" count="1" defaultSubtotal="1">
            <x v="446"/>
          </reference>
        </references>
      </pivotArea>
    </format>
    <format dxfId="537">
      <pivotArea dataOnly="0" labelOnly="1" outline="0" fieldPosition="0">
        <references count="1">
          <reference field="10" count="1" defaultSubtotal="1">
            <x v="447"/>
          </reference>
        </references>
      </pivotArea>
    </format>
    <format dxfId="538">
      <pivotArea dataOnly="0" labelOnly="1" outline="0" fieldPosition="0">
        <references count="1">
          <reference field="10" count="1" defaultSubtotal="1">
            <x v="448"/>
          </reference>
        </references>
      </pivotArea>
    </format>
    <format dxfId="539">
      <pivotArea dataOnly="0" labelOnly="1" outline="0" fieldPosition="0">
        <references count="1">
          <reference field="10" count="1" defaultSubtotal="1">
            <x v="449"/>
          </reference>
        </references>
      </pivotArea>
    </format>
    <format dxfId="540">
      <pivotArea dataOnly="0" labelOnly="1" outline="0" fieldPosition="0">
        <references count="1">
          <reference field="10" count="1" defaultSubtotal="1">
            <x v="450"/>
          </reference>
        </references>
      </pivotArea>
    </format>
    <format dxfId="541">
      <pivotArea dataOnly="0" labelOnly="1" outline="0" fieldPosition="0">
        <references count="1">
          <reference field="10" count="1" defaultSubtotal="1">
            <x v="451"/>
          </reference>
        </references>
      </pivotArea>
    </format>
    <format dxfId="542">
      <pivotArea dataOnly="0" labelOnly="1" outline="0" fieldPosition="0">
        <references count="1">
          <reference field="10" count="1" defaultSubtotal="1">
            <x v="452"/>
          </reference>
        </references>
      </pivotArea>
    </format>
    <format dxfId="543">
      <pivotArea dataOnly="0" labelOnly="1" outline="0" fieldPosition="0">
        <references count="1">
          <reference field="10" count="1" defaultSubtotal="1">
            <x v="453"/>
          </reference>
        </references>
      </pivotArea>
    </format>
    <format dxfId="544">
      <pivotArea dataOnly="0" labelOnly="1" outline="0" fieldPosition="0">
        <references count="1">
          <reference field="10" count="1" defaultSubtotal="1">
            <x v="454"/>
          </reference>
        </references>
      </pivotArea>
    </format>
    <format dxfId="545">
      <pivotArea dataOnly="0" labelOnly="1" outline="0" fieldPosition="0">
        <references count="1">
          <reference field="10" count="1" defaultSubtotal="1">
            <x v="455"/>
          </reference>
        </references>
      </pivotArea>
    </format>
    <format dxfId="546">
      <pivotArea dataOnly="0" labelOnly="1" outline="0" fieldPosition="0">
        <references count="1">
          <reference field="10" count="1" defaultSubtotal="1">
            <x v="456"/>
          </reference>
        </references>
      </pivotArea>
    </format>
    <format dxfId="547">
      <pivotArea dataOnly="0" labelOnly="1" outline="0" fieldPosition="0">
        <references count="1">
          <reference field="10" count="1" defaultSubtotal="1">
            <x v="457"/>
          </reference>
        </references>
      </pivotArea>
    </format>
    <format dxfId="548">
      <pivotArea dataOnly="0" labelOnly="1" outline="0" fieldPosition="0">
        <references count="1">
          <reference field="10" count="1" defaultSubtotal="1">
            <x v="458"/>
          </reference>
        </references>
      </pivotArea>
    </format>
    <format dxfId="549">
      <pivotArea dataOnly="0" labelOnly="1" outline="0" fieldPosition="0">
        <references count="1">
          <reference field="10" count="1" defaultSubtotal="1">
            <x v="459"/>
          </reference>
        </references>
      </pivotArea>
    </format>
    <format dxfId="550">
      <pivotArea dataOnly="0" labelOnly="1" outline="0" fieldPosition="0">
        <references count="1">
          <reference field="10" count="1" defaultSubtotal="1">
            <x v="460"/>
          </reference>
        </references>
      </pivotArea>
    </format>
    <format dxfId="551">
      <pivotArea dataOnly="0" labelOnly="1" outline="0" fieldPosition="0">
        <references count="1">
          <reference field="10" count="1" defaultSubtotal="1">
            <x v="461"/>
          </reference>
        </references>
      </pivotArea>
    </format>
    <format dxfId="552">
      <pivotArea dataOnly="0" labelOnly="1" outline="0" fieldPosition="0">
        <references count="1">
          <reference field="10" count="1" defaultSubtotal="1">
            <x v="462"/>
          </reference>
        </references>
      </pivotArea>
    </format>
    <format dxfId="553">
      <pivotArea dataOnly="0" labelOnly="1" outline="0" fieldPosition="0">
        <references count="1">
          <reference field="10" count="1" defaultSubtotal="1">
            <x v="463"/>
          </reference>
        </references>
      </pivotArea>
    </format>
    <format dxfId="554">
      <pivotArea dataOnly="0" labelOnly="1" outline="0" fieldPosition="0">
        <references count="1">
          <reference field="10" count="1" defaultSubtotal="1">
            <x v="464"/>
          </reference>
        </references>
      </pivotArea>
    </format>
    <format dxfId="555">
      <pivotArea dataOnly="0" labelOnly="1" outline="0" fieldPosition="0">
        <references count="1">
          <reference field="10" count="1" defaultSubtotal="1">
            <x v="465"/>
          </reference>
        </references>
      </pivotArea>
    </format>
    <format dxfId="556">
      <pivotArea dataOnly="0" labelOnly="1" outline="0" fieldPosition="0">
        <references count="1">
          <reference field="10" count="1" defaultSubtotal="1">
            <x v="466"/>
          </reference>
        </references>
      </pivotArea>
    </format>
    <format dxfId="557">
      <pivotArea dataOnly="0" labelOnly="1" outline="0" fieldPosition="0">
        <references count="1">
          <reference field="10" count="1" defaultSubtotal="1">
            <x v="467"/>
          </reference>
        </references>
      </pivotArea>
    </format>
    <format dxfId="558">
      <pivotArea dataOnly="0" labelOnly="1" outline="0" fieldPosition="0">
        <references count="1">
          <reference field="10" count="1" defaultSubtotal="1">
            <x v="468"/>
          </reference>
        </references>
      </pivotArea>
    </format>
    <format dxfId="559">
      <pivotArea dataOnly="0" labelOnly="1" outline="0" fieldPosition="0">
        <references count="1">
          <reference field="10" count="1" defaultSubtotal="1">
            <x v="469"/>
          </reference>
        </references>
      </pivotArea>
    </format>
    <format dxfId="560">
      <pivotArea dataOnly="0" labelOnly="1" outline="0" fieldPosition="0">
        <references count="1">
          <reference field="10" count="1" defaultSubtotal="1">
            <x v="470"/>
          </reference>
        </references>
      </pivotArea>
    </format>
    <format dxfId="561">
      <pivotArea dataOnly="0" labelOnly="1" outline="0" fieldPosition="0">
        <references count="1">
          <reference field="10" count="1" defaultSubtotal="1">
            <x v="471"/>
          </reference>
        </references>
      </pivotArea>
    </format>
    <format dxfId="562">
      <pivotArea dataOnly="0" labelOnly="1" outline="0" fieldPosition="0">
        <references count="1">
          <reference field="10" count="1" defaultSubtotal="1">
            <x v="472"/>
          </reference>
        </references>
      </pivotArea>
    </format>
    <format dxfId="563">
      <pivotArea dataOnly="0" labelOnly="1" outline="0" fieldPosition="0">
        <references count="1">
          <reference field="10" count="1" defaultSubtotal="1">
            <x v="473"/>
          </reference>
        </references>
      </pivotArea>
    </format>
    <format dxfId="564">
      <pivotArea dataOnly="0" labelOnly="1" outline="0" fieldPosition="0">
        <references count="1">
          <reference field="10" count="1" defaultSubtotal="1">
            <x v="474"/>
          </reference>
        </references>
      </pivotArea>
    </format>
    <format dxfId="565">
      <pivotArea dataOnly="0" labelOnly="1" outline="0" fieldPosition="0">
        <references count="1">
          <reference field="10" count="1" defaultSubtotal="1">
            <x v="475"/>
          </reference>
        </references>
      </pivotArea>
    </format>
    <format dxfId="566">
      <pivotArea dataOnly="0" labelOnly="1" outline="0" fieldPosition="0">
        <references count="1">
          <reference field="10" count="1" defaultSubtotal="1">
            <x v="476"/>
          </reference>
        </references>
      </pivotArea>
    </format>
    <format dxfId="567">
      <pivotArea dataOnly="0" labelOnly="1" outline="0" fieldPosition="0">
        <references count="1">
          <reference field="10" count="1" defaultSubtotal="1">
            <x v="477"/>
          </reference>
        </references>
      </pivotArea>
    </format>
    <format dxfId="568">
      <pivotArea dataOnly="0" labelOnly="1" outline="0" fieldPosition="0">
        <references count="1">
          <reference field="10" count="1" defaultSubtotal="1">
            <x v="478"/>
          </reference>
        </references>
      </pivotArea>
    </format>
    <format dxfId="569">
      <pivotArea dataOnly="0" labelOnly="1" outline="0" fieldPosition="0">
        <references count="1">
          <reference field="10" count="1" defaultSubtotal="1">
            <x v="479"/>
          </reference>
        </references>
      </pivotArea>
    </format>
    <format dxfId="570">
      <pivotArea dataOnly="0" labelOnly="1" outline="0" fieldPosition="0">
        <references count="1">
          <reference field="10" count="1" defaultSubtotal="1">
            <x v="480"/>
          </reference>
        </references>
      </pivotArea>
    </format>
    <format dxfId="571">
      <pivotArea dataOnly="0" labelOnly="1" outline="0" fieldPosition="0">
        <references count="1">
          <reference field="10" count="1" defaultSubtotal="1">
            <x v="481"/>
          </reference>
        </references>
      </pivotArea>
    </format>
    <format dxfId="572">
      <pivotArea dataOnly="0" labelOnly="1" outline="0" fieldPosition="0">
        <references count="1">
          <reference field="10" count="1" defaultSubtotal="1">
            <x v="482"/>
          </reference>
        </references>
      </pivotArea>
    </format>
    <format dxfId="573">
      <pivotArea dataOnly="0" labelOnly="1" outline="0" fieldPosition="0">
        <references count="1">
          <reference field="10" count="1" defaultSubtotal="1">
            <x v="483"/>
          </reference>
        </references>
      </pivotArea>
    </format>
    <format dxfId="574">
      <pivotArea dataOnly="0" labelOnly="1" outline="0" fieldPosition="0">
        <references count="1">
          <reference field="10" count="1" defaultSubtotal="1">
            <x v="485"/>
          </reference>
        </references>
      </pivotArea>
    </format>
    <format dxfId="575">
      <pivotArea dataOnly="0" labelOnly="1" outline="0" fieldPosition="0">
        <references count="1">
          <reference field="10" count="1" defaultSubtotal="1">
            <x v="486"/>
          </reference>
        </references>
      </pivotArea>
    </format>
    <format dxfId="576">
      <pivotArea dataOnly="0" labelOnly="1" outline="0" fieldPosition="0">
        <references count="1">
          <reference field="10" count="1" defaultSubtotal="1">
            <x v="487"/>
          </reference>
        </references>
      </pivotArea>
    </format>
    <format dxfId="577">
      <pivotArea dataOnly="0" labelOnly="1" outline="0" fieldPosition="0">
        <references count="1">
          <reference field="10" count="1" defaultSubtotal="1">
            <x v="488"/>
          </reference>
        </references>
      </pivotArea>
    </format>
    <format dxfId="578">
      <pivotArea dataOnly="0" labelOnly="1" outline="0" fieldPosition="0">
        <references count="1">
          <reference field="10" count="1" defaultSubtotal="1">
            <x v="489"/>
          </reference>
        </references>
      </pivotArea>
    </format>
    <format dxfId="579">
      <pivotArea dataOnly="0" labelOnly="1" outline="0" fieldPosition="0">
        <references count="1">
          <reference field="10" count="1" defaultSubtotal="1">
            <x v="490"/>
          </reference>
        </references>
      </pivotArea>
    </format>
    <format dxfId="580">
      <pivotArea dataOnly="0" labelOnly="1" outline="0" fieldPosition="0">
        <references count="1">
          <reference field="10" count="1" defaultSubtotal="1">
            <x v="491"/>
          </reference>
        </references>
      </pivotArea>
    </format>
    <format dxfId="581">
      <pivotArea dataOnly="0" labelOnly="1" outline="0" fieldPosition="0">
        <references count="1">
          <reference field="10" count="1" defaultSubtotal="1">
            <x v="492"/>
          </reference>
        </references>
      </pivotArea>
    </format>
    <format dxfId="582">
      <pivotArea dataOnly="0" labelOnly="1" outline="0" fieldPosition="0">
        <references count="1">
          <reference field="10" count="1" defaultSubtotal="1">
            <x v="493"/>
          </reference>
        </references>
      </pivotArea>
    </format>
    <format dxfId="583">
      <pivotArea dataOnly="0" labelOnly="1" outline="0" fieldPosition="0">
        <references count="1">
          <reference field="10" count="1" defaultSubtotal="1">
            <x v="494"/>
          </reference>
        </references>
      </pivotArea>
    </format>
    <format dxfId="584">
      <pivotArea dataOnly="0" labelOnly="1" outline="0" fieldPosition="0">
        <references count="1">
          <reference field="10" count="1" defaultSubtotal="1">
            <x v="495"/>
          </reference>
        </references>
      </pivotArea>
    </format>
    <format dxfId="585">
      <pivotArea dataOnly="0" labelOnly="1" outline="0" fieldPosition="0">
        <references count="1">
          <reference field="10" count="1" defaultSubtotal="1">
            <x v="496"/>
          </reference>
        </references>
      </pivotArea>
    </format>
    <format dxfId="586">
      <pivotArea dataOnly="0" labelOnly="1" outline="0" fieldPosition="0">
        <references count="1">
          <reference field="10" count="1" defaultSubtotal="1">
            <x v="497"/>
          </reference>
        </references>
      </pivotArea>
    </format>
    <format dxfId="587">
      <pivotArea dataOnly="0" labelOnly="1" outline="0" fieldPosition="0">
        <references count="1">
          <reference field="10" count="1" defaultSubtotal="1">
            <x v="498"/>
          </reference>
        </references>
      </pivotArea>
    </format>
    <format dxfId="588">
      <pivotArea dataOnly="0" labelOnly="1" outline="0" fieldPosition="0">
        <references count="1">
          <reference field="10" count="1" defaultSubtotal="1">
            <x v="499"/>
          </reference>
        </references>
      </pivotArea>
    </format>
    <format dxfId="589">
      <pivotArea dataOnly="0" labelOnly="1" outline="0" fieldPosition="0">
        <references count="1">
          <reference field="10" count="1" defaultSubtotal="1">
            <x v="500"/>
          </reference>
        </references>
      </pivotArea>
    </format>
    <format dxfId="590">
      <pivotArea dataOnly="0" labelOnly="1" outline="0" fieldPosition="0">
        <references count="1">
          <reference field="10" count="1" defaultSubtotal="1">
            <x v="501"/>
          </reference>
        </references>
      </pivotArea>
    </format>
    <format dxfId="591">
      <pivotArea dataOnly="0" labelOnly="1" outline="0" fieldPosition="0">
        <references count="1">
          <reference field="10" count="1" defaultSubtotal="1">
            <x v="502"/>
          </reference>
        </references>
      </pivotArea>
    </format>
    <format dxfId="592">
      <pivotArea dataOnly="0" labelOnly="1" outline="0" fieldPosition="0">
        <references count="1">
          <reference field="10" count="1" defaultSubtotal="1">
            <x v="503"/>
          </reference>
        </references>
      </pivotArea>
    </format>
    <format dxfId="593">
      <pivotArea dataOnly="0" labelOnly="1" outline="0" fieldPosition="0">
        <references count="1">
          <reference field="10" count="1" defaultSubtotal="1">
            <x v="504"/>
          </reference>
        </references>
      </pivotArea>
    </format>
    <format dxfId="594">
      <pivotArea dataOnly="0" labelOnly="1" outline="0" fieldPosition="0">
        <references count="1">
          <reference field="10" count="1" defaultSubtotal="1">
            <x v="505"/>
          </reference>
        </references>
      </pivotArea>
    </format>
    <format dxfId="595">
      <pivotArea dataOnly="0" labelOnly="1" outline="0" fieldPosition="0">
        <references count="1">
          <reference field="10" count="1" defaultSubtotal="1">
            <x v="506"/>
          </reference>
        </references>
      </pivotArea>
    </format>
    <format dxfId="596">
      <pivotArea dataOnly="0" labelOnly="1" outline="0" fieldPosition="0">
        <references count="1">
          <reference field="10" count="1" defaultSubtotal="1">
            <x v="507"/>
          </reference>
        </references>
      </pivotArea>
    </format>
    <format dxfId="597">
      <pivotArea dataOnly="0" labelOnly="1" outline="0" fieldPosition="0">
        <references count="1">
          <reference field="10" count="1" defaultSubtotal="1">
            <x v="508"/>
          </reference>
        </references>
      </pivotArea>
    </format>
    <format dxfId="598">
      <pivotArea dataOnly="0" labelOnly="1" outline="0" fieldPosition="0">
        <references count="1">
          <reference field="10" count="1" defaultSubtotal="1">
            <x v="509"/>
          </reference>
        </references>
      </pivotArea>
    </format>
    <format dxfId="599">
      <pivotArea dataOnly="0" labelOnly="1" outline="0" fieldPosition="0">
        <references count="1">
          <reference field="10" count="1" defaultSubtotal="1">
            <x v="510"/>
          </reference>
        </references>
      </pivotArea>
    </format>
    <format dxfId="600">
      <pivotArea dataOnly="0" labelOnly="1" outline="0" fieldPosition="0">
        <references count="1">
          <reference field="10" count="1" defaultSubtotal="1">
            <x v="511"/>
          </reference>
        </references>
      </pivotArea>
    </format>
    <format dxfId="601">
      <pivotArea dataOnly="0" labelOnly="1" outline="0" fieldPosition="0">
        <references count="1">
          <reference field="10" count="1" defaultSubtotal="1">
            <x v="512"/>
          </reference>
        </references>
      </pivotArea>
    </format>
    <format dxfId="602">
      <pivotArea dataOnly="0" labelOnly="1" outline="0" fieldPosition="0">
        <references count="1">
          <reference field="10" count="1" defaultSubtotal="1">
            <x v="513"/>
          </reference>
        </references>
      </pivotArea>
    </format>
    <format dxfId="603">
      <pivotArea dataOnly="0" labelOnly="1" outline="0" fieldPosition="0">
        <references count="1">
          <reference field="10" count="1" defaultSubtotal="1">
            <x v="514"/>
          </reference>
        </references>
      </pivotArea>
    </format>
    <format dxfId="604">
      <pivotArea dataOnly="0" labelOnly="1" outline="0" fieldPosition="0">
        <references count="1">
          <reference field="10" count="1" defaultSubtotal="1">
            <x v="515"/>
          </reference>
        </references>
      </pivotArea>
    </format>
    <format dxfId="605">
      <pivotArea dataOnly="0" labelOnly="1" outline="0" fieldPosition="0">
        <references count="1">
          <reference field="10" count="1" defaultSubtotal="1">
            <x v="516"/>
          </reference>
        </references>
      </pivotArea>
    </format>
    <format dxfId="606">
      <pivotArea dataOnly="0" labelOnly="1" outline="0" fieldPosition="0">
        <references count="1">
          <reference field="10" count="1" defaultSubtotal="1">
            <x v="517"/>
          </reference>
        </references>
      </pivotArea>
    </format>
    <format dxfId="607">
      <pivotArea dataOnly="0" labelOnly="1" outline="0" fieldPosition="0">
        <references count="1">
          <reference field="10" count="1" defaultSubtotal="1">
            <x v="518"/>
          </reference>
        </references>
      </pivotArea>
    </format>
    <format dxfId="608">
      <pivotArea dataOnly="0" labelOnly="1" outline="0" fieldPosition="0">
        <references count="1">
          <reference field="10" count="1" defaultSubtotal="1">
            <x v="519"/>
          </reference>
        </references>
      </pivotArea>
    </format>
    <format dxfId="609">
      <pivotArea dataOnly="0" labelOnly="1" outline="0" fieldPosition="0">
        <references count="1">
          <reference field="10" count="1" defaultSubtotal="1">
            <x v="520"/>
          </reference>
        </references>
      </pivotArea>
    </format>
    <format dxfId="610">
      <pivotArea dataOnly="0" labelOnly="1" outline="0" fieldPosition="0">
        <references count="1">
          <reference field="10" count="1" defaultSubtotal="1">
            <x v="521"/>
          </reference>
        </references>
      </pivotArea>
    </format>
    <format dxfId="611">
      <pivotArea dataOnly="0" labelOnly="1" outline="0" fieldPosition="0">
        <references count="1">
          <reference field="10" count="1" defaultSubtotal="1">
            <x v="522"/>
          </reference>
        </references>
      </pivotArea>
    </format>
    <format dxfId="612">
      <pivotArea dataOnly="0" labelOnly="1" outline="0" fieldPosition="0">
        <references count="1">
          <reference field="10" count="1" defaultSubtotal="1">
            <x v="523"/>
          </reference>
        </references>
      </pivotArea>
    </format>
    <format dxfId="613">
      <pivotArea dataOnly="0" labelOnly="1" outline="0" fieldPosition="0">
        <references count="1">
          <reference field="10" count="1" defaultSubtotal="1">
            <x v="524"/>
          </reference>
        </references>
      </pivotArea>
    </format>
    <format dxfId="614">
      <pivotArea dataOnly="0" labelOnly="1" outline="0" fieldPosition="0">
        <references count="1">
          <reference field="10" count="1" defaultSubtotal="1">
            <x v="525"/>
          </reference>
        </references>
      </pivotArea>
    </format>
    <format dxfId="615">
      <pivotArea dataOnly="0" labelOnly="1" outline="0" fieldPosition="0">
        <references count="1">
          <reference field="10" count="1" defaultSubtotal="1">
            <x v="526"/>
          </reference>
        </references>
      </pivotArea>
    </format>
    <format dxfId="616">
      <pivotArea dataOnly="0" labelOnly="1" outline="0" fieldPosition="0">
        <references count="1">
          <reference field="10" count="1" defaultSubtotal="1">
            <x v="527"/>
          </reference>
        </references>
      </pivotArea>
    </format>
    <format dxfId="617">
      <pivotArea dataOnly="0" labelOnly="1" outline="0" fieldPosition="0">
        <references count="1">
          <reference field="10" count="1" defaultSubtotal="1">
            <x v="528"/>
          </reference>
        </references>
      </pivotArea>
    </format>
    <format dxfId="618">
      <pivotArea dataOnly="0" labelOnly="1" outline="0" fieldPosition="0">
        <references count="1">
          <reference field="10" count="1" defaultSubtotal="1">
            <x v="529"/>
          </reference>
        </references>
      </pivotArea>
    </format>
    <format dxfId="619">
      <pivotArea dataOnly="0" labelOnly="1" outline="0" fieldPosition="0">
        <references count="1">
          <reference field="10" count="1" defaultSubtotal="1">
            <x v="530"/>
          </reference>
        </references>
      </pivotArea>
    </format>
    <format dxfId="620">
      <pivotArea dataOnly="0" labelOnly="1" outline="0" fieldPosition="0">
        <references count="1">
          <reference field="10" count="1" defaultSubtotal="1">
            <x v="531"/>
          </reference>
        </references>
      </pivotArea>
    </format>
    <format dxfId="621">
      <pivotArea dataOnly="0" labelOnly="1" outline="0" fieldPosition="0">
        <references count="1">
          <reference field="10" count="1" defaultSubtotal="1">
            <x v="532"/>
          </reference>
        </references>
      </pivotArea>
    </format>
    <format dxfId="622">
      <pivotArea dataOnly="0" labelOnly="1" outline="0" fieldPosition="0">
        <references count="1">
          <reference field="10" count="1" defaultSubtotal="1">
            <x v="533"/>
          </reference>
        </references>
      </pivotArea>
    </format>
    <format dxfId="623">
      <pivotArea dataOnly="0" labelOnly="1" outline="0" fieldPosition="0">
        <references count="1">
          <reference field="10" count="1" defaultSubtotal="1">
            <x v="534"/>
          </reference>
        </references>
      </pivotArea>
    </format>
    <format dxfId="624">
      <pivotArea dataOnly="0" labelOnly="1" outline="0" fieldPosition="0">
        <references count="1">
          <reference field="10" count="1" defaultSubtotal="1">
            <x v="535"/>
          </reference>
        </references>
      </pivotArea>
    </format>
    <format dxfId="625">
      <pivotArea dataOnly="0" labelOnly="1" outline="0" fieldPosition="0">
        <references count="1">
          <reference field="10" count="1" defaultSubtotal="1">
            <x v="536"/>
          </reference>
        </references>
      </pivotArea>
    </format>
    <format dxfId="626">
      <pivotArea dataOnly="0" labelOnly="1" outline="0" fieldPosition="0">
        <references count="1">
          <reference field="10" count="1" defaultSubtotal="1">
            <x v="537"/>
          </reference>
        </references>
      </pivotArea>
    </format>
    <format dxfId="627">
      <pivotArea dataOnly="0" labelOnly="1" outline="0" fieldPosition="0">
        <references count="1">
          <reference field="10" count="1" defaultSubtotal="1">
            <x v="538"/>
          </reference>
        </references>
      </pivotArea>
    </format>
    <format dxfId="628">
      <pivotArea dataOnly="0" labelOnly="1" outline="0" fieldPosition="0">
        <references count="1">
          <reference field="10" count="1" defaultSubtotal="1">
            <x v="539"/>
          </reference>
        </references>
      </pivotArea>
    </format>
    <format dxfId="629">
      <pivotArea dataOnly="0" labelOnly="1" outline="0" fieldPosition="0">
        <references count="1">
          <reference field="10" count="1" defaultSubtotal="1">
            <x v="540"/>
          </reference>
        </references>
      </pivotArea>
    </format>
    <format dxfId="630">
      <pivotArea dataOnly="0" labelOnly="1" outline="0" fieldPosition="0">
        <references count="1">
          <reference field="10" count="1" defaultSubtotal="1">
            <x v="541"/>
          </reference>
        </references>
      </pivotArea>
    </format>
    <format dxfId="631">
      <pivotArea dataOnly="0" labelOnly="1" outline="0" fieldPosition="0">
        <references count="1">
          <reference field="10" count="1" defaultSubtotal="1">
            <x v="542"/>
          </reference>
        </references>
      </pivotArea>
    </format>
    <format dxfId="632">
      <pivotArea dataOnly="0" labelOnly="1" outline="0" fieldPosition="0">
        <references count="1">
          <reference field="10" count="1" defaultSubtotal="1">
            <x v="543"/>
          </reference>
        </references>
      </pivotArea>
    </format>
    <format dxfId="633">
      <pivotArea dataOnly="0" labelOnly="1" outline="0" fieldPosition="0">
        <references count="1">
          <reference field="10" count="1" defaultSubtotal="1">
            <x v="544"/>
          </reference>
        </references>
      </pivotArea>
    </format>
    <format dxfId="634">
      <pivotArea dataOnly="0" labelOnly="1" outline="0" fieldPosition="0">
        <references count="1">
          <reference field="10" count="1" defaultSubtotal="1">
            <x v="545"/>
          </reference>
        </references>
      </pivotArea>
    </format>
    <format dxfId="635">
      <pivotArea dataOnly="0" labelOnly="1" outline="0" fieldPosition="0">
        <references count="1">
          <reference field="10" count="1" defaultSubtotal="1">
            <x v="546"/>
          </reference>
        </references>
      </pivotArea>
    </format>
    <format dxfId="636">
      <pivotArea dataOnly="0" labelOnly="1" outline="0" fieldPosition="0">
        <references count="1">
          <reference field="10" count="1" defaultSubtotal="1">
            <x v="547"/>
          </reference>
        </references>
      </pivotArea>
    </format>
    <format dxfId="637">
      <pivotArea dataOnly="0" labelOnly="1" outline="0" fieldPosition="0">
        <references count="1">
          <reference field="10" count="1" defaultSubtotal="1">
            <x v="548"/>
          </reference>
        </references>
      </pivotArea>
    </format>
    <format dxfId="638">
      <pivotArea dataOnly="0" labelOnly="1" outline="0" fieldPosition="0">
        <references count="2">
          <reference field="2" count="1">
            <x v="570"/>
          </reference>
          <reference field="10" count="1" selected="0">
            <x v="0"/>
          </reference>
        </references>
      </pivotArea>
    </format>
    <format dxfId="639">
      <pivotArea dataOnly="0" labelOnly="1" outline="0" fieldPosition="0">
        <references count="2">
          <reference field="2" count="2">
            <x v="141"/>
            <x v="142"/>
          </reference>
          <reference field="10" count="1" selected="0">
            <x v="1"/>
          </reference>
        </references>
      </pivotArea>
    </format>
    <format dxfId="640">
      <pivotArea dataOnly="0" labelOnly="1" outline="0" fieldPosition="0">
        <references count="2">
          <reference field="2" count="1">
            <x v="296"/>
          </reference>
          <reference field="10" count="1" selected="0">
            <x v="2"/>
          </reference>
        </references>
      </pivotArea>
    </format>
    <format dxfId="641">
      <pivotArea dataOnly="0" labelOnly="1" outline="0" fieldPosition="0">
        <references count="2">
          <reference field="2" count="1">
            <x v="404"/>
          </reference>
          <reference field="10" count="1" selected="0">
            <x v="3"/>
          </reference>
        </references>
      </pivotArea>
    </format>
    <format dxfId="642">
      <pivotArea dataOnly="0" labelOnly="1" outline="0" fieldPosition="0">
        <references count="2">
          <reference field="2" count="1">
            <x v="502"/>
          </reference>
          <reference field="10" count="1" selected="0">
            <x v="4"/>
          </reference>
        </references>
      </pivotArea>
    </format>
    <format dxfId="643">
      <pivotArea dataOnly="0" labelOnly="1" outline="0" fieldPosition="0">
        <references count="2">
          <reference field="2" count="2">
            <x v="14"/>
            <x v="27"/>
          </reference>
          <reference field="10" count="1" selected="0">
            <x v="5"/>
          </reference>
        </references>
      </pivotArea>
    </format>
    <format dxfId="644">
      <pivotArea dataOnly="0" labelOnly="1" outline="0" fieldPosition="0">
        <references count="2">
          <reference field="2" count="2">
            <x v="242"/>
            <x v="508"/>
          </reference>
          <reference field="10" count="1" selected="0">
            <x v="6"/>
          </reference>
        </references>
      </pivotArea>
    </format>
    <format dxfId="645">
      <pivotArea dataOnly="0" labelOnly="1" outline="0" fieldPosition="0">
        <references count="2">
          <reference field="2" count="1">
            <x v="652"/>
          </reference>
          <reference field="10" count="1" selected="0">
            <x v="7"/>
          </reference>
        </references>
      </pivotArea>
    </format>
    <format dxfId="646">
      <pivotArea dataOnly="0" labelOnly="1" outline="0" fieldPosition="0">
        <references count="2">
          <reference field="2" count="2">
            <x v="0"/>
            <x v="146"/>
          </reference>
          <reference field="10" count="1" selected="0">
            <x v="8"/>
          </reference>
        </references>
      </pivotArea>
    </format>
    <format dxfId="647">
      <pivotArea dataOnly="0" labelOnly="1" outline="0" fieldPosition="0">
        <references count="2">
          <reference field="2" count="1">
            <x v="129"/>
          </reference>
          <reference field="10" count="1" selected="0">
            <x v="9"/>
          </reference>
        </references>
      </pivotArea>
    </format>
    <format dxfId="648">
      <pivotArea dataOnly="0" labelOnly="1" outline="0" fieldPosition="0">
        <references count="2">
          <reference field="2" count="2">
            <x v="255"/>
            <x v="256"/>
          </reference>
          <reference field="10" count="1" selected="0">
            <x v="10"/>
          </reference>
        </references>
      </pivotArea>
    </format>
    <format dxfId="649">
      <pivotArea dataOnly="0" labelOnly="1" outline="0" fieldPosition="0">
        <references count="2">
          <reference field="2" count="3">
            <x v="72"/>
            <x v="74"/>
            <x v="75"/>
          </reference>
          <reference field="10" count="1" selected="0">
            <x v="12"/>
          </reference>
        </references>
      </pivotArea>
    </format>
    <format dxfId="650">
      <pivotArea dataOnly="0" labelOnly="1" outline="0" fieldPosition="0">
        <references count="2">
          <reference field="2" count="2">
            <x v="594"/>
            <x v="608"/>
          </reference>
          <reference field="10" count="1" selected="0">
            <x v="13"/>
          </reference>
        </references>
      </pivotArea>
    </format>
    <format dxfId="651">
      <pivotArea dataOnly="0" labelOnly="1" outline="0" fieldPosition="0">
        <references count="2">
          <reference field="2" count="2">
            <x v="54"/>
            <x v="666"/>
          </reference>
          <reference field="10" count="1" selected="0">
            <x v="14"/>
          </reference>
        </references>
      </pivotArea>
    </format>
    <format dxfId="652">
      <pivotArea dataOnly="0" labelOnly="1" outline="0" fieldPosition="0">
        <references count="2">
          <reference field="2" count="2">
            <x v="136"/>
            <x v="447"/>
          </reference>
          <reference field="10" count="1" selected="0">
            <x v="15"/>
          </reference>
        </references>
      </pivotArea>
    </format>
    <format dxfId="653">
      <pivotArea dataOnly="0" labelOnly="1" outline="0" fieldPosition="0">
        <references count="2">
          <reference field="2" count="4">
            <x v="103"/>
            <x v="224"/>
            <x v="527"/>
            <x v="604"/>
          </reference>
          <reference field="10" count="1" selected="0">
            <x v="16"/>
          </reference>
        </references>
      </pivotArea>
    </format>
    <format dxfId="654">
      <pivotArea dataOnly="0" labelOnly="1" outline="0" fieldPosition="0">
        <references count="2">
          <reference field="2" count="2">
            <x v="114"/>
            <x v="434"/>
          </reference>
          <reference field="10" count="1" selected="0">
            <x v="17"/>
          </reference>
        </references>
      </pivotArea>
    </format>
    <format dxfId="655">
      <pivotArea dataOnly="0" labelOnly="1" outline="0" fieldPosition="0">
        <references count="2">
          <reference field="2" count="1">
            <x v="25"/>
          </reference>
          <reference field="10" count="1" selected="0">
            <x v="18"/>
          </reference>
        </references>
      </pivotArea>
    </format>
    <format dxfId="656">
      <pivotArea dataOnly="0" labelOnly="1" outline="0" fieldPosition="0">
        <references count="2">
          <reference field="2" count="1">
            <x v="65"/>
          </reference>
          <reference field="10" count="1" selected="0">
            <x v="19"/>
          </reference>
        </references>
      </pivotArea>
    </format>
    <format dxfId="657">
      <pivotArea dataOnly="0" labelOnly="1" outline="0" fieldPosition="0">
        <references count="2">
          <reference field="2" count="1">
            <x v="503"/>
          </reference>
          <reference field="10" count="1" selected="0">
            <x v="20"/>
          </reference>
        </references>
      </pivotArea>
    </format>
    <format dxfId="658">
      <pivotArea dataOnly="0" labelOnly="1" outline="0" fieldPosition="0">
        <references count="2">
          <reference field="2" count="1">
            <x v="246"/>
          </reference>
          <reference field="10" count="1" selected="0">
            <x v="21"/>
          </reference>
        </references>
      </pivotArea>
    </format>
    <format dxfId="659">
      <pivotArea dataOnly="0" labelOnly="1" outline="0" fieldPosition="0">
        <references count="2">
          <reference field="2" count="3">
            <x v="30"/>
            <x v="31"/>
            <x v="32"/>
          </reference>
          <reference field="10" count="1" selected="0">
            <x v="23"/>
          </reference>
        </references>
      </pivotArea>
    </format>
    <format dxfId="660">
      <pivotArea dataOnly="0" labelOnly="1" outline="0" fieldPosition="0">
        <references count="2">
          <reference field="2" count="1">
            <x v="566"/>
          </reference>
          <reference field="10" count="1" selected="0">
            <x v="24"/>
          </reference>
        </references>
      </pivotArea>
    </format>
    <format dxfId="661">
      <pivotArea dataOnly="0" labelOnly="1" outline="0" fieldPosition="0">
        <references count="2">
          <reference field="2" count="1">
            <x v="458"/>
          </reference>
          <reference field="10" count="1" selected="0">
            <x v="25"/>
          </reference>
        </references>
      </pivotArea>
    </format>
    <format dxfId="662">
      <pivotArea dataOnly="0" labelOnly="1" outline="0" fieldPosition="0">
        <references count="2">
          <reference field="2" count="9">
            <x v="98"/>
            <x v="371"/>
            <x v="457"/>
            <x v="541"/>
            <x v="542"/>
            <x v="567"/>
            <x v="650"/>
            <x v="651"/>
            <x v="653"/>
          </reference>
          <reference field="10" count="1" selected="0">
            <x v="26"/>
          </reference>
        </references>
      </pivotArea>
    </format>
    <format dxfId="663">
      <pivotArea dataOnly="0" labelOnly="1" outline="0" fieldPosition="0">
        <references count="2">
          <reference field="2" count="2">
            <x v="326"/>
            <x v="330"/>
          </reference>
          <reference field="10" count="1" selected="0">
            <x v="27"/>
          </reference>
        </references>
      </pivotArea>
    </format>
    <format dxfId="664">
      <pivotArea dataOnly="0" labelOnly="1" outline="0" fieldPosition="0">
        <references count="2">
          <reference field="2" count="1">
            <x v="535"/>
          </reference>
          <reference field="10" count="1" selected="0">
            <x v="28"/>
          </reference>
        </references>
      </pivotArea>
    </format>
    <format dxfId="665">
      <pivotArea dataOnly="0" labelOnly="1" outline="0" fieldPosition="0">
        <references count="2">
          <reference field="2" count="1">
            <x v="341"/>
          </reference>
          <reference field="10" count="1" selected="0">
            <x v="29"/>
          </reference>
        </references>
      </pivotArea>
    </format>
    <format dxfId="666">
      <pivotArea dataOnly="0" labelOnly="1" outline="0" fieldPosition="0">
        <references count="2">
          <reference field="2" count="1">
            <x v="559"/>
          </reference>
          <reference field="10" count="1" selected="0">
            <x v="32"/>
          </reference>
        </references>
      </pivotArea>
    </format>
    <format dxfId="667">
      <pivotArea dataOnly="0" labelOnly="1" outline="0" fieldPosition="0">
        <references count="2">
          <reference field="2" count="1">
            <x v="130"/>
          </reference>
          <reference field="10" count="1" selected="0">
            <x v="36"/>
          </reference>
        </references>
      </pivotArea>
    </format>
    <format dxfId="668">
      <pivotArea dataOnly="0" labelOnly="1" outline="0" fieldPosition="0">
        <references count="2">
          <reference field="2" count="1">
            <x v="327"/>
          </reference>
          <reference field="10" count="1" selected="0">
            <x v="37"/>
          </reference>
        </references>
      </pivotArea>
    </format>
    <format dxfId="669">
      <pivotArea dataOnly="0" labelOnly="1" outline="0" fieldPosition="0">
        <references count="2">
          <reference field="2" count="1">
            <x v="493"/>
          </reference>
          <reference field="10" count="1" selected="0">
            <x v="39"/>
          </reference>
        </references>
      </pivotArea>
    </format>
    <format dxfId="670">
      <pivotArea dataOnly="0" labelOnly="1" outline="0" fieldPosition="0">
        <references count="2">
          <reference field="2" count="1">
            <x v="381"/>
          </reference>
          <reference field="10" count="1" selected="0">
            <x v="40"/>
          </reference>
        </references>
      </pivotArea>
    </format>
    <format dxfId="671">
      <pivotArea dataOnly="0" labelOnly="1" outline="0" fieldPosition="0">
        <references count="2">
          <reference field="2" count="1">
            <x v="494"/>
          </reference>
          <reference field="10" count="1" selected="0">
            <x v="41"/>
          </reference>
        </references>
      </pivotArea>
    </format>
    <format dxfId="672">
      <pivotArea dataOnly="0" labelOnly="1" outline="0" fieldPosition="0">
        <references count="2">
          <reference field="2" count="1">
            <x v="113"/>
          </reference>
          <reference field="10" count="1" selected="0">
            <x v="43"/>
          </reference>
        </references>
      </pivotArea>
    </format>
    <format dxfId="673">
      <pivotArea dataOnly="0" labelOnly="1" outline="0" fieldPosition="0">
        <references count="2">
          <reference field="2" count="1">
            <x v="112"/>
          </reference>
          <reference field="10" count="1" selected="0">
            <x v="44"/>
          </reference>
        </references>
      </pivotArea>
    </format>
    <format dxfId="674">
      <pivotArea dataOnly="0" labelOnly="1" outline="0" fieldPosition="0">
        <references count="2">
          <reference field="2" count="1">
            <x v="514"/>
          </reference>
          <reference field="10" count="1" selected="0">
            <x v="45"/>
          </reference>
        </references>
      </pivotArea>
    </format>
    <format dxfId="675">
      <pivotArea dataOnly="0" labelOnly="1" outline="0" fieldPosition="0">
        <references count="2">
          <reference field="2" count="1">
            <x v="245"/>
          </reference>
          <reference field="10" count="1" selected="0">
            <x v="46"/>
          </reference>
        </references>
      </pivotArea>
    </format>
    <format dxfId="676">
      <pivotArea dataOnly="0" labelOnly="1" outline="0" fieldPosition="0">
        <references count="2">
          <reference field="2" count="2">
            <x v="378"/>
            <x v="379"/>
          </reference>
          <reference field="10" count="1" selected="0">
            <x v="48"/>
          </reference>
        </references>
      </pivotArea>
    </format>
    <format dxfId="677">
      <pivotArea dataOnly="0" labelOnly="1" outline="0" fieldPosition="0">
        <references count="2">
          <reference field="2" count="1">
            <x v="612"/>
          </reference>
          <reference field="10" count="1" selected="0">
            <x v="49"/>
          </reference>
        </references>
      </pivotArea>
    </format>
    <format dxfId="678">
      <pivotArea dataOnly="0" labelOnly="1" outline="0" fieldPosition="0">
        <references count="2">
          <reference field="2" count="1">
            <x v="511"/>
          </reference>
          <reference field="10" count="1" selected="0">
            <x v="50"/>
          </reference>
        </references>
      </pivotArea>
    </format>
    <format dxfId="679">
      <pivotArea dataOnly="0" labelOnly="1" outline="0" fieldPosition="0">
        <references count="2">
          <reference field="2" count="1">
            <x v="73"/>
          </reference>
          <reference field="10" count="1" selected="0">
            <x v="55"/>
          </reference>
        </references>
      </pivotArea>
    </format>
    <format dxfId="680">
      <pivotArea dataOnly="0" labelOnly="1" outline="0" fieldPosition="0">
        <references count="2">
          <reference field="2" count="2">
            <x v="332"/>
            <x v="365"/>
          </reference>
          <reference field="10" count="1" selected="0">
            <x v="56"/>
          </reference>
        </references>
      </pivotArea>
    </format>
    <format dxfId="681">
      <pivotArea dataOnly="0" labelOnly="1" outline="0" fieldPosition="0">
        <references count="2">
          <reference field="2" count="3">
            <x v="352"/>
            <x v="354"/>
            <x v="576"/>
          </reference>
          <reference field="10" count="1" selected="0">
            <x v="57"/>
          </reference>
        </references>
      </pivotArea>
    </format>
    <format dxfId="682">
      <pivotArea dataOnly="0" labelOnly="1" outline="0" fieldPosition="0">
        <references count="2">
          <reference field="2" count="1">
            <x v="91"/>
          </reference>
          <reference field="10" count="1" selected="0">
            <x v="58"/>
          </reference>
        </references>
      </pivotArea>
    </format>
    <format dxfId="683">
      <pivotArea dataOnly="0" labelOnly="1" outline="0" fieldPosition="0">
        <references count="2">
          <reference field="2" count="1">
            <x v="297"/>
          </reference>
          <reference field="10" count="1" selected="0">
            <x v="59"/>
          </reference>
        </references>
      </pivotArea>
    </format>
    <format dxfId="684">
      <pivotArea dataOnly="0" labelOnly="1" outline="0" fieldPosition="0">
        <references count="2">
          <reference field="2" count="1">
            <x v="466"/>
          </reference>
          <reference field="10" count="1" selected="0">
            <x v="60"/>
          </reference>
        </references>
      </pivotArea>
    </format>
    <format dxfId="685">
      <pivotArea dataOnly="0" labelOnly="1" outline="0" fieldPosition="0">
        <references count="2">
          <reference field="2" count="1">
            <x v="598"/>
          </reference>
          <reference field="10" count="1" selected="0">
            <x v="61"/>
          </reference>
        </references>
      </pivotArea>
    </format>
    <format dxfId="686">
      <pivotArea dataOnly="0" labelOnly="1" outline="0" fieldPosition="0">
        <references count="2">
          <reference field="2" count="1">
            <x v="272"/>
          </reference>
          <reference field="10" count="1" selected="0">
            <x v="62"/>
          </reference>
        </references>
      </pivotArea>
    </format>
    <format dxfId="687">
      <pivotArea dataOnly="0" labelOnly="1" outline="0" fieldPosition="0">
        <references count="2">
          <reference field="2" count="1">
            <x v="548"/>
          </reference>
          <reference field="10" count="1" selected="0">
            <x v="64"/>
          </reference>
        </references>
      </pivotArea>
    </format>
    <format dxfId="688">
      <pivotArea dataOnly="0" labelOnly="1" outline="0" fieldPosition="0">
        <references count="2">
          <reference field="2" count="3">
            <x v="82"/>
            <x v="83"/>
            <x v="84"/>
          </reference>
          <reference field="10" count="1" selected="0">
            <x v="65"/>
          </reference>
        </references>
      </pivotArea>
    </format>
    <format dxfId="689">
      <pivotArea dataOnly="0" labelOnly="1" outline="0" fieldPosition="0">
        <references count="2">
          <reference field="2" count="1">
            <x v="6"/>
          </reference>
          <reference field="10" count="1" selected="0">
            <x v="66"/>
          </reference>
        </references>
      </pivotArea>
    </format>
    <format dxfId="690">
      <pivotArea dataOnly="0" labelOnly="1" outline="0" fieldPosition="0">
        <references count="2">
          <reference field="2" count="2">
            <x v="262"/>
            <x v="263"/>
          </reference>
          <reference field="10" count="1" selected="0">
            <x v="67"/>
          </reference>
        </references>
      </pivotArea>
    </format>
    <format dxfId="691">
      <pivotArea dataOnly="0" labelOnly="1" outline="0" fieldPosition="0">
        <references count="2">
          <reference field="2" count="1">
            <x v="88"/>
          </reference>
          <reference field="10" count="1" selected="0">
            <x v="68"/>
          </reference>
        </references>
      </pivotArea>
    </format>
    <format dxfId="692">
      <pivotArea dataOnly="0" labelOnly="1" outline="0" fieldPosition="0">
        <references count="2">
          <reference field="2" count="17">
            <x v="77"/>
            <x v="228"/>
            <x v="229"/>
            <x v="481"/>
            <x v="482"/>
            <x v="483"/>
            <x v="484"/>
            <x v="579"/>
            <x v="580"/>
            <x v="581"/>
            <x v="582"/>
            <x v="583"/>
            <x v="584"/>
            <x v="585"/>
            <x v="586"/>
            <x v="587"/>
            <x v="588"/>
          </reference>
          <reference field="10" count="1" selected="0">
            <x v="69"/>
          </reference>
        </references>
      </pivotArea>
    </format>
    <format dxfId="693">
      <pivotArea dataOnly="0" labelOnly="1" outline="0" fieldPosition="0">
        <references count="2">
          <reference field="2" count="3">
            <x v="462"/>
            <x v="463"/>
            <x v="560"/>
          </reference>
          <reference field="10" count="1" selected="0">
            <x v="70"/>
          </reference>
        </references>
      </pivotArea>
    </format>
    <format dxfId="694">
      <pivotArea dataOnly="0" labelOnly="1" outline="0" fieldPosition="0">
        <references count="2">
          <reference field="2" count="1">
            <x v="178"/>
          </reference>
          <reference field="10" count="1" selected="0">
            <x v="71"/>
          </reference>
        </references>
      </pivotArea>
    </format>
    <format dxfId="695">
      <pivotArea dataOnly="0" labelOnly="1" outline="0" fieldPosition="0">
        <references count="2">
          <reference field="2" count="2">
            <x v="298"/>
            <x v="311"/>
          </reference>
          <reference field="10" count="1" selected="0">
            <x v="72"/>
          </reference>
        </references>
      </pivotArea>
    </format>
    <format dxfId="696">
      <pivotArea dataOnly="0" labelOnly="1" outline="0" fieldPosition="0">
        <references count="2">
          <reference field="2" count="2">
            <x v="190"/>
            <x v="622"/>
          </reference>
          <reference field="10" count="1" selected="0">
            <x v="73"/>
          </reference>
        </references>
      </pivotArea>
    </format>
    <format dxfId="697">
      <pivotArea dataOnly="0" labelOnly="1" outline="0" fieldPosition="0">
        <references count="2">
          <reference field="2" count="1">
            <x v="159"/>
          </reference>
          <reference field="10" count="1" selected="0">
            <x v="74"/>
          </reference>
        </references>
      </pivotArea>
    </format>
    <format dxfId="698">
      <pivotArea dataOnly="0" labelOnly="1" outline="0" fieldPosition="0">
        <references count="2">
          <reference field="2" count="1">
            <x v="198"/>
          </reference>
          <reference field="10" count="1" selected="0">
            <x v="75"/>
          </reference>
        </references>
      </pivotArea>
    </format>
    <format dxfId="699">
      <pivotArea dataOnly="0" labelOnly="1" outline="0" fieldPosition="0">
        <references count="2">
          <reference field="2" count="1">
            <x v="593"/>
          </reference>
          <reference field="10" count="1" selected="0">
            <x v="78"/>
          </reference>
        </references>
      </pivotArea>
    </format>
    <format dxfId="700">
      <pivotArea dataOnly="0" labelOnly="1" outline="0" fieldPosition="0">
        <references count="2">
          <reference field="2" count="1">
            <x v="397"/>
          </reference>
          <reference field="10" count="1" selected="0">
            <x v="79"/>
          </reference>
        </references>
      </pivotArea>
    </format>
    <format dxfId="701">
      <pivotArea dataOnly="0" labelOnly="1" outline="0" fieldPosition="0">
        <references count="2">
          <reference field="2" count="1">
            <x v="415"/>
          </reference>
          <reference field="10" count="1" selected="0">
            <x v="80"/>
          </reference>
        </references>
      </pivotArea>
    </format>
    <format dxfId="702">
      <pivotArea dataOnly="0" labelOnly="1" outline="0" fieldPosition="0">
        <references count="2">
          <reference field="2" count="2">
            <x v="459"/>
            <x v="515"/>
          </reference>
          <reference field="10" count="1" selected="0">
            <x v="81"/>
          </reference>
        </references>
      </pivotArea>
    </format>
    <format dxfId="703">
      <pivotArea dataOnly="0" labelOnly="1" outline="0" fieldPosition="0">
        <references count="2">
          <reference field="2" count="2">
            <x v="147"/>
            <x v="575"/>
          </reference>
          <reference field="10" count="1" selected="0">
            <x v="82"/>
          </reference>
        </references>
      </pivotArea>
    </format>
    <format dxfId="704">
      <pivotArea dataOnly="0" labelOnly="1" outline="0" fieldPosition="0">
        <references count="2">
          <reference field="2" count="1">
            <x v="180"/>
          </reference>
          <reference field="10" count="1" selected="0">
            <x v="84"/>
          </reference>
        </references>
      </pivotArea>
    </format>
    <format dxfId="705">
      <pivotArea dataOnly="0" labelOnly="1" outline="0" fieldPosition="0">
        <references count="2">
          <reference field="2" count="3">
            <x v="107"/>
            <x v="294"/>
            <x v="453"/>
          </reference>
          <reference field="10" count="1" selected="0">
            <x v="86"/>
          </reference>
        </references>
      </pivotArea>
    </format>
    <format dxfId="706">
      <pivotArea dataOnly="0" labelOnly="1" outline="0" fieldPosition="0">
        <references count="2">
          <reference field="2" count="1">
            <x v="518"/>
          </reference>
          <reference field="10" count="1" selected="0">
            <x v="87"/>
          </reference>
        </references>
      </pivotArea>
    </format>
    <format dxfId="707">
      <pivotArea dataOnly="0" labelOnly="1" outline="0" fieldPosition="0">
        <references count="2">
          <reference field="2" count="1">
            <x v="383"/>
          </reference>
          <reference field="10" count="1" selected="0">
            <x v="88"/>
          </reference>
        </references>
      </pivotArea>
    </format>
    <format dxfId="708">
      <pivotArea dataOnly="0" labelOnly="1" outline="0" fieldPosition="0">
        <references count="2">
          <reference field="2" count="2">
            <x v="158"/>
            <x v="358"/>
          </reference>
          <reference field="10" count="1" selected="0">
            <x v="89"/>
          </reference>
        </references>
      </pivotArea>
    </format>
    <format dxfId="709">
      <pivotArea dataOnly="0" labelOnly="1" outline="0" fieldPosition="0">
        <references count="2">
          <reference field="2" count="1">
            <x v="23"/>
          </reference>
          <reference field="10" count="1" selected="0">
            <x v="90"/>
          </reference>
        </references>
      </pivotArea>
    </format>
    <format dxfId="710">
      <pivotArea dataOnly="0" labelOnly="1" outline="0" fieldPosition="0">
        <references count="2">
          <reference field="2" count="2">
            <x v="537"/>
            <x v="543"/>
          </reference>
          <reference field="10" count="1" selected="0">
            <x v="91"/>
          </reference>
        </references>
      </pivotArea>
    </format>
    <format dxfId="711">
      <pivotArea dataOnly="0" labelOnly="1" outline="0" fieldPosition="0">
        <references count="2">
          <reference field="2" count="2">
            <x v="334"/>
            <x v="539"/>
          </reference>
          <reference field="10" count="1" selected="0">
            <x v="93"/>
          </reference>
        </references>
      </pivotArea>
    </format>
    <format dxfId="712">
      <pivotArea dataOnly="0" labelOnly="1" outline="0" fieldPosition="0">
        <references count="2">
          <reference field="2" count="1">
            <x v="456"/>
          </reference>
          <reference field="10" count="1" selected="0">
            <x v="94"/>
          </reference>
        </references>
      </pivotArea>
    </format>
    <format dxfId="713">
      <pivotArea dataOnly="0" labelOnly="1" outline="0" fieldPosition="0">
        <references count="2">
          <reference field="2" count="2">
            <x v="265"/>
            <x v="510"/>
          </reference>
          <reference field="10" count="1" selected="0">
            <x v="95"/>
          </reference>
        </references>
      </pivotArea>
    </format>
    <format dxfId="714">
      <pivotArea dataOnly="0" labelOnly="1" outline="0" fieldPosition="0">
        <references count="2">
          <reference field="2" count="1">
            <x v="281"/>
          </reference>
          <reference field="10" count="1" selected="0">
            <x v="96"/>
          </reference>
        </references>
      </pivotArea>
    </format>
    <format dxfId="715">
      <pivotArea dataOnly="0" labelOnly="1" outline="0" fieldPosition="0">
        <references count="2">
          <reference field="2" count="2">
            <x v="219"/>
            <x v="226"/>
          </reference>
          <reference field="10" count="1" selected="0">
            <x v="99"/>
          </reference>
        </references>
      </pivotArea>
    </format>
    <format dxfId="716">
      <pivotArea dataOnly="0" labelOnly="1" outline="0" fieldPosition="0">
        <references count="2">
          <reference field="2" count="8">
            <x v="104"/>
            <x v="105"/>
            <x v="106"/>
            <x v="139"/>
            <x v="140"/>
            <x v="401"/>
            <x v="561"/>
            <x v="562"/>
          </reference>
          <reference field="10" count="1" selected="0">
            <x v="101"/>
          </reference>
        </references>
      </pivotArea>
    </format>
    <format dxfId="717">
      <pivotArea dataOnly="0" labelOnly="1" outline="0" fieldPosition="0">
        <references count="2">
          <reference field="2" count="1">
            <x v="312"/>
          </reference>
          <reference field="10" count="1" selected="0">
            <x v="102"/>
          </reference>
        </references>
      </pivotArea>
    </format>
    <format dxfId="718">
      <pivotArea dataOnly="0" labelOnly="1" outline="0" fieldPosition="0">
        <references count="2">
          <reference field="2" count="1">
            <x v="349"/>
          </reference>
          <reference field="10" count="1" selected="0">
            <x v="103"/>
          </reference>
        </references>
      </pivotArea>
    </format>
    <format dxfId="719">
      <pivotArea dataOnly="0" labelOnly="1" outline="0" fieldPosition="0">
        <references count="2">
          <reference field="2" count="2">
            <x v="210"/>
            <x v="211"/>
          </reference>
          <reference field="10" count="1" selected="0">
            <x v="105"/>
          </reference>
        </references>
      </pivotArea>
    </format>
    <format dxfId="720">
      <pivotArea dataOnly="0" labelOnly="1" outline="0" fieldPosition="0">
        <references count="2">
          <reference field="2" count="1">
            <x v="343"/>
          </reference>
          <reference field="10" count="1" selected="0">
            <x v="106"/>
          </reference>
        </references>
      </pivotArea>
    </format>
    <format dxfId="721">
      <pivotArea dataOnly="0" labelOnly="1" outline="0" fieldPosition="0">
        <references count="2">
          <reference field="2" count="4">
            <x v="40"/>
            <x v="41"/>
            <x v="52"/>
            <x v="599"/>
          </reference>
          <reference field="10" count="1" selected="0">
            <x v="107"/>
          </reference>
        </references>
      </pivotArea>
    </format>
    <format dxfId="722">
      <pivotArea dataOnly="0" labelOnly="1" outline="0" fieldPosition="0">
        <references count="2">
          <reference field="2" count="1">
            <x v="377"/>
          </reference>
          <reference field="10" count="1" selected="0">
            <x v="108"/>
          </reference>
        </references>
      </pivotArea>
    </format>
    <format dxfId="723">
      <pivotArea dataOnly="0" labelOnly="1" outline="0" fieldPosition="0">
        <references count="2">
          <reference field="2" count="1">
            <x v="285"/>
          </reference>
          <reference field="10" count="1" selected="0">
            <x v="110"/>
          </reference>
        </references>
      </pivotArea>
    </format>
    <format dxfId="724">
      <pivotArea dataOnly="0" labelOnly="1" outline="0" fieldPosition="0">
        <references count="2">
          <reference field="2" count="1">
            <x v="47"/>
          </reference>
          <reference field="10" count="1" selected="0">
            <x v="111"/>
          </reference>
        </references>
      </pivotArea>
    </format>
    <format dxfId="725">
      <pivotArea dataOnly="0" labelOnly="1" outline="0" fieldPosition="0">
        <references count="2">
          <reference field="2" count="1">
            <x v="558"/>
          </reference>
          <reference field="10" count="1" selected="0">
            <x v="112"/>
          </reference>
        </references>
      </pivotArea>
    </format>
    <format dxfId="726">
      <pivotArea dataOnly="0" labelOnly="1" outline="0" fieldPosition="0">
        <references count="2">
          <reference field="2" count="2">
            <x v="351"/>
            <x v="367"/>
          </reference>
          <reference field="10" count="1" selected="0">
            <x v="113"/>
          </reference>
        </references>
      </pivotArea>
    </format>
    <format dxfId="727">
      <pivotArea dataOnly="0" labelOnly="1" outline="0" fieldPosition="0">
        <references count="2">
          <reference field="2" count="1">
            <x v="382"/>
          </reference>
          <reference field="10" count="1" selected="0">
            <x v="115"/>
          </reference>
        </references>
      </pivotArea>
    </format>
    <format dxfId="728">
      <pivotArea dataOnly="0" labelOnly="1" outline="0" fieldPosition="0">
        <references count="2">
          <reference field="2" count="1">
            <x v="176"/>
          </reference>
          <reference field="10" count="1" selected="0">
            <x v="116"/>
          </reference>
        </references>
      </pivotArea>
    </format>
    <format dxfId="729">
      <pivotArea dataOnly="0" labelOnly="1" outline="0" fieldPosition="0">
        <references count="2">
          <reference field="2" count="1">
            <x v="472"/>
          </reference>
          <reference field="10" count="1" selected="0">
            <x v="117"/>
          </reference>
        </references>
      </pivotArea>
    </format>
    <format dxfId="730">
      <pivotArea dataOnly="0" labelOnly="1" outline="0" fieldPosition="0">
        <references count="2">
          <reference field="2" count="1">
            <x v="602"/>
          </reference>
          <reference field="10" count="1" selected="0">
            <x v="118"/>
          </reference>
        </references>
      </pivotArea>
    </format>
    <format dxfId="731">
      <pivotArea dataOnly="0" labelOnly="1" outline="0" fieldPosition="0">
        <references count="2">
          <reference field="2" count="1">
            <x v="199"/>
          </reference>
          <reference field="10" count="1" selected="0">
            <x v="119"/>
          </reference>
        </references>
      </pivotArea>
    </format>
    <format dxfId="732">
      <pivotArea dataOnly="0" labelOnly="1" outline="0" fieldPosition="0">
        <references count="2">
          <reference field="2" count="2">
            <x v="617"/>
            <x v="662"/>
          </reference>
          <reference field="10" count="1" selected="0">
            <x v="122"/>
          </reference>
        </references>
      </pivotArea>
    </format>
    <format dxfId="733">
      <pivotArea dataOnly="0" labelOnly="1" outline="0" fieldPosition="0">
        <references count="2">
          <reference field="2" count="1">
            <x v="669"/>
          </reference>
          <reference field="10" count="1" selected="0">
            <x v="124"/>
          </reference>
        </references>
      </pivotArea>
    </format>
    <format dxfId="734">
      <pivotArea dataOnly="0" labelOnly="1" outline="0" fieldPosition="0">
        <references count="2">
          <reference field="2" count="1">
            <x v="425"/>
          </reference>
          <reference field="10" count="1" selected="0">
            <x v="125"/>
          </reference>
        </references>
      </pivotArea>
    </format>
    <format dxfId="735">
      <pivotArea dataOnly="0" labelOnly="1" outline="0" fieldPosition="0">
        <references count="2">
          <reference field="2" count="1">
            <x v="243"/>
          </reference>
          <reference field="10" count="1" selected="0">
            <x v="126"/>
          </reference>
        </references>
      </pivotArea>
    </format>
    <format dxfId="736">
      <pivotArea dataOnly="0" labelOnly="1" outline="0" fieldPosition="0">
        <references count="2">
          <reference field="2" count="1">
            <x v="499"/>
          </reference>
          <reference field="10" count="1" selected="0">
            <x v="127"/>
          </reference>
        </references>
      </pivotArea>
    </format>
    <format dxfId="737">
      <pivotArea dataOnly="0" labelOnly="1" outline="0" fieldPosition="0">
        <references count="2">
          <reference field="2" count="1">
            <x v="53"/>
          </reference>
          <reference field="10" count="1" selected="0">
            <x v="128"/>
          </reference>
        </references>
      </pivotArea>
    </format>
    <format dxfId="738">
      <pivotArea dataOnly="0" labelOnly="1" outline="0" fieldPosition="0">
        <references count="2">
          <reference field="2" count="1">
            <x v="254"/>
          </reference>
          <reference field="10" count="1" selected="0">
            <x v="129"/>
          </reference>
        </references>
      </pivotArea>
    </format>
    <format dxfId="739">
      <pivotArea dataOnly="0" labelOnly="1" outline="0" fieldPosition="0">
        <references count="2">
          <reference field="2" count="1">
            <x v="647"/>
          </reference>
          <reference field="10" count="1" selected="0">
            <x v="130"/>
          </reference>
        </references>
      </pivotArea>
    </format>
    <format dxfId="740">
      <pivotArea dataOnly="0" labelOnly="1" outline="0" fieldPosition="0">
        <references count="2">
          <reference field="2" count="2">
            <x v="359"/>
            <x v="361"/>
          </reference>
          <reference field="10" count="1" selected="0">
            <x v="132"/>
          </reference>
        </references>
      </pivotArea>
    </format>
    <format dxfId="741">
      <pivotArea dataOnly="0" labelOnly="1" outline="0" fieldPosition="0">
        <references count="2">
          <reference field="2" count="2">
            <x v="307"/>
            <x v="337"/>
          </reference>
          <reference field="10" count="1" selected="0">
            <x v="133"/>
          </reference>
        </references>
      </pivotArea>
    </format>
    <format dxfId="742">
      <pivotArea dataOnly="0" labelOnly="1" outline="0" fieldPosition="0">
        <references count="2">
          <reference field="2" count="2">
            <x v="313"/>
            <x v="534"/>
          </reference>
          <reference field="10" count="1" selected="0">
            <x v="134"/>
          </reference>
        </references>
      </pivotArea>
    </format>
    <format dxfId="743">
      <pivotArea dataOnly="0" labelOnly="1" outline="0" fieldPosition="0">
        <references count="2">
          <reference field="2" count="2">
            <x v="251"/>
            <x v="252"/>
          </reference>
          <reference field="10" count="1" selected="0">
            <x v="135"/>
          </reference>
        </references>
      </pivotArea>
    </format>
    <format dxfId="744">
      <pivotArea dataOnly="0" labelOnly="1" outline="0" fieldPosition="0">
        <references count="2">
          <reference field="2" count="1">
            <x v="428"/>
          </reference>
          <reference field="10" count="1" selected="0">
            <x v="136"/>
          </reference>
        </references>
      </pivotArea>
    </format>
    <format dxfId="745">
      <pivotArea dataOnly="0" labelOnly="1" outline="0" fieldPosition="0">
        <references count="2">
          <reference field="2" count="2">
            <x v="314"/>
            <x v="315"/>
          </reference>
          <reference field="10" count="1" selected="0">
            <x v="137"/>
          </reference>
        </references>
      </pivotArea>
    </format>
    <format dxfId="746">
      <pivotArea dataOnly="0" labelOnly="1" outline="0" fieldPosition="0">
        <references count="2">
          <reference field="2" count="4">
            <x v="133"/>
            <x v="134"/>
            <x v="135"/>
            <x v="405"/>
          </reference>
          <reference field="10" count="1" selected="0">
            <x v="138"/>
          </reference>
        </references>
      </pivotArea>
    </format>
    <format dxfId="747">
      <pivotArea dataOnly="0" labelOnly="1" outline="0" fieldPosition="0">
        <references count="2">
          <reference field="2" count="1">
            <x v="391"/>
          </reference>
          <reference field="10" count="1" selected="0">
            <x v="139"/>
          </reference>
        </references>
      </pivotArea>
    </format>
    <format dxfId="748">
      <pivotArea dataOnly="0" labelOnly="1" outline="0" fieldPosition="0">
        <references count="2">
          <reference field="2" count="1">
            <x v="51"/>
          </reference>
          <reference field="10" count="1" selected="0">
            <x v="140"/>
          </reference>
        </references>
      </pivotArea>
    </format>
    <format dxfId="749">
      <pivotArea dataOnly="0" labelOnly="1" outline="0" fieldPosition="0">
        <references count="2">
          <reference field="2" count="1">
            <x v="574"/>
          </reference>
          <reference field="10" count="1" selected="0">
            <x v="141"/>
          </reference>
        </references>
      </pivotArea>
    </format>
    <format dxfId="750">
      <pivotArea dataOnly="0" labelOnly="1" outline="0" fieldPosition="0">
        <references count="2">
          <reference field="2" count="1">
            <x v="12"/>
          </reference>
          <reference field="10" count="1" selected="0">
            <x v="142"/>
          </reference>
        </references>
      </pivotArea>
    </format>
    <format dxfId="751">
      <pivotArea dataOnly="0" labelOnly="1" outline="0" fieldPosition="0">
        <references count="2">
          <reference field="2" count="2">
            <x v="442"/>
            <x v="595"/>
          </reference>
          <reference field="10" count="1" selected="0">
            <x v="143"/>
          </reference>
        </references>
      </pivotArea>
    </format>
    <format dxfId="752">
      <pivotArea dataOnly="0" labelOnly="1" outline="0" fieldPosition="0">
        <references count="2">
          <reference field="2" count="3">
            <x v="34"/>
            <x v="409"/>
            <x v="632"/>
          </reference>
          <reference field="10" count="1" selected="0">
            <x v="145"/>
          </reference>
        </references>
      </pivotArea>
    </format>
    <format dxfId="753">
      <pivotArea dataOnly="0" labelOnly="1" outline="0" fieldPosition="0">
        <references count="2">
          <reference field="2" count="1">
            <x v="540"/>
          </reference>
          <reference field="10" count="1" selected="0">
            <x v="146"/>
          </reference>
        </references>
      </pivotArea>
    </format>
    <format dxfId="754">
      <pivotArea dataOnly="0" labelOnly="1" outline="0" fieldPosition="0">
        <references count="2">
          <reference field="2" count="1">
            <x v="303"/>
          </reference>
          <reference field="10" count="1" selected="0">
            <x v="147"/>
          </reference>
        </references>
      </pivotArea>
    </format>
    <format dxfId="755">
      <pivotArea dataOnly="0" labelOnly="1" outline="0" fieldPosition="0">
        <references count="2">
          <reference field="2" count="1">
            <x v="46"/>
          </reference>
          <reference field="10" count="1" selected="0">
            <x v="148"/>
          </reference>
        </references>
      </pivotArea>
    </format>
    <format dxfId="756">
      <pivotArea dataOnly="0" labelOnly="1" outline="0" fieldPosition="0">
        <references count="2">
          <reference field="2" count="1">
            <x v="205"/>
          </reference>
          <reference field="10" count="1" selected="0">
            <x v="149"/>
          </reference>
        </references>
      </pivotArea>
    </format>
    <format dxfId="757">
      <pivotArea dataOnly="0" labelOnly="1" outline="0" fieldPosition="0">
        <references count="2">
          <reference field="2" count="2">
            <x v="172"/>
            <x v="605"/>
          </reference>
          <reference field="10" count="1" selected="0">
            <x v="150"/>
          </reference>
        </references>
      </pivotArea>
    </format>
    <format dxfId="758">
      <pivotArea dataOnly="0" labelOnly="1" outline="0" fieldPosition="0">
        <references count="2">
          <reference field="2" count="1">
            <x v="426"/>
          </reference>
          <reference field="10" count="1" selected="0">
            <x v="151"/>
          </reference>
        </references>
      </pivotArea>
    </format>
    <format dxfId="759">
      <pivotArea dataOnly="0" labelOnly="1" outline="0" fieldPosition="0">
        <references count="2">
          <reference field="2" count="1">
            <x v="655"/>
          </reference>
          <reference field="10" count="1" selected="0">
            <x v="153"/>
          </reference>
        </references>
      </pivotArea>
    </format>
    <format dxfId="760">
      <pivotArea dataOnly="0" labelOnly="1" outline="0" fieldPosition="0">
        <references count="2">
          <reference field="2" count="4">
            <x v="160"/>
            <x v="161"/>
            <x v="162"/>
            <x v="163"/>
          </reference>
          <reference field="10" count="1" selected="0">
            <x v="154"/>
          </reference>
        </references>
      </pivotArea>
    </format>
    <format dxfId="761">
      <pivotArea dataOnly="0" labelOnly="1" outline="0" fieldPosition="0">
        <references count="2">
          <reference field="2" count="2">
            <x v="486"/>
            <x v="564"/>
          </reference>
          <reference field="10" count="1" selected="0">
            <x v="155"/>
          </reference>
        </references>
      </pivotArea>
    </format>
    <format dxfId="762">
      <pivotArea dataOnly="0" labelOnly="1" outline="0" fieldPosition="0">
        <references count="2">
          <reference field="2" count="1">
            <x v="295"/>
          </reference>
          <reference field="10" count="1" selected="0">
            <x v="158"/>
          </reference>
        </references>
      </pivotArea>
    </format>
    <format dxfId="763">
      <pivotArea dataOnly="0" labelOnly="1" outline="0" fieldPosition="0">
        <references count="2">
          <reference field="2" count="4">
            <x v="62"/>
            <x v="102"/>
            <x v="418"/>
            <x v="607"/>
          </reference>
          <reference field="10" count="1" selected="0">
            <x v="159"/>
          </reference>
        </references>
      </pivotArea>
    </format>
    <format dxfId="764">
      <pivotArea dataOnly="0" labelOnly="1" outline="0" fieldPosition="0">
        <references count="2">
          <reference field="2" count="1">
            <x v="99"/>
          </reference>
          <reference field="10" count="1" selected="0">
            <x v="162"/>
          </reference>
        </references>
      </pivotArea>
    </format>
    <format dxfId="765">
      <pivotArea dataOnly="0" labelOnly="1" outline="0" fieldPosition="0">
        <references count="2">
          <reference field="2" count="1">
            <x v="568"/>
          </reference>
          <reference field="10" count="1" selected="0">
            <x v="163"/>
          </reference>
        </references>
      </pivotArea>
    </format>
    <format dxfId="766">
      <pivotArea dataOnly="0" labelOnly="1" outline="0" fieldPosition="0">
        <references count="2">
          <reference field="2" count="1">
            <x v="569"/>
          </reference>
          <reference field="10" count="1" selected="0">
            <x v="164"/>
          </reference>
        </references>
      </pivotArea>
    </format>
    <format dxfId="767">
      <pivotArea dataOnly="0" labelOnly="1" outline="0" fieldPosition="0">
        <references count="2">
          <reference field="2" count="1">
            <x v="218"/>
          </reference>
          <reference field="10" count="1" selected="0">
            <x v="165"/>
          </reference>
        </references>
      </pivotArea>
    </format>
    <format dxfId="768">
      <pivotArea dataOnly="0" labelOnly="1" outline="0" fieldPosition="0">
        <references count="2">
          <reference field="2" count="2">
            <x v="338"/>
            <x v="339"/>
          </reference>
          <reference field="10" count="1" selected="0">
            <x v="167"/>
          </reference>
        </references>
      </pivotArea>
    </format>
    <format dxfId="769">
      <pivotArea dataOnly="0" labelOnly="1" outline="0" fieldPosition="0">
        <references count="2">
          <reference field="2" count="1">
            <x v="49"/>
          </reference>
          <reference field="10" count="1" selected="0">
            <x v="169"/>
          </reference>
        </references>
      </pivotArea>
    </format>
    <format dxfId="770">
      <pivotArea dataOnly="0" labelOnly="1" outline="0" fieldPosition="0">
        <references count="2">
          <reference field="2" count="2">
            <x v="398"/>
            <x v="654"/>
          </reference>
          <reference field="10" count="1" selected="0">
            <x v="171"/>
          </reference>
        </references>
      </pivotArea>
    </format>
    <format dxfId="771">
      <pivotArea dataOnly="0" labelOnly="1" outline="0" fieldPosition="0">
        <references count="2">
          <reference field="2" count="3">
            <x v="531"/>
            <x v="532"/>
            <x v="533"/>
          </reference>
          <reference field="10" count="1" selected="0">
            <x v="173"/>
          </reference>
        </references>
      </pivotArea>
    </format>
    <format dxfId="772">
      <pivotArea dataOnly="0" labelOnly="1" outline="0" fieldPosition="0">
        <references count="2">
          <reference field="2" count="1">
            <x v="26"/>
          </reference>
          <reference field="10" count="1" selected="0">
            <x v="175"/>
          </reference>
        </references>
      </pivotArea>
    </format>
    <format dxfId="773">
      <pivotArea dataOnly="0" labelOnly="1" outline="0" fieldPosition="0">
        <references count="2">
          <reference field="2" count="3">
            <x v="93"/>
            <x v="94"/>
            <x v="95"/>
          </reference>
          <reference field="10" count="1" selected="0">
            <x v="176"/>
          </reference>
        </references>
      </pivotArea>
    </format>
    <format dxfId="774">
      <pivotArea dataOnly="0" labelOnly="1" outline="0" fieldPosition="0">
        <references count="2">
          <reference field="2" count="2">
            <x v="225"/>
            <x v="443"/>
          </reference>
          <reference field="10" count="1" selected="0">
            <x v="177"/>
          </reference>
        </references>
      </pivotArea>
    </format>
    <format dxfId="775">
      <pivotArea dataOnly="0" labelOnly="1" outline="0" fieldPosition="0">
        <references count="2">
          <reference field="2" count="1">
            <x v="386"/>
          </reference>
          <reference field="10" count="1" selected="0">
            <x v="180"/>
          </reference>
        </references>
      </pivotArea>
    </format>
    <format dxfId="776">
      <pivotArea dataOnly="0" labelOnly="1" outline="0" fieldPosition="0">
        <references count="2">
          <reference field="2" count="1">
            <x v="517"/>
          </reference>
          <reference field="10" count="1" selected="0">
            <x v="181"/>
          </reference>
        </references>
      </pivotArea>
    </format>
    <format dxfId="777">
      <pivotArea dataOnly="0" labelOnly="1" outline="0" fieldPosition="0">
        <references count="2">
          <reference field="2" count="1">
            <x v="513"/>
          </reference>
          <reference field="10" count="1" selected="0">
            <x v="183"/>
          </reference>
        </references>
      </pivotArea>
    </format>
    <format dxfId="778">
      <pivotArea dataOnly="0" labelOnly="1" outline="0" fieldPosition="0">
        <references count="2">
          <reference field="2" count="6">
            <x v="289"/>
            <x v="290"/>
            <x v="521"/>
            <x v="522"/>
            <x v="523"/>
            <x v="530"/>
          </reference>
          <reference field="10" count="1" selected="0">
            <x v="184"/>
          </reference>
        </references>
      </pivotArea>
    </format>
    <format dxfId="779">
      <pivotArea dataOnly="0" labelOnly="1" outline="0" fieldPosition="0">
        <references count="2">
          <reference field="2" count="2">
            <x v="291"/>
            <x v="520"/>
          </reference>
          <reference field="10" count="1" selected="0">
            <x v="185"/>
          </reference>
        </references>
      </pivotArea>
    </format>
    <format dxfId="780">
      <pivotArea dataOnly="0" labelOnly="1" outline="0" fieldPosition="0">
        <references count="2">
          <reference field="2" count="1">
            <x v="87"/>
          </reference>
          <reference field="10" count="1" selected="0">
            <x v="186"/>
          </reference>
        </references>
      </pivotArea>
    </format>
    <format dxfId="781">
      <pivotArea dataOnly="0" labelOnly="1" outline="0" fieldPosition="0">
        <references count="2">
          <reference field="2" count="1">
            <x v="197"/>
          </reference>
          <reference field="10" count="1" selected="0">
            <x v="188"/>
          </reference>
        </references>
      </pivotArea>
    </format>
    <format dxfId="782">
      <pivotArea dataOnly="0" labelOnly="1" outline="0" fieldPosition="0">
        <references count="2">
          <reference field="2" count="1">
            <x v="204"/>
          </reference>
          <reference field="10" count="1" selected="0">
            <x v="189"/>
          </reference>
        </references>
      </pivotArea>
    </format>
    <format dxfId="783">
      <pivotArea dataOnly="0" labelOnly="1" outline="0" fieldPosition="0">
        <references count="2">
          <reference field="2" count="3">
            <x v="4"/>
            <x v="111"/>
            <x v="512"/>
          </reference>
          <reference field="10" count="1" selected="0">
            <x v="190"/>
          </reference>
        </references>
      </pivotArea>
    </format>
    <format dxfId="784">
      <pivotArea dataOnly="0" labelOnly="1" outline="0" fieldPosition="0">
        <references count="2">
          <reference field="2" count="2">
            <x v="287"/>
            <x v="592"/>
          </reference>
          <reference field="10" count="1" selected="0">
            <x v="191"/>
          </reference>
        </references>
      </pivotArea>
    </format>
    <format dxfId="785">
      <pivotArea dataOnly="0" labelOnly="1" outline="0" fieldPosition="0">
        <references count="2">
          <reference field="2" count="2">
            <x v="29"/>
            <x v="519"/>
          </reference>
          <reference field="10" count="1" selected="0">
            <x v="192"/>
          </reference>
        </references>
      </pivotArea>
    </format>
    <format dxfId="786">
      <pivotArea dataOnly="0" labelOnly="1" outline="0" fieldPosition="0">
        <references count="2">
          <reference field="2" count="1">
            <x v="656"/>
          </reference>
          <reference field="10" count="1" selected="0">
            <x v="194"/>
          </reference>
        </references>
      </pivotArea>
    </format>
    <format dxfId="787">
      <pivotArea dataOnly="0" labelOnly="1" outline="0" fieldPosition="0">
        <references count="2">
          <reference field="2" count="1">
            <x v="557"/>
          </reference>
          <reference field="10" count="1" selected="0">
            <x v="195"/>
          </reference>
        </references>
      </pivotArea>
    </format>
    <format dxfId="788">
      <pivotArea dataOnly="0" labelOnly="1" outline="0" fieldPosition="0">
        <references count="2">
          <reference field="2" count="2">
            <x v="257"/>
            <x v="264"/>
          </reference>
          <reference field="10" count="1" selected="0">
            <x v="196"/>
          </reference>
        </references>
      </pivotArea>
    </format>
    <format dxfId="789">
      <pivotArea dataOnly="0" labelOnly="1" outline="0" fieldPosition="0">
        <references count="2">
          <reference field="2" count="1">
            <x v="500"/>
          </reference>
          <reference field="10" count="1" selected="0">
            <x v="197"/>
          </reference>
        </references>
      </pivotArea>
    </format>
    <format dxfId="790">
      <pivotArea dataOnly="0" labelOnly="1" outline="0" fieldPosition="0">
        <references count="2">
          <reference field="2" count="1">
            <x v="316"/>
          </reference>
          <reference field="10" count="1" selected="0">
            <x v="199"/>
          </reference>
        </references>
      </pivotArea>
    </format>
    <format dxfId="791">
      <pivotArea dataOnly="0" labelOnly="1" outline="0" fieldPosition="0">
        <references count="2">
          <reference field="2" count="1">
            <x v="306"/>
          </reference>
          <reference field="10" count="1" selected="0">
            <x v="200"/>
          </reference>
        </references>
      </pivotArea>
    </format>
    <format dxfId="792">
      <pivotArea dataOnly="0" labelOnly="1" outline="0" fieldPosition="0">
        <references count="2">
          <reference field="2" count="1">
            <x v="164"/>
          </reference>
          <reference field="10" count="1" selected="0">
            <x v="202"/>
          </reference>
        </references>
      </pivotArea>
    </format>
    <format dxfId="793">
      <pivotArea dataOnly="0" labelOnly="1" outline="0" fieldPosition="0">
        <references count="2">
          <reference field="2" count="1">
            <x v="468"/>
          </reference>
          <reference field="10" count="1" selected="0">
            <x v="204"/>
          </reference>
        </references>
      </pivotArea>
    </format>
    <format dxfId="794">
      <pivotArea dataOnly="0" labelOnly="1" outline="0" fieldPosition="0">
        <references count="2">
          <reference field="2" count="1">
            <x v="601"/>
          </reference>
          <reference field="10" count="1" selected="0">
            <x v="206"/>
          </reference>
        </references>
      </pivotArea>
    </format>
    <format dxfId="795">
      <pivotArea dataOnly="0" labelOnly="1" outline="0" fieldPosition="0">
        <references count="2">
          <reference field="2" count="1">
            <x v="611"/>
          </reference>
          <reference field="10" count="1" selected="0">
            <x v="207"/>
          </reference>
        </references>
      </pivotArea>
    </format>
    <format dxfId="796">
      <pivotArea dataOnly="0" labelOnly="1" outline="0" fieldPosition="0">
        <references count="2">
          <reference field="2" count="1">
            <x v="55"/>
          </reference>
          <reference field="10" count="1" selected="0">
            <x v="208"/>
          </reference>
        </references>
      </pivotArea>
    </format>
    <format dxfId="797">
      <pivotArea dataOnly="0" labelOnly="1" outline="0" fieldPosition="0">
        <references count="2">
          <reference field="2" count="3">
            <x v="454"/>
            <x v="549"/>
            <x v="645"/>
          </reference>
          <reference field="10" count="1" selected="0">
            <x v="211"/>
          </reference>
        </references>
      </pivotArea>
    </format>
    <format dxfId="798">
      <pivotArea dataOnly="0" labelOnly="1" outline="0" fieldPosition="0">
        <references count="2">
          <reference field="2" count="4">
            <x v="317"/>
            <x v="318"/>
            <x v="319"/>
            <x v="320"/>
          </reference>
          <reference field="10" count="1" selected="0">
            <x v="213"/>
          </reference>
        </references>
      </pivotArea>
    </format>
    <format dxfId="799">
      <pivotArea dataOnly="0" labelOnly="1" outline="0" fieldPosition="0">
        <references count="2">
          <reference field="2" count="1">
            <x v="16"/>
          </reference>
          <reference field="10" count="1" selected="0">
            <x v="214"/>
          </reference>
        </references>
      </pivotArea>
    </format>
    <format dxfId="800">
      <pivotArea dataOnly="0" labelOnly="1" outline="0" fieldPosition="0">
        <references count="2">
          <reference field="2" count="1">
            <x v="665"/>
          </reference>
          <reference field="10" count="1" selected="0">
            <x v="215"/>
          </reference>
        </references>
      </pivotArea>
    </format>
    <format dxfId="801">
      <pivotArea dataOnly="0" labelOnly="1" outline="0" fieldPosition="0">
        <references count="2">
          <reference field="2" count="1">
            <x v="68"/>
          </reference>
          <reference field="10" count="1" selected="0">
            <x v="216"/>
          </reference>
        </references>
      </pivotArea>
    </format>
    <format dxfId="802">
      <pivotArea dataOnly="0" labelOnly="1" outline="0" fieldPosition="0">
        <references count="2">
          <reference field="2" count="2">
            <x v="350"/>
            <x v="427"/>
          </reference>
          <reference field="10" count="1" selected="0">
            <x v="217"/>
          </reference>
        </references>
      </pivotArea>
    </format>
    <format dxfId="803">
      <pivotArea dataOnly="0" labelOnly="1" outline="0" fieldPosition="0">
        <references count="2">
          <reference field="2" count="4">
            <x v="186"/>
            <x v="187"/>
            <x v="353"/>
            <x v="525"/>
          </reference>
          <reference field="10" count="1" selected="0">
            <x v="219"/>
          </reference>
        </references>
      </pivotArea>
    </format>
    <format dxfId="804">
      <pivotArea dataOnly="0" labelOnly="1" outline="0" fieldPosition="0">
        <references count="2">
          <reference field="2" count="1">
            <x v="86"/>
          </reference>
          <reference field="10" count="1" selected="0">
            <x v="220"/>
          </reference>
        </references>
      </pivotArea>
    </format>
    <format dxfId="805">
      <pivotArea dataOnly="0" labelOnly="1" outline="0" fieldPosition="0">
        <references count="2">
          <reference field="2" count="1">
            <x v="286"/>
          </reference>
          <reference field="10" count="1" selected="0">
            <x v="221"/>
          </reference>
        </references>
      </pivotArea>
    </format>
    <format dxfId="806">
      <pivotArea dataOnly="0" labelOnly="1" outline="0" fieldPosition="0">
        <references count="2">
          <reference field="2" count="1">
            <x v="538"/>
          </reference>
          <reference field="10" count="1" selected="0">
            <x v="222"/>
          </reference>
        </references>
      </pivotArea>
    </format>
    <format dxfId="807">
      <pivotArea dataOnly="0" labelOnly="1" outline="0" fieldPosition="0">
        <references count="2">
          <reference field="2" count="2">
            <x v="648"/>
            <x v="649"/>
          </reference>
          <reference field="10" count="1" selected="0">
            <x v="225"/>
          </reference>
        </references>
      </pivotArea>
    </format>
    <format dxfId="808">
      <pivotArea dataOnly="0" labelOnly="1" outline="0" fieldPosition="0">
        <references count="2">
          <reference field="2" count="2">
            <x v="89"/>
            <x v="101"/>
          </reference>
          <reference field="10" count="1" selected="0">
            <x v="226"/>
          </reference>
        </references>
      </pivotArea>
    </format>
    <format dxfId="809">
      <pivotArea dataOnly="0" labelOnly="1" outline="0" fieldPosition="0">
        <references count="2">
          <reference field="2" count="1">
            <x v="423"/>
          </reference>
          <reference field="10" count="1" selected="0">
            <x v="227"/>
          </reference>
        </references>
      </pivotArea>
    </format>
    <format dxfId="810">
      <pivotArea dataOnly="0" labelOnly="1" outline="0" fieldPosition="0">
        <references count="2">
          <reference field="2" count="1">
            <x v="45"/>
          </reference>
          <reference field="10" count="1" selected="0">
            <x v="228"/>
          </reference>
        </references>
      </pivotArea>
    </format>
    <format dxfId="811">
      <pivotArea dataOnly="0" labelOnly="1" outline="0" fieldPosition="0">
        <references count="2">
          <reference field="2" count="1">
            <x v="189"/>
          </reference>
          <reference field="10" count="1" selected="0">
            <x v="230"/>
          </reference>
        </references>
      </pivotArea>
    </format>
    <format dxfId="812">
      <pivotArea dataOnly="0" labelOnly="1" outline="0" fieldPosition="0">
        <references count="2">
          <reference field="2" count="1">
            <x v="551"/>
          </reference>
          <reference field="10" count="1" selected="0">
            <x v="232"/>
          </reference>
        </references>
      </pivotArea>
    </format>
    <format dxfId="813">
      <pivotArea dataOnly="0" labelOnly="1" outline="0" fieldPosition="0">
        <references count="2">
          <reference field="2" count="2">
            <x v="184"/>
            <x v="236"/>
          </reference>
          <reference field="10" count="1" selected="0">
            <x v="235"/>
          </reference>
        </references>
      </pivotArea>
    </format>
    <format dxfId="814">
      <pivotArea dataOnly="0" labelOnly="1" outline="0" fieldPosition="0">
        <references count="2">
          <reference field="2" count="1">
            <x v="424"/>
          </reference>
          <reference field="10" count="1" selected="0">
            <x v="236"/>
          </reference>
        </references>
      </pivotArea>
    </format>
    <format dxfId="815">
      <pivotArea dataOnly="0" labelOnly="1" outline="0" fieldPosition="0">
        <references count="2">
          <reference field="2" count="1">
            <x v="179"/>
          </reference>
          <reference field="10" count="1" selected="0">
            <x v="237"/>
          </reference>
        </references>
      </pivotArea>
    </format>
    <format dxfId="816">
      <pivotArea dataOnly="0" labelOnly="1" outline="0" fieldPosition="0">
        <references count="2">
          <reference field="2" count="1">
            <x v="356"/>
          </reference>
          <reference field="10" count="1" selected="0">
            <x v="238"/>
          </reference>
        </references>
      </pivotArea>
    </format>
    <format dxfId="817">
      <pivotArea dataOnly="0" labelOnly="1" outline="0" fieldPosition="0">
        <references count="2">
          <reference field="2" count="1">
            <x v="435"/>
          </reference>
          <reference field="10" count="1" selected="0">
            <x v="239"/>
          </reference>
        </references>
      </pivotArea>
    </format>
    <format dxfId="818">
      <pivotArea dataOnly="0" labelOnly="1" outline="0" fieldPosition="0">
        <references count="2">
          <reference field="2" count="1">
            <x v="271"/>
          </reference>
          <reference field="10" count="1" selected="0">
            <x v="242"/>
          </reference>
        </references>
      </pivotArea>
    </format>
    <format dxfId="819">
      <pivotArea dataOnly="0" labelOnly="1" outline="0" fieldPosition="0">
        <references count="2">
          <reference field="2" count="2">
            <x v="253"/>
            <x v="554"/>
          </reference>
          <reference field="10" count="1" selected="0">
            <x v="243"/>
          </reference>
        </references>
      </pivotArea>
    </format>
    <format dxfId="820">
      <pivotArea dataOnly="0" labelOnly="1" outline="0" fieldPosition="0">
        <references count="2">
          <reference field="2" count="2">
            <x v="335"/>
            <x v="498"/>
          </reference>
          <reference field="10" count="1" selected="0">
            <x v="244"/>
          </reference>
        </references>
      </pivotArea>
    </format>
    <format dxfId="821">
      <pivotArea dataOnly="0" labelOnly="1" outline="0" fieldPosition="0">
        <references count="2">
          <reference field="2" count="1">
            <x v="206"/>
          </reference>
          <reference field="10" count="1" selected="0">
            <x v="245"/>
          </reference>
        </references>
      </pivotArea>
    </format>
    <format dxfId="822">
      <pivotArea dataOnly="0" labelOnly="1" outline="0" fieldPosition="0">
        <references count="2">
          <reference field="2" count="1">
            <x v="571"/>
          </reference>
          <reference field="10" count="1" selected="0">
            <x v="246"/>
          </reference>
        </references>
      </pivotArea>
    </format>
    <format dxfId="823">
      <pivotArea dataOnly="0" labelOnly="1" outline="0" fieldPosition="0">
        <references count="2">
          <reference field="2" count="1">
            <x v="660"/>
          </reference>
          <reference field="10" count="1" selected="0">
            <x v="248"/>
          </reference>
        </references>
      </pivotArea>
    </format>
    <format dxfId="824">
      <pivotArea dataOnly="0" labelOnly="1" outline="0" fieldPosition="0">
        <references count="2">
          <reference field="2" count="1">
            <x v="36"/>
          </reference>
          <reference field="10" count="1" selected="0">
            <x v="249"/>
          </reference>
        </references>
      </pivotArea>
    </format>
    <format dxfId="825">
      <pivotArea dataOnly="0" labelOnly="1" outline="0" fieldPosition="0">
        <references count="2">
          <reference field="2" count="1">
            <x v="43"/>
          </reference>
          <reference field="10" count="1" selected="0">
            <x v="250"/>
          </reference>
        </references>
      </pivotArea>
    </format>
    <format dxfId="826">
      <pivotArea dataOnly="0" labelOnly="1" outline="0" fieldPosition="0">
        <references count="2">
          <reference field="2" count="1">
            <x v="461"/>
          </reference>
          <reference field="10" count="1" selected="0">
            <x v="251"/>
          </reference>
        </references>
      </pivotArea>
    </format>
    <format dxfId="827">
      <pivotArea dataOnly="0" labelOnly="1" outline="0" fieldPosition="0">
        <references count="2">
          <reference field="2" count="1">
            <x v="460"/>
          </reference>
          <reference field="10" count="1" selected="0">
            <x v="252"/>
          </reference>
        </references>
      </pivotArea>
    </format>
    <format dxfId="828">
      <pivotArea dataOnly="0" labelOnly="1" outline="0" fieldPosition="0">
        <references count="2">
          <reference field="2" count="3">
            <x v="121"/>
            <x v="122"/>
            <x v="128"/>
          </reference>
          <reference field="10" count="1" selected="0">
            <x v="253"/>
          </reference>
        </references>
      </pivotArea>
    </format>
    <format dxfId="829">
      <pivotArea dataOnly="0" labelOnly="1" outline="0" fieldPosition="0">
        <references count="2">
          <reference field="2" count="1">
            <x v="267"/>
          </reference>
          <reference field="10" count="1" selected="0">
            <x v="256"/>
          </reference>
        </references>
      </pivotArea>
    </format>
    <format dxfId="830">
      <pivotArea dataOnly="0" labelOnly="1" outline="0" fieldPosition="0">
        <references count="2">
          <reference field="2" count="5">
            <x v="273"/>
            <x v="274"/>
            <x v="275"/>
            <x v="276"/>
            <x v="419"/>
          </reference>
          <reference field="10" count="1" selected="0">
            <x v="257"/>
          </reference>
        </references>
      </pivotArea>
    </format>
    <format dxfId="831">
      <pivotArea dataOnly="0" labelOnly="1" outline="0" fieldPosition="0">
        <references count="2">
          <reference field="2" count="1">
            <x v="150"/>
          </reference>
          <reference field="10" count="1" selected="0">
            <x v="258"/>
          </reference>
        </references>
      </pivotArea>
    </format>
    <format dxfId="832">
      <pivotArea dataOnly="0" labelOnly="1" outline="0" fieldPosition="0">
        <references count="2">
          <reference field="2" count="1">
            <x v="370"/>
          </reference>
          <reference field="10" count="1" selected="0">
            <x v="259"/>
          </reference>
        </references>
      </pivotArea>
    </format>
    <format dxfId="833">
      <pivotArea dataOnly="0" labelOnly="1" outline="0" fieldPosition="0">
        <references count="2">
          <reference field="2" count="1">
            <x v="363"/>
          </reference>
          <reference field="10" count="1" selected="0">
            <x v="261"/>
          </reference>
        </references>
      </pivotArea>
    </format>
    <format dxfId="834">
      <pivotArea dataOnly="0" labelOnly="1" outline="0" fieldPosition="0">
        <references count="2">
          <reference field="2" count="2">
            <x v="33"/>
            <x v="123"/>
          </reference>
          <reference field="10" count="1" selected="0">
            <x v="262"/>
          </reference>
        </references>
      </pivotArea>
    </format>
    <format dxfId="835">
      <pivotArea dataOnly="0" labelOnly="1" outline="0" fieldPosition="0">
        <references count="2">
          <reference field="2" count="3">
            <x v="10"/>
            <x v="11"/>
            <x v="238"/>
          </reference>
          <reference field="10" count="1" selected="0">
            <x v="265"/>
          </reference>
        </references>
      </pivotArea>
    </format>
    <format dxfId="836">
      <pivotArea dataOnly="0" labelOnly="1" outline="0" fieldPosition="0">
        <references count="2">
          <reference field="2" count="1">
            <x v="100"/>
          </reference>
          <reference field="10" count="1" selected="0">
            <x v="266"/>
          </reference>
        </references>
      </pivotArea>
    </format>
    <format dxfId="837">
      <pivotArea dataOnly="0" labelOnly="1" outline="0" fieldPosition="0">
        <references count="2">
          <reference field="2" count="3">
            <x v="181"/>
            <x v="182"/>
            <x v="183"/>
          </reference>
          <reference field="10" count="1" selected="0">
            <x v="268"/>
          </reference>
        </references>
      </pivotArea>
    </format>
    <format dxfId="838">
      <pivotArea dataOnly="0" labelOnly="1" outline="0" fieldPosition="0">
        <references count="2">
          <reference field="2" count="1">
            <x v="420"/>
          </reference>
          <reference field="10" count="1" selected="0">
            <x v="269"/>
          </reference>
        </references>
      </pivotArea>
    </format>
    <format dxfId="839">
      <pivotArea dataOnly="0" labelOnly="1" outline="0" fieldPosition="0">
        <references count="2">
          <reference field="2" count="1">
            <x v="414"/>
          </reference>
          <reference field="10" count="1" selected="0">
            <x v="270"/>
          </reference>
        </references>
      </pivotArea>
    </format>
    <format dxfId="840">
      <pivotArea dataOnly="0" labelOnly="1" outline="0" fieldPosition="0">
        <references count="2">
          <reference field="2" count="2">
            <x v="572"/>
            <x v="573"/>
          </reference>
          <reference field="10" count="1" selected="0">
            <x v="271"/>
          </reference>
        </references>
      </pivotArea>
    </format>
    <format dxfId="841">
      <pivotArea dataOnly="0" labelOnly="1" outline="0" fieldPosition="0">
        <references count="2">
          <reference field="2" count="2">
            <x v="490"/>
            <x v="627"/>
          </reference>
          <reference field="10" count="1" selected="0">
            <x v="272"/>
          </reference>
        </references>
      </pivotArea>
    </format>
    <format dxfId="842">
      <pivotArea dataOnly="0" labelOnly="1" outline="0" fieldPosition="0">
        <references count="2">
          <reference field="2" count="3">
            <x v="321"/>
            <x v="613"/>
            <x v="616"/>
          </reference>
          <reference field="10" count="1" selected="0">
            <x v="273"/>
          </reference>
        </references>
      </pivotArea>
    </format>
    <format dxfId="843">
      <pivotArea dataOnly="0" labelOnly="1" outline="0" fieldPosition="0">
        <references count="2">
          <reference field="2" count="1">
            <x v="615"/>
          </reference>
          <reference field="10" count="1" selected="0">
            <x v="274"/>
          </reference>
        </references>
      </pivotArea>
    </format>
    <format dxfId="844">
      <pivotArea dataOnly="0" labelOnly="1" outline="0" fieldPosition="0">
        <references count="2">
          <reference field="2" count="1">
            <x v="609"/>
          </reference>
          <reference field="10" count="1" selected="0">
            <x v="275"/>
          </reference>
        </references>
      </pivotArea>
    </format>
    <format dxfId="845">
      <pivotArea dataOnly="0" labelOnly="1" outline="0" fieldPosition="0">
        <references count="2">
          <reference field="2" count="1">
            <x v="524"/>
          </reference>
          <reference field="10" count="1" selected="0">
            <x v="276"/>
          </reference>
        </references>
      </pivotArea>
    </format>
    <format dxfId="846">
      <pivotArea dataOnly="0" labelOnly="1" outline="0" fieldPosition="0">
        <references count="2">
          <reference field="2" count="3">
            <x v="125"/>
            <x v="126"/>
            <x v="127"/>
          </reference>
          <reference field="10" count="1" selected="0">
            <x v="277"/>
          </reference>
        </references>
      </pivotArea>
    </format>
    <format dxfId="847">
      <pivotArea dataOnly="0" labelOnly="1" outline="0" fieldPosition="0">
        <references count="2">
          <reference field="2" count="2">
            <x v="259"/>
            <x v="260"/>
          </reference>
          <reference field="10" count="1" selected="0">
            <x v="278"/>
          </reference>
        </references>
      </pivotArea>
    </format>
    <format dxfId="848">
      <pivotArea dataOnly="0" labelOnly="1" outline="0" fieldPosition="0">
        <references count="2">
          <reference field="2" count="2">
            <x v="5"/>
            <x v="195"/>
          </reference>
          <reference field="10" count="1" selected="0">
            <x v="279"/>
          </reference>
        </references>
      </pivotArea>
    </format>
    <format dxfId="849">
      <pivotArea dataOnly="0" labelOnly="1" outline="0" fieldPosition="0">
        <references count="2">
          <reference field="2" count="2">
            <x v="151"/>
            <x v="152"/>
          </reference>
          <reference field="10" count="1" selected="0">
            <x v="280"/>
          </reference>
        </references>
      </pivotArea>
    </format>
    <format dxfId="850">
      <pivotArea dataOnly="0" labelOnly="1" outline="0" fieldPosition="0">
        <references count="2">
          <reference field="2" count="1">
            <x v="470"/>
          </reference>
          <reference field="10" count="1" selected="0">
            <x v="281"/>
          </reference>
        </references>
      </pivotArea>
    </format>
    <format dxfId="851">
      <pivotArea dataOnly="0" labelOnly="1" outline="0" fieldPosition="0">
        <references count="2">
          <reference field="2" count="1">
            <x v="590"/>
          </reference>
          <reference field="10" count="1" selected="0">
            <x v="282"/>
          </reference>
        </references>
      </pivotArea>
    </format>
    <format dxfId="852">
      <pivotArea dataOnly="0" labelOnly="1" outline="0" fieldPosition="0">
        <references count="2">
          <reference field="2" count="1">
            <x v="63"/>
          </reference>
          <reference field="10" count="1" selected="0">
            <x v="283"/>
          </reference>
        </references>
      </pivotArea>
    </format>
    <format dxfId="853">
      <pivotArea dataOnly="0" labelOnly="1" outline="0" fieldPosition="0">
        <references count="2">
          <reference field="2" count="1">
            <x v="402"/>
          </reference>
          <reference field="10" count="1" selected="0">
            <x v="284"/>
          </reference>
        </references>
      </pivotArea>
    </format>
    <format dxfId="854">
      <pivotArea dataOnly="0" labelOnly="1" outline="0" fieldPosition="0">
        <references count="2">
          <reference field="2" count="1">
            <x v="119"/>
          </reference>
          <reference field="10" count="1" selected="0">
            <x v="287"/>
          </reference>
        </references>
      </pivotArea>
    </format>
    <format dxfId="855">
      <pivotArea dataOnly="0" labelOnly="1" outline="0" fieldPosition="0">
        <references count="2">
          <reference field="2" count="1">
            <x v="56"/>
          </reference>
          <reference field="10" count="1" selected="0">
            <x v="289"/>
          </reference>
        </references>
      </pivotArea>
    </format>
    <format dxfId="856">
      <pivotArea dataOnly="0" labelOnly="1" outline="0" fieldPosition="0">
        <references count="2">
          <reference field="2" count="1">
            <x v="209"/>
          </reference>
          <reference field="10" count="1" selected="0">
            <x v="290"/>
          </reference>
        </references>
      </pivotArea>
    </format>
    <format dxfId="857">
      <pivotArea dataOnly="0" labelOnly="1" outline="0" fieldPosition="0">
        <references count="2">
          <reference field="2" count="1">
            <x v="194"/>
          </reference>
          <reference field="10" count="1" selected="0">
            <x v="291"/>
          </reference>
        </references>
      </pivotArea>
    </format>
    <format dxfId="858">
      <pivotArea dataOnly="0" labelOnly="1" outline="0" fieldPosition="0">
        <references count="2">
          <reference field="2" count="1">
            <x v="610"/>
          </reference>
          <reference field="10" count="1" selected="0">
            <x v="292"/>
          </reference>
        </references>
      </pivotArea>
    </format>
    <format dxfId="859">
      <pivotArea dataOnly="0" labelOnly="1" outline="0" fieldPosition="0">
        <references count="2">
          <reference field="2" count="1">
            <x v="603"/>
          </reference>
          <reference field="10" count="1" selected="0">
            <x v="293"/>
          </reference>
        </references>
      </pivotArea>
    </format>
    <format dxfId="860">
      <pivotArea dataOnly="0" labelOnly="1" outline="0" fieldPosition="0">
        <references count="2">
          <reference field="2" count="3">
            <x v="202"/>
            <x v="203"/>
            <x v="497"/>
          </reference>
          <reference field="10" count="1" selected="0">
            <x v="294"/>
          </reference>
        </references>
      </pivotArea>
    </format>
    <format dxfId="861">
      <pivotArea dataOnly="0" labelOnly="1" outline="0" fieldPosition="0">
        <references count="2">
          <reference field="2" count="1">
            <x v="390"/>
          </reference>
          <reference field="10" count="1" selected="0">
            <x v="295"/>
          </reference>
        </references>
      </pivotArea>
    </format>
    <format dxfId="862">
      <pivotArea dataOnly="0" labelOnly="1" outline="0" fieldPosition="0">
        <references count="2">
          <reference field="2" count="1">
            <x v="646"/>
          </reference>
          <reference field="10" count="1" selected="0">
            <x v="296"/>
          </reference>
        </references>
      </pivotArea>
    </format>
    <format dxfId="863">
      <pivotArea dataOnly="0" labelOnly="1" outline="0" fieldPosition="0">
        <references count="2">
          <reference field="2" count="1">
            <x v="261"/>
          </reference>
          <reference field="10" count="1" selected="0">
            <x v="297"/>
          </reference>
        </references>
      </pivotArea>
    </format>
    <format dxfId="864">
      <pivotArea dataOnly="0" labelOnly="1" outline="0" fieldPosition="0">
        <references count="2">
          <reference field="2" count="6">
            <x v="110"/>
            <x v="201"/>
            <x v="362"/>
            <x v="495"/>
            <x v="496"/>
            <x v="657"/>
          </reference>
          <reference field="10" count="1" selected="0">
            <x v="298"/>
          </reference>
        </references>
      </pivotArea>
    </format>
    <format dxfId="865">
      <pivotArea dataOnly="0" labelOnly="1" outline="0" fieldPosition="0">
        <references count="2">
          <reference field="2" count="1">
            <x v="638"/>
          </reference>
          <reference field="10" count="1" selected="0">
            <x v="299"/>
          </reference>
        </references>
      </pivotArea>
    </format>
    <format dxfId="866">
      <pivotArea dataOnly="0" labelOnly="1" outline="0" fieldPosition="0">
        <references count="2">
          <reference field="2" count="2">
            <x v="212"/>
            <x v="213"/>
          </reference>
          <reference field="10" count="1" selected="0">
            <x v="300"/>
          </reference>
        </references>
      </pivotArea>
    </format>
    <format dxfId="867">
      <pivotArea dataOnly="0" labelOnly="1" outline="0" fieldPosition="0">
        <references count="2">
          <reference field="2" count="1">
            <x v="644"/>
          </reference>
          <reference field="10" count="1" selected="0">
            <x v="301"/>
          </reference>
        </references>
      </pivotArea>
    </format>
    <format dxfId="868">
      <pivotArea dataOnly="0" labelOnly="1" outline="0" fieldPosition="0">
        <references count="2">
          <reference field="2" count="1">
            <x v="109"/>
          </reference>
          <reference field="10" count="1" selected="0">
            <x v="303"/>
          </reference>
        </references>
      </pivotArea>
    </format>
    <format dxfId="869">
      <pivotArea dataOnly="0" labelOnly="1" outline="0" fieldPosition="0">
        <references count="2">
          <reference field="2" count="2">
            <x v="342"/>
            <x v="553"/>
          </reference>
          <reference field="10" count="1" selected="0">
            <x v="304"/>
          </reference>
        </references>
      </pivotArea>
    </format>
    <format dxfId="870">
      <pivotArea dataOnly="0" labelOnly="1" outline="0" fieldPosition="0">
        <references count="2">
          <reference field="2" count="2">
            <x v="619"/>
            <x v="620"/>
          </reference>
          <reference field="10" count="1" selected="0">
            <x v="305"/>
          </reference>
        </references>
      </pivotArea>
    </format>
    <format dxfId="871">
      <pivotArea dataOnly="0" labelOnly="1" outline="0" fieldPosition="0">
        <references count="2">
          <reference field="2" count="1">
            <x v="445"/>
          </reference>
          <reference field="10" count="1" selected="0">
            <x v="306"/>
          </reference>
        </references>
      </pivotArea>
    </format>
    <format dxfId="872">
      <pivotArea dataOnly="0" labelOnly="1" outline="0" fieldPosition="0">
        <references count="2">
          <reference field="2" count="1">
            <x v="282"/>
          </reference>
          <reference field="10" count="1" selected="0">
            <x v="307"/>
          </reference>
        </references>
      </pivotArea>
    </format>
    <format dxfId="873">
      <pivotArea dataOnly="0" labelOnly="1" outline="0" fieldPosition="0">
        <references count="2">
          <reference field="2" count="6">
            <x v="97"/>
            <x v="115"/>
            <x v="116"/>
            <x v="440"/>
            <x v="480"/>
            <x v="668"/>
          </reference>
          <reference field="10" count="1" selected="0">
            <x v="309"/>
          </reference>
        </references>
      </pivotArea>
    </format>
    <format dxfId="874">
      <pivotArea dataOnly="0" labelOnly="1" outline="0" fieldPosition="0">
        <references count="2">
          <reference field="2" count="3">
            <x v="118"/>
            <x v="369"/>
            <x v="372"/>
          </reference>
          <reference field="10" count="1" selected="0">
            <x v="311"/>
          </reference>
        </references>
      </pivotArea>
    </format>
    <format dxfId="875">
      <pivotArea dataOnly="0" labelOnly="1" outline="0" fieldPosition="0">
        <references count="2">
          <reference field="2" count="1">
            <x v="278"/>
          </reference>
          <reference field="10" count="1" selected="0">
            <x v="314"/>
          </reference>
        </references>
      </pivotArea>
    </format>
    <format dxfId="876">
      <pivotArea dataOnly="0" labelOnly="1" outline="0" fieldPosition="0">
        <references count="2">
          <reference field="2" count="1">
            <x v="268"/>
          </reference>
          <reference field="10" count="1" selected="0">
            <x v="315"/>
          </reference>
        </references>
      </pivotArea>
    </format>
    <format dxfId="877">
      <pivotArea dataOnly="0" labelOnly="1" outline="0" fieldPosition="0">
        <references count="2">
          <reference field="2" count="1">
            <x v="92"/>
          </reference>
          <reference field="10" count="1" selected="0">
            <x v="317"/>
          </reference>
        </references>
      </pivotArea>
    </format>
    <format dxfId="878">
      <pivotArea dataOnly="0" labelOnly="1" outline="0" fieldPosition="0">
        <references count="2">
          <reference field="2" count="1">
            <x v="61"/>
          </reference>
          <reference field="10" count="1" selected="0">
            <x v="318"/>
          </reference>
        </references>
      </pivotArea>
    </format>
    <format dxfId="879">
      <pivotArea dataOnly="0" labelOnly="1" outline="0" fieldPosition="0">
        <references count="2">
          <reference field="2" count="1">
            <x v="21"/>
          </reference>
          <reference field="10" count="1" selected="0">
            <x v="319"/>
          </reference>
        </references>
      </pivotArea>
    </format>
    <format dxfId="880">
      <pivotArea dataOnly="0" labelOnly="1" outline="0" fieldPosition="0">
        <references count="2">
          <reference field="2" count="1">
            <x v="630"/>
          </reference>
          <reference field="10" count="1" selected="0">
            <x v="320"/>
          </reference>
        </references>
      </pivotArea>
    </format>
    <format dxfId="881">
      <pivotArea dataOnly="0" labelOnly="1" outline="0" fieldPosition="0">
        <references count="2">
          <reference field="2" count="2">
            <x v="232"/>
            <x v="244"/>
          </reference>
          <reference field="10" count="1" selected="0">
            <x v="321"/>
          </reference>
        </references>
      </pivotArea>
    </format>
    <format dxfId="882">
      <pivotArea dataOnly="0" labelOnly="1" outline="0" fieldPosition="0">
        <references count="2">
          <reference field="2" count="1">
            <x v="412"/>
          </reference>
          <reference field="10" count="1" selected="0">
            <x v="322"/>
          </reference>
        </references>
      </pivotArea>
    </format>
    <format dxfId="883">
      <pivotArea dataOnly="0" labelOnly="1" outline="0" fieldPosition="0">
        <references count="2">
          <reference field="2" count="3">
            <x v="347"/>
            <x v="430"/>
            <x v="431"/>
          </reference>
          <reference field="10" count="1" selected="0">
            <x v="325"/>
          </reference>
        </references>
      </pivotArea>
    </format>
    <format dxfId="884">
      <pivotArea dataOnly="0" labelOnly="1" outline="0" fieldPosition="0">
        <references count="2">
          <reference field="2" count="1">
            <x v="340"/>
          </reference>
          <reference field="10" count="1" selected="0">
            <x v="326"/>
          </reference>
        </references>
      </pivotArea>
    </format>
    <format dxfId="885">
      <pivotArea dataOnly="0" labelOnly="1" outline="0" fieldPosition="0">
        <references count="2">
          <reference field="2" count="1">
            <x v="227"/>
          </reference>
          <reference field="10" count="1" selected="0">
            <x v="327"/>
          </reference>
        </references>
      </pivotArea>
    </format>
    <format dxfId="886">
      <pivotArea dataOnly="0" labelOnly="1" outline="0" fieldPosition="0">
        <references count="2">
          <reference field="2" count="1">
            <x v="81"/>
          </reference>
          <reference field="10" count="1" selected="0">
            <x v="328"/>
          </reference>
        </references>
      </pivotArea>
    </format>
    <format dxfId="887">
      <pivotArea dataOnly="0" labelOnly="1" outline="0" fieldPosition="0">
        <references count="2">
          <reference field="2" count="1">
            <x v="22"/>
          </reference>
          <reference field="10" count="1" selected="0">
            <x v="329"/>
          </reference>
        </references>
      </pivotArea>
    </format>
    <format dxfId="888">
      <pivotArea dataOnly="0" labelOnly="1" outline="0" fieldPosition="0">
        <references count="2">
          <reference field="2" count="1">
            <x v="552"/>
          </reference>
          <reference field="10" count="1" selected="0">
            <x v="330"/>
          </reference>
        </references>
      </pivotArea>
    </format>
    <format dxfId="889">
      <pivotArea dataOnly="0" labelOnly="1" outline="0" fieldPosition="0">
        <references count="2">
          <reference field="2" count="1">
            <x v="433"/>
          </reference>
          <reference field="10" count="1" selected="0">
            <x v="331"/>
          </reference>
        </references>
      </pivotArea>
    </format>
    <format dxfId="890">
      <pivotArea dataOnly="0" labelOnly="1" outline="0" fieldPosition="0">
        <references count="2">
          <reference field="2" count="2">
            <x v="284"/>
            <x v="336"/>
          </reference>
          <reference field="10" count="1" selected="0">
            <x v="332"/>
          </reference>
        </references>
      </pivotArea>
    </format>
    <format dxfId="891">
      <pivotArea dataOnly="0" labelOnly="1" outline="0" fieldPosition="0">
        <references count="2">
          <reference field="2" count="2">
            <x v="214"/>
            <x v="432"/>
          </reference>
          <reference field="10" count="1" selected="0">
            <x v="333"/>
          </reference>
        </references>
      </pivotArea>
    </format>
    <format dxfId="892">
      <pivotArea dataOnly="0" labelOnly="1" outline="0" fieldPosition="0">
        <references count="2">
          <reference field="2" count="2">
            <x v="79"/>
            <x v="80"/>
          </reference>
          <reference field="10" count="1" selected="0">
            <x v="334"/>
          </reference>
        </references>
      </pivotArea>
    </format>
    <format dxfId="893">
      <pivotArea dataOnly="0" labelOnly="1" outline="0" fieldPosition="0">
        <references count="2">
          <reference field="2" count="1">
            <x v="600"/>
          </reference>
          <reference field="10" count="1" selected="0">
            <x v="335"/>
          </reference>
        </references>
      </pivotArea>
    </format>
    <format dxfId="894">
      <pivotArea dataOnly="0" labelOnly="1" outline="0" fieldPosition="0">
        <references count="2">
          <reference field="2" count="3">
            <x v="237"/>
            <x v="467"/>
            <x v="606"/>
          </reference>
          <reference field="10" count="1" selected="0">
            <x v="337"/>
          </reference>
        </references>
      </pivotArea>
    </format>
    <format dxfId="895">
      <pivotArea dataOnly="0" labelOnly="1" outline="0" fieldPosition="0">
        <references count="2">
          <reference field="2" count="1">
            <x v="249"/>
          </reference>
          <reference field="10" count="1" selected="0">
            <x v="340"/>
          </reference>
        </references>
      </pivotArea>
    </format>
    <format dxfId="896">
      <pivotArea dataOnly="0" labelOnly="1" outline="0" fieldPosition="0">
        <references count="2">
          <reference field="2" count="1">
            <x v="247"/>
          </reference>
          <reference field="10" count="1" selected="0">
            <x v="342"/>
          </reference>
        </references>
      </pivotArea>
    </format>
    <format dxfId="897">
      <pivotArea dataOnly="0" labelOnly="1" outline="0" fieldPosition="0">
        <references count="2">
          <reference field="2" count="1">
            <x v="329"/>
          </reference>
          <reference field="10" count="1" selected="0">
            <x v="343"/>
          </reference>
        </references>
      </pivotArea>
    </format>
    <format dxfId="898">
      <pivotArea dataOnly="0" labelOnly="1" outline="0" fieldPosition="0">
        <references count="2">
          <reference field="2" count="1">
            <x v="193"/>
          </reference>
          <reference field="10" count="1" selected="0">
            <x v="344"/>
          </reference>
        </references>
      </pivotArea>
    </format>
    <format dxfId="899">
      <pivotArea dataOnly="0" labelOnly="1" outline="0" fieldPosition="0">
        <references count="2">
          <reference field="2" count="4">
            <x v="13"/>
            <x v="385"/>
            <x v="546"/>
            <x v="547"/>
          </reference>
          <reference field="10" count="1" selected="0">
            <x v="345"/>
          </reference>
        </references>
      </pivotArea>
    </format>
    <format dxfId="900">
      <pivotArea dataOnly="0" labelOnly="1" outline="0" fieldPosition="0">
        <references count="2">
          <reference field="2" count="1">
            <x v="153"/>
          </reference>
          <reference field="10" count="1" selected="0">
            <x v="346"/>
          </reference>
        </references>
      </pivotArea>
    </format>
    <format dxfId="901">
      <pivotArea dataOnly="0" labelOnly="1" outline="0" fieldPosition="0">
        <references count="2">
          <reference field="2" count="1">
            <x v="250"/>
          </reference>
          <reference field="10" count="1" selected="0">
            <x v="351"/>
          </reference>
        </references>
      </pivotArea>
    </format>
    <format dxfId="902">
      <pivotArea dataOnly="0" labelOnly="1" outline="0" fieldPosition="0">
        <references count="2">
          <reference field="2" count="1">
            <x v="42"/>
          </reference>
          <reference field="10" count="1" selected="0">
            <x v="352"/>
          </reference>
        </references>
      </pivotArea>
    </format>
    <format dxfId="903">
      <pivotArea dataOnly="0" labelOnly="1" outline="0" fieldPosition="0">
        <references count="2">
          <reference field="2" count="1">
            <x v="417"/>
          </reference>
          <reference field="10" count="1" selected="0">
            <x v="353"/>
          </reference>
        </references>
      </pivotArea>
    </format>
    <format dxfId="904">
      <pivotArea dataOnly="0" labelOnly="1" outline="0" fieldPosition="0">
        <references count="2">
          <reference field="2" count="1">
            <x v="24"/>
          </reference>
          <reference field="10" count="1" selected="0">
            <x v="355"/>
          </reference>
        </references>
      </pivotArea>
    </format>
    <format dxfId="905">
      <pivotArea dataOnly="0" labelOnly="1" outline="0" fieldPosition="0">
        <references count="2">
          <reference field="2" count="1">
            <x v="90"/>
          </reference>
          <reference field="10" count="1" selected="0">
            <x v="356"/>
          </reference>
        </references>
      </pivotArea>
    </format>
    <format dxfId="906">
      <pivotArea dataOnly="0" labelOnly="1" outline="0" fieldPosition="0">
        <references count="2">
          <reference field="2" count="4">
            <x v="355"/>
            <x v="455"/>
            <x v="473"/>
            <x v="477"/>
          </reference>
          <reference field="10" count="1" selected="0">
            <x v="357"/>
          </reference>
        </references>
      </pivotArea>
    </format>
    <format dxfId="907">
      <pivotArea dataOnly="0" labelOnly="1" outline="0" fieldPosition="0">
        <references count="2">
          <reference field="2" count="1">
            <x v="288"/>
          </reference>
          <reference field="10" count="1" selected="0">
            <x v="358"/>
          </reference>
        </references>
      </pivotArea>
    </format>
    <format dxfId="908">
      <pivotArea dataOnly="0" labelOnly="1" outline="0" fieldPosition="0">
        <references count="2">
          <reference field="2" count="1">
            <x v="173"/>
          </reference>
          <reference field="10" count="1" selected="0">
            <x v="359"/>
          </reference>
        </references>
      </pivotArea>
    </format>
    <format dxfId="909">
      <pivotArea dataOnly="0" labelOnly="1" outline="0" fieldPosition="0">
        <references count="2">
          <reference field="2" count="2">
            <x v="376"/>
            <x v="384"/>
          </reference>
          <reference field="10" count="1" selected="0">
            <x v="360"/>
          </reference>
        </references>
      </pivotArea>
    </format>
    <format dxfId="910">
      <pivotArea dataOnly="0" labelOnly="1" outline="0" fieldPosition="0">
        <references count="2">
          <reference field="2" count="1">
            <x v="230"/>
          </reference>
          <reference field="10" count="1" selected="0">
            <x v="362"/>
          </reference>
        </references>
      </pivotArea>
    </format>
    <format dxfId="911">
      <pivotArea dataOnly="0" labelOnly="1" outline="0" fieldPosition="0">
        <references count="2">
          <reference field="2" count="1">
            <x v="39"/>
          </reference>
          <reference field="10" count="1" selected="0">
            <x v="363"/>
          </reference>
        </references>
      </pivotArea>
    </format>
    <format dxfId="912">
      <pivotArea dataOnly="0" labelOnly="1" outline="0" fieldPosition="0">
        <references count="2">
          <reference field="2" count="1">
            <x v="328"/>
          </reference>
          <reference field="10" count="1" selected="0">
            <x v="364"/>
          </reference>
        </references>
      </pivotArea>
    </format>
    <format dxfId="913">
      <pivotArea dataOnly="0" labelOnly="1" outline="0" fieldPosition="0">
        <references count="2">
          <reference field="2" count="1">
            <x v="154"/>
          </reference>
          <reference field="10" count="1" selected="0">
            <x v="365"/>
          </reference>
        </references>
      </pivotArea>
    </format>
    <format dxfId="914">
      <pivotArea dataOnly="0" labelOnly="1" outline="0" fieldPosition="0">
        <references count="2">
          <reference field="2" count="1">
            <x v="120"/>
          </reference>
          <reference field="10" count="1" selected="0">
            <x v="366"/>
          </reference>
        </references>
      </pivotArea>
    </format>
    <format dxfId="915">
      <pivotArea dataOnly="0" labelOnly="1" outline="0" fieldPosition="0">
        <references count="2">
          <reference field="2" count="1">
            <x v="177"/>
          </reference>
          <reference field="10" count="1" selected="0">
            <x v="370"/>
          </reference>
        </references>
      </pivotArea>
    </format>
    <format dxfId="916">
      <pivotArea dataOnly="0" labelOnly="1" outline="0" fieldPosition="0">
        <references count="2">
          <reference field="2" count="2">
            <x v="17"/>
            <x v="222"/>
          </reference>
          <reference field="10" count="1" selected="0">
            <x v="371"/>
          </reference>
        </references>
      </pivotArea>
    </format>
    <format dxfId="917">
      <pivotArea dataOnly="0" labelOnly="1" outline="0" fieldPosition="0">
        <references count="2">
          <reference field="2" count="1">
            <x v="78"/>
          </reference>
          <reference field="10" count="1" selected="0">
            <x v="372"/>
          </reference>
        </references>
      </pivotArea>
    </format>
    <format dxfId="918">
      <pivotArea dataOnly="0" labelOnly="1" outline="0" fieldPosition="0">
        <references count="2">
          <reference field="2" count="1">
            <x v="325"/>
          </reference>
          <reference field="10" count="1" selected="0">
            <x v="373"/>
          </reference>
        </references>
      </pivotArea>
    </format>
    <format dxfId="919">
      <pivotArea dataOnly="0" labelOnly="1" outline="0" fieldPosition="0">
        <references count="2">
          <reference field="2" count="1">
            <x v="544"/>
          </reference>
          <reference field="10" count="1" selected="0">
            <x v="374"/>
          </reference>
        </references>
      </pivotArea>
    </format>
    <format dxfId="920">
      <pivotArea dataOnly="0" labelOnly="1" outline="0" fieldPosition="0">
        <references count="2">
          <reference field="2" count="1">
            <x v="283"/>
          </reference>
          <reference field="10" count="1" selected="0">
            <x v="375"/>
          </reference>
        </references>
      </pivotArea>
    </format>
    <format dxfId="921">
      <pivotArea dataOnly="0" labelOnly="1" outline="0" fieldPosition="0">
        <references count="2">
          <reference field="2" count="1">
            <x v="192"/>
          </reference>
          <reference field="10" count="1" selected="0">
            <x v="376"/>
          </reference>
        </references>
      </pivotArea>
    </format>
    <format dxfId="922">
      <pivotArea dataOnly="0" labelOnly="1" outline="0" fieldPosition="0">
        <references count="2">
          <reference field="2" count="1">
            <x v="196"/>
          </reference>
          <reference field="10" count="1" selected="0">
            <x v="377"/>
          </reference>
        </references>
      </pivotArea>
    </format>
    <format dxfId="923">
      <pivotArea dataOnly="0" labelOnly="1" outline="0" fieldPosition="0">
        <references count="2">
          <reference field="2" count="2">
            <x v="239"/>
            <x v="240"/>
          </reference>
          <reference field="10" count="1" selected="0">
            <x v="378"/>
          </reference>
        </references>
      </pivotArea>
    </format>
    <format dxfId="924">
      <pivotArea dataOnly="0" labelOnly="1" outline="0" fieldPosition="0">
        <references count="2">
          <reference field="2" count="2">
            <x v="633"/>
            <x v="634"/>
          </reference>
          <reference field="10" count="1" selected="0">
            <x v="380"/>
          </reference>
        </references>
      </pivotArea>
    </format>
    <format dxfId="925">
      <pivotArea dataOnly="0" labelOnly="1" outline="0" fieldPosition="0">
        <references count="2">
          <reference field="2" count="5">
            <x v="474"/>
            <x v="475"/>
            <x v="476"/>
            <x v="556"/>
            <x v="663"/>
          </reference>
          <reference field="10" count="1" selected="0">
            <x v="381"/>
          </reference>
        </references>
      </pivotArea>
    </format>
    <format dxfId="926">
      <pivotArea dataOnly="0" labelOnly="1" outline="0" fieldPosition="0">
        <references count="2">
          <reference field="2" count="2">
            <x v="536"/>
            <x v="625"/>
          </reference>
          <reference field="10" count="1" selected="0">
            <x v="383"/>
          </reference>
        </references>
      </pivotArea>
    </format>
    <format dxfId="927">
      <pivotArea dataOnly="0" labelOnly="1" outline="0" fieldPosition="0">
        <references count="2">
          <reference field="2" count="1">
            <x v="85"/>
          </reference>
          <reference field="10" count="1" selected="0">
            <x v="384"/>
          </reference>
        </references>
      </pivotArea>
    </format>
    <format dxfId="928">
      <pivotArea dataOnly="0" labelOnly="1" outline="0" fieldPosition="0">
        <references count="2">
          <reference field="2" count="2">
            <x v="165"/>
            <x v="166"/>
          </reference>
          <reference field="10" count="1" selected="0">
            <x v="387"/>
          </reference>
        </references>
      </pivotArea>
    </format>
    <format dxfId="929">
      <pivotArea dataOnly="0" labelOnly="1" outline="0" fieldPosition="0">
        <references count="2">
          <reference field="2" count="1">
            <x v="331"/>
          </reference>
          <reference field="10" count="1" selected="0">
            <x v="389"/>
          </reference>
        </references>
      </pivotArea>
    </format>
    <format dxfId="930">
      <pivotArea dataOnly="0" labelOnly="1" outline="0" fieldPosition="0">
        <references count="2">
          <reference field="2" count="5">
            <x v="8"/>
            <x v="9"/>
            <x v="563"/>
            <x v="658"/>
            <x v="659"/>
          </reference>
          <reference field="10" count="1" selected="0">
            <x v="391"/>
          </reference>
        </references>
      </pivotArea>
    </format>
    <format dxfId="931">
      <pivotArea dataOnly="0" labelOnly="1" outline="0" fieldPosition="0">
        <references count="2">
          <reference field="2" count="1">
            <x v="1"/>
          </reference>
          <reference field="10" count="1" selected="0">
            <x v="393"/>
          </reference>
        </references>
      </pivotArea>
    </format>
    <format dxfId="932">
      <pivotArea dataOnly="0" labelOnly="1" outline="0" fieldPosition="0">
        <references count="2">
          <reference field="2" count="1">
            <x v="18"/>
          </reference>
          <reference field="10" count="1" selected="0">
            <x v="394"/>
          </reference>
        </references>
      </pivotArea>
    </format>
    <format dxfId="933">
      <pivotArea dataOnly="0" labelOnly="1" outline="0" fieldPosition="0">
        <references count="2">
          <reference field="2" count="1">
            <x v="266"/>
          </reference>
          <reference field="10" count="1" selected="0">
            <x v="395"/>
          </reference>
        </references>
      </pivotArea>
    </format>
    <format dxfId="934">
      <pivotArea dataOnly="0" labelOnly="1" outline="0" fieldPosition="0">
        <references count="2">
          <reference field="2" count="1">
            <x v="360"/>
          </reference>
          <reference field="10" count="1" selected="0">
            <x v="396"/>
          </reference>
        </references>
      </pivotArea>
    </format>
    <format dxfId="935">
      <pivotArea dataOnly="0" labelOnly="1" outline="0" fieldPosition="0">
        <references count="2">
          <reference field="2" count="3">
            <x v="280"/>
            <x v="308"/>
            <x v="501"/>
          </reference>
          <reference field="10" count="1" selected="0">
            <x v="397"/>
          </reference>
        </references>
      </pivotArea>
    </format>
    <format dxfId="936">
      <pivotArea dataOnly="0" labelOnly="1" outline="0" fieldPosition="0">
        <references count="2">
          <reference field="2" count="1">
            <x v="577"/>
          </reference>
          <reference field="10" count="1" selected="0">
            <x v="398"/>
          </reference>
        </references>
      </pivotArea>
    </format>
    <format dxfId="937">
      <pivotArea dataOnly="0" labelOnly="1" outline="0" fieldPosition="0">
        <references count="2">
          <reference field="2" count="5">
            <x v="439"/>
            <x v="448"/>
            <x v="449"/>
            <x v="451"/>
            <x v="452"/>
          </reference>
          <reference field="10" count="1" selected="0">
            <x v="399"/>
          </reference>
        </references>
      </pivotArea>
    </format>
    <format dxfId="938">
      <pivotArea dataOnly="0" labelOnly="1" outline="0" fieldPosition="0">
        <references count="2">
          <reference field="2" count="1">
            <x v="464"/>
          </reference>
          <reference field="10" count="1" selected="0">
            <x v="400"/>
          </reference>
        </references>
      </pivotArea>
    </format>
    <format dxfId="939">
      <pivotArea dataOnly="0" labelOnly="1" outline="0" fieldPosition="0">
        <references count="2">
          <reference field="2" count="1">
            <x v="410"/>
          </reference>
          <reference field="10" count="1" selected="0">
            <x v="404"/>
          </reference>
        </references>
      </pivotArea>
    </format>
    <format dxfId="940">
      <pivotArea dataOnly="0" labelOnly="1" outline="0" fieldPosition="0">
        <references count="2">
          <reference field="2" count="1">
            <x v="333"/>
          </reference>
          <reference field="10" count="1" selected="0">
            <x v="405"/>
          </reference>
        </references>
      </pivotArea>
    </format>
    <format dxfId="941">
      <pivotArea dataOnly="0" labelOnly="1" outline="0" fieldPosition="0">
        <references count="2">
          <reference field="2" count="2">
            <x v="348"/>
            <x v="492"/>
          </reference>
          <reference field="10" count="1" selected="0">
            <x v="406"/>
          </reference>
        </references>
      </pivotArea>
    </format>
    <format dxfId="942">
      <pivotArea dataOnly="0" labelOnly="1" outline="0" fieldPosition="0">
        <references count="2">
          <reference field="2" count="1">
            <x v="117"/>
          </reference>
          <reference field="10" count="1" selected="0">
            <x v="407"/>
          </reference>
        </references>
      </pivotArea>
    </format>
    <format dxfId="943">
      <pivotArea dataOnly="0" labelOnly="1" outline="0" fieldPosition="0">
        <references count="2">
          <reference field="2" count="1">
            <x v="305"/>
          </reference>
          <reference field="10" count="1" selected="0">
            <x v="408"/>
          </reference>
        </references>
      </pivotArea>
    </format>
    <format dxfId="944">
      <pivotArea dataOnly="0" labelOnly="1" outline="0" fieldPosition="0">
        <references count="2">
          <reference field="2" count="1">
            <x v="411"/>
          </reference>
          <reference field="10" count="1" selected="0">
            <x v="409"/>
          </reference>
        </references>
      </pivotArea>
    </format>
    <format dxfId="945">
      <pivotArea dataOnly="0" labelOnly="1" outline="0" fieldPosition="0">
        <references count="2">
          <reference field="2" count="2">
            <x v="44"/>
            <x v="220"/>
          </reference>
          <reference field="10" count="1" selected="0">
            <x v="411"/>
          </reference>
        </references>
      </pivotArea>
    </format>
    <format dxfId="946">
      <pivotArea dataOnly="0" labelOnly="1" outline="0" fieldPosition="0">
        <references count="2">
          <reference field="2" count="4">
            <x v="489"/>
            <x v="628"/>
            <x v="629"/>
            <x v="631"/>
          </reference>
          <reference field="10" count="1" selected="0">
            <x v="412"/>
          </reference>
        </references>
      </pivotArea>
    </format>
    <format dxfId="947">
      <pivotArea dataOnly="0" labelOnly="1" outline="0" fieldPosition="0">
        <references count="2">
          <reference field="2" count="2">
            <x v="3"/>
            <x v="421"/>
          </reference>
          <reference field="10" count="1" selected="0">
            <x v="413"/>
          </reference>
        </references>
      </pivotArea>
    </format>
    <format dxfId="948">
      <pivotArea dataOnly="0" labelOnly="1" outline="0" fieldPosition="0">
        <references count="2">
          <reference field="2" count="4">
            <x v="70"/>
            <x v="394"/>
            <x v="395"/>
            <x v="396"/>
          </reference>
          <reference field="10" count="1" selected="0">
            <x v="414"/>
          </reference>
        </references>
      </pivotArea>
    </format>
    <format dxfId="949">
      <pivotArea dataOnly="0" labelOnly="1" outline="0" fieldPosition="0">
        <references count="2">
          <reference field="2" count="1">
            <x v="66"/>
          </reference>
          <reference field="10" count="1" selected="0">
            <x v="415"/>
          </reference>
        </references>
      </pivotArea>
    </format>
    <format dxfId="950">
      <pivotArea dataOnly="0" labelOnly="1" outline="0" fieldPosition="0">
        <references count="2">
          <reference field="2" count="3">
            <x v="28"/>
            <x v="345"/>
            <x v="643"/>
          </reference>
          <reference field="10" count="1" selected="0">
            <x v="417"/>
          </reference>
        </references>
      </pivotArea>
    </format>
    <format dxfId="951">
      <pivotArea dataOnly="0" labelOnly="1" outline="0" fieldPosition="0">
        <references count="2">
          <reference field="2" count="1">
            <x v="2"/>
          </reference>
          <reference field="10" count="1" selected="0">
            <x v="419"/>
          </reference>
        </references>
      </pivotArea>
    </format>
    <format dxfId="952">
      <pivotArea dataOnly="0" labelOnly="1" outline="0" fieldPosition="0">
        <references count="2">
          <reference field="2" count="1">
            <x v="155"/>
          </reference>
          <reference field="10" count="1" selected="0">
            <x v="422"/>
          </reference>
        </references>
      </pivotArea>
    </format>
    <format dxfId="953">
      <pivotArea dataOnly="0" labelOnly="1" outline="0" fieldPosition="0">
        <references count="2">
          <reference field="2" count="2">
            <x v="388"/>
            <x v="528"/>
          </reference>
          <reference field="10" count="1" selected="0">
            <x v="423"/>
          </reference>
        </references>
      </pivotArea>
    </format>
    <format dxfId="954">
      <pivotArea dataOnly="0" labelOnly="1" outline="0" fieldPosition="0">
        <references count="2">
          <reference field="2" count="2">
            <x v="636"/>
            <x v="637"/>
          </reference>
          <reference field="10" count="1" selected="0">
            <x v="424"/>
          </reference>
        </references>
      </pivotArea>
    </format>
    <format dxfId="955">
      <pivotArea dataOnly="0" labelOnly="1" outline="0" fieldPosition="0">
        <references count="2">
          <reference field="2" count="1">
            <x v="293"/>
          </reference>
          <reference field="10" count="1" selected="0">
            <x v="425"/>
          </reference>
        </references>
      </pivotArea>
    </format>
    <format dxfId="956">
      <pivotArea dataOnly="0" labelOnly="1" outline="0" fieldPosition="0">
        <references count="2">
          <reference field="2" count="1">
            <x v="132"/>
          </reference>
          <reference field="10" count="1" selected="0">
            <x v="426"/>
          </reference>
        </references>
      </pivotArea>
    </format>
    <format dxfId="957">
      <pivotArea dataOnly="0" labelOnly="1" outline="0" fieldPosition="0">
        <references count="2">
          <reference field="2" count="1">
            <x v="624"/>
          </reference>
          <reference field="10" count="1" selected="0">
            <x v="428"/>
          </reference>
        </references>
      </pivotArea>
    </format>
    <format dxfId="958">
      <pivotArea dataOnly="0" labelOnly="1" outline="0" fieldPosition="0">
        <references count="2">
          <reference field="2" count="3">
            <x v="248"/>
            <x v="550"/>
            <x v="555"/>
          </reference>
          <reference field="10" count="1" selected="0">
            <x v="429"/>
          </reference>
        </references>
      </pivotArea>
    </format>
    <format dxfId="959">
      <pivotArea dataOnly="0" labelOnly="1" outline="0" fieldPosition="0">
        <references count="2">
          <reference field="2" count="1">
            <x v="59"/>
          </reference>
          <reference field="10" count="1" selected="0">
            <x v="430"/>
          </reference>
        </references>
      </pivotArea>
    </format>
    <format dxfId="960">
      <pivotArea dataOnly="0" labelOnly="1" outline="0" fieldPosition="0">
        <references count="2">
          <reference field="2" count="2">
            <x v="58"/>
            <x v="373"/>
          </reference>
          <reference field="10" count="1" selected="0">
            <x v="431"/>
          </reference>
        </references>
      </pivotArea>
    </format>
    <format dxfId="961">
      <pivotArea dataOnly="0" labelOnly="1" outline="0" fieldPosition="0">
        <references count="2">
          <reference field="2" count="1">
            <x v="60"/>
          </reference>
          <reference field="10" count="1" selected="0">
            <x v="432"/>
          </reference>
        </references>
      </pivotArea>
    </format>
    <format dxfId="962">
      <pivotArea dataOnly="0" labelOnly="1" outline="0" fieldPosition="0">
        <references count="2">
          <reference field="2" count="1">
            <x v="175"/>
          </reference>
          <reference field="10" count="1" selected="0">
            <x v="433"/>
          </reference>
        </references>
      </pivotArea>
    </format>
    <format dxfId="963">
      <pivotArea dataOnly="0" labelOnly="1" outline="0" fieldPosition="0">
        <references count="2">
          <reference field="2" count="2">
            <x v="279"/>
            <x v="346"/>
          </reference>
          <reference field="10" count="1" selected="0">
            <x v="434"/>
          </reference>
        </references>
      </pivotArea>
    </format>
    <format dxfId="964">
      <pivotArea dataOnly="0" labelOnly="1" outline="0" fieldPosition="0">
        <references count="2">
          <reference field="2" count="1">
            <x v="591"/>
          </reference>
          <reference field="10" count="1" selected="0">
            <x v="435"/>
          </reference>
        </references>
      </pivotArea>
    </format>
    <format dxfId="965">
      <pivotArea dataOnly="0" labelOnly="1" outline="0" fieldPosition="0">
        <references count="2">
          <reference field="2" count="1">
            <x v="67"/>
          </reference>
          <reference field="10" count="1" selected="0">
            <x v="436"/>
          </reference>
        </references>
      </pivotArea>
    </format>
    <format dxfId="966">
      <pivotArea dataOnly="0" labelOnly="1" outline="0" fieldPosition="0">
        <references count="2">
          <reference field="2" count="1">
            <x v="258"/>
          </reference>
          <reference field="10" count="1" selected="0">
            <x v="437"/>
          </reference>
        </references>
      </pivotArea>
    </format>
    <format dxfId="967">
      <pivotArea dataOnly="0" labelOnly="1" outline="0" fieldPosition="0">
        <references count="2">
          <reference field="2" count="2">
            <x v="76"/>
            <x v="300"/>
          </reference>
          <reference field="10" count="1" selected="0">
            <x v="438"/>
          </reference>
        </references>
      </pivotArea>
    </format>
    <format dxfId="968">
      <pivotArea dataOnly="0" labelOnly="1" outline="0" fieldPosition="0">
        <references count="2">
          <reference field="2" count="1">
            <x v="614"/>
          </reference>
          <reference field="10" count="1" selected="0">
            <x v="439"/>
          </reference>
        </references>
      </pivotArea>
    </format>
    <format dxfId="969">
      <pivotArea dataOnly="0" labelOnly="1" outline="0" fieldPosition="0">
        <references count="2">
          <reference field="2" count="1">
            <x v="231"/>
          </reference>
          <reference field="10" count="1" selected="0">
            <x v="440"/>
          </reference>
        </references>
      </pivotArea>
    </format>
    <format dxfId="970">
      <pivotArea dataOnly="0" labelOnly="1" outline="0" fieldPosition="0">
        <references count="2">
          <reference field="2" count="1">
            <x v="597"/>
          </reference>
          <reference field="10" count="1" selected="0">
            <x v="441"/>
          </reference>
        </references>
      </pivotArea>
    </format>
    <format dxfId="971">
      <pivotArea dataOnly="0" labelOnly="1" outline="0" fieldPosition="0">
        <references count="2">
          <reference field="2" count="2">
            <x v="71"/>
            <x v="465"/>
          </reference>
          <reference field="10" count="1" selected="0">
            <x v="442"/>
          </reference>
        </references>
      </pivotArea>
    </format>
    <format dxfId="972">
      <pivotArea dataOnly="0" labelOnly="1" outline="0" fieldPosition="0">
        <references count="2">
          <reference field="2" count="1">
            <x v="7"/>
          </reference>
          <reference field="10" count="1" selected="0">
            <x v="444"/>
          </reference>
        </references>
      </pivotArea>
    </format>
    <format dxfId="973">
      <pivotArea dataOnly="0" labelOnly="1" outline="0" fieldPosition="0">
        <references count="2">
          <reference field="2" count="1">
            <x v="57"/>
          </reference>
          <reference field="10" count="1" selected="0">
            <x v="445"/>
          </reference>
        </references>
      </pivotArea>
    </format>
    <format dxfId="974">
      <pivotArea dataOnly="0" labelOnly="1" outline="0" fieldPosition="0">
        <references count="2">
          <reference field="2" count="1">
            <x v="444"/>
          </reference>
          <reference field="10" count="1" selected="0">
            <x v="446"/>
          </reference>
        </references>
      </pivotArea>
    </format>
    <format dxfId="975">
      <pivotArea dataOnly="0" labelOnly="1" outline="0" fieldPosition="0">
        <references count="2">
          <reference field="2" count="1">
            <x v="642"/>
          </reference>
          <reference field="10" count="1" selected="0">
            <x v="447"/>
          </reference>
        </references>
      </pivotArea>
    </format>
    <format dxfId="976">
      <pivotArea dataOnly="0" labelOnly="1" outline="0" fieldPosition="0">
        <references count="2">
          <reference field="2" count="1">
            <x v="618"/>
          </reference>
          <reference field="10" count="1" selected="0">
            <x v="448"/>
          </reference>
        </references>
      </pivotArea>
    </format>
    <format dxfId="977">
      <pivotArea dataOnly="0" labelOnly="1" outline="0" fieldPosition="0">
        <references count="2">
          <reference field="2" count="2">
            <x v="221"/>
            <x v="387"/>
          </reference>
          <reference field="10" count="1" selected="0">
            <x v="449"/>
          </reference>
        </references>
      </pivotArea>
    </format>
    <format dxfId="978">
      <pivotArea dataOnly="0" labelOnly="1" outline="0" fieldPosition="0">
        <references count="2">
          <reference field="2" count="1">
            <x v="20"/>
          </reference>
          <reference field="10" count="1" selected="0">
            <x v="451"/>
          </reference>
        </references>
      </pivotArea>
    </format>
    <format dxfId="979">
      <pivotArea dataOnly="0" labelOnly="1" outline="0" fieldPosition="0">
        <references count="2">
          <reference field="2" count="1">
            <x v="413"/>
          </reference>
          <reference field="10" count="1" selected="0">
            <x v="452"/>
          </reference>
        </references>
      </pivotArea>
    </format>
    <format dxfId="980">
      <pivotArea dataOnly="0" labelOnly="1" outline="0" fieldPosition="0">
        <references count="2">
          <reference field="2" count="1">
            <x v="191"/>
          </reference>
          <reference field="10" count="1" selected="0">
            <x v="453"/>
          </reference>
        </references>
      </pivotArea>
    </format>
    <format dxfId="981">
      <pivotArea dataOnly="0" labelOnly="1" outline="0" fieldPosition="0">
        <references count="2">
          <reference field="2" count="1">
            <x v="416"/>
          </reference>
          <reference field="10" count="1" selected="0">
            <x v="454"/>
          </reference>
        </references>
      </pivotArea>
    </format>
    <format dxfId="982">
      <pivotArea dataOnly="0" labelOnly="1" outline="0" fieldPosition="0">
        <references count="2">
          <reference field="2" count="1">
            <x v="124"/>
          </reference>
          <reference field="10" count="1" selected="0">
            <x v="455"/>
          </reference>
        </references>
      </pivotArea>
    </format>
    <format dxfId="983">
      <pivotArea dataOnly="0" labelOnly="1" outline="0" fieldPosition="0">
        <references count="2">
          <reference field="2" count="1">
            <x v="487"/>
          </reference>
          <reference field="10" count="1" selected="0">
            <x v="456"/>
          </reference>
        </references>
      </pivotArea>
    </format>
    <format dxfId="984">
      <pivotArea dataOnly="0" labelOnly="1" outline="0" fieldPosition="0">
        <references count="2">
          <reference field="2" count="1">
            <x v="324"/>
          </reference>
          <reference field="10" count="1" selected="0">
            <x v="457"/>
          </reference>
        </references>
      </pivotArea>
    </format>
    <format dxfId="985">
      <pivotArea dataOnly="0" labelOnly="1" outline="0" fieldPosition="0">
        <references count="2">
          <reference field="2" count="1">
            <x v="299"/>
          </reference>
          <reference field="10" count="1" selected="0">
            <x v="458"/>
          </reference>
        </references>
      </pivotArea>
    </format>
    <format dxfId="986">
      <pivotArea dataOnly="0" labelOnly="1" outline="0" fieldPosition="0">
        <references count="2">
          <reference field="2" count="1">
            <x v="131"/>
          </reference>
          <reference field="10" count="1" selected="0">
            <x v="459"/>
          </reference>
        </references>
      </pivotArea>
    </format>
    <format dxfId="987">
      <pivotArea dataOnly="0" labelOnly="1" outline="0" fieldPosition="0">
        <references count="2">
          <reference field="2" count="1">
            <x v="399"/>
          </reference>
          <reference field="10" count="1" selected="0">
            <x v="460"/>
          </reference>
        </references>
      </pivotArea>
    </format>
    <format dxfId="988">
      <pivotArea dataOnly="0" labelOnly="1" outline="0" fieldPosition="0">
        <references count="2">
          <reference field="2" count="3">
            <x v="143"/>
            <x v="400"/>
            <x v="661"/>
          </reference>
          <reference field="10" count="1" selected="0">
            <x v="463"/>
          </reference>
        </references>
      </pivotArea>
    </format>
    <format dxfId="989">
      <pivotArea dataOnly="0" labelOnly="1" outline="0" fieldPosition="0">
        <references count="2">
          <reference field="2" count="1">
            <x v="38"/>
          </reference>
          <reference field="10" count="1" selected="0">
            <x v="464"/>
          </reference>
        </references>
      </pivotArea>
    </format>
    <format dxfId="990">
      <pivotArea dataOnly="0" labelOnly="1" outline="0" fieldPosition="0">
        <references count="2">
          <reference field="2" count="2">
            <x v="322"/>
            <x v="323"/>
          </reference>
          <reference field="10" count="1" selected="0">
            <x v="467"/>
          </reference>
        </references>
      </pivotArea>
    </format>
    <format dxfId="991">
      <pivotArea dataOnly="0" labelOnly="1" outline="0" fieldPosition="0">
        <references count="2">
          <reference field="2" count="1">
            <x v="108"/>
          </reference>
          <reference field="10" count="1" selected="0">
            <x v="468"/>
          </reference>
        </references>
      </pivotArea>
    </format>
    <format dxfId="992">
      <pivotArea dataOnly="0" labelOnly="1" outline="0" fieldPosition="0">
        <references count="2">
          <reference field="2" count="1">
            <x v="406"/>
          </reference>
          <reference field="10" count="1" selected="0">
            <x v="469"/>
          </reference>
        </references>
      </pivotArea>
    </format>
    <format dxfId="993">
      <pivotArea dataOnly="0" labelOnly="1" outline="0" fieldPosition="0">
        <references count="2">
          <reference field="2" count="4">
            <x v="167"/>
            <x v="168"/>
            <x v="169"/>
            <x v="170"/>
          </reference>
          <reference field="10" count="1" selected="0">
            <x v="470"/>
          </reference>
        </references>
      </pivotArea>
    </format>
    <format dxfId="994">
      <pivotArea dataOnly="0" labelOnly="1" outline="0" fieldPosition="0">
        <references count="2">
          <reference field="2" count="2">
            <x v="304"/>
            <x v="621"/>
          </reference>
          <reference field="10" count="1" selected="0">
            <x v="472"/>
          </reference>
        </references>
      </pivotArea>
    </format>
    <format dxfId="995">
      <pivotArea dataOnly="0" labelOnly="1" outline="0" fieldPosition="0">
        <references count="2">
          <reference field="2" count="1">
            <x v="217"/>
          </reference>
          <reference field="10" count="1" selected="0">
            <x v="475"/>
          </reference>
        </references>
      </pivotArea>
    </format>
    <format dxfId="996">
      <pivotArea dataOnly="0" labelOnly="1" outline="0" fieldPosition="0">
        <references count="2">
          <reference field="2" count="1">
            <x v="241"/>
          </reference>
          <reference field="10" count="1" selected="0">
            <x v="479"/>
          </reference>
        </references>
      </pivotArea>
    </format>
    <format dxfId="997">
      <pivotArea dataOnly="0" labelOnly="1" outline="0" fieldPosition="0">
        <references count="2">
          <reference field="2" count="2">
            <x v="15"/>
            <x v="233"/>
          </reference>
          <reference field="10" count="1" selected="0">
            <x v="481"/>
          </reference>
        </references>
      </pivotArea>
    </format>
    <format dxfId="998">
      <pivotArea dataOnly="0" labelOnly="1" outline="0" fieldPosition="0">
        <references count="2">
          <reference field="2" count="1">
            <x v="96"/>
          </reference>
          <reference field="10" count="1" selected="0">
            <x v="482"/>
          </reference>
        </references>
      </pivotArea>
    </format>
    <format dxfId="999">
      <pivotArea dataOnly="0" labelOnly="1" outline="0" fieldPosition="0">
        <references count="2">
          <reference field="2" count="1">
            <x v="407"/>
          </reference>
          <reference field="10" count="1" selected="0">
            <x v="483"/>
          </reference>
        </references>
      </pivotArea>
    </format>
    <format dxfId="1000">
      <pivotArea dataOnly="0" labelOnly="1" outline="0" fieldPosition="0">
        <references count="2">
          <reference field="2" count="3">
            <x v="309"/>
            <x v="310"/>
            <x v="641"/>
          </reference>
          <reference field="10" count="1" selected="0">
            <x v="484"/>
          </reference>
        </references>
      </pivotArea>
    </format>
    <format dxfId="1001">
      <pivotArea dataOnly="0" labelOnly="1" outline="0" fieldPosition="0">
        <references count="2">
          <reference field="2" count="1">
            <x v="148"/>
          </reference>
          <reference field="10" count="1" selected="0">
            <x v="485"/>
          </reference>
        </references>
      </pivotArea>
    </format>
    <format dxfId="1002">
      <pivotArea dataOnly="0" labelOnly="1" outline="0" fieldPosition="0">
        <references count="2">
          <reference field="2" count="1">
            <x v="207"/>
          </reference>
          <reference field="10" count="1" selected="0">
            <x v="486"/>
          </reference>
        </references>
      </pivotArea>
    </format>
    <format dxfId="1003">
      <pivotArea dataOnly="0" labelOnly="1" outline="0" fieldPosition="0">
        <references count="2">
          <reference field="2" count="1">
            <x v="277"/>
          </reference>
          <reference field="10" count="1" selected="0">
            <x v="487"/>
          </reference>
        </references>
      </pivotArea>
    </format>
    <format dxfId="1004">
      <pivotArea dataOnly="0" labelOnly="1" outline="0" fieldPosition="0">
        <references count="2">
          <reference field="2" count="2">
            <x v="545"/>
            <x v="667"/>
          </reference>
          <reference field="10" count="1" selected="0">
            <x v="488"/>
          </reference>
        </references>
      </pivotArea>
    </format>
    <format dxfId="1005">
      <pivotArea dataOnly="0" labelOnly="1" outline="0" fieldPosition="0">
        <references count="2">
          <reference field="2" count="2">
            <x v="48"/>
            <x v="50"/>
          </reference>
          <reference field="10" count="1" selected="0">
            <x v="489"/>
          </reference>
        </references>
      </pivotArea>
    </format>
    <format dxfId="1006">
      <pivotArea dataOnly="0" labelOnly="1" outline="0" fieldPosition="0">
        <references count="2">
          <reference field="2" count="2">
            <x v="215"/>
            <x v="216"/>
          </reference>
          <reference field="10" count="1" selected="0">
            <x v="490"/>
          </reference>
        </references>
      </pivotArea>
    </format>
    <format dxfId="1007">
      <pivotArea dataOnly="0" labelOnly="1" outline="0" fieldPosition="0">
        <references count="2">
          <reference field="2" count="2">
            <x v="471"/>
            <x v="529"/>
          </reference>
          <reference field="10" count="1" selected="0">
            <x v="493"/>
          </reference>
        </references>
      </pivotArea>
    </format>
    <format dxfId="1008">
      <pivotArea dataOnly="0" labelOnly="1" outline="0" fieldPosition="0">
        <references count="2">
          <reference field="2" count="2">
            <x v="301"/>
            <x v="526"/>
          </reference>
          <reference field="10" count="1" selected="0">
            <x v="494"/>
          </reference>
        </references>
      </pivotArea>
    </format>
    <format dxfId="1009">
      <pivotArea dataOnly="0" labelOnly="1" outline="0" fieldPosition="0">
        <references count="2">
          <reference field="2" count="2">
            <x v="174"/>
            <x v="438"/>
          </reference>
          <reference field="10" count="1" selected="0">
            <x v="495"/>
          </reference>
        </references>
      </pivotArea>
    </format>
    <format dxfId="1010">
      <pivotArea dataOnly="0" labelOnly="1" outline="0" fieldPosition="0">
        <references count="2">
          <reference field="2" count="1">
            <x v="516"/>
          </reference>
          <reference field="10" count="1" selected="0">
            <x v="496"/>
          </reference>
        </references>
      </pivotArea>
    </format>
    <format dxfId="1011">
      <pivotArea dataOnly="0" labelOnly="1" outline="0" fieldPosition="0">
        <references count="2">
          <reference field="2" count="2">
            <x v="505"/>
            <x v="506"/>
          </reference>
          <reference field="10" count="1" selected="0">
            <x v="497"/>
          </reference>
        </references>
      </pivotArea>
    </format>
    <format dxfId="1012">
      <pivotArea dataOnly="0" labelOnly="1" outline="0" fieldPosition="0">
        <references count="2">
          <reference field="2" count="1">
            <x v="664"/>
          </reference>
          <reference field="10" count="1" selected="0">
            <x v="498"/>
          </reference>
        </references>
      </pivotArea>
    </format>
    <format dxfId="1013">
      <pivotArea dataOnly="0" labelOnly="1" outline="0" fieldPosition="0">
        <references count="2">
          <reference field="2" count="1">
            <x v="185"/>
          </reference>
          <reference field="10" count="1" selected="0">
            <x v="499"/>
          </reference>
        </references>
      </pivotArea>
    </format>
    <format dxfId="1014">
      <pivotArea dataOnly="0" labelOnly="1" outline="0" fieldPosition="0">
        <references count="2">
          <reference field="2" count="1">
            <x v="234"/>
          </reference>
          <reference field="10" count="1" selected="0">
            <x v="500"/>
          </reference>
        </references>
      </pivotArea>
    </format>
    <format dxfId="1015">
      <pivotArea dataOnly="0" labelOnly="1" outline="0" fieldPosition="0">
        <references count="2">
          <reference field="2" count="1">
            <x v="171"/>
          </reference>
          <reference field="10" count="1" selected="0">
            <x v="501"/>
          </reference>
        </references>
      </pivotArea>
    </format>
    <format dxfId="1016">
      <pivotArea dataOnly="0" labelOnly="1" outline="0" fieldPosition="0">
        <references count="2">
          <reference field="2" count="1">
            <x v="478"/>
          </reference>
          <reference field="10" count="1" selected="0">
            <x v="502"/>
          </reference>
        </references>
      </pivotArea>
    </format>
    <format dxfId="1017">
      <pivotArea dataOnly="0" labelOnly="1" outline="0" fieldPosition="0">
        <references count="2">
          <reference field="2" count="1">
            <x v="565"/>
          </reference>
          <reference field="10" count="1" selected="0">
            <x v="503"/>
          </reference>
        </references>
      </pivotArea>
    </format>
    <format dxfId="1018">
      <pivotArea dataOnly="0" labelOnly="1" outline="0" fieldPosition="0">
        <references count="2">
          <reference field="2" count="1">
            <x v="137"/>
          </reference>
          <reference field="10" count="1" selected="0">
            <x v="504"/>
          </reference>
        </references>
      </pivotArea>
    </format>
    <format dxfId="1019">
      <pivotArea dataOnly="0" labelOnly="1" outline="0" fieldPosition="0">
        <references count="2">
          <reference field="2" count="2">
            <x v="156"/>
            <x v="504"/>
          </reference>
          <reference field="10" count="1" selected="0">
            <x v="506"/>
          </reference>
        </references>
      </pivotArea>
    </format>
    <format dxfId="1020">
      <pivotArea dataOnly="0" labelOnly="1" outline="0" fieldPosition="0">
        <references count="2">
          <reference field="2" count="2">
            <x v="357"/>
            <x v="366"/>
          </reference>
          <reference field="10" count="1" selected="0">
            <x v="507"/>
          </reference>
        </references>
      </pivotArea>
    </format>
    <format dxfId="1021">
      <pivotArea dataOnly="0" labelOnly="1" outline="0" fieldPosition="0">
        <references count="2">
          <reference field="2" count="1">
            <x v="635"/>
          </reference>
          <reference field="10" count="1" selected="0">
            <x v="508"/>
          </reference>
        </references>
      </pivotArea>
    </format>
    <format dxfId="1022">
      <pivotArea dataOnly="0" labelOnly="1" outline="0" fieldPosition="0">
        <references count="2">
          <reference field="2" count="1">
            <x v="509"/>
          </reference>
          <reference field="10" count="1" selected="0">
            <x v="510"/>
          </reference>
        </references>
      </pivotArea>
    </format>
    <format dxfId="1023">
      <pivotArea dataOnly="0" labelOnly="1" outline="0" fieldPosition="0">
        <references count="2">
          <reference field="2" count="8">
            <x v="138"/>
            <x v="223"/>
            <x v="392"/>
            <x v="393"/>
            <x v="436"/>
            <x v="437"/>
            <x v="441"/>
            <x v="596"/>
          </reference>
          <reference field="10" count="1" selected="0">
            <x v="513"/>
          </reference>
        </references>
      </pivotArea>
    </format>
    <format dxfId="1024">
      <pivotArea dataOnly="0" labelOnly="1" outline="0" fieldPosition="0">
        <references count="2">
          <reference field="2" count="2">
            <x v="208"/>
            <x v="403"/>
          </reference>
          <reference field="10" count="1" selected="0">
            <x v="515"/>
          </reference>
        </references>
      </pivotArea>
    </format>
    <format dxfId="1025">
      <pivotArea dataOnly="0" labelOnly="1" outline="0" fieldPosition="0">
        <references count="2">
          <reference field="2" count="2">
            <x v="374"/>
            <x v="375"/>
          </reference>
          <reference field="10" count="1" selected="0">
            <x v="516"/>
          </reference>
        </references>
      </pivotArea>
    </format>
    <format dxfId="1026">
      <pivotArea dataOnly="0" labelOnly="1" outline="0" fieldPosition="0">
        <references count="2">
          <reference field="2" count="3">
            <x v="488"/>
            <x v="491"/>
            <x v="626"/>
          </reference>
          <reference field="10" count="1" selected="0">
            <x v="517"/>
          </reference>
        </references>
      </pivotArea>
    </format>
    <format dxfId="1027">
      <pivotArea dataOnly="0" labelOnly="1" outline="0" fieldPosition="0">
        <references count="2">
          <reference field="2" count="1">
            <x v="200"/>
          </reference>
          <reference field="10" count="1" selected="0">
            <x v="518"/>
          </reference>
        </references>
      </pivotArea>
    </format>
    <format dxfId="1028">
      <pivotArea dataOnly="0" labelOnly="1" outline="0" fieldPosition="0">
        <references count="2">
          <reference field="2" count="2">
            <x v="144"/>
            <x v="145"/>
          </reference>
          <reference field="10" count="1" selected="0">
            <x v="519"/>
          </reference>
        </references>
      </pivotArea>
    </format>
    <format dxfId="1029">
      <pivotArea dataOnly="0" labelOnly="1" outline="0" fieldPosition="0">
        <references count="2">
          <reference field="2" count="1">
            <x v="389"/>
          </reference>
          <reference field="10" count="1" selected="0">
            <x v="520"/>
          </reference>
        </references>
      </pivotArea>
    </format>
    <format dxfId="1030">
      <pivotArea dataOnly="0" labelOnly="1" outline="0" fieldPosition="0">
        <references count="2">
          <reference field="2" count="1">
            <x v="623"/>
          </reference>
          <reference field="10" count="1" selected="0">
            <x v="521"/>
          </reference>
        </references>
      </pivotArea>
    </format>
    <format dxfId="1031">
      <pivotArea dataOnly="0" labelOnly="1" outline="0" fieldPosition="0">
        <references count="2">
          <reference field="2" count="2">
            <x v="469"/>
            <x v="479"/>
          </reference>
          <reference field="10" count="1" selected="0">
            <x v="522"/>
          </reference>
        </references>
      </pivotArea>
    </format>
    <format dxfId="1032">
      <pivotArea dataOnly="0" labelOnly="1" outline="0" fieldPosition="0">
        <references count="2">
          <reference field="2" count="3">
            <x v="35"/>
            <x v="37"/>
            <x v="446"/>
          </reference>
          <reference field="10" count="1" selected="0">
            <x v="523"/>
          </reference>
        </references>
      </pivotArea>
    </format>
    <format dxfId="1033">
      <pivotArea dataOnly="0" labelOnly="1" outline="0" fieldPosition="0">
        <references count="2">
          <reference field="2" count="1">
            <x v="149"/>
          </reference>
          <reference field="10" count="1" selected="0">
            <x v="524"/>
          </reference>
        </references>
      </pivotArea>
    </format>
    <format dxfId="1034">
      <pivotArea dataOnly="0" labelOnly="1" outline="0" fieldPosition="0">
        <references count="2">
          <reference field="2" count="1">
            <x v="302"/>
          </reference>
          <reference field="10" count="1" selected="0">
            <x v="525"/>
          </reference>
        </references>
      </pivotArea>
    </format>
    <format dxfId="1035">
      <pivotArea dataOnly="0" labelOnly="1" outline="0" fieldPosition="0">
        <references count="2">
          <reference field="2" count="1">
            <x v="64"/>
          </reference>
          <reference field="10" count="1" selected="0">
            <x v="526"/>
          </reference>
        </references>
      </pivotArea>
    </format>
    <format dxfId="1036">
      <pivotArea dataOnly="0" labelOnly="1" outline="0" fieldPosition="0">
        <references count="2">
          <reference field="2" count="1">
            <x v="157"/>
          </reference>
          <reference field="10" count="1" selected="0">
            <x v="527"/>
          </reference>
        </references>
      </pivotArea>
    </format>
    <format dxfId="1037">
      <pivotArea dataOnly="0" labelOnly="1" outline="0" fieldPosition="0">
        <references count="2">
          <reference field="2" count="1">
            <x v="408"/>
          </reference>
          <reference field="10" count="1" selected="0">
            <x v="528"/>
          </reference>
        </references>
      </pivotArea>
    </format>
    <format dxfId="1038">
      <pivotArea dataOnly="0" labelOnly="1" outline="0" fieldPosition="0">
        <references count="2">
          <reference field="2" count="1">
            <x v="364"/>
          </reference>
          <reference field="10" count="1" selected="0">
            <x v="529"/>
          </reference>
        </references>
      </pivotArea>
    </format>
    <format dxfId="1039">
      <pivotArea dataOnly="0" labelOnly="1" outline="0" fieldPosition="0">
        <references count="2">
          <reference field="2" count="2">
            <x v="269"/>
            <x v="270"/>
          </reference>
          <reference field="10" count="1" selected="0">
            <x v="530"/>
          </reference>
        </references>
      </pivotArea>
    </format>
    <format dxfId="1040">
      <pivotArea dataOnly="0" labelOnly="1" outline="0" fieldPosition="0">
        <references count="2">
          <reference field="2" count="1">
            <x v="450"/>
          </reference>
          <reference field="10" count="1" selected="0">
            <x v="532"/>
          </reference>
        </references>
      </pivotArea>
    </format>
    <format dxfId="1041">
      <pivotArea dataOnly="0" labelOnly="1" outline="0" fieldPosition="0">
        <references count="2">
          <reference field="2" count="5">
            <x v="235"/>
            <x v="429"/>
            <x v="507"/>
            <x v="639"/>
            <x v="640"/>
          </reference>
          <reference field="10" count="1" selected="0">
            <x v="533"/>
          </reference>
        </references>
      </pivotArea>
    </format>
    <format dxfId="1042">
      <pivotArea dataOnly="0" labelOnly="1" outline="0" fieldPosition="0">
        <references count="2">
          <reference field="2" count="1">
            <x v="380"/>
          </reference>
          <reference field="10" count="1" selected="0">
            <x v="534"/>
          </reference>
        </references>
      </pivotArea>
    </format>
    <format dxfId="1043">
      <pivotArea dataOnly="0" labelOnly="1" outline="0" fieldPosition="0">
        <references count="2">
          <reference field="2" count="1">
            <x v="292"/>
          </reference>
          <reference field="10" count="1" selected="0">
            <x v="535"/>
          </reference>
        </references>
      </pivotArea>
    </format>
    <format dxfId="1044">
      <pivotArea dataOnly="0" labelOnly="1" outline="0" fieldPosition="0">
        <references count="2">
          <reference field="2" count="1">
            <x v="69"/>
          </reference>
          <reference field="10" count="1" selected="0">
            <x v="536"/>
          </reference>
        </references>
      </pivotArea>
    </format>
    <format dxfId="1045">
      <pivotArea dataOnly="0" labelOnly="1" outline="0" fieldPosition="0">
        <references count="2">
          <reference field="2" count="1">
            <x v="578"/>
          </reference>
          <reference field="10" count="1" selected="0">
            <x v="537"/>
          </reference>
        </references>
      </pivotArea>
    </format>
    <format dxfId="1046">
      <pivotArea dataOnly="0" labelOnly="1" outline="0" fieldPosition="0">
        <references count="2">
          <reference field="2" count="1">
            <x v="188"/>
          </reference>
          <reference field="10" count="1" selected="0">
            <x v="538"/>
          </reference>
        </references>
      </pivotArea>
    </format>
    <format dxfId="1047">
      <pivotArea dataOnly="0" labelOnly="1" outline="0" fieldPosition="0">
        <references count="2">
          <reference field="2" count="1">
            <x v="422"/>
          </reference>
          <reference field="10" count="1" selected="0">
            <x v="539"/>
          </reference>
        </references>
      </pivotArea>
    </format>
    <format dxfId="1048">
      <pivotArea dataOnly="0" labelOnly="1" outline="0" fieldPosition="0">
        <references count="2">
          <reference field="2" count="1">
            <x v="344"/>
          </reference>
          <reference field="10" count="1" selected="0">
            <x v="540"/>
          </reference>
        </references>
      </pivotArea>
    </format>
    <format dxfId="1049">
      <pivotArea dataOnly="0" labelOnly="1" outline="0" fieldPosition="0">
        <references count="2">
          <reference field="2" count="1">
            <x v="19"/>
          </reference>
          <reference field="10" count="1" selected="0">
            <x v="542"/>
          </reference>
        </references>
      </pivotArea>
    </format>
    <format dxfId="1050">
      <pivotArea dataOnly="0" labelOnly="1" outline="0" fieldPosition="0">
        <references count="2">
          <reference field="2" count="1">
            <x v="485"/>
          </reference>
          <reference field="10" count="1" selected="0">
            <x v="546"/>
          </reference>
        </references>
      </pivotArea>
    </format>
    <format dxfId="1051">
      <pivotArea dataOnly="0" labelOnly="1" outline="0" fieldPosition="0">
        <references count="2">
          <reference field="2" count="1">
            <x v="368"/>
          </reference>
          <reference field="10" count="1" selected="0">
            <x v="547"/>
          </reference>
        </references>
      </pivotArea>
    </format>
    <format dxfId="1052">
      <pivotArea dataOnly="0" labelOnly="1" outline="0" fieldPosition="0">
        <references count="2">
          <reference field="2" count="1">
            <x v="589"/>
          </reference>
          <reference field="10" count="1" selected="0">
            <x v="548"/>
          </reference>
        </references>
      </pivotArea>
    </format>
    <format dxfId="1053">
      <pivotArea field="20" type="button" dataOnly="0" labelOnly="1" outline="0" axis="axisPage" fieldPosition="0"/>
    </format>
    <format dxfId="1054">
      <pivotArea field="10" type="button" dataOnly="0" labelOnly="1" outline="0" axis="axisRow" fieldPosition="0"/>
    </format>
    <format dxfId="1055">
      <pivotArea dataOnly="0" labelOnly="1" outline="0" fieldPosition="0">
        <references count="1">
          <reference field="10" count="1">
            <x v="16"/>
          </reference>
        </references>
      </pivotArea>
    </format>
    <format dxfId="1056">
      <pivotArea dataOnly="0" labelOnly="1" outline="0" fieldPosition="0">
        <references count="1">
          <reference field="10" count="1" defaultSubtotal="1">
            <x v="16"/>
          </reference>
        </references>
      </pivotArea>
    </format>
    <format dxfId="1057">
      <pivotArea dataOnly="0" labelOnly="1" outline="0" fieldPosition="0">
        <references count="1">
          <reference field="10" count="1">
            <x v="30"/>
          </reference>
        </references>
      </pivotArea>
    </format>
    <format dxfId="1058">
      <pivotArea dataOnly="0" labelOnly="1" outline="0" fieldPosition="0">
        <references count="1">
          <reference field="10" count="1" defaultSubtotal="1">
            <x v="30"/>
          </reference>
        </references>
      </pivotArea>
    </format>
    <format dxfId="1059">
      <pivotArea dataOnly="0" labelOnly="1" outline="0" fieldPosition="0">
        <references count="1">
          <reference field="10" count="1">
            <x v="56"/>
          </reference>
        </references>
      </pivotArea>
    </format>
    <format dxfId="1060">
      <pivotArea dataOnly="0" labelOnly="1" outline="0" fieldPosition="0">
        <references count="1">
          <reference field="10" count="1" defaultSubtotal="1">
            <x v="56"/>
          </reference>
        </references>
      </pivotArea>
    </format>
    <format dxfId="1061">
      <pivotArea dataOnly="0" labelOnly="1" outline="0" fieldPosition="0">
        <references count="1">
          <reference field="10" count="1">
            <x v="69"/>
          </reference>
        </references>
      </pivotArea>
    </format>
    <format dxfId="1062">
      <pivotArea dataOnly="0" labelOnly="1" outline="0" fieldPosition="0">
        <references count="1">
          <reference field="10" count="1" defaultSubtotal="1">
            <x v="69"/>
          </reference>
        </references>
      </pivotArea>
    </format>
    <format dxfId="1063">
      <pivotArea dataOnly="0" labelOnly="1" outline="0" fieldPosition="0">
        <references count="1">
          <reference field="10" count="1">
            <x v="155"/>
          </reference>
        </references>
      </pivotArea>
    </format>
    <format dxfId="1064">
      <pivotArea dataOnly="0" labelOnly="1" outline="0" fieldPosition="0">
        <references count="1">
          <reference field="10" count="1" defaultSubtotal="1">
            <x v="155"/>
          </reference>
        </references>
      </pivotArea>
    </format>
    <format dxfId="1065">
      <pivotArea dataOnly="0" labelOnly="1" outline="0" fieldPosition="0">
        <references count="1">
          <reference field="10" count="1">
            <x v="184"/>
          </reference>
        </references>
      </pivotArea>
    </format>
    <format dxfId="1066">
      <pivotArea dataOnly="0" labelOnly="1" outline="0" fieldPosition="0">
        <references count="1">
          <reference field="10" count="1" defaultSubtotal="1">
            <x v="184"/>
          </reference>
        </references>
      </pivotArea>
    </format>
    <format dxfId="1067">
      <pivotArea dataOnly="0" labelOnly="1" outline="0" fieldPosition="0">
        <references count="1">
          <reference field="10" count="1">
            <x v="185"/>
          </reference>
        </references>
      </pivotArea>
    </format>
    <format dxfId="1068">
      <pivotArea dataOnly="0" labelOnly="1" outline="0" fieldPosition="0">
        <references count="1">
          <reference field="10" count="1" defaultSubtotal="1">
            <x v="185"/>
          </reference>
        </references>
      </pivotArea>
    </format>
    <format dxfId="1069">
      <pivotArea dataOnly="0" labelOnly="1" outline="0" fieldPosition="0">
        <references count="1">
          <reference field="10" count="1">
            <x v="216"/>
          </reference>
        </references>
      </pivotArea>
    </format>
    <format dxfId="1070">
      <pivotArea dataOnly="0" labelOnly="1" outline="0" fieldPosition="0">
        <references count="1">
          <reference field="10" count="1" defaultSubtotal="1">
            <x v="216"/>
          </reference>
        </references>
      </pivotArea>
    </format>
    <format dxfId="1071">
      <pivotArea dataOnly="0" labelOnly="1" outline="0" fieldPosition="0">
        <references count="1">
          <reference field="10" count="1">
            <x v="235"/>
          </reference>
        </references>
      </pivotArea>
    </format>
    <format dxfId="1072">
      <pivotArea dataOnly="0" labelOnly="1" outline="0" fieldPosition="0">
        <references count="1">
          <reference field="10" count="1" defaultSubtotal="1">
            <x v="235"/>
          </reference>
        </references>
      </pivotArea>
    </format>
    <format dxfId="1073">
      <pivotArea dataOnly="0" labelOnly="1" outline="0" fieldPosition="0">
        <references count="1">
          <reference field="10" count="1">
            <x v="279"/>
          </reference>
        </references>
      </pivotArea>
    </format>
    <format dxfId="1074">
      <pivotArea dataOnly="0" labelOnly="1" outline="0" fieldPosition="0">
        <references count="1">
          <reference field="10" count="1" defaultSubtotal="1">
            <x v="279"/>
          </reference>
        </references>
      </pivotArea>
    </format>
    <format dxfId="1075">
      <pivotArea dataOnly="0" labelOnly="1" outline="0" fieldPosition="0">
        <references count="1">
          <reference field="10" count="1">
            <x v="298"/>
          </reference>
        </references>
      </pivotArea>
    </format>
    <format dxfId="1076">
      <pivotArea dataOnly="0" labelOnly="1" outline="0" fieldPosition="0">
        <references count="1">
          <reference field="10" count="1" defaultSubtotal="1">
            <x v="298"/>
          </reference>
        </references>
      </pivotArea>
    </format>
    <format dxfId="1077">
      <pivotArea dataOnly="0" labelOnly="1" outline="0" fieldPosition="0">
        <references count="1">
          <reference field="10" count="1">
            <x v="309"/>
          </reference>
        </references>
      </pivotArea>
    </format>
    <format dxfId="1078">
      <pivotArea dataOnly="0" labelOnly="1" outline="0" fieldPosition="0">
        <references count="1">
          <reference field="10" count="1" defaultSubtotal="1">
            <x v="309"/>
          </reference>
        </references>
      </pivotArea>
    </format>
    <format dxfId="1079">
      <pivotArea dataOnly="0" labelOnly="1" outline="0" fieldPosition="0">
        <references count="1">
          <reference field="10" count="1">
            <x v="371"/>
          </reference>
        </references>
      </pivotArea>
    </format>
    <format dxfId="1080">
      <pivotArea dataOnly="0" labelOnly="1" outline="0" fieldPosition="0">
        <references count="1">
          <reference field="10" count="1" defaultSubtotal="1">
            <x v="371"/>
          </reference>
        </references>
      </pivotArea>
    </format>
    <format dxfId="1081">
      <pivotArea dataOnly="0" labelOnly="1" outline="0" fieldPosition="0">
        <references count="1">
          <reference field="10" count="1">
            <x v="484"/>
          </reference>
        </references>
      </pivotArea>
    </format>
    <format dxfId="1082">
      <pivotArea dataOnly="0" labelOnly="1" outline="0" fieldPosition="0">
        <references count="1">
          <reference field="10" count="1" defaultSubtotal="1">
            <x v="484"/>
          </reference>
        </references>
      </pivotArea>
    </format>
    <format dxfId="108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639E0-31E4-419C-B3F0-E918C5E331B6}" name="Tabla dinámica6" cacheId="8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324" firstHeaderRow="0" firstDataRow="1" firstDataCol="2" rowPageCount="1" colPageCount="1"/>
  <pivotFields count="24">
    <pivotField compact="0" outline="0" showAll="0"/>
    <pivotField compact="0" outline="0" showAll="0"/>
    <pivotField axis="axisRow" compact="0" outline="0" showAll="0">
      <items count="3480">
        <item m="1" x="1942"/>
        <item m="1" x="1943"/>
        <item m="1" x="1944"/>
        <item m="1" x="1945"/>
        <item m="1" x="1946"/>
        <item m="1" x="3415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3416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3417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3418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341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3420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3421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3422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3423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3424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3425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3426"/>
        <item m="1" x="3427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3428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3429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3430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3431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3432"/>
        <item m="1" x="2369"/>
        <item m="1" x="2370"/>
        <item m="1" x="2371"/>
        <item m="1" x="3433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3434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3435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3477"/>
        <item m="1" x="3478"/>
        <item m="1" x="2478"/>
        <item m="1" x="2479"/>
        <item m="1" x="2480"/>
        <item m="1" x="2481"/>
        <item m="1" x="2482"/>
        <item m="1" x="2483"/>
        <item m="1" x="2484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3436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3437"/>
        <item m="1" x="2629"/>
        <item m="1" x="2630"/>
        <item m="1" x="2631"/>
        <item m="1" x="2632"/>
        <item m="1" x="2633"/>
        <item m="1" x="2634"/>
        <item m="1" x="2635"/>
        <item m="1" x="2636"/>
        <item m="1" x="3438"/>
        <item m="1" x="2637"/>
        <item m="1" x="2638"/>
        <item m="1" x="2639"/>
        <item m="1" x="2640"/>
        <item m="1" x="2641"/>
        <item m="1" x="3439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3440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3441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3442"/>
        <item m="1" x="2811"/>
        <item m="1" x="2812"/>
        <item m="1" x="3443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344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3445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3446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447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448"/>
        <item m="1" x="3079"/>
        <item m="1" x="3080"/>
        <item m="1" x="3081"/>
        <item m="1" x="3082"/>
        <item m="1" x="3083"/>
        <item m="1" x="3084"/>
        <item m="1" x="3449"/>
        <item m="1" x="3450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451"/>
        <item m="1" x="3127"/>
        <item m="1" x="3128"/>
        <item m="1" x="3129"/>
        <item m="1" x="3130"/>
        <item m="1" x="3131"/>
        <item m="1" x="3132"/>
        <item m="1" x="3133"/>
        <item m="1" x="3134"/>
        <item m="1" x="3452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453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454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45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456"/>
        <item m="1" x="345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458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459"/>
        <item m="1" x="3270"/>
        <item m="1" x="3271"/>
        <item m="1" x="3272"/>
        <item m="1" x="3273"/>
        <item m="1" x="3274"/>
        <item m="1" x="3275"/>
        <item m="1" x="3276"/>
        <item m="1" x="3460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470"/>
        <item m="1" x="3370"/>
        <item m="1" x="1941"/>
        <item m="1" x="3414"/>
        <item m="1" x="3371"/>
        <item m="1" x="3372"/>
        <item m="1" x="3373"/>
        <item m="1" x="3374"/>
        <item m="1" x="3375"/>
        <item m="1" x="3376"/>
        <item m="1" x="3377"/>
        <item m="1" x="3378"/>
        <item m="1" x="3471"/>
        <item m="1" x="3379"/>
        <item m="1" x="3380"/>
        <item m="1" x="3381"/>
        <item m="1" x="3382"/>
        <item m="1" x="3383"/>
        <item m="1" x="3472"/>
        <item m="1" x="3473"/>
        <item m="1" x="3384"/>
        <item m="1" x="3385"/>
        <item m="1" x="3386"/>
        <item m="1" x="3387"/>
        <item m="1" x="3388"/>
        <item m="1" x="3389"/>
        <item m="1" x="3474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75"/>
        <item m="1" x="3404"/>
        <item m="1" x="3405"/>
        <item m="1" x="3406"/>
        <item m="1" x="3407"/>
        <item m="1" x="3408"/>
        <item m="1" x="3409"/>
        <item m="1" x="3410"/>
        <item m="1" x="3476"/>
        <item m="1" x="3411"/>
        <item m="1" x="3412"/>
        <item m="1" x="3413"/>
        <item m="1" x="1940"/>
        <item m="1" x="2477"/>
        <item m="1" x="2485"/>
        <item x="19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2"/>
        <item x="1426"/>
        <item x="1431"/>
        <item x="1435"/>
        <item x="1437"/>
        <item x="1440"/>
        <item x="1448"/>
        <item x="1450"/>
        <item x="1452"/>
        <item x="1454"/>
        <item x="1463"/>
        <item x="1465"/>
        <item x="1467"/>
        <item x="1476"/>
        <item x="1481"/>
        <item x="1482"/>
        <item x="1483"/>
        <item x="1490"/>
        <item x="1502"/>
        <item x="1506"/>
        <item x="1508"/>
        <item x="1421"/>
        <item x="1423"/>
        <item x="1424"/>
        <item x="1425"/>
        <item x="1427"/>
        <item x="1428"/>
        <item x="1429"/>
        <item x="1430"/>
        <item x="1432"/>
        <item x="1433"/>
        <item x="1434"/>
        <item x="1436"/>
        <item x="1438"/>
        <item x="1439"/>
        <item x="1441"/>
        <item x="1442"/>
        <item x="1443"/>
        <item x="1444"/>
        <item x="1445"/>
        <item x="1446"/>
        <item x="1447"/>
        <item x="1449"/>
        <item x="1451"/>
        <item x="1453"/>
        <item x="1455"/>
        <item x="1456"/>
        <item x="1457"/>
        <item x="1458"/>
        <item x="1459"/>
        <item x="1460"/>
        <item x="1461"/>
        <item x="1462"/>
        <item x="1464"/>
        <item x="1466"/>
        <item x="1468"/>
        <item x="1469"/>
        <item x="1470"/>
        <item x="1471"/>
        <item x="1472"/>
        <item x="1473"/>
        <item x="1474"/>
        <item x="1475"/>
        <item x="1477"/>
        <item x="1478"/>
        <item x="1479"/>
        <item x="1480"/>
        <item x="1484"/>
        <item x="1485"/>
        <item x="1486"/>
        <item x="1487"/>
        <item x="1488"/>
        <item x="1489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3"/>
        <item x="1504"/>
        <item x="1505"/>
        <item x="1507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833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80">
        <item x="470"/>
        <item m="1" x="916"/>
        <item m="1" x="956"/>
        <item m="1" x="974"/>
        <item m="1" x="991"/>
        <item x="640"/>
        <item x="381"/>
        <item x="34"/>
        <item x="39"/>
        <item x="245"/>
        <item x="52"/>
        <item m="1" x="835"/>
        <item x="747"/>
        <item x="225"/>
        <item x="645"/>
        <item m="1" x="915"/>
        <item x="508"/>
        <item x="124"/>
        <item m="1" x="888"/>
        <item x="554"/>
        <item x="375"/>
        <item m="1" x="944"/>
        <item m="1" x="861"/>
        <item m="1" x="889"/>
        <item m="1" x="1005"/>
        <item x="695"/>
        <item x="46"/>
        <item x="498"/>
        <item x="620"/>
        <item x="707"/>
        <item m="1" x="1072"/>
        <item m="1" x="866"/>
        <item m="1" x="1003"/>
        <item m="1" x="828"/>
        <item x="252"/>
        <item m="1" x="816"/>
        <item x="50"/>
        <item x="500"/>
        <item m="1" x="811"/>
        <item m="1" x="989"/>
        <item x="409"/>
        <item x="644"/>
        <item x="138"/>
        <item x="14"/>
        <item m="1" x="911"/>
        <item m="1" x="995"/>
        <item x="779"/>
        <item x="31"/>
        <item x="706"/>
        <item x="397"/>
        <item x="488"/>
        <item x="427"/>
        <item x="285"/>
        <item x="331"/>
        <item m="1" x="829"/>
        <item m="1" x="903"/>
        <item x="157"/>
        <item x="141"/>
        <item x="259"/>
        <item m="1" x="957"/>
        <item x="73"/>
        <item m="1" x="870"/>
        <item x="464"/>
        <item x="65"/>
        <item m="1" x="999"/>
        <item x="36"/>
        <item m="1" x="878"/>
        <item m="1" x="950"/>
        <item x="61"/>
        <item x="2"/>
        <item x="667"/>
        <item x="102"/>
        <item x="670"/>
        <item x="567"/>
        <item m="1" x="824"/>
        <item x="721"/>
        <item m="1" x="865"/>
        <item m="1" x="842"/>
        <item m="1" x="1008"/>
        <item m="1" x="847"/>
        <item m="1" x="978"/>
        <item x="0"/>
        <item x="799"/>
        <item x="334"/>
        <item x="67"/>
        <item m="1" x="831"/>
        <item x="668"/>
        <item x="621"/>
        <item m="1" x="971"/>
        <item x="310"/>
        <item m="1" x="886"/>
        <item x="12"/>
        <item x="694"/>
        <item x="107"/>
        <item x="144"/>
        <item x="424"/>
        <item m="1" x="953"/>
        <item m="1" x="1070"/>
        <item m="1" x="823"/>
        <item m="1" x="941"/>
        <item x="64"/>
        <item m="1" x="910"/>
        <item x="794"/>
        <item x="418"/>
        <item x="649"/>
        <item x="286"/>
        <item m="1" x="965"/>
        <item x="224"/>
        <item x="787"/>
        <item x="154"/>
        <item x="358"/>
        <item x="792"/>
        <item m="1" x="1002"/>
        <item x="737"/>
        <item x="560"/>
        <item m="1" x="970"/>
        <item m="1" x="925"/>
        <item m="1" x="985"/>
        <item x="481"/>
        <item m="1" x="934"/>
        <item m="1" x="1167"/>
        <item x="49"/>
        <item x="196"/>
        <item m="1" x="873"/>
        <item m="1" x="1021"/>
        <item x="528"/>
        <item x="399"/>
        <item m="1" x="990"/>
        <item x="227"/>
        <item m="1" x="947"/>
        <item m="1" x="1019"/>
        <item x="339"/>
        <item m="1" x="855"/>
        <item m="1" x="962"/>
        <item x="675"/>
        <item x="169"/>
        <item x="255"/>
        <item x="673"/>
        <item x="142"/>
        <item x="485"/>
        <item m="1" x="896"/>
        <item x="522"/>
        <item m="1" x="880"/>
        <item x="519"/>
        <item m="1" x="874"/>
        <item m="1" x="890"/>
        <item m="1" x="997"/>
        <item m="1" x="959"/>
        <item m="1" x="894"/>
        <item x="439"/>
        <item x="696"/>
        <item x="353"/>
        <item x="494"/>
        <item x="449"/>
        <item x="182"/>
        <item m="1" x="1004"/>
        <item x="122"/>
        <item x="306"/>
        <item m="1" x="955"/>
        <item x="192"/>
        <item m="1" x="1135"/>
        <item m="1" x="826"/>
        <item m="1" x="908"/>
        <item x="471"/>
        <item m="1" x="1006"/>
        <item x="806"/>
        <item m="1" x="850"/>
        <item x="239"/>
        <item x="501"/>
        <item m="1" x="895"/>
        <item x="23"/>
        <item x="86"/>
        <item m="1" x="833"/>
        <item x="398"/>
        <item m="1" x="856"/>
        <item x="344"/>
        <item m="1" x="906"/>
        <item x="602"/>
        <item m="1" x="825"/>
        <item m="1" x="1165"/>
        <item m="1" x="862"/>
        <item x="726"/>
        <item m="1" x="1057"/>
        <item m="1" x="994"/>
        <item x="24"/>
        <item x="22"/>
        <item x="37"/>
        <item m="1" x="1164"/>
        <item m="1" x="933"/>
        <item x="604"/>
        <item m="1" x="877"/>
        <item x="516"/>
        <item x="395"/>
        <item m="1" x="810"/>
        <item m="1" x="867"/>
        <item x="170"/>
        <item m="1" x="948"/>
        <item x="387"/>
        <item m="1" x="845"/>
        <item x="29"/>
        <item m="1" x="961"/>
        <item m="1" x="857"/>
        <item x="183"/>
        <item x="127"/>
        <item m="1" x="983"/>
        <item m="1" x="821"/>
        <item x="20"/>
        <item x="482"/>
        <item x="484"/>
        <item x="302"/>
        <item m="1" x="830"/>
        <item x="429"/>
        <item m="1" x="814"/>
        <item x="678"/>
        <item x="733"/>
        <item x="671"/>
        <item m="1" x="1171"/>
        <item m="1" x="839"/>
        <item x="284"/>
        <item m="1" x="929"/>
        <item x="43"/>
        <item x="714"/>
        <item m="1" x="996"/>
        <item m="1" x="859"/>
        <item x="190"/>
        <item x="248"/>
        <item m="1" x="905"/>
        <item x="171"/>
        <item x="54"/>
        <item m="1" x="863"/>
        <item m="1" x="930"/>
        <item m="1" x="836"/>
        <item m="1" x="1000"/>
        <item x="745"/>
        <item x="336"/>
        <item x="189"/>
        <item x="660"/>
        <item m="1" x="927"/>
        <item x="766"/>
        <item m="1" x="981"/>
        <item m="1" x="819"/>
        <item x="201"/>
        <item m="1" x="952"/>
        <item m="1" x="946"/>
        <item x="25"/>
        <item m="1" x="936"/>
        <item x="232"/>
        <item x="33"/>
        <item m="1" x="1020"/>
        <item x="390"/>
        <item m="1" x="893"/>
        <item x="163"/>
        <item x="164"/>
        <item x="793"/>
        <item x="616"/>
        <item m="1" x="822"/>
        <item x="762"/>
        <item x="423"/>
        <item m="1" x="918"/>
        <item x="145"/>
        <item x="487"/>
        <item m="1" x="968"/>
        <item x="194"/>
        <item x="617"/>
        <item m="1" x="1071"/>
        <item x="233"/>
        <item m="1" x="909"/>
        <item m="1" x="813"/>
        <item x="57"/>
        <item x="380"/>
        <item m="1" x="977"/>
        <item x="546"/>
        <item m="1" x="988"/>
        <item x="679"/>
        <item m="1" x="1013"/>
        <item x="176"/>
        <item x="3"/>
        <item m="1" x="914"/>
        <item m="1" x="949"/>
        <item m="1" x="932"/>
        <item x="430"/>
        <item x="99"/>
        <item x="704"/>
        <item m="1" x="898"/>
        <item m="1" x="872"/>
        <item x="447"/>
        <item m="1" x="846"/>
        <item x="441"/>
        <item x="364"/>
        <item x="548"/>
        <item m="1" x="938"/>
        <item x="456"/>
        <item m="1" x="1011"/>
        <item x="463"/>
        <item x="179"/>
        <item m="1" x="972"/>
        <item m="1" x="1018"/>
        <item x="56"/>
        <item x="175"/>
        <item x="271"/>
        <item m="1" x="939"/>
        <item m="1" x="1017"/>
        <item m="1" x="848"/>
        <item x="82"/>
        <item x="47"/>
        <item x="446"/>
        <item x="241"/>
        <item x="718"/>
        <item x="133"/>
        <item x="30"/>
        <item x="116"/>
        <item m="1" x="912"/>
        <item m="1" x="834"/>
        <item m="1" x="1169"/>
        <item x="301"/>
        <item x="686"/>
        <item m="1" x="869"/>
        <item m="1" x="1172"/>
        <item m="1" x="897"/>
        <item m="1" x="884"/>
        <item x="534"/>
        <item m="1" x="943"/>
        <item m="1" x="1173"/>
        <item x="523"/>
        <item x="307"/>
        <item x="165"/>
        <item x="113"/>
        <item x="593"/>
        <item m="1" x="904"/>
        <item m="1" x="885"/>
        <item x="211"/>
        <item m="1" x="980"/>
        <item x="359"/>
        <item x="42"/>
        <item x="221"/>
        <item m="1" x="1010"/>
        <item x="547"/>
        <item x="80"/>
        <item x="85"/>
        <item x="473"/>
        <item x="290"/>
        <item x="63"/>
        <item x="89"/>
        <item m="1" x="964"/>
        <item m="1" x="931"/>
        <item x="234"/>
        <item m="1" x="919"/>
        <item m="1" x="1166"/>
        <item x="202"/>
        <item x="28"/>
        <item m="1" x="871"/>
        <item m="1" x="945"/>
        <item x="118"/>
        <item x="515"/>
        <item x="462"/>
        <item m="1" x="887"/>
        <item x="491"/>
        <item x="215"/>
        <item m="1" x="954"/>
        <item m="1" x="924"/>
        <item m="1" x="854"/>
        <item x="778"/>
        <item x="8"/>
        <item x="251"/>
        <item m="1" x="963"/>
        <item m="1" x="920"/>
        <item m="1" x="913"/>
        <item m="1" x="815"/>
        <item m="1" x="837"/>
        <item m="1" x="860"/>
        <item m="1" x="926"/>
        <item m="1" x="942"/>
        <item x="38"/>
        <item x="499"/>
        <item m="1" x="998"/>
        <item x="720"/>
        <item x="349"/>
        <item x="287"/>
        <item x="683"/>
        <item m="1" x="827"/>
        <item m="1" x="1015"/>
        <item x="79"/>
        <item x="243"/>
        <item x="326"/>
        <item x="759"/>
        <item x="130"/>
        <item m="1" x="812"/>
        <item m="1" x="922"/>
        <item m="1" x="864"/>
        <item m="1" x="818"/>
        <item m="1" x="838"/>
        <item m="1" x="879"/>
        <item x="445"/>
        <item x="106"/>
        <item m="1" x="881"/>
        <item m="1" x="951"/>
        <item x="150"/>
        <item x="66"/>
        <item x="406"/>
        <item x="587"/>
        <item m="1" x="982"/>
        <item m="1" x="1170"/>
        <item x="386"/>
        <item x="136"/>
        <item x="186"/>
        <item x="237"/>
        <item x="58"/>
        <item x="280"/>
        <item x="472"/>
        <item m="1" x="975"/>
        <item m="1" x="844"/>
        <item x="110"/>
        <item x="324"/>
        <item x="199"/>
        <item m="1" x="901"/>
        <item x="606"/>
        <item x="253"/>
        <item x="69"/>
        <item m="1" x="841"/>
        <item m="1" x="876"/>
        <item x="16"/>
        <item x="770"/>
        <item m="1" x="921"/>
        <item x="340"/>
        <item x="230"/>
        <item x="538"/>
        <item x="493"/>
        <item x="160"/>
        <item x="717"/>
        <item x="372"/>
        <item x="509"/>
        <item x="453"/>
        <item x="510"/>
        <item m="1" x="817"/>
        <item x="385"/>
        <item m="1" x="832"/>
        <item m="1" x="899"/>
        <item x="711"/>
        <item x="40"/>
        <item m="1" x="1012"/>
        <item x="769"/>
        <item m="1" x="1009"/>
        <item m="1" x="902"/>
        <item x="744"/>
        <item x="178"/>
        <item x="126"/>
        <item m="1" x="1174"/>
        <item m="1" x="1016"/>
        <item x="213"/>
        <item x="75"/>
        <item x="261"/>
        <item m="1" x="883"/>
        <item m="1" x="976"/>
        <item x="458"/>
        <item m="1" x="979"/>
        <item x="162"/>
        <item x="203"/>
        <item x="618"/>
        <item x="44"/>
        <item x="527"/>
        <item m="1" x="973"/>
        <item x="137"/>
        <item m="1" x="868"/>
        <item x="329"/>
        <item m="1" x="892"/>
        <item x="297"/>
        <item m="1" x="820"/>
        <item x="195"/>
        <item x="184"/>
        <item x="335"/>
        <item x="596"/>
        <item m="1" x="1163"/>
        <item m="1" x="960"/>
        <item x="613"/>
        <item x="279"/>
        <item x="760"/>
        <item x="685"/>
        <item x="263"/>
        <item x="724"/>
        <item x="392"/>
        <item m="1" x="1168"/>
        <item x="317"/>
        <item m="1" x="907"/>
        <item x="657"/>
        <item x="681"/>
        <item x="94"/>
        <item x="631"/>
        <item x="87"/>
        <item x="289"/>
        <item x="632"/>
        <item m="1" x="940"/>
        <item m="1" x="840"/>
        <item x="308"/>
        <item m="1" x="984"/>
        <item x="333"/>
        <item x="140"/>
        <item m="1" x="849"/>
        <item m="1" x="992"/>
        <item x="256"/>
        <item m="1" x="928"/>
        <item m="1" x="852"/>
        <item m="1" x="923"/>
        <item m="1" x="986"/>
        <item x="425"/>
        <item x="347"/>
        <item x="543"/>
        <item x="125"/>
        <item m="1" x="967"/>
        <item x="773"/>
        <item x="55"/>
        <item m="1" x="993"/>
        <item x="692"/>
        <item x="691"/>
        <item x="48"/>
        <item m="1" x="853"/>
        <item m="1" x="937"/>
        <item x="62"/>
        <item m="1" x="987"/>
        <item m="1" x="935"/>
        <item x="111"/>
        <item x="337"/>
        <item m="1" x="1014"/>
        <item x="629"/>
        <item m="1" x="891"/>
        <item m="1" x="917"/>
        <item m="1" x="958"/>
        <item m="1" x="858"/>
        <item x="795"/>
        <item x="260"/>
        <item x="642"/>
        <item x="379"/>
        <item m="1" x="875"/>
        <item x="268"/>
        <item m="1" x="851"/>
        <item x="402"/>
        <item x="693"/>
        <item m="1" x="900"/>
        <item m="1" x="1007"/>
        <item x="805"/>
        <item x="676"/>
        <item m="1" x="966"/>
        <item x="114"/>
        <item m="1" x="882"/>
        <item m="1" x="843"/>
        <item x="148"/>
        <item x="591"/>
        <item x="382"/>
        <item m="1" x="969"/>
        <item x="258"/>
        <item x="312"/>
        <item m="1" x="1022"/>
        <item x="454"/>
        <item x="709"/>
        <item x="786"/>
        <item m="1" x="1023"/>
        <item x="658"/>
        <item x="734"/>
        <item m="1" x="1024"/>
        <item m="1" x="1025"/>
        <item m="1" x="1026"/>
        <item m="1" x="1027"/>
        <item x="319"/>
        <item x="690"/>
        <item x="197"/>
        <item m="1" x="1028"/>
        <item m="1" x="1029"/>
        <item m="1" x="1030"/>
        <item m="1" x="1031"/>
        <item m="1" x="1032"/>
        <item m="1" x="1175"/>
        <item m="1" x="1033"/>
        <item x="298"/>
        <item m="1" x="1034"/>
        <item x="699"/>
        <item m="1" x="1035"/>
        <item x="552"/>
        <item x="573"/>
        <item x="267"/>
        <item x="460"/>
        <item x="461"/>
        <item x="459"/>
        <item m="1" x="1036"/>
        <item x="129"/>
        <item m="1" x="1037"/>
        <item m="1" x="1038"/>
        <item m="1" x="1039"/>
        <item x="121"/>
        <item m="1" x="1040"/>
        <item m="1" x="1041"/>
        <item m="1" x="1042"/>
        <item m="1" x="1043"/>
        <item m="1" x="1044"/>
        <item m="1" x="1045"/>
        <item m="1" x="1046"/>
        <item x="420"/>
        <item x="247"/>
        <item m="1" x="1047"/>
        <item m="1" x="1048"/>
        <item x="595"/>
        <item x="219"/>
        <item m="1" x="1049"/>
        <item m="1" x="1050"/>
        <item m="1" x="1051"/>
        <item m="1" x="1052"/>
        <item m="1" x="1053"/>
        <item x="511"/>
        <item x="480"/>
        <item m="1" x="1054"/>
        <item m="1" x="1055"/>
        <item m="1" x="1056"/>
        <item x="207"/>
        <item x="348"/>
        <item m="1" x="1058"/>
        <item x="84"/>
        <item x="131"/>
        <item x="19"/>
        <item m="1" x="1059"/>
        <item x="314"/>
        <item m="1" x="1176"/>
        <item m="1" x="1060"/>
        <item m="1" x="1061"/>
        <item m="1" x="1062"/>
        <item m="1" x="1063"/>
        <item x="802"/>
        <item x="776"/>
        <item x="756"/>
        <item x="5"/>
        <item m="1" x="1064"/>
        <item x="352"/>
        <item m="1" x="1065"/>
        <item m="1" x="1066"/>
        <item m="1" x="1067"/>
        <item x="242"/>
        <item m="1" x="1068"/>
        <item x="592"/>
        <item x="143"/>
        <item m="1" x="1069"/>
        <item x="607"/>
        <item x="544"/>
        <item x="105"/>
        <item m="1" x="1073"/>
        <item m="1" x="1074"/>
        <item m="1" x="1075"/>
        <item m="1" x="1076"/>
        <item x="545"/>
        <item x="98"/>
        <item x="452"/>
        <item x="17"/>
        <item m="1" x="1077"/>
        <item m="1" x="1078"/>
        <item x="562"/>
        <item x="316"/>
        <item m="1" x="1079"/>
        <item x="292"/>
        <item m="1" x="1080"/>
        <item m="1" x="1081"/>
        <item x="520"/>
        <item x="193"/>
        <item m="1" x="1082"/>
        <item m="1" x="1083"/>
        <item m="1" x="1084"/>
        <item x="490"/>
        <item x="32"/>
        <item m="1" x="1085"/>
        <item m="1" x="1086"/>
        <item x="722"/>
        <item x="322"/>
        <item x="579"/>
        <item x="62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x="763"/>
        <item m="1" x="1097"/>
        <item m="1" x="1098"/>
        <item m="1" x="1099"/>
        <item x="117"/>
        <item x="404"/>
        <item x="383"/>
        <item x="168"/>
        <item x="134"/>
        <item x="521"/>
        <item m="1" x="1100"/>
        <item m="1" x="1101"/>
        <item x="536"/>
        <item x="88"/>
        <item m="1" x="1102"/>
        <item x="622"/>
        <item x="467"/>
        <item m="1" x="1103"/>
        <item x="156"/>
        <item m="1" x="1104"/>
        <item m="1" x="1105"/>
        <item m="1" x="1106"/>
        <item x="321"/>
        <item x="496"/>
        <item m="1" x="1107"/>
        <item x="674"/>
        <item x="93"/>
        <item x="223"/>
        <item x="104"/>
        <item x="477"/>
        <item m="1" x="1108"/>
        <item m="1" x="1109"/>
        <item m="1" x="1110"/>
        <item m="1" x="1111"/>
        <item x="723"/>
        <item x="680"/>
        <item m="1" x="1112"/>
        <item x="682"/>
        <item x="555"/>
        <item m="1" x="1113"/>
        <item m="1" x="1114"/>
        <item m="1" x="1115"/>
        <item m="1" x="1116"/>
        <item x="254"/>
        <item m="1" x="1117"/>
        <item x="798"/>
        <item m="1" x="1118"/>
        <item m="1" x="1119"/>
        <item m="1" x="1120"/>
        <item x="735"/>
        <item x="659"/>
        <item m="1" x="1121"/>
        <item m="1" x="1122"/>
        <item m="1" x="1123"/>
        <item m="1" x="1124"/>
        <item m="1" x="1177"/>
        <item x="669"/>
        <item x="173"/>
        <item x="803"/>
        <item x="612"/>
        <item m="1" x="1125"/>
        <item m="1" x="1126"/>
        <item m="1" x="1127"/>
        <item x="495"/>
        <item x="103"/>
        <item m="1" x="1128"/>
        <item m="1" x="1129"/>
        <item m="1" x="1130"/>
        <item x="393"/>
        <item m="1" x="1131"/>
        <item m="1" x="1132"/>
        <item m="1" x="1133"/>
        <item m="1" x="1134"/>
        <item x="304"/>
        <item m="1" x="1136"/>
        <item m="1" x="1137"/>
        <item m="1" x="1138"/>
        <item x="550"/>
        <item m="1" x="1139"/>
        <item x="749"/>
        <item m="1" x="1140"/>
        <item m="1" x="1141"/>
        <item m="1" x="1142"/>
        <item x="26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78"/>
        <item m="1" x="1154"/>
        <item x="469"/>
        <item x="220"/>
        <item x="417"/>
        <item x="346"/>
        <item m="1" x="1155"/>
        <item x="231"/>
        <item m="1" x="1156"/>
        <item m="1" x="1157"/>
        <item m="1" x="1158"/>
        <item m="1" x="1159"/>
        <item m="1" x="1160"/>
        <item m="1" x="1161"/>
        <item m="1" x="1162"/>
        <item m="1" x="1001"/>
        <item x="809"/>
        <item x="1"/>
        <item x="4"/>
        <item x="6"/>
        <item x="7"/>
        <item x="9"/>
        <item x="10"/>
        <item x="11"/>
        <item x="13"/>
        <item x="15"/>
        <item x="18"/>
        <item x="21"/>
        <item x="26"/>
        <item x="27"/>
        <item x="35"/>
        <item x="41"/>
        <item x="45"/>
        <item x="51"/>
        <item x="53"/>
        <item x="59"/>
        <item x="60"/>
        <item x="68"/>
        <item x="70"/>
        <item x="71"/>
        <item x="72"/>
        <item x="74"/>
        <item x="76"/>
        <item x="77"/>
        <item x="78"/>
        <item x="81"/>
        <item x="83"/>
        <item x="90"/>
        <item x="91"/>
        <item x="92"/>
        <item x="95"/>
        <item x="96"/>
        <item x="97"/>
        <item x="100"/>
        <item x="101"/>
        <item x="108"/>
        <item x="109"/>
        <item x="112"/>
        <item x="115"/>
        <item x="119"/>
        <item x="120"/>
        <item x="123"/>
        <item x="128"/>
        <item x="132"/>
        <item x="135"/>
        <item x="139"/>
        <item x="146"/>
        <item x="147"/>
        <item x="149"/>
        <item x="151"/>
        <item x="152"/>
        <item x="153"/>
        <item x="155"/>
        <item x="158"/>
        <item x="159"/>
        <item x="161"/>
        <item x="166"/>
        <item x="167"/>
        <item x="172"/>
        <item x="174"/>
        <item x="177"/>
        <item x="180"/>
        <item x="181"/>
        <item x="185"/>
        <item x="187"/>
        <item x="188"/>
        <item x="191"/>
        <item x="198"/>
        <item x="200"/>
        <item x="204"/>
        <item x="205"/>
        <item x="206"/>
        <item x="208"/>
        <item x="209"/>
        <item x="210"/>
        <item x="212"/>
        <item x="214"/>
        <item x="216"/>
        <item x="217"/>
        <item x="218"/>
        <item x="222"/>
        <item x="226"/>
        <item x="228"/>
        <item x="229"/>
        <item x="235"/>
        <item x="236"/>
        <item x="238"/>
        <item x="240"/>
        <item x="244"/>
        <item x="246"/>
        <item x="249"/>
        <item x="250"/>
        <item x="257"/>
        <item x="264"/>
        <item x="265"/>
        <item x="266"/>
        <item x="269"/>
        <item x="270"/>
        <item x="272"/>
        <item x="273"/>
        <item x="274"/>
        <item x="275"/>
        <item x="276"/>
        <item x="277"/>
        <item x="278"/>
        <item x="281"/>
        <item x="282"/>
        <item x="283"/>
        <item x="288"/>
        <item x="291"/>
        <item x="293"/>
        <item x="294"/>
        <item x="295"/>
        <item x="296"/>
        <item x="299"/>
        <item x="300"/>
        <item x="303"/>
        <item x="305"/>
        <item x="309"/>
        <item x="311"/>
        <item x="313"/>
        <item x="315"/>
        <item x="318"/>
        <item x="320"/>
        <item x="323"/>
        <item x="325"/>
        <item x="327"/>
        <item x="328"/>
        <item x="330"/>
        <item x="332"/>
        <item x="338"/>
        <item x="341"/>
        <item x="342"/>
        <item x="343"/>
        <item x="345"/>
        <item x="350"/>
        <item x="351"/>
        <item x="354"/>
        <item x="355"/>
        <item x="356"/>
        <item x="357"/>
        <item x="360"/>
        <item x="361"/>
        <item x="362"/>
        <item x="363"/>
        <item x="365"/>
        <item x="366"/>
        <item x="367"/>
        <item x="368"/>
        <item x="369"/>
        <item x="370"/>
        <item x="371"/>
        <item x="373"/>
        <item x="374"/>
        <item x="376"/>
        <item x="377"/>
        <item x="378"/>
        <item x="384"/>
        <item x="388"/>
        <item x="389"/>
        <item x="391"/>
        <item x="394"/>
        <item x="396"/>
        <item x="400"/>
        <item x="401"/>
        <item x="403"/>
        <item x="405"/>
        <item x="407"/>
        <item x="408"/>
        <item x="410"/>
        <item x="411"/>
        <item x="412"/>
        <item x="413"/>
        <item x="414"/>
        <item x="415"/>
        <item x="416"/>
        <item x="419"/>
        <item x="421"/>
        <item x="422"/>
        <item x="426"/>
        <item x="428"/>
        <item x="431"/>
        <item x="432"/>
        <item x="433"/>
        <item x="434"/>
        <item x="435"/>
        <item x="436"/>
        <item x="437"/>
        <item x="438"/>
        <item x="440"/>
        <item x="442"/>
        <item x="443"/>
        <item x="444"/>
        <item x="448"/>
        <item x="450"/>
        <item x="451"/>
        <item x="455"/>
        <item x="457"/>
        <item x="465"/>
        <item x="466"/>
        <item x="468"/>
        <item x="474"/>
        <item x="475"/>
        <item x="476"/>
        <item x="478"/>
        <item x="479"/>
        <item x="483"/>
        <item x="486"/>
        <item x="489"/>
        <item x="492"/>
        <item x="497"/>
        <item x="502"/>
        <item x="503"/>
        <item x="504"/>
        <item x="505"/>
        <item x="506"/>
        <item x="507"/>
        <item x="512"/>
        <item x="513"/>
        <item x="514"/>
        <item x="517"/>
        <item x="518"/>
        <item x="524"/>
        <item x="525"/>
        <item x="526"/>
        <item x="529"/>
        <item x="530"/>
        <item x="531"/>
        <item x="532"/>
        <item x="533"/>
        <item x="535"/>
        <item x="537"/>
        <item x="539"/>
        <item x="540"/>
        <item x="541"/>
        <item x="542"/>
        <item x="549"/>
        <item x="551"/>
        <item x="553"/>
        <item x="556"/>
        <item x="557"/>
        <item x="558"/>
        <item x="559"/>
        <item x="561"/>
        <item x="563"/>
        <item x="564"/>
        <item x="565"/>
        <item x="566"/>
        <item x="568"/>
        <item x="569"/>
        <item x="570"/>
        <item x="571"/>
        <item x="572"/>
        <item x="574"/>
        <item x="575"/>
        <item x="576"/>
        <item x="577"/>
        <item x="578"/>
        <item x="580"/>
        <item x="581"/>
        <item x="582"/>
        <item x="583"/>
        <item x="584"/>
        <item x="585"/>
        <item x="586"/>
        <item x="588"/>
        <item x="589"/>
        <item x="590"/>
        <item x="594"/>
        <item x="597"/>
        <item x="598"/>
        <item x="599"/>
        <item x="600"/>
        <item x="601"/>
        <item x="603"/>
        <item x="605"/>
        <item x="608"/>
        <item x="609"/>
        <item x="610"/>
        <item x="611"/>
        <item x="614"/>
        <item x="615"/>
        <item x="619"/>
        <item x="623"/>
        <item x="624"/>
        <item x="625"/>
        <item x="627"/>
        <item x="628"/>
        <item x="630"/>
        <item x="633"/>
        <item x="637"/>
        <item x="648"/>
        <item x="650"/>
        <item x="651"/>
        <item x="654"/>
        <item x="655"/>
        <item x="663"/>
        <item x="652"/>
        <item x="634"/>
        <item x="635"/>
        <item x="636"/>
        <item x="638"/>
        <item x="639"/>
        <item x="641"/>
        <item x="643"/>
        <item x="646"/>
        <item x="647"/>
        <item x="653"/>
        <item x="656"/>
        <item x="661"/>
        <item x="662"/>
        <item x="664"/>
        <item x="665"/>
        <item x="666"/>
        <item x="672"/>
        <item x="677"/>
        <item x="684"/>
        <item x="687"/>
        <item x="688"/>
        <item x="689"/>
        <item x="697"/>
        <item x="698"/>
        <item x="700"/>
        <item x="701"/>
        <item x="702"/>
        <item x="703"/>
        <item x="705"/>
        <item x="708"/>
        <item x="710"/>
        <item x="712"/>
        <item x="713"/>
        <item x="715"/>
        <item x="716"/>
        <item x="719"/>
        <item x="725"/>
        <item x="727"/>
        <item x="728"/>
        <item x="729"/>
        <item x="730"/>
        <item x="731"/>
        <item x="732"/>
        <item x="736"/>
        <item x="738"/>
        <item x="739"/>
        <item x="740"/>
        <item x="741"/>
        <item x="742"/>
        <item x="743"/>
        <item x="746"/>
        <item x="748"/>
        <item x="750"/>
        <item x="751"/>
        <item x="752"/>
        <item x="753"/>
        <item x="754"/>
        <item x="755"/>
        <item x="757"/>
        <item x="758"/>
        <item x="761"/>
        <item x="764"/>
        <item x="765"/>
        <item x="767"/>
        <item x="768"/>
        <item x="771"/>
        <item x="772"/>
        <item x="774"/>
        <item x="775"/>
        <item x="777"/>
        <item x="780"/>
        <item x="781"/>
        <item x="782"/>
        <item x="783"/>
        <item x="784"/>
        <item x="785"/>
        <item x="788"/>
        <item x="789"/>
        <item x="790"/>
        <item x="791"/>
        <item x="796"/>
        <item x="797"/>
        <item x="800"/>
        <item x="801"/>
        <item x="804"/>
        <item x="807"/>
        <item x="808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3">
        <item x="1"/>
        <item h="1" x="0"/>
        <item t="default"/>
      </items>
    </pivotField>
    <pivotField compact="0" outline="0" showAll="0"/>
  </pivotFields>
  <rowFields count="2">
    <field x="10"/>
    <field x="2"/>
  </rowFields>
  <rowItems count="321">
    <i>
      <x v="5"/>
      <x v="3325"/>
    </i>
    <i t="default">
      <x v="5"/>
    </i>
    <i>
      <x v="13"/>
      <x v="2732"/>
    </i>
    <i t="default">
      <x v="13"/>
    </i>
    <i>
      <x v="17"/>
      <x v="1776"/>
    </i>
    <i r="1">
      <x v="2119"/>
    </i>
    <i t="default">
      <x v="17"/>
    </i>
    <i>
      <x v="28"/>
      <x v="2925"/>
    </i>
    <i t="default">
      <x v="28"/>
    </i>
    <i>
      <x v="43"/>
      <x v="1562"/>
    </i>
    <i t="default">
      <x v="43"/>
    </i>
    <i>
      <x v="56"/>
      <x v="1830"/>
    </i>
    <i r="1">
      <x v="2594"/>
    </i>
    <i t="default">
      <x v="56"/>
    </i>
    <i>
      <x v="65"/>
      <x v="1615"/>
    </i>
    <i t="default">
      <x v="65"/>
    </i>
    <i>
      <x v="72"/>
      <x v="3062"/>
    </i>
    <i t="default">
      <x v="72"/>
    </i>
    <i>
      <x v="121"/>
      <x v="1654"/>
    </i>
    <i t="default">
      <x v="121"/>
    </i>
    <i>
      <x v="122"/>
      <x v="1919"/>
    </i>
    <i r="1">
      <x v="2455"/>
    </i>
    <i r="1">
      <x v="2557"/>
    </i>
    <i t="default">
      <x v="122"/>
    </i>
    <i>
      <x v="136"/>
      <x v="2013"/>
    </i>
    <i t="default">
      <x v="136"/>
    </i>
    <i>
      <x v="138"/>
      <x v="1802"/>
    </i>
    <i r="1">
      <x v="1803"/>
    </i>
    <i r="1">
      <x v="1804"/>
    </i>
    <i r="1">
      <x v="2696"/>
    </i>
    <i r="1">
      <x v="2697"/>
    </i>
    <i r="1">
      <x v="2698"/>
    </i>
    <i t="default">
      <x v="138"/>
    </i>
    <i>
      <x v="149"/>
      <x v="2409"/>
    </i>
    <i t="default">
      <x v="149"/>
    </i>
    <i>
      <x v="154"/>
      <x v="1871"/>
    </i>
    <i t="default">
      <x v="154"/>
    </i>
    <i>
      <x v="168"/>
      <x v="2572"/>
    </i>
    <i t="default">
      <x v="168"/>
    </i>
    <i>
      <x v="175"/>
      <x v="2194"/>
    </i>
    <i t="default">
      <x v="175"/>
    </i>
    <i>
      <x v="195"/>
      <x v="1849"/>
    </i>
    <i t="default">
      <x v="195"/>
    </i>
    <i>
      <x v="202"/>
      <x v="1872"/>
    </i>
    <i t="default">
      <x v="202"/>
    </i>
    <i>
      <x v="211"/>
      <x v="2392"/>
    </i>
    <i r="1">
      <x v="2845"/>
    </i>
    <i t="default">
      <x v="211"/>
    </i>
    <i>
      <x v="220"/>
      <x v="1636"/>
    </i>
    <i t="default">
      <x v="220"/>
    </i>
    <i>
      <x v="244"/>
      <x v="1602"/>
    </i>
    <i t="default">
      <x v="244"/>
    </i>
    <i>
      <x v="257"/>
      <x v="2377"/>
    </i>
    <i r="1">
      <x v="2378"/>
    </i>
    <i t="default">
      <x v="257"/>
    </i>
    <i>
      <x v="269"/>
      <x v="2282"/>
    </i>
    <i r="1">
      <x v="2856"/>
    </i>
    <i t="default">
      <x v="269"/>
    </i>
    <i>
      <x v="282"/>
      <x v="3166"/>
    </i>
    <i t="default">
      <x v="282"/>
    </i>
    <i>
      <x v="287"/>
      <x v="2680"/>
    </i>
    <i t="default">
      <x v="287"/>
    </i>
    <i>
      <x v="298"/>
      <x v="1855"/>
    </i>
    <i r="1">
      <x v="1856"/>
    </i>
    <i r="1">
      <x v="1857"/>
    </i>
    <i r="1">
      <x v="1858"/>
    </i>
    <i r="1">
      <x v="1859"/>
    </i>
    <i r="1">
      <x v="1860"/>
    </i>
    <i r="1">
      <x v="1861"/>
    </i>
    <i r="1">
      <x v="1862"/>
    </i>
    <i r="1">
      <x v="1958"/>
    </i>
    <i r="1">
      <x v="2055"/>
    </i>
    <i r="1">
      <x v="2426"/>
    </i>
    <i t="default">
      <x v="298"/>
    </i>
    <i>
      <x v="299"/>
      <x v="2044"/>
    </i>
    <i r="1">
      <x v="2045"/>
    </i>
    <i t="default">
      <x v="299"/>
    </i>
    <i>
      <x v="310"/>
      <x v="1762"/>
    </i>
    <i t="default">
      <x v="310"/>
    </i>
    <i>
      <x v="314"/>
      <x v="2095"/>
    </i>
    <i t="default">
      <x v="314"/>
    </i>
    <i>
      <x v="339"/>
      <x v="2488"/>
    </i>
    <i r="1">
      <x v="2719"/>
    </i>
    <i t="default">
      <x v="339"/>
    </i>
    <i>
      <x v="349"/>
      <x v="1605"/>
    </i>
    <i r="1">
      <x v="1754"/>
    </i>
    <i r="1">
      <x v="2563"/>
    </i>
    <i t="default">
      <x v="349"/>
    </i>
    <i>
      <x v="356"/>
      <x v="2538"/>
    </i>
    <i t="default">
      <x v="356"/>
    </i>
    <i>
      <x v="376"/>
      <x v="2208"/>
    </i>
    <i t="default">
      <x v="376"/>
    </i>
    <i>
      <x v="381"/>
      <x v="1701"/>
    </i>
    <i r="1">
      <x v="1736"/>
    </i>
    <i t="default">
      <x v="381"/>
    </i>
    <i>
      <x v="383"/>
      <x v="2150"/>
    </i>
    <i r="1">
      <x v="2151"/>
    </i>
    <i r="1">
      <x v="3106"/>
    </i>
    <i t="default">
      <x v="383"/>
    </i>
    <i>
      <x v="404"/>
      <x v="2507"/>
    </i>
    <i r="1">
      <x v="2518"/>
    </i>
    <i t="default">
      <x v="404"/>
    </i>
    <i>
      <x v="405"/>
      <x v="1988"/>
    </i>
    <i t="default">
      <x v="405"/>
    </i>
    <i>
      <x v="415"/>
      <x v="2875"/>
    </i>
    <i t="default">
      <x v="415"/>
    </i>
    <i>
      <x v="416"/>
      <x v="2011"/>
    </i>
    <i t="default">
      <x v="416"/>
    </i>
    <i>
      <x v="448"/>
      <x v="1950"/>
    </i>
    <i t="default">
      <x v="448"/>
    </i>
    <i>
      <x v="453"/>
      <x v="2453"/>
    </i>
    <i t="default">
      <x v="453"/>
    </i>
    <i>
      <x v="512"/>
      <x v="3115"/>
    </i>
    <i t="default">
      <x v="512"/>
    </i>
    <i>
      <x v="513"/>
      <x v="1653"/>
    </i>
    <i r="1">
      <x v="1850"/>
    </i>
    <i r="1">
      <x v="2020"/>
    </i>
    <i r="1">
      <x v="2021"/>
    </i>
    <i r="1">
      <x v="2031"/>
    </i>
    <i r="1">
      <x v="2071"/>
    </i>
    <i r="1">
      <x v="2667"/>
    </i>
    <i r="1">
      <x v="3212"/>
    </i>
    <i r="1">
      <x v="3353"/>
    </i>
    <i r="1">
      <x v="3386"/>
    </i>
    <i r="1">
      <x v="3460"/>
    </i>
    <i r="1">
      <x v="3461"/>
    </i>
    <i t="default">
      <x v="513"/>
    </i>
    <i>
      <x v="530"/>
      <x v="2281"/>
    </i>
    <i r="1">
      <x v="2833"/>
    </i>
    <i t="default">
      <x v="530"/>
    </i>
    <i>
      <x v="582"/>
      <x v="1782"/>
    </i>
    <i t="default">
      <x v="582"/>
    </i>
    <i>
      <x v="599"/>
      <x v="1957"/>
    </i>
    <i r="1">
      <x v="2121"/>
    </i>
    <i r="1">
      <x v="2201"/>
    </i>
    <i t="default">
      <x v="599"/>
    </i>
    <i>
      <x v="637"/>
      <x v="2877"/>
    </i>
    <i t="default">
      <x v="637"/>
    </i>
    <i>
      <x v="639"/>
      <x v="1746"/>
    </i>
    <i r="1">
      <x v="2319"/>
    </i>
    <i r="1">
      <x v="2320"/>
    </i>
    <i t="default">
      <x v="639"/>
    </i>
    <i>
      <x v="647"/>
      <x v="1566"/>
    </i>
    <i t="default">
      <x v="647"/>
    </i>
    <i>
      <x v="657"/>
      <x v="1914"/>
    </i>
    <i t="default">
      <x v="657"/>
    </i>
    <i>
      <x v="666"/>
      <x v="2141"/>
    </i>
    <i t="default">
      <x v="666"/>
    </i>
    <i>
      <x v="685"/>
      <x v="2287"/>
    </i>
    <i t="default">
      <x v="685"/>
    </i>
    <i>
      <x v="702"/>
      <x v="2558"/>
    </i>
    <i t="default">
      <x v="702"/>
    </i>
    <i>
      <x v="706"/>
      <x v="1962"/>
    </i>
    <i t="default">
      <x v="706"/>
    </i>
    <i>
      <x v="707"/>
      <x v="1745"/>
    </i>
    <i r="1">
      <x v="1989"/>
    </i>
    <i t="default">
      <x v="707"/>
    </i>
    <i>
      <x v="722"/>
      <x v="2012"/>
    </i>
    <i t="default">
      <x v="722"/>
    </i>
    <i>
      <x v="736"/>
      <x v="1853"/>
    </i>
    <i t="default">
      <x v="736"/>
    </i>
    <i>
      <x v="747"/>
      <x v="2312"/>
    </i>
    <i r="1">
      <x v="2714"/>
    </i>
    <i t="default">
      <x v="747"/>
    </i>
    <i>
      <x v="752"/>
      <x v="2106"/>
    </i>
    <i r="1">
      <x v="2555"/>
    </i>
    <i r="1">
      <x v="2556"/>
    </i>
    <i t="default">
      <x v="752"/>
    </i>
    <i>
      <x v="776"/>
      <x v="2483"/>
    </i>
    <i t="default">
      <x v="776"/>
    </i>
    <i>
      <x v="779"/>
      <x v="2196"/>
    </i>
    <i r="1">
      <x v="2295"/>
    </i>
    <i r="1">
      <x v="2383"/>
    </i>
    <i r="1">
      <x v="2405"/>
    </i>
    <i t="default">
      <x v="779"/>
    </i>
    <i>
      <x v="801"/>
      <x v="1571"/>
    </i>
    <i t="default">
      <x v="801"/>
    </i>
    <i>
      <x v="806"/>
      <x v="1641"/>
    </i>
    <i t="default">
      <x v="806"/>
    </i>
    <i>
      <x v="811"/>
      <x v="2478"/>
    </i>
    <i t="default">
      <x v="811"/>
    </i>
    <i>
      <x v="813"/>
      <x v="1686"/>
    </i>
    <i r="1">
      <x v="2805"/>
    </i>
    <i t="default">
      <x v="813"/>
    </i>
    <i>
      <x v="829"/>
      <x v="1751"/>
    </i>
    <i r="1">
      <x v="1752"/>
    </i>
    <i t="default">
      <x v="829"/>
    </i>
    <i>
      <x v="834"/>
      <x v="2269"/>
    </i>
    <i t="default">
      <x v="834"/>
    </i>
    <i>
      <x v="853"/>
      <x v="1854"/>
    </i>
    <i t="default">
      <x v="853"/>
    </i>
    <i>
      <x v="857"/>
      <x v="1875"/>
    </i>
    <i t="default">
      <x v="857"/>
    </i>
    <i>
      <x v="861"/>
      <x v="1922"/>
    </i>
    <i r="1">
      <x v="2679"/>
    </i>
    <i t="default">
      <x v="861"/>
    </i>
    <i>
      <x v="862"/>
      <x v="1924"/>
    </i>
    <i r="1">
      <x v="3237"/>
    </i>
    <i t="default">
      <x v="862"/>
    </i>
    <i>
      <x v="863"/>
      <x v="1932"/>
    </i>
    <i r="1">
      <x v="2305"/>
    </i>
    <i t="default">
      <x v="863"/>
    </i>
    <i>
      <x v="868"/>
      <x v="1945"/>
    </i>
    <i t="default">
      <x v="868"/>
    </i>
    <i>
      <x v="880"/>
      <x v="1990"/>
    </i>
    <i r="1">
      <x v="2126"/>
    </i>
    <i t="default">
      <x v="880"/>
    </i>
    <i>
      <x v="883"/>
      <x v="2002"/>
    </i>
    <i t="default">
      <x v="883"/>
    </i>
    <i>
      <x v="884"/>
      <x v="2006"/>
    </i>
    <i t="default">
      <x v="884"/>
    </i>
    <i>
      <x v="892"/>
      <x v="2736"/>
    </i>
    <i t="default">
      <x v="892"/>
    </i>
    <i>
      <x v="902"/>
      <x v="2073"/>
    </i>
    <i t="default">
      <x v="902"/>
    </i>
    <i>
      <x v="903"/>
      <x v="2079"/>
    </i>
    <i t="default">
      <x v="903"/>
    </i>
    <i>
      <x v="913"/>
      <x v="2115"/>
    </i>
    <i t="default">
      <x v="913"/>
    </i>
    <i>
      <x v="917"/>
      <x v="2135"/>
    </i>
    <i t="default">
      <x v="917"/>
    </i>
    <i>
      <x v="926"/>
      <x v="2192"/>
    </i>
    <i t="default">
      <x v="926"/>
    </i>
    <i>
      <x v="927"/>
      <x v="2193"/>
    </i>
    <i t="default">
      <x v="927"/>
    </i>
    <i>
      <x v="928"/>
      <x v="2195"/>
    </i>
    <i t="default">
      <x v="928"/>
    </i>
    <i>
      <x v="929"/>
      <x v="2427"/>
    </i>
    <i r="1">
      <x v="2428"/>
    </i>
    <i t="default">
      <x v="929"/>
    </i>
    <i>
      <x v="930"/>
      <x v="2211"/>
    </i>
    <i t="default">
      <x v="930"/>
    </i>
    <i>
      <x v="931"/>
      <x v="2328"/>
    </i>
    <i t="default">
      <x v="931"/>
    </i>
    <i>
      <x v="936"/>
      <x v="2241"/>
    </i>
    <i t="default">
      <x v="936"/>
    </i>
    <i>
      <x v="937"/>
      <x v="2245"/>
    </i>
    <i t="default">
      <x v="937"/>
    </i>
    <i>
      <x v="938"/>
      <x v="2246"/>
    </i>
    <i t="default">
      <x v="938"/>
    </i>
    <i>
      <x v="941"/>
      <x v="2258"/>
    </i>
    <i t="default">
      <x v="941"/>
    </i>
    <i>
      <x v="945"/>
      <x v="2268"/>
    </i>
    <i t="default">
      <x v="945"/>
    </i>
    <i>
      <x v="949"/>
      <x v="2279"/>
    </i>
    <i t="default">
      <x v="949"/>
    </i>
    <i>
      <x v="950"/>
      <x v="2280"/>
    </i>
    <i t="default">
      <x v="950"/>
    </i>
    <i>
      <x v="952"/>
      <x v="2303"/>
    </i>
    <i t="default">
      <x v="952"/>
    </i>
    <i>
      <x v="954"/>
      <x v="2309"/>
    </i>
    <i t="default">
      <x v="954"/>
    </i>
    <i>
      <x v="955"/>
      <x v="2317"/>
    </i>
    <i r="1">
      <x v="2386"/>
    </i>
    <i r="1">
      <x v="2387"/>
    </i>
    <i t="default">
      <x v="955"/>
    </i>
    <i>
      <x v="959"/>
      <x v="2332"/>
    </i>
    <i t="default">
      <x v="959"/>
    </i>
    <i>
      <x v="985"/>
      <x v="2419"/>
    </i>
    <i t="default">
      <x v="985"/>
    </i>
    <i>
      <x v="987"/>
      <x v="2432"/>
    </i>
    <i t="default">
      <x v="987"/>
    </i>
    <i>
      <x v="993"/>
      <x v="2479"/>
    </i>
    <i t="default">
      <x v="993"/>
    </i>
    <i>
      <x v="996"/>
      <x v="2490"/>
    </i>
    <i t="default">
      <x v="996"/>
    </i>
    <i>
      <x v="997"/>
      <x v="2492"/>
    </i>
    <i t="default">
      <x v="997"/>
    </i>
    <i>
      <x v="1005"/>
      <x v="2574"/>
    </i>
    <i t="default">
      <x v="1005"/>
    </i>
    <i>
      <x v="1007"/>
      <x v="3207"/>
    </i>
    <i t="default">
      <x v="1007"/>
    </i>
    <i>
      <x v="1011"/>
      <x v="2599"/>
    </i>
    <i t="default">
      <x v="1011"/>
    </i>
    <i>
      <x v="1024"/>
      <x v="2656"/>
    </i>
    <i t="default">
      <x v="1024"/>
    </i>
    <i>
      <x v="1031"/>
      <x v="2695"/>
    </i>
    <i t="default">
      <x v="1031"/>
    </i>
    <i>
      <x v="1038"/>
      <x v="2747"/>
    </i>
    <i t="default">
      <x v="1038"/>
    </i>
    <i>
      <x v="1039"/>
      <x v="2755"/>
    </i>
    <i t="default">
      <x v="1039"/>
    </i>
    <i>
      <x v="1043"/>
      <x v="2779"/>
    </i>
    <i t="default">
      <x v="1043"/>
    </i>
    <i>
      <x v="1077"/>
      <x v="2938"/>
    </i>
    <i t="default">
      <x v="1077"/>
    </i>
    <i>
      <x v="1079"/>
      <x v="2942"/>
    </i>
    <i t="default">
      <x v="1079"/>
    </i>
    <i>
      <x v="1090"/>
      <x v="2978"/>
    </i>
    <i r="1">
      <x v="3361"/>
    </i>
    <i t="default">
      <x v="1090"/>
    </i>
    <i>
      <x v="1097"/>
      <x v="3000"/>
    </i>
    <i t="default">
      <x v="1097"/>
    </i>
    <i>
      <x v="1106"/>
      <x v="3358"/>
    </i>
    <i t="default">
      <x v="1106"/>
    </i>
    <i>
      <x v="1108"/>
      <x v="3064"/>
    </i>
    <i t="default">
      <x v="1108"/>
    </i>
    <i>
      <x v="1112"/>
      <x v="3103"/>
    </i>
    <i t="default">
      <x v="1112"/>
    </i>
    <i>
      <x v="1137"/>
      <x v="3278"/>
    </i>
    <i t="default">
      <x v="1137"/>
    </i>
    <i>
      <x v="1144"/>
      <x v="3307"/>
    </i>
    <i t="default">
      <x v="1144"/>
    </i>
    <i>
      <x v="1145"/>
      <x v="3311"/>
    </i>
    <i t="default">
      <x v="1145"/>
    </i>
    <i>
      <x v="1147"/>
      <x v="3324"/>
    </i>
    <i t="default">
      <x v="1147"/>
    </i>
    <i>
      <x v="1151"/>
      <x v="3332"/>
    </i>
    <i t="default">
      <x v="1151"/>
    </i>
    <i>
      <x v="1157"/>
      <x v="3370"/>
    </i>
    <i r="1">
      <x v="3474"/>
    </i>
    <i t="default">
      <x v="1157"/>
    </i>
    <i>
      <x v="1163"/>
      <x v="3413"/>
    </i>
    <i t="default">
      <x v="1163"/>
    </i>
    <i>
      <x v="1164"/>
      <x v="3415"/>
    </i>
    <i t="default">
      <x v="1164"/>
    </i>
    <i>
      <x v="1165"/>
      <x v="3421"/>
    </i>
    <i t="default">
      <x v="1165"/>
    </i>
    <i>
      <x v="1167"/>
      <x v="3428"/>
    </i>
    <i t="default">
      <x v="1167"/>
    </i>
    <i t="grand">
      <x/>
    </i>
  </rowItems>
  <colFields count="1">
    <field x="-2"/>
  </colFields>
  <colItems count="2">
    <i>
      <x/>
    </i>
    <i i="1">
      <x v="1"/>
    </i>
  </colItems>
  <pageFields count="1">
    <pageField fld="22" hier="-1"/>
  </pageFields>
  <dataFields count="2">
    <dataField name="Cuenta de YA PAGA  EN SISTEMA" fld="22" subtotal="count" baseField="0" baseItem="0"/>
    <dataField name="Suma de Total" fld="14" baseField="0" baseItem="0" numFmtId="164"/>
  </dataFields>
  <formats count="75">
    <format dxfId="26">
      <pivotArea dataOnly="0" labelOnly="1" outline="0" fieldPosition="0">
        <references count="1">
          <reference field="22" count="1">
            <x v="0"/>
          </reference>
        </references>
      </pivotArea>
    </format>
    <format dxfId="27">
      <pivotArea field="2" type="button" dataOnly="0" labelOnly="1" outline="0" axis="axisRow" fieldPosition="1"/>
    </format>
    <format dxfId="28">
      <pivotArea dataOnly="0" labelOnly="1" outline="0" fieldPosition="0">
        <references count="2">
          <reference field="2" count="1">
            <x v="73"/>
          </reference>
          <reference field="10" count="1" selected="0">
            <x v="55"/>
          </reference>
        </references>
      </pivotArea>
    </format>
    <format dxfId="29">
      <pivotArea dataOnly="0" labelOnly="1" outline="0" fieldPosition="0">
        <references count="2">
          <reference field="2" count="1">
            <x v="281"/>
          </reference>
          <reference field="10" count="1" selected="0">
            <x v="96"/>
          </reference>
        </references>
      </pivotArea>
    </format>
    <format dxfId="30">
      <pivotArea dataOnly="0" labelOnly="1" outline="0" fieldPosition="0">
        <references count="2">
          <reference field="2" count="1">
            <x v="104"/>
          </reference>
          <reference field="10" count="1" selected="0">
            <x v="101"/>
          </reference>
        </references>
      </pivotArea>
    </format>
    <format dxfId="31">
      <pivotArea dataOnly="0" labelOnly="1" outline="0" fieldPosition="0">
        <references count="2">
          <reference field="2" count="1">
            <x v="540"/>
          </reference>
          <reference field="10" count="1" selected="0">
            <x v="146"/>
          </reference>
        </references>
      </pivotArea>
    </format>
    <format dxfId="32">
      <pivotArea dataOnly="0" labelOnly="1" outline="0" fieldPosition="0">
        <references count="2">
          <reference field="2" count="1">
            <x v="468"/>
          </reference>
          <reference field="10" count="1" selected="0">
            <x v="204"/>
          </reference>
        </references>
      </pivotArea>
    </format>
    <format dxfId="33">
      <pivotArea dataOnly="0" labelOnly="1" outline="0" fieldPosition="0">
        <references count="2">
          <reference field="2" count="1">
            <x v="86"/>
          </reference>
          <reference field="10" count="1" selected="0">
            <x v="220"/>
          </reference>
        </references>
      </pivotArea>
    </format>
    <format dxfId="34">
      <pivotArea dataOnly="0" labelOnly="1" outline="0" fieldPosition="0">
        <references count="2">
          <reference field="2" count="1">
            <x v="189"/>
          </reference>
          <reference field="10" count="1" selected="0">
            <x v="230"/>
          </reference>
        </references>
      </pivotArea>
    </format>
    <format dxfId="35">
      <pivotArea dataOnly="0" labelOnly="1" outline="0" fieldPosition="0">
        <references count="2">
          <reference field="2" count="2">
            <x v="335"/>
            <x v="498"/>
          </reference>
          <reference field="10" count="1" selected="0">
            <x v="244"/>
          </reference>
        </references>
      </pivotArea>
    </format>
    <format dxfId="36">
      <pivotArea dataOnly="0" labelOnly="1" outline="0" fieldPosition="0">
        <references count="2">
          <reference field="2" count="1">
            <x v="18"/>
          </reference>
          <reference field="10" count="1" selected="0">
            <x v="394"/>
          </reference>
        </references>
      </pivotArea>
    </format>
    <format dxfId="37">
      <pivotArea dataOnly="0" labelOnly="1" outline="0" fieldPosition="0">
        <references count="2">
          <reference field="2" count="1">
            <x v="333"/>
          </reference>
          <reference field="10" count="1" selected="0">
            <x v="405"/>
          </reference>
        </references>
      </pivotArea>
    </format>
    <format dxfId="38">
      <pivotArea dataOnly="0" labelOnly="1" outline="0" fieldPosition="0">
        <references count="2">
          <reference field="2" count="2">
            <x v="505"/>
            <x v="506"/>
          </reference>
          <reference field="10" count="1" selected="0">
            <x v="497"/>
          </reference>
        </references>
      </pivotArea>
    </format>
    <format dxfId="39">
      <pivotArea dataOnly="0" labelOnly="1" outline="0" fieldPosition="0">
        <references count="2">
          <reference field="2" count="2">
            <x v="269"/>
            <x v="270"/>
          </reference>
          <reference field="10" count="1" selected="0">
            <x v="530"/>
          </reference>
        </references>
      </pivotArea>
    </format>
    <format dxfId="40">
      <pivotArea field="22" type="button" dataOnly="0" labelOnly="1" outline="0" axis="axisPage" fieldPosition="0"/>
    </format>
    <format dxfId="41">
      <pivotArea field="10" type="button" dataOnly="0" labelOnly="1" outline="0" axis="axisRow" fieldPosition="0"/>
    </format>
    <format dxfId="42">
      <pivotArea dataOnly="0" labelOnly="1" outline="0" fieldPosition="0">
        <references count="1">
          <reference field="10" count="1">
            <x v="11"/>
          </reference>
        </references>
      </pivotArea>
    </format>
    <format dxfId="43">
      <pivotArea dataOnly="0" labelOnly="1" outline="0" fieldPosition="0">
        <references count="1">
          <reference field="10" count="1" defaultSubtotal="1">
            <x v="11"/>
          </reference>
        </references>
      </pivotArea>
    </format>
    <format dxfId="44">
      <pivotArea dataOnly="0" labelOnly="1" outline="0" fieldPosition="0">
        <references count="1">
          <reference field="10" count="1">
            <x v="55"/>
          </reference>
        </references>
      </pivotArea>
    </format>
    <format dxfId="45">
      <pivotArea dataOnly="0" labelOnly="1" outline="0" fieldPosition="0">
        <references count="1">
          <reference field="10" count="1" defaultSubtotal="1">
            <x v="55"/>
          </reference>
        </references>
      </pivotArea>
    </format>
    <format dxfId="46">
      <pivotArea dataOnly="0" labelOnly="1" outline="0" fieldPosition="0">
        <references count="1">
          <reference field="10" count="1">
            <x v="96"/>
          </reference>
        </references>
      </pivotArea>
    </format>
    <format dxfId="47">
      <pivotArea dataOnly="0" labelOnly="1" outline="0" fieldPosition="0">
        <references count="1">
          <reference field="10" count="1" defaultSubtotal="1">
            <x v="96"/>
          </reference>
        </references>
      </pivotArea>
    </format>
    <format dxfId="48">
      <pivotArea dataOnly="0" labelOnly="1" outline="0" fieldPosition="0">
        <references count="1">
          <reference field="10" count="1">
            <x v="101"/>
          </reference>
        </references>
      </pivotArea>
    </format>
    <format dxfId="49">
      <pivotArea dataOnly="0" labelOnly="1" outline="0" fieldPosition="0">
        <references count="1">
          <reference field="10" count="1" defaultSubtotal="1">
            <x v="101"/>
          </reference>
        </references>
      </pivotArea>
    </format>
    <format dxfId="50">
      <pivotArea dataOnly="0" labelOnly="1" outline="0" fieldPosition="0">
        <references count="1">
          <reference field="10" count="1">
            <x v="121"/>
          </reference>
        </references>
      </pivotArea>
    </format>
    <format dxfId="51">
      <pivotArea dataOnly="0" labelOnly="1" outline="0" fieldPosition="0">
        <references count="1">
          <reference field="10" count="1" defaultSubtotal="1">
            <x v="121"/>
          </reference>
        </references>
      </pivotArea>
    </format>
    <format dxfId="52">
      <pivotArea dataOnly="0" labelOnly="1" outline="0" fieldPosition="0">
        <references count="1">
          <reference field="10" count="1">
            <x v="146"/>
          </reference>
        </references>
      </pivotArea>
    </format>
    <format dxfId="53">
      <pivotArea dataOnly="0" labelOnly="1" outline="0" fieldPosition="0">
        <references count="1">
          <reference field="10" count="1" defaultSubtotal="1">
            <x v="146"/>
          </reference>
        </references>
      </pivotArea>
    </format>
    <format dxfId="54">
      <pivotArea dataOnly="0" labelOnly="1" outline="0" fieldPosition="0">
        <references count="1">
          <reference field="10" count="1">
            <x v="180"/>
          </reference>
        </references>
      </pivotArea>
    </format>
    <format dxfId="55">
      <pivotArea dataOnly="0" labelOnly="1" outline="0" fieldPosition="0">
        <references count="1">
          <reference field="10" count="1" defaultSubtotal="1">
            <x v="180"/>
          </reference>
        </references>
      </pivotArea>
    </format>
    <format dxfId="56">
      <pivotArea dataOnly="0" labelOnly="1" outline="0" fieldPosition="0">
        <references count="1">
          <reference field="10" count="1">
            <x v="187"/>
          </reference>
        </references>
      </pivotArea>
    </format>
    <format dxfId="57">
      <pivotArea dataOnly="0" labelOnly="1" outline="0" fieldPosition="0">
        <references count="1">
          <reference field="10" count="1" defaultSubtotal="1">
            <x v="187"/>
          </reference>
        </references>
      </pivotArea>
    </format>
    <format dxfId="58">
      <pivotArea dataOnly="0" labelOnly="1" outline="0" fieldPosition="0">
        <references count="1">
          <reference field="10" count="1">
            <x v="194"/>
          </reference>
        </references>
      </pivotArea>
    </format>
    <format dxfId="59">
      <pivotArea dataOnly="0" labelOnly="1" outline="0" fieldPosition="0">
        <references count="1">
          <reference field="10" count="1" defaultSubtotal="1">
            <x v="194"/>
          </reference>
        </references>
      </pivotArea>
    </format>
    <format dxfId="60">
      <pivotArea dataOnly="0" labelOnly="1" outline="0" fieldPosition="0">
        <references count="1">
          <reference field="10" count="1">
            <x v="204"/>
          </reference>
        </references>
      </pivotArea>
    </format>
    <format dxfId="61">
      <pivotArea dataOnly="0" labelOnly="1" outline="0" fieldPosition="0">
        <references count="1">
          <reference field="10" count="1" defaultSubtotal="1">
            <x v="204"/>
          </reference>
        </references>
      </pivotArea>
    </format>
    <format dxfId="62">
      <pivotArea dataOnly="0" labelOnly="1" outline="0" fieldPosition="0">
        <references count="1">
          <reference field="10" count="1">
            <x v="220"/>
          </reference>
        </references>
      </pivotArea>
    </format>
    <format dxfId="63">
      <pivotArea dataOnly="0" labelOnly="1" outline="0" fieldPosition="0">
        <references count="1">
          <reference field="10" count="1" defaultSubtotal="1">
            <x v="220"/>
          </reference>
        </references>
      </pivotArea>
    </format>
    <format dxfId="64">
      <pivotArea dataOnly="0" labelOnly="1" outline="0" fieldPosition="0">
        <references count="1">
          <reference field="10" count="1">
            <x v="224"/>
          </reference>
        </references>
      </pivotArea>
    </format>
    <format dxfId="65">
      <pivotArea dataOnly="0" labelOnly="1" outline="0" fieldPosition="0">
        <references count="1">
          <reference field="10" count="1" defaultSubtotal="1">
            <x v="224"/>
          </reference>
        </references>
      </pivotArea>
    </format>
    <format dxfId="66">
      <pivotArea dataOnly="0" labelOnly="1" outline="0" fieldPosition="0">
        <references count="1">
          <reference field="10" count="1">
            <x v="229"/>
          </reference>
        </references>
      </pivotArea>
    </format>
    <format dxfId="67">
      <pivotArea dataOnly="0" labelOnly="1" outline="0" fieldPosition="0">
        <references count="1">
          <reference field="10" count="1" defaultSubtotal="1">
            <x v="229"/>
          </reference>
        </references>
      </pivotArea>
    </format>
    <format dxfId="68">
      <pivotArea dataOnly="0" labelOnly="1" outline="0" fieldPosition="0">
        <references count="1">
          <reference field="10" count="1">
            <x v="230"/>
          </reference>
        </references>
      </pivotArea>
    </format>
    <format dxfId="69">
      <pivotArea dataOnly="0" labelOnly="1" outline="0" fieldPosition="0">
        <references count="1">
          <reference field="10" count="1" defaultSubtotal="1">
            <x v="230"/>
          </reference>
        </references>
      </pivotArea>
    </format>
    <format dxfId="70">
      <pivotArea dataOnly="0" labelOnly="1" outline="0" fieldPosition="0">
        <references count="1">
          <reference field="10" count="1">
            <x v="244"/>
          </reference>
        </references>
      </pivotArea>
    </format>
    <format dxfId="71">
      <pivotArea dataOnly="0" labelOnly="1" outline="0" fieldPosition="0">
        <references count="1">
          <reference field="10" count="1" defaultSubtotal="1">
            <x v="244"/>
          </reference>
        </references>
      </pivotArea>
    </format>
    <format dxfId="72">
      <pivotArea dataOnly="0" labelOnly="1" outline="0" fieldPosition="0">
        <references count="1">
          <reference field="10" count="1">
            <x v="268"/>
          </reference>
        </references>
      </pivotArea>
    </format>
    <format dxfId="73">
      <pivotArea dataOnly="0" labelOnly="1" outline="0" fieldPosition="0">
        <references count="1">
          <reference field="10" count="1" defaultSubtotal="1">
            <x v="268"/>
          </reference>
        </references>
      </pivotArea>
    </format>
    <format dxfId="74">
      <pivotArea dataOnly="0" labelOnly="1" outline="0" fieldPosition="0">
        <references count="1">
          <reference field="10" count="1">
            <x v="285"/>
          </reference>
        </references>
      </pivotArea>
    </format>
    <format dxfId="75">
      <pivotArea dataOnly="0" labelOnly="1" outline="0" fieldPosition="0">
        <references count="1">
          <reference field="10" count="1" defaultSubtotal="1">
            <x v="285"/>
          </reference>
        </references>
      </pivotArea>
    </format>
    <format dxfId="76">
      <pivotArea dataOnly="0" labelOnly="1" outline="0" fieldPosition="0">
        <references count="1">
          <reference field="10" count="1">
            <x v="312"/>
          </reference>
        </references>
      </pivotArea>
    </format>
    <format dxfId="77">
      <pivotArea dataOnly="0" labelOnly="1" outline="0" fieldPosition="0">
        <references count="1">
          <reference field="10" count="1" defaultSubtotal="1">
            <x v="312"/>
          </reference>
        </references>
      </pivotArea>
    </format>
    <format dxfId="78">
      <pivotArea dataOnly="0" labelOnly="1" outline="0" fieldPosition="0">
        <references count="1">
          <reference field="10" count="1">
            <x v="316"/>
          </reference>
        </references>
      </pivotArea>
    </format>
    <format dxfId="79">
      <pivotArea dataOnly="0" labelOnly="1" outline="0" fieldPosition="0">
        <references count="1">
          <reference field="10" count="1" defaultSubtotal="1">
            <x v="316"/>
          </reference>
        </references>
      </pivotArea>
    </format>
    <format dxfId="80">
      <pivotArea dataOnly="0" labelOnly="1" outline="0" fieldPosition="0">
        <references count="1">
          <reference field="10" count="1">
            <x v="349"/>
          </reference>
        </references>
      </pivotArea>
    </format>
    <format dxfId="81">
      <pivotArea dataOnly="0" labelOnly="1" outline="0" fieldPosition="0">
        <references count="1">
          <reference field="10" count="1" defaultSubtotal="1">
            <x v="349"/>
          </reference>
        </references>
      </pivotArea>
    </format>
    <format dxfId="82">
      <pivotArea dataOnly="0" labelOnly="1" outline="0" fieldPosition="0">
        <references count="1">
          <reference field="10" count="1">
            <x v="394"/>
          </reference>
        </references>
      </pivotArea>
    </format>
    <format dxfId="83">
      <pivotArea dataOnly="0" labelOnly="1" outline="0" fieldPosition="0">
        <references count="1">
          <reference field="10" count="1" defaultSubtotal="1">
            <x v="394"/>
          </reference>
        </references>
      </pivotArea>
    </format>
    <format dxfId="84">
      <pivotArea dataOnly="0" labelOnly="1" outline="0" fieldPosition="0">
        <references count="1">
          <reference field="10" count="1">
            <x v="405"/>
          </reference>
        </references>
      </pivotArea>
    </format>
    <format dxfId="85">
      <pivotArea dataOnly="0" labelOnly="1" outline="0" fieldPosition="0">
        <references count="1">
          <reference field="10" count="1" defaultSubtotal="1">
            <x v="405"/>
          </reference>
        </references>
      </pivotArea>
    </format>
    <format dxfId="86">
      <pivotArea dataOnly="0" labelOnly="1" outline="0" fieldPosition="0">
        <references count="1">
          <reference field="10" count="1">
            <x v="443"/>
          </reference>
        </references>
      </pivotArea>
    </format>
    <format dxfId="87">
      <pivotArea dataOnly="0" labelOnly="1" outline="0" fieldPosition="0">
        <references count="1">
          <reference field="10" count="1" defaultSubtotal="1">
            <x v="443"/>
          </reference>
        </references>
      </pivotArea>
    </format>
    <format dxfId="88">
      <pivotArea dataOnly="0" labelOnly="1" outline="0" fieldPosition="0">
        <references count="1">
          <reference field="10" count="1">
            <x v="449"/>
          </reference>
        </references>
      </pivotArea>
    </format>
    <format dxfId="89">
      <pivotArea dataOnly="0" labelOnly="1" outline="0" fieldPosition="0">
        <references count="1">
          <reference field="10" count="1" defaultSubtotal="1">
            <x v="449"/>
          </reference>
        </references>
      </pivotArea>
    </format>
    <format dxfId="90">
      <pivotArea dataOnly="0" labelOnly="1" outline="0" fieldPosition="0">
        <references count="1">
          <reference field="10" count="1">
            <x v="462"/>
          </reference>
        </references>
      </pivotArea>
    </format>
    <format dxfId="91">
      <pivotArea dataOnly="0" labelOnly="1" outline="0" fieldPosition="0">
        <references count="1">
          <reference field="10" count="1" defaultSubtotal="1">
            <x v="462"/>
          </reference>
        </references>
      </pivotArea>
    </format>
    <format dxfId="92">
      <pivotArea dataOnly="0" labelOnly="1" outline="0" fieldPosition="0">
        <references count="1">
          <reference field="10" count="1">
            <x v="497"/>
          </reference>
        </references>
      </pivotArea>
    </format>
    <format dxfId="93">
      <pivotArea dataOnly="0" labelOnly="1" outline="0" fieldPosition="0">
        <references count="1">
          <reference field="10" count="1" defaultSubtotal="1">
            <x v="497"/>
          </reference>
        </references>
      </pivotArea>
    </format>
    <format dxfId="94">
      <pivotArea dataOnly="0" labelOnly="1" outline="0" fieldPosition="0">
        <references count="1">
          <reference field="10" count="1">
            <x v="514"/>
          </reference>
        </references>
      </pivotArea>
    </format>
    <format dxfId="95">
      <pivotArea dataOnly="0" labelOnly="1" outline="0" fieldPosition="0">
        <references count="1">
          <reference field="10" count="1" defaultSubtotal="1">
            <x v="514"/>
          </reference>
        </references>
      </pivotArea>
    </format>
    <format dxfId="96">
      <pivotArea dataOnly="0" labelOnly="1" outline="0" fieldPosition="0">
        <references count="1">
          <reference field="10" count="1">
            <x v="530"/>
          </reference>
        </references>
      </pivotArea>
    </format>
    <format dxfId="97">
      <pivotArea dataOnly="0" labelOnly="1" outline="0" fieldPosition="0">
        <references count="1">
          <reference field="10" count="1" defaultSubtotal="1">
            <x v="530"/>
          </reference>
        </references>
      </pivotArea>
    </format>
    <format dxfId="98">
      <pivotArea dataOnly="0" labelOnly="1" outline="0" fieldPosition="0">
        <references count="1">
          <reference field="10" count="1">
            <x v="531"/>
          </reference>
        </references>
      </pivotArea>
    </format>
    <format dxfId="99">
      <pivotArea dataOnly="0" labelOnly="1" outline="0" fieldPosition="0">
        <references count="1">
          <reference field="10" count="1" defaultSubtotal="1">
            <x v="531"/>
          </reference>
        </references>
      </pivotArea>
    </format>
    <format dxfId="10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8A8ADC-73E6-4110-882A-68BA79F33B70}" name="Tabla1" displayName="Tabla1" ref="A11:X1957" totalsRowShown="0" headerRowDxfId="25" dataDxfId="24">
  <autoFilter ref="A11:X1957" xr:uid="{00000000-0001-0000-0000-000000000000}"/>
  <sortState xmlns:xlrd2="http://schemas.microsoft.com/office/spreadsheetml/2017/richdata2" ref="A1951:X1951">
    <sortCondition ref="C11:C1957"/>
  </sortState>
  <tableColumns count="24">
    <tableColumn id="1" xr3:uid="{2D60A885-B123-497D-A4F3-E3EDAC9261F0}" name="Tipo de documento" dataDxfId="23"/>
    <tableColumn id="2" xr3:uid="{F2DBBD32-15CC-40E4-B113-280A47457E78}" name="CUFE/CUDE" dataDxfId="22"/>
    <tableColumn id="3" xr3:uid="{A33500D3-858B-4C08-B0FB-356B63D46637}" name="Folio" dataDxfId="21"/>
    <tableColumn id="4" xr3:uid="{BF43D821-17B6-4AE7-85CB-65BA9DE8E863}" name="Columna1" dataDxfId="20">
      <calculatedColumnFormula>C12-C13</calculatedColumnFormula>
    </tableColumn>
    <tableColumn id="5" xr3:uid="{63EDDC6E-2C58-4386-9E0D-AB5B4B2938C7}" name="Prefijo" dataDxfId="19"/>
    <tableColumn id="6" xr3:uid="{3A4FC8FD-45C1-4358-A914-53BC64BC5CF6}" name="Fecha Emisión" dataDxfId="18"/>
    <tableColumn id="7" xr3:uid="{D086B146-D19D-4294-BBED-597DB20D7283}" name="Fecha Recepción" dataDxfId="17"/>
    <tableColumn id="8" xr3:uid="{6D5320FD-CC5A-4449-8BDD-D0EB4C353FE2}" name="NIT Emisor" dataDxfId="16"/>
    <tableColumn id="9" xr3:uid="{15E2EE82-888F-4982-91B3-632B6FAFECA5}" name="Nombre Emisor" dataDxfId="15"/>
    <tableColumn id="10" xr3:uid="{B73210DA-2EB0-49D7-997E-FFB5C609EF37}" name="NIT Receptor" dataDxfId="14"/>
    <tableColumn id="11" xr3:uid="{F3F7EC57-07E2-46A3-8CE8-49ECA73D51EE}" name="Nombre Receptor" dataDxfId="13"/>
    <tableColumn id="12" xr3:uid="{8F0B2C68-E2BD-424C-814E-1A38ED73C056}" name="IVA" dataDxfId="12"/>
    <tableColumn id="13" xr3:uid="{6FA5A60D-3460-446A-8A94-926E79C7E5D5}" name="ICA" dataDxfId="11"/>
    <tableColumn id="14" xr3:uid="{96F17F46-40CF-42BE-B5D9-C72CE28B87A1}" name="IPC" dataDxfId="10"/>
    <tableColumn id="15" xr3:uid="{F283309E-8793-43A5-98C6-4E74898E9EBA}" name="Total" dataDxfId="9"/>
    <tableColumn id="16" xr3:uid="{DA19C609-BB94-4F26-B5C0-C822901FBDF6}" name="Estado" dataDxfId="8"/>
    <tableColumn id="17" xr3:uid="{29FC9942-2901-4D5A-8D01-F2EA5A753490}" name="Grupo" dataDxfId="7"/>
    <tableColumn id="18" xr3:uid="{5F9B0D4B-DEC5-4B51-B50F-720B83B1F115}" name="1 ACUSE" dataDxfId="6"/>
    <tableColumn id="19" xr3:uid="{1A82B376-9EEA-4752-8B8B-5C76AFE0DEC3}" name="2 ACUSE" dataDxfId="5"/>
    <tableColumn id="20" xr3:uid="{38D6FDB8-5F6D-43F0-B351-7DB7928AE550}" name="3 ACUSE" dataDxfId="4"/>
    <tableColumn id="21" xr3:uid="{24D18E27-B644-46CD-A220-98276A9C5025}" name="RECHAZADA" dataDxfId="3"/>
    <tableColumn id="22" xr3:uid="{D7AF26F4-01FC-4B24-A18B-6968C4080328}" name="SIN ACUSE" dataDxfId="2"/>
    <tableColumn id="23" xr3:uid="{14A28E2D-052C-4324-B25E-C6F500627AF5}" name="YA PAGA  EN SISTEMA" dataDxfId="1"/>
    <tableColumn id="25" xr3:uid="{F8EF586D-1D64-40B1-827C-F26AC1335458}" name="OBSERVACIONE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8D964F-69C2-4B08-9BAE-CA98C23F282E}" name="Tabla2" displayName="Tabla2" ref="A3:X4" totalsRowShown="0">
  <autoFilter ref="A3:X4" xr:uid="{D58D964F-69C2-4B08-9BAE-CA98C23F282E}"/>
  <tableColumns count="24">
    <tableColumn id="1" xr3:uid="{7C30063D-96AE-43EE-AC05-10D3E026D591}" name="Tipo de documento"/>
    <tableColumn id="2" xr3:uid="{D60CC7C7-EB1E-456B-94B2-3CE6FC671782}" name="CUFE/CUDE"/>
    <tableColumn id="3" xr3:uid="{7BF5F39B-9205-4F02-A9A8-E35265A2C36D}" name="Folio"/>
    <tableColumn id="4" xr3:uid="{BA1A1BB6-714D-4E99-AF0B-D9A7497C393E}" name="Columna1"/>
    <tableColumn id="5" xr3:uid="{23CCA8A3-FA60-4572-BCD1-6EF8A57B4258}" name="Prefijo"/>
    <tableColumn id="6" xr3:uid="{E306E328-5813-4AC8-B0AB-9C35FDDBC094}" name="Fecha Emisión"/>
    <tableColumn id="7" xr3:uid="{59497542-7AD4-497E-8AA1-70E81FA07308}" name="Fecha Recepción"/>
    <tableColumn id="8" xr3:uid="{E0942DCA-6CF4-4086-85C3-1BB12696407A}" name="NIT Emisor"/>
    <tableColumn id="9" xr3:uid="{A2FD8413-050E-462C-8B5D-809AE100E84E}" name="Nombre Emisor"/>
    <tableColumn id="10" xr3:uid="{6A26EA5E-0D33-4567-BD31-7225758FD776}" name="NIT Receptor"/>
    <tableColumn id="11" xr3:uid="{C720BF0C-8C9C-4932-8BFB-0CF97F1D31FA}" name="Nombre Receptor"/>
    <tableColumn id="12" xr3:uid="{A7DD79D3-FAB0-423C-9731-2FB732432EFC}" name="IVA"/>
    <tableColumn id="13" xr3:uid="{12CD301B-B0D4-44DF-ABD8-AEF22405CCE1}" name="ICA"/>
    <tableColumn id="14" xr3:uid="{AC25A9EF-BCE6-4EAA-B04E-6D6D2ED6A298}" name="IPC"/>
    <tableColumn id="15" xr3:uid="{9A8BE19E-2FA7-4445-A28F-DE7E7D9BE85F}" name="Total"/>
    <tableColumn id="16" xr3:uid="{8D2615A2-1C53-4C24-AFED-2BBAADC6CE0D}" name="Estado"/>
    <tableColumn id="17" xr3:uid="{B4AF7151-07EF-4851-8859-05DBDFE0B84B}" name="Grupo"/>
    <tableColumn id="18" xr3:uid="{EAF6A2CA-9CE7-402D-A044-89F9D60B52B1}" name="1 ACUSE"/>
    <tableColumn id="19" xr3:uid="{60950DDA-FF47-4964-ACD2-7507C208D476}" name="2 ACUSE"/>
    <tableColumn id="20" xr3:uid="{19C0690E-8528-4091-9997-D5CB03D3EE06}" name="3 ACUSE"/>
    <tableColumn id="21" xr3:uid="{07B2DC34-97BB-428D-8D42-362490C0AD97}" name="RECHAZADA"/>
    <tableColumn id="22" xr3:uid="{A9504804-F51E-4B50-A1F1-306BEF31EE0F}" name="SIN ACUSE"/>
    <tableColumn id="23" xr3:uid="{0225B3B2-16DE-499C-BE7F-4D3589D38B37}" name="YA PAGA  EN SISTEMA"/>
    <tableColumn id="24" xr3:uid="{2D1CF3C7-94CD-4E4F-AC33-CFF0797B028C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1D2B89-EFAB-4695-82FB-A22FE0C77882}" name="Tabla3" displayName="Tabla3" ref="A3:X4" totalsRowShown="0">
  <autoFilter ref="A3:X4" xr:uid="{761D2B89-EFAB-4695-82FB-A22FE0C77882}"/>
  <tableColumns count="24">
    <tableColumn id="1" xr3:uid="{74051686-90BB-4C5B-843F-B1E023E86ACD}" name="Tipo de documento"/>
    <tableColumn id="2" xr3:uid="{16D24284-8A1E-48AC-B472-14333F36C8DB}" name="CUFE/CUDE"/>
    <tableColumn id="3" xr3:uid="{EDD7877C-E047-40C5-9C49-8B0A556D621C}" name="Folio"/>
    <tableColumn id="4" xr3:uid="{4E22157D-0099-48BD-948D-AD50B770AA71}" name="Columna1"/>
    <tableColumn id="5" xr3:uid="{2EBFB572-F808-4D7C-A485-6C76FF6A62BF}" name="Prefijo"/>
    <tableColumn id="6" xr3:uid="{DF794435-BCB9-417E-8C76-12E5D5549429}" name="Fecha Emisión"/>
    <tableColumn id="7" xr3:uid="{18CA14C6-AF36-41A9-BB7A-192F8152E074}" name="Fecha Recepción"/>
    <tableColumn id="8" xr3:uid="{682906F3-42FA-490B-A276-5BD58AA5B7A8}" name="NIT Emisor"/>
    <tableColumn id="9" xr3:uid="{38C53DD9-2A78-4947-B977-07966C2822EA}" name="Nombre Emisor"/>
    <tableColumn id="10" xr3:uid="{4CEF557A-BA1E-42B1-AA5C-B7858EA5B025}" name="NIT Receptor"/>
    <tableColumn id="11" xr3:uid="{282786CF-C663-41E4-9182-6B628AE5ADA7}" name="Nombre Receptor"/>
    <tableColumn id="12" xr3:uid="{A056BA7F-A719-4741-95CE-8ADC6C65A12E}" name="IVA"/>
    <tableColumn id="13" xr3:uid="{E3371445-672D-42DA-B489-726C7FC02512}" name="ICA"/>
    <tableColumn id="14" xr3:uid="{74FED7A8-8641-493F-BB66-6495B28C862F}" name="IPC"/>
    <tableColumn id="15" xr3:uid="{7497FA8B-9D4D-4577-88AD-8B22E4735D34}" name="Total"/>
    <tableColumn id="16" xr3:uid="{8F63993F-C927-4253-8D17-E8BD98A6D7F8}" name="Estado"/>
    <tableColumn id="17" xr3:uid="{1733D615-CA19-4C38-BDAF-6B71A664BD11}" name="Grupo"/>
    <tableColumn id="18" xr3:uid="{3BE581C8-D48B-4CC2-8BCA-874AF6416F11}" name="1 ACUSE"/>
    <tableColumn id="19" xr3:uid="{FF26095E-63BF-41CF-9452-B74752D03969}" name="2 ACUSE"/>
    <tableColumn id="20" xr3:uid="{8DE57E17-97FA-4F6D-9558-8FCBCFA465FF}" name="3 ACUSE"/>
    <tableColumn id="21" xr3:uid="{7B6F18D8-ADDF-431F-BEC8-BE32667D238C}" name="RECHAZADA"/>
    <tableColumn id="22" xr3:uid="{98A87B1D-FDC3-4C74-B0AB-8916444E1C5D}" name="SIN ACUSE"/>
    <tableColumn id="23" xr3:uid="{9E015EF5-7263-42BB-B9C0-9D97986F0BFE}" name="YA PAGA  EN SISTEMA"/>
    <tableColumn id="24" xr3:uid="{F3BE9AF2-0064-4E44-A1FC-6B8480FA96BA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57"/>
  <sheetViews>
    <sheetView workbookViewId="0">
      <pane ySplit="1" topLeftCell="A2" activePane="bottomLeft" state="frozen"/>
      <selection pane="bottomLeft" activeCell="H24" sqref="H24"/>
    </sheetView>
  </sheetViews>
  <sheetFormatPr defaultColWidth="9.140625" defaultRowHeight="12.75"/>
  <cols>
    <col min="1" max="1" width="17.85546875" style="1" customWidth="1"/>
    <col min="2" max="2" width="18.85546875" style="1" customWidth="1"/>
    <col min="3" max="3" width="18.7109375" style="6" bestFit="1" customWidth="1"/>
    <col min="4" max="4" width="7" style="1" customWidth="1"/>
    <col min="5" max="5" width="6.85546875" style="1" customWidth="1"/>
    <col min="6" max="6" width="8.42578125" style="1" customWidth="1"/>
    <col min="7" max="7" width="10.140625" style="1" customWidth="1"/>
    <col min="8" max="8" width="9" style="1" customWidth="1"/>
    <col min="9" max="9" width="12.42578125" style="1" customWidth="1"/>
    <col min="10" max="10" width="10.42578125" style="1" customWidth="1"/>
    <col min="11" max="11" width="18.7109375" style="1" customWidth="1"/>
    <col min="12" max="12" width="9.140625" style="1" customWidth="1"/>
    <col min="13" max="13" width="3" style="1" customWidth="1"/>
    <col min="14" max="14" width="4.28515625" style="1" customWidth="1"/>
    <col min="15" max="15" width="7.7109375" style="1" customWidth="1"/>
    <col min="16" max="16" width="9.140625" style="1" customWidth="1"/>
    <col min="17" max="17" width="7.5703125" style="1" customWidth="1"/>
    <col min="18" max="18" width="6.85546875" style="1" customWidth="1"/>
    <col min="19" max="19" width="6.42578125" style="1" customWidth="1"/>
    <col min="20" max="20" width="6.85546875" style="1" customWidth="1"/>
    <col min="21" max="21" width="7.140625" style="1" customWidth="1"/>
    <col min="22" max="22" width="7.7109375" style="1" customWidth="1"/>
    <col min="23" max="23" width="9.7109375" style="1" customWidth="1"/>
    <col min="24" max="24" width="33.140625" style="1" customWidth="1"/>
    <col min="25" max="16384" width="9.140625" style="1"/>
  </cols>
  <sheetData>
    <row r="1" spans="1:24" ht="15">
      <c r="A1" s="7" t="s">
        <v>0</v>
      </c>
      <c r="B1" s="8" t="s">
        <v>1</v>
      </c>
      <c r="C1" s="8" t="s">
        <v>2</v>
      </c>
    </row>
    <row r="2" spans="1:24" ht="15">
      <c r="A2" s="9" t="s">
        <v>3</v>
      </c>
      <c r="B2" s="9">
        <f>GETPIVOTDATA("Cuenta de SIN ACUSE",'SIN ACUSE'!$A$3)</f>
        <v>837</v>
      </c>
      <c r="C2" s="37">
        <f>GETPIVOTDATA("Suma de Total",'SIN ACUSE'!$A$3)</f>
        <v>5064932677.4699984</v>
      </c>
    </row>
    <row r="3" spans="1:24" ht="15">
      <c r="A3" s="10" t="s">
        <v>4</v>
      </c>
      <c r="B3" s="10">
        <f>GETPIVOTDATA("Cuenta de 1 ACUSE",'1 ACUSE'!$A$3)</f>
        <v>428</v>
      </c>
      <c r="C3" s="11">
        <f>GETPIVOTDATA("Suma de Total",'1 ACUSE'!$A$3)</f>
        <v>3196303055.8699965</v>
      </c>
    </row>
    <row r="4" spans="1:24" ht="15">
      <c r="A4" s="12" t="s">
        <v>5</v>
      </c>
      <c r="B4" s="12">
        <f>GETPIVOTDATA("Cuenta de 2 ACUSE",'2 ACUSES'!$A$3)</f>
        <v>69</v>
      </c>
      <c r="C4" s="13">
        <f>GETPIVOTDATA("Suma de Total",'2 ACUSES'!$A$3)</f>
        <v>209926110.75</v>
      </c>
    </row>
    <row r="5" spans="1:24" ht="15">
      <c r="A5" s="10" t="s">
        <v>6</v>
      </c>
      <c r="B5" s="10">
        <f>GETPIVOTDATA("Cuenta de 3 ACUSE",'3 ACUSES'!$A$3)</f>
        <v>367</v>
      </c>
      <c r="C5" s="11">
        <f>GETPIVOTDATA("Suma de Total",'3 ACUSES'!$A$3)</f>
        <v>1808445695.6700001</v>
      </c>
    </row>
    <row r="6" spans="1:24" ht="15">
      <c r="A6" s="14" t="s">
        <v>7</v>
      </c>
      <c r="B6" s="14">
        <f>GETPIVOTDATA("Cuenta de RECHAZADA",RECHAZADAS!$A$3)</f>
        <v>49</v>
      </c>
      <c r="C6" s="38">
        <f>GETPIVOTDATA("Suma de Total",RECHAZADAS!$A$3)</f>
        <v>1361346395.98</v>
      </c>
    </row>
    <row r="7" spans="1:24" ht="15">
      <c r="A7" s="15" t="s">
        <v>8</v>
      </c>
      <c r="B7" s="15">
        <f>GETPIVOTDATA("Cuenta de YA PAGA  EN SISTEMA",'PAGAS EN SISTEMA'!$A$1)</f>
        <v>192</v>
      </c>
      <c r="C7" s="39">
        <f>GETPIVOTDATA("Suma de Total",'PAGAS EN SISTEMA'!$A$3)</f>
        <v>1370820006.9399998</v>
      </c>
    </row>
    <row r="8" spans="1:24" ht="15">
      <c r="A8" s="16"/>
      <c r="B8" s="17">
        <f>SUM(B2:B7)</f>
        <v>1942</v>
      </c>
      <c r="C8" s="18">
        <f>SUM(C2:C7)</f>
        <v>13011773942.679995</v>
      </c>
    </row>
    <row r="11" spans="1:24">
      <c r="A11" s="2" t="s">
        <v>9</v>
      </c>
      <c r="B11" s="2" t="s">
        <v>10</v>
      </c>
      <c r="C11" s="5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18</v>
      </c>
      <c r="K11" s="2" t="s">
        <v>19</v>
      </c>
      <c r="L11" s="2" t="s">
        <v>20</v>
      </c>
      <c r="M11" s="2" t="s">
        <v>21</v>
      </c>
      <c r="N11" s="2" t="s">
        <v>22</v>
      </c>
      <c r="O11" s="2" t="s">
        <v>23</v>
      </c>
      <c r="P11" s="2" t="s">
        <v>24</v>
      </c>
      <c r="Q11" s="2" t="s">
        <v>25</v>
      </c>
      <c r="R11" s="3" t="s">
        <v>4</v>
      </c>
      <c r="S11" s="3" t="s">
        <v>26</v>
      </c>
      <c r="T11" s="3" t="s">
        <v>27</v>
      </c>
      <c r="U11" s="3" t="s">
        <v>28</v>
      </c>
      <c r="V11" s="3" t="s">
        <v>3</v>
      </c>
      <c r="W11" s="3" t="s">
        <v>29</v>
      </c>
      <c r="X11" s="4" t="s">
        <v>30</v>
      </c>
    </row>
    <row r="12" spans="1:24" s="29" customFormat="1">
      <c r="A12" s="34" t="s">
        <v>31</v>
      </c>
      <c r="B12" s="34" t="s">
        <v>32</v>
      </c>
      <c r="C12" s="34" t="s">
        <v>33</v>
      </c>
      <c r="D12" s="34">
        <f>C12-C13</f>
        <v>-1</v>
      </c>
      <c r="E12" s="34" t="s">
        <v>34</v>
      </c>
      <c r="F12" s="34" t="s">
        <v>35</v>
      </c>
      <c r="G12" s="34" t="s">
        <v>36</v>
      </c>
      <c r="H12" s="34" t="s">
        <v>37</v>
      </c>
      <c r="I12" s="34" t="s">
        <v>38</v>
      </c>
      <c r="J12" s="34" t="s">
        <v>39</v>
      </c>
      <c r="K12" s="34" t="s">
        <v>40</v>
      </c>
      <c r="L12" s="34">
        <v>2997725</v>
      </c>
      <c r="M12" s="34">
        <v>0</v>
      </c>
      <c r="N12" s="34">
        <v>0</v>
      </c>
      <c r="O12" s="34">
        <v>18775225</v>
      </c>
      <c r="P12" s="34" t="s">
        <v>41</v>
      </c>
      <c r="Q12" s="34" t="s">
        <v>42</v>
      </c>
      <c r="R12" s="26"/>
      <c r="S12" s="26"/>
      <c r="T12" s="26" t="s">
        <v>43</v>
      </c>
      <c r="U12" s="26"/>
      <c r="V12" s="26"/>
      <c r="W12" s="26"/>
      <c r="X12" s="26"/>
    </row>
    <row r="13" spans="1:24" s="29" customFormat="1">
      <c r="A13" s="26" t="s">
        <v>31</v>
      </c>
      <c r="B13" s="26" t="s">
        <v>44</v>
      </c>
      <c r="C13" s="26" t="s">
        <v>45</v>
      </c>
      <c r="D13" s="26">
        <f t="shared" ref="D13:D76" si="0">C13-C14</f>
        <v>-1</v>
      </c>
      <c r="E13" s="26" t="s">
        <v>34</v>
      </c>
      <c r="F13" s="26" t="s">
        <v>35</v>
      </c>
      <c r="G13" s="26" t="s">
        <v>46</v>
      </c>
      <c r="H13" s="26" t="s">
        <v>37</v>
      </c>
      <c r="I13" s="26" t="s">
        <v>38</v>
      </c>
      <c r="J13" s="26" t="s">
        <v>47</v>
      </c>
      <c r="K13" s="26" t="s">
        <v>48</v>
      </c>
      <c r="L13" s="26">
        <v>5455447.5800000001</v>
      </c>
      <c r="M13" s="26">
        <v>0</v>
      </c>
      <c r="N13" s="26">
        <v>0</v>
      </c>
      <c r="O13" s="26">
        <v>34168329.579999998</v>
      </c>
      <c r="P13" s="26" t="s">
        <v>41</v>
      </c>
      <c r="Q13" s="26" t="s">
        <v>42</v>
      </c>
      <c r="R13" s="26"/>
      <c r="S13" s="26"/>
      <c r="T13" s="26"/>
      <c r="U13" s="26"/>
      <c r="V13" s="26" t="s">
        <v>43</v>
      </c>
      <c r="W13" s="26"/>
      <c r="X13" s="26"/>
    </row>
    <row r="14" spans="1:24" s="29" customFormat="1">
      <c r="A14" s="33" t="s">
        <v>31</v>
      </c>
      <c r="B14" s="33" t="s">
        <v>49</v>
      </c>
      <c r="C14" s="33" t="s">
        <v>50</v>
      </c>
      <c r="D14" s="33">
        <f t="shared" si="0"/>
        <v>-1</v>
      </c>
      <c r="E14" s="33" t="s">
        <v>34</v>
      </c>
      <c r="F14" s="33" t="s">
        <v>35</v>
      </c>
      <c r="G14" s="33" t="s">
        <v>51</v>
      </c>
      <c r="H14" s="33" t="s">
        <v>37</v>
      </c>
      <c r="I14" s="33" t="s">
        <v>38</v>
      </c>
      <c r="J14" s="33" t="s">
        <v>52</v>
      </c>
      <c r="K14" s="33" t="s">
        <v>53</v>
      </c>
      <c r="L14" s="33">
        <v>28044</v>
      </c>
      <c r="M14" s="33">
        <v>0</v>
      </c>
      <c r="N14" s="33">
        <v>0</v>
      </c>
      <c r="O14" s="33">
        <v>175644</v>
      </c>
      <c r="P14" s="33" t="s">
        <v>41</v>
      </c>
      <c r="Q14" s="33" t="s">
        <v>42</v>
      </c>
      <c r="R14" s="26"/>
      <c r="S14" s="26" t="s">
        <v>43</v>
      </c>
      <c r="T14" s="26"/>
      <c r="U14" s="26"/>
      <c r="V14" s="26"/>
      <c r="W14" s="26"/>
      <c r="X14" s="26"/>
    </row>
    <row r="15" spans="1:24" s="29" customFormat="1">
      <c r="A15" s="33" t="s">
        <v>31</v>
      </c>
      <c r="B15" s="33" t="s">
        <v>54</v>
      </c>
      <c r="C15" s="33" t="s">
        <v>55</v>
      </c>
      <c r="D15" s="33">
        <f t="shared" si="0"/>
        <v>-1</v>
      </c>
      <c r="E15" s="33" t="s">
        <v>34</v>
      </c>
      <c r="F15" s="33" t="s">
        <v>35</v>
      </c>
      <c r="G15" s="33" t="s">
        <v>56</v>
      </c>
      <c r="H15" s="33" t="s">
        <v>37</v>
      </c>
      <c r="I15" s="33" t="s">
        <v>38</v>
      </c>
      <c r="J15" s="33" t="s">
        <v>52</v>
      </c>
      <c r="K15" s="33" t="s">
        <v>53</v>
      </c>
      <c r="L15" s="33">
        <v>12312</v>
      </c>
      <c r="M15" s="33">
        <v>0</v>
      </c>
      <c r="N15" s="33">
        <v>0</v>
      </c>
      <c r="O15" s="33">
        <v>77112</v>
      </c>
      <c r="P15" s="33" t="s">
        <v>41</v>
      </c>
      <c r="Q15" s="33" t="s">
        <v>42</v>
      </c>
      <c r="R15" s="26"/>
      <c r="S15" s="26" t="s">
        <v>43</v>
      </c>
      <c r="T15" s="26"/>
      <c r="U15" s="26"/>
      <c r="V15" s="26"/>
      <c r="W15" s="26"/>
      <c r="X15" s="26"/>
    </row>
    <row r="16" spans="1:24" s="29" customFormat="1">
      <c r="A16" s="34" t="s">
        <v>31</v>
      </c>
      <c r="B16" s="34" t="s">
        <v>57</v>
      </c>
      <c r="C16" s="34" t="s">
        <v>58</v>
      </c>
      <c r="D16" s="34">
        <f t="shared" si="0"/>
        <v>-1</v>
      </c>
      <c r="E16" s="34" t="s">
        <v>34</v>
      </c>
      <c r="F16" s="34" t="s">
        <v>35</v>
      </c>
      <c r="G16" s="34" t="s">
        <v>59</v>
      </c>
      <c r="H16" s="34" t="s">
        <v>37</v>
      </c>
      <c r="I16" s="34" t="s">
        <v>38</v>
      </c>
      <c r="J16" s="34" t="s">
        <v>52</v>
      </c>
      <c r="K16" s="34" t="s">
        <v>53</v>
      </c>
      <c r="L16" s="34">
        <v>126817.02</v>
      </c>
      <c r="M16" s="34">
        <v>0</v>
      </c>
      <c r="N16" s="34">
        <v>0</v>
      </c>
      <c r="O16" s="34">
        <v>794275.02</v>
      </c>
      <c r="P16" s="34" t="s">
        <v>41</v>
      </c>
      <c r="Q16" s="34" t="s">
        <v>42</v>
      </c>
      <c r="R16" s="26"/>
      <c r="S16" s="26"/>
      <c r="T16" s="26" t="s">
        <v>43</v>
      </c>
      <c r="U16" s="26"/>
      <c r="V16" s="26"/>
      <c r="W16" s="26"/>
      <c r="X16" s="26"/>
    </row>
    <row r="17" spans="1:24" s="29" customFormat="1">
      <c r="A17" s="34" t="s">
        <v>31</v>
      </c>
      <c r="B17" s="34" t="s">
        <v>60</v>
      </c>
      <c r="C17" s="34" t="s">
        <v>61</v>
      </c>
      <c r="D17" s="34">
        <f t="shared" si="0"/>
        <v>-1</v>
      </c>
      <c r="E17" s="34" t="s">
        <v>34</v>
      </c>
      <c r="F17" s="34" t="s">
        <v>35</v>
      </c>
      <c r="G17" s="34" t="s">
        <v>62</v>
      </c>
      <c r="H17" s="34" t="s">
        <v>37</v>
      </c>
      <c r="I17" s="34" t="s">
        <v>38</v>
      </c>
      <c r="J17" s="34" t="s">
        <v>52</v>
      </c>
      <c r="K17" s="34" t="s">
        <v>53</v>
      </c>
      <c r="L17" s="34">
        <v>264689.76</v>
      </c>
      <c r="M17" s="34">
        <v>0</v>
      </c>
      <c r="N17" s="34">
        <v>0</v>
      </c>
      <c r="O17" s="34">
        <v>1657793.76</v>
      </c>
      <c r="P17" s="34" t="s">
        <v>41</v>
      </c>
      <c r="Q17" s="34" t="s">
        <v>42</v>
      </c>
      <c r="R17" s="26"/>
      <c r="S17" s="26"/>
      <c r="T17" s="26" t="s">
        <v>43</v>
      </c>
      <c r="U17" s="26"/>
      <c r="V17" s="26"/>
      <c r="W17" s="26"/>
      <c r="X17" s="26"/>
    </row>
    <row r="18" spans="1:24" s="29" customFormat="1">
      <c r="A18" s="34" t="s">
        <v>31</v>
      </c>
      <c r="B18" s="34" t="s">
        <v>63</v>
      </c>
      <c r="C18" s="34" t="s">
        <v>64</v>
      </c>
      <c r="D18" s="34">
        <f t="shared" si="0"/>
        <v>-1</v>
      </c>
      <c r="E18" s="34" t="s">
        <v>34</v>
      </c>
      <c r="F18" s="34" t="s">
        <v>35</v>
      </c>
      <c r="G18" s="34" t="s">
        <v>65</v>
      </c>
      <c r="H18" s="34" t="s">
        <v>37</v>
      </c>
      <c r="I18" s="34" t="s">
        <v>38</v>
      </c>
      <c r="J18" s="34" t="s">
        <v>52</v>
      </c>
      <c r="K18" s="34" t="s">
        <v>53</v>
      </c>
      <c r="L18" s="34">
        <v>18667.5</v>
      </c>
      <c r="M18" s="34">
        <v>0</v>
      </c>
      <c r="N18" s="34">
        <v>0</v>
      </c>
      <c r="O18" s="34">
        <v>116917.5</v>
      </c>
      <c r="P18" s="34" t="s">
        <v>41</v>
      </c>
      <c r="Q18" s="34" t="s">
        <v>42</v>
      </c>
      <c r="R18" s="26"/>
      <c r="S18" s="26"/>
      <c r="T18" s="26" t="s">
        <v>43</v>
      </c>
      <c r="U18" s="26"/>
      <c r="V18" s="26"/>
      <c r="W18" s="26"/>
      <c r="X18" s="26"/>
    </row>
    <row r="19" spans="1:24" s="29" customFormat="1">
      <c r="A19" s="34" t="s">
        <v>31</v>
      </c>
      <c r="B19" s="34" t="s">
        <v>66</v>
      </c>
      <c r="C19" s="34" t="s">
        <v>67</v>
      </c>
      <c r="D19" s="34">
        <f t="shared" si="0"/>
        <v>-1</v>
      </c>
      <c r="E19" s="34" t="s">
        <v>34</v>
      </c>
      <c r="F19" s="34" t="s">
        <v>35</v>
      </c>
      <c r="G19" s="34" t="s">
        <v>68</v>
      </c>
      <c r="H19" s="34" t="s">
        <v>37</v>
      </c>
      <c r="I19" s="34" t="s">
        <v>38</v>
      </c>
      <c r="J19" s="34" t="s">
        <v>69</v>
      </c>
      <c r="K19" s="34" t="s">
        <v>70</v>
      </c>
      <c r="L19" s="34">
        <v>242866.74</v>
      </c>
      <c r="M19" s="34">
        <v>0</v>
      </c>
      <c r="N19" s="34">
        <v>0</v>
      </c>
      <c r="O19" s="34">
        <v>1521112.74</v>
      </c>
      <c r="P19" s="34" t="s">
        <v>41</v>
      </c>
      <c r="Q19" s="34" t="s">
        <v>42</v>
      </c>
      <c r="R19" s="26"/>
      <c r="S19" s="26"/>
      <c r="T19" s="26" t="s">
        <v>43</v>
      </c>
      <c r="U19" s="26"/>
      <c r="V19" s="26"/>
      <c r="W19" s="26"/>
      <c r="X19" s="26"/>
    </row>
    <row r="20" spans="1:24" s="29" customFormat="1">
      <c r="A20" s="34" t="s">
        <v>31</v>
      </c>
      <c r="B20" s="34" t="s">
        <v>71</v>
      </c>
      <c r="C20" s="34" t="s">
        <v>72</v>
      </c>
      <c r="D20" s="34">
        <f t="shared" si="0"/>
        <v>-1</v>
      </c>
      <c r="E20" s="34" t="s">
        <v>34</v>
      </c>
      <c r="F20" s="34" t="s">
        <v>35</v>
      </c>
      <c r="G20" s="34" t="s">
        <v>73</v>
      </c>
      <c r="H20" s="34" t="s">
        <v>37</v>
      </c>
      <c r="I20" s="34" t="s">
        <v>38</v>
      </c>
      <c r="J20" s="34" t="s">
        <v>69</v>
      </c>
      <c r="K20" s="34" t="s">
        <v>70</v>
      </c>
      <c r="L20" s="34">
        <v>59395.519999999997</v>
      </c>
      <c r="M20" s="34">
        <v>0</v>
      </c>
      <c r="N20" s="34">
        <v>0</v>
      </c>
      <c r="O20" s="34">
        <v>372003.52</v>
      </c>
      <c r="P20" s="34" t="s">
        <v>41</v>
      </c>
      <c r="Q20" s="34" t="s">
        <v>42</v>
      </c>
      <c r="R20" s="26"/>
      <c r="S20" s="26"/>
      <c r="T20" s="26" t="s">
        <v>43</v>
      </c>
      <c r="U20" s="26"/>
      <c r="V20" s="26"/>
      <c r="W20" s="26"/>
      <c r="X20" s="26"/>
    </row>
    <row r="21" spans="1:24" s="29" customFormat="1">
      <c r="A21" s="34" t="s">
        <v>31</v>
      </c>
      <c r="B21" s="34" t="s">
        <v>74</v>
      </c>
      <c r="C21" s="34" t="s">
        <v>75</v>
      </c>
      <c r="D21" s="34">
        <f t="shared" si="0"/>
        <v>-1</v>
      </c>
      <c r="E21" s="34" t="s">
        <v>34</v>
      </c>
      <c r="F21" s="34" t="s">
        <v>35</v>
      </c>
      <c r="G21" s="34" t="s">
        <v>76</v>
      </c>
      <c r="H21" s="34" t="s">
        <v>37</v>
      </c>
      <c r="I21" s="34" t="s">
        <v>38</v>
      </c>
      <c r="J21" s="34" t="s">
        <v>69</v>
      </c>
      <c r="K21" s="34" t="s">
        <v>70</v>
      </c>
      <c r="L21" s="34">
        <v>122892</v>
      </c>
      <c r="M21" s="34">
        <v>0</v>
      </c>
      <c r="N21" s="34">
        <v>0</v>
      </c>
      <c r="O21" s="34">
        <v>769692</v>
      </c>
      <c r="P21" s="34" t="s">
        <v>41</v>
      </c>
      <c r="Q21" s="34" t="s">
        <v>42</v>
      </c>
      <c r="R21" s="26"/>
      <c r="S21" s="26"/>
      <c r="T21" s="26" t="s">
        <v>43</v>
      </c>
      <c r="U21" s="26"/>
      <c r="V21" s="26"/>
      <c r="W21" s="26"/>
      <c r="X21" s="26"/>
    </row>
    <row r="22" spans="1:24" s="29" customFormat="1">
      <c r="A22" s="34" t="s">
        <v>31</v>
      </c>
      <c r="B22" s="34" t="s">
        <v>77</v>
      </c>
      <c r="C22" s="34" t="s">
        <v>78</v>
      </c>
      <c r="D22" s="34">
        <f t="shared" si="0"/>
        <v>-1</v>
      </c>
      <c r="E22" s="34" t="s">
        <v>34</v>
      </c>
      <c r="F22" s="34" t="s">
        <v>35</v>
      </c>
      <c r="G22" s="34" t="s">
        <v>79</v>
      </c>
      <c r="H22" s="34" t="s">
        <v>37</v>
      </c>
      <c r="I22" s="34" t="s">
        <v>38</v>
      </c>
      <c r="J22" s="34" t="s">
        <v>69</v>
      </c>
      <c r="K22" s="34" t="s">
        <v>70</v>
      </c>
      <c r="L22" s="34">
        <v>1139155.6399999999</v>
      </c>
      <c r="M22" s="34">
        <v>0</v>
      </c>
      <c r="N22" s="34">
        <v>0</v>
      </c>
      <c r="O22" s="34">
        <v>7134711.6399999997</v>
      </c>
      <c r="P22" s="34" t="s">
        <v>41</v>
      </c>
      <c r="Q22" s="34" t="s">
        <v>42</v>
      </c>
      <c r="R22" s="26"/>
      <c r="S22" s="26"/>
      <c r="T22" s="26" t="s">
        <v>43</v>
      </c>
      <c r="U22" s="26"/>
      <c r="V22" s="26"/>
      <c r="W22" s="26"/>
      <c r="X22" s="26"/>
    </row>
    <row r="23" spans="1:24" s="29" customFormat="1">
      <c r="A23" s="34" t="s">
        <v>31</v>
      </c>
      <c r="B23" s="34" t="s">
        <v>80</v>
      </c>
      <c r="C23" s="34" t="s">
        <v>81</v>
      </c>
      <c r="D23" s="34">
        <f t="shared" si="0"/>
        <v>-1</v>
      </c>
      <c r="E23" s="34" t="s">
        <v>34</v>
      </c>
      <c r="F23" s="34" t="s">
        <v>35</v>
      </c>
      <c r="G23" s="34" t="s">
        <v>82</v>
      </c>
      <c r="H23" s="34" t="s">
        <v>37</v>
      </c>
      <c r="I23" s="34" t="s">
        <v>38</v>
      </c>
      <c r="J23" s="34" t="s">
        <v>83</v>
      </c>
      <c r="K23" s="34" t="s">
        <v>84</v>
      </c>
      <c r="L23" s="34">
        <v>645400.17000000004</v>
      </c>
      <c r="M23" s="34">
        <v>0</v>
      </c>
      <c r="N23" s="34">
        <v>0</v>
      </c>
      <c r="O23" s="34">
        <v>4042243.17</v>
      </c>
      <c r="P23" s="34" t="s">
        <v>41</v>
      </c>
      <c r="Q23" s="34" t="s">
        <v>42</v>
      </c>
      <c r="R23" s="26"/>
      <c r="S23" s="26"/>
      <c r="T23" s="26" t="s">
        <v>43</v>
      </c>
      <c r="U23" s="26"/>
      <c r="V23" s="26"/>
      <c r="W23" s="26"/>
      <c r="X23" s="26"/>
    </row>
    <row r="24" spans="1:24" s="29" customFormat="1">
      <c r="A24" s="34" t="s">
        <v>31</v>
      </c>
      <c r="B24" s="34" t="s">
        <v>85</v>
      </c>
      <c r="C24" s="34" t="s">
        <v>86</v>
      </c>
      <c r="D24" s="34">
        <f t="shared" si="0"/>
        <v>-1</v>
      </c>
      <c r="E24" s="34" t="s">
        <v>34</v>
      </c>
      <c r="F24" s="34" t="s">
        <v>35</v>
      </c>
      <c r="G24" s="34" t="s">
        <v>87</v>
      </c>
      <c r="H24" s="34" t="s">
        <v>37</v>
      </c>
      <c r="I24" s="34" t="s">
        <v>38</v>
      </c>
      <c r="J24" s="34" t="s">
        <v>83</v>
      </c>
      <c r="K24" s="34" t="s">
        <v>84</v>
      </c>
      <c r="L24" s="34">
        <v>84091.72</v>
      </c>
      <c r="M24" s="34">
        <v>0</v>
      </c>
      <c r="N24" s="34">
        <v>0</v>
      </c>
      <c r="O24" s="34">
        <v>526679.72</v>
      </c>
      <c r="P24" s="34" t="s">
        <v>41</v>
      </c>
      <c r="Q24" s="34" t="s">
        <v>42</v>
      </c>
      <c r="R24" s="26"/>
      <c r="S24" s="26"/>
      <c r="T24" s="26" t="s">
        <v>43</v>
      </c>
      <c r="U24" s="26"/>
      <c r="V24" s="26"/>
      <c r="W24" s="26"/>
      <c r="X24" s="26"/>
    </row>
    <row r="25" spans="1:24" s="29" customFormat="1">
      <c r="A25" s="34" t="s">
        <v>31</v>
      </c>
      <c r="B25" s="34" t="s">
        <v>88</v>
      </c>
      <c r="C25" s="34" t="s">
        <v>89</v>
      </c>
      <c r="D25" s="34">
        <f t="shared" si="0"/>
        <v>-1</v>
      </c>
      <c r="E25" s="34" t="s">
        <v>34</v>
      </c>
      <c r="F25" s="34" t="s">
        <v>35</v>
      </c>
      <c r="G25" s="34" t="s">
        <v>90</v>
      </c>
      <c r="H25" s="34" t="s">
        <v>37</v>
      </c>
      <c r="I25" s="34" t="s">
        <v>38</v>
      </c>
      <c r="J25" s="34" t="s">
        <v>91</v>
      </c>
      <c r="K25" s="34" t="s">
        <v>92</v>
      </c>
      <c r="L25" s="34">
        <v>114001.52</v>
      </c>
      <c r="M25" s="34">
        <v>0</v>
      </c>
      <c r="N25" s="34">
        <v>0</v>
      </c>
      <c r="O25" s="34">
        <v>714009.52</v>
      </c>
      <c r="P25" s="34" t="s">
        <v>41</v>
      </c>
      <c r="Q25" s="34" t="s">
        <v>42</v>
      </c>
      <c r="R25" s="26"/>
      <c r="S25" s="26"/>
      <c r="T25" s="26" t="s">
        <v>43</v>
      </c>
      <c r="U25" s="26"/>
      <c r="V25" s="26"/>
      <c r="W25" s="26"/>
      <c r="X25" s="26"/>
    </row>
    <row r="26" spans="1:24" s="29" customFormat="1">
      <c r="A26" s="34" t="s">
        <v>31</v>
      </c>
      <c r="B26" s="34" t="s">
        <v>93</v>
      </c>
      <c r="C26" s="34" t="s">
        <v>94</v>
      </c>
      <c r="D26" s="34">
        <f t="shared" si="0"/>
        <v>-1</v>
      </c>
      <c r="E26" s="34" t="s">
        <v>34</v>
      </c>
      <c r="F26" s="34" t="s">
        <v>35</v>
      </c>
      <c r="G26" s="34" t="s">
        <v>95</v>
      </c>
      <c r="H26" s="34" t="s">
        <v>37</v>
      </c>
      <c r="I26" s="34" t="s">
        <v>38</v>
      </c>
      <c r="J26" s="34" t="s">
        <v>96</v>
      </c>
      <c r="K26" s="34" t="s">
        <v>97</v>
      </c>
      <c r="L26" s="34">
        <v>252995.45</v>
      </c>
      <c r="M26" s="34">
        <v>0</v>
      </c>
      <c r="N26" s="34">
        <v>0</v>
      </c>
      <c r="O26" s="34">
        <v>1584550.45</v>
      </c>
      <c r="P26" s="34" t="s">
        <v>41</v>
      </c>
      <c r="Q26" s="34" t="s">
        <v>42</v>
      </c>
      <c r="R26" s="26"/>
      <c r="S26" s="26"/>
      <c r="T26" s="26" t="s">
        <v>43</v>
      </c>
      <c r="U26" s="26"/>
      <c r="V26" s="26"/>
      <c r="W26" s="26"/>
      <c r="X26" s="26"/>
    </row>
    <row r="27" spans="1:24" s="29" customFormat="1">
      <c r="A27" s="34" t="s">
        <v>31</v>
      </c>
      <c r="B27" s="34" t="s">
        <v>98</v>
      </c>
      <c r="C27" s="34" t="s">
        <v>99</v>
      </c>
      <c r="D27" s="34">
        <f t="shared" si="0"/>
        <v>-1</v>
      </c>
      <c r="E27" s="34" t="s">
        <v>34</v>
      </c>
      <c r="F27" s="34" t="s">
        <v>35</v>
      </c>
      <c r="G27" s="34" t="s">
        <v>100</v>
      </c>
      <c r="H27" s="34" t="s">
        <v>37</v>
      </c>
      <c r="I27" s="34" t="s">
        <v>38</v>
      </c>
      <c r="J27" s="34" t="s">
        <v>101</v>
      </c>
      <c r="K27" s="34" t="s">
        <v>102</v>
      </c>
      <c r="L27" s="34">
        <v>2656777.6</v>
      </c>
      <c r="M27" s="34">
        <v>0</v>
      </c>
      <c r="N27" s="34">
        <v>0</v>
      </c>
      <c r="O27" s="34">
        <v>16639817.6</v>
      </c>
      <c r="P27" s="34" t="s">
        <v>41</v>
      </c>
      <c r="Q27" s="34" t="s">
        <v>42</v>
      </c>
      <c r="R27" s="26"/>
      <c r="S27" s="26"/>
      <c r="T27" s="26" t="s">
        <v>43</v>
      </c>
      <c r="U27" s="26"/>
      <c r="V27" s="26"/>
      <c r="W27" s="26"/>
      <c r="X27" s="26"/>
    </row>
    <row r="28" spans="1:24" s="29" customFormat="1">
      <c r="A28" s="26" t="s">
        <v>31</v>
      </c>
      <c r="B28" s="26" t="s">
        <v>103</v>
      </c>
      <c r="C28" s="26" t="s">
        <v>104</v>
      </c>
      <c r="D28" s="26">
        <f t="shared" si="0"/>
        <v>-1</v>
      </c>
      <c r="E28" s="26" t="s">
        <v>34</v>
      </c>
      <c r="F28" s="26" t="s">
        <v>35</v>
      </c>
      <c r="G28" s="26" t="s">
        <v>105</v>
      </c>
      <c r="H28" s="26" t="s">
        <v>37</v>
      </c>
      <c r="I28" s="26" t="s">
        <v>38</v>
      </c>
      <c r="J28" s="26" t="s">
        <v>106</v>
      </c>
      <c r="K28" s="26" t="s">
        <v>107</v>
      </c>
      <c r="L28" s="26">
        <v>1039812.43</v>
      </c>
      <c r="M28" s="26">
        <v>0</v>
      </c>
      <c r="N28" s="26">
        <v>0</v>
      </c>
      <c r="O28" s="26">
        <v>6512509.4299999997</v>
      </c>
      <c r="P28" s="26" t="s">
        <v>41</v>
      </c>
      <c r="Q28" s="26" t="s">
        <v>42</v>
      </c>
      <c r="R28" s="26"/>
      <c r="S28" s="26"/>
      <c r="T28" s="26"/>
      <c r="U28" s="26"/>
      <c r="V28" s="26" t="s">
        <v>43</v>
      </c>
      <c r="W28" s="26"/>
      <c r="X28" s="26"/>
    </row>
    <row r="29" spans="1:24" s="29" customFormat="1">
      <c r="A29" s="32" t="s">
        <v>31</v>
      </c>
      <c r="B29" s="32" t="s">
        <v>108</v>
      </c>
      <c r="C29" s="32" t="s">
        <v>109</v>
      </c>
      <c r="D29" s="32">
        <f t="shared" si="0"/>
        <v>-1</v>
      </c>
      <c r="E29" s="32" t="s">
        <v>34</v>
      </c>
      <c r="F29" s="32" t="s">
        <v>35</v>
      </c>
      <c r="G29" s="32" t="s">
        <v>110</v>
      </c>
      <c r="H29" s="32" t="s">
        <v>37</v>
      </c>
      <c r="I29" s="32" t="s">
        <v>38</v>
      </c>
      <c r="J29" s="32" t="s">
        <v>111</v>
      </c>
      <c r="K29" s="32" t="s">
        <v>112</v>
      </c>
      <c r="L29" s="32">
        <v>64899.06</v>
      </c>
      <c r="M29" s="32">
        <v>0</v>
      </c>
      <c r="N29" s="32">
        <v>0</v>
      </c>
      <c r="O29" s="32">
        <v>406473.06</v>
      </c>
      <c r="P29" s="32" t="s">
        <v>41</v>
      </c>
      <c r="Q29" s="32" t="s">
        <v>42</v>
      </c>
      <c r="R29" s="26" t="s">
        <v>43</v>
      </c>
      <c r="S29" s="26"/>
      <c r="T29" s="26"/>
      <c r="U29" s="26"/>
      <c r="V29" s="26"/>
      <c r="W29" s="26"/>
      <c r="X29" s="26"/>
    </row>
    <row r="30" spans="1:24" s="29" customFormat="1">
      <c r="A30" s="26" t="s">
        <v>31</v>
      </c>
      <c r="B30" s="26" t="s">
        <v>113</v>
      </c>
      <c r="C30" s="26" t="s">
        <v>114</v>
      </c>
      <c r="D30" s="26">
        <f t="shared" si="0"/>
        <v>-1</v>
      </c>
      <c r="E30" s="26" t="s">
        <v>34</v>
      </c>
      <c r="F30" s="26" t="s">
        <v>35</v>
      </c>
      <c r="G30" s="26" t="s">
        <v>115</v>
      </c>
      <c r="H30" s="26" t="s">
        <v>37</v>
      </c>
      <c r="I30" s="26" t="s">
        <v>38</v>
      </c>
      <c r="J30" s="26" t="s">
        <v>116</v>
      </c>
      <c r="K30" s="26" t="s">
        <v>117</v>
      </c>
      <c r="L30" s="26">
        <v>64940.1</v>
      </c>
      <c r="M30" s="26">
        <v>0</v>
      </c>
      <c r="N30" s="26">
        <v>0</v>
      </c>
      <c r="O30" s="26">
        <v>406730.1</v>
      </c>
      <c r="P30" s="26" t="s">
        <v>41</v>
      </c>
      <c r="Q30" s="26" t="s">
        <v>42</v>
      </c>
      <c r="R30" s="26"/>
      <c r="S30" s="26"/>
      <c r="T30" s="26"/>
      <c r="U30" s="26"/>
      <c r="V30" s="26" t="s">
        <v>43</v>
      </c>
      <c r="W30" s="26"/>
      <c r="X30" s="26"/>
    </row>
    <row r="31" spans="1:24" s="29" customFormat="1">
      <c r="A31" s="34" t="s">
        <v>31</v>
      </c>
      <c r="B31" s="34" t="s">
        <v>118</v>
      </c>
      <c r="C31" s="34" t="s">
        <v>119</v>
      </c>
      <c r="D31" s="34">
        <f t="shared" si="0"/>
        <v>-1</v>
      </c>
      <c r="E31" s="34" t="s">
        <v>34</v>
      </c>
      <c r="F31" s="34" t="s">
        <v>35</v>
      </c>
      <c r="G31" s="34" t="s">
        <v>120</v>
      </c>
      <c r="H31" s="34" t="s">
        <v>37</v>
      </c>
      <c r="I31" s="34" t="s">
        <v>38</v>
      </c>
      <c r="J31" s="34" t="s">
        <v>121</v>
      </c>
      <c r="K31" s="34" t="s">
        <v>122</v>
      </c>
      <c r="L31" s="34">
        <v>170240</v>
      </c>
      <c r="M31" s="34">
        <v>0</v>
      </c>
      <c r="N31" s="34">
        <v>0</v>
      </c>
      <c r="O31" s="34">
        <v>1066240</v>
      </c>
      <c r="P31" s="34" t="s">
        <v>41</v>
      </c>
      <c r="Q31" s="34" t="s">
        <v>42</v>
      </c>
      <c r="R31" s="26"/>
      <c r="S31" s="26"/>
      <c r="T31" s="26" t="s">
        <v>43</v>
      </c>
      <c r="U31" s="26"/>
      <c r="V31" s="26"/>
      <c r="W31" s="26"/>
      <c r="X31" s="26"/>
    </row>
    <row r="32" spans="1:24" s="29" customFormat="1">
      <c r="A32" s="34" t="s">
        <v>31</v>
      </c>
      <c r="B32" s="34" t="s">
        <v>123</v>
      </c>
      <c r="C32" s="34" t="s">
        <v>124</v>
      </c>
      <c r="D32" s="34">
        <f t="shared" si="0"/>
        <v>-1</v>
      </c>
      <c r="E32" s="34" t="s">
        <v>34</v>
      </c>
      <c r="F32" s="34" t="s">
        <v>35</v>
      </c>
      <c r="G32" s="34" t="s">
        <v>125</v>
      </c>
      <c r="H32" s="34" t="s">
        <v>37</v>
      </c>
      <c r="I32" s="34" t="s">
        <v>38</v>
      </c>
      <c r="J32" s="34" t="s">
        <v>126</v>
      </c>
      <c r="K32" s="34" t="s">
        <v>127</v>
      </c>
      <c r="L32" s="34">
        <v>16546.72</v>
      </c>
      <c r="M32" s="34">
        <v>0</v>
      </c>
      <c r="N32" s="34">
        <v>0</v>
      </c>
      <c r="O32" s="34">
        <v>103634.72</v>
      </c>
      <c r="P32" s="34" t="s">
        <v>41</v>
      </c>
      <c r="Q32" s="34" t="s">
        <v>42</v>
      </c>
      <c r="R32" s="26"/>
      <c r="S32" s="26"/>
      <c r="T32" s="26" t="s">
        <v>43</v>
      </c>
      <c r="U32" s="26"/>
      <c r="V32" s="26"/>
      <c r="W32" s="26"/>
      <c r="X32" s="26"/>
    </row>
    <row r="33" spans="1:24" s="29" customFormat="1">
      <c r="A33" s="26" t="s">
        <v>31</v>
      </c>
      <c r="B33" s="26" t="s">
        <v>128</v>
      </c>
      <c r="C33" s="26" t="s">
        <v>129</v>
      </c>
      <c r="D33" s="26">
        <f t="shared" si="0"/>
        <v>-1</v>
      </c>
      <c r="E33" s="26" t="s">
        <v>34</v>
      </c>
      <c r="F33" s="26" t="s">
        <v>35</v>
      </c>
      <c r="G33" s="26" t="s">
        <v>130</v>
      </c>
      <c r="H33" s="26" t="s">
        <v>37</v>
      </c>
      <c r="I33" s="26" t="s">
        <v>38</v>
      </c>
      <c r="J33" s="26" t="s">
        <v>131</v>
      </c>
      <c r="K33" s="26" t="s">
        <v>132</v>
      </c>
      <c r="L33" s="26">
        <v>160710.35999999999</v>
      </c>
      <c r="M33" s="26">
        <v>0</v>
      </c>
      <c r="N33" s="26">
        <v>0</v>
      </c>
      <c r="O33" s="26">
        <v>1006554.36</v>
      </c>
      <c r="P33" s="26" t="s">
        <v>41</v>
      </c>
      <c r="Q33" s="26" t="s">
        <v>42</v>
      </c>
      <c r="R33" s="26"/>
      <c r="S33" s="26"/>
      <c r="T33" s="26"/>
      <c r="U33" s="26"/>
      <c r="V33" s="26" t="s">
        <v>43</v>
      </c>
      <c r="W33" s="26"/>
      <c r="X33" s="26"/>
    </row>
    <row r="34" spans="1:24" s="29" customFormat="1">
      <c r="A34" s="35" t="s">
        <v>31</v>
      </c>
      <c r="B34" s="35" t="s">
        <v>133</v>
      </c>
      <c r="C34" s="35" t="s">
        <v>134</v>
      </c>
      <c r="D34" s="35">
        <f t="shared" si="0"/>
        <v>-1</v>
      </c>
      <c r="E34" s="35" t="s">
        <v>34</v>
      </c>
      <c r="F34" s="35" t="s">
        <v>35</v>
      </c>
      <c r="G34" s="35" t="s">
        <v>135</v>
      </c>
      <c r="H34" s="35" t="s">
        <v>37</v>
      </c>
      <c r="I34" s="35" t="s">
        <v>38</v>
      </c>
      <c r="J34" s="35" t="s">
        <v>136</v>
      </c>
      <c r="K34" s="35" t="s">
        <v>137</v>
      </c>
      <c r="L34" s="35">
        <v>0</v>
      </c>
      <c r="M34" s="35">
        <v>0</v>
      </c>
      <c r="N34" s="35">
        <v>0</v>
      </c>
      <c r="O34" s="35">
        <v>7931301</v>
      </c>
      <c r="P34" s="35" t="s">
        <v>41</v>
      </c>
      <c r="Q34" s="35" t="s">
        <v>42</v>
      </c>
      <c r="R34" s="26"/>
      <c r="S34" s="26"/>
      <c r="T34" s="26"/>
      <c r="U34" s="26"/>
      <c r="V34" s="26"/>
      <c r="W34" s="35" t="s">
        <v>43</v>
      </c>
      <c r="X34" s="26" t="s">
        <v>138</v>
      </c>
    </row>
    <row r="35" spans="1:24" s="29" customFormat="1">
      <c r="A35" s="34" t="s">
        <v>31</v>
      </c>
      <c r="B35" s="34" t="s">
        <v>139</v>
      </c>
      <c r="C35" s="34" t="s">
        <v>140</v>
      </c>
      <c r="D35" s="34">
        <f t="shared" si="0"/>
        <v>-1</v>
      </c>
      <c r="E35" s="34" t="s">
        <v>34</v>
      </c>
      <c r="F35" s="34" t="s">
        <v>35</v>
      </c>
      <c r="G35" s="34" t="s">
        <v>141</v>
      </c>
      <c r="H35" s="34" t="s">
        <v>37</v>
      </c>
      <c r="I35" s="34" t="s">
        <v>38</v>
      </c>
      <c r="J35" s="34" t="s">
        <v>142</v>
      </c>
      <c r="K35" s="34" t="s">
        <v>143</v>
      </c>
      <c r="L35" s="34">
        <v>133000</v>
      </c>
      <c r="M35" s="34">
        <v>0</v>
      </c>
      <c r="N35" s="34">
        <v>0</v>
      </c>
      <c r="O35" s="34">
        <v>833000</v>
      </c>
      <c r="P35" s="34" t="s">
        <v>41</v>
      </c>
      <c r="Q35" s="34" t="s">
        <v>42</v>
      </c>
      <c r="R35" s="26"/>
      <c r="S35" s="26"/>
      <c r="T35" s="26" t="s">
        <v>43</v>
      </c>
      <c r="U35" s="26"/>
      <c r="V35" s="26"/>
      <c r="W35" s="26"/>
      <c r="X35" s="26"/>
    </row>
    <row r="36" spans="1:24" s="29" customFormat="1">
      <c r="A36" s="34" t="s">
        <v>31</v>
      </c>
      <c r="B36" s="34" t="s">
        <v>144</v>
      </c>
      <c r="C36" s="34" t="s">
        <v>145</v>
      </c>
      <c r="D36" s="34">
        <f t="shared" si="0"/>
        <v>-1</v>
      </c>
      <c r="E36" s="34" t="s">
        <v>34</v>
      </c>
      <c r="F36" s="34" t="s">
        <v>35</v>
      </c>
      <c r="G36" s="34" t="s">
        <v>146</v>
      </c>
      <c r="H36" s="34" t="s">
        <v>37</v>
      </c>
      <c r="I36" s="34" t="s">
        <v>38</v>
      </c>
      <c r="J36" s="34" t="s">
        <v>142</v>
      </c>
      <c r="K36" s="34" t="s">
        <v>143</v>
      </c>
      <c r="L36" s="34">
        <v>35351.019999999997</v>
      </c>
      <c r="M36" s="34">
        <v>0</v>
      </c>
      <c r="N36" s="34">
        <v>0</v>
      </c>
      <c r="O36" s="34">
        <v>221409.02</v>
      </c>
      <c r="P36" s="34" t="s">
        <v>41</v>
      </c>
      <c r="Q36" s="34" t="s">
        <v>42</v>
      </c>
      <c r="R36" s="26"/>
      <c r="S36" s="26"/>
      <c r="T36" s="26" t="s">
        <v>43</v>
      </c>
      <c r="U36" s="26"/>
      <c r="V36" s="26"/>
      <c r="W36" s="26"/>
      <c r="X36" s="26"/>
    </row>
    <row r="37" spans="1:24" s="29" customFormat="1">
      <c r="A37" s="32" t="s">
        <v>31</v>
      </c>
      <c r="B37" s="32" t="s">
        <v>147</v>
      </c>
      <c r="C37" s="32" t="s">
        <v>148</v>
      </c>
      <c r="D37" s="32">
        <f t="shared" si="0"/>
        <v>-1</v>
      </c>
      <c r="E37" s="32" t="s">
        <v>34</v>
      </c>
      <c r="F37" s="32" t="s">
        <v>35</v>
      </c>
      <c r="G37" s="32" t="s">
        <v>149</v>
      </c>
      <c r="H37" s="32" t="s">
        <v>37</v>
      </c>
      <c r="I37" s="32" t="s">
        <v>38</v>
      </c>
      <c r="J37" s="32" t="s">
        <v>150</v>
      </c>
      <c r="K37" s="32" t="s">
        <v>151</v>
      </c>
      <c r="L37" s="32">
        <v>232354.8</v>
      </c>
      <c r="M37" s="32">
        <v>0</v>
      </c>
      <c r="N37" s="32">
        <v>0</v>
      </c>
      <c r="O37" s="32">
        <v>1455274.8</v>
      </c>
      <c r="P37" s="32" t="s">
        <v>41</v>
      </c>
      <c r="Q37" s="32" t="s">
        <v>42</v>
      </c>
      <c r="R37" s="26" t="s">
        <v>43</v>
      </c>
      <c r="S37" s="26"/>
      <c r="T37" s="26"/>
      <c r="U37" s="26"/>
      <c r="V37" s="26"/>
      <c r="W37" s="26"/>
      <c r="X37" s="26"/>
    </row>
    <row r="38" spans="1:24" s="29" customFormat="1">
      <c r="A38" s="35" t="s">
        <v>31</v>
      </c>
      <c r="B38" s="35" t="s">
        <v>152</v>
      </c>
      <c r="C38" s="35" t="s">
        <v>153</v>
      </c>
      <c r="D38" s="35">
        <f t="shared" si="0"/>
        <v>-1</v>
      </c>
      <c r="E38" s="35" t="s">
        <v>34</v>
      </c>
      <c r="F38" s="35" t="s">
        <v>35</v>
      </c>
      <c r="G38" s="35" t="s">
        <v>154</v>
      </c>
      <c r="H38" s="35" t="s">
        <v>37</v>
      </c>
      <c r="I38" s="35" t="s">
        <v>38</v>
      </c>
      <c r="J38" s="35" t="s">
        <v>155</v>
      </c>
      <c r="K38" s="35" t="s">
        <v>156</v>
      </c>
      <c r="L38" s="35">
        <v>104500</v>
      </c>
      <c r="M38" s="35">
        <v>0</v>
      </c>
      <c r="N38" s="35">
        <v>0</v>
      </c>
      <c r="O38" s="35">
        <v>654500</v>
      </c>
      <c r="P38" s="35" t="s">
        <v>41</v>
      </c>
      <c r="Q38" s="35" t="s">
        <v>42</v>
      </c>
      <c r="R38" s="26"/>
      <c r="S38" s="26"/>
      <c r="T38" s="26"/>
      <c r="U38" s="26"/>
      <c r="V38" s="26"/>
      <c r="W38" s="35" t="s">
        <v>43</v>
      </c>
      <c r="X38" s="26" t="s">
        <v>157</v>
      </c>
    </row>
    <row r="39" spans="1:24" s="29" customFormat="1">
      <c r="A39" s="34" t="s">
        <v>31</v>
      </c>
      <c r="B39" s="34" t="s">
        <v>158</v>
      </c>
      <c r="C39" s="34" t="s">
        <v>159</v>
      </c>
      <c r="D39" s="34">
        <f t="shared" si="0"/>
        <v>-1</v>
      </c>
      <c r="E39" s="34" t="s">
        <v>34</v>
      </c>
      <c r="F39" s="34" t="s">
        <v>35</v>
      </c>
      <c r="G39" s="34" t="s">
        <v>160</v>
      </c>
      <c r="H39" s="34" t="s">
        <v>37</v>
      </c>
      <c r="I39" s="34" t="s">
        <v>38</v>
      </c>
      <c r="J39" s="34" t="s">
        <v>161</v>
      </c>
      <c r="K39" s="34" t="s">
        <v>162</v>
      </c>
      <c r="L39" s="34">
        <v>26600</v>
      </c>
      <c r="M39" s="34">
        <v>0</v>
      </c>
      <c r="N39" s="34">
        <v>0</v>
      </c>
      <c r="O39" s="34">
        <v>166600</v>
      </c>
      <c r="P39" s="34" t="s">
        <v>41</v>
      </c>
      <c r="Q39" s="34" t="s">
        <v>42</v>
      </c>
      <c r="R39" s="26"/>
      <c r="S39" s="26"/>
      <c r="T39" s="26" t="s">
        <v>43</v>
      </c>
      <c r="U39" s="26"/>
      <c r="V39" s="26"/>
      <c r="W39" s="26"/>
      <c r="X39" s="26"/>
    </row>
    <row r="40" spans="1:24" s="29" customFormat="1">
      <c r="A40" s="34" t="s">
        <v>31</v>
      </c>
      <c r="B40" s="34" t="s">
        <v>163</v>
      </c>
      <c r="C40" s="34" t="s">
        <v>164</v>
      </c>
      <c r="D40" s="34">
        <f t="shared" si="0"/>
        <v>-1</v>
      </c>
      <c r="E40" s="34" t="s">
        <v>34</v>
      </c>
      <c r="F40" s="34" t="s">
        <v>35</v>
      </c>
      <c r="G40" s="34" t="s">
        <v>165</v>
      </c>
      <c r="H40" s="34" t="s">
        <v>37</v>
      </c>
      <c r="I40" s="34" t="s">
        <v>38</v>
      </c>
      <c r="J40" s="34" t="s">
        <v>166</v>
      </c>
      <c r="K40" s="34" t="s">
        <v>167</v>
      </c>
      <c r="L40" s="34">
        <v>1758450</v>
      </c>
      <c r="M40" s="34">
        <v>0</v>
      </c>
      <c r="N40" s="34">
        <v>0</v>
      </c>
      <c r="O40" s="34">
        <v>11013450</v>
      </c>
      <c r="P40" s="34" t="s">
        <v>41</v>
      </c>
      <c r="Q40" s="34" t="s">
        <v>42</v>
      </c>
      <c r="R40" s="26"/>
      <c r="S40" s="26"/>
      <c r="T40" s="26" t="s">
        <v>43</v>
      </c>
      <c r="U40" s="26"/>
      <c r="V40" s="26"/>
      <c r="W40" s="26"/>
      <c r="X40" s="26"/>
    </row>
    <row r="41" spans="1:24" s="29" customFormat="1">
      <c r="A41" s="34" t="s">
        <v>31</v>
      </c>
      <c r="B41" s="34" t="s">
        <v>168</v>
      </c>
      <c r="C41" s="34" t="s">
        <v>169</v>
      </c>
      <c r="D41" s="34">
        <f t="shared" si="0"/>
        <v>-1</v>
      </c>
      <c r="E41" s="34" t="s">
        <v>34</v>
      </c>
      <c r="F41" s="34" t="s">
        <v>35</v>
      </c>
      <c r="G41" s="34" t="s">
        <v>170</v>
      </c>
      <c r="H41" s="34" t="s">
        <v>37</v>
      </c>
      <c r="I41" s="34" t="s">
        <v>38</v>
      </c>
      <c r="J41" s="34" t="s">
        <v>171</v>
      </c>
      <c r="K41" s="34" t="s">
        <v>172</v>
      </c>
      <c r="L41" s="34">
        <v>81962.2</v>
      </c>
      <c r="M41" s="34">
        <v>0</v>
      </c>
      <c r="N41" s="34">
        <v>0</v>
      </c>
      <c r="O41" s="34">
        <v>513342.2</v>
      </c>
      <c r="P41" s="34" t="s">
        <v>41</v>
      </c>
      <c r="Q41" s="34" t="s">
        <v>42</v>
      </c>
      <c r="R41" s="26"/>
      <c r="S41" s="26"/>
      <c r="T41" s="26" t="s">
        <v>43</v>
      </c>
      <c r="U41" s="26"/>
      <c r="V41" s="26"/>
      <c r="W41" s="26"/>
      <c r="X41" s="26"/>
    </row>
    <row r="42" spans="1:24" s="29" customFormat="1">
      <c r="A42" s="34" t="s">
        <v>31</v>
      </c>
      <c r="B42" s="34" t="s">
        <v>173</v>
      </c>
      <c r="C42" s="34" t="s">
        <v>174</v>
      </c>
      <c r="D42" s="34">
        <f t="shared" si="0"/>
        <v>-1</v>
      </c>
      <c r="E42" s="34" t="s">
        <v>34</v>
      </c>
      <c r="F42" s="34" t="s">
        <v>35</v>
      </c>
      <c r="G42" s="34" t="s">
        <v>175</v>
      </c>
      <c r="H42" s="34" t="s">
        <v>37</v>
      </c>
      <c r="I42" s="34" t="s">
        <v>38</v>
      </c>
      <c r="J42" s="34" t="s">
        <v>171</v>
      </c>
      <c r="K42" s="34" t="s">
        <v>172</v>
      </c>
      <c r="L42" s="34">
        <v>155069.9</v>
      </c>
      <c r="M42" s="34">
        <v>0</v>
      </c>
      <c r="N42" s="34">
        <v>0</v>
      </c>
      <c r="O42" s="34">
        <v>1349079.9</v>
      </c>
      <c r="P42" s="34" t="s">
        <v>41</v>
      </c>
      <c r="Q42" s="34" t="s">
        <v>42</v>
      </c>
      <c r="R42" s="26"/>
      <c r="S42" s="26"/>
      <c r="T42" s="26" t="s">
        <v>43</v>
      </c>
      <c r="U42" s="26"/>
      <c r="V42" s="26"/>
      <c r="W42" s="26"/>
      <c r="X42" s="26"/>
    </row>
    <row r="43" spans="1:24" s="29" customFormat="1">
      <c r="A43" s="35" t="s">
        <v>31</v>
      </c>
      <c r="B43" s="35" t="s">
        <v>176</v>
      </c>
      <c r="C43" s="35" t="s">
        <v>177</v>
      </c>
      <c r="D43" s="35">
        <f t="shared" si="0"/>
        <v>-1</v>
      </c>
      <c r="E43" s="35" t="s">
        <v>34</v>
      </c>
      <c r="F43" s="35" t="s">
        <v>35</v>
      </c>
      <c r="G43" s="35" t="s">
        <v>178</v>
      </c>
      <c r="H43" s="35" t="s">
        <v>37</v>
      </c>
      <c r="I43" s="35" t="s">
        <v>38</v>
      </c>
      <c r="J43" s="35" t="s">
        <v>179</v>
      </c>
      <c r="K43" s="35" t="s">
        <v>180</v>
      </c>
      <c r="L43" s="35">
        <v>42919.48</v>
      </c>
      <c r="M43" s="35">
        <v>0</v>
      </c>
      <c r="N43" s="35">
        <v>0</v>
      </c>
      <c r="O43" s="35">
        <v>268811.48</v>
      </c>
      <c r="P43" s="35" t="s">
        <v>41</v>
      </c>
      <c r="Q43" s="35" t="s">
        <v>42</v>
      </c>
      <c r="R43" s="26"/>
      <c r="S43" s="26"/>
      <c r="T43" s="26"/>
      <c r="U43" s="26"/>
      <c r="V43" s="26"/>
      <c r="W43" s="35" t="s">
        <v>43</v>
      </c>
      <c r="X43" s="26" t="s">
        <v>157</v>
      </c>
    </row>
    <row r="44" spans="1:24" s="29" customFormat="1">
      <c r="A44" s="32" t="s">
        <v>31</v>
      </c>
      <c r="B44" s="32" t="s">
        <v>181</v>
      </c>
      <c r="C44" s="32" t="s">
        <v>182</v>
      </c>
      <c r="D44" s="32">
        <f t="shared" si="0"/>
        <v>-1</v>
      </c>
      <c r="E44" s="32" t="s">
        <v>34</v>
      </c>
      <c r="F44" s="32" t="s">
        <v>35</v>
      </c>
      <c r="G44" s="32" t="s">
        <v>183</v>
      </c>
      <c r="H44" s="32" t="s">
        <v>37</v>
      </c>
      <c r="I44" s="32" t="s">
        <v>38</v>
      </c>
      <c r="J44" s="32" t="s">
        <v>184</v>
      </c>
      <c r="K44" s="32" t="s">
        <v>185</v>
      </c>
      <c r="L44" s="32">
        <v>481788.89</v>
      </c>
      <c r="M44" s="32">
        <v>0</v>
      </c>
      <c r="N44" s="32">
        <v>0</v>
      </c>
      <c r="O44" s="32">
        <v>3017519.89</v>
      </c>
      <c r="P44" s="32" t="s">
        <v>41</v>
      </c>
      <c r="Q44" s="32" t="s">
        <v>42</v>
      </c>
      <c r="R44" s="26" t="s">
        <v>43</v>
      </c>
      <c r="S44" s="26"/>
      <c r="T44" s="26"/>
      <c r="U44" s="26"/>
      <c r="V44" s="26"/>
      <c r="W44" s="26"/>
      <c r="X44" s="26"/>
    </row>
    <row r="45" spans="1:24" s="29" customFormat="1">
      <c r="A45" s="26" t="s">
        <v>31</v>
      </c>
      <c r="B45" s="26" t="s">
        <v>186</v>
      </c>
      <c r="C45" s="26" t="s">
        <v>187</v>
      </c>
      <c r="D45" s="26">
        <f t="shared" si="0"/>
        <v>-1</v>
      </c>
      <c r="E45" s="26" t="s">
        <v>34</v>
      </c>
      <c r="F45" s="26" t="s">
        <v>35</v>
      </c>
      <c r="G45" s="26" t="s">
        <v>188</v>
      </c>
      <c r="H45" s="26" t="s">
        <v>37</v>
      </c>
      <c r="I45" s="26" t="s">
        <v>38</v>
      </c>
      <c r="J45" s="26" t="s">
        <v>189</v>
      </c>
      <c r="K45" s="26" t="s">
        <v>190</v>
      </c>
      <c r="L45" s="26">
        <v>274708.27</v>
      </c>
      <c r="M45" s="26">
        <v>0</v>
      </c>
      <c r="N45" s="26">
        <v>0</v>
      </c>
      <c r="O45" s="26">
        <v>1720541.27</v>
      </c>
      <c r="P45" s="26" t="s">
        <v>41</v>
      </c>
      <c r="Q45" s="26" t="s">
        <v>42</v>
      </c>
      <c r="R45" s="26"/>
      <c r="S45" s="26"/>
      <c r="T45" s="26"/>
      <c r="U45" s="26"/>
      <c r="V45" s="26" t="s">
        <v>43</v>
      </c>
      <c r="W45" s="26"/>
      <c r="X45" s="26"/>
    </row>
    <row r="46" spans="1:24" s="29" customFormat="1">
      <c r="A46" s="32" t="s">
        <v>31</v>
      </c>
      <c r="B46" s="32" t="s">
        <v>191</v>
      </c>
      <c r="C46" s="32" t="s">
        <v>192</v>
      </c>
      <c r="D46" s="32">
        <f t="shared" si="0"/>
        <v>-1</v>
      </c>
      <c r="E46" s="32" t="s">
        <v>34</v>
      </c>
      <c r="F46" s="32" t="s">
        <v>35</v>
      </c>
      <c r="G46" s="32" t="s">
        <v>193</v>
      </c>
      <c r="H46" s="32" t="s">
        <v>37</v>
      </c>
      <c r="I46" s="32" t="s">
        <v>38</v>
      </c>
      <c r="J46" s="32" t="s">
        <v>194</v>
      </c>
      <c r="K46" s="32" t="s">
        <v>195</v>
      </c>
      <c r="L46" s="32">
        <v>1699241.63</v>
      </c>
      <c r="M46" s="32">
        <v>0</v>
      </c>
      <c r="N46" s="32">
        <v>0</v>
      </c>
      <c r="O46" s="32">
        <v>10642618.630000001</v>
      </c>
      <c r="P46" s="32" t="s">
        <v>41</v>
      </c>
      <c r="Q46" s="32" t="s">
        <v>42</v>
      </c>
      <c r="R46" s="26" t="s">
        <v>43</v>
      </c>
      <c r="S46" s="26"/>
      <c r="T46" s="26"/>
      <c r="U46" s="26"/>
      <c r="V46" s="26"/>
      <c r="W46" s="26"/>
      <c r="X46" s="26"/>
    </row>
    <row r="47" spans="1:24" s="29" customFormat="1">
      <c r="A47" s="31" t="s">
        <v>31</v>
      </c>
      <c r="B47" s="31" t="s">
        <v>196</v>
      </c>
      <c r="C47" s="31" t="s">
        <v>197</v>
      </c>
      <c r="D47" s="31">
        <f t="shared" si="0"/>
        <v>-1</v>
      </c>
      <c r="E47" s="31" t="s">
        <v>34</v>
      </c>
      <c r="F47" s="31" t="s">
        <v>35</v>
      </c>
      <c r="G47" s="31" t="s">
        <v>193</v>
      </c>
      <c r="H47" s="31" t="s">
        <v>37</v>
      </c>
      <c r="I47" s="31" t="s">
        <v>38</v>
      </c>
      <c r="J47" s="31" t="s">
        <v>194</v>
      </c>
      <c r="K47" s="31" t="s">
        <v>195</v>
      </c>
      <c r="L47" s="31">
        <v>743268.6</v>
      </c>
      <c r="M47" s="31">
        <v>0</v>
      </c>
      <c r="N47" s="31">
        <v>0</v>
      </c>
      <c r="O47" s="31">
        <v>6651505.5999999996</v>
      </c>
      <c r="P47" s="31" t="s">
        <v>41</v>
      </c>
      <c r="Q47" s="31" t="s">
        <v>42</v>
      </c>
      <c r="R47" s="26"/>
      <c r="S47" s="26"/>
      <c r="T47" s="26"/>
      <c r="U47" s="31" t="s">
        <v>43</v>
      </c>
      <c r="V47" s="26"/>
      <c r="W47" s="35"/>
      <c r="X47" s="26"/>
    </row>
    <row r="48" spans="1:24" s="29" customFormat="1">
      <c r="A48" s="31" t="s">
        <v>31</v>
      </c>
      <c r="B48" s="31" t="s">
        <v>198</v>
      </c>
      <c r="C48" s="31" t="s">
        <v>199</v>
      </c>
      <c r="D48" s="31">
        <f t="shared" si="0"/>
        <v>-1</v>
      </c>
      <c r="E48" s="31" t="s">
        <v>34</v>
      </c>
      <c r="F48" s="31" t="s">
        <v>35</v>
      </c>
      <c r="G48" s="31" t="s">
        <v>200</v>
      </c>
      <c r="H48" s="31" t="s">
        <v>37</v>
      </c>
      <c r="I48" s="31" t="s">
        <v>38</v>
      </c>
      <c r="J48" s="31" t="s">
        <v>194</v>
      </c>
      <c r="K48" s="31" t="s">
        <v>195</v>
      </c>
      <c r="L48" s="31">
        <v>6296024.8700000001</v>
      </c>
      <c r="M48" s="31">
        <v>0</v>
      </c>
      <c r="N48" s="31">
        <v>0</v>
      </c>
      <c r="O48" s="31">
        <v>39432997.869999997</v>
      </c>
      <c r="P48" s="31" t="s">
        <v>41</v>
      </c>
      <c r="Q48" s="31" t="s">
        <v>42</v>
      </c>
      <c r="R48" s="26"/>
      <c r="S48" s="26"/>
      <c r="T48" s="26"/>
      <c r="U48" s="31" t="s">
        <v>43</v>
      </c>
      <c r="V48" s="26"/>
      <c r="W48" s="26"/>
      <c r="X48" s="26" t="s">
        <v>201</v>
      </c>
    </row>
    <row r="49" spans="1:24" s="29" customFormat="1">
      <c r="A49" s="31" t="s">
        <v>31</v>
      </c>
      <c r="B49" s="31" t="s">
        <v>202</v>
      </c>
      <c r="C49" s="31" t="s">
        <v>203</v>
      </c>
      <c r="D49" s="31">
        <f t="shared" si="0"/>
        <v>-1</v>
      </c>
      <c r="E49" s="31" t="s">
        <v>34</v>
      </c>
      <c r="F49" s="31" t="s">
        <v>35</v>
      </c>
      <c r="G49" s="31" t="s">
        <v>204</v>
      </c>
      <c r="H49" s="31" t="s">
        <v>37</v>
      </c>
      <c r="I49" s="31" t="s">
        <v>38</v>
      </c>
      <c r="J49" s="31" t="s">
        <v>194</v>
      </c>
      <c r="K49" s="31" t="s">
        <v>195</v>
      </c>
      <c r="L49" s="31">
        <v>11865835.35</v>
      </c>
      <c r="M49" s="31">
        <v>0</v>
      </c>
      <c r="N49" s="31">
        <v>0</v>
      </c>
      <c r="O49" s="31">
        <v>74317600.349999994</v>
      </c>
      <c r="P49" s="31" t="s">
        <v>41</v>
      </c>
      <c r="Q49" s="31" t="s">
        <v>42</v>
      </c>
      <c r="R49" s="26"/>
      <c r="S49" s="26"/>
      <c r="T49" s="26"/>
      <c r="U49" s="31" t="s">
        <v>43</v>
      </c>
      <c r="V49" s="26"/>
      <c r="W49" s="26"/>
      <c r="X49" s="26" t="s">
        <v>205</v>
      </c>
    </row>
    <row r="50" spans="1:24" s="29" customFormat="1">
      <c r="A50" s="31" t="s">
        <v>31</v>
      </c>
      <c r="B50" s="31" t="s">
        <v>206</v>
      </c>
      <c r="C50" s="31" t="s">
        <v>207</v>
      </c>
      <c r="D50" s="31">
        <f t="shared" si="0"/>
        <v>-1</v>
      </c>
      <c r="E50" s="31" t="s">
        <v>34</v>
      </c>
      <c r="F50" s="31" t="s">
        <v>35</v>
      </c>
      <c r="G50" s="31" t="s">
        <v>208</v>
      </c>
      <c r="H50" s="31" t="s">
        <v>37</v>
      </c>
      <c r="I50" s="31" t="s">
        <v>38</v>
      </c>
      <c r="J50" s="31" t="s">
        <v>194</v>
      </c>
      <c r="K50" s="31" t="s">
        <v>195</v>
      </c>
      <c r="L50" s="31">
        <v>7081318.6200000001</v>
      </c>
      <c r="M50" s="31">
        <v>0</v>
      </c>
      <c r="N50" s="31">
        <v>0</v>
      </c>
      <c r="O50" s="31">
        <v>44351416.619999997</v>
      </c>
      <c r="P50" s="31" t="s">
        <v>41</v>
      </c>
      <c r="Q50" s="31" t="s">
        <v>42</v>
      </c>
      <c r="R50" s="26"/>
      <c r="S50" s="26"/>
      <c r="T50" s="26"/>
      <c r="U50" s="31" t="s">
        <v>43</v>
      </c>
      <c r="V50" s="26"/>
      <c r="W50" s="26"/>
      <c r="X50" s="26"/>
    </row>
    <row r="51" spans="1:24" s="29" customFormat="1">
      <c r="A51" s="31" t="s">
        <v>31</v>
      </c>
      <c r="B51" s="31" t="s">
        <v>209</v>
      </c>
      <c r="C51" s="31" t="s">
        <v>210</v>
      </c>
      <c r="D51" s="31">
        <f t="shared" si="0"/>
        <v>-1</v>
      </c>
      <c r="E51" s="31" t="s">
        <v>34</v>
      </c>
      <c r="F51" s="31" t="s">
        <v>35</v>
      </c>
      <c r="G51" s="31" t="s">
        <v>211</v>
      </c>
      <c r="H51" s="31" t="s">
        <v>37</v>
      </c>
      <c r="I51" s="31" t="s">
        <v>38</v>
      </c>
      <c r="J51" s="31" t="s">
        <v>194</v>
      </c>
      <c r="K51" s="31" t="s">
        <v>195</v>
      </c>
      <c r="L51" s="31">
        <v>20751596.890000001</v>
      </c>
      <c r="M51" s="31">
        <v>0</v>
      </c>
      <c r="N51" s="31">
        <v>0</v>
      </c>
      <c r="O51" s="31">
        <v>129970527.89</v>
      </c>
      <c r="P51" s="31" t="s">
        <v>41</v>
      </c>
      <c r="Q51" s="31" t="s">
        <v>42</v>
      </c>
      <c r="R51" s="26"/>
      <c r="S51" s="26"/>
      <c r="T51" s="26"/>
      <c r="U51" s="31" t="s">
        <v>43</v>
      </c>
      <c r="V51" s="26"/>
      <c r="W51" s="26"/>
      <c r="X51" s="26" t="s">
        <v>212</v>
      </c>
    </row>
    <row r="52" spans="1:24" s="29" customFormat="1">
      <c r="A52" s="32" t="s">
        <v>31</v>
      </c>
      <c r="B52" s="32" t="s">
        <v>213</v>
      </c>
      <c r="C52" s="32" t="s">
        <v>214</v>
      </c>
      <c r="D52" s="32">
        <f t="shared" si="0"/>
        <v>-1</v>
      </c>
      <c r="E52" s="32" t="s">
        <v>34</v>
      </c>
      <c r="F52" s="32" t="s">
        <v>35</v>
      </c>
      <c r="G52" s="32" t="s">
        <v>215</v>
      </c>
      <c r="H52" s="32" t="s">
        <v>37</v>
      </c>
      <c r="I52" s="32" t="s">
        <v>38</v>
      </c>
      <c r="J52" s="32" t="s">
        <v>194</v>
      </c>
      <c r="K52" s="32" t="s">
        <v>195</v>
      </c>
      <c r="L52" s="32">
        <v>0</v>
      </c>
      <c r="M52" s="32">
        <v>0</v>
      </c>
      <c r="N52" s="32">
        <v>0</v>
      </c>
      <c r="O52" s="32">
        <v>7666668</v>
      </c>
      <c r="P52" s="32" t="s">
        <v>41</v>
      </c>
      <c r="Q52" s="32" t="s">
        <v>42</v>
      </c>
      <c r="R52" s="26" t="s">
        <v>43</v>
      </c>
      <c r="S52" s="26"/>
      <c r="T52" s="26"/>
      <c r="U52" s="26"/>
      <c r="V52" s="26"/>
      <c r="W52" s="26"/>
      <c r="X52" s="26"/>
    </row>
    <row r="53" spans="1:24" s="29" customFormat="1">
      <c r="A53" s="32" t="s">
        <v>31</v>
      </c>
      <c r="B53" s="32" t="s">
        <v>216</v>
      </c>
      <c r="C53" s="32" t="s">
        <v>217</v>
      </c>
      <c r="D53" s="32">
        <f t="shared" si="0"/>
        <v>-1</v>
      </c>
      <c r="E53" s="32" t="s">
        <v>34</v>
      </c>
      <c r="F53" s="32" t="s">
        <v>35</v>
      </c>
      <c r="G53" s="32" t="s">
        <v>218</v>
      </c>
      <c r="H53" s="32" t="s">
        <v>37</v>
      </c>
      <c r="I53" s="32" t="s">
        <v>38</v>
      </c>
      <c r="J53" s="32" t="s">
        <v>194</v>
      </c>
      <c r="K53" s="32" t="s">
        <v>195</v>
      </c>
      <c r="L53" s="32">
        <v>369560.45</v>
      </c>
      <c r="M53" s="32">
        <v>0</v>
      </c>
      <c r="N53" s="32">
        <v>0</v>
      </c>
      <c r="O53" s="32">
        <v>25314619.449999999</v>
      </c>
      <c r="P53" s="32" t="s">
        <v>41</v>
      </c>
      <c r="Q53" s="32" t="s">
        <v>42</v>
      </c>
      <c r="R53" s="26" t="s">
        <v>43</v>
      </c>
      <c r="S53" s="26"/>
      <c r="T53" s="26"/>
      <c r="U53" s="26"/>
      <c r="V53" s="26"/>
      <c r="W53" s="26"/>
      <c r="X53" s="26"/>
    </row>
    <row r="54" spans="1:24" s="29" customFormat="1">
      <c r="A54" s="32" t="s">
        <v>31</v>
      </c>
      <c r="B54" s="32" t="s">
        <v>219</v>
      </c>
      <c r="C54" s="32" t="s">
        <v>220</v>
      </c>
      <c r="D54" s="32">
        <f t="shared" si="0"/>
        <v>-1</v>
      </c>
      <c r="E54" s="32" t="s">
        <v>34</v>
      </c>
      <c r="F54" s="32" t="s">
        <v>35</v>
      </c>
      <c r="G54" s="32" t="s">
        <v>221</v>
      </c>
      <c r="H54" s="32" t="s">
        <v>37</v>
      </c>
      <c r="I54" s="32" t="s">
        <v>38</v>
      </c>
      <c r="J54" s="32" t="s">
        <v>194</v>
      </c>
      <c r="K54" s="32" t="s">
        <v>195</v>
      </c>
      <c r="L54" s="32">
        <v>0</v>
      </c>
      <c r="M54" s="32">
        <v>0</v>
      </c>
      <c r="N54" s="32">
        <v>0</v>
      </c>
      <c r="O54" s="32">
        <v>38333340</v>
      </c>
      <c r="P54" s="32" t="s">
        <v>41</v>
      </c>
      <c r="Q54" s="32" t="s">
        <v>42</v>
      </c>
      <c r="R54" s="26" t="s">
        <v>43</v>
      </c>
      <c r="S54" s="26"/>
      <c r="T54" s="26"/>
      <c r="U54" s="26"/>
      <c r="V54" s="26"/>
      <c r="W54" s="26"/>
      <c r="X54" s="26"/>
    </row>
    <row r="55" spans="1:24" s="29" customFormat="1">
      <c r="A55" s="31" t="s">
        <v>31</v>
      </c>
      <c r="B55" s="31" t="s">
        <v>222</v>
      </c>
      <c r="C55" s="31" t="s">
        <v>223</v>
      </c>
      <c r="D55" s="31">
        <f t="shared" si="0"/>
        <v>-1</v>
      </c>
      <c r="E55" s="31" t="s">
        <v>34</v>
      </c>
      <c r="F55" s="31" t="s">
        <v>35</v>
      </c>
      <c r="G55" s="31" t="s">
        <v>224</v>
      </c>
      <c r="H55" s="31" t="s">
        <v>37</v>
      </c>
      <c r="I55" s="31" t="s">
        <v>38</v>
      </c>
      <c r="J55" s="31" t="s">
        <v>194</v>
      </c>
      <c r="K55" s="31" t="s">
        <v>195</v>
      </c>
      <c r="L55" s="31">
        <v>2956082.7</v>
      </c>
      <c r="M55" s="31">
        <v>0</v>
      </c>
      <c r="N55" s="31">
        <v>0</v>
      </c>
      <c r="O55" s="31">
        <v>22876308.699999999</v>
      </c>
      <c r="P55" s="31" t="s">
        <v>41</v>
      </c>
      <c r="Q55" s="31" t="s">
        <v>42</v>
      </c>
      <c r="R55" s="26"/>
      <c r="S55" s="26"/>
      <c r="T55" s="26"/>
      <c r="U55" s="31" t="s">
        <v>43</v>
      </c>
      <c r="V55" s="26"/>
      <c r="W55" s="26"/>
      <c r="X55" s="26" t="s">
        <v>225</v>
      </c>
    </row>
    <row r="56" spans="1:24" s="29" customFormat="1">
      <c r="A56" s="32" t="s">
        <v>31</v>
      </c>
      <c r="B56" s="32" t="s">
        <v>226</v>
      </c>
      <c r="C56" s="32" t="s">
        <v>227</v>
      </c>
      <c r="D56" s="32">
        <f t="shared" si="0"/>
        <v>-1</v>
      </c>
      <c r="E56" s="32" t="s">
        <v>34</v>
      </c>
      <c r="F56" s="32" t="s">
        <v>35</v>
      </c>
      <c r="G56" s="32" t="s">
        <v>228</v>
      </c>
      <c r="H56" s="32" t="s">
        <v>37</v>
      </c>
      <c r="I56" s="32" t="s">
        <v>38</v>
      </c>
      <c r="J56" s="32" t="s">
        <v>194</v>
      </c>
      <c r="K56" s="32" t="s">
        <v>195</v>
      </c>
      <c r="L56" s="32">
        <v>1132238.5</v>
      </c>
      <c r="M56" s="32">
        <v>0</v>
      </c>
      <c r="N56" s="32">
        <v>0</v>
      </c>
      <c r="O56" s="32">
        <v>37035843.5</v>
      </c>
      <c r="P56" s="32" t="s">
        <v>41</v>
      </c>
      <c r="Q56" s="32" t="s">
        <v>42</v>
      </c>
      <c r="R56" s="26" t="s">
        <v>43</v>
      </c>
      <c r="S56" s="26"/>
      <c r="T56" s="26"/>
      <c r="U56" s="26"/>
      <c r="V56" s="26"/>
      <c r="W56" s="26"/>
      <c r="X56" s="26"/>
    </row>
    <row r="57" spans="1:24" s="29" customFormat="1">
      <c r="A57" s="31" t="s">
        <v>31</v>
      </c>
      <c r="B57" s="31" t="s">
        <v>229</v>
      </c>
      <c r="C57" s="31" t="s">
        <v>230</v>
      </c>
      <c r="D57" s="31">
        <f t="shared" si="0"/>
        <v>-1</v>
      </c>
      <c r="E57" s="31" t="s">
        <v>34</v>
      </c>
      <c r="F57" s="31" t="s">
        <v>35</v>
      </c>
      <c r="G57" s="31" t="s">
        <v>231</v>
      </c>
      <c r="H57" s="31" t="s">
        <v>37</v>
      </c>
      <c r="I57" s="31" t="s">
        <v>38</v>
      </c>
      <c r="J57" s="31" t="s">
        <v>194</v>
      </c>
      <c r="K57" s="31" t="s">
        <v>195</v>
      </c>
      <c r="L57" s="31">
        <v>3175339.85</v>
      </c>
      <c r="M57" s="31">
        <v>0</v>
      </c>
      <c r="N57" s="31">
        <v>0</v>
      </c>
      <c r="O57" s="31">
        <v>19887654.850000001</v>
      </c>
      <c r="P57" s="31" t="s">
        <v>41</v>
      </c>
      <c r="Q57" s="31" t="s">
        <v>42</v>
      </c>
      <c r="R57" s="26"/>
      <c r="S57" s="26"/>
      <c r="T57" s="26"/>
      <c r="U57" s="31" t="s">
        <v>43</v>
      </c>
      <c r="V57" s="26"/>
      <c r="W57" s="26"/>
      <c r="X57" s="26" t="s">
        <v>232</v>
      </c>
    </row>
    <row r="58" spans="1:24" s="29" customFormat="1">
      <c r="A58" s="31" t="s">
        <v>31</v>
      </c>
      <c r="B58" s="31" t="s">
        <v>233</v>
      </c>
      <c r="C58" s="31" t="s">
        <v>234</v>
      </c>
      <c r="D58" s="31">
        <f t="shared" si="0"/>
        <v>-1</v>
      </c>
      <c r="E58" s="31" t="s">
        <v>34</v>
      </c>
      <c r="F58" s="31" t="s">
        <v>35</v>
      </c>
      <c r="G58" s="31" t="s">
        <v>235</v>
      </c>
      <c r="H58" s="31" t="s">
        <v>37</v>
      </c>
      <c r="I58" s="31" t="s">
        <v>38</v>
      </c>
      <c r="J58" s="31" t="s">
        <v>194</v>
      </c>
      <c r="K58" s="31" t="s">
        <v>195</v>
      </c>
      <c r="L58" s="31">
        <v>1342075.26</v>
      </c>
      <c r="M58" s="31">
        <v>0</v>
      </c>
      <c r="N58" s="31">
        <v>0</v>
      </c>
      <c r="O58" s="31">
        <v>8405629.2599999998</v>
      </c>
      <c r="P58" s="31" t="s">
        <v>41</v>
      </c>
      <c r="Q58" s="31" t="s">
        <v>42</v>
      </c>
      <c r="R58" s="26"/>
      <c r="S58" s="26"/>
      <c r="T58" s="26"/>
      <c r="U58" s="31" t="s">
        <v>43</v>
      </c>
      <c r="V58" s="26"/>
      <c r="W58" s="26"/>
      <c r="X58" s="26" t="s">
        <v>232</v>
      </c>
    </row>
    <row r="59" spans="1:24" s="29" customFormat="1">
      <c r="A59" s="32" t="s">
        <v>31</v>
      </c>
      <c r="B59" s="32" t="s">
        <v>236</v>
      </c>
      <c r="C59" s="32" t="s">
        <v>237</v>
      </c>
      <c r="D59" s="32">
        <f t="shared" si="0"/>
        <v>-1</v>
      </c>
      <c r="E59" s="32" t="s">
        <v>34</v>
      </c>
      <c r="F59" s="32" t="s">
        <v>35</v>
      </c>
      <c r="G59" s="32" t="s">
        <v>238</v>
      </c>
      <c r="H59" s="32" t="s">
        <v>37</v>
      </c>
      <c r="I59" s="32" t="s">
        <v>38</v>
      </c>
      <c r="J59" s="32" t="s">
        <v>194</v>
      </c>
      <c r="K59" s="32" t="s">
        <v>195</v>
      </c>
      <c r="L59" s="32">
        <v>5543406.75</v>
      </c>
      <c r="M59" s="32">
        <v>0</v>
      </c>
      <c r="N59" s="32">
        <v>0</v>
      </c>
      <c r="O59" s="32">
        <v>68656280.75</v>
      </c>
      <c r="P59" s="32" t="s">
        <v>41</v>
      </c>
      <c r="Q59" s="32" t="s">
        <v>42</v>
      </c>
      <c r="R59" s="26" t="s">
        <v>43</v>
      </c>
      <c r="S59" s="26"/>
      <c r="T59" s="26"/>
      <c r="U59" s="26"/>
      <c r="V59" s="26"/>
      <c r="W59" s="26"/>
      <c r="X59" s="26"/>
    </row>
    <row r="60" spans="1:24" s="29" customFormat="1">
      <c r="A60" s="31" t="s">
        <v>31</v>
      </c>
      <c r="B60" s="31" t="s">
        <v>239</v>
      </c>
      <c r="C60" s="31" t="s">
        <v>240</v>
      </c>
      <c r="D60" s="31">
        <f t="shared" si="0"/>
        <v>-1</v>
      </c>
      <c r="E60" s="31" t="s">
        <v>34</v>
      </c>
      <c r="F60" s="31" t="s">
        <v>35</v>
      </c>
      <c r="G60" s="31" t="s">
        <v>241</v>
      </c>
      <c r="H60" s="31" t="s">
        <v>37</v>
      </c>
      <c r="I60" s="31" t="s">
        <v>38</v>
      </c>
      <c r="J60" s="31" t="s">
        <v>194</v>
      </c>
      <c r="K60" s="31" t="s">
        <v>195</v>
      </c>
      <c r="L60" s="31">
        <v>9352987.6899999995</v>
      </c>
      <c r="M60" s="31">
        <v>0</v>
      </c>
      <c r="N60" s="31">
        <v>0</v>
      </c>
      <c r="O60" s="31">
        <v>58579238.689999998</v>
      </c>
      <c r="P60" s="31" t="s">
        <v>41</v>
      </c>
      <c r="Q60" s="31" t="s">
        <v>42</v>
      </c>
      <c r="R60" s="26"/>
      <c r="S60" s="26"/>
      <c r="T60" s="26"/>
      <c r="U60" s="31" t="s">
        <v>43</v>
      </c>
      <c r="V60" s="26"/>
      <c r="W60" s="26"/>
      <c r="X60" s="26" t="s">
        <v>242</v>
      </c>
    </row>
    <row r="61" spans="1:24" s="29" customFormat="1">
      <c r="A61" s="31" t="s">
        <v>31</v>
      </c>
      <c r="B61" s="31" t="s">
        <v>243</v>
      </c>
      <c r="C61" s="31" t="s">
        <v>244</v>
      </c>
      <c r="D61" s="31">
        <f t="shared" si="0"/>
        <v>-1</v>
      </c>
      <c r="E61" s="31" t="s">
        <v>34</v>
      </c>
      <c r="F61" s="31" t="s">
        <v>35</v>
      </c>
      <c r="G61" s="31" t="s">
        <v>245</v>
      </c>
      <c r="H61" s="31" t="s">
        <v>37</v>
      </c>
      <c r="I61" s="31" t="s">
        <v>38</v>
      </c>
      <c r="J61" s="31" t="s">
        <v>194</v>
      </c>
      <c r="K61" s="31" t="s">
        <v>195</v>
      </c>
      <c r="L61" s="31">
        <v>42204916.789999999</v>
      </c>
      <c r="M61" s="31">
        <v>0</v>
      </c>
      <c r="N61" s="31">
        <v>0</v>
      </c>
      <c r="O61" s="31">
        <v>264336057.78999999</v>
      </c>
      <c r="P61" s="31" t="s">
        <v>41</v>
      </c>
      <c r="Q61" s="31" t="s">
        <v>42</v>
      </c>
      <c r="R61" s="26"/>
      <c r="S61" s="26"/>
      <c r="T61" s="26"/>
      <c r="U61" s="31" t="s">
        <v>43</v>
      </c>
      <c r="V61" s="26"/>
      <c r="W61" s="26"/>
      <c r="X61" s="26" t="s">
        <v>246</v>
      </c>
    </row>
    <row r="62" spans="1:24" s="29" customFormat="1">
      <c r="A62" s="31" t="s">
        <v>31</v>
      </c>
      <c r="B62" s="31" t="s">
        <v>247</v>
      </c>
      <c r="C62" s="31" t="s">
        <v>248</v>
      </c>
      <c r="D62" s="31">
        <f t="shared" si="0"/>
        <v>-1</v>
      </c>
      <c r="E62" s="31" t="s">
        <v>34</v>
      </c>
      <c r="F62" s="31" t="s">
        <v>35</v>
      </c>
      <c r="G62" s="31" t="s">
        <v>249</v>
      </c>
      <c r="H62" s="31" t="s">
        <v>37</v>
      </c>
      <c r="I62" s="31" t="s">
        <v>38</v>
      </c>
      <c r="J62" s="31" t="s">
        <v>194</v>
      </c>
      <c r="K62" s="31" t="s">
        <v>195</v>
      </c>
      <c r="L62" s="31">
        <v>5909989.9000000004</v>
      </c>
      <c r="M62" s="31">
        <v>0</v>
      </c>
      <c r="N62" s="31">
        <v>0</v>
      </c>
      <c r="O62" s="31">
        <v>37015199.899999999</v>
      </c>
      <c r="P62" s="31" t="s">
        <v>41</v>
      </c>
      <c r="Q62" s="31" t="s">
        <v>42</v>
      </c>
      <c r="R62" s="26"/>
      <c r="S62" s="26"/>
      <c r="T62" s="26"/>
      <c r="U62" s="31" t="s">
        <v>43</v>
      </c>
      <c r="V62" s="26"/>
      <c r="W62" s="26"/>
      <c r="X62" s="26" t="s">
        <v>250</v>
      </c>
    </row>
    <row r="63" spans="1:24" s="29" customFormat="1">
      <c r="A63" s="31" t="s">
        <v>31</v>
      </c>
      <c r="B63" s="31" t="s">
        <v>251</v>
      </c>
      <c r="C63" s="31" t="s">
        <v>252</v>
      </c>
      <c r="D63" s="31">
        <f t="shared" si="0"/>
        <v>-1</v>
      </c>
      <c r="E63" s="31" t="s">
        <v>34</v>
      </c>
      <c r="F63" s="31" t="s">
        <v>35</v>
      </c>
      <c r="G63" s="31" t="s">
        <v>253</v>
      </c>
      <c r="H63" s="31" t="s">
        <v>37</v>
      </c>
      <c r="I63" s="31" t="s">
        <v>38</v>
      </c>
      <c r="J63" s="31" t="s">
        <v>194</v>
      </c>
      <c r="K63" s="31" t="s">
        <v>195</v>
      </c>
      <c r="L63" s="31">
        <v>1932806.16</v>
      </c>
      <c r="M63" s="31">
        <v>0</v>
      </c>
      <c r="N63" s="31">
        <v>0</v>
      </c>
      <c r="O63" s="31">
        <v>12105470.16</v>
      </c>
      <c r="P63" s="31" t="s">
        <v>41</v>
      </c>
      <c r="Q63" s="31" t="s">
        <v>42</v>
      </c>
      <c r="R63" s="26"/>
      <c r="S63" s="26"/>
      <c r="T63" s="26"/>
      <c r="U63" s="31" t="s">
        <v>43</v>
      </c>
      <c r="V63" s="26"/>
      <c r="W63" s="26"/>
      <c r="X63" s="26" t="s">
        <v>254</v>
      </c>
    </row>
    <row r="64" spans="1:24" s="29" customFormat="1">
      <c r="A64" s="31" t="s">
        <v>31</v>
      </c>
      <c r="B64" s="31" t="s">
        <v>255</v>
      </c>
      <c r="C64" s="31" t="s">
        <v>256</v>
      </c>
      <c r="D64" s="31">
        <f t="shared" si="0"/>
        <v>-1</v>
      </c>
      <c r="E64" s="31" t="s">
        <v>34</v>
      </c>
      <c r="F64" s="31" t="s">
        <v>35</v>
      </c>
      <c r="G64" s="31" t="s">
        <v>257</v>
      </c>
      <c r="H64" s="31" t="s">
        <v>37</v>
      </c>
      <c r="I64" s="31" t="s">
        <v>38</v>
      </c>
      <c r="J64" s="31" t="s">
        <v>194</v>
      </c>
      <c r="K64" s="31" t="s">
        <v>195</v>
      </c>
      <c r="L64" s="31">
        <v>2161495.1</v>
      </c>
      <c r="M64" s="31">
        <v>0</v>
      </c>
      <c r="N64" s="31">
        <v>0</v>
      </c>
      <c r="O64" s="31">
        <v>13537785.1</v>
      </c>
      <c r="P64" s="31" t="s">
        <v>41</v>
      </c>
      <c r="Q64" s="31" t="s">
        <v>42</v>
      </c>
      <c r="R64" s="26"/>
      <c r="S64" s="26"/>
      <c r="T64" s="26"/>
      <c r="U64" s="31" t="s">
        <v>43</v>
      </c>
      <c r="V64" s="26"/>
      <c r="W64" s="26"/>
      <c r="X64" s="26" t="s">
        <v>258</v>
      </c>
    </row>
    <row r="65" spans="1:24" s="29" customFormat="1">
      <c r="A65" s="31" t="s">
        <v>31</v>
      </c>
      <c r="B65" s="31" t="s">
        <v>259</v>
      </c>
      <c r="C65" s="31" t="s">
        <v>260</v>
      </c>
      <c r="D65" s="31">
        <f t="shared" si="0"/>
        <v>-1</v>
      </c>
      <c r="E65" s="31" t="s">
        <v>34</v>
      </c>
      <c r="F65" s="31" t="s">
        <v>35</v>
      </c>
      <c r="G65" s="31" t="s">
        <v>261</v>
      </c>
      <c r="H65" s="31" t="s">
        <v>37</v>
      </c>
      <c r="I65" s="31" t="s">
        <v>38</v>
      </c>
      <c r="J65" s="31" t="s">
        <v>194</v>
      </c>
      <c r="K65" s="31" t="s">
        <v>195</v>
      </c>
      <c r="L65" s="31">
        <v>3733100.43</v>
      </c>
      <c r="M65" s="31">
        <v>0</v>
      </c>
      <c r="N65" s="31">
        <v>0</v>
      </c>
      <c r="O65" s="31">
        <v>47336561.43</v>
      </c>
      <c r="P65" s="31" t="s">
        <v>41</v>
      </c>
      <c r="Q65" s="31" t="s">
        <v>42</v>
      </c>
      <c r="R65" s="26"/>
      <c r="S65" s="26"/>
      <c r="T65" s="26"/>
      <c r="U65" s="31" t="s">
        <v>43</v>
      </c>
      <c r="V65" s="26"/>
      <c r="W65" s="26"/>
      <c r="X65" s="26" t="s">
        <v>262</v>
      </c>
    </row>
    <row r="66" spans="1:24" s="29" customFormat="1">
      <c r="A66" s="31" t="s">
        <v>31</v>
      </c>
      <c r="B66" s="31" t="s">
        <v>263</v>
      </c>
      <c r="C66" s="31" t="s">
        <v>264</v>
      </c>
      <c r="D66" s="31">
        <f t="shared" si="0"/>
        <v>-1</v>
      </c>
      <c r="E66" s="31" t="s">
        <v>34</v>
      </c>
      <c r="F66" s="31" t="s">
        <v>35</v>
      </c>
      <c r="G66" s="31" t="s">
        <v>265</v>
      </c>
      <c r="H66" s="31" t="s">
        <v>37</v>
      </c>
      <c r="I66" s="31" t="s">
        <v>38</v>
      </c>
      <c r="J66" s="31" t="s">
        <v>194</v>
      </c>
      <c r="K66" s="31" t="s">
        <v>195</v>
      </c>
      <c r="L66" s="31">
        <v>6484485.2999999998</v>
      </c>
      <c r="M66" s="31">
        <v>0</v>
      </c>
      <c r="N66" s="31">
        <v>0</v>
      </c>
      <c r="O66" s="31">
        <v>40613355.299999997</v>
      </c>
      <c r="P66" s="31" t="s">
        <v>41</v>
      </c>
      <c r="Q66" s="31" t="s">
        <v>42</v>
      </c>
      <c r="R66" s="26"/>
      <c r="S66" s="26"/>
      <c r="T66" s="26"/>
      <c r="U66" s="31" t="s">
        <v>43</v>
      </c>
      <c r="V66" s="26"/>
      <c r="W66" s="26"/>
      <c r="X66" s="26" t="s">
        <v>266</v>
      </c>
    </row>
    <row r="67" spans="1:24" s="29" customFormat="1">
      <c r="A67" s="31" t="s">
        <v>31</v>
      </c>
      <c r="B67" s="31" t="s">
        <v>267</v>
      </c>
      <c r="C67" s="31" t="s">
        <v>268</v>
      </c>
      <c r="D67" s="31">
        <f t="shared" si="0"/>
        <v>-1</v>
      </c>
      <c r="E67" s="31" t="s">
        <v>34</v>
      </c>
      <c r="F67" s="31" t="s">
        <v>35</v>
      </c>
      <c r="G67" s="31" t="s">
        <v>269</v>
      </c>
      <c r="H67" s="31" t="s">
        <v>37</v>
      </c>
      <c r="I67" s="31" t="s">
        <v>38</v>
      </c>
      <c r="J67" s="31" t="s">
        <v>194</v>
      </c>
      <c r="K67" s="31" t="s">
        <v>195</v>
      </c>
      <c r="L67" s="31">
        <v>7819042.0700000003</v>
      </c>
      <c r="M67" s="31">
        <v>0</v>
      </c>
      <c r="N67" s="31">
        <v>0</v>
      </c>
      <c r="O67" s="31">
        <v>48971895.07</v>
      </c>
      <c r="P67" s="31" t="s">
        <v>41</v>
      </c>
      <c r="Q67" s="31" t="s">
        <v>42</v>
      </c>
      <c r="R67" s="26"/>
      <c r="S67" s="26"/>
      <c r="T67" s="26"/>
      <c r="U67" s="31" t="s">
        <v>43</v>
      </c>
      <c r="V67" s="26"/>
      <c r="W67" s="26"/>
      <c r="X67" s="26" t="s">
        <v>270</v>
      </c>
    </row>
    <row r="68" spans="1:24" s="29" customFormat="1">
      <c r="A68" s="31" t="s">
        <v>31</v>
      </c>
      <c r="B68" s="31" t="s">
        <v>271</v>
      </c>
      <c r="C68" s="31" t="s">
        <v>272</v>
      </c>
      <c r="D68" s="31">
        <f t="shared" si="0"/>
        <v>-1</v>
      </c>
      <c r="E68" s="31" t="s">
        <v>34</v>
      </c>
      <c r="F68" s="31" t="s">
        <v>35</v>
      </c>
      <c r="G68" s="31" t="s">
        <v>273</v>
      </c>
      <c r="H68" s="31" t="s">
        <v>37</v>
      </c>
      <c r="I68" s="31" t="s">
        <v>38</v>
      </c>
      <c r="J68" s="31" t="s">
        <v>194</v>
      </c>
      <c r="K68" s="31" t="s">
        <v>195</v>
      </c>
      <c r="L68" s="31">
        <v>6912482.1500000004</v>
      </c>
      <c r="M68" s="31">
        <v>0</v>
      </c>
      <c r="N68" s="31">
        <v>0</v>
      </c>
      <c r="O68" s="31">
        <v>43293967.149999999</v>
      </c>
      <c r="P68" s="31" t="s">
        <v>41</v>
      </c>
      <c r="Q68" s="31" t="s">
        <v>42</v>
      </c>
      <c r="R68" s="26"/>
      <c r="S68" s="26"/>
      <c r="T68" s="26"/>
      <c r="U68" s="31" t="s">
        <v>43</v>
      </c>
      <c r="V68" s="26"/>
      <c r="W68" s="26"/>
      <c r="X68" s="26" t="s">
        <v>274</v>
      </c>
    </row>
    <row r="69" spans="1:24" s="29" customFormat="1">
      <c r="A69" s="31" t="s">
        <v>31</v>
      </c>
      <c r="B69" s="31" t="s">
        <v>275</v>
      </c>
      <c r="C69" s="31" t="s">
        <v>276</v>
      </c>
      <c r="D69" s="31">
        <f t="shared" si="0"/>
        <v>-1</v>
      </c>
      <c r="E69" s="31" t="s">
        <v>34</v>
      </c>
      <c r="F69" s="31" t="s">
        <v>35</v>
      </c>
      <c r="G69" s="31" t="s">
        <v>277</v>
      </c>
      <c r="H69" s="31" t="s">
        <v>37</v>
      </c>
      <c r="I69" s="31" t="s">
        <v>38</v>
      </c>
      <c r="J69" s="31" t="s">
        <v>194</v>
      </c>
      <c r="K69" s="31" t="s">
        <v>195</v>
      </c>
      <c r="L69" s="31">
        <v>1543810.04</v>
      </c>
      <c r="M69" s="31">
        <v>0</v>
      </c>
      <c r="N69" s="31">
        <v>0</v>
      </c>
      <c r="O69" s="31">
        <v>9669126.0399999991</v>
      </c>
      <c r="P69" s="31" t="s">
        <v>41</v>
      </c>
      <c r="Q69" s="31" t="s">
        <v>42</v>
      </c>
      <c r="R69" s="26"/>
      <c r="S69" s="26"/>
      <c r="T69" s="26"/>
      <c r="U69" s="31" t="s">
        <v>43</v>
      </c>
      <c r="V69" s="26"/>
      <c r="W69" s="26"/>
      <c r="X69" s="26" t="s">
        <v>278</v>
      </c>
    </row>
    <row r="70" spans="1:24" s="29" customFormat="1">
      <c r="A70" s="31" t="s">
        <v>31</v>
      </c>
      <c r="B70" s="31" t="s">
        <v>279</v>
      </c>
      <c r="C70" s="31" t="s">
        <v>280</v>
      </c>
      <c r="D70" s="31">
        <f t="shared" si="0"/>
        <v>-1</v>
      </c>
      <c r="E70" s="31" t="s">
        <v>34</v>
      </c>
      <c r="F70" s="31" t="s">
        <v>35</v>
      </c>
      <c r="G70" s="31" t="s">
        <v>281</v>
      </c>
      <c r="H70" s="31" t="s">
        <v>37</v>
      </c>
      <c r="I70" s="31" t="s">
        <v>38</v>
      </c>
      <c r="J70" s="31" t="s">
        <v>194</v>
      </c>
      <c r="K70" s="31" t="s">
        <v>195</v>
      </c>
      <c r="L70" s="31">
        <v>2902088.5</v>
      </c>
      <c r="M70" s="31">
        <v>0</v>
      </c>
      <c r="N70" s="31">
        <v>0</v>
      </c>
      <c r="O70" s="31">
        <v>29080978.5</v>
      </c>
      <c r="P70" s="31" t="s">
        <v>41</v>
      </c>
      <c r="Q70" s="31" t="s">
        <v>42</v>
      </c>
      <c r="R70" s="26"/>
      <c r="S70" s="26"/>
      <c r="T70" s="26"/>
      <c r="U70" s="31" t="s">
        <v>43</v>
      </c>
      <c r="V70" s="26"/>
      <c r="W70" s="26"/>
      <c r="X70" s="26" t="s">
        <v>282</v>
      </c>
    </row>
    <row r="71" spans="1:24" s="29" customFormat="1">
      <c r="A71" s="32" t="s">
        <v>31</v>
      </c>
      <c r="B71" s="32" t="s">
        <v>283</v>
      </c>
      <c r="C71" s="32" t="s">
        <v>284</v>
      </c>
      <c r="D71" s="32">
        <f t="shared" si="0"/>
        <v>-1</v>
      </c>
      <c r="E71" s="32" t="s">
        <v>34</v>
      </c>
      <c r="F71" s="32" t="s">
        <v>35</v>
      </c>
      <c r="G71" s="32" t="s">
        <v>285</v>
      </c>
      <c r="H71" s="32" t="s">
        <v>37</v>
      </c>
      <c r="I71" s="32" t="s">
        <v>38</v>
      </c>
      <c r="J71" s="32" t="s">
        <v>194</v>
      </c>
      <c r="K71" s="32" t="s">
        <v>195</v>
      </c>
      <c r="L71" s="32">
        <v>0</v>
      </c>
      <c r="M71" s="32">
        <v>0</v>
      </c>
      <c r="N71" s="32">
        <v>0</v>
      </c>
      <c r="O71" s="32">
        <v>4361896</v>
      </c>
      <c r="P71" s="32" t="s">
        <v>41</v>
      </c>
      <c r="Q71" s="32" t="s">
        <v>42</v>
      </c>
      <c r="R71" s="26" t="s">
        <v>43</v>
      </c>
      <c r="S71" s="26"/>
      <c r="T71" s="26"/>
      <c r="U71" s="26"/>
      <c r="V71" s="26"/>
      <c r="W71" s="26"/>
      <c r="X71" s="26"/>
    </row>
    <row r="72" spans="1:24" s="29" customFormat="1">
      <c r="A72" s="32" t="s">
        <v>31</v>
      </c>
      <c r="B72" s="32" t="s">
        <v>286</v>
      </c>
      <c r="C72" s="32" t="s">
        <v>287</v>
      </c>
      <c r="D72" s="32">
        <f t="shared" si="0"/>
        <v>-1</v>
      </c>
      <c r="E72" s="32" t="s">
        <v>34</v>
      </c>
      <c r="F72" s="32" t="s">
        <v>35</v>
      </c>
      <c r="G72" s="32" t="s">
        <v>288</v>
      </c>
      <c r="H72" s="32" t="s">
        <v>37</v>
      </c>
      <c r="I72" s="32" t="s">
        <v>38</v>
      </c>
      <c r="J72" s="32" t="s">
        <v>194</v>
      </c>
      <c r="K72" s="32" t="s">
        <v>195</v>
      </c>
      <c r="L72" s="32">
        <v>369560.45</v>
      </c>
      <c r="M72" s="32">
        <v>0</v>
      </c>
      <c r="N72" s="32">
        <v>0</v>
      </c>
      <c r="O72" s="32">
        <v>2314615.4500000002</v>
      </c>
      <c r="P72" s="32" t="s">
        <v>41</v>
      </c>
      <c r="Q72" s="32" t="s">
        <v>42</v>
      </c>
      <c r="R72" s="26" t="s">
        <v>43</v>
      </c>
      <c r="S72" s="26"/>
      <c r="T72" s="26"/>
      <c r="U72" s="26"/>
      <c r="V72" s="26"/>
      <c r="W72" s="26"/>
      <c r="X72" s="26"/>
    </row>
    <row r="73" spans="1:24" s="29" customFormat="1">
      <c r="A73" s="32" t="s">
        <v>31</v>
      </c>
      <c r="B73" s="32" t="s">
        <v>289</v>
      </c>
      <c r="C73" s="32" t="s">
        <v>290</v>
      </c>
      <c r="D73" s="32">
        <f t="shared" si="0"/>
        <v>-1</v>
      </c>
      <c r="E73" s="32" t="s">
        <v>34</v>
      </c>
      <c r="F73" s="32" t="s">
        <v>35</v>
      </c>
      <c r="G73" s="32" t="s">
        <v>291</v>
      </c>
      <c r="H73" s="32" t="s">
        <v>37</v>
      </c>
      <c r="I73" s="32" t="s">
        <v>38</v>
      </c>
      <c r="J73" s="32" t="s">
        <v>194</v>
      </c>
      <c r="K73" s="32" t="s">
        <v>195</v>
      </c>
      <c r="L73" s="32">
        <v>0</v>
      </c>
      <c r="M73" s="32">
        <v>0</v>
      </c>
      <c r="N73" s="32">
        <v>0</v>
      </c>
      <c r="O73" s="32">
        <v>37076116</v>
      </c>
      <c r="P73" s="32" t="s">
        <v>41</v>
      </c>
      <c r="Q73" s="32" t="s">
        <v>42</v>
      </c>
      <c r="R73" s="26" t="s">
        <v>43</v>
      </c>
      <c r="S73" s="26"/>
      <c r="T73" s="26"/>
      <c r="U73" s="26"/>
      <c r="V73" s="26"/>
      <c r="W73" s="26"/>
      <c r="X73" s="26"/>
    </row>
    <row r="74" spans="1:24" s="29" customFormat="1">
      <c r="A74" s="35" t="s">
        <v>31</v>
      </c>
      <c r="B74" s="35" t="s">
        <v>292</v>
      </c>
      <c r="C74" s="35" t="s">
        <v>293</v>
      </c>
      <c r="D74" s="35">
        <f t="shared" si="0"/>
        <v>-1</v>
      </c>
      <c r="E74" s="35" t="s">
        <v>34</v>
      </c>
      <c r="F74" s="35" t="s">
        <v>35</v>
      </c>
      <c r="G74" s="35" t="s">
        <v>294</v>
      </c>
      <c r="H74" s="35" t="s">
        <v>37</v>
      </c>
      <c r="I74" s="35" t="s">
        <v>38</v>
      </c>
      <c r="J74" s="35" t="s">
        <v>295</v>
      </c>
      <c r="K74" s="35" t="s">
        <v>296</v>
      </c>
      <c r="L74" s="35">
        <v>68868.87</v>
      </c>
      <c r="M74" s="35">
        <v>0</v>
      </c>
      <c r="N74" s="35">
        <v>0</v>
      </c>
      <c r="O74" s="35">
        <v>431336.58</v>
      </c>
      <c r="P74" s="35" t="s">
        <v>41</v>
      </c>
      <c r="Q74" s="35" t="s">
        <v>42</v>
      </c>
      <c r="R74" s="26"/>
      <c r="S74" s="26"/>
      <c r="T74" s="26"/>
      <c r="U74" s="26"/>
      <c r="V74" s="26"/>
      <c r="W74" s="35" t="s">
        <v>43</v>
      </c>
      <c r="X74" s="26" t="s">
        <v>297</v>
      </c>
    </row>
    <row r="75" spans="1:24" s="29" customFormat="1">
      <c r="A75" s="32" t="s">
        <v>31</v>
      </c>
      <c r="B75" s="32" t="s">
        <v>298</v>
      </c>
      <c r="C75" s="32" t="s">
        <v>299</v>
      </c>
      <c r="D75" s="32">
        <f t="shared" si="0"/>
        <v>-1</v>
      </c>
      <c r="E75" s="32" t="s">
        <v>34</v>
      </c>
      <c r="F75" s="32" t="s">
        <v>35</v>
      </c>
      <c r="G75" s="32" t="s">
        <v>300</v>
      </c>
      <c r="H75" s="32" t="s">
        <v>37</v>
      </c>
      <c r="I75" s="32" t="s">
        <v>38</v>
      </c>
      <c r="J75" s="32" t="s">
        <v>301</v>
      </c>
      <c r="K75" s="32" t="s">
        <v>302</v>
      </c>
      <c r="L75" s="32">
        <v>300960</v>
      </c>
      <c r="M75" s="32">
        <v>0</v>
      </c>
      <c r="N75" s="32">
        <v>0</v>
      </c>
      <c r="O75" s="32">
        <v>1884960</v>
      </c>
      <c r="P75" s="32" t="s">
        <v>41</v>
      </c>
      <c r="Q75" s="32" t="s">
        <v>42</v>
      </c>
      <c r="R75" s="26" t="s">
        <v>43</v>
      </c>
      <c r="S75" s="26"/>
      <c r="T75" s="26"/>
      <c r="U75" s="26"/>
      <c r="V75" s="26"/>
      <c r="W75" s="26"/>
      <c r="X75" s="26"/>
    </row>
    <row r="76" spans="1:24" s="29" customFormat="1">
      <c r="A76" s="26" t="s">
        <v>31</v>
      </c>
      <c r="B76" s="26" t="s">
        <v>303</v>
      </c>
      <c r="C76" s="26" t="s">
        <v>304</v>
      </c>
      <c r="D76" s="26">
        <f t="shared" si="0"/>
        <v>-1</v>
      </c>
      <c r="E76" s="26" t="s">
        <v>34</v>
      </c>
      <c r="F76" s="26" t="s">
        <v>35</v>
      </c>
      <c r="G76" s="26" t="s">
        <v>305</v>
      </c>
      <c r="H76" s="26" t="s">
        <v>37</v>
      </c>
      <c r="I76" s="26" t="s">
        <v>38</v>
      </c>
      <c r="J76" s="26" t="s">
        <v>306</v>
      </c>
      <c r="K76" s="26" t="s">
        <v>307</v>
      </c>
      <c r="L76" s="26">
        <v>411730</v>
      </c>
      <c r="M76" s="26">
        <v>0</v>
      </c>
      <c r="N76" s="26">
        <v>0</v>
      </c>
      <c r="O76" s="26">
        <v>2578730</v>
      </c>
      <c r="P76" s="26" t="s">
        <v>41</v>
      </c>
      <c r="Q76" s="26" t="s">
        <v>42</v>
      </c>
      <c r="R76" s="26"/>
      <c r="S76" s="26"/>
      <c r="T76" s="26"/>
      <c r="U76" s="26"/>
      <c r="V76" s="26" t="s">
        <v>43</v>
      </c>
      <c r="W76" s="26"/>
      <c r="X76" s="26"/>
    </row>
    <row r="77" spans="1:24" s="29" customFormat="1">
      <c r="A77" s="35" t="s">
        <v>31</v>
      </c>
      <c r="B77" s="35" t="s">
        <v>308</v>
      </c>
      <c r="C77" s="35" t="s">
        <v>309</v>
      </c>
      <c r="D77" s="35">
        <f t="shared" ref="D77:D140" si="1">C77-C78</f>
        <v>-1</v>
      </c>
      <c r="E77" s="35" t="s">
        <v>34</v>
      </c>
      <c r="F77" s="35" t="s">
        <v>35</v>
      </c>
      <c r="G77" s="35" t="s">
        <v>310</v>
      </c>
      <c r="H77" s="35" t="s">
        <v>37</v>
      </c>
      <c r="I77" s="35" t="s">
        <v>38</v>
      </c>
      <c r="J77" s="35" t="s">
        <v>311</v>
      </c>
      <c r="K77" s="35" t="s">
        <v>312</v>
      </c>
      <c r="L77" s="35">
        <v>0</v>
      </c>
      <c r="M77" s="35">
        <v>0</v>
      </c>
      <c r="N77" s="35">
        <v>0</v>
      </c>
      <c r="O77" s="35">
        <v>2494500</v>
      </c>
      <c r="P77" s="35" t="s">
        <v>41</v>
      </c>
      <c r="Q77" s="35" t="s">
        <v>42</v>
      </c>
      <c r="R77" s="26"/>
      <c r="S77" s="26"/>
      <c r="T77" s="26"/>
      <c r="U77" s="26"/>
      <c r="V77" s="26"/>
      <c r="W77" s="35" t="s">
        <v>43</v>
      </c>
      <c r="X77" s="26" t="s">
        <v>313</v>
      </c>
    </row>
    <row r="78" spans="1:24" s="29" customFormat="1">
      <c r="A78" s="34" t="s">
        <v>31</v>
      </c>
      <c r="B78" s="34" t="s">
        <v>314</v>
      </c>
      <c r="C78" s="34" t="s">
        <v>315</v>
      </c>
      <c r="D78" s="34">
        <f t="shared" si="1"/>
        <v>-1</v>
      </c>
      <c r="E78" s="34" t="s">
        <v>34</v>
      </c>
      <c r="F78" s="34" t="s">
        <v>35</v>
      </c>
      <c r="G78" s="34" t="s">
        <v>316</v>
      </c>
      <c r="H78" s="34" t="s">
        <v>37</v>
      </c>
      <c r="I78" s="34" t="s">
        <v>38</v>
      </c>
      <c r="J78" s="34" t="s">
        <v>317</v>
      </c>
      <c r="K78" s="34" t="s">
        <v>318</v>
      </c>
      <c r="L78" s="34">
        <v>1219415.82</v>
      </c>
      <c r="M78" s="34">
        <v>0</v>
      </c>
      <c r="N78" s="34">
        <v>0</v>
      </c>
      <c r="O78" s="34">
        <v>7637393.8200000003</v>
      </c>
      <c r="P78" s="34" t="s">
        <v>41</v>
      </c>
      <c r="Q78" s="34" t="s">
        <v>42</v>
      </c>
      <c r="R78" s="26"/>
      <c r="S78" s="26"/>
      <c r="T78" s="26" t="s">
        <v>43</v>
      </c>
      <c r="U78" s="26"/>
      <c r="V78" s="26"/>
      <c r="W78" s="26"/>
      <c r="X78" s="26"/>
    </row>
    <row r="79" spans="1:24" s="29" customFormat="1">
      <c r="A79" s="32" t="s">
        <v>31</v>
      </c>
      <c r="B79" s="32" t="s">
        <v>319</v>
      </c>
      <c r="C79" s="32" t="s">
        <v>320</v>
      </c>
      <c r="D79" s="32">
        <f t="shared" si="1"/>
        <v>-1</v>
      </c>
      <c r="E79" s="32" t="s">
        <v>34</v>
      </c>
      <c r="F79" s="32" t="s">
        <v>35</v>
      </c>
      <c r="G79" s="32" t="s">
        <v>321</v>
      </c>
      <c r="H79" s="32" t="s">
        <v>37</v>
      </c>
      <c r="I79" s="32" t="s">
        <v>38</v>
      </c>
      <c r="J79" s="32" t="s">
        <v>322</v>
      </c>
      <c r="K79" s="32" t="s">
        <v>323</v>
      </c>
      <c r="L79" s="32">
        <v>186200</v>
      </c>
      <c r="M79" s="32">
        <v>0</v>
      </c>
      <c r="N79" s="32">
        <v>0</v>
      </c>
      <c r="O79" s="32">
        <v>1166200</v>
      </c>
      <c r="P79" s="32" t="s">
        <v>41</v>
      </c>
      <c r="Q79" s="32" t="s">
        <v>42</v>
      </c>
      <c r="R79" s="26" t="s">
        <v>43</v>
      </c>
      <c r="S79" s="26"/>
      <c r="T79" s="26"/>
      <c r="U79" s="26"/>
      <c r="V79" s="26"/>
      <c r="W79" s="26"/>
      <c r="X79" s="26"/>
    </row>
    <row r="80" spans="1:24" s="29" customFormat="1">
      <c r="A80" s="32" t="s">
        <v>31</v>
      </c>
      <c r="B80" s="32" t="s">
        <v>324</v>
      </c>
      <c r="C80" s="32" t="s">
        <v>325</v>
      </c>
      <c r="D80" s="32">
        <f t="shared" si="1"/>
        <v>-1</v>
      </c>
      <c r="E80" s="32" t="s">
        <v>34</v>
      </c>
      <c r="F80" s="32" t="s">
        <v>35</v>
      </c>
      <c r="G80" s="32" t="s">
        <v>326</v>
      </c>
      <c r="H80" s="32" t="s">
        <v>37</v>
      </c>
      <c r="I80" s="32" t="s">
        <v>38</v>
      </c>
      <c r="J80" s="32" t="s">
        <v>327</v>
      </c>
      <c r="K80" s="32" t="s">
        <v>328</v>
      </c>
      <c r="L80" s="32">
        <v>85500</v>
      </c>
      <c r="M80" s="32">
        <v>0</v>
      </c>
      <c r="N80" s="32">
        <v>0</v>
      </c>
      <c r="O80" s="32">
        <v>535500</v>
      </c>
      <c r="P80" s="32" t="s">
        <v>41</v>
      </c>
      <c r="Q80" s="32" t="s">
        <v>42</v>
      </c>
      <c r="R80" s="26" t="s">
        <v>43</v>
      </c>
      <c r="S80" s="26"/>
      <c r="T80" s="26"/>
      <c r="U80" s="26"/>
      <c r="V80" s="26"/>
      <c r="W80" s="26"/>
      <c r="X80" s="26"/>
    </row>
    <row r="81" spans="1:24" s="29" customFormat="1">
      <c r="A81" s="34" t="s">
        <v>31</v>
      </c>
      <c r="B81" s="34" t="s">
        <v>329</v>
      </c>
      <c r="C81" s="34" t="s">
        <v>330</v>
      </c>
      <c r="D81" s="34">
        <f t="shared" si="1"/>
        <v>-1</v>
      </c>
      <c r="E81" s="34" t="s">
        <v>34</v>
      </c>
      <c r="F81" s="34" t="s">
        <v>35</v>
      </c>
      <c r="G81" s="34" t="s">
        <v>331</v>
      </c>
      <c r="H81" s="34" t="s">
        <v>37</v>
      </c>
      <c r="I81" s="34" t="s">
        <v>38</v>
      </c>
      <c r="J81" s="34" t="s">
        <v>332</v>
      </c>
      <c r="K81" s="34" t="s">
        <v>333</v>
      </c>
      <c r="L81" s="34">
        <v>23560</v>
      </c>
      <c r="M81" s="34">
        <v>0</v>
      </c>
      <c r="N81" s="34">
        <v>0</v>
      </c>
      <c r="O81" s="34">
        <v>147560</v>
      </c>
      <c r="P81" s="34" t="s">
        <v>41</v>
      </c>
      <c r="Q81" s="34" t="s">
        <v>42</v>
      </c>
      <c r="R81" s="26"/>
      <c r="S81" s="26"/>
      <c r="T81" s="26" t="s">
        <v>43</v>
      </c>
      <c r="U81" s="26"/>
      <c r="V81" s="26"/>
      <c r="W81" s="26"/>
      <c r="X81" s="26"/>
    </row>
    <row r="82" spans="1:24" s="29" customFormat="1">
      <c r="A82" s="26" t="s">
        <v>31</v>
      </c>
      <c r="B82" s="26" t="s">
        <v>334</v>
      </c>
      <c r="C82" s="26" t="s">
        <v>335</v>
      </c>
      <c r="D82" s="26">
        <f t="shared" si="1"/>
        <v>-1</v>
      </c>
      <c r="E82" s="26" t="s">
        <v>34</v>
      </c>
      <c r="F82" s="26" t="s">
        <v>35</v>
      </c>
      <c r="G82" s="26" t="s">
        <v>336</v>
      </c>
      <c r="H82" s="26" t="s">
        <v>37</v>
      </c>
      <c r="I82" s="26" t="s">
        <v>38</v>
      </c>
      <c r="J82" s="26" t="s">
        <v>337</v>
      </c>
      <c r="K82" s="26" t="s">
        <v>338</v>
      </c>
      <c r="L82" s="26">
        <v>148200</v>
      </c>
      <c r="M82" s="26">
        <v>0</v>
      </c>
      <c r="N82" s="26">
        <v>0</v>
      </c>
      <c r="O82" s="26">
        <v>928200</v>
      </c>
      <c r="P82" s="26" t="s">
        <v>41</v>
      </c>
      <c r="Q82" s="26" t="s">
        <v>42</v>
      </c>
      <c r="R82" s="26"/>
      <c r="S82" s="26"/>
      <c r="T82" s="26"/>
      <c r="U82" s="26"/>
      <c r="V82" s="26" t="s">
        <v>43</v>
      </c>
      <c r="W82" s="26"/>
      <c r="X82" s="26"/>
    </row>
    <row r="83" spans="1:24" s="29" customFormat="1">
      <c r="A83" s="34" t="s">
        <v>31</v>
      </c>
      <c r="B83" s="34" t="s">
        <v>339</v>
      </c>
      <c r="C83" s="34" t="s">
        <v>340</v>
      </c>
      <c r="D83" s="34">
        <f t="shared" si="1"/>
        <v>-1</v>
      </c>
      <c r="E83" s="34" t="s">
        <v>34</v>
      </c>
      <c r="F83" s="34" t="s">
        <v>35</v>
      </c>
      <c r="G83" s="34" t="s">
        <v>341</v>
      </c>
      <c r="H83" s="34" t="s">
        <v>37</v>
      </c>
      <c r="I83" s="34" t="s">
        <v>38</v>
      </c>
      <c r="J83" s="34" t="s">
        <v>342</v>
      </c>
      <c r="K83" s="34" t="s">
        <v>343</v>
      </c>
      <c r="L83" s="34">
        <v>103360</v>
      </c>
      <c r="M83" s="34">
        <v>0</v>
      </c>
      <c r="N83" s="34">
        <v>0</v>
      </c>
      <c r="O83" s="34">
        <v>647360</v>
      </c>
      <c r="P83" s="34" t="s">
        <v>41</v>
      </c>
      <c r="Q83" s="34" t="s">
        <v>42</v>
      </c>
      <c r="R83" s="26"/>
      <c r="S83" s="26"/>
      <c r="T83" s="26" t="s">
        <v>43</v>
      </c>
      <c r="U83" s="26"/>
      <c r="V83" s="26"/>
      <c r="W83" s="26"/>
      <c r="X83" s="26"/>
    </row>
    <row r="84" spans="1:24" s="29" customFormat="1">
      <c r="A84" s="34" t="s">
        <v>31</v>
      </c>
      <c r="B84" s="34" t="s">
        <v>344</v>
      </c>
      <c r="C84" s="34" t="s">
        <v>345</v>
      </c>
      <c r="D84" s="34">
        <f t="shared" si="1"/>
        <v>-1</v>
      </c>
      <c r="E84" s="34" t="s">
        <v>34</v>
      </c>
      <c r="F84" s="34" t="s">
        <v>35</v>
      </c>
      <c r="G84" s="34" t="s">
        <v>346</v>
      </c>
      <c r="H84" s="34" t="s">
        <v>37</v>
      </c>
      <c r="I84" s="34" t="s">
        <v>38</v>
      </c>
      <c r="J84" s="34" t="s">
        <v>342</v>
      </c>
      <c r="K84" s="34" t="s">
        <v>343</v>
      </c>
      <c r="L84" s="34">
        <v>10260</v>
      </c>
      <c r="M84" s="34">
        <v>0</v>
      </c>
      <c r="N84" s="34">
        <v>0</v>
      </c>
      <c r="O84" s="34">
        <v>64260</v>
      </c>
      <c r="P84" s="34" t="s">
        <v>41</v>
      </c>
      <c r="Q84" s="34" t="s">
        <v>42</v>
      </c>
      <c r="R84" s="26"/>
      <c r="S84" s="26"/>
      <c r="T84" s="26" t="s">
        <v>43</v>
      </c>
      <c r="U84" s="26"/>
      <c r="V84" s="26"/>
      <c r="W84" s="26"/>
      <c r="X84" s="26"/>
    </row>
    <row r="85" spans="1:24" s="29" customFormat="1">
      <c r="A85" s="34" t="s">
        <v>31</v>
      </c>
      <c r="B85" s="34" t="s">
        <v>347</v>
      </c>
      <c r="C85" s="34" t="s">
        <v>348</v>
      </c>
      <c r="D85" s="34">
        <f t="shared" si="1"/>
        <v>-1</v>
      </c>
      <c r="E85" s="34" t="s">
        <v>34</v>
      </c>
      <c r="F85" s="34" t="s">
        <v>35</v>
      </c>
      <c r="G85" s="34" t="s">
        <v>349</v>
      </c>
      <c r="H85" s="34" t="s">
        <v>37</v>
      </c>
      <c r="I85" s="34" t="s">
        <v>38</v>
      </c>
      <c r="J85" s="34" t="s">
        <v>342</v>
      </c>
      <c r="K85" s="34" t="s">
        <v>343</v>
      </c>
      <c r="L85" s="34">
        <v>17290</v>
      </c>
      <c r="M85" s="34">
        <v>0</v>
      </c>
      <c r="N85" s="34">
        <v>0</v>
      </c>
      <c r="O85" s="34">
        <v>108290</v>
      </c>
      <c r="P85" s="34" t="s">
        <v>41</v>
      </c>
      <c r="Q85" s="34" t="s">
        <v>42</v>
      </c>
      <c r="R85" s="26"/>
      <c r="S85" s="26"/>
      <c r="T85" s="26" t="s">
        <v>43</v>
      </c>
      <c r="U85" s="26"/>
      <c r="V85" s="26"/>
      <c r="W85" s="26"/>
      <c r="X85" s="26"/>
    </row>
    <row r="86" spans="1:24" s="29" customFormat="1">
      <c r="A86" s="34" t="s">
        <v>31</v>
      </c>
      <c r="B86" s="34" t="s">
        <v>350</v>
      </c>
      <c r="C86" s="34" t="s">
        <v>351</v>
      </c>
      <c r="D86" s="34">
        <f t="shared" si="1"/>
        <v>-1</v>
      </c>
      <c r="E86" s="34" t="s">
        <v>34</v>
      </c>
      <c r="F86" s="34" t="s">
        <v>35</v>
      </c>
      <c r="G86" s="34" t="s">
        <v>352</v>
      </c>
      <c r="H86" s="34" t="s">
        <v>37</v>
      </c>
      <c r="I86" s="34" t="s">
        <v>38</v>
      </c>
      <c r="J86" s="34" t="s">
        <v>353</v>
      </c>
      <c r="K86" s="34" t="s">
        <v>354</v>
      </c>
      <c r="L86" s="34">
        <v>95000</v>
      </c>
      <c r="M86" s="34">
        <v>0</v>
      </c>
      <c r="N86" s="34">
        <v>0</v>
      </c>
      <c r="O86" s="34">
        <v>595000</v>
      </c>
      <c r="P86" s="34" t="s">
        <v>41</v>
      </c>
      <c r="Q86" s="34" t="s">
        <v>42</v>
      </c>
      <c r="R86" s="26"/>
      <c r="S86" s="26"/>
      <c r="T86" s="26" t="s">
        <v>43</v>
      </c>
      <c r="U86" s="26"/>
      <c r="V86" s="26"/>
      <c r="W86" s="26"/>
      <c r="X86" s="26"/>
    </row>
    <row r="87" spans="1:24" s="29" customFormat="1">
      <c r="A87" s="35" t="s">
        <v>31</v>
      </c>
      <c r="B87" s="35" t="s">
        <v>355</v>
      </c>
      <c r="C87" s="35" t="s">
        <v>356</v>
      </c>
      <c r="D87" s="35">
        <f t="shared" si="1"/>
        <v>-1</v>
      </c>
      <c r="E87" s="35" t="s">
        <v>34</v>
      </c>
      <c r="F87" s="35" t="s">
        <v>35</v>
      </c>
      <c r="G87" s="35" t="s">
        <v>357</v>
      </c>
      <c r="H87" s="35" t="s">
        <v>37</v>
      </c>
      <c r="I87" s="35" t="s">
        <v>38</v>
      </c>
      <c r="J87" s="35" t="s">
        <v>358</v>
      </c>
      <c r="K87" s="35" t="s">
        <v>359</v>
      </c>
      <c r="L87" s="35">
        <v>1729000</v>
      </c>
      <c r="M87" s="35">
        <v>0</v>
      </c>
      <c r="N87" s="35">
        <v>0</v>
      </c>
      <c r="O87" s="35">
        <v>10829000</v>
      </c>
      <c r="P87" s="35" t="s">
        <v>41</v>
      </c>
      <c r="Q87" s="35" t="s">
        <v>42</v>
      </c>
      <c r="R87" s="26"/>
      <c r="S87" s="26"/>
      <c r="T87" s="26"/>
      <c r="U87" s="26"/>
      <c r="V87" s="26"/>
      <c r="W87" s="35" t="s">
        <v>43</v>
      </c>
      <c r="X87" s="26" t="s">
        <v>360</v>
      </c>
    </row>
    <row r="88" spans="1:24" s="29" customFormat="1">
      <c r="A88" s="26" t="s">
        <v>31</v>
      </c>
      <c r="B88" s="26" t="s">
        <v>361</v>
      </c>
      <c r="C88" s="26" t="s">
        <v>362</v>
      </c>
      <c r="D88" s="26">
        <f t="shared" si="1"/>
        <v>-1</v>
      </c>
      <c r="E88" s="26" t="s">
        <v>34</v>
      </c>
      <c r="F88" s="26" t="s">
        <v>35</v>
      </c>
      <c r="G88" s="26" t="s">
        <v>363</v>
      </c>
      <c r="H88" s="26" t="s">
        <v>37</v>
      </c>
      <c r="I88" s="26" t="s">
        <v>38</v>
      </c>
      <c r="J88" s="26" t="s">
        <v>358</v>
      </c>
      <c r="K88" s="26" t="s">
        <v>359</v>
      </c>
      <c r="L88" s="26">
        <v>444600</v>
      </c>
      <c r="M88" s="26">
        <v>0</v>
      </c>
      <c r="N88" s="26">
        <v>0</v>
      </c>
      <c r="O88" s="26">
        <v>2784600</v>
      </c>
      <c r="P88" s="26" t="s">
        <v>41</v>
      </c>
      <c r="Q88" s="26" t="s">
        <v>42</v>
      </c>
      <c r="R88" s="26"/>
      <c r="S88" s="26"/>
      <c r="T88" s="26"/>
      <c r="U88" s="26"/>
      <c r="V88" s="26" t="s">
        <v>43</v>
      </c>
      <c r="W88" s="26"/>
      <c r="X88" s="26"/>
    </row>
    <row r="89" spans="1:24" s="29" customFormat="1">
      <c r="A89" s="32" t="s">
        <v>31</v>
      </c>
      <c r="B89" s="32" t="s">
        <v>364</v>
      </c>
      <c r="C89" s="32" t="s">
        <v>365</v>
      </c>
      <c r="D89" s="32">
        <f t="shared" si="1"/>
        <v>-1</v>
      </c>
      <c r="E89" s="32" t="s">
        <v>34</v>
      </c>
      <c r="F89" s="32" t="s">
        <v>35</v>
      </c>
      <c r="G89" s="32" t="s">
        <v>366</v>
      </c>
      <c r="H89" s="32" t="s">
        <v>37</v>
      </c>
      <c r="I89" s="32" t="s">
        <v>38</v>
      </c>
      <c r="J89" s="32" t="s">
        <v>367</v>
      </c>
      <c r="K89" s="32" t="s">
        <v>368</v>
      </c>
      <c r="L89" s="32">
        <v>507110</v>
      </c>
      <c r="M89" s="32">
        <v>0</v>
      </c>
      <c r="N89" s="32">
        <v>0</v>
      </c>
      <c r="O89" s="32">
        <v>3176110</v>
      </c>
      <c r="P89" s="32" t="s">
        <v>41</v>
      </c>
      <c r="Q89" s="32" t="s">
        <v>42</v>
      </c>
      <c r="R89" s="26" t="s">
        <v>43</v>
      </c>
      <c r="S89" s="26"/>
      <c r="T89" s="26"/>
      <c r="U89" s="26"/>
      <c r="V89" s="26"/>
      <c r="W89" s="26"/>
      <c r="X89" s="26"/>
    </row>
    <row r="90" spans="1:24" s="29" customFormat="1">
      <c r="A90" s="32" t="s">
        <v>31</v>
      </c>
      <c r="B90" s="32" t="s">
        <v>369</v>
      </c>
      <c r="C90" s="32" t="s">
        <v>370</v>
      </c>
      <c r="D90" s="32">
        <f t="shared" si="1"/>
        <v>-1</v>
      </c>
      <c r="E90" s="32" t="s">
        <v>34</v>
      </c>
      <c r="F90" s="32" t="s">
        <v>35</v>
      </c>
      <c r="G90" s="32" t="s">
        <v>371</v>
      </c>
      <c r="H90" s="32" t="s">
        <v>37</v>
      </c>
      <c r="I90" s="32" t="s">
        <v>38</v>
      </c>
      <c r="J90" s="32" t="s">
        <v>367</v>
      </c>
      <c r="K90" s="32" t="s">
        <v>368</v>
      </c>
      <c r="L90" s="32">
        <v>451250</v>
      </c>
      <c r="M90" s="32">
        <v>0</v>
      </c>
      <c r="N90" s="32">
        <v>0</v>
      </c>
      <c r="O90" s="32">
        <v>2826250</v>
      </c>
      <c r="P90" s="32" t="s">
        <v>41</v>
      </c>
      <c r="Q90" s="32" t="s">
        <v>42</v>
      </c>
      <c r="R90" s="26" t="s">
        <v>43</v>
      </c>
      <c r="S90" s="26"/>
      <c r="T90" s="26"/>
      <c r="U90" s="26"/>
      <c r="V90" s="26"/>
      <c r="W90" s="26"/>
      <c r="X90" s="26"/>
    </row>
    <row r="91" spans="1:24" s="29" customFormat="1">
      <c r="A91" s="32" t="s">
        <v>31</v>
      </c>
      <c r="B91" s="32" t="s">
        <v>372</v>
      </c>
      <c r="C91" s="32" t="s">
        <v>373</v>
      </c>
      <c r="D91" s="32">
        <f t="shared" si="1"/>
        <v>-1</v>
      </c>
      <c r="E91" s="32" t="s">
        <v>34</v>
      </c>
      <c r="F91" s="32" t="s">
        <v>35</v>
      </c>
      <c r="G91" s="32" t="s">
        <v>374</v>
      </c>
      <c r="H91" s="32" t="s">
        <v>37</v>
      </c>
      <c r="I91" s="32" t="s">
        <v>38</v>
      </c>
      <c r="J91" s="32" t="s">
        <v>375</v>
      </c>
      <c r="K91" s="32" t="s">
        <v>376</v>
      </c>
      <c r="L91" s="32">
        <v>269800</v>
      </c>
      <c r="M91" s="32">
        <v>0</v>
      </c>
      <c r="N91" s="32">
        <v>0</v>
      </c>
      <c r="O91" s="32">
        <v>1689800</v>
      </c>
      <c r="P91" s="32" t="s">
        <v>41</v>
      </c>
      <c r="Q91" s="32" t="s">
        <v>42</v>
      </c>
      <c r="R91" s="26" t="s">
        <v>43</v>
      </c>
      <c r="S91" s="26"/>
      <c r="T91" s="26"/>
      <c r="U91" s="26"/>
      <c r="V91" s="26"/>
      <c r="W91" s="26"/>
      <c r="X91" s="26"/>
    </row>
    <row r="92" spans="1:24" s="29" customFormat="1">
      <c r="A92" s="32" t="s">
        <v>31</v>
      </c>
      <c r="B92" s="32" t="s">
        <v>377</v>
      </c>
      <c r="C92" s="32" t="s">
        <v>378</v>
      </c>
      <c r="D92" s="32">
        <f t="shared" si="1"/>
        <v>-1</v>
      </c>
      <c r="E92" s="32" t="s">
        <v>34</v>
      </c>
      <c r="F92" s="32" t="s">
        <v>35</v>
      </c>
      <c r="G92" s="32" t="s">
        <v>379</v>
      </c>
      <c r="H92" s="32" t="s">
        <v>37</v>
      </c>
      <c r="I92" s="32" t="s">
        <v>38</v>
      </c>
      <c r="J92" s="32" t="s">
        <v>375</v>
      </c>
      <c r="K92" s="32" t="s">
        <v>376</v>
      </c>
      <c r="L92" s="32">
        <v>1197583.8700000001</v>
      </c>
      <c r="M92" s="32">
        <v>0</v>
      </c>
      <c r="N92" s="32">
        <v>0</v>
      </c>
      <c r="O92" s="32">
        <v>7500656.8700000001</v>
      </c>
      <c r="P92" s="32" t="s">
        <v>41</v>
      </c>
      <c r="Q92" s="32" t="s">
        <v>42</v>
      </c>
      <c r="R92" s="26" t="s">
        <v>43</v>
      </c>
      <c r="S92" s="26"/>
      <c r="T92" s="26"/>
      <c r="U92" s="26"/>
      <c r="V92" s="26"/>
      <c r="W92" s="26"/>
      <c r="X92" s="26"/>
    </row>
    <row r="93" spans="1:24" s="29" customFormat="1">
      <c r="A93" s="34" t="s">
        <v>31</v>
      </c>
      <c r="B93" s="34" t="s">
        <v>380</v>
      </c>
      <c r="C93" s="34" t="s">
        <v>381</v>
      </c>
      <c r="D93" s="34">
        <f t="shared" si="1"/>
        <v>-1</v>
      </c>
      <c r="E93" s="34" t="s">
        <v>34</v>
      </c>
      <c r="F93" s="34" t="s">
        <v>35</v>
      </c>
      <c r="G93" s="34" t="s">
        <v>382</v>
      </c>
      <c r="H93" s="34" t="s">
        <v>37</v>
      </c>
      <c r="I93" s="34" t="s">
        <v>38</v>
      </c>
      <c r="J93" s="34" t="s">
        <v>383</v>
      </c>
      <c r="K93" s="34" t="s">
        <v>384</v>
      </c>
      <c r="L93" s="34">
        <v>59850</v>
      </c>
      <c r="M93" s="34">
        <v>0</v>
      </c>
      <c r="N93" s="34">
        <v>0</v>
      </c>
      <c r="O93" s="34">
        <v>374850</v>
      </c>
      <c r="P93" s="34" t="s">
        <v>41</v>
      </c>
      <c r="Q93" s="34" t="s">
        <v>42</v>
      </c>
      <c r="R93" s="26"/>
      <c r="S93" s="26"/>
      <c r="T93" s="26" t="s">
        <v>43</v>
      </c>
      <c r="U93" s="26"/>
      <c r="V93" s="26"/>
      <c r="W93" s="26"/>
      <c r="X93" s="26"/>
    </row>
    <row r="94" spans="1:24" s="29" customFormat="1">
      <c r="A94" s="32" t="s">
        <v>31</v>
      </c>
      <c r="B94" s="32" t="s">
        <v>385</v>
      </c>
      <c r="C94" s="32" t="s">
        <v>386</v>
      </c>
      <c r="D94" s="32">
        <f t="shared" si="1"/>
        <v>-1</v>
      </c>
      <c r="E94" s="32" t="s">
        <v>34</v>
      </c>
      <c r="F94" s="32" t="s">
        <v>35</v>
      </c>
      <c r="G94" s="32" t="s">
        <v>387</v>
      </c>
      <c r="H94" s="32" t="s">
        <v>37</v>
      </c>
      <c r="I94" s="32" t="s">
        <v>38</v>
      </c>
      <c r="J94" s="32" t="s">
        <v>375</v>
      </c>
      <c r="K94" s="32" t="s">
        <v>376</v>
      </c>
      <c r="L94" s="32">
        <v>866229</v>
      </c>
      <c r="M94" s="32">
        <v>0</v>
      </c>
      <c r="N94" s="32">
        <v>0</v>
      </c>
      <c r="O94" s="32">
        <v>5425329</v>
      </c>
      <c r="P94" s="32" t="s">
        <v>41</v>
      </c>
      <c r="Q94" s="32" t="s">
        <v>42</v>
      </c>
      <c r="R94" s="26" t="s">
        <v>43</v>
      </c>
      <c r="S94" s="26"/>
      <c r="T94" s="26"/>
      <c r="U94" s="26"/>
      <c r="V94" s="26"/>
      <c r="W94" s="26"/>
      <c r="X94" s="26"/>
    </row>
    <row r="95" spans="1:24" s="29" customFormat="1">
      <c r="A95" s="32" t="s">
        <v>31</v>
      </c>
      <c r="B95" s="32" t="s">
        <v>388</v>
      </c>
      <c r="C95" s="32" t="s">
        <v>389</v>
      </c>
      <c r="D95" s="32">
        <f t="shared" si="1"/>
        <v>-1</v>
      </c>
      <c r="E95" s="32" t="s">
        <v>34</v>
      </c>
      <c r="F95" s="32" t="s">
        <v>35</v>
      </c>
      <c r="G95" s="32" t="s">
        <v>390</v>
      </c>
      <c r="H95" s="32" t="s">
        <v>37</v>
      </c>
      <c r="I95" s="32" t="s">
        <v>38</v>
      </c>
      <c r="J95" s="32" t="s">
        <v>375</v>
      </c>
      <c r="K95" s="32" t="s">
        <v>376</v>
      </c>
      <c r="L95" s="32">
        <v>148200</v>
      </c>
      <c r="M95" s="32">
        <v>0</v>
      </c>
      <c r="N95" s="32">
        <v>0</v>
      </c>
      <c r="O95" s="32">
        <v>928200</v>
      </c>
      <c r="P95" s="32" t="s">
        <v>41</v>
      </c>
      <c r="Q95" s="32" t="s">
        <v>42</v>
      </c>
      <c r="R95" s="26" t="s">
        <v>43</v>
      </c>
      <c r="S95" s="26"/>
      <c r="T95" s="26"/>
      <c r="U95" s="26"/>
      <c r="V95" s="26"/>
      <c r="W95" s="26"/>
      <c r="X95" s="26"/>
    </row>
    <row r="96" spans="1:24" s="29" customFormat="1">
      <c r="A96" s="32" t="s">
        <v>31</v>
      </c>
      <c r="B96" s="32" t="s">
        <v>391</v>
      </c>
      <c r="C96" s="32" t="s">
        <v>392</v>
      </c>
      <c r="D96" s="32">
        <f t="shared" si="1"/>
        <v>-1</v>
      </c>
      <c r="E96" s="32" t="s">
        <v>34</v>
      </c>
      <c r="F96" s="32" t="s">
        <v>35</v>
      </c>
      <c r="G96" s="32" t="s">
        <v>393</v>
      </c>
      <c r="H96" s="32" t="s">
        <v>37</v>
      </c>
      <c r="I96" s="32" t="s">
        <v>38</v>
      </c>
      <c r="J96" s="32" t="s">
        <v>394</v>
      </c>
      <c r="K96" s="32" t="s">
        <v>395</v>
      </c>
      <c r="L96" s="32">
        <v>80750</v>
      </c>
      <c r="M96" s="32">
        <v>0</v>
      </c>
      <c r="N96" s="32">
        <v>0</v>
      </c>
      <c r="O96" s="32">
        <v>505750</v>
      </c>
      <c r="P96" s="32" t="s">
        <v>41</v>
      </c>
      <c r="Q96" s="32" t="s">
        <v>42</v>
      </c>
      <c r="R96" s="26" t="s">
        <v>43</v>
      </c>
      <c r="S96" s="26"/>
      <c r="T96" s="26"/>
      <c r="U96" s="26"/>
      <c r="V96" s="26"/>
      <c r="W96" s="26"/>
      <c r="X96" s="26"/>
    </row>
    <row r="97" spans="1:24" s="29" customFormat="1">
      <c r="A97" s="33" t="s">
        <v>31</v>
      </c>
      <c r="B97" s="33" t="s">
        <v>396</v>
      </c>
      <c r="C97" s="33" t="s">
        <v>397</v>
      </c>
      <c r="D97" s="33">
        <f t="shared" si="1"/>
        <v>-1</v>
      </c>
      <c r="E97" s="33" t="s">
        <v>34</v>
      </c>
      <c r="F97" s="33" t="s">
        <v>35</v>
      </c>
      <c r="G97" s="33" t="s">
        <v>398</v>
      </c>
      <c r="H97" s="33" t="s">
        <v>37</v>
      </c>
      <c r="I97" s="33" t="s">
        <v>38</v>
      </c>
      <c r="J97" s="33" t="s">
        <v>394</v>
      </c>
      <c r="K97" s="33" t="s">
        <v>395</v>
      </c>
      <c r="L97" s="33">
        <v>505400</v>
      </c>
      <c r="M97" s="33">
        <v>0</v>
      </c>
      <c r="N97" s="33">
        <v>0</v>
      </c>
      <c r="O97" s="33">
        <v>3165400</v>
      </c>
      <c r="P97" s="33" t="s">
        <v>41</v>
      </c>
      <c r="Q97" s="33" t="s">
        <v>42</v>
      </c>
      <c r="R97" s="26"/>
      <c r="S97" s="26" t="s">
        <v>43</v>
      </c>
      <c r="T97" s="26"/>
      <c r="U97" s="26"/>
      <c r="V97" s="26"/>
      <c r="W97" s="26"/>
      <c r="X97" s="26"/>
    </row>
    <row r="98" spans="1:24" s="29" customFormat="1">
      <c r="A98" s="33" t="s">
        <v>31</v>
      </c>
      <c r="B98" s="33" t="s">
        <v>399</v>
      </c>
      <c r="C98" s="33" t="s">
        <v>400</v>
      </c>
      <c r="D98" s="33">
        <f t="shared" si="1"/>
        <v>-1</v>
      </c>
      <c r="E98" s="33" t="s">
        <v>34</v>
      </c>
      <c r="F98" s="33" t="s">
        <v>35</v>
      </c>
      <c r="G98" s="33" t="s">
        <v>401</v>
      </c>
      <c r="H98" s="33" t="s">
        <v>37</v>
      </c>
      <c r="I98" s="33" t="s">
        <v>38</v>
      </c>
      <c r="J98" s="33" t="s">
        <v>394</v>
      </c>
      <c r="K98" s="33" t="s">
        <v>395</v>
      </c>
      <c r="L98" s="33">
        <v>182400</v>
      </c>
      <c r="M98" s="33">
        <v>0</v>
      </c>
      <c r="N98" s="33">
        <v>0</v>
      </c>
      <c r="O98" s="33">
        <v>1142400</v>
      </c>
      <c r="P98" s="33" t="s">
        <v>41</v>
      </c>
      <c r="Q98" s="33" t="s">
        <v>42</v>
      </c>
      <c r="R98" s="26"/>
      <c r="S98" s="26" t="s">
        <v>43</v>
      </c>
      <c r="T98" s="26"/>
      <c r="U98" s="26"/>
      <c r="V98" s="26"/>
      <c r="W98" s="26"/>
      <c r="X98" s="26"/>
    </row>
    <row r="99" spans="1:24" s="29" customFormat="1">
      <c r="A99" s="33" t="s">
        <v>31</v>
      </c>
      <c r="B99" s="33" t="s">
        <v>402</v>
      </c>
      <c r="C99" s="33" t="s">
        <v>403</v>
      </c>
      <c r="D99" s="33">
        <f t="shared" si="1"/>
        <v>-1</v>
      </c>
      <c r="E99" s="33" t="s">
        <v>34</v>
      </c>
      <c r="F99" s="33" t="s">
        <v>35</v>
      </c>
      <c r="G99" s="33" t="s">
        <v>404</v>
      </c>
      <c r="H99" s="33" t="s">
        <v>37</v>
      </c>
      <c r="I99" s="33" t="s">
        <v>38</v>
      </c>
      <c r="J99" s="33" t="s">
        <v>394</v>
      </c>
      <c r="K99" s="33" t="s">
        <v>395</v>
      </c>
      <c r="L99" s="33">
        <v>235600</v>
      </c>
      <c r="M99" s="33">
        <v>0</v>
      </c>
      <c r="N99" s="33">
        <v>0</v>
      </c>
      <c r="O99" s="33">
        <v>1475600</v>
      </c>
      <c r="P99" s="33" t="s">
        <v>41</v>
      </c>
      <c r="Q99" s="33" t="s">
        <v>42</v>
      </c>
      <c r="R99" s="26"/>
      <c r="S99" s="26" t="s">
        <v>43</v>
      </c>
      <c r="T99" s="26"/>
      <c r="U99" s="26"/>
      <c r="V99" s="26"/>
      <c r="W99" s="26"/>
      <c r="X99" s="26"/>
    </row>
    <row r="100" spans="1:24" s="29" customFormat="1">
      <c r="A100" s="33" t="s">
        <v>31</v>
      </c>
      <c r="B100" s="33" t="s">
        <v>405</v>
      </c>
      <c r="C100" s="33" t="s">
        <v>406</v>
      </c>
      <c r="D100" s="33">
        <f t="shared" si="1"/>
        <v>-1</v>
      </c>
      <c r="E100" s="33" t="s">
        <v>34</v>
      </c>
      <c r="F100" s="33" t="s">
        <v>35</v>
      </c>
      <c r="G100" s="33" t="s">
        <v>407</v>
      </c>
      <c r="H100" s="33" t="s">
        <v>37</v>
      </c>
      <c r="I100" s="33" t="s">
        <v>38</v>
      </c>
      <c r="J100" s="33" t="s">
        <v>394</v>
      </c>
      <c r="K100" s="33" t="s">
        <v>395</v>
      </c>
      <c r="L100" s="33">
        <v>646000</v>
      </c>
      <c r="M100" s="33">
        <v>0</v>
      </c>
      <c r="N100" s="33">
        <v>0</v>
      </c>
      <c r="O100" s="33">
        <v>4046000</v>
      </c>
      <c r="P100" s="33" t="s">
        <v>41</v>
      </c>
      <c r="Q100" s="33" t="s">
        <v>42</v>
      </c>
      <c r="R100" s="26"/>
      <c r="S100" s="26" t="s">
        <v>43</v>
      </c>
      <c r="T100" s="26"/>
      <c r="U100" s="26"/>
      <c r="V100" s="26"/>
      <c r="W100" s="26"/>
      <c r="X100" s="26"/>
    </row>
    <row r="101" spans="1:24" s="29" customFormat="1">
      <c r="A101" s="33" t="s">
        <v>31</v>
      </c>
      <c r="B101" s="33" t="s">
        <v>408</v>
      </c>
      <c r="C101" s="33" t="s">
        <v>409</v>
      </c>
      <c r="D101" s="33">
        <f t="shared" si="1"/>
        <v>-1</v>
      </c>
      <c r="E101" s="33" t="s">
        <v>34</v>
      </c>
      <c r="F101" s="33" t="s">
        <v>35</v>
      </c>
      <c r="G101" s="33" t="s">
        <v>410</v>
      </c>
      <c r="H101" s="33" t="s">
        <v>37</v>
      </c>
      <c r="I101" s="33" t="s">
        <v>38</v>
      </c>
      <c r="J101" s="33" t="s">
        <v>394</v>
      </c>
      <c r="K101" s="33" t="s">
        <v>395</v>
      </c>
      <c r="L101" s="33">
        <v>473100</v>
      </c>
      <c r="M101" s="33">
        <v>0</v>
      </c>
      <c r="N101" s="33">
        <v>0</v>
      </c>
      <c r="O101" s="33">
        <v>2963100</v>
      </c>
      <c r="P101" s="33" t="s">
        <v>41</v>
      </c>
      <c r="Q101" s="33" t="s">
        <v>42</v>
      </c>
      <c r="R101" s="26"/>
      <c r="S101" s="26" t="s">
        <v>43</v>
      </c>
      <c r="T101" s="26"/>
      <c r="U101" s="26"/>
      <c r="V101" s="26"/>
      <c r="W101" s="26"/>
      <c r="X101" s="26"/>
    </row>
    <row r="102" spans="1:24" s="29" customFormat="1">
      <c r="A102" s="33" t="s">
        <v>31</v>
      </c>
      <c r="B102" s="33" t="s">
        <v>411</v>
      </c>
      <c r="C102" s="33" t="s">
        <v>412</v>
      </c>
      <c r="D102" s="33">
        <f t="shared" si="1"/>
        <v>-1</v>
      </c>
      <c r="E102" s="33" t="s">
        <v>34</v>
      </c>
      <c r="F102" s="33" t="s">
        <v>35</v>
      </c>
      <c r="G102" s="33" t="s">
        <v>413</v>
      </c>
      <c r="H102" s="33" t="s">
        <v>37</v>
      </c>
      <c r="I102" s="33" t="s">
        <v>38</v>
      </c>
      <c r="J102" s="33" t="s">
        <v>394</v>
      </c>
      <c r="K102" s="33" t="s">
        <v>395</v>
      </c>
      <c r="L102" s="33">
        <v>50350</v>
      </c>
      <c r="M102" s="33">
        <v>0</v>
      </c>
      <c r="N102" s="33">
        <v>0</v>
      </c>
      <c r="O102" s="33">
        <v>315350</v>
      </c>
      <c r="P102" s="33" t="s">
        <v>41</v>
      </c>
      <c r="Q102" s="33" t="s">
        <v>42</v>
      </c>
      <c r="R102" s="26"/>
      <c r="S102" s="26" t="s">
        <v>43</v>
      </c>
      <c r="T102" s="26"/>
      <c r="U102" s="26"/>
      <c r="V102" s="26"/>
      <c r="W102" s="26"/>
      <c r="X102" s="26"/>
    </row>
    <row r="103" spans="1:24" s="29" customFormat="1">
      <c r="A103" s="33" t="s">
        <v>31</v>
      </c>
      <c r="B103" s="33" t="s">
        <v>414</v>
      </c>
      <c r="C103" s="33" t="s">
        <v>415</v>
      </c>
      <c r="D103" s="33">
        <f t="shared" si="1"/>
        <v>-1</v>
      </c>
      <c r="E103" s="33" t="s">
        <v>34</v>
      </c>
      <c r="F103" s="33" t="s">
        <v>35</v>
      </c>
      <c r="G103" s="33" t="s">
        <v>416</v>
      </c>
      <c r="H103" s="33" t="s">
        <v>37</v>
      </c>
      <c r="I103" s="33" t="s">
        <v>38</v>
      </c>
      <c r="J103" s="33" t="s">
        <v>394</v>
      </c>
      <c r="K103" s="33" t="s">
        <v>395</v>
      </c>
      <c r="L103" s="33">
        <v>415150</v>
      </c>
      <c r="M103" s="33">
        <v>0</v>
      </c>
      <c r="N103" s="33">
        <v>0</v>
      </c>
      <c r="O103" s="33">
        <v>2600150</v>
      </c>
      <c r="P103" s="33" t="s">
        <v>41</v>
      </c>
      <c r="Q103" s="33" t="s">
        <v>42</v>
      </c>
      <c r="R103" s="26"/>
      <c r="S103" s="26" t="s">
        <v>43</v>
      </c>
      <c r="T103" s="26"/>
      <c r="U103" s="26"/>
      <c r="V103" s="26"/>
      <c r="W103" s="26"/>
      <c r="X103" s="26"/>
    </row>
    <row r="104" spans="1:24" s="29" customFormat="1">
      <c r="A104" s="33" t="s">
        <v>31</v>
      </c>
      <c r="B104" s="33" t="s">
        <v>417</v>
      </c>
      <c r="C104" s="33" t="s">
        <v>418</v>
      </c>
      <c r="D104" s="33">
        <f t="shared" si="1"/>
        <v>-1</v>
      </c>
      <c r="E104" s="33" t="s">
        <v>34</v>
      </c>
      <c r="F104" s="33" t="s">
        <v>35</v>
      </c>
      <c r="G104" s="33" t="s">
        <v>419</v>
      </c>
      <c r="H104" s="33" t="s">
        <v>37</v>
      </c>
      <c r="I104" s="33" t="s">
        <v>38</v>
      </c>
      <c r="J104" s="33" t="s">
        <v>394</v>
      </c>
      <c r="K104" s="33" t="s">
        <v>395</v>
      </c>
      <c r="L104" s="33">
        <v>46550</v>
      </c>
      <c r="M104" s="33">
        <v>0</v>
      </c>
      <c r="N104" s="33">
        <v>0</v>
      </c>
      <c r="O104" s="33">
        <v>291550</v>
      </c>
      <c r="P104" s="33" t="s">
        <v>41</v>
      </c>
      <c r="Q104" s="33" t="s">
        <v>42</v>
      </c>
      <c r="R104" s="26"/>
      <c r="S104" s="26" t="s">
        <v>43</v>
      </c>
      <c r="T104" s="26"/>
      <c r="U104" s="26"/>
      <c r="V104" s="26"/>
      <c r="W104" s="26"/>
      <c r="X104" s="26"/>
    </row>
    <row r="105" spans="1:24" s="29" customFormat="1">
      <c r="A105" s="33" t="s">
        <v>31</v>
      </c>
      <c r="B105" s="33" t="s">
        <v>420</v>
      </c>
      <c r="C105" s="33" t="s">
        <v>421</v>
      </c>
      <c r="D105" s="33">
        <f t="shared" si="1"/>
        <v>-1</v>
      </c>
      <c r="E105" s="33" t="s">
        <v>34</v>
      </c>
      <c r="F105" s="33" t="s">
        <v>35</v>
      </c>
      <c r="G105" s="33" t="s">
        <v>422</v>
      </c>
      <c r="H105" s="33" t="s">
        <v>37</v>
      </c>
      <c r="I105" s="33" t="s">
        <v>38</v>
      </c>
      <c r="J105" s="33" t="s">
        <v>394</v>
      </c>
      <c r="K105" s="33" t="s">
        <v>395</v>
      </c>
      <c r="L105" s="33">
        <v>25650</v>
      </c>
      <c r="M105" s="33">
        <v>0</v>
      </c>
      <c r="N105" s="33">
        <v>0</v>
      </c>
      <c r="O105" s="33">
        <v>160650</v>
      </c>
      <c r="P105" s="33" t="s">
        <v>41</v>
      </c>
      <c r="Q105" s="33" t="s">
        <v>42</v>
      </c>
      <c r="R105" s="26"/>
      <c r="S105" s="26" t="s">
        <v>43</v>
      </c>
      <c r="T105" s="26"/>
      <c r="U105" s="26"/>
      <c r="V105" s="26"/>
      <c r="W105" s="26"/>
      <c r="X105" s="26"/>
    </row>
    <row r="106" spans="1:24" s="29" customFormat="1">
      <c r="A106" s="33" t="s">
        <v>31</v>
      </c>
      <c r="B106" s="33" t="s">
        <v>423</v>
      </c>
      <c r="C106" s="33" t="s">
        <v>424</v>
      </c>
      <c r="D106" s="33">
        <f t="shared" si="1"/>
        <v>-1</v>
      </c>
      <c r="E106" s="33" t="s">
        <v>34</v>
      </c>
      <c r="F106" s="33" t="s">
        <v>35</v>
      </c>
      <c r="G106" s="33" t="s">
        <v>425</v>
      </c>
      <c r="H106" s="33" t="s">
        <v>37</v>
      </c>
      <c r="I106" s="33" t="s">
        <v>38</v>
      </c>
      <c r="J106" s="33" t="s">
        <v>426</v>
      </c>
      <c r="K106" s="33" t="s">
        <v>427</v>
      </c>
      <c r="L106" s="33">
        <v>368600</v>
      </c>
      <c r="M106" s="33">
        <v>0</v>
      </c>
      <c r="N106" s="33">
        <v>0</v>
      </c>
      <c r="O106" s="33">
        <v>2308600</v>
      </c>
      <c r="P106" s="33" t="s">
        <v>41</v>
      </c>
      <c r="Q106" s="33" t="s">
        <v>42</v>
      </c>
      <c r="R106" s="26"/>
      <c r="S106" s="26" t="s">
        <v>43</v>
      </c>
      <c r="T106" s="26"/>
      <c r="U106" s="26"/>
      <c r="V106" s="26"/>
      <c r="W106" s="26"/>
      <c r="X106" s="26"/>
    </row>
    <row r="107" spans="1:24" s="29" customFormat="1">
      <c r="A107" s="34" t="s">
        <v>31</v>
      </c>
      <c r="B107" s="34" t="s">
        <v>428</v>
      </c>
      <c r="C107" s="34" t="s">
        <v>429</v>
      </c>
      <c r="D107" s="34">
        <f t="shared" si="1"/>
        <v>-1</v>
      </c>
      <c r="E107" s="34" t="s">
        <v>34</v>
      </c>
      <c r="F107" s="34" t="s">
        <v>35</v>
      </c>
      <c r="G107" s="34" t="s">
        <v>430</v>
      </c>
      <c r="H107" s="34" t="s">
        <v>37</v>
      </c>
      <c r="I107" s="34" t="s">
        <v>38</v>
      </c>
      <c r="J107" s="34" t="s">
        <v>431</v>
      </c>
      <c r="K107" s="34" t="s">
        <v>432</v>
      </c>
      <c r="L107" s="34">
        <v>193990</v>
      </c>
      <c r="M107" s="34">
        <v>0</v>
      </c>
      <c r="N107" s="34">
        <v>0</v>
      </c>
      <c r="O107" s="34">
        <v>1214990</v>
      </c>
      <c r="P107" s="34" t="s">
        <v>41</v>
      </c>
      <c r="Q107" s="34" t="s">
        <v>42</v>
      </c>
      <c r="R107" s="26"/>
      <c r="S107" s="26"/>
      <c r="T107" s="26" t="s">
        <v>43</v>
      </c>
      <c r="U107" s="26"/>
      <c r="V107" s="26"/>
      <c r="W107" s="26"/>
      <c r="X107" s="26"/>
    </row>
    <row r="108" spans="1:24" s="29" customFormat="1">
      <c r="A108" s="35" t="s">
        <v>31</v>
      </c>
      <c r="B108" s="35" t="s">
        <v>433</v>
      </c>
      <c r="C108" s="35" t="s">
        <v>434</v>
      </c>
      <c r="D108" s="35">
        <f t="shared" si="1"/>
        <v>-1</v>
      </c>
      <c r="E108" s="35" t="s">
        <v>34</v>
      </c>
      <c r="F108" s="35" t="s">
        <v>35</v>
      </c>
      <c r="G108" s="35" t="s">
        <v>435</v>
      </c>
      <c r="H108" s="35" t="s">
        <v>37</v>
      </c>
      <c r="I108" s="35" t="s">
        <v>38</v>
      </c>
      <c r="J108" s="35" t="s">
        <v>436</v>
      </c>
      <c r="K108" s="35" t="s">
        <v>437</v>
      </c>
      <c r="L108" s="35">
        <v>1741920</v>
      </c>
      <c r="M108" s="35">
        <v>0</v>
      </c>
      <c r="N108" s="35">
        <v>0</v>
      </c>
      <c r="O108" s="35">
        <v>10909920</v>
      </c>
      <c r="P108" s="35" t="s">
        <v>41</v>
      </c>
      <c r="Q108" s="35" t="s">
        <v>42</v>
      </c>
      <c r="R108" s="26"/>
      <c r="S108" s="26"/>
      <c r="T108" s="26"/>
      <c r="U108" s="26"/>
      <c r="V108" s="26"/>
      <c r="W108" s="35" t="s">
        <v>43</v>
      </c>
      <c r="X108" s="26" t="s">
        <v>438</v>
      </c>
    </row>
    <row r="109" spans="1:24" s="29" customFormat="1">
      <c r="A109" s="26" t="s">
        <v>31</v>
      </c>
      <c r="B109" s="26" t="s">
        <v>439</v>
      </c>
      <c r="C109" s="26" t="s">
        <v>440</v>
      </c>
      <c r="D109" s="26">
        <f t="shared" si="1"/>
        <v>-1</v>
      </c>
      <c r="E109" s="26" t="s">
        <v>34</v>
      </c>
      <c r="F109" s="26" t="s">
        <v>35</v>
      </c>
      <c r="G109" s="26" t="s">
        <v>441</v>
      </c>
      <c r="H109" s="26" t="s">
        <v>37</v>
      </c>
      <c r="I109" s="26" t="s">
        <v>38</v>
      </c>
      <c r="J109" s="26" t="s">
        <v>442</v>
      </c>
      <c r="K109" s="26" t="s">
        <v>443</v>
      </c>
      <c r="L109" s="26">
        <v>722000</v>
      </c>
      <c r="M109" s="26">
        <v>0</v>
      </c>
      <c r="N109" s="26">
        <v>0</v>
      </c>
      <c r="O109" s="26">
        <v>4522000</v>
      </c>
      <c r="P109" s="26" t="s">
        <v>41</v>
      </c>
      <c r="Q109" s="26" t="s">
        <v>42</v>
      </c>
      <c r="R109" s="26"/>
      <c r="S109" s="26"/>
      <c r="T109" s="26"/>
      <c r="U109" s="26"/>
      <c r="V109" s="26" t="s">
        <v>43</v>
      </c>
      <c r="W109" s="26"/>
      <c r="X109" s="26"/>
    </row>
    <row r="110" spans="1:24" s="29" customFormat="1">
      <c r="A110" s="34" t="s">
        <v>31</v>
      </c>
      <c r="B110" s="34" t="s">
        <v>444</v>
      </c>
      <c r="C110" s="34" t="s">
        <v>445</v>
      </c>
      <c r="D110" s="34">
        <f t="shared" si="1"/>
        <v>-1</v>
      </c>
      <c r="E110" s="34" t="s">
        <v>34</v>
      </c>
      <c r="F110" s="34" t="s">
        <v>35</v>
      </c>
      <c r="G110" s="34" t="s">
        <v>446</v>
      </c>
      <c r="H110" s="34" t="s">
        <v>37</v>
      </c>
      <c r="I110" s="34" t="s">
        <v>38</v>
      </c>
      <c r="J110" s="34" t="s">
        <v>431</v>
      </c>
      <c r="K110" s="34" t="s">
        <v>432</v>
      </c>
      <c r="L110" s="34">
        <v>375250</v>
      </c>
      <c r="M110" s="34">
        <v>0</v>
      </c>
      <c r="N110" s="34">
        <v>0</v>
      </c>
      <c r="O110" s="34">
        <v>2350250</v>
      </c>
      <c r="P110" s="34" t="s">
        <v>41</v>
      </c>
      <c r="Q110" s="34" t="s">
        <v>42</v>
      </c>
      <c r="R110" s="26"/>
      <c r="S110" s="26"/>
      <c r="T110" s="26" t="s">
        <v>43</v>
      </c>
      <c r="U110" s="26"/>
      <c r="V110" s="26"/>
      <c r="W110" s="26"/>
      <c r="X110" s="26"/>
    </row>
    <row r="111" spans="1:24" s="29" customFormat="1">
      <c r="A111" s="34" t="s">
        <v>31</v>
      </c>
      <c r="B111" s="34" t="s">
        <v>447</v>
      </c>
      <c r="C111" s="34" t="s">
        <v>448</v>
      </c>
      <c r="D111" s="34">
        <f t="shared" si="1"/>
        <v>-1</v>
      </c>
      <c r="E111" s="34" t="s">
        <v>34</v>
      </c>
      <c r="F111" s="34" t="s">
        <v>35</v>
      </c>
      <c r="G111" s="34" t="s">
        <v>449</v>
      </c>
      <c r="H111" s="34" t="s">
        <v>37</v>
      </c>
      <c r="I111" s="34" t="s">
        <v>38</v>
      </c>
      <c r="J111" s="34" t="s">
        <v>431</v>
      </c>
      <c r="K111" s="34" t="s">
        <v>432</v>
      </c>
      <c r="L111" s="34">
        <v>163400</v>
      </c>
      <c r="M111" s="34">
        <v>0</v>
      </c>
      <c r="N111" s="34">
        <v>0</v>
      </c>
      <c r="O111" s="34">
        <v>1023400</v>
      </c>
      <c r="P111" s="34" t="s">
        <v>41</v>
      </c>
      <c r="Q111" s="34" t="s">
        <v>42</v>
      </c>
      <c r="R111" s="26"/>
      <c r="S111" s="26"/>
      <c r="T111" s="26" t="s">
        <v>43</v>
      </c>
      <c r="U111" s="26"/>
      <c r="V111" s="26"/>
      <c r="W111" s="26"/>
      <c r="X111" s="26"/>
    </row>
    <row r="112" spans="1:24" s="29" customFormat="1">
      <c r="A112" s="34" t="s">
        <v>31</v>
      </c>
      <c r="B112" s="34" t="s">
        <v>450</v>
      </c>
      <c r="C112" s="34" t="s">
        <v>451</v>
      </c>
      <c r="D112" s="34">
        <f t="shared" si="1"/>
        <v>-1</v>
      </c>
      <c r="E112" s="34" t="s">
        <v>34</v>
      </c>
      <c r="F112" s="34" t="s">
        <v>35</v>
      </c>
      <c r="G112" s="34" t="s">
        <v>452</v>
      </c>
      <c r="H112" s="34" t="s">
        <v>37</v>
      </c>
      <c r="I112" s="34" t="s">
        <v>38</v>
      </c>
      <c r="J112" s="34" t="s">
        <v>431</v>
      </c>
      <c r="K112" s="34" t="s">
        <v>432</v>
      </c>
      <c r="L112" s="34">
        <v>322810</v>
      </c>
      <c r="M112" s="34">
        <v>0</v>
      </c>
      <c r="N112" s="34">
        <v>0</v>
      </c>
      <c r="O112" s="34">
        <v>2021810</v>
      </c>
      <c r="P112" s="34" t="s">
        <v>41</v>
      </c>
      <c r="Q112" s="34" t="s">
        <v>42</v>
      </c>
      <c r="R112" s="26"/>
      <c r="S112" s="26"/>
      <c r="T112" s="26" t="s">
        <v>43</v>
      </c>
      <c r="U112" s="26"/>
      <c r="V112" s="26"/>
      <c r="W112" s="26"/>
      <c r="X112" s="26"/>
    </row>
    <row r="113" spans="1:24" s="29" customFormat="1">
      <c r="A113" s="35" t="s">
        <v>31</v>
      </c>
      <c r="B113" s="35" t="s">
        <v>453</v>
      </c>
      <c r="C113" s="35" t="s">
        <v>454</v>
      </c>
      <c r="D113" s="35">
        <f t="shared" si="1"/>
        <v>-1</v>
      </c>
      <c r="E113" s="35" t="s">
        <v>34</v>
      </c>
      <c r="F113" s="35" t="s">
        <v>35</v>
      </c>
      <c r="G113" s="35" t="s">
        <v>455</v>
      </c>
      <c r="H113" s="35" t="s">
        <v>37</v>
      </c>
      <c r="I113" s="35" t="s">
        <v>38</v>
      </c>
      <c r="J113" s="35" t="s">
        <v>456</v>
      </c>
      <c r="K113" s="35" t="s">
        <v>457</v>
      </c>
      <c r="L113" s="35">
        <v>1131260</v>
      </c>
      <c r="M113" s="35">
        <v>0</v>
      </c>
      <c r="N113" s="35">
        <v>0</v>
      </c>
      <c r="O113" s="35">
        <v>7085260</v>
      </c>
      <c r="P113" s="35" t="s">
        <v>41</v>
      </c>
      <c r="Q113" s="35" t="s">
        <v>42</v>
      </c>
      <c r="R113" s="26"/>
      <c r="S113" s="26"/>
      <c r="T113" s="26"/>
      <c r="U113" s="26"/>
      <c r="V113" s="26"/>
      <c r="W113" s="35" t="s">
        <v>43</v>
      </c>
      <c r="X113" s="26" t="s">
        <v>458</v>
      </c>
    </row>
    <row r="114" spans="1:24" s="29" customFormat="1">
      <c r="A114" s="34" t="s">
        <v>31</v>
      </c>
      <c r="B114" s="34" t="s">
        <v>459</v>
      </c>
      <c r="C114" s="34" t="s">
        <v>460</v>
      </c>
      <c r="D114" s="34">
        <f t="shared" si="1"/>
        <v>-1</v>
      </c>
      <c r="E114" s="34" t="s">
        <v>34</v>
      </c>
      <c r="F114" s="34" t="s">
        <v>35</v>
      </c>
      <c r="G114" s="34" t="s">
        <v>461</v>
      </c>
      <c r="H114" s="34" t="s">
        <v>37</v>
      </c>
      <c r="I114" s="34" t="s">
        <v>38</v>
      </c>
      <c r="J114" s="34" t="s">
        <v>383</v>
      </c>
      <c r="K114" s="34" t="s">
        <v>384</v>
      </c>
      <c r="L114" s="34">
        <v>86450</v>
      </c>
      <c r="M114" s="34">
        <v>0</v>
      </c>
      <c r="N114" s="34">
        <v>0</v>
      </c>
      <c r="O114" s="34">
        <v>541450</v>
      </c>
      <c r="P114" s="34" t="s">
        <v>41</v>
      </c>
      <c r="Q114" s="34" t="s">
        <v>42</v>
      </c>
      <c r="R114" s="26"/>
      <c r="S114" s="26"/>
      <c r="T114" s="26" t="s">
        <v>43</v>
      </c>
      <c r="U114" s="26"/>
      <c r="V114" s="26"/>
      <c r="W114" s="26"/>
      <c r="X114" s="26"/>
    </row>
    <row r="115" spans="1:24" s="29" customFormat="1">
      <c r="A115" s="34" t="s">
        <v>31</v>
      </c>
      <c r="B115" s="34" t="s">
        <v>462</v>
      </c>
      <c r="C115" s="34" t="s">
        <v>463</v>
      </c>
      <c r="D115" s="34">
        <f t="shared" si="1"/>
        <v>-1</v>
      </c>
      <c r="E115" s="34" t="s">
        <v>34</v>
      </c>
      <c r="F115" s="34" t="s">
        <v>35</v>
      </c>
      <c r="G115" s="34" t="s">
        <v>464</v>
      </c>
      <c r="H115" s="34" t="s">
        <v>37</v>
      </c>
      <c r="I115" s="34" t="s">
        <v>38</v>
      </c>
      <c r="J115" s="34" t="s">
        <v>383</v>
      </c>
      <c r="K115" s="34" t="s">
        <v>384</v>
      </c>
      <c r="L115" s="34">
        <v>14250</v>
      </c>
      <c r="M115" s="34">
        <v>0</v>
      </c>
      <c r="N115" s="34">
        <v>0</v>
      </c>
      <c r="O115" s="34">
        <v>89250</v>
      </c>
      <c r="P115" s="34" t="s">
        <v>41</v>
      </c>
      <c r="Q115" s="34" t="s">
        <v>42</v>
      </c>
      <c r="R115" s="26"/>
      <c r="S115" s="26"/>
      <c r="T115" s="26" t="s">
        <v>43</v>
      </c>
      <c r="U115" s="26"/>
      <c r="V115" s="26"/>
      <c r="W115" s="26"/>
      <c r="X115" s="26"/>
    </row>
    <row r="116" spans="1:24" s="29" customFormat="1">
      <c r="A116" s="34" t="s">
        <v>31</v>
      </c>
      <c r="B116" s="34" t="s">
        <v>465</v>
      </c>
      <c r="C116" s="34" t="s">
        <v>466</v>
      </c>
      <c r="D116" s="34">
        <f t="shared" si="1"/>
        <v>-1</v>
      </c>
      <c r="E116" s="34" t="s">
        <v>34</v>
      </c>
      <c r="F116" s="34" t="s">
        <v>35</v>
      </c>
      <c r="G116" s="34" t="s">
        <v>467</v>
      </c>
      <c r="H116" s="34" t="s">
        <v>37</v>
      </c>
      <c r="I116" s="34" t="s">
        <v>38</v>
      </c>
      <c r="J116" s="34" t="s">
        <v>383</v>
      </c>
      <c r="K116" s="34" t="s">
        <v>384</v>
      </c>
      <c r="L116" s="34">
        <v>4647970</v>
      </c>
      <c r="M116" s="34">
        <v>0</v>
      </c>
      <c r="N116" s="34">
        <v>0</v>
      </c>
      <c r="O116" s="34">
        <v>29110970</v>
      </c>
      <c r="P116" s="34" t="s">
        <v>41</v>
      </c>
      <c r="Q116" s="34" t="s">
        <v>42</v>
      </c>
      <c r="R116" s="26"/>
      <c r="S116" s="26"/>
      <c r="T116" s="26" t="s">
        <v>43</v>
      </c>
      <c r="U116" s="26"/>
      <c r="V116" s="26"/>
      <c r="W116" s="26"/>
      <c r="X116" s="26"/>
    </row>
    <row r="117" spans="1:24" s="29" customFormat="1">
      <c r="A117" s="26" t="s">
        <v>31</v>
      </c>
      <c r="B117" s="26" t="s">
        <v>468</v>
      </c>
      <c r="C117" s="26" t="s">
        <v>469</v>
      </c>
      <c r="D117" s="26">
        <f t="shared" si="1"/>
        <v>-1</v>
      </c>
      <c r="E117" s="26" t="s">
        <v>34</v>
      </c>
      <c r="F117" s="26" t="s">
        <v>35</v>
      </c>
      <c r="G117" s="26" t="s">
        <v>470</v>
      </c>
      <c r="H117" s="26" t="s">
        <v>37</v>
      </c>
      <c r="I117" s="26" t="s">
        <v>38</v>
      </c>
      <c r="J117" s="26" t="s">
        <v>471</v>
      </c>
      <c r="K117" s="26" t="s">
        <v>472</v>
      </c>
      <c r="L117" s="26">
        <v>107320.93</v>
      </c>
      <c r="M117" s="26">
        <v>0</v>
      </c>
      <c r="N117" s="26">
        <v>0</v>
      </c>
      <c r="O117" s="26">
        <v>709047.93</v>
      </c>
      <c r="P117" s="26" t="s">
        <v>41</v>
      </c>
      <c r="Q117" s="26" t="s">
        <v>42</v>
      </c>
      <c r="R117" s="26"/>
      <c r="S117" s="26"/>
      <c r="T117" s="26"/>
      <c r="U117" s="26"/>
      <c r="V117" s="26" t="s">
        <v>43</v>
      </c>
      <c r="W117" s="26"/>
      <c r="X117" s="26"/>
    </row>
    <row r="118" spans="1:24" s="29" customFormat="1">
      <c r="A118" s="26" t="s">
        <v>31</v>
      </c>
      <c r="B118" s="26" t="s">
        <v>473</v>
      </c>
      <c r="C118" s="26" t="s">
        <v>474</v>
      </c>
      <c r="D118" s="26">
        <f t="shared" si="1"/>
        <v>-1</v>
      </c>
      <c r="E118" s="26" t="s">
        <v>34</v>
      </c>
      <c r="F118" s="26" t="s">
        <v>35</v>
      </c>
      <c r="G118" s="26" t="s">
        <v>475</v>
      </c>
      <c r="H118" s="26" t="s">
        <v>37</v>
      </c>
      <c r="I118" s="26" t="s">
        <v>38</v>
      </c>
      <c r="J118" s="26" t="s">
        <v>471</v>
      </c>
      <c r="K118" s="26" t="s">
        <v>472</v>
      </c>
      <c r="L118" s="26">
        <v>463609.5</v>
      </c>
      <c r="M118" s="26">
        <v>0</v>
      </c>
      <c r="N118" s="26">
        <v>0</v>
      </c>
      <c r="O118" s="26">
        <v>2903659.5</v>
      </c>
      <c r="P118" s="26" t="s">
        <v>41</v>
      </c>
      <c r="Q118" s="26" t="s">
        <v>42</v>
      </c>
      <c r="R118" s="26"/>
      <c r="S118" s="26"/>
      <c r="T118" s="26"/>
      <c r="U118" s="26"/>
      <c r="V118" s="26" t="s">
        <v>43</v>
      </c>
      <c r="W118" s="26"/>
      <c r="X118" s="26"/>
    </row>
    <row r="119" spans="1:24" s="29" customFormat="1">
      <c r="A119" s="26" t="s">
        <v>31</v>
      </c>
      <c r="B119" s="26" t="s">
        <v>476</v>
      </c>
      <c r="C119" s="26" t="s">
        <v>477</v>
      </c>
      <c r="D119" s="26">
        <f t="shared" si="1"/>
        <v>-1</v>
      </c>
      <c r="E119" s="26" t="s">
        <v>34</v>
      </c>
      <c r="F119" s="26" t="s">
        <v>35</v>
      </c>
      <c r="G119" s="26" t="s">
        <v>478</v>
      </c>
      <c r="H119" s="26" t="s">
        <v>37</v>
      </c>
      <c r="I119" s="26" t="s">
        <v>38</v>
      </c>
      <c r="J119" s="26" t="s">
        <v>471</v>
      </c>
      <c r="K119" s="26" t="s">
        <v>472</v>
      </c>
      <c r="L119" s="26">
        <v>206752.3</v>
      </c>
      <c r="M119" s="26">
        <v>0</v>
      </c>
      <c r="N119" s="26">
        <v>0</v>
      </c>
      <c r="O119" s="26">
        <v>1294922.3</v>
      </c>
      <c r="P119" s="26" t="s">
        <v>41</v>
      </c>
      <c r="Q119" s="26" t="s">
        <v>42</v>
      </c>
      <c r="R119" s="26"/>
      <c r="S119" s="26"/>
      <c r="T119" s="26"/>
      <c r="U119" s="26"/>
      <c r="V119" s="26" t="s">
        <v>43</v>
      </c>
      <c r="W119" s="26"/>
      <c r="X119" s="26"/>
    </row>
    <row r="120" spans="1:24" s="29" customFormat="1">
      <c r="A120" s="26" t="s">
        <v>31</v>
      </c>
      <c r="B120" s="26" t="s">
        <v>479</v>
      </c>
      <c r="C120" s="26" t="s">
        <v>480</v>
      </c>
      <c r="D120" s="26">
        <f t="shared" si="1"/>
        <v>-1</v>
      </c>
      <c r="E120" s="26" t="s">
        <v>34</v>
      </c>
      <c r="F120" s="26" t="s">
        <v>35</v>
      </c>
      <c r="G120" s="26" t="s">
        <v>481</v>
      </c>
      <c r="H120" s="26" t="s">
        <v>37</v>
      </c>
      <c r="I120" s="26" t="s">
        <v>38</v>
      </c>
      <c r="J120" s="26" t="s">
        <v>471</v>
      </c>
      <c r="K120" s="26" t="s">
        <v>472</v>
      </c>
      <c r="L120" s="26">
        <v>11991.66</v>
      </c>
      <c r="M120" s="26">
        <v>0</v>
      </c>
      <c r="N120" s="26">
        <v>0</v>
      </c>
      <c r="O120" s="26">
        <v>75105.66</v>
      </c>
      <c r="P120" s="26" t="s">
        <v>41</v>
      </c>
      <c r="Q120" s="26" t="s">
        <v>42</v>
      </c>
      <c r="R120" s="26"/>
      <c r="S120" s="26"/>
      <c r="T120" s="26"/>
      <c r="U120" s="26"/>
      <c r="V120" s="26" t="s">
        <v>43</v>
      </c>
      <c r="W120" s="26"/>
      <c r="X120" s="26"/>
    </row>
    <row r="121" spans="1:24" s="29" customFormat="1">
      <c r="A121" s="26" t="s">
        <v>31</v>
      </c>
      <c r="B121" s="26" t="s">
        <v>482</v>
      </c>
      <c r="C121" s="26" t="s">
        <v>483</v>
      </c>
      <c r="D121" s="26">
        <f t="shared" si="1"/>
        <v>-1</v>
      </c>
      <c r="E121" s="26" t="s">
        <v>34</v>
      </c>
      <c r="F121" s="26" t="s">
        <v>35</v>
      </c>
      <c r="G121" s="26" t="s">
        <v>484</v>
      </c>
      <c r="H121" s="26" t="s">
        <v>37</v>
      </c>
      <c r="I121" s="26" t="s">
        <v>38</v>
      </c>
      <c r="J121" s="26" t="s">
        <v>471</v>
      </c>
      <c r="K121" s="26" t="s">
        <v>472</v>
      </c>
      <c r="L121" s="26">
        <v>58190.16</v>
      </c>
      <c r="M121" s="26">
        <v>0</v>
      </c>
      <c r="N121" s="26">
        <v>0</v>
      </c>
      <c r="O121" s="26">
        <v>364454.16</v>
      </c>
      <c r="P121" s="26" t="s">
        <v>41</v>
      </c>
      <c r="Q121" s="26" t="s">
        <v>42</v>
      </c>
      <c r="R121" s="26"/>
      <c r="S121" s="26"/>
      <c r="T121" s="26"/>
      <c r="U121" s="26"/>
      <c r="V121" s="26" t="s">
        <v>43</v>
      </c>
      <c r="W121" s="26"/>
      <c r="X121" s="26"/>
    </row>
    <row r="122" spans="1:24" s="29" customFormat="1">
      <c r="A122" s="26" t="s">
        <v>31</v>
      </c>
      <c r="B122" s="26" t="s">
        <v>485</v>
      </c>
      <c r="C122" s="26" t="s">
        <v>486</v>
      </c>
      <c r="D122" s="26">
        <f t="shared" si="1"/>
        <v>-1</v>
      </c>
      <c r="E122" s="26" t="s">
        <v>34</v>
      </c>
      <c r="F122" s="26" t="s">
        <v>35</v>
      </c>
      <c r="G122" s="26" t="s">
        <v>487</v>
      </c>
      <c r="H122" s="26" t="s">
        <v>37</v>
      </c>
      <c r="I122" s="26" t="s">
        <v>38</v>
      </c>
      <c r="J122" s="26" t="s">
        <v>471</v>
      </c>
      <c r="K122" s="26" t="s">
        <v>472</v>
      </c>
      <c r="L122" s="26">
        <v>182349.65</v>
      </c>
      <c r="M122" s="26">
        <v>0</v>
      </c>
      <c r="N122" s="26">
        <v>0</v>
      </c>
      <c r="O122" s="26">
        <v>1142084.6499999999</v>
      </c>
      <c r="P122" s="26" t="s">
        <v>41</v>
      </c>
      <c r="Q122" s="26" t="s">
        <v>42</v>
      </c>
      <c r="R122" s="26"/>
      <c r="S122" s="26"/>
      <c r="T122" s="26"/>
      <c r="U122" s="26"/>
      <c r="V122" s="26" t="s">
        <v>43</v>
      </c>
      <c r="W122" s="26"/>
      <c r="X122" s="26"/>
    </row>
    <row r="123" spans="1:24" s="29" customFormat="1">
      <c r="A123" s="26" t="s">
        <v>31</v>
      </c>
      <c r="B123" s="26" t="s">
        <v>488</v>
      </c>
      <c r="C123" s="26" t="s">
        <v>489</v>
      </c>
      <c r="D123" s="26">
        <f t="shared" si="1"/>
        <v>-1</v>
      </c>
      <c r="E123" s="26" t="s">
        <v>34</v>
      </c>
      <c r="F123" s="26" t="s">
        <v>35</v>
      </c>
      <c r="G123" s="26" t="s">
        <v>490</v>
      </c>
      <c r="H123" s="26" t="s">
        <v>37</v>
      </c>
      <c r="I123" s="26" t="s">
        <v>38</v>
      </c>
      <c r="J123" s="26" t="s">
        <v>471</v>
      </c>
      <c r="K123" s="26" t="s">
        <v>472</v>
      </c>
      <c r="L123" s="26">
        <v>66500</v>
      </c>
      <c r="M123" s="26">
        <v>0</v>
      </c>
      <c r="N123" s="26">
        <v>0</v>
      </c>
      <c r="O123" s="26">
        <v>416500</v>
      </c>
      <c r="P123" s="26" t="s">
        <v>41</v>
      </c>
      <c r="Q123" s="26" t="s">
        <v>42</v>
      </c>
      <c r="R123" s="26"/>
      <c r="S123" s="26"/>
      <c r="T123" s="26"/>
      <c r="U123" s="26"/>
      <c r="V123" s="26" t="s">
        <v>43</v>
      </c>
      <c r="W123" s="26"/>
      <c r="X123" s="26"/>
    </row>
    <row r="124" spans="1:24" s="29" customFormat="1">
      <c r="A124" s="33" t="s">
        <v>31</v>
      </c>
      <c r="B124" s="33" t="s">
        <v>491</v>
      </c>
      <c r="C124" s="33" t="s">
        <v>492</v>
      </c>
      <c r="D124" s="33">
        <f t="shared" si="1"/>
        <v>-1</v>
      </c>
      <c r="E124" s="33" t="s">
        <v>34</v>
      </c>
      <c r="F124" s="33" t="s">
        <v>35</v>
      </c>
      <c r="G124" s="33" t="s">
        <v>493</v>
      </c>
      <c r="H124" s="33" t="s">
        <v>37</v>
      </c>
      <c r="I124" s="33" t="s">
        <v>38</v>
      </c>
      <c r="J124" s="33" t="s">
        <v>494</v>
      </c>
      <c r="K124" s="33" t="s">
        <v>495</v>
      </c>
      <c r="L124" s="33">
        <v>20634</v>
      </c>
      <c r="M124" s="33">
        <v>0</v>
      </c>
      <c r="N124" s="33">
        <v>0</v>
      </c>
      <c r="O124" s="33">
        <v>129234</v>
      </c>
      <c r="P124" s="33" t="s">
        <v>41</v>
      </c>
      <c r="Q124" s="33" t="s">
        <v>42</v>
      </c>
      <c r="R124" s="26"/>
      <c r="S124" s="26" t="s">
        <v>43</v>
      </c>
      <c r="T124" s="26"/>
      <c r="U124" s="26"/>
      <c r="V124" s="26"/>
      <c r="W124" s="26"/>
      <c r="X124" s="26"/>
    </row>
    <row r="125" spans="1:24" s="29" customFormat="1">
      <c r="A125" s="36" t="s">
        <v>31</v>
      </c>
      <c r="B125" s="36" t="s">
        <v>496</v>
      </c>
      <c r="C125" s="36" t="s">
        <v>497</v>
      </c>
      <c r="D125" s="36">
        <f t="shared" si="1"/>
        <v>-1</v>
      </c>
      <c r="E125" s="36" t="s">
        <v>34</v>
      </c>
      <c r="F125" s="36" t="s">
        <v>35</v>
      </c>
      <c r="G125" s="36" t="s">
        <v>498</v>
      </c>
      <c r="H125" s="36" t="s">
        <v>37</v>
      </c>
      <c r="I125" s="36" t="s">
        <v>38</v>
      </c>
      <c r="J125" s="36" t="s">
        <v>499</v>
      </c>
      <c r="K125" s="36" t="s">
        <v>500</v>
      </c>
      <c r="L125" s="36">
        <v>152000</v>
      </c>
      <c r="M125" s="36">
        <v>0</v>
      </c>
      <c r="N125" s="36">
        <v>0</v>
      </c>
      <c r="O125" s="36">
        <v>952000</v>
      </c>
      <c r="P125" s="36" t="s">
        <v>41</v>
      </c>
      <c r="Q125" s="36" t="s">
        <v>42</v>
      </c>
      <c r="R125" s="26"/>
      <c r="S125" s="26"/>
      <c r="T125" s="26"/>
      <c r="U125" s="26"/>
      <c r="V125" s="26"/>
      <c r="W125" s="35" t="s">
        <v>43</v>
      </c>
      <c r="X125" s="26" t="s">
        <v>501</v>
      </c>
    </row>
    <row r="126" spans="1:24" s="29" customFormat="1">
      <c r="A126" s="35" t="s">
        <v>31</v>
      </c>
      <c r="B126" s="35" t="s">
        <v>502</v>
      </c>
      <c r="C126" s="35" t="s">
        <v>503</v>
      </c>
      <c r="D126" s="35">
        <f t="shared" si="1"/>
        <v>-1</v>
      </c>
      <c r="E126" s="35" t="s">
        <v>34</v>
      </c>
      <c r="F126" s="35" t="s">
        <v>35</v>
      </c>
      <c r="G126" s="35" t="s">
        <v>504</v>
      </c>
      <c r="H126" s="35" t="s">
        <v>37</v>
      </c>
      <c r="I126" s="35" t="s">
        <v>38</v>
      </c>
      <c r="J126" s="35" t="s">
        <v>505</v>
      </c>
      <c r="K126" s="35" t="s">
        <v>506</v>
      </c>
      <c r="L126" s="35">
        <v>50882</v>
      </c>
      <c r="M126" s="35">
        <v>0</v>
      </c>
      <c r="N126" s="35">
        <v>0</v>
      </c>
      <c r="O126" s="35">
        <v>318682</v>
      </c>
      <c r="P126" s="35" t="s">
        <v>41</v>
      </c>
      <c r="Q126" s="35" t="s">
        <v>42</v>
      </c>
      <c r="R126" s="26"/>
      <c r="S126" s="26"/>
      <c r="T126" s="26"/>
      <c r="U126" s="26"/>
      <c r="V126" s="26"/>
      <c r="W126" s="35" t="s">
        <v>43</v>
      </c>
      <c r="X126" s="26" t="s">
        <v>458</v>
      </c>
    </row>
    <row r="127" spans="1:24" s="29" customFormat="1">
      <c r="A127" s="34" t="s">
        <v>31</v>
      </c>
      <c r="B127" s="34" t="s">
        <v>507</v>
      </c>
      <c r="C127" s="34" t="s">
        <v>508</v>
      </c>
      <c r="D127" s="34">
        <f t="shared" si="1"/>
        <v>-1</v>
      </c>
      <c r="E127" s="34" t="s">
        <v>34</v>
      </c>
      <c r="F127" s="34" t="s">
        <v>35</v>
      </c>
      <c r="G127" s="34" t="s">
        <v>509</v>
      </c>
      <c r="H127" s="34" t="s">
        <v>37</v>
      </c>
      <c r="I127" s="34" t="s">
        <v>38</v>
      </c>
      <c r="J127" s="34" t="s">
        <v>510</v>
      </c>
      <c r="K127" s="34" t="s">
        <v>511</v>
      </c>
      <c r="L127" s="34">
        <v>62764.98</v>
      </c>
      <c r="M127" s="34">
        <v>0</v>
      </c>
      <c r="N127" s="34">
        <v>0</v>
      </c>
      <c r="O127" s="34">
        <v>393106.98</v>
      </c>
      <c r="P127" s="34" t="s">
        <v>41</v>
      </c>
      <c r="Q127" s="34" t="s">
        <v>42</v>
      </c>
      <c r="R127" s="26"/>
      <c r="S127" s="26"/>
      <c r="T127" s="26" t="s">
        <v>43</v>
      </c>
      <c r="U127" s="26"/>
      <c r="V127" s="26"/>
      <c r="W127" s="26"/>
      <c r="X127" s="26"/>
    </row>
    <row r="128" spans="1:24" s="29" customFormat="1">
      <c r="A128" s="26" t="s">
        <v>31</v>
      </c>
      <c r="B128" s="26" t="s">
        <v>512</v>
      </c>
      <c r="C128" s="26" t="s">
        <v>513</v>
      </c>
      <c r="D128" s="26">
        <f t="shared" si="1"/>
        <v>-1</v>
      </c>
      <c r="E128" s="26" t="s">
        <v>34</v>
      </c>
      <c r="F128" s="26" t="s">
        <v>35</v>
      </c>
      <c r="G128" s="26" t="s">
        <v>514</v>
      </c>
      <c r="H128" s="26" t="s">
        <v>37</v>
      </c>
      <c r="I128" s="26" t="s">
        <v>38</v>
      </c>
      <c r="J128" s="26" t="s">
        <v>515</v>
      </c>
      <c r="K128" s="26" t="s">
        <v>516</v>
      </c>
      <c r="L128" s="26">
        <v>202926.65</v>
      </c>
      <c r="M128" s="26">
        <v>0</v>
      </c>
      <c r="N128" s="26">
        <v>0</v>
      </c>
      <c r="O128" s="26">
        <v>1270961.6499999999</v>
      </c>
      <c r="P128" s="26" t="s">
        <v>41</v>
      </c>
      <c r="Q128" s="26" t="s">
        <v>42</v>
      </c>
      <c r="R128" s="26"/>
      <c r="S128" s="26"/>
      <c r="T128" s="26"/>
      <c r="U128" s="26"/>
      <c r="V128" s="26" t="s">
        <v>43</v>
      </c>
      <c r="W128" s="26"/>
      <c r="X128" s="26"/>
    </row>
    <row r="129" spans="1:24" s="29" customFormat="1">
      <c r="A129" s="33" t="s">
        <v>31</v>
      </c>
      <c r="B129" s="33" t="s">
        <v>517</v>
      </c>
      <c r="C129" s="33" t="s">
        <v>518</v>
      </c>
      <c r="D129" s="33">
        <f t="shared" si="1"/>
        <v>-1</v>
      </c>
      <c r="E129" s="33" t="s">
        <v>34</v>
      </c>
      <c r="F129" s="33" t="s">
        <v>35</v>
      </c>
      <c r="G129" s="33" t="s">
        <v>519</v>
      </c>
      <c r="H129" s="33" t="s">
        <v>37</v>
      </c>
      <c r="I129" s="33" t="s">
        <v>38</v>
      </c>
      <c r="J129" s="33" t="s">
        <v>520</v>
      </c>
      <c r="K129" s="33" t="s">
        <v>521</v>
      </c>
      <c r="L129" s="33">
        <v>412089</v>
      </c>
      <c r="M129" s="33">
        <v>0</v>
      </c>
      <c r="N129" s="33">
        <v>0</v>
      </c>
      <c r="O129" s="33">
        <v>3717189</v>
      </c>
      <c r="P129" s="33" t="s">
        <v>41</v>
      </c>
      <c r="Q129" s="33" t="s">
        <v>42</v>
      </c>
      <c r="R129" s="26"/>
      <c r="S129" s="26" t="s">
        <v>43</v>
      </c>
      <c r="T129" s="26"/>
      <c r="U129" s="26"/>
      <c r="V129" s="26"/>
      <c r="W129" s="26"/>
      <c r="X129" s="26"/>
    </row>
    <row r="130" spans="1:24" s="29" customFormat="1">
      <c r="A130" s="32" t="s">
        <v>31</v>
      </c>
      <c r="B130" s="32" t="s">
        <v>522</v>
      </c>
      <c r="C130" s="32" t="s">
        <v>523</v>
      </c>
      <c r="D130" s="32">
        <f t="shared" si="1"/>
        <v>-1</v>
      </c>
      <c r="E130" s="32" t="s">
        <v>34</v>
      </c>
      <c r="F130" s="32" t="s">
        <v>35</v>
      </c>
      <c r="G130" s="32" t="s">
        <v>524</v>
      </c>
      <c r="H130" s="32" t="s">
        <v>37</v>
      </c>
      <c r="I130" s="32" t="s">
        <v>38</v>
      </c>
      <c r="J130" s="32" t="s">
        <v>525</v>
      </c>
      <c r="K130" s="32" t="s">
        <v>526</v>
      </c>
      <c r="L130" s="32">
        <v>40013.24</v>
      </c>
      <c r="M130" s="32">
        <v>0</v>
      </c>
      <c r="N130" s="32">
        <v>0</v>
      </c>
      <c r="O130" s="32">
        <v>250609.24</v>
      </c>
      <c r="P130" s="32" t="s">
        <v>41</v>
      </c>
      <c r="Q130" s="32" t="s">
        <v>42</v>
      </c>
      <c r="R130" s="26" t="s">
        <v>43</v>
      </c>
      <c r="S130" s="26"/>
      <c r="T130" s="26"/>
      <c r="U130" s="26"/>
      <c r="V130" s="26"/>
      <c r="W130" s="26"/>
      <c r="X130" s="26"/>
    </row>
    <row r="131" spans="1:24" s="29" customFormat="1">
      <c r="A131" s="33" t="s">
        <v>31</v>
      </c>
      <c r="B131" s="33" t="s">
        <v>527</v>
      </c>
      <c r="C131" s="33" t="s">
        <v>528</v>
      </c>
      <c r="D131" s="33">
        <f t="shared" si="1"/>
        <v>-1</v>
      </c>
      <c r="E131" s="33" t="s">
        <v>34</v>
      </c>
      <c r="F131" s="33" t="s">
        <v>35</v>
      </c>
      <c r="G131" s="33" t="s">
        <v>529</v>
      </c>
      <c r="H131" s="33" t="s">
        <v>37</v>
      </c>
      <c r="I131" s="33" t="s">
        <v>38</v>
      </c>
      <c r="J131" s="33" t="s">
        <v>530</v>
      </c>
      <c r="K131" s="33" t="s">
        <v>531</v>
      </c>
      <c r="L131" s="33">
        <v>347228.7</v>
      </c>
      <c r="M131" s="33">
        <v>0</v>
      </c>
      <c r="N131" s="33">
        <v>0</v>
      </c>
      <c r="O131" s="33">
        <v>2420978.7000000002</v>
      </c>
      <c r="P131" s="33" t="s">
        <v>41</v>
      </c>
      <c r="Q131" s="33" t="s">
        <v>42</v>
      </c>
      <c r="R131" s="26"/>
      <c r="S131" s="26" t="s">
        <v>43</v>
      </c>
      <c r="T131" s="26"/>
      <c r="U131" s="26"/>
      <c r="V131" s="26"/>
      <c r="W131" s="26"/>
      <c r="X131" s="26"/>
    </row>
    <row r="132" spans="1:24" s="29" customFormat="1">
      <c r="A132" s="26" t="s">
        <v>31</v>
      </c>
      <c r="B132" s="26" t="s">
        <v>532</v>
      </c>
      <c r="C132" s="26" t="s">
        <v>533</v>
      </c>
      <c r="D132" s="26">
        <f t="shared" si="1"/>
        <v>-1</v>
      </c>
      <c r="E132" s="26" t="s">
        <v>34</v>
      </c>
      <c r="F132" s="26" t="s">
        <v>35</v>
      </c>
      <c r="G132" s="26" t="s">
        <v>534</v>
      </c>
      <c r="H132" s="26" t="s">
        <v>37</v>
      </c>
      <c r="I132" s="26" t="s">
        <v>38</v>
      </c>
      <c r="J132" s="26" t="s">
        <v>535</v>
      </c>
      <c r="K132" s="26" t="s">
        <v>536</v>
      </c>
      <c r="L132" s="26">
        <v>321226.11</v>
      </c>
      <c r="M132" s="26">
        <v>0</v>
      </c>
      <c r="N132" s="26">
        <v>0</v>
      </c>
      <c r="O132" s="26">
        <v>4379233.1100000003</v>
      </c>
      <c r="P132" s="26" t="s">
        <v>41</v>
      </c>
      <c r="Q132" s="26" t="s">
        <v>42</v>
      </c>
      <c r="R132" s="26"/>
      <c r="S132" s="26"/>
      <c r="T132" s="26"/>
      <c r="U132" s="26"/>
      <c r="V132" s="26" t="s">
        <v>43</v>
      </c>
      <c r="W132" s="26"/>
      <c r="X132" s="26"/>
    </row>
    <row r="133" spans="1:24" s="29" customFormat="1">
      <c r="A133" s="26" t="s">
        <v>31</v>
      </c>
      <c r="B133" s="26" t="s">
        <v>537</v>
      </c>
      <c r="C133" s="26" t="s">
        <v>538</v>
      </c>
      <c r="D133" s="26">
        <f t="shared" si="1"/>
        <v>-1</v>
      </c>
      <c r="E133" s="26" t="s">
        <v>34</v>
      </c>
      <c r="F133" s="26" t="s">
        <v>35</v>
      </c>
      <c r="G133" s="26" t="s">
        <v>539</v>
      </c>
      <c r="H133" s="26" t="s">
        <v>37</v>
      </c>
      <c r="I133" s="26" t="s">
        <v>38</v>
      </c>
      <c r="J133" s="26" t="s">
        <v>540</v>
      </c>
      <c r="K133" s="26" t="s">
        <v>541</v>
      </c>
      <c r="L133" s="26">
        <v>140200.24</v>
      </c>
      <c r="M133" s="26">
        <v>0</v>
      </c>
      <c r="N133" s="26">
        <v>0</v>
      </c>
      <c r="O133" s="26">
        <v>878096.24</v>
      </c>
      <c r="P133" s="26" t="s">
        <v>41</v>
      </c>
      <c r="Q133" s="26" t="s">
        <v>42</v>
      </c>
      <c r="R133" s="26"/>
      <c r="S133" s="26"/>
      <c r="T133" s="26"/>
      <c r="U133" s="26"/>
      <c r="V133" s="26" t="s">
        <v>43</v>
      </c>
      <c r="W133" s="26"/>
      <c r="X133" s="26"/>
    </row>
    <row r="134" spans="1:24" s="29" customFormat="1">
      <c r="A134" s="26" t="s">
        <v>31</v>
      </c>
      <c r="B134" s="26" t="s">
        <v>542</v>
      </c>
      <c r="C134" s="26" t="s">
        <v>543</v>
      </c>
      <c r="D134" s="26">
        <f t="shared" si="1"/>
        <v>-1</v>
      </c>
      <c r="E134" s="26" t="s">
        <v>34</v>
      </c>
      <c r="F134" s="26" t="s">
        <v>35</v>
      </c>
      <c r="G134" s="26" t="s">
        <v>544</v>
      </c>
      <c r="H134" s="26" t="s">
        <v>37</v>
      </c>
      <c r="I134" s="26" t="s">
        <v>38</v>
      </c>
      <c r="J134" s="26" t="s">
        <v>545</v>
      </c>
      <c r="K134" s="26" t="s">
        <v>546</v>
      </c>
      <c r="L134" s="26">
        <v>32842</v>
      </c>
      <c r="M134" s="26">
        <v>0</v>
      </c>
      <c r="N134" s="26">
        <v>0</v>
      </c>
      <c r="O134" s="26">
        <v>348642</v>
      </c>
      <c r="P134" s="26" t="s">
        <v>41</v>
      </c>
      <c r="Q134" s="26" t="s">
        <v>42</v>
      </c>
      <c r="R134" s="26"/>
      <c r="S134" s="26"/>
      <c r="T134" s="26"/>
      <c r="U134" s="26"/>
      <c r="V134" s="26" t="s">
        <v>43</v>
      </c>
      <c r="W134" s="26"/>
      <c r="X134" s="26"/>
    </row>
    <row r="135" spans="1:24" s="29" customFormat="1">
      <c r="A135" s="26" t="s">
        <v>31</v>
      </c>
      <c r="B135" s="26" t="s">
        <v>547</v>
      </c>
      <c r="C135" s="26" t="s">
        <v>548</v>
      </c>
      <c r="D135" s="26">
        <f t="shared" si="1"/>
        <v>-1</v>
      </c>
      <c r="E135" s="26" t="s">
        <v>34</v>
      </c>
      <c r="F135" s="26" t="s">
        <v>35</v>
      </c>
      <c r="G135" s="26" t="s">
        <v>544</v>
      </c>
      <c r="H135" s="26" t="s">
        <v>37</v>
      </c>
      <c r="I135" s="26" t="s">
        <v>38</v>
      </c>
      <c r="J135" s="26" t="s">
        <v>545</v>
      </c>
      <c r="K135" s="26" t="s">
        <v>546</v>
      </c>
      <c r="L135" s="26">
        <v>5044</v>
      </c>
      <c r="M135" s="26">
        <v>0</v>
      </c>
      <c r="N135" s="26">
        <v>0</v>
      </c>
      <c r="O135" s="26">
        <v>37044</v>
      </c>
      <c r="P135" s="26" t="s">
        <v>41</v>
      </c>
      <c r="Q135" s="26" t="s">
        <v>42</v>
      </c>
      <c r="R135" s="26"/>
      <c r="S135" s="26"/>
      <c r="T135" s="26"/>
      <c r="U135" s="26"/>
      <c r="V135" s="26" t="s">
        <v>43</v>
      </c>
      <c r="W135" s="26"/>
      <c r="X135" s="26"/>
    </row>
    <row r="136" spans="1:24" s="29" customFormat="1">
      <c r="A136" s="32" t="s">
        <v>31</v>
      </c>
      <c r="B136" s="32" t="s">
        <v>549</v>
      </c>
      <c r="C136" s="32" t="s">
        <v>550</v>
      </c>
      <c r="D136" s="32">
        <f t="shared" si="1"/>
        <v>-1</v>
      </c>
      <c r="E136" s="32" t="s">
        <v>34</v>
      </c>
      <c r="F136" s="32" t="s">
        <v>35</v>
      </c>
      <c r="G136" s="32" t="s">
        <v>551</v>
      </c>
      <c r="H136" s="32" t="s">
        <v>37</v>
      </c>
      <c r="I136" s="32" t="s">
        <v>38</v>
      </c>
      <c r="J136" s="32" t="s">
        <v>552</v>
      </c>
      <c r="K136" s="32" t="s">
        <v>553</v>
      </c>
      <c r="L136" s="32">
        <v>119700</v>
      </c>
      <c r="M136" s="32">
        <v>0</v>
      </c>
      <c r="N136" s="32">
        <v>0</v>
      </c>
      <c r="O136" s="32">
        <v>749700</v>
      </c>
      <c r="P136" s="32" t="s">
        <v>41</v>
      </c>
      <c r="Q136" s="32" t="s">
        <v>42</v>
      </c>
      <c r="R136" s="26" t="s">
        <v>43</v>
      </c>
      <c r="S136" s="26"/>
      <c r="T136" s="26"/>
      <c r="U136" s="26"/>
      <c r="V136" s="26"/>
      <c r="W136" s="26"/>
      <c r="X136" s="26"/>
    </row>
    <row r="137" spans="1:24" s="29" customFormat="1">
      <c r="A137" s="32" t="s">
        <v>31</v>
      </c>
      <c r="B137" s="32" t="s">
        <v>554</v>
      </c>
      <c r="C137" s="32" t="s">
        <v>555</v>
      </c>
      <c r="D137" s="32">
        <f t="shared" si="1"/>
        <v>-1</v>
      </c>
      <c r="E137" s="32" t="s">
        <v>34</v>
      </c>
      <c r="F137" s="32" t="s">
        <v>35</v>
      </c>
      <c r="G137" s="32" t="s">
        <v>556</v>
      </c>
      <c r="H137" s="32" t="s">
        <v>37</v>
      </c>
      <c r="I137" s="32" t="s">
        <v>38</v>
      </c>
      <c r="J137" s="32" t="s">
        <v>557</v>
      </c>
      <c r="K137" s="32" t="s">
        <v>558</v>
      </c>
      <c r="L137" s="32">
        <v>573800</v>
      </c>
      <c r="M137" s="32">
        <v>0</v>
      </c>
      <c r="N137" s="32">
        <v>0</v>
      </c>
      <c r="O137" s="32">
        <v>3593800</v>
      </c>
      <c r="P137" s="32" t="s">
        <v>41</v>
      </c>
      <c r="Q137" s="32" t="s">
        <v>42</v>
      </c>
      <c r="R137" s="26" t="s">
        <v>43</v>
      </c>
      <c r="S137" s="26"/>
      <c r="T137" s="26"/>
      <c r="U137" s="26"/>
      <c r="V137" s="26"/>
      <c r="W137" s="26"/>
      <c r="X137" s="26"/>
    </row>
    <row r="138" spans="1:24" s="29" customFormat="1">
      <c r="A138" s="32" t="s">
        <v>31</v>
      </c>
      <c r="B138" s="32" t="s">
        <v>559</v>
      </c>
      <c r="C138" s="32" t="s">
        <v>560</v>
      </c>
      <c r="D138" s="32">
        <f t="shared" si="1"/>
        <v>-1</v>
      </c>
      <c r="E138" s="32" t="s">
        <v>34</v>
      </c>
      <c r="F138" s="32" t="s">
        <v>35</v>
      </c>
      <c r="G138" s="32" t="s">
        <v>561</v>
      </c>
      <c r="H138" s="32" t="s">
        <v>37</v>
      </c>
      <c r="I138" s="32" t="s">
        <v>38</v>
      </c>
      <c r="J138" s="32" t="s">
        <v>557</v>
      </c>
      <c r="K138" s="32" t="s">
        <v>558</v>
      </c>
      <c r="L138" s="32">
        <v>481840</v>
      </c>
      <c r="M138" s="32">
        <v>0</v>
      </c>
      <c r="N138" s="32">
        <v>0</v>
      </c>
      <c r="O138" s="32">
        <v>3017840</v>
      </c>
      <c r="P138" s="32" t="s">
        <v>41</v>
      </c>
      <c r="Q138" s="32" t="s">
        <v>42</v>
      </c>
      <c r="R138" s="26" t="s">
        <v>43</v>
      </c>
      <c r="S138" s="26"/>
      <c r="T138" s="26"/>
      <c r="U138" s="26"/>
      <c r="V138" s="26"/>
      <c r="W138" s="26"/>
      <c r="X138" s="26"/>
    </row>
    <row r="139" spans="1:24" s="29" customFormat="1">
      <c r="A139" s="32" t="s">
        <v>31</v>
      </c>
      <c r="B139" s="32" t="s">
        <v>562</v>
      </c>
      <c r="C139" s="32" t="s">
        <v>563</v>
      </c>
      <c r="D139" s="32">
        <f t="shared" si="1"/>
        <v>-1</v>
      </c>
      <c r="E139" s="32" t="s">
        <v>34</v>
      </c>
      <c r="F139" s="32" t="s">
        <v>35</v>
      </c>
      <c r="G139" s="32" t="s">
        <v>564</v>
      </c>
      <c r="H139" s="32" t="s">
        <v>37</v>
      </c>
      <c r="I139" s="32" t="s">
        <v>38</v>
      </c>
      <c r="J139" s="32" t="s">
        <v>557</v>
      </c>
      <c r="K139" s="32" t="s">
        <v>558</v>
      </c>
      <c r="L139" s="32">
        <v>720860</v>
      </c>
      <c r="M139" s="32">
        <v>0</v>
      </c>
      <c r="N139" s="32">
        <v>0</v>
      </c>
      <c r="O139" s="32">
        <v>4514860</v>
      </c>
      <c r="P139" s="32" t="s">
        <v>41</v>
      </c>
      <c r="Q139" s="32" t="s">
        <v>42</v>
      </c>
      <c r="R139" s="26" t="s">
        <v>43</v>
      </c>
      <c r="S139" s="26"/>
      <c r="T139" s="26"/>
      <c r="U139" s="26"/>
      <c r="V139" s="26"/>
      <c r="W139" s="26"/>
      <c r="X139" s="26"/>
    </row>
    <row r="140" spans="1:24" s="29" customFormat="1">
      <c r="A140" s="34" t="s">
        <v>31</v>
      </c>
      <c r="B140" s="34" t="s">
        <v>565</v>
      </c>
      <c r="C140" s="34" t="s">
        <v>566</v>
      </c>
      <c r="D140" s="34">
        <f t="shared" si="1"/>
        <v>-1</v>
      </c>
      <c r="E140" s="34" t="s">
        <v>34</v>
      </c>
      <c r="F140" s="34" t="s">
        <v>35</v>
      </c>
      <c r="G140" s="34" t="s">
        <v>567</v>
      </c>
      <c r="H140" s="34" t="s">
        <v>37</v>
      </c>
      <c r="I140" s="34" t="s">
        <v>38</v>
      </c>
      <c r="J140" s="34" t="s">
        <v>568</v>
      </c>
      <c r="K140" s="34" t="s">
        <v>569</v>
      </c>
      <c r="L140" s="34">
        <v>56050</v>
      </c>
      <c r="M140" s="34">
        <v>0</v>
      </c>
      <c r="N140" s="34">
        <v>0</v>
      </c>
      <c r="O140" s="34">
        <v>351050</v>
      </c>
      <c r="P140" s="34" t="s">
        <v>41</v>
      </c>
      <c r="Q140" s="34" t="s">
        <v>42</v>
      </c>
      <c r="R140" s="26"/>
      <c r="S140" s="26"/>
      <c r="T140" s="26" t="s">
        <v>43</v>
      </c>
      <c r="U140" s="26"/>
      <c r="V140" s="26"/>
      <c r="W140" s="26"/>
      <c r="X140" s="26"/>
    </row>
    <row r="141" spans="1:24" s="29" customFormat="1">
      <c r="A141" s="26" t="s">
        <v>31</v>
      </c>
      <c r="B141" s="26" t="s">
        <v>570</v>
      </c>
      <c r="C141" s="26" t="s">
        <v>571</v>
      </c>
      <c r="D141" s="26">
        <f t="shared" ref="D141:D204" si="2">C141-C142</f>
        <v>-1</v>
      </c>
      <c r="E141" s="26" t="s">
        <v>34</v>
      </c>
      <c r="F141" s="26" t="s">
        <v>35</v>
      </c>
      <c r="G141" s="26" t="s">
        <v>572</v>
      </c>
      <c r="H141" s="26" t="s">
        <v>37</v>
      </c>
      <c r="I141" s="26" t="s">
        <v>38</v>
      </c>
      <c r="J141" s="26" t="s">
        <v>573</v>
      </c>
      <c r="K141" s="26" t="s">
        <v>574</v>
      </c>
      <c r="L141" s="26">
        <v>24700</v>
      </c>
      <c r="M141" s="26">
        <v>0</v>
      </c>
      <c r="N141" s="26">
        <v>0</v>
      </c>
      <c r="O141" s="26">
        <v>154700</v>
      </c>
      <c r="P141" s="26" t="s">
        <v>41</v>
      </c>
      <c r="Q141" s="26" t="s">
        <v>42</v>
      </c>
      <c r="R141" s="26"/>
      <c r="S141" s="26"/>
      <c r="T141" s="26"/>
      <c r="U141" s="26"/>
      <c r="V141" s="26" t="s">
        <v>43</v>
      </c>
      <c r="W141" s="26"/>
      <c r="X141" s="26"/>
    </row>
    <row r="142" spans="1:24" s="29" customFormat="1">
      <c r="A142" s="26" t="s">
        <v>31</v>
      </c>
      <c r="B142" s="26" t="s">
        <v>575</v>
      </c>
      <c r="C142" s="26" t="s">
        <v>576</v>
      </c>
      <c r="D142" s="26">
        <f t="shared" si="2"/>
        <v>-1</v>
      </c>
      <c r="E142" s="26" t="s">
        <v>34</v>
      </c>
      <c r="F142" s="26" t="s">
        <v>35</v>
      </c>
      <c r="G142" s="26" t="s">
        <v>577</v>
      </c>
      <c r="H142" s="26" t="s">
        <v>37</v>
      </c>
      <c r="I142" s="26" t="s">
        <v>38</v>
      </c>
      <c r="J142" s="26" t="s">
        <v>573</v>
      </c>
      <c r="K142" s="26" t="s">
        <v>574</v>
      </c>
      <c r="L142" s="26">
        <v>2701800</v>
      </c>
      <c r="M142" s="26">
        <v>0</v>
      </c>
      <c r="N142" s="26">
        <v>0</v>
      </c>
      <c r="O142" s="26">
        <v>16921800</v>
      </c>
      <c r="P142" s="26" t="s">
        <v>41</v>
      </c>
      <c r="Q142" s="26" t="s">
        <v>42</v>
      </c>
      <c r="R142" s="26"/>
      <c r="S142" s="26"/>
      <c r="T142" s="26"/>
      <c r="U142" s="26"/>
      <c r="V142" s="26" t="s">
        <v>43</v>
      </c>
      <c r="W142" s="26"/>
      <c r="X142" s="26"/>
    </row>
    <row r="143" spans="1:24" s="29" customFormat="1">
      <c r="A143" s="26" t="s">
        <v>31</v>
      </c>
      <c r="B143" s="26" t="s">
        <v>578</v>
      </c>
      <c r="C143" s="26" t="s">
        <v>579</v>
      </c>
      <c r="D143" s="26">
        <f t="shared" si="2"/>
        <v>-1</v>
      </c>
      <c r="E143" s="26" t="s">
        <v>34</v>
      </c>
      <c r="F143" s="26" t="s">
        <v>35</v>
      </c>
      <c r="G143" s="26" t="s">
        <v>580</v>
      </c>
      <c r="H143" s="26" t="s">
        <v>37</v>
      </c>
      <c r="I143" s="26" t="s">
        <v>38</v>
      </c>
      <c r="J143" s="26" t="s">
        <v>581</v>
      </c>
      <c r="K143" s="26" t="s">
        <v>582</v>
      </c>
      <c r="L143" s="26">
        <v>293578.5</v>
      </c>
      <c r="M143" s="26">
        <v>0</v>
      </c>
      <c r="N143" s="26">
        <v>0</v>
      </c>
      <c r="O143" s="26">
        <v>4138728.5</v>
      </c>
      <c r="P143" s="26" t="s">
        <v>41</v>
      </c>
      <c r="Q143" s="26" t="s">
        <v>42</v>
      </c>
      <c r="R143" s="26"/>
      <c r="S143" s="26"/>
      <c r="T143" s="26"/>
      <c r="U143" s="26"/>
      <c r="V143" s="26" t="s">
        <v>43</v>
      </c>
      <c r="W143" s="26"/>
      <c r="X143" s="26"/>
    </row>
    <row r="144" spans="1:24" s="29" customFormat="1">
      <c r="A144" s="26" t="s">
        <v>31</v>
      </c>
      <c r="B144" s="26" t="s">
        <v>583</v>
      </c>
      <c r="C144" s="26" t="s">
        <v>584</v>
      </c>
      <c r="D144" s="26">
        <f t="shared" si="2"/>
        <v>-1</v>
      </c>
      <c r="E144" s="26" t="s">
        <v>34</v>
      </c>
      <c r="F144" s="26" t="s">
        <v>35</v>
      </c>
      <c r="G144" s="26" t="s">
        <v>585</v>
      </c>
      <c r="H144" s="26" t="s">
        <v>37</v>
      </c>
      <c r="I144" s="26" t="s">
        <v>38</v>
      </c>
      <c r="J144" s="26" t="s">
        <v>581</v>
      </c>
      <c r="K144" s="26" t="s">
        <v>582</v>
      </c>
      <c r="L144" s="26">
        <v>15580</v>
      </c>
      <c r="M144" s="26">
        <v>0</v>
      </c>
      <c r="N144" s="26">
        <v>0</v>
      </c>
      <c r="O144" s="26">
        <v>97580</v>
      </c>
      <c r="P144" s="26" t="s">
        <v>41</v>
      </c>
      <c r="Q144" s="26" t="s">
        <v>42</v>
      </c>
      <c r="R144" s="26"/>
      <c r="S144" s="26"/>
      <c r="T144" s="26"/>
      <c r="U144" s="26"/>
      <c r="V144" s="26" t="s">
        <v>43</v>
      </c>
      <c r="W144" s="26"/>
      <c r="X144" s="26"/>
    </row>
    <row r="145" spans="1:24" s="29" customFormat="1">
      <c r="A145" s="26" t="s">
        <v>31</v>
      </c>
      <c r="B145" s="26" t="s">
        <v>586</v>
      </c>
      <c r="C145" s="26" t="s">
        <v>587</v>
      </c>
      <c r="D145" s="26">
        <f t="shared" si="2"/>
        <v>-1</v>
      </c>
      <c r="E145" s="26" t="s">
        <v>34</v>
      </c>
      <c r="F145" s="26" t="s">
        <v>35</v>
      </c>
      <c r="G145" s="26" t="s">
        <v>588</v>
      </c>
      <c r="H145" s="26" t="s">
        <v>37</v>
      </c>
      <c r="I145" s="26" t="s">
        <v>38</v>
      </c>
      <c r="J145" s="26" t="s">
        <v>581</v>
      </c>
      <c r="K145" s="26" t="s">
        <v>582</v>
      </c>
      <c r="L145" s="26">
        <v>37240</v>
      </c>
      <c r="M145" s="26">
        <v>0</v>
      </c>
      <c r="N145" s="26">
        <v>0</v>
      </c>
      <c r="O145" s="26">
        <v>233240</v>
      </c>
      <c r="P145" s="26" t="s">
        <v>41</v>
      </c>
      <c r="Q145" s="26" t="s">
        <v>42</v>
      </c>
      <c r="R145" s="26"/>
      <c r="S145" s="26"/>
      <c r="T145" s="26"/>
      <c r="U145" s="26"/>
      <c r="V145" s="26" t="s">
        <v>43</v>
      </c>
      <c r="W145" s="26"/>
      <c r="X145" s="26"/>
    </row>
    <row r="146" spans="1:24" s="29" customFormat="1">
      <c r="A146" s="32" t="s">
        <v>31</v>
      </c>
      <c r="B146" s="32" t="s">
        <v>589</v>
      </c>
      <c r="C146" s="32" t="s">
        <v>590</v>
      </c>
      <c r="D146" s="32">
        <f t="shared" si="2"/>
        <v>-1</v>
      </c>
      <c r="E146" s="32" t="s">
        <v>34</v>
      </c>
      <c r="F146" s="32" t="s">
        <v>35</v>
      </c>
      <c r="G146" s="32" t="s">
        <v>591</v>
      </c>
      <c r="H146" s="32" t="s">
        <v>37</v>
      </c>
      <c r="I146" s="32" t="s">
        <v>38</v>
      </c>
      <c r="J146" s="32" t="s">
        <v>592</v>
      </c>
      <c r="K146" s="32" t="s">
        <v>593</v>
      </c>
      <c r="L146" s="32">
        <v>376200</v>
      </c>
      <c r="M146" s="32">
        <v>0</v>
      </c>
      <c r="N146" s="32">
        <v>0</v>
      </c>
      <c r="O146" s="32">
        <v>2356200</v>
      </c>
      <c r="P146" s="32" t="s">
        <v>41</v>
      </c>
      <c r="Q146" s="32" t="s">
        <v>42</v>
      </c>
      <c r="R146" s="26" t="s">
        <v>43</v>
      </c>
      <c r="S146" s="26"/>
      <c r="T146" s="26"/>
      <c r="U146" s="26"/>
      <c r="V146" s="26"/>
      <c r="W146" s="26"/>
      <c r="X146" s="26"/>
    </row>
    <row r="147" spans="1:24" s="29" customFormat="1">
      <c r="A147" s="32" t="s">
        <v>31</v>
      </c>
      <c r="B147" s="32" t="s">
        <v>594</v>
      </c>
      <c r="C147" s="32" t="s">
        <v>595</v>
      </c>
      <c r="D147" s="32">
        <f t="shared" si="2"/>
        <v>-1</v>
      </c>
      <c r="E147" s="32" t="s">
        <v>34</v>
      </c>
      <c r="F147" s="32" t="s">
        <v>35</v>
      </c>
      <c r="G147" s="32" t="s">
        <v>596</v>
      </c>
      <c r="H147" s="32" t="s">
        <v>37</v>
      </c>
      <c r="I147" s="32" t="s">
        <v>38</v>
      </c>
      <c r="J147" s="32" t="s">
        <v>592</v>
      </c>
      <c r="K147" s="32" t="s">
        <v>593</v>
      </c>
      <c r="L147" s="32">
        <v>293578.5</v>
      </c>
      <c r="M147" s="32">
        <v>0</v>
      </c>
      <c r="N147" s="32">
        <v>0</v>
      </c>
      <c r="O147" s="32">
        <v>1838728.5</v>
      </c>
      <c r="P147" s="32" t="s">
        <v>41</v>
      </c>
      <c r="Q147" s="32" t="s">
        <v>42</v>
      </c>
      <c r="R147" s="26" t="s">
        <v>43</v>
      </c>
      <c r="S147" s="26"/>
      <c r="T147" s="26"/>
      <c r="U147" s="26"/>
      <c r="V147" s="26"/>
      <c r="W147" s="26"/>
      <c r="X147" s="26"/>
    </row>
    <row r="148" spans="1:24" s="29" customFormat="1">
      <c r="A148" s="34" t="s">
        <v>31</v>
      </c>
      <c r="B148" s="34" t="s">
        <v>597</v>
      </c>
      <c r="C148" s="34" t="s">
        <v>598</v>
      </c>
      <c r="D148" s="34">
        <f t="shared" si="2"/>
        <v>-1</v>
      </c>
      <c r="E148" s="34" t="s">
        <v>34</v>
      </c>
      <c r="F148" s="34" t="s">
        <v>35</v>
      </c>
      <c r="G148" s="34" t="s">
        <v>599</v>
      </c>
      <c r="H148" s="34" t="s">
        <v>37</v>
      </c>
      <c r="I148" s="34" t="s">
        <v>38</v>
      </c>
      <c r="J148" s="34" t="s">
        <v>600</v>
      </c>
      <c r="K148" s="34" t="s">
        <v>601</v>
      </c>
      <c r="L148" s="34">
        <v>22800</v>
      </c>
      <c r="M148" s="34">
        <v>0</v>
      </c>
      <c r="N148" s="34">
        <v>0</v>
      </c>
      <c r="O148" s="34">
        <v>142800</v>
      </c>
      <c r="P148" s="34" t="s">
        <v>41</v>
      </c>
      <c r="Q148" s="34" t="s">
        <v>42</v>
      </c>
      <c r="R148" s="26"/>
      <c r="S148" s="26"/>
      <c r="T148" s="26" t="s">
        <v>43</v>
      </c>
      <c r="U148" s="26"/>
      <c r="V148" s="26"/>
      <c r="W148" s="26"/>
      <c r="X148" s="26"/>
    </row>
    <row r="149" spans="1:24" s="29" customFormat="1">
      <c r="A149" s="34" t="s">
        <v>31</v>
      </c>
      <c r="B149" s="34" t="s">
        <v>602</v>
      </c>
      <c r="C149" s="34" t="s">
        <v>603</v>
      </c>
      <c r="D149" s="34">
        <f t="shared" si="2"/>
        <v>-1</v>
      </c>
      <c r="E149" s="34" t="s">
        <v>34</v>
      </c>
      <c r="F149" s="34" t="s">
        <v>35</v>
      </c>
      <c r="G149" s="34" t="s">
        <v>604</v>
      </c>
      <c r="H149" s="34" t="s">
        <v>37</v>
      </c>
      <c r="I149" s="34" t="s">
        <v>38</v>
      </c>
      <c r="J149" s="34" t="s">
        <v>600</v>
      </c>
      <c r="K149" s="34" t="s">
        <v>601</v>
      </c>
      <c r="L149" s="34">
        <v>23560</v>
      </c>
      <c r="M149" s="34">
        <v>0</v>
      </c>
      <c r="N149" s="34">
        <v>0</v>
      </c>
      <c r="O149" s="34">
        <v>147560</v>
      </c>
      <c r="P149" s="34" t="s">
        <v>41</v>
      </c>
      <c r="Q149" s="34" t="s">
        <v>42</v>
      </c>
      <c r="R149" s="26"/>
      <c r="S149" s="26"/>
      <c r="T149" s="26" t="s">
        <v>43</v>
      </c>
      <c r="U149" s="26"/>
      <c r="V149" s="26"/>
      <c r="W149" s="26"/>
      <c r="X149" s="26"/>
    </row>
    <row r="150" spans="1:24" s="29" customFormat="1">
      <c r="A150" s="34" t="s">
        <v>31</v>
      </c>
      <c r="B150" s="34" t="s">
        <v>605</v>
      </c>
      <c r="C150" s="34" t="s">
        <v>606</v>
      </c>
      <c r="D150" s="34">
        <f t="shared" si="2"/>
        <v>-1</v>
      </c>
      <c r="E150" s="34" t="s">
        <v>34</v>
      </c>
      <c r="F150" s="34" t="s">
        <v>35</v>
      </c>
      <c r="G150" s="34" t="s">
        <v>607</v>
      </c>
      <c r="H150" s="34" t="s">
        <v>37</v>
      </c>
      <c r="I150" s="34" t="s">
        <v>38</v>
      </c>
      <c r="J150" s="34" t="s">
        <v>600</v>
      </c>
      <c r="K150" s="34" t="s">
        <v>601</v>
      </c>
      <c r="L150" s="34">
        <v>47671</v>
      </c>
      <c r="M150" s="34">
        <v>0</v>
      </c>
      <c r="N150" s="34">
        <v>0</v>
      </c>
      <c r="O150" s="34">
        <v>298571</v>
      </c>
      <c r="P150" s="34" t="s">
        <v>41</v>
      </c>
      <c r="Q150" s="34" t="s">
        <v>42</v>
      </c>
      <c r="R150" s="26"/>
      <c r="S150" s="26"/>
      <c r="T150" s="26" t="s">
        <v>43</v>
      </c>
      <c r="U150" s="26"/>
      <c r="V150" s="26"/>
      <c r="W150" s="26"/>
      <c r="X150" s="26"/>
    </row>
    <row r="151" spans="1:24" s="29" customFormat="1">
      <c r="A151" s="34" t="s">
        <v>31</v>
      </c>
      <c r="B151" s="34" t="s">
        <v>608</v>
      </c>
      <c r="C151" s="34" t="s">
        <v>609</v>
      </c>
      <c r="D151" s="34">
        <f t="shared" si="2"/>
        <v>-1</v>
      </c>
      <c r="E151" s="34" t="s">
        <v>34</v>
      </c>
      <c r="F151" s="34" t="s">
        <v>35</v>
      </c>
      <c r="G151" s="34" t="s">
        <v>610</v>
      </c>
      <c r="H151" s="34" t="s">
        <v>37</v>
      </c>
      <c r="I151" s="34" t="s">
        <v>38</v>
      </c>
      <c r="J151" s="34" t="s">
        <v>611</v>
      </c>
      <c r="K151" s="34" t="s">
        <v>612</v>
      </c>
      <c r="L151" s="34">
        <v>44317.5</v>
      </c>
      <c r="M151" s="34">
        <v>0</v>
      </c>
      <c r="N151" s="34">
        <v>0</v>
      </c>
      <c r="O151" s="34">
        <v>277567.5</v>
      </c>
      <c r="P151" s="34" t="s">
        <v>41</v>
      </c>
      <c r="Q151" s="34" t="s">
        <v>42</v>
      </c>
      <c r="R151" s="26"/>
      <c r="S151" s="26"/>
      <c r="T151" s="26" t="s">
        <v>43</v>
      </c>
      <c r="U151" s="26"/>
      <c r="V151" s="26"/>
      <c r="W151" s="26"/>
      <c r="X151" s="26"/>
    </row>
    <row r="152" spans="1:24" s="29" customFormat="1">
      <c r="A152" s="26" t="s">
        <v>31</v>
      </c>
      <c r="B152" s="26" t="s">
        <v>613</v>
      </c>
      <c r="C152" s="26" t="s">
        <v>614</v>
      </c>
      <c r="D152" s="26">
        <f t="shared" si="2"/>
        <v>-1</v>
      </c>
      <c r="E152" s="26" t="s">
        <v>34</v>
      </c>
      <c r="F152" s="26" t="s">
        <v>35</v>
      </c>
      <c r="G152" s="26" t="s">
        <v>615</v>
      </c>
      <c r="H152" s="26" t="s">
        <v>37</v>
      </c>
      <c r="I152" s="26" t="s">
        <v>38</v>
      </c>
      <c r="J152" s="26" t="s">
        <v>616</v>
      </c>
      <c r="K152" s="26" t="s">
        <v>617</v>
      </c>
      <c r="L152" s="26">
        <v>181260</v>
      </c>
      <c r="M152" s="26">
        <v>0</v>
      </c>
      <c r="N152" s="26">
        <v>0</v>
      </c>
      <c r="O152" s="26">
        <v>1135260</v>
      </c>
      <c r="P152" s="26" t="s">
        <v>41</v>
      </c>
      <c r="Q152" s="26" t="s">
        <v>42</v>
      </c>
      <c r="R152" s="26"/>
      <c r="S152" s="26"/>
      <c r="T152" s="26"/>
      <c r="U152" s="26"/>
      <c r="V152" s="26" t="s">
        <v>43</v>
      </c>
      <c r="W152" s="26"/>
      <c r="X152" s="26"/>
    </row>
    <row r="153" spans="1:24" s="29" customFormat="1">
      <c r="A153" s="33" t="s">
        <v>31</v>
      </c>
      <c r="B153" s="33" t="s">
        <v>618</v>
      </c>
      <c r="C153" s="33" t="s">
        <v>619</v>
      </c>
      <c r="D153" s="33">
        <f t="shared" si="2"/>
        <v>-1</v>
      </c>
      <c r="E153" s="33" t="s">
        <v>34</v>
      </c>
      <c r="F153" s="33" t="s">
        <v>35</v>
      </c>
      <c r="G153" s="33" t="s">
        <v>620</v>
      </c>
      <c r="H153" s="33" t="s">
        <v>37</v>
      </c>
      <c r="I153" s="33" t="s">
        <v>38</v>
      </c>
      <c r="J153" s="33" t="s">
        <v>621</v>
      </c>
      <c r="K153" s="33" t="s">
        <v>622</v>
      </c>
      <c r="L153" s="33">
        <v>1458563.5</v>
      </c>
      <c r="M153" s="33">
        <v>0</v>
      </c>
      <c r="N153" s="33">
        <v>0</v>
      </c>
      <c r="O153" s="33">
        <v>9205413.5</v>
      </c>
      <c r="P153" s="33" t="s">
        <v>41</v>
      </c>
      <c r="Q153" s="33" t="s">
        <v>42</v>
      </c>
      <c r="R153" s="26"/>
      <c r="S153" s="26" t="s">
        <v>43</v>
      </c>
      <c r="T153" s="26"/>
      <c r="U153" s="26"/>
      <c r="V153" s="26"/>
      <c r="W153" s="26"/>
      <c r="X153" s="26"/>
    </row>
    <row r="154" spans="1:24" s="29" customFormat="1">
      <c r="A154" s="34" t="s">
        <v>31</v>
      </c>
      <c r="B154" s="34" t="s">
        <v>623</v>
      </c>
      <c r="C154" s="34" t="s">
        <v>624</v>
      </c>
      <c r="D154" s="34">
        <f t="shared" si="2"/>
        <v>-1</v>
      </c>
      <c r="E154" s="34" t="s">
        <v>34</v>
      </c>
      <c r="F154" s="34" t="s">
        <v>35</v>
      </c>
      <c r="G154" s="34" t="s">
        <v>625</v>
      </c>
      <c r="H154" s="34" t="s">
        <v>37</v>
      </c>
      <c r="I154" s="34" t="s">
        <v>38</v>
      </c>
      <c r="J154" s="34" t="s">
        <v>626</v>
      </c>
      <c r="K154" s="34" t="s">
        <v>627</v>
      </c>
      <c r="L154" s="34">
        <v>13110</v>
      </c>
      <c r="M154" s="34">
        <v>0</v>
      </c>
      <c r="N154" s="34">
        <v>0</v>
      </c>
      <c r="O154" s="34">
        <v>82110</v>
      </c>
      <c r="P154" s="34" t="s">
        <v>41</v>
      </c>
      <c r="Q154" s="34" t="s">
        <v>42</v>
      </c>
      <c r="R154" s="26"/>
      <c r="S154" s="26"/>
      <c r="T154" s="26" t="s">
        <v>628</v>
      </c>
      <c r="U154" s="26"/>
      <c r="V154" s="26"/>
      <c r="W154" s="26"/>
      <c r="X154" s="26"/>
    </row>
    <row r="155" spans="1:24" s="29" customFormat="1">
      <c r="A155" s="34" t="s">
        <v>31</v>
      </c>
      <c r="B155" s="34" t="s">
        <v>629</v>
      </c>
      <c r="C155" s="34" t="s">
        <v>630</v>
      </c>
      <c r="D155" s="34">
        <f t="shared" si="2"/>
        <v>-1</v>
      </c>
      <c r="E155" s="34" t="s">
        <v>34</v>
      </c>
      <c r="F155" s="34" t="s">
        <v>35</v>
      </c>
      <c r="G155" s="34" t="s">
        <v>631</v>
      </c>
      <c r="H155" s="34" t="s">
        <v>37</v>
      </c>
      <c r="I155" s="34" t="s">
        <v>38</v>
      </c>
      <c r="J155" s="34" t="s">
        <v>632</v>
      </c>
      <c r="K155" s="34" t="s">
        <v>633</v>
      </c>
      <c r="L155" s="34">
        <v>20292</v>
      </c>
      <c r="M155" s="34">
        <v>0</v>
      </c>
      <c r="N155" s="34">
        <v>0</v>
      </c>
      <c r="O155" s="34">
        <v>127092</v>
      </c>
      <c r="P155" s="34" t="s">
        <v>41</v>
      </c>
      <c r="Q155" s="34" t="s">
        <v>42</v>
      </c>
      <c r="R155" s="26"/>
      <c r="S155" s="26"/>
      <c r="T155" s="26" t="s">
        <v>43</v>
      </c>
      <c r="U155" s="26"/>
      <c r="V155" s="26"/>
      <c r="W155" s="26"/>
      <c r="X155" s="26"/>
    </row>
    <row r="156" spans="1:24" s="29" customFormat="1">
      <c r="A156" s="26" t="s">
        <v>31</v>
      </c>
      <c r="B156" s="26" t="s">
        <v>634</v>
      </c>
      <c r="C156" s="26" t="s">
        <v>635</v>
      </c>
      <c r="D156" s="26">
        <f t="shared" si="2"/>
        <v>-1</v>
      </c>
      <c r="E156" s="26" t="s">
        <v>34</v>
      </c>
      <c r="F156" s="26" t="s">
        <v>35</v>
      </c>
      <c r="G156" s="26" t="s">
        <v>636</v>
      </c>
      <c r="H156" s="26" t="s">
        <v>37</v>
      </c>
      <c r="I156" s="26" t="s">
        <v>38</v>
      </c>
      <c r="J156" s="26" t="s">
        <v>637</v>
      </c>
      <c r="K156" s="26" t="s">
        <v>638</v>
      </c>
      <c r="L156" s="26">
        <v>22420</v>
      </c>
      <c r="M156" s="26">
        <v>0</v>
      </c>
      <c r="N156" s="26">
        <v>0</v>
      </c>
      <c r="O156" s="26">
        <v>140420</v>
      </c>
      <c r="P156" s="26" t="s">
        <v>41</v>
      </c>
      <c r="Q156" s="26" t="s">
        <v>42</v>
      </c>
      <c r="R156" s="26"/>
      <c r="S156" s="26"/>
      <c r="T156" s="26"/>
      <c r="U156" s="26"/>
      <c r="V156" s="26" t="s">
        <v>43</v>
      </c>
      <c r="W156" s="26"/>
      <c r="X156" s="26"/>
    </row>
    <row r="157" spans="1:24" s="29" customFormat="1">
      <c r="A157" s="34" t="s">
        <v>31</v>
      </c>
      <c r="B157" s="34" t="s">
        <v>639</v>
      </c>
      <c r="C157" s="34" t="s">
        <v>640</v>
      </c>
      <c r="D157" s="34">
        <f t="shared" si="2"/>
        <v>-1</v>
      </c>
      <c r="E157" s="34" t="s">
        <v>34</v>
      </c>
      <c r="F157" s="34" t="s">
        <v>35</v>
      </c>
      <c r="G157" s="34" t="s">
        <v>641</v>
      </c>
      <c r="H157" s="34" t="s">
        <v>37</v>
      </c>
      <c r="I157" s="34" t="s">
        <v>38</v>
      </c>
      <c r="J157" s="34" t="s">
        <v>69</v>
      </c>
      <c r="K157" s="34" t="s">
        <v>70</v>
      </c>
      <c r="L157" s="34">
        <v>271065.02</v>
      </c>
      <c r="M157" s="34">
        <v>0</v>
      </c>
      <c r="N157" s="34">
        <v>0</v>
      </c>
      <c r="O157" s="34">
        <v>1697723.02</v>
      </c>
      <c r="P157" s="34" t="s">
        <v>41</v>
      </c>
      <c r="Q157" s="34" t="s">
        <v>42</v>
      </c>
      <c r="R157" s="26"/>
      <c r="S157" s="26"/>
      <c r="T157" s="26" t="s">
        <v>43</v>
      </c>
      <c r="U157" s="26"/>
      <c r="V157" s="26"/>
      <c r="W157" s="26"/>
      <c r="X157" s="26"/>
    </row>
    <row r="158" spans="1:24" s="29" customFormat="1">
      <c r="A158" s="35" t="s">
        <v>31</v>
      </c>
      <c r="B158" s="35" t="s">
        <v>642</v>
      </c>
      <c r="C158" s="35" t="s">
        <v>643</v>
      </c>
      <c r="D158" s="35">
        <f t="shared" si="2"/>
        <v>-1</v>
      </c>
      <c r="E158" s="35" t="s">
        <v>34</v>
      </c>
      <c r="F158" s="35" t="s">
        <v>35</v>
      </c>
      <c r="G158" s="35" t="s">
        <v>644</v>
      </c>
      <c r="H158" s="35" t="s">
        <v>37</v>
      </c>
      <c r="I158" s="35" t="s">
        <v>38</v>
      </c>
      <c r="J158" s="35" t="s">
        <v>645</v>
      </c>
      <c r="K158" s="35" t="s">
        <v>646</v>
      </c>
      <c r="L158" s="35">
        <v>250800</v>
      </c>
      <c r="M158" s="35">
        <v>0</v>
      </c>
      <c r="N158" s="35">
        <v>0</v>
      </c>
      <c r="O158" s="35">
        <v>1570800</v>
      </c>
      <c r="P158" s="35" t="s">
        <v>41</v>
      </c>
      <c r="Q158" s="35" t="s">
        <v>42</v>
      </c>
      <c r="R158" s="26"/>
      <c r="S158" s="26"/>
      <c r="T158" s="26"/>
      <c r="U158" s="26"/>
      <c r="V158" s="26"/>
      <c r="W158" s="35" t="s">
        <v>43</v>
      </c>
      <c r="X158" s="26" t="s">
        <v>647</v>
      </c>
    </row>
    <row r="159" spans="1:24" s="29" customFormat="1">
      <c r="A159" s="33" t="s">
        <v>31</v>
      </c>
      <c r="B159" s="33" t="s">
        <v>648</v>
      </c>
      <c r="C159" s="33" t="s">
        <v>649</v>
      </c>
      <c r="D159" s="33">
        <f t="shared" si="2"/>
        <v>-1</v>
      </c>
      <c r="E159" s="33" t="s">
        <v>34</v>
      </c>
      <c r="F159" s="33" t="s">
        <v>35</v>
      </c>
      <c r="G159" s="33" t="s">
        <v>650</v>
      </c>
      <c r="H159" s="33" t="s">
        <v>37</v>
      </c>
      <c r="I159" s="33" t="s">
        <v>38</v>
      </c>
      <c r="J159" s="33" t="s">
        <v>651</v>
      </c>
      <c r="K159" s="33" t="s">
        <v>652</v>
      </c>
      <c r="L159" s="33">
        <v>735300</v>
      </c>
      <c r="M159" s="33">
        <v>0</v>
      </c>
      <c r="N159" s="33">
        <v>0</v>
      </c>
      <c r="O159" s="33">
        <v>4605300</v>
      </c>
      <c r="P159" s="33" t="s">
        <v>41</v>
      </c>
      <c r="Q159" s="33" t="s">
        <v>42</v>
      </c>
      <c r="R159" s="26"/>
      <c r="S159" s="26" t="s">
        <v>43</v>
      </c>
      <c r="T159" s="26"/>
      <c r="U159" s="26"/>
      <c r="V159" s="26"/>
      <c r="W159" s="26"/>
      <c r="X159" s="26"/>
    </row>
    <row r="160" spans="1:24" s="29" customFormat="1">
      <c r="A160" s="32" t="s">
        <v>31</v>
      </c>
      <c r="B160" s="32" t="s">
        <v>653</v>
      </c>
      <c r="C160" s="32" t="s">
        <v>654</v>
      </c>
      <c r="D160" s="32">
        <f t="shared" si="2"/>
        <v>-1</v>
      </c>
      <c r="E160" s="32" t="s">
        <v>34</v>
      </c>
      <c r="F160" s="32" t="s">
        <v>35</v>
      </c>
      <c r="G160" s="32" t="s">
        <v>655</v>
      </c>
      <c r="H160" s="32" t="s">
        <v>37</v>
      </c>
      <c r="I160" s="32" t="s">
        <v>38</v>
      </c>
      <c r="J160" s="32" t="s">
        <v>656</v>
      </c>
      <c r="K160" s="32" t="s">
        <v>657</v>
      </c>
      <c r="L160" s="32">
        <v>159600</v>
      </c>
      <c r="M160" s="32">
        <v>0</v>
      </c>
      <c r="N160" s="32">
        <v>0</v>
      </c>
      <c r="O160" s="32">
        <v>999600</v>
      </c>
      <c r="P160" s="32" t="s">
        <v>41</v>
      </c>
      <c r="Q160" s="32" t="s">
        <v>42</v>
      </c>
      <c r="R160" s="26" t="s">
        <v>43</v>
      </c>
      <c r="S160" s="26"/>
      <c r="T160" s="26"/>
      <c r="U160" s="26"/>
      <c r="V160" s="26"/>
      <c r="W160" s="26"/>
      <c r="X160" s="26"/>
    </row>
    <row r="161" spans="1:24" s="29" customFormat="1">
      <c r="A161" s="32" t="s">
        <v>31</v>
      </c>
      <c r="B161" s="32" t="s">
        <v>658</v>
      </c>
      <c r="C161" s="32" t="s">
        <v>659</v>
      </c>
      <c r="D161" s="32">
        <f t="shared" si="2"/>
        <v>-1</v>
      </c>
      <c r="E161" s="32" t="s">
        <v>34</v>
      </c>
      <c r="F161" s="32" t="s">
        <v>35</v>
      </c>
      <c r="G161" s="32" t="s">
        <v>660</v>
      </c>
      <c r="H161" s="32" t="s">
        <v>37</v>
      </c>
      <c r="I161" s="32" t="s">
        <v>38</v>
      </c>
      <c r="J161" s="32" t="s">
        <v>656</v>
      </c>
      <c r="K161" s="32" t="s">
        <v>657</v>
      </c>
      <c r="L161" s="32">
        <v>769500</v>
      </c>
      <c r="M161" s="32">
        <v>0</v>
      </c>
      <c r="N161" s="32">
        <v>0</v>
      </c>
      <c r="O161" s="32">
        <v>4819500</v>
      </c>
      <c r="P161" s="32" t="s">
        <v>41</v>
      </c>
      <c r="Q161" s="32" t="s">
        <v>42</v>
      </c>
      <c r="R161" s="26" t="s">
        <v>43</v>
      </c>
      <c r="S161" s="26"/>
      <c r="T161" s="26"/>
      <c r="U161" s="26"/>
      <c r="V161" s="26"/>
      <c r="W161" s="26"/>
      <c r="X161" s="26"/>
    </row>
    <row r="162" spans="1:24" s="29" customFormat="1">
      <c r="A162" s="34" t="s">
        <v>31</v>
      </c>
      <c r="B162" s="34" t="s">
        <v>661</v>
      </c>
      <c r="C162" s="34" t="s">
        <v>662</v>
      </c>
      <c r="D162" s="34">
        <f t="shared" si="2"/>
        <v>-1</v>
      </c>
      <c r="E162" s="34" t="s">
        <v>34</v>
      </c>
      <c r="F162" s="34" t="s">
        <v>35</v>
      </c>
      <c r="G162" s="34" t="s">
        <v>663</v>
      </c>
      <c r="H162" s="34" t="s">
        <v>37</v>
      </c>
      <c r="I162" s="34" t="s">
        <v>38</v>
      </c>
      <c r="J162" s="34" t="s">
        <v>664</v>
      </c>
      <c r="K162" s="34" t="s">
        <v>665</v>
      </c>
      <c r="L162" s="34">
        <v>121525.62</v>
      </c>
      <c r="M162" s="34">
        <v>0</v>
      </c>
      <c r="N162" s="34">
        <v>0</v>
      </c>
      <c r="O162" s="34">
        <v>1017923.62</v>
      </c>
      <c r="P162" s="34" t="s">
        <v>41</v>
      </c>
      <c r="Q162" s="34" t="s">
        <v>42</v>
      </c>
      <c r="R162" s="26"/>
      <c r="S162" s="26"/>
      <c r="T162" s="26" t="s">
        <v>43</v>
      </c>
      <c r="U162" s="26"/>
      <c r="V162" s="26"/>
      <c r="W162" s="26"/>
      <c r="X162" s="26"/>
    </row>
    <row r="163" spans="1:24" s="29" customFormat="1">
      <c r="A163" s="34" t="s">
        <v>31</v>
      </c>
      <c r="B163" s="34" t="s">
        <v>666</v>
      </c>
      <c r="C163" s="34" t="s">
        <v>667</v>
      </c>
      <c r="D163" s="34">
        <f t="shared" si="2"/>
        <v>-1</v>
      </c>
      <c r="E163" s="34" t="s">
        <v>34</v>
      </c>
      <c r="F163" s="34" t="s">
        <v>35</v>
      </c>
      <c r="G163" s="34" t="s">
        <v>668</v>
      </c>
      <c r="H163" s="34" t="s">
        <v>37</v>
      </c>
      <c r="I163" s="34" t="s">
        <v>38</v>
      </c>
      <c r="J163" s="34" t="s">
        <v>669</v>
      </c>
      <c r="K163" s="34" t="s">
        <v>670</v>
      </c>
      <c r="L163" s="34">
        <v>10314.34</v>
      </c>
      <c r="M163" s="34">
        <v>0</v>
      </c>
      <c r="N163" s="34">
        <v>0</v>
      </c>
      <c r="O163" s="34">
        <v>64600.34</v>
      </c>
      <c r="P163" s="34" t="s">
        <v>41</v>
      </c>
      <c r="Q163" s="34" t="s">
        <v>42</v>
      </c>
      <c r="R163" s="26"/>
      <c r="S163" s="26"/>
      <c r="T163" s="26" t="s">
        <v>628</v>
      </c>
      <c r="U163" s="26"/>
      <c r="V163" s="26"/>
      <c r="W163" s="26"/>
      <c r="X163" s="26"/>
    </row>
    <row r="164" spans="1:24" s="29" customFormat="1">
      <c r="A164" s="34" t="s">
        <v>31</v>
      </c>
      <c r="B164" s="34" t="s">
        <v>671</v>
      </c>
      <c r="C164" s="34" t="s">
        <v>672</v>
      </c>
      <c r="D164" s="34">
        <f t="shared" si="2"/>
        <v>-1</v>
      </c>
      <c r="E164" s="34" t="s">
        <v>34</v>
      </c>
      <c r="F164" s="34" t="s">
        <v>35</v>
      </c>
      <c r="G164" s="34" t="s">
        <v>673</v>
      </c>
      <c r="H164" s="34" t="s">
        <v>37</v>
      </c>
      <c r="I164" s="34" t="s">
        <v>38</v>
      </c>
      <c r="J164" s="34" t="s">
        <v>669</v>
      </c>
      <c r="K164" s="34" t="s">
        <v>670</v>
      </c>
      <c r="L164" s="34">
        <v>969000</v>
      </c>
      <c r="M164" s="34">
        <v>0</v>
      </c>
      <c r="N164" s="34">
        <v>0</v>
      </c>
      <c r="O164" s="34">
        <v>6069000</v>
      </c>
      <c r="P164" s="34" t="s">
        <v>41</v>
      </c>
      <c r="Q164" s="34" t="s">
        <v>42</v>
      </c>
      <c r="R164" s="26"/>
      <c r="S164" s="26"/>
      <c r="T164" s="26" t="s">
        <v>628</v>
      </c>
      <c r="U164" s="26"/>
      <c r="V164" s="26"/>
      <c r="W164" s="26"/>
      <c r="X164" s="26"/>
    </row>
    <row r="165" spans="1:24" s="29" customFormat="1">
      <c r="A165" s="34" t="s">
        <v>31</v>
      </c>
      <c r="B165" s="34" t="s">
        <v>674</v>
      </c>
      <c r="C165" s="34" t="s">
        <v>675</v>
      </c>
      <c r="D165" s="34">
        <f t="shared" si="2"/>
        <v>-1</v>
      </c>
      <c r="E165" s="34" t="s">
        <v>34</v>
      </c>
      <c r="F165" s="34" t="s">
        <v>35</v>
      </c>
      <c r="G165" s="34" t="s">
        <v>676</v>
      </c>
      <c r="H165" s="34" t="s">
        <v>37</v>
      </c>
      <c r="I165" s="34" t="s">
        <v>38</v>
      </c>
      <c r="J165" s="34" t="s">
        <v>677</v>
      </c>
      <c r="K165" s="34" t="s">
        <v>678</v>
      </c>
      <c r="L165" s="34">
        <v>28481</v>
      </c>
      <c r="M165" s="34">
        <v>0</v>
      </c>
      <c r="N165" s="34">
        <v>0</v>
      </c>
      <c r="O165" s="34">
        <v>178381</v>
      </c>
      <c r="P165" s="34" t="s">
        <v>41</v>
      </c>
      <c r="Q165" s="34" t="s">
        <v>42</v>
      </c>
      <c r="R165" s="26"/>
      <c r="S165" s="26"/>
      <c r="T165" s="26" t="s">
        <v>43</v>
      </c>
      <c r="U165" s="26"/>
      <c r="V165" s="26"/>
      <c r="W165" s="26"/>
      <c r="X165" s="26"/>
    </row>
    <row r="166" spans="1:24" s="29" customFormat="1">
      <c r="A166" s="34" t="s">
        <v>31</v>
      </c>
      <c r="B166" s="34" t="s">
        <v>679</v>
      </c>
      <c r="C166" s="34" t="s">
        <v>680</v>
      </c>
      <c r="D166" s="34">
        <f t="shared" si="2"/>
        <v>-1</v>
      </c>
      <c r="E166" s="34" t="s">
        <v>34</v>
      </c>
      <c r="F166" s="34" t="s">
        <v>35</v>
      </c>
      <c r="G166" s="34" t="s">
        <v>681</v>
      </c>
      <c r="H166" s="34" t="s">
        <v>37</v>
      </c>
      <c r="I166" s="34" t="s">
        <v>38</v>
      </c>
      <c r="J166" s="34" t="s">
        <v>677</v>
      </c>
      <c r="K166" s="34" t="s">
        <v>678</v>
      </c>
      <c r="L166" s="34">
        <v>284810</v>
      </c>
      <c r="M166" s="34">
        <v>0</v>
      </c>
      <c r="N166" s="34">
        <v>0</v>
      </c>
      <c r="O166" s="34">
        <v>1783810</v>
      </c>
      <c r="P166" s="34" t="s">
        <v>41</v>
      </c>
      <c r="Q166" s="34" t="s">
        <v>42</v>
      </c>
      <c r="R166" s="26"/>
      <c r="S166" s="26"/>
      <c r="T166" s="26" t="s">
        <v>43</v>
      </c>
      <c r="U166" s="26"/>
      <c r="V166" s="26"/>
      <c r="W166" s="26"/>
      <c r="X166" s="26"/>
    </row>
    <row r="167" spans="1:24" s="29" customFormat="1">
      <c r="A167" s="26" t="s">
        <v>31</v>
      </c>
      <c r="B167" s="26" t="s">
        <v>682</v>
      </c>
      <c r="C167" s="26" t="s">
        <v>683</v>
      </c>
      <c r="D167" s="26">
        <f t="shared" si="2"/>
        <v>-1</v>
      </c>
      <c r="E167" s="26" t="s">
        <v>34</v>
      </c>
      <c r="F167" s="26" t="s">
        <v>35</v>
      </c>
      <c r="G167" s="26" t="s">
        <v>684</v>
      </c>
      <c r="H167" s="26" t="s">
        <v>37</v>
      </c>
      <c r="I167" s="26" t="s">
        <v>38</v>
      </c>
      <c r="J167" s="26" t="s">
        <v>685</v>
      </c>
      <c r="K167" s="26" t="s">
        <v>686</v>
      </c>
      <c r="L167" s="26">
        <v>89400</v>
      </c>
      <c r="M167" s="26">
        <v>0</v>
      </c>
      <c r="N167" s="26">
        <v>0</v>
      </c>
      <c r="O167" s="26">
        <v>960200</v>
      </c>
      <c r="P167" s="26" t="s">
        <v>41</v>
      </c>
      <c r="Q167" s="26" t="s">
        <v>42</v>
      </c>
      <c r="R167" s="26"/>
      <c r="S167" s="26"/>
      <c r="T167" s="26"/>
      <c r="U167" s="26"/>
      <c r="V167" s="26" t="s">
        <v>43</v>
      </c>
      <c r="W167" s="26"/>
      <c r="X167" s="26"/>
    </row>
    <row r="168" spans="1:24" s="29" customFormat="1">
      <c r="A168" s="34" t="s">
        <v>31</v>
      </c>
      <c r="B168" s="34" t="s">
        <v>687</v>
      </c>
      <c r="C168" s="34" t="s">
        <v>688</v>
      </c>
      <c r="D168" s="34">
        <f t="shared" si="2"/>
        <v>-1</v>
      </c>
      <c r="E168" s="34" t="s">
        <v>34</v>
      </c>
      <c r="F168" s="34" t="s">
        <v>35</v>
      </c>
      <c r="G168" s="34" t="s">
        <v>689</v>
      </c>
      <c r="H168" s="34" t="s">
        <v>37</v>
      </c>
      <c r="I168" s="34" t="s">
        <v>38</v>
      </c>
      <c r="J168" s="34" t="s">
        <v>677</v>
      </c>
      <c r="K168" s="34" t="s">
        <v>678</v>
      </c>
      <c r="L168" s="34">
        <v>162716</v>
      </c>
      <c r="M168" s="34">
        <v>0</v>
      </c>
      <c r="N168" s="34">
        <v>0</v>
      </c>
      <c r="O168" s="34">
        <v>1019116</v>
      </c>
      <c r="P168" s="34" t="s">
        <v>41</v>
      </c>
      <c r="Q168" s="34" t="s">
        <v>42</v>
      </c>
      <c r="R168" s="26"/>
      <c r="S168" s="26"/>
      <c r="T168" s="26" t="s">
        <v>43</v>
      </c>
      <c r="U168" s="26"/>
      <c r="V168" s="26"/>
      <c r="W168" s="26"/>
      <c r="X168" s="26"/>
    </row>
    <row r="169" spans="1:24" s="29" customFormat="1">
      <c r="A169" s="34" t="s">
        <v>31</v>
      </c>
      <c r="B169" s="34" t="s">
        <v>690</v>
      </c>
      <c r="C169" s="34" t="s">
        <v>691</v>
      </c>
      <c r="D169" s="34">
        <f t="shared" si="2"/>
        <v>-1</v>
      </c>
      <c r="E169" s="34" t="s">
        <v>34</v>
      </c>
      <c r="F169" s="34" t="s">
        <v>35</v>
      </c>
      <c r="G169" s="34" t="s">
        <v>692</v>
      </c>
      <c r="H169" s="34" t="s">
        <v>37</v>
      </c>
      <c r="I169" s="34" t="s">
        <v>38</v>
      </c>
      <c r="J169" s="34" t="s">
        <v>677</v>
      </c>
      <c r="K169" s="34" t="s">
        <v>678</v>
      </c>
      <c r="L169" s="34">
        <v>95000</v>
      </c>
      <c r="M169" s="34">
        <v>0</v>
      </c>
      <c r="N169" s="34">
        <v>0</v>
      </c>
      <c r="O169" s="34">
        <v>595000</v>
      </c>
      <c r="P169" s="34" t="s">
        <v>41</v>
      </c>
      <c r="Q169" s="34" t="s">
        <v>42</v>
      </c>
      <c r="R169" s="26"/>
      <c r="S169" s="26"/>
      <c r="T169" s="26" t="s">
        <v>43</v>
      </c>
      <c r="U169" s="26"/>
      <c r="V169" s="26"/>
      <c r="W169" s="26"/>
      <c r="X169" s="26"/>
    </row>
    <row r="170" spans="1:24" s="29" customFormat="1">
      <c r="A170" s="34" t="s">
        <v>31</v>
      </c>
      <c r="B170" s="34" t="s">
        <v>693</v>
      </c>
      <c r="C170" s="34" t="s">
        <v>694</v>
      </c>
      <c r="D170" s="34">
        <f t="shared" si="2"/>
        <v>-1</v>
      </c>
      <c r="E170" s="34" t="s">
        <v>34</v>
      </c>
      <c r="F170" s="34" t="s">
        <v>35</v>
      </c>
      <c r="G170" s="34" t="s">
        <v>695</v>
      </c>
      <c r="H170" s="34" t="s">
        <v>37</v>
      </c>
      <c r="I170" s="34" t="s">
        <v>38</v>
      </c>
      <c r="J170" s="34" t="s">
        <v>677</v>
      </c>
      <c r="K170" s="34" t="s">
        <v>678</v>
      </c>
      <c r="L170" s="34">
        <v>113620</v>
      </c>
      <c r="M170" s="34">
        <v>0</v>
      </c>
      <c r="N170" s="34">
        <v>0</v>
      </c>
      <c r="O170" s="34">
        <v>711620</v>
      </c>
      <c r="P170" s="34" t="s">
        <v>41</v>
      </c>
      <c r="Q170" s="34" t="s">
        <v>42</v>
      </c>
      <c r="R170" s="26"/>
      <c r="S170" s="26"/>
      <c r="T170" s="26" t="s">
        <v>43</v>
      </c>
      <c r="U170" s="26"/>
      <c r="V170" s="26"/>
      <c r="W170" s="26"/>
      <c r="X170" s="26"/>
    </row>
    <row r="171" spans="1:24" s="29" customFormat="1">
      <c r="A171" s="34" t="s">
        <v>31</v>
      </c>
      <c r="B171" s="34" t="s">
        <v>696</v>
      </c>
      <c r="C171" s="34" t="s">
        <v>697</v>
      </c>
      <c r="D171" s="34">
        <f t="shared" si="2"/>
        <v>-1</v>
      </c>
      <c r="E171" s="34" t="s">
        <v>34</v>
      </c>
      <c r="F171" s="34" t="s">
        <v>35</v>
      </c>
      <c r="G171" s="34" t="s">
        <v>698</v>
      </c>
      <c r="H171" s="34" t="s">
        <v>37</v>
      </c>
      <c r="I171" s="34" t="s">
        <v>38</v>
      </c>
      <c r="J171" s="34" t="s">
        <v>677</v>
      </c>
      <c r="K171" s="34" t="s">
        <v>678</v>
      </c>
      <c r="L171" s="34">
        <v>9973670</v>
      </c>
      <c r="M171" s="34">
        <v>0</v>
      </c>
      <c r="N171" s="34">
        <v>0</v>
      </c>
      <c r="O171" s="34">
        <v>62466670</v>
      </c>
      <c r="P171" s="34" t="s">
        <v>41</v>
      </c>
      <c r="Q171" s="34" t="s">
        <v>42</v>
      </c>
      <c r="R171" s="26"/>
      <c r="S171" s="26"/>
      <c r="T171" s="26" t="s">
        <v>43</v>
      </c>
      <c r="U171" s="26"/>
      <c r="V171" s="26"/>
      <c r="W171" s="26"/>
      <c r="X171" s="26"/>
    </row>
    <row r="172" spans="1:24" s="29" customFormat="1">
      <c r="A172" s="34" t="s">
        <v>31</v>
      </c>
      <c r="B172" s="34" t="s">
        <v>699</v>
      </c>
      <c r="C172" s="34" t="s">
        <v>700</v>
      </c>
      <c r="D172" s="34">
        <f t="shared" si="2"/>
        <v>-1</v>
      </c>
      <c r="E172" s="34" t="s">
        <v>34</v>
      </c>
      <c r="F172" s="34" t="s">
        <v>35</v>
      </c>
      <c r="G172" s="34" t="s">
        <v>701</v>
      </c>
      <c r="H172" s="34" t="s">
        <v>37</v>
      </c>
      <c r="I172" s="34" t="s">
        <v>38</v>
      </c>
      <c r="J172" s="34" t="s">
        <v>702</v>
      </c>
      <c r="K172" s="34" t="s">
        <v>703</v>
      </c>
      <c r="L172" s="34">
        <v>262010</v>
      </c>
      <c r="M172" s="34">
        <v>0</v>
      </c>
      <c r="N172" s="34">
        <v>0</v>
      </c>
      <c r="O172" s="34">
        <v>1641010</v>
      </c>
      <c r="P172" s="34" t="s">
        <v>41</v>
      </c>
      <c r="Q172" s="34" t="s">
        <v>42</v>
      </c>
      <c r="R172" s="26"/>
      <c r="S172" s="26"/>
      <c r="T172" s="26" t="s">
        <v>43</v>
      </c>
      <c r="U172" s="26"/>
      <c r="V172" s="26"/>
      <c r="W172" s="26"/>
      <c r="X172" s="26"/>
    </row>
    <row r="173" spans="1:24" s="29" customFormat="1">
      <c r="A173" s="35" t="s">
        <v>31</v>
      </c>
      <c r="B173" s="35" t="s">
        <v>704</v>
      </c>
      <c r="C173" s="35" t="s">
        <v>705</v>
      </c>
      <c r="D173" s="35">
        <f t="shared" si="2"/>
        <v>-1</v>
      </c>
      <c r="E173" s="35" t="s">
        <v>34</v>
      </c>
      <c r="F173" s="35" t="s">
        <v>35</v>
      </c>
      <c r="G173" s="35" t="s">
        <v>706</v>
      </c>
      <c r="H173" s="35" t="s">
        <v>37</v>
      </c>
      <c r="I173" s="35" t="s">
        <v>38</v>
      </c>
      <c r="J173" s="35" t="s">
        <v>707</v>
      </c>
      <c r="K173" s="35" t="s">
        <v>708</v>
      </c>
      <c r="L173" s="35">
        <v>248735.12</v>
      </c>
      <c r="M173" s="35">
        <v>0</v>
      </c>
      <c r="N173" s="35">
        <v>0</v>
      </c>
      <c r="O173" s="35">
        <v>1610749.12</v>
      </c>
      <c r="P173" s="35" t="s">
        <v>41</v>
      </c>
      <c r="Q173" s="35" t="s">
        <v>42</v>
      </c>
      <c r="R173" s="26"/>
      <c r="S173" s="26"/>
      <c r="T173" s="26"/>
      <c r="U173" s="26"/>
      <c r="V173" s="26"/>
      <c r="W173" s="35" t="s">
        <v>43</v>
      </c>
      <c r="X173" s="26" t="s">
        <v>647</v>
      </c>
    </row>
    <row r="174" spans="1:24" s="29" customFormat="1">
      <c r="A174" s="26" t="s">
        <v>31</v>
      </c>
      <c r="B174" s="26" t="s">
        <v>709</v>
      </c>
      <c r="C174" s="26" t="s">
        <v>710</v>
      </c>
      <c r="D174" s="26">
        <f t="shared" si="2"/>
        <v>-1</v>
      </c>
      <c r="E174" s="26" t="s">
        <v>34</v>
      </c>
      <c r="F174" s="26" t="s">
        <v>35</v>
      </c>
      <c r="G174" s="26" t="s">
        <v>711</v>
      </c>
      <c r="H174" s="26" t="s">
        <v>37</v>
      </c>
      <c r="I174" s="26" t="s">
        <v>38</v>
      </c>
      <c r="J174" s="26" t="s">
        <v>712</v>
      </c>
      <c r="K174" s="26" t="s">
        <v>713</v>
      </c>
      <c r="L174" s="26">
        <v>929043</v>
      </c>
      <c r="M174" s="26">
        <v>0</v>
      </c>
      <c r="N174" s="26">
        <v>0</v>
      </c>
      <c r="O174" s="26">
        <v>5818743</v>
      </c>
      <c r="P174" s="26" t="s">
        <v>41</v>
      </c>
      <c r="Q174" s="26" t="s">
        <v>42</v>
      </c>
      <c r="R174" s="26"/>
      <c r="S174" s="26"/>
      <c r="T174" s="26"/>
      <c r="U174" s="26"/>
      <c r="V174" s="26" t="s">
        <v>43</v>
      </c>
      <c r="W174" s="26"/>
      <c r="X174" s="26"/>
    </row>
    <row r="175" spans="1:24" s="29" customFormat="1">
      <c r="A175" s="34" t="s">
        <v>31</v>
      </c>
      <c r="B175" s="34" t="s">
        <v>714</v>
      </c>
      <c r="C175" s="34" t="s">
        <v>715</v>
      </c>
      <c r="D175" s="34">
        <f t="shared" si="2"/>
        <v>-1</v>
      </c>
      <c r="E175" s="34" t="s">
        <v>34</v>
      </c>
      <c r="F175" s="34" t="s">
        <v>35</v>
      </c>
      <c r="G175" s="34" t="s">
        <v>716</v>
      </c>
      <c r="H175" s="34" t="s">
        <v>37</v>
      </c>
      <c r="I175" s="34" t="s">
        <v>38</v>
      </c>
      <c r="J175" s="34" t="s">
        <v>677</v>
      </c>
      <c r="K175" s="34" t="s">
        <v>678</v>
      </c>
      <c r="L175" s="34">
        <v>132164</v>
      </c>
      <c r="M175" s="34">
        <v>0</v>
      </c>
      <c r="N175" s="34">
        <v>0</v>
      </c>
      <c r="O175" s="34">
        <v>827764</v>
      </c>
      <c r="P175" s="34" t="s">
        <v>41</v>
      </c>
      <c r="Q175" s="34" t="s">
        <v>42</v>
      </c>
      <c r="R175" s="26"/>
      <c r="S175" s="26"/>
      <c r="T175" s="26" t="s">
        <v>43</v>
      </c>
      <c r="U175" s="26"/>
      <c r="V175" s="26"/>
      <c r="W175" s="26"/>
      <c r="X175" s="26"/>
    </row>
    <row r="176" spans="1:24" s="29" customFormat="1">
      <c r="A176" s="34" t="s">
        <v>31</v>
      </c>
      <c r="B176" s="34" t="s">
        <v>717</v>
      </c>
      <c r="C176" s="34" t="s">
        <v>718</v>
      </c>
      <c r="D176" s="34">
        <f t="shared" si="2"/>
        <v>-1</v>
      </c>
      <c r="E176" s="34" t="s">
        <v>34</v>
      </c>
      <c r="F176" s="34" t="s">
        <v>35</v>
      </c>
      <c r="G176" s="34" t="s">
        <v>719</v>
      </c>
      <c r="H176" s="34" t="s">
        <v>37</v>
      </c>
      <c r="I176" s="34" t="s">
        <v>38</v>
      </c>
      <c r="J176" s="34" t="s">
        <v>677</v>
      </c>
      <c r="K176" s="34" t="s">
        <v>678</v>
      </c>
      <c r="L176" s="34">
        <v>1359450</v>
      </c>
      <c r="M176" s="34">
        <v>0</v>
      </c>
      <c r="N176" s="34">
        <v>0</v>
      </c>
      <c r="O176" s="34">
        <v>8514450</v>
      </c>
      <c r="P176" s="34" t="s">
        <v>41</v>
      </c>
      <c r="Q176" s="34" t="s">
        <v>42</v>
      </c>
      <c r="R176" s="26"/>
      <c r="S176" s="26"/>
      <c r="T176" s="26" t="s">
        <v>43</v>
      </c>
      <c r="U176" s="26"/>
      <c r="V176" s="26"/>
      <c r="W176" s="26"/>
      <c r="X176" s="26"/>
    </row>
    <row r="177" spans="1:24" s="29" customFormat="1">
      <c r="A177" s="34" t="s">
        <v>31</v>
      </c>
      <c r="B177" s="34" t="s">
        <v>720</v>
      </c>
      <c r="C177" s="34" t="s">
        <v>721</v>
      </c>
      <c r="D177" s="34">
        <f t="shared" si="2"/>
        <v>-1</v>
      </c>
      <c r="E177" s="34" t="s">
        <v>34</v>
      </c>
      <c r="F177" s="34" t="s">
        <v>35</v>
      </c>
      <c r="G177" s="34" t="s">
        <v>722</v>
      </c>
      <c r="H177" s="34" t="s">
        <v>37</v>
      </c>
      <c r="I177" s="34" t="s">
        <v>38</v>
      </c>
      <c r="J177" s="34" t="s">
        <v>677</v>
      </c>
      <c r="K177" s="34" t="s">
        <v>678</v>
      </c>
      <c r="L177" s="34">
        <v>55100</v>
      </c>
      <c r="M177" s="34">
        <v>0</v>
      </c>
      <c r="N177" s="34">
        <v>0</v>
      </c>
      <c r="O177" s="34">
        <v>345100</v>
      </c>
      <c r="P177" s="34" t="s">
        <v>41</v>
      </c>
      <c r="Q177" s="34" t="s">
        <v>42</v>
      </c>
      <c r="R177" s="26"/>
      <c r="S177" s="26"/>
      <c r="T177" s="26" t="s">
        <v>43</v>
      </c>
      <c r="U177" s="26"/>
      <c r="V177" s="26"/>
      <c r="W177" s="26"/>
      <c r="X177" s="26"/>
    </row>
    <row r="178" spans="1:24" s="29" customFormat="1">
      <c r="A178" s="34" t="s">
        <v>31</v>
      </c>
      <c r="B178" s="34" t="s">
        <v>723</v>
      </c>
      <c r="C178" s="34" t="s">
        <v>724</v>
      </c>
      <c r="D178" s="34">
        <f t="shared" si="2"/>
        <v>-1</v>
      </c>
      <c r="E178" s="34" t="s">
        <v>34</v>
      </c>
      <c r="F178" s="34" t="s">
        <v>35</v>
      </c>
      <c r="G178" s="34" t="s">
        <v>725</v>
      </c>
      <c r="H178" s="34" t="s">
        <v>37</v>
      </c>
      <c r="I178" s="34" t="s">
        <v>38</v>
      </c>
      <c r="J178" s="34" t="s">
        <v>677</v>
      </c>
      <c r="K178" s="34" t="s">
        <v>678</v>
      </c>
      <c r="L178" s="34">
        <v>366700</v>
      </c>
      <c r="M178" s="34">
        <v>0</v>
      </c>
      <c r="N178" s="34">
        <v>0</v>
      </c>
      <c r="O178" s="34">
        <v>2296700</v>
      </c>
      <c r="P178" s="34" t="s">
        <v>41</v>
      </c>
      <c r="Q178" s="34" t="s">
        <v>42</v>
      </c>
      <c r="R178" s="26"/>
      <c r="S178" s="26"/>
      <c r="T178" s="26" t="s">
        <v>43</v>
      </c>
      <c r="U178" s="26"/>
      <c r="V178" s="26"/>
      <c r="W178" s="26"/>
      <c r="X178" s="26"/>
    </row>
    <row r="179" spans="1:24" s="29" customFormat="1">
      <c r="A179" s="26" t="s">
        <v>31</v>
      </c>
      <c r="B179" s="26" t="s">
        <v>726</v>
      </c>
      <c r="C179" s="26" t="s">
        <v>727</v>
      </c>
      <c r="D179" s="26">
        <f t="shared" si="2"/>
        <v>-1</v>
      </c>
      <c r="E179" s="26" t="s">
        <v>34</v>
      </c>
      <c r="F179" s="26" t="s">
        <v>35</v>
      </c>
      <c r="G179" s="26" t="s">
        <v>728</v>
      </c>
      <c r="H179" s="26" t="s">
        <v>37</v>
      </c>
      <c r="I179" s="26" t="s">
        <v>38</v>
      </c>
      <c r="J179" s="26" t="s">
        <v>729</v>
      </c>
      <c r="K179" s="26" t="s">
        <v>730</v>
      </c>
      <c r="L179" s="26">
        <v>145573.25</v>
      </c>
      <c r="M179" s="26">
        <v>0</v>
      </c>
      <c r="N179" s="26">
        <v>0</v>
      </c>
      <c r="O179" s="26">
        <v>911748.25</v>
      </c>
      <c r="P179" s="26" t="s">
        <v>41</v>
      </c>
      <c r="Q179" s="26" t="s">
        <v>42</v>
      </c>
      <c r="R179" s="26"/>
      <c r="S179" s="26"/>
      <c r="T179" s="26"/>
      <c r="U179" s="26"/>
      <c r="V179" s="26" t="s">
        <v>43</v>
      </c>
      <c r="W179" s="26"/>
      <c r="X179" s="26"/>
    </row>
    <row r="180" spans="1:24" s="29" customFormat="1">
      <c r="A180" s="26" t="s">
        <v>31</v>
      </c>
      <c r="B180" s="26" t="s">
        <v>731</v>
      </c>
      <c r="C180" s="26" t="s">
        <v>732</v>
      </c>
      <c r="D180" s="26">
        <f t="shared" si="2"/>
        <v>-1</v>
      </c>
      <c r="E180" s="26" t="s">
        <v>34</v>
      </c>
      <c r="F180" s="26" t="s">
        <v>35</v>
      </c>
      <c r="G180" s="26" t="s">
        <v>733</v>
      </c>
      <c r="H180" s="26" t="s">
        <v>37</v>
      </c>
      <c r="I180" s="26" t="s">
        <v>38</v>
      </c>
      <c r="J180" s="26" t="s">
        <v>729</v>
      </c>
      <c r="K180" s="26" t="s">
        <v>730</v>
      </c>
      <c r="L180" s="26">
        <v>1079146.04</v>
      </c>
      <c r="M180" s="26">
        <v>0</v>
      </c>
      <c r="N180" s="26">
        <v>0</v>
      </c>
      <c r="O180" s="26">
        <v>6877862.04</v>
      </c>
      <c r="P180" s="26" t="s">
        <v>41</v>
      </c>
      <c r="Q180" s="26" t="s">
        <v>42</v>
      </c>
      <c r="R180" s="26"/>
      <c r="S180" s="26"/>
      <c r="T180" s="26"/>
      <c r="U180" s="26"/>
      <c r="V180" s="26" t="s">
        <v>43</v>
      </c>
      <c r="W180" s="26"/>
      <c r="X180" s="26"/>
    </row>
    <row r="181" spans="1:24" s="29" customFormat="1">
      <c r="A181" s="26" t="s">
        <v>31</v>
      </c>
      <c r="B181" s="26" t="s">
        <v>734</v>
      </c>
      <c r="C181" s="26" t="s">
        <v>735</v>
      </c>
      <c r="D181" s="26">
        <f t="shared" si="2"/>
        <v>-1</v>
      </c>
      <c r="E181" s="26" t="s">
        <v>34</v>
      </c>
      <c r="F181" s="26" t="s">
        <v>35</v>
      </c>
      <c r="G181" s="26" t="s">
        <v>736</v>
      </c>
      <c r="H181" s="26" t="s">
        <v>37</v>
      </c>
      <c r="I181" s="26" t="s">
        <v>38</v>
      </c>
      <c r="J181" s="26" t="s">
        <v>712</v>
      </c>
      <c r="K181" s="26" t="s">
        <v>713</v>
      </c>
      <c r="L181" s="26">
        <v>1117580</v>
      </c>
      <c r="M181" s="26">
        <v>0</v>
      </c>
      <c r="N181" s="26">
        <v>0</v>
      </c>
      <c r="O181" s="26">
        <v>6999580</v>
      </c>
      <c r="P181" s="26" t="s">
        <v>41</v>
      </c>
      <c r="Q181" s="26" t="s">
        <v>42</v>
      </c>
      <c r="R181" s="26"/>
      <c r="S181" s="26"/>
      <c r="T181" s="26"/>
      <c r="U181" s="26"/>
      <c r="V181" s="26" t="s">
        <v>43</v>
      </c>
      <c r="W181" s="26"/>
      <c r="X181" s="26"/>
    </row>
    <row r="182" spans="1:24" s="29" customFormat="1">
      <c r="A182" s="26" t="s">
        <v>31</v>
      </c>
      <c r="B182" s="26" t="s">
        <v>737</v>
      </c>
      <c r="C182" s="26" t="s">
        <v>738</v>
      </c>
      <c r="D182" s="26">
        <f t="shared" si="2"/>
        <v>-1</v>
      </c>
      <c r="E182" s="26" t="s">
        <v>34</v>
      </c>
      <c r="F182" s="26" t="s">
        <v>35</v>
      </c>
      <c r="G182" s="26" t="s">
        <v>739</v>
      </c>
      <c r="H182" s="26" t="s">
        <v>37</v>
      </c>
      <c r="I182" s="26" t="s">
        <v>38</v>
      </c>
      <c r="J182" s="26" t="s">
        <v>740</v>
      </c>
      <c r="K182" s="26" t="s">
        <v>741</v>
      </c>
      <c r="L182" s="26">
        <v>10100</v>
      </c>
      <c r="M182" s="26">
        <v>0</v>
      </c>
      <c r="N182" s="26">
        <v>0</v>
      </c>
      <c r="O182" s="26">
        <v>212100</v>
      </c>
      <c r="P182" s="26" t="s">
        <v>41</v>
      </c>
      <c r="Q182" s="26" t="s">
        <v>42</v>
      </c>
      <c r="R182" s="26"/>
      <c r="S182" s="26"/>
      <c r="T182" s="26"/>
      <c r="U182" s="26"/>
      <c r="V182" s="26" t="s">
        <v>43</v>
      </c>
      <c r="W182" s="26"/>
      <c r="X182" s="26"/>
    </row>
    <row r="183" spans="1:24" s="29" customFormat="1">
      <c r="A183" s="34" t="s">
        <v>31</v>
      </c>
      <c r="B183" s="34" t="s">
        <v>742</v>
      </c>
      <c r="C183" s="34" t="s">
        <v>743</v>
      </c>
      <c r="D183" s="34">
        <f t="shared" si="2"/>
        <v>-1</v>
      </c>
      <c r="E183" s="34" t="s">
        <v>34</v>
      </c>
      <c r="F183" s="34" t="s">
        <v>35</v>
      </c>
      <c r="G183" s="34" t="s">
        <v>744</v>
      </c>
      <c r="H183" s="34" t="s">
        <v>37</v>
      </c>
      <c r="I183" s="34" t="s">
        <v>38</v>
      </c>
      <c r="J183" s="34" t="s">
        <v>745</v>
      </c>
      <c r="K183" s="34" t="s">
        <v>746</v>
      </c>
      <c r="L183" s="34">
        <v>636500</v>
      </c>
      <c r="M183" s="34">
        <v>0</v>
      </c>
      <c r="N183" s="34">
        <v>0</v>
      </c>
      <c r="O183" s="34">
        <v>3986500</v>
      </c>
      <c r="P183" s="34" t="s">
        <v>41</v>
      </c>
      <c r="Q183" s="34" t="s">
        <v>42</v>
      </c>
      <c r="R183" s="26"/>
      <c r="S183" s="26"/>
      <c r="T183" s="26" t="s">
        <v>43</v>
      </c>
      <c r="U183" s="26"/>
      <c r="V183" s="26"/>
      <c r="W183" s="26"/>
      <c r="X183" s="26"/>
    </row>
    <row r="184" spans="1:24" s="29" customFormat="1">
      <c r="A184" s="34" t="s">
        <v>31</v>
      </c>
      <c r="B184" s="34" t="s">
        <v>747</v>
      </c>
      <c r="C184" s="34" t="s">
        <v>748</v>
      </c>
      <c r="D184" s="34">
        <f t="shared" si="2"/>
        <v>-1</v>
      </c>
      <c r="E184" s="34" t="s">
        <v>34</v>
      </c>
      <c r="F184" s="34" t="s">
        <v>35</v>
      </c>
      <c r="G184" s="34" t="s">
        <v>749</v>
      </c>
      <c r="H184" s="34" t="s">
        <v>37</v>
      </c>
      <c r="I184" s="34" t="s">
        <v>38</v>
      </c>
      <c r="J184" s="34" t="s">
        <v>126</v>
      </c>
      <c r="K184" s="34" t="s">
        <v>127</v>
      </c>
      <c r="L184" s="34">
        <v>138553.70000000001</v>
      </c>
      <c r="M184" s="34">
        <v>0</v>
      </c>
      <c r="N184" s="34">
        <v>0</v>
      </c>
      <c r="O184" s="34">
        <v>867783.7</v>
      </c>
      <c r="P184" s="34" t="s">
        <v>41</v>
      </c>
      <c r="Q184" s="34" t="s">
        <v>42</v>
      </c>
      <c r="R184" s="26"/>
      <c r="S184" s="26"/>
      <c r="T184" s="26" t="s">
        <v>43</v>
      </c>
      <c r="U184" s="26"/>
      <c r="V184" s="26"/>
      <c r="W184" s="26"/>
      <c r="X184" s="26"/>
    </row>
    <row r="185" spans="1:24" s="29" customFormat="1">
      <c r="A185" s="34" t="s">
        <v>31</v>
      </c>
      <c r="B185" s="34" t="s">
        <v>750</v>
      </c>
      <c r="C185" s="34" t="s">
        <v>751</v>
      </c>
      <c r="D185" s="34">
        <f t="shared" si="2"/>
        <v>-1</v>
      </c>
      <c r="E185" s="34" t="s">
        <v>34</v>
      </c>
      <c r="F185" s="34" t="s">
        <v>35</v>
      </c>
      <c r="G185" s="34" t="s">
        <v>752</v>
      </c>
      <c r="H185" s="34" t="s">
        <v>37</v>
      </c>
      <c r="I185" s="34" t="s">
        <v>38</v>
      </c>
      <c r="J185" s="34" t="s">
        <v>126</v>
      </c>
      <c r="K185" s="34" t="s">
        <v>127</v>
      </c>
      <c r="L185" s="34">
        <v>122580.59</v>
      </c>
      <c r="M185" s="34">
        <v>0</v>
      </c>
      <c r="N185" s="34">
        <v>0</v>
      </c>
      <c r="O185" s="34">
        <v>767741.59</v>
      </c>
      <c r="P185" s="34" t="s">
        <v>41</v>
      </c>
      <c r="Q185" s="34" t="s">
        <v>42</v>
      </c>
      <c r="R185" s="26"/>
      <c r="S185" s="26"/>
      <c r="T185" s="26" t="s">
        <v>43</v>
      </c>
      <c r="U185" s="26"/>
      <c r="V185" s="26"/>
      <c r="W185" s="26"/>
      <c r="X185" s="26"/>
    </row>
    <row r="186" spans="1:24" s="29" customFormat="1">
      <c r="A186" s="34" t="s">
        <v>31</v>
      </c>
      <c r="B186" s="34" t="s">
        <v>753</v>
      </c>
      <c r="C186" s="34" t="s">
        <v>754</v>
      </c>
      <c r="D186" s="34">
        <f t="shared" si="2"/>
        <v>-1</v>
      </c>
      <c r="E186" s="34" t="s">
        <v>34</v>
      </c>
      <c r="F186" s="34" t="s">
        <v>35</v>
      </c>
      <c r="G186" s="34" t="s">
        <v>755</v>
      </c>
      <c r="H186" s="34" t="s">
        <v>37</v>
      </c>
      <c r="I186" s="34" t="s">
        <v>38</v>
      </c>
      <c r="J186" s="34" t="s">
        <v>126</v>
      </c>
      <c r="K186" s="34" t="s">
        <v>127</v>
      </c>
      <c r="L186" s="34">
        <v>2324156.7599999998</v>
      </c>
      <c r="M186" s="34">
        <v>0</v>
      </c>
      <c r="N186" s="34">
        <v>0</v>
      </c>
      <c r="O186" s="34">
        <v>14556560.76</v>
      </c>
      <c r="P186" s="34" t="s">
        <v>41</v>
      </c>
      <c r="Q186" s="34" t="s">
        <v>42</v>
      </c>
      <c r="R186" s="26"/>
      <c r="S186" s="26"/>
      <c r="T186" s="26" t="s">
        <v>43</v>
      </c>
      <c r="U186" s="26"/>
      <c r="V186" s="26"/>
      <c r="W186" s="26"/>
      <c r="X186" s="26"/>
    </row>
    <row r="187" spans="1:24" s="29" customFormat="1">
      <c r="A187" s="32" t="s">
        <v>31</v>
      </c>
      <c r="B187" s="32" t="s">
        <v>756</v>
      </c>
      <c r="C187" s="32" t="s">
        <v>757</v>
      </c>
      <c r="D187" s="32">
        <f t="shared" si="2"/>
        <v>-1</v>
      </c>
      <c r="E187" s="32" t="s">
        <v>34</v>
      </c>
      <c r="F187" s="32" t="s">
        <v>35</v>
      </c>
      <c r="G187" s="32" t="s">
        <v>758</v>
      </c>
      <c r="H187" s="32" t="s">
        <v>37</v>
      </c>
      <c r="I187" s="32" t="s">
        <v>38</v>
      </c>
      <c r="J187" s="32" t="s">
        <v>759</v>
      </c>
      <c r="K187" s="32" t="s">
        <v>760</v>
      </c>
      <c r="L187" s="32">
        <v>80693</v>
      </c>
      <c r="M187" s="32">
        <v>0</v>
      </c>
      <c r="N187" s="32">
        <v>0</v>
      </c>
      <c r="O187" s="32">
        <v>505393</v>
      </c>
      <c r="P187" s="32" t="s">
        <v>41</v>
      </c>
      <c r="Q187" s="32" t="s">
        <v>42</v>
      </c>
      <c r="R187" s="26" t="s">
        <v>43</v>
      </c>
      <c r="S187" s="26"/>
      <c r="T187" s="26"/>
      <c r="U187" s="26"/>
      <c r="V187" s="26"/>
      <c r="W187" s="26"/>
      <c r="X187" s="26"/>
    </row>
    <row r="188" spans="1:24" s="29" customFormat="1">
      <c r="A188" s="34" t="s">
        <v>31</v>
      </c>
      <c r="B188" s="34" t="s">
        <v>761</v>
      </c>
      <c r="C188" s="34" t="s">
        <v>762</v>
      </c>
      <c r="D188" s="34">
        <f t="shared" si="2"/>
        <v>-1</v>
      </c>
      <c r="E188" s="34" t="s">
        <v>34</v>
      </c>
      <c r="F188" s="34" t="s">
        <v>35</v>
      </c>
      <c r="G188" s="34" t="s">
        <v>763</v>
      </c>
      <c r="H188" s="34" t="s">
        <v>37</v>
      </c>
      <c r="I188" s="34" t="s">
        <v>38</v>
      </c>
      <c r="J188" s="34" t="s">
        <v>764</v>
      </c>
      <c r="K188" s="34" t="s">
        <v>765</v>
      </c>
      <c r="L188" s="34">
        <v>28082</v>
      </c>
      <c r="M188" s="34">
        <v>0</v>
      </c>
      <c r="N188" s="34">
        <v>0</v>
      </c>
      <c r="O188" s="34">
        <v>175882</v>
      </c>
      <c r="P188" s="34" t="s">
        <v>41</v>
      </c>
      <c r="Q188" s="34" t="s">
        <v>42</v>
      </c>
      <c r="R188" s="26"/>
      <c r="S188" s="26"/>
      <c r="T188" s="26" t="s">
        <v>43</v>
      </c>
      <c r="U188" s="26"/>
      <c r="V188" s="26"/>
      <c r="W188" s="26"/>
      <c r="X188" s="26"/>
    </row>
    <row r="189" spans="1:24" s="29" customFormat="1">
      <c r="A189" s="26" t="s">
        <v>31</v>
      </c>
      <c r="B189" s="26" t="s">
        <v>766</v>
      </c>
      <c r="C189" s="26" t="s">
        <v>767</v>
      </c>
      <c r="D189" s="26">
        <f t="shared" si="2"/>
        <v>-1</v>
      </c>
      <c r="E189" s="26" t="s">
        <v>34</v>
      </c>
      <c r="F189" s="26" t="s">
        <v>35</v>
      </c>
      <c r="G189" s="26" t="s">
        <v>768</v>
      </c>
      <c r="H189" s="26" t="s">
        <v>37</v>
      </c>
      <c r="I189" s="26" t="s">
        <v>38</v>
      </c>
      <c r="J189" s="26" t="s">
        <v>769</v>
      </c>
      <c r="K189" s="26" t="s">
        <v>770</v>
      </c>
      <c r="L189" s="26">
        <v>14373.5</v>
      </c>
      <c r="M189" s="26">
        <v>0</v>
      </c>
      <c r="N189" s="26">
        <v>0</v>
      </c>
      <c r="O189" s="26">
        <v>90023.5</v>
      </c>
      <c r="P189" s="26" t="s">
        <v>41</v>
      </c>
      <c r="Q189" s="26" t="s">
        <v>42</v>
      </c>
      <c r="R189" s="26"/>
      <c r="S189" s="26"/>
      <c r="T189" s="26"/>
      <c r="U189" s="26"/>
      <c r="V189" s="26" t="s">
        <v>43</v>
      </c>
      <c r="W189" s="26"/>
      <c r="X189" s="26"/>
    </row>
    <row r="190" spans="1:24" s="29" customFormat="1">
      <c r="A190" s="26" t="s">
        <v>31</v>
      </c>
      <c r="B190" s="26" t="s">
        <v>771</v>
      </c>
      <c r="C190" s="26" t="s">
        <v>772</v>
      </c>
      <c r="D190" s="26">
        <f t="shared" si="2"/>
        <v>-1</v>
      </c>
      <c r="E190" s="26" t="s">
        <v>34</v>
      </c>
      <c r="F190" s="26" t="s">
        <v>35</v>
      </c>
      <c r="G190" s="26" t="s">
        <v>773</v>
      </c>
      <c r="H190" s="26" t="s">
        <v>37</v>
      </c>
      <c r="I190" s="26" t="s">
        <v>38</v>
      </c>
      <c r="J190" s="26" t="s">
        <v>769</v>
      </c>
      <c r="K190" s="26" t="s">
        <v>770</v>
      </c>
      <c r="L190" s="26">
        <v>13300</v>
      </c>
      <c r="M190" s="26">
        <v>0</v>
      </c>
      <c r="N190" s="26">
        <v>0</v>
      </c>
      <c r="O190" s="26">
        <v>83300</v>
      </c>
      <c r="P190" s="26" t="s">
        <v>41</v>
      </c>
      <c r="Q190" s="26" t="s">
        <v>42</v>
      </c>
      <c r="R190" s="26"/>
      <c r="S190" s="26"/>
      <c r="T190" s="26"/>
      <c r="U190" s="26"/>
      <c r="V190" s="26" t="s">
        <v>43</v>
      </c>
      <c r="W190" s="26"/>
      <c r="X190" s="26"/>
    </row>
    <row r="191" spans="1:24" s="29" customFormat="1">
      <c r="A191" s="26" t="s">
        <v>31</v>
      </c>
      <c r="B191" s="26" t="s">
        <v>774</v>
      </c>
      <c r="C191" s="26" t="s">
        <v>775</v>
      </c>
      <c r="D191" s="26">
        <f t="shared" si="2"/>
        <v>-1</v>
      </c>
      <c r="E191" s="26" t="s">
        <v>34</v>
      </c>
      <c r="F191" s="26" t="s">
        <v>35</v>
      </c>
      <c r="G191" s="26" t="s">
        <v>776</v>
      </c>
      <c r="H191" s="26" t="s">
        <v>37</v>
      </c>
      <c r="I191" s="26" t="s">
        <v>38</v>
      </c>
      <c r="J191" s="26" t="s">
        <v>769</v>
      </c>
      <c r="K191" s="26" t="s">
        <v>770</v>
      </c>
      <c r="L191" s="26">
        <v>39900</v>
      </c>
      <c r="M191" s="26">
        <v>0</v>
      </c>
      <c r="N191" s="26">
        <v>0</v>
      </c>
      <c r="O191" s="26">
        <v>249900</v>
      </c>
      <c r="P191" s="26" t="s">
        <v>41</v>
      </c>
      <c r="Q191" s="26" t="s">
        <v>42</v>
      </c>
      <c r="R191" s="26"/>
      <c r="S191" s="26"/>
      <c r="T191" s="26"/>
      <c r="U191" s="26"/>
      <c r="V191" s="26" t="s">
        <v>43</v>
      </c>
      <c r="W191" s="26"/>
      <c r="X191" s="26"/>
    </row>
    <row r="192" spans="1:24" s="29" customFormat="1">
      <c r="A192" s="26" t="s">
        <v>31</v>
      </c>
      <c r="B192" s="26" t="s">
        <v>777</v>
      </c>
      <c r="C192" s="26" t="s">
        <v>778</v>
      </c>
      <c r="D192" s="26">
        <f t="shared" si="2"/>
        <v>-1</v>
      </c>
      <c r="E192" s="26" t="s">
        <v>34</v>
      </c>
      <c r="F192" s="26" t="s">
        <v>35</v>
      </c>
      <c r="G192" s="26" t="s">
        <v>779</v>
      </c>
      <c r="H192" s="26" t="s">
        <v>37</v>
      </c>
      <c r="I192" s="26" t="s">
        <v>38</v>
      </c>
      <c r="J192" s="26" t="s">
        <v>769</v>
      </c>
      <c r="K192" s="26" t="s">
        <v>770</v>
      </c>
      <c r="L192" s="26">
        <v>346873.62</v>
      </c>
      <c r="M192" s="26">
        <v>0</v>
      </c>
      <c r="N192" s="26">
        <v>0</v>
      </c>
      <c r="O192" s="26">
        <v>2998041.62</v>
      </c>
      <c r="P192" s="26" t="s">
        <v>41</v>
      </c>
      <c r="Q192" s="26" t="s">
        <v>42</v>
      </c>
      <c r="R192" s="26"/>
      <c r="S192" s="26"/>
      <c r="T192" s="26"/>
      <c r="U192" s="26"/>
      <c r="V192" s="26" t="s">
        <v>43</v>
      </c>
      <c r="W192" s="26"/>
      <c r="X192" s="26"/>
    </row>
    <row r="193" spans="1:24" s="29" customFormat="1">
      <c r="A193" s="34" t="s">
        <v>31</v>
      </c>
      <c r="B193" s="34" t="s">
        <v>780</v>
      </c>
      <c r="C193" s="34" t="s">
        <v>781</v>
      </c>
      <c r="D193" s="34">
        <f t="shared" si="2"/>
        <v>-1</v>
      </c>
      <c r="E193" s="34" t="s">
        <v>34</v>
      </c>
      <c r="F193" s="34" t="s">
        <v>35</v>
      </c>
      <c r="G193" s="34" t="s">
        <v>782</v>
      </c>
      <c r="H193" s="34" t="s">
        <v>37</v>
      </c>
      <c r="I193" s="34" t="s">
        <v>38</v>
      </c>
      <c r="J193" s="34" t="s">
        <v>783</v>
      </c>
      <c r="K193" s="34" t="s">
        <v>784</v>
      </c>
      <c r="L193" s="34">
        <v>39900</v>
      </c>
      <c r="M193" s="34">
        <v>0</v>
      </c>
      <c r="N193" s="34">
        <v>0</v>
      </c>
      <c r="O193" s="34">
        <v>249900</v>
      </c>
      <c r="P193" s="34" t="s">
        <v>41</v>
      </c>
      <c r="Q193" s="34" t="s">
        <v>42</v>
      </c>
      <c r="R193" s="26"/>
      <c r="S193" s="26"/>
      <c r="T193" s="26" t="s">
        <v>43</v>
      </c>
      <c r="U193" s="26"/>
      <c r="V193" s="26"/>
      <c r="W193" s="26"/>
      <c r="X193" s="26"/>
    </row>
    <row r="194" spans="1:24" s="29" customFormat="1">
      <c r="A194" s="34" t="s">
        <v>31</v>
      </c>
      <c r="B194" s="34" t="s">
        <v>785</v>
      </c>
      <c r="C194" s="34" t="s">
        <v>786</v>
      </c>
      <c r="D194" s="34">
        <f t="shared" si="2"/>
        <v>-1</v>
      </c>
      <c r="E194" s="34" t="s">
        <v>34</v>
      </c>
      <c r="F194" s="34" t="s">
        <v>35</v>
      </c>
      <c r="G194" s="34" t="s">
        <v>787</v>
      </c>
      <c r="H194" s="34" t="s">
        <v>37</v>
      </c>
      <c r="I194" s="34" t="s">
        <v>38</v>
      </c>
      <c r="J194" s="34" t="s">
        <v>788</v>
      </c>
      <c r="K194" s="34" t="s">
        <v>789</v>
      </c>
      <c r="L194" s="34">
        <v>64619</v>
      </c>
      <c r="M194" s="34">
        <v>0</v>
      </c>
      <c r="N194" s="34">
        <v>0</v>
      </c>
      <c r="O194" s="34">
        <v>404719</v>
      </c>
      <c r="P194" s="34" t="s">
        <v>41</v>
      </c>
      <c r="Q194" s="34" t="s">
        <v>42</v>
      </c>
      <c r="R194" s="26"/>
      <c r="S194" s="26"/>
      <c r="T194" s="26" t="s">
        <v>43</v>
      </c>
      <c r="U194" s="26"/>
      <c r="V194" s="26"/>
      <c r="W194" s="26"/>
      <c r="X194" s="26"/>
    </row>
    <row r="195" spans="1:24" s="29" customFormat="1">
      <c r="A195" s="26" t="s">
        <v>31</v>
      </c>
      <c r="B195" s="26" t="s">
        <v>790</v>
      </c>
      <c r="C195" s="26" t="s">
        <v>791</v>
      </c>
      <c r="D195" s="26">
        <f t="shared" si="2"/>
        <v>-1</v>
      </c>
      <c r="E195" s="26" t="s">
        <v>34</v>
      </c>
      <c r="F195" s="26" t="s">
        <v>35</v>
      </c>
      <c r="G195" s="26" t="s">
        <v>792</v>
      </c>
      <c r="H195" s="26" t="s">
        <v>37</v>
      </c>
      <c r="I195" s="26" t="s">
        <v>38</v>
      </c>
      <c r="J195" s="26" t="s">
        <v>793</v>
      </c>
      <c r="K195" s="26" t="s">
        <v>794</v>
      </c>
      <c r="L195" s="26">
        <v>73150</v>
      </c>
      <c r="M195" s="26">
        <v>0</v>
      </c>
      <c r="N195" s="26">
        <v>0</v>
      </c>
      <c r="O195" s="26">
        <v>458150</v>
      </c>
      <c r="P195" s="26" t="s">
        <v>41</v>
      </c>
      <c r="Q195" s="26" t="s">
        <v>42</v>
      </c>
      <c r="R195" s="26"/>
      <c r="S195" s="26"/>
      <c r="T195" s="26"/>
      <c r="U195" s="26"/>
      <c r="V195" s="26" t="s">
        <v>43</v>
      </c>
      <c r="W195" s="26"/>
      <c r="X195" s="26"/>
    </row>
    <row r="196" spans="1:24" s="29" customFormat="1">
      <c r="A196" s="26" t="s">
        <v>31</v>
      </c>
      <c r="B196" s="26" t="s">
        <v>795</v>
      </c>
      <c r="C196" s="26" t="s">
        <v>796</v>
      </c>
      <c r="D196" s="26">
        <f t="shared" si="2"/>
        <v>-1</v>
      </c>
      <c r="E196" s="26" t="s">
        <v>34</v>
      </c>
      <c r="F196" s="26" t="s">
        <v>35</v>
      </c>
      <c r="G196" s="26" t="s">
        <v>797</v>
      </c>
      <c r="H196" s="26" t="s">
        <v>37</v>
      </c>
      <c r="I196" s="26" t="s">
        <v>38</v>
      </c>
      <c r="J196" s="26" t="s">
        <v>798</v>
      </c>
      <c r="K196" s="26" t="s">
        <v>799</v>
      </c>
      <c r="L196" s="26">
        <v>122550</v>
      </c>
      <c r="M196" s="26">
        <v>0</v>
      </c>
      <c r="N196" s="26">
        <v>0</v>
      </c>
      <c r="O196" s="26">
        <v>767550</v>
      </c>
      <c r="P196" s="26" t="s">
        <v>41</v>
      </c>
      <c r="Q196" s="26" t="s">
        <v>42</v>
      </c>
      <c r="R196" s="26"/>
      <c r="S196" s="26"/>
      <c r="T196" s="26"/>
      <c r="U196" s="26"/>
      <c r="V196" s="26" t="s">
        <v>43</v>
      </c>
      <c r="W196" s="26"/>
      <c r="X196" s="26"/>
    </row>
    <row r="197" spans="1:24" s="29" customFormat="1">
      <c r="A197" s="26" t="s">
        <v>31</v>
      </c>
      <c r="B197" s="26" t="s">
        <v>800</v>
      </c>
      <c r="C197" s="26" t="s">
        <v>801</v>
      </c>
      <c r="D197" s="26">
        <f t="shared" si="2"/>
        <v>-1</v>
      </c>
      <c r="E197" s="26" t="s">
        <v>34</v>
      </c>
      <c r="F197" s="26" t="s">
        <v>35</v>
      </c>
      <c r="G197" s="26" t="s">
        <v>802</v>
      </c>
      <c r="H197" s="26" t="s">
        <v>37</v>
      </c>
      <c r="I197" s="26" t="s">
        <v>38</v>
      </c>
      <c r="J197" s="26" t="s">
        <v>131</v>
      </c>
      <c r="K197" s="26" t="s">
        <v>132</v>
      </c>
      <c r="L197" s="26">
        <v>14562.55</v>
      </c>
      <c r="M197" s="26">
        <v>0</v>
      </c>
      <c r="N197" s="26">
        <v>0</v>
      </c>
      <c r="O197" s="26">
        <v>91207.55</v>
      </c>
      <c r="P197" s="26" t="s">
        <v>41</v>
      </c>
      <c r="Q197" s="26" t="s">
        <v>42</v>
      </c>
      <c r="R197" s="26"/>
      <c r="S197" s="26"/>
      <c r="T197" s="26"/>
      <c r="U197" s="26"/>
      <c r="V197" s="26" t="s">
        <v>43</v>
      </c>
      <c r="W197" s="26"/>
      <c r="X197" s="26"/>
    </row>
    <row r="198" spans="1:24" s="29" customFormat="1">
      <c r="A198" s="34" t="s">
        <v>31</v>
      </c>
      <c r="B198" s="34" t="s">
        <v>803</v>
      </c>
      <c r="C198" s="34" t="s">
        <v>804</v>
      </c>
      <c r="D198" s="34">
        <f t="shared" si="2"/>
        <v>-1</v>
      </c>
      <c r="E198" s="34" t="s">
        <v>34</v>
      </c>
      <c r="F198" s="34" t="s">
        <v>35</v>
      </c>
      <c r="G198" s="34" t="s">
        <v>805</v>
      </c>
      <c r="H198" s="34" t="s">
        <v>37</v>
      </c>
      <c r="I198" s="34" t="s">
        <v>38</v>
      </c>
      <c r="J198" s="34" t="s">
        <v>806</v>
      </c>
      <c r="K198" s="34" t="s">
        <v>807</v>
      </c>
      <c r="L198" s="34">
        <v>386270</v>
      </c>
      <c r="M198" s="34">
        <v>0</v>
      </c>
      <c r="N198" s="34">
        <v>0</v>
      </c>
      <c r="O198" s="34">
        <v>2419270</v>
      </c>
      <c r="P198" s="34" t="s">
        <v>41</v>
      </c>
      <c r="Q198" s="34" t="s">
        <v>42</v>
      </c>
      <c r="R198" s="26"/>
      <c r="S198" s="26"/>
      <c r="T198" s="26" t="s">
        <v>43</v>
      </c>
      <c r="U198" s="26"/>
      <c r="V198" s="26"/>
      <c r="W198" s="26"/>
      <c r="X198" s="26"/>
    </row>
    <row r="199" spans="1:24" s="29" customFormat="1">
      <c r="A199" s="34" t="s">
        <v>31</v>
      </c>
      <c r="B199" s="34" t="s">
        <v>808</v>
      </c>
      <c r="C199" s="34" t="s">
        <v>809</v>
      </c>
      <c r="D199" s="34">
        <f t="shared" si="2"/>
        <v>-1</v>
      </c>
      <c r="E199" s="34" t="s">
        <v>34</v>
      </c>
      <c r="F199" s="34" t="s">
        <v>35</v>
      </c>
      <c r="G199" s="34" t="s">
        <v>810</v>
      </c>
      <c r="H199" s="34" t="s">
        <v>37</v>
      </c>
      <c r="I199" s="34" t="s">
        <v>38</v>
      </c>
      <c r="J199" s="34" t="s">
        <v>806</v>
      </c>
      <c r="K199" s="34" t="s">
        <v>807</v>
      </c>
      <c r="L199" s="34">
        <v>33250</v>
      </c>
      <c r="M199" s="34">
        <v>0</v>
      </c>
      <c r="N199" s="34">
        <v>0</v>
      </c>
      <c r="O199" s="34">
        <v>208250</v>
      </c>
      <c r="P199" s="34" t="s">
        <v>41</v>
      </c>
      <c r="Q199" s="34" t="s">
        <v>42</v>
      </c>
      <c r="R199" s="26"/>
      <c r="S199" s="26"/>
      <c r="T199" s="26" t="s">
        <v>43</v>
      </c>
      <c r="U199" s="26"/>
      <c r="V199" s="26"/>
      <c r="W199" s="26"/>
      <c r="X199" s="26"/>
    </row>
    <row r="200" spans="1:24" s="29" customFormat="1">
      <c r="A200" s="33" t="s">
        <v>31</v>
      </c>
      <c r="B200" s="33" t="s">
        <v>811</v>
      </c>
      <c r="C200" s="33" t="s">
        <v>812</v>
      </c>
      <c r="D200" s="33">
        <f t="shared" si="2"/>
        <v>-1</v>
      </c>
      <c r="E200" s="33" t="s">
        <v>34</v>
      </c>
      <c r="F200" s="33" t="s">
        <v>35</v>
      </c>
      <c r="G200" s="33" t="s">
        <v>813</v>
      </c>
      <c r="H200" s="33" t="s">
        <v>37</v>
      </c>
      <c r="I200" s="33" t="s">
        <v>38</v>
      </c>
      <c r="J200" s="33" t="s">
        <v>814</v>
      </c>
      <c r="K200" s="33" t="s">
        <v>815</v>
      </c>
      <c r="L200" s="33">
        <v>919600</v>
      </c>
      <c r="M200" s="33">
        <v>0</v>
      </c>
      <c r="N200" s="33">
        <v>0</v>
      </c>
      <c r="O200" s="33">
        <v>5759600</v>
      </c>
      <c r="P200" s="33" t="s">
        <v>41</v>
      </c>
      <c r="Q200" s="33" t="s">
        <v>42</v>
      </c>
      <c r="R200" s="26"/>
      <c r="S200" s="26" t="s">
        <v>43</v>
      </c>
      <c r="T200" s="26"/>
      <c r="U200" s="26"/>
      <c r="V200" s="26"/>
      <c r="W200" s="26"/>
      <c r="X200" s="26"/>
    </row>
    <row r="201" spans="1:24" s="29" customFormat="1">
      <c r="A201" s="34" t="s">
        <v>31</v>
      </c>
      <c r="B201" s="34" t="s">
        <v>816</v>
      </c>
      <c r="C201" s="34" t="s">
        <v>817</v>
      </c>
      <c r="D201" s="34">
        <f t="shared" si="2"/>
        <v>-1</v>
      </c>
      <c r="E201" s="34" t="s">
        <v>34</v>
      </c>
      <c r="F201" s="34" t="s">
        <v>35</v>
      </c>
      <c r="G201" s="34" t="s">
        <v>818</v>
      </c>
      <c r="H201" s="34" t="s">
        <v>37</v>
      </c>
      <c r="I201" s="34" t="s">
        <v>38</v>
      </c>
      <c r="J201" s="34" t="s">
        <v>819</v>
      </c>
      <c r="K201" s="34" t="s">
        <v>820</v>
      </c>
      <c r="L201" s="34">
        <v>68360.100000000006</v>
      </c>
      <c r="M201" s="34">
        <v>0</v>
      </c>
      <c r="N201" s="34">
        <v>0</v>
      </c>
      <c r="O201" s="34">
        <v>428150.1</v>
      </c>
      <c r="P201" s="34" t="s">
        <v>41</v>
      </c>
      <c r="Q201" s="34" t="s">
        <v>42</v>
      </c>
      <c r="R201" s="26"/>
      <c r="S201" s="26"/>
      <c r="T201" s="26" t="s">
        <v>43</v>
      </c>
      <c r="U201" s="26"/>
      <c r="V201" s="26"/>
      <c r="W201" s="26"/>
      <c r="X201" s="26"/>
    </row>
    <row r="202" spans="1:24" s="29" customFormat="1">
      <c r="A202" s="32" t="s">
        <v>31</v>
      </c>
      <c r="B202" s="32" t="s">
        <v>821</v>
      </c>
      <c r="C202" s="32" t="s">
        <v>822</v>
      </c>
      <c r="D202" s="32">
        <f t="shared" si="2"/>
        <v>-1</v>
      </c>
      <c r="E202" s="32" t="s">
        <v>34</v>
      </c>
      <c r="F202" s="32" t="s">
        <v>35</v>
      </c>
      <c r="G202" s="32" t="s">
        <v>823</v>
      </c>
      <c r="H202" s="32" t="s">
        <v>37</v>
      </c>
      <c r="I202" s="32" t="s">
        <v>38</v>
      </c>
      <c r="J202" s="32" t="s">
        <v>824</v>
      </c>
      <c r="K202" s="32" t="s">
        <v>825</v>
      </c>
      <c r="L202" s="32">
        <v>57247.57</v>
      </c>
      <c r="M202" s="32">
        <v>0</v>
      </c>
      <c r="N202" s="32">
        <v>0</v>
      </c>
      <c r="O202" s="32">
        <v>358550.57</v>
      </c>
      <c r="P202" s="32" t="s">
        <v>41</v>
      </c>
      <c r="Q202" s="32" t="s">
        <v>42</v>
      </c>
      <c r="R202" s="26" t="s">
        <v>43</v>
      </c>
      <c r="S202" s="26"/>
      <c r="T202" s="26"/>
      <c r="U202" s="26"/>
      <c r="V202" s="26"/>
      <c r="W202" s="26"/>
      <c r="X202" s="26"/>
    </row>
    <row r="203" spans="1:24" s="29" customFormat="1">
      <c r="A203" s="26" t="s">
        <v>31</v>
      </c>
      <c r="B203" s="26" t="s">
        <v>826</v>
      </c>
      <c r="C203" s="26" t="s">
        <v>827</v>
      </c>
      <c r="D203" s="26">
        <f t="shared" si="2"/>
        <v>-1</v>
      </c>
      <c r="E203" s="26" t="s">
        <v>34</v>
      </c>
      <c r="F203" s="26" t="s">
        <v>828</v>
      </c>
      <c r="G203" s="26" t="s">
        <v>829</v>
      </c>
      <c r="H203" s="26" t="s">
        <v>37</v>
      </c>
      <c r="I203" s="26" t="s">
        <v>38</v>
      </c>
      <c r="J203" s="26" t="s">
        <v>830</v>
      </c>
      <c r="K203" s="26" t="s">
        <v>831</v>
      </c>
      <c r="L203" s="26">
        <v>70680</v>
      </c>
      <c r="M203" s="26">
        <v>0</v>
      </c>
      <c r="N203" s="26">
        <v>0</v>
      </c>
      <c r="O203" s="26">
        <v>442680</v>
      </c>
      <c r="P203" s="26" t="s">
        <v>41</v>
      </c>
      <c r="Q203" s="26" t="s">
        <v>42</v>
      </c>
      <c r="R203" s="26"/>
      <c r="S203" s="26"/>
      <c r="T203" s="26"/>
      <c r="U203" s="26"/>
      <c r="V203" s="26" t="s">
        <v>43</v>
      </c>
      <c r="W203" s="26"/>
      <c r="X203" s="26"/>
    </row>
    <row r="204" spans="1:24" s="29" customFormat="1">
      <c r="A204" s="26" t="s">
        <v>31</v>
      </c>
      <c r="B204" s="26" t="s">
        <v>832</v>
      </c>
      <c r="C204" s="26" t="s">
        <v>833</v>
      </c>
      <c r="D204" s="26">
        <f t="shared" si="2"/>
        <v>-1</v>
      </c>
      <c r="E204" s="26" t="s">
        <v>34</v>
      </c>
      <c r="F204" s="26" t="s">
        <v>828</v>
      </c>
      <c r="G204" s="26" t="s">
        <v>834</v>
      </c>
      <c r="H204" s="26" t="s">
        <v>37</v>
      </c>
      <c r="I204" s="26" t="s">
        <v>38</v>
      </c>
      <c r="J204" s="26" t="s">
        <v>835</v>
      </c>
      <c r="K204" s="26" t="s">
        <v>836</v>
      </c>
      <c r="L204" s="26">
        <v>383040</v>
      </c>
      <c r="M204" s="26">
        <v>0</v>
      </c>
      <c r="N204" s="26">
        <v>0</v>
      </c>
      <c r="O204" s="26">
        <v>2399040</v>
      </c>
      <c r="P204" s="26" t="s">
        <v>41</v>
      </c>
      <c r="Q204" s="26" t="s">
        <v>42</v>
      </c>
      <c r="R204" s="26"/>
      <c r="S204" s="26"/>
      <c r="T204" s="26"/>
      <c r="U204" s="26"/>
      <c r="V204" s="26" t="s">
        <v>43</v>
      </c>
      <c r="W204" s="26"/>
      <c r="X204" s="26"/>
    </row>
    <row r="205" spans="1:24" s="29" customFormat="1">
      <c r="A205" s="33" t="s">
        <v>31</v>
      </c>
      <c r="B205" s="33" t="s">
        <v>837</v>
      </c>
      <c r="C205" s="33" t="s">
        <v>838</v>
      </c>
      <c r="D205" s="33">
        <f t="shared" ref="D205:D268" si="3">C205-C206</f>
        <v>-1</v>
      </c>
      <c r="E205" s="33" t="s">
        <v>34</v>
      </c>
      <c r="F205" s="33" t="s">
        <v>828</v>
      </c>
      <c r="G205" s="33" t="s">
        <v>839</v>
      </c>
      <c r="H205" s="33" t="s">
        <v>37</v>
      </c>
      <c r="I205" s="33" t="s">
        <v>38</v>
      </c>
      <c r="J205" s="33" t="s">
        <v>840</v>
      </c>
      <c r="K205" s="33" t="s">
        <v>841</v>
      </c>
      <c r="L205" s="33">
        <v>1178112.1000000001</v>
      </c>
      <c r="M205" s="33">
        <v>0</v>
      </c>
      <c r="N205" s="33">
        <v>0</v>
      </c>
      <c r="O205" s="33">
        <v>7378702.0999999996</v>
      </c>
      <c r="P205" s="33" t="s">
        <v>41</v>
      </c>
      <c r="Q205" s="33" t="s">
        <v>42</v>
      </c>
      <c r="R205" s="26"/>
      <c r="S205" s="26" t="s">
        <v>43</v>
      </c>
      <c r="T205" s="26"/>
      <c r="U205" s="26"/>
      <c r="V205" s="26"/>
      <c r="W205" s="26"/>
      <c r="X205" s="26"/>
    </row>
    <row r="206" spans="1:24" s="29" customFormat="1">
      <c r="A206" s="31" t="s">
        <v>31</v>
      </c>
      <c r="B206" s="31" t="s">
        <v>842</v>
      </c>
      <c r="C206" s="31" t="s">
        <v>843</v>
      </c>
      <c r="D206" s="31">
        <f t="shared" si="3"/>
        <v>-1</v>
      </c>
      <c r="E206" s="31" t="s">
        <v>34</v>
      </c>
      <c r="F206" s="31" t="s">
        <v>828</v>
      </c>
      <c r="G206" s="31" t="s">
        <v>844</v>
      </c>
      <c r="H206" s="31" t="s">
        <v>37</v>
      </c>
      <c r="I206" s="31" t="s">
        <v>38</v>
      </c>
      <c r="J206" s="31" t="s">
        <v>845</v>
      </c>
      <c r="K206" s="31" t="s">
        <v>846</v>
      </c>
      <c r="L206" s="31">
        <v>27550</v>
      </c>
      <c r="M206" s="31">
        <v>0</v>
      </c>
      <c r="N206" s="31">
        <v>0</v>
      </c>
      <c r="O206" s="31">
        <v>172550</v>
      </c>
      <c r="P206" s="31" t="s">
        <v>41</v>
      </c>
      <c r="Q206" s="31" t="s">
        <v>42</v>
      </c>
      <c r="R206" s="26"/>
      <c r="S206" s="26"/>
      <c r="T206" s="26"/>
      <c r="U206" s="31" t="s">
        <v>43</v>
      </c>
      <c r="V206" s="26"/>
      <c r="W206" s="26"/>
      <c r="X206" s="26"/>
    </row>
    <row r="207" spans="1:24" s="29" customFormat="1">
      <c r="A207" s="34" t="s">
        <v>31</v>
      </c>
      <c r="B207" s="34" t="s">
        <v>847</v>
      </c>
      <c r="C207" s="34" t="s">
        <v>848</v>
      </c>
      <c r="D207" s="34">
        <f t="shared" si="3"/>
        <v>-1</v>
      </c>
      <c r="E207" s="34" t="s">
        <v>34</v>
      </c>
      <c r="F207" s="34" t="s">
        <v>828</v>
      </c>
      <c r="G207" s="34" t="s">
        <v>849</v>
      </c>
      <c r="H207" s="34" t="s">
        <v>37</v>
      </c>
      <c r="I207" s="34" t="s">
        <v>38</v>
      </c>
      <c r="J207" s="34" t="s">
        <v>707</v>
      </c>
      <c r="K207" s="34" t="s">
        <v>708</v>
      </c>
      <c r="L207" s="34">
        <v>92720</v>
      </c>
      <c r="M207" s="34">
        <v>0</v>
      </c>
      <c r="N207" s="34">
        <v>0</v>
      </c>
      <c r="O207" s="34">
        <v>580720</v>
      </c>
      <c r="P207" s="34" t="s">
        <v>41</v>
      </c>
      <c r="Q207" s="34" t="s">
        <v>42</v>
      </c>
      <c r="R207" s="26"/>
      <c r="S207" s="26"/>
      <c r="T207" s="26" t="s">
        <v>43</v>
      </c>
      <c r="U207" s="26"/>
      <c r="V207" s="26"/>
      <c r="W207" s="26"/>
      <c r="X207" s="26"/>
    </row>
    <row r="208" spans="1:24" s="29" customFormat="1">
      <c r="A208" s="35" t="s">
        <v>31</v>
      </c>
      <c r="B208" s="35" t="s">
        <v>850</v>
      </c>
      <c r="C208" s="35" t="s">
        <v>851</v>
      </c>
      <c r="D208" s="35">
        <f t="shared" si="3"/>
        <v>-1</v>
      </c>
      <c r="E208" s="35" t="s">
        <v>34</v>
      </c>
      <c r="F208" s="35" t="s">
        <v>828</v>
      </c>
      <c r="G208" s="35" t="s">
        <v>852</v>
      </c>
      <c r="H208" s="35" t="s">
        <v>37</v>
      </c>
      <c r="I208" s="35" t="s">
        <v>38</v>
      </c>
      <c r="J208" s="35" t="s">
        <v>707</v>
      </c>
      <c r="K208" s="35" t="s">
        <v>708</v>
      </c>
      <c r="L208" s="35">
        <v>370880</v>
      </c>
      <c r="M208" s="35">
        <v>0</v>
      </c>
      <c r="N208" s="35">
        <v>0</v>
      </c>
      <c r="O208" s="35">
        <v>2322880</v>
      </c>
      <c r="P208" s="35" t="s">
        <v>41</v>
      </c>
      <c r="Q208" s="35" t="s">
        <v>42</v>
      </c>
      <c r="R208" s="26"/>
      <c r="S208" s="26"/>
      <c r="T208" s="26"/>
      <c r="U208" s="26"/>
      <c r="V208" s="26"/>
      <c r="W208" s="35" t="s">
        <v>43</v>
      </c>
      <c r="X208" s="28">
        <v>46080</v>
      </c>
    </row>
    <row r="209" spans="1:24" s="29" customFormat="1">
      <c r="A209" s="34" t="s">
        <v>31</v>
      </c>
      <c r="B209" s="34" t="s">
        <v>853</v>
      </c>
      <c r="C209" s="34" t="s">
        <v>854</v>
      </c>
      <c r="D209" s="34">
        <f t="shared" si="3"/>
        <v>-1</v>
      </c>
      <c r="E209" s="34" t="s">
        <v>34</v>
      </c>
      <c r="F209" s="34" t="s">
        <v>828</v>
      </c>
      <c r="G209" s="34" t="s">
        <v>855</v>
      </c>
      <c r="H209" s="34" t="s">
        <v>37</v>
      </c>
      <c r="I209" s="34" t="s">
        <v>38</v>
      </c>
      <c r="J209" s="34" t="s">
        <v>707</v>
      </c>
      <c r="K209" s="34" t="s">
        <v>708</v>
      </c>
      <c r="L209" s="34">
        <v>33060</v>
      </c>
      <c r="M209" s="34">
        <v>0</v>
      </c>
      <c r="N209" s="34">
        <v>0</v>
      </c>
      <c r="O209" s="34">
        <v>207060</v>
      </c>
      <c r="P209" s="34" t="s">
        <v>41</v>
      </c>
      <c r="Q209" s="34" t="s">
        <v>42</v>
      </c>
      <c r="R209" s="26"/>
      <c r="S209" s="26"/>
      <c r="T209" s="26" t="s">
        <v>43</v>
      </c>
      <c r="U209" s="26"/>
      <c r="V209" s="26"/>
      <c r="W209" s="26"/>
      <c r="X209" s="26"/>
    </row>
    <row r="210" spans="1:24" s="29" customFormat="1">
      <c r="A210" s="34" t="s">
        <v>31</v>
      </c>
      <c r="B210" s="34" t="s">
        <v>856</v>
      </c>
      <c r="C210" s="34" t="s">
        <v>857</v>
      </c>
      <c r="D210" s="34">
        <f t="shared" si="3"/>
        <v>-1</v>
      </c>
      <c r="E210" s="34" t="s">
        <v>34</v>
      </c>
      <c r="F210" s="34" t="s">
        <v>828</v>
      </c>
      <c r="G210" s="34" t="s">
        <v>858</v>
      </c>
      <c r="H210" s="34" t="s">
        <v>37</v>
      </c>
      <c r="I210" s="34" t="s">
        <v>38</v>
      </c>
      <c r="J210" s="34" t="s">
        <v>707</v>
      </c>
      <c r="K210" s="34" t="s">
        <v>708</v>
      </c>
      <c r="L210" s="34">
        <v>279699</v>
      </c>
      <c r="M210" s="34">
        <v>0</v>
      </c>
      <c r="N210" s="34">
        <v>0</v>
      </c>
      <c r="O210" s="34">
        <v>1751799</v>
      </c>
      <c r="P210" s="34" t="s">
        <v>41</v>
      </c>
      <c r="Q210" s="34" t="s">
        <v>42</v>
      </c>
      <c r="R210" s="26"/>
      <c r="S210" s="26"/>
      <c r="T210" s="26" t="s">
        <v>43</v>
      </c>
      <c r="U210" s="26"/>
      <c r="V210" s="26"/>
      <c r="W210" s="26"/>
      <c r="X210" s="26"/>
    </row>
    <row r="211" spans="1:24" s="29" customFormat="1">
      <c r="A211" s="34" t="s">
        <v>31</v>
      </c>
      <c r="B211" s="34" t="s">
        <v>859</v>
      </c>
      <c r="C211" s="34" t="s">
        <v>860</v>
      </c>
      <c r="D211" s="34">
        <f t="shared" si="3"/>
        <v>-1</v>
      </c>
      <c r="E211" s="34" t="s">
        <v>34</v>
      </c>
      <c r="F211" s="34" t="s">
        <v>828</v>
      </c>
      <c r="G211" s="34" t="s">
        <v>861</v>
      </c>
      <c r="H211" s="34" t="s">
        <v>37</v>
      </c>
      <c r="I211" s="34" t="s">
        <v>38</v>
      </c>
      <c r="J211" s="34" t="s">
        <v>707</v>
      </c>
      <c r="K211" s="34" t="s">
        <v>708</v>
      </c>
      <c r="L211" s="34">
        <v>122436</v>
      </c>
      <c r="M211" s="34">
        <v>0</v>
      </c>
      <c r="N211" s="34">
        <v>0</v>
      </c>
      <c r="O211" s="34">
        <v>766836</v>
      </c>
      <c r="P211" s="34" t="s">
        <v>41</v>
      </c>
      <c r="Q211" s="34" t="s">
        <v>42</v>
      </c>
      <c r="R211" s="26"/>
      <c r="S211" s="26"/>
      <c r="T211" s="26" t="s">
        <v>43</v>
      </c>
      <c r="U211" s="26"/>
      <c r="V211" s="26"/>
      <c r="W211" s="26"/>
      <c r="X211" s="26"/>
    </row>
    <row r="212" spans="1:24" s="29" customFormat="1">
      <c r="A212" s="32" t="s">
        <v>31</v>
      </c>
      <c r="B212" s="32" t="s">
        <v>862</v>
      </c>
      <c r="C212" s="32" t="s">
        <v>863</v>
      </c>
      <c r="D212" s="32">
        <f t="shared" si="3"/>
        <v>-1</v>
      </c>
      <c r="E212" s="32" t="s">
        <v>34</v>
      </c>
      <c r="F212" s="32" t="s">
        <v>828</v>
      </c>
      <c r="G212" s="32" t="s">
        <v>864</v>
      </c>
      <c r="H212" s="32" t="s">
        <v>37</v>
      </c>
      <c r="I212" s="32" t="s">
        <v>38</v>
      </c>
      <c r="J212" s="32" t="s">
        <v>865</v>
      </c>
      <c r="K212" s="32" t="s">
        <v>866</v>
      </c>
      <c r="L212" s="32">
        <v>1071980</v>
      </c>
      <c r="M212" s="32">
        <v>0</v>
      </c>
      <c r="N212" s="32">
        <v>0</v>
      </c>
      <c r="O212" s="32">
        <v>6713980</v>
      </c>
      <c r="P212" s="32" t="s">
        <v>41</v>
      </c>
      <c r="Q212" s="32" t="s">
        <v>42</v>
      </c>
      <c r="R212" s="26" t="s">
        <v>43</v>
      </c>
      <c r="S212" s="26"/>
      <c r="T212" s="26"/>
      <c r="U212" s="26"/>
      <c r="V212" s="26"/>
      <c r="W212" s="26"/>
      <c r="X212" s="26"/>
    </row>
    <row r="213" spans="1:24" s="29" customFormat="1">
      <c r="A213" s="34" t="s">
        <v>31</v>
      </c>
      <c r="B213" s="34" t="s">
        <v>867</v>
      </c>
      <c r="C213" s="34" t="s">
        <v>868</v>
      </c>
      <c r="D213" s="34">
        <f t="shared" si="3"/>
        <v>-1</v>
      </c>
      <c r="E213" s="34" t="s">
        <v>34</v>
      </c>
      <c r="F213" s="34" t="s">
        <v>828</v>
      </c>
      <c r="G213" s="34" t="s">
        <v>869</v>
      </c>
      <c r="H213" s="34" t="s">
        <v>37</v>
      </c>
      <c r="I213" s="34" t="s">
        <v>38</v>
      </c>
      <c r="J213" s="34" t="s">
        <v>870</v>
      </c>
      <c r="K213" s="34" t="s">
        <v>871</v>
      </c>
      <c r="L213" s="34">
        <v>127376</v>
      </c>
      <c r="M213" s="34">
        <v>0</v>
      </c>
      <c r="N213" s="34">
        <v>0</v>
      </c>
      <c r="O213" s="34">
        <v>797776</v>
      </c>
      <c r="P213" s="34" t="s">
        <v>41</v>
      </c>
      <c r="Q213" s="34" t="s">
        <v>42</v>
      </c>
      <c r="R213" s="26"/>
      <c r="S213" s="26"/>
      <c r="T213" s="26" t="s">
        <v>43</v>
      </c>
      <c r="U213" s="26"/>
      <c r="V213" s="26"/>
      <c r="W213" s="26"/>
      <c r="X213" s="26"/>
    </row>
    <row r="214" spans="1:24" s="29" customFormat="1">
      <c r="A214" s="34" t="s">
        <v>31</v>
      </c>
      <c r="B214" s="34" t="s">
        <v>872</v>
      </c>
      <c r="C214" s="34" t="s">
        <v>873</v>
      </c>
      <c r="D214" s="34">
        <f t="shared" si="3"/>
        <v>-1</v>
      </c>
      <c r="E214" s="34" t="s">
        <v>34</v>
      </c>
      <c r="F214" s="34" t="s">
        <v>828</v>
      </c>
      <c r="G214" s="34" t="s">
        <v>874</v>
      </c>
      <c r="H214" s="34" t="s">
        <v>37</v>
      </c>
      <c r="I214" s="34" t="s">
        <v>38</v>
      </c>
      <c r="J214" s="34" t="s">
        <v>875</v>
      </c>
      <c r="K214" s="34" t="s">
        <v>876</v>
      </c>
      <c r="L214" s="34">
        <v>16689600</v>
      </c>
      <c r="M214" s="34">
        <v>0</v>
      </c>
      <c r="N214" s="34">
        <v>0</v>
      </c>
      <c r="O214" s="34">
        <v>104529600</v>
      </c>
      <c r="P214" s="34" t="s">
        <v>41</v>
      </c>
      <c r="Q214" s="34" t="s">
        <v>42</v>
      </c>
      <c r="R214" s="26"/>
      <c r="S214" s="26"/>
      <c r="T214" s="26" t="s">
        <v>43</v>
      </c>
      <c r="U214" s="26"/>
      <c r="V214" s="26"/>
      <c r="W214" s="26"/>
      <c r="X214" s="26"/>
    </row>
    <row r="215" spans="1:24" s="29" customFormat="1">
      <c r="A215" s="32" t="s">
        <v>31</v>
      </c>
      <c r="B215" s="32" t="s">
        <v>877</v>
      </c>
      <c r="C215" s="32" t="s">
        <v>878</v>
      </c>
      <c r="D215" s="32">
        <f t="shared" si="3"/>
        <v>-1</v>
      </c>
      <c r="E215" s="32" t="s">
        <v>34</v>
      </c>
      <c r="F215" s="32" t="s">
        <v>828</v>
      </c>
      <c r="G215" s="32" t="s">
        <v>879</v>
      </c>
      <c r="H215" s="32" t="s">
        <v>37</v>
      </c>
      <c r="I215" s="32" t="s">
        <v>38</v>
      </c>
      <c r="J215" s="32" t="s">
        <v>880</v>
      </c>
      <c r="K215" s="32" t="s">
        <v>881</v>
      </c>
      <c r="L215" s="32">
        <v>106427.55</v>
      </c>
      <c r="M215" s="32">
        <v>0</v>
      </c>
      <c r="N215" s="32">
        <v>0</v>
      </c>
      <c r="O215" s="32">
        <v>666572.55000000005</v>
      </c>
      <c r="P215" s="32" t="s">
        <v>41</v>
      </c>
      <c r="Q215" s="32" t="s">
        <v>42</v>
      </c>
      <c r="R215" s="26" t="s">
        <v>43</v>
      </c>
      <c r="S215" s="26"/>
      <c r="T215" s="26"/>
      <c r="U215" s="26"/>
      <c r="V215" s="26"/>
      <c r="W215" s="26"/>
      <c r="X215" s="26"/>
    </row>
    <row r="216" spans="1:24" s="29" customFormat="1">
      <c r="A216" s="26" t="s">
        <v>31</v>
      </c>
      <c r="B216" s="26" t="s">
        <v>882</v>
      </c>
      <c r="C216" s="26" t="s">
        <v>883</v>
      </c>
      <c r="D216" s="26">
        <f t="shared" si="3"/>
        <v>-1</v>
      </c>
      <c r="E216" s="26" t="s">
        <v>34</v>
      </c>
      <c r="F216" s="26" t="s">
        <v>828</v>
      </c>
      <c r="G216" s="26" t="s">
        <v>884</v>
      </c>
      <c r="H216" s="26" t="s">
        <v>37</v>
      </c>
      <c r="I216" s="26" t="s">
        <v>38</v>
      </c>
      <c r="J216" s="26" t="s">
        <v>885</v>
      </c>
      <c r="K216" s="26" t="s">
        <v>886</v>
      </c>
      <c r="L216" s="26">
        <v>91651.25</v>
      </c>
      <c r="M216" s="26">
        <v>0</v>
      </c>
      <c r="N216" s="26">
        <v>0</v>
      </c>
      <c r="O216" s="26">
        <v>840586.25</v>
      </c>
      <c r="P216" s="26" t="s">
        <v>41</v>
      </c>
      <c r="Q216" s="26" t="s">
        <v>42</v>
      </c>
      <c r="R216" s="26"/>
      <c r="S216" s="26"/>
      <c r="T216" s="26"/>
      <c r="U216" s="26"/>
      <c r="V216" s="26" t="s">
        <v>43</v>
      </c>
      <c r="W216" s="26"/>
      <c r="X216" s="26"/>
    </row>
    <row r="217" spans="1:24" s="29" customFormat="1">
      <c r="A217" s="35" t="s">
        <v>31</v>
      </c>
      <c r="B217" s="35" t="s">
        <v>887</v>
      </c>
      <c r="C217" s="35" t="s">
        <v>888</v>
      </c>
      <c r="D217" s="35">
        <f t="shared" si="3"/>
        <v>-1</v>
      </c>
      <c r="E217" s="35" t="s">
        <v>34</v>
      </c>
      <c r="F217" s="35" t="s">
        <v>828</v>
      </c>
      <c r="G217" s="35" t="s">
        <v>889</v>
      </c>
      <c r="H217" s="35" t="s">
        <v>37</v>
      </c>
      <c r="I217" s="35" t="s">
        <v>38</v>
      </c>
      <c r="J217" s="35" t="s">
        <v>890</v>
      </c>
      <c r="K217" s="35" t="s">
        <v>891</v>
      </c>
      <c r="L217" s="35">
        <v>137151.5</v>
      </c>
      <c r="M217" s="35">
        <v>0</v>
      </c>
      <c r="N217" s="35">
        <v>0</v>
      </c>
      <c r="O217" s="35">
        <v>859001.5</v>
      </c>
      <c r="P217" s="35" t="s">
        <v>41</v>
      </c>
      <c r="Q217" s="35" t="s">
        <v>42</v>
      </c>
      <c r="R217" s="26"/>
      <c r="S217" s="26"/>
      <c r="T217" s="26"/>
      <c r="U217" s="26"/>
      <c r="V217" s="26"/>
      <c r="W217" s="35" t="s">
        <v>43</v>
      </c>
      <c r="X217" s="26" t="s">
        <v>892</v>
      </c>
    </row>
    <row r="218" spans="1:24" s="29" customFormat="1">
      <c r="A218" s="35" t="s">
        <v>31</v>
      </c>
      <c r="B218" s="35" t="s">
        <v>893</v>
      </c>
      <c r="C218" s="35" t="s">
        <v>894</v>
      </c>
      <c r="D218" s="35">
        <f t="shared" si="3"/>
        <v>-1</v>
      </c>
      <c r="E218" s="35" t="s">
        <v>34</v>
      </c>
      <c r="F218" s="35" t="s">
        <v>828</v>
      </c>
      <c r="G218" s="35" t="s">
        <v>895</v>
      </c>
      <c r="H218" s="35" t="s">
        <v>37</v>
      </c>
      <c r="I218" s="35" t="s">
        <v>38</v>
      </c>
      <c r="J218" s="35" t="s">
        <v>896</v>
      </c>
      <c r="K218" s="35" t="s">
        <v>897</v>
      </c>
      <c r="L218" s="35">
        <v>205678.75</v>
      </c>
      <c r="M218" s="35">
        <v>0</v>
      </c>
      <c r="N218" s="35">
        <v>0</v>
      </c>
      <c r="O218" s="35">
        <v>1671228.75</v>
      </c>
      <c r="P218" s="35" t="s">
        <v>41</v>
      </c>
      <c r="Q218" s="35" t="s">
        <v>42</v>
      </c>
      <c r="R218" s="26"/>
      <c r="S218" s="26"/>
      <c r="T218" s="26"/>
      <c r="U218" s="26"/>
      <c r="V218" s="26"/>
      <c r="W218" s="35" t="s">
        <v>43</v>
      </c>
      <c r="X218" s="26" t="s">
        <v>898</v>
      </c>
    </row>
    <row r="219" spans="1:24" s="29" customFormat="1">
      <c r="A219" s="34" t="s">
        <v>31</v>
      </c>
      <c r="B219" s="34" t="s">
        <v>899</v>
      </c>
      <c r="C219" s="34" t="s">
        <v>900</v>
      </c>
      <c r="D219" s="34">
        <f t="shared" si="3"/>
        <v>-1</v>
      </c>
      <c r="E219" s="34" t="s">
        <v>34</v>
      </c>
      <c r="F219" s="34" t="s">
        <v>828</v>
      </c>
      <c r="G219" s="34" t="s">
        <v>901</v>
      </c>
      <c r="H219" s="34" t="s">
        <v>37</v>
      </c>
      <c r="I219" s="34" t="s">
        <v>38</v>
      </c>
      <c r="J219" s="34" t="s">
        <v>902</v>
      </c>
      <c r="K219" s="34" t="s">
        <v>903</v>
      </c>
      <c r="L219" s="34">
        <v>135608</v>
      </c>
      <c r="M219" s="34">
        <v>0</v>
      </c>
      <c r="N219" s="34">
        <v>0</v>
      </c>
      <c r="O219" s="34">
        <v>2726808</v>
      </c>
      <c r="P219" s="34" t="s">
        <v>41</v>
      </c>
      <c r="Q219" s="34" t="s">
        <v>42</v>
      </c>
      <c r="R219" s="26"/>
      <c r="S219" s="26"/>
      <c r="T219" s="26" t="s">
        <v>43</v>
      </c>
      <c r="U219" s="26"/>
      <c r="V219" s="26"/>
      <c r="W219" s="26"/>
      <c r="X219" s="26"/>
    </row>
    <row r="220" spans="1:24" s="29" customFormat="1">
      <c r="A220" s="26" t="s">
        <v>31</v>
      </c>
      <c r="B220" s="26" t="s">
        <v>904</v>
      </c>
      <c r="C220" s="26" t="s">
        <v>905</v>
      </c>
      <c r="D220" s="26">
        <f t="shared" si="3"/>
        <v>-1</v>
      </c>
      <c r="E220" s="26" t="s">
        <v>34</v>
      </c>
      <c r="F220" s="26" t="s">
        <v>828</v>
      </c>
      <c r="G220" s="26" t="s">
        <v>906</v>
      </c>
      <c r="H220" s="26" t="s">
        <v>37</v>
      </c>
      <c r="I220" s="26" t="s">
        <v>38</v>
      </c>
      <c r="J220" s="26" t="s">
        <v>616</v>
      </c>
      <c r="K220" s="26" t="s">
        <v>617</v>
      </c>
      <c r="L220" s="26">
        <v>166716.04999999999</v>
      </c>
      <c r="M220" s="26">
        <v>0</v>
      </c>
      <c r="N220" s="26">
        <v>0</v>
      </c>
      <c r="O220" s="26">
        <v>1445011.05</v>
      </c>
      <c r="P220" s="26" t="s">
        <v>41</v>
      </c>
      <c r="Q220" s="26" t="s">
        <v>42</v>
      </c>
      <c r="R220" s="26"/>
      <c r="S220" s="26"/>
      <c r="T220" s="26"/>
      <c r="U220" s="26"/>
      <c r="V220" s="26" t="s">
        <v>43</v>
      </c>
      <c r="W220" s="26"/>
      <c r="X220" s="26"/>
    </row>
    <row r="221" spans="1:24" s="29" customFormat="1">
      <c r="A221" s="34" t="s">
        <v>31</v>
      </c>
      <c r="B221" s="34" t="s">
        <v>907</v>
      </c>
      <c r="C221" s="34" t="s">
        <v>908</v>
      </c>
      <c r="D221" s="34">
        <f t="shared" si="3"/>
        <v>-1</v>
      </c>
      <c r="E221" s="34" t="s">
        <v>34</v>
      </c>
      <c r="F221" s="34" t="s">
        <v>828</v>
      </c>
      <c r="G221" s="34" t="s">
        <v>909</v>
      </c>
      <c r="H221" s="34" t="s">
        <v>37</v>
      </c>
      <c r="I221" s="34" t="s">
        <v>38</v>
      </c>
      <c r="J221" s="34" t="s">
        <v>910</v>
      </c>
      <c r="K221" s="34" t="s">
        <v>911</v>
      </c>
      <c r="L221" s="34">
        <v>69673</v>
      </c>
      <c r="M221" s="34">
        <v>0</v>
      </c>
      <c r="N221" s="34">
        <v>0</v>
      </c>
      <c r="O221" s="34">
        <v>436373</v>
      </c>
      <c r="P221" s="34" t="s">
        <v>41</v>
      </c>
      <c r="Q221" s="34" t="s">
        <v>42</v>
      </c>
      <c r="R221" s="26"/>
      <c r="S221" s="26"/>
      <c r="T221" s="26" t="s">
        <v>628</v>
      </c>
      <c r="U221" s="26"/>
      <c r="V221" s="26"/>
      <c r="W221" s="26"/>
      <c r="X221" s="26"/>
    </row>
    <row r="222" spans="1:24" s="29" customFormat="1">
      <c r="A222" s="34" t="s">
        <v>31</v>
      </c>
      <c r="B222" s="34" t="s">
        <v>912</v>
      </c>
      <c r="C222" s="34" t="s">
        <v>913</v>
      </c>
      <c r="D222" s="34">
        <f t="shared" si="3"/>
        <v>-1</v>
      </c>
      <c r="E222" s="34" t="s">
        <v>34</v>
      </c>
      <c r="F222" s="34" t="s">
        <v>828</v>
      </c>
      <c r="G222" s="34" t="s">
        <v>914</v>
      </c>
      <c r="H222" s="34" t="s">
        <v>37</v>
      </c>
      <c r="I222" s="34" t="s">
        <v>38</v>
      </c>
      <c r="J222" s="34" t="s">
        <v>915</v>
      </c>
      <c r="K222" s="34" t="s">
        <v>916</v>
      </c>
      <c r="L222" s="34">
        <v>812620.5</v>
      </c>
      <c r="M222" s="34">
        <v>0</v>
      </c>
      <c r="N222" s="34">
        <v>0</v>
      </c>
      <c r="O222" s="34">
        <v>5089570.5</v>
      </c>
      <c r="P222" s="34" t="s">
        <v>41</v>
      </c>
      <c r="Q222" s="34" t="s">
        <v>42</v>
      </c>
      <c r="R222" s="26"/>
      <c r="S222" s="26"/>
      <c r="T222" s="26" t="s">
        <v>43</v>
      </c>
      <c r="U222" s="26"/>
      <c r="V222" s="26"/>
      <c r="W222" s="26"/>
      <c r="X222" s="26"/>
    </row>
    <row r="223" spans="1:24" s="29" customFormat="1">
      <c r="A223" s="35" t="s">
        <v>31</v>
      </c>
      <c r="B223" s="35" t="s">
        <v>917</v>
      </c>
      <c r="C223" s="35" t="s">
        <v>918</v>
      </c>
      <c r="D223" s="35">
        <f t="shared" si="3"/>
        <v>-1</v>
      </c>
      <c r="E223" s="35" t="s">
        <v>34</v>
      </c>
      <c r="F223" s="35" t="s">
        <v>828</v>
      </c>
      <c r="G223" s="35" t="s">
        <v>919</v>
      </c>
      <c r="H223" s="35" t="s">
        <v>37</v>
      </c>
      <c r="I223" s="35" t="s">
        <v>38</v>
      </c>
      <c r="J223" s="35" t="s">
        <v>915</v>
      </c>
      <c r="K223" s="35" t="s">
        <v>916</v>
      </c>
      <c r="L223" s="35">
        <v>1250375.75</v>
      </c>
      <c r="M223" s="35">
        <v>0</v>
      </c>
      <c r="N223" s="35">
        <v>0</v>
      </c>
      <c r="O223" s="35">
        <v>7831300.75</v>
      </c>
      <c r="P223" s="35" t="s">
        <v>41</v>
      </c>
      <c r="Q223" s="35" t="s">
        <v>42</v>
      </c>
      <c r="R223" s="26"/>
      <c r="S223" s="26"/>
      <c r="T223" s="26"/>
      <c r="U223" s="26"/>
      <c r="V223" s="26"/>
      <c r="W223" s="35" t="s">
        <v>43</v>
      </c>
      <c r="X223" s="26" t="s">
        <v>920</v>
      </c>
    </row>
    <row r="224" spans="1:24" s="29" customFormat="1">
      <c r="A224" s="35" t="s">
        <v>31</v>
      </c>
      <c r="B224" s="35" t="s">
        <v>921</v>
      </c>
      <c r="C224" s="35" t="s">
        <v>922</v>
      </c>
      <c r="D224" s="35">
        <f t="shared" si="3"/>
        <v>-1</v>
      </c>
      <c r="E224" s="35" t="s">
        <v>34</v>
      </c>
      <c r="F224" s="35" t="s">
        <v>828</v>
      </c>
      <c r="G224" s="35" t="s">
        <v>923</v>
      </c>
      <c r="H224" s="35" t="s">
        <v>37</v>
      </c>
      <c r="I224" s="35" t="s">
        <v>38</v>
      </c>
      <c r="J224" s="35" t="s">
        <v>915</v>
      </c>
      <c r="K224" s="35" t="s">
        <v>916</v>
      </c>
      <c r="L224" s="35">
        <v>1963691.23</v>
      </c>
      <c r="M224" s="35">
        <v>0</v>
      </c>
      <c r="N224" s="35">
        <v>0</v>
      </c>
      <c r="O224" s="35">
        <v>12298908.23</v>
      </c>
      <c r="P224" s="35" t="s">
        <v>41</v>
      </c>
      <c r="Q224" s="35" t="s">
        <v>42</v>
      </c>
      <c r="R224" s="26"/>
      <c r="S224" s="26"/>
      <c r="T224" s="26"/>
      <c r="U224" s="26"/>
      <c r="V224" s="26"/>
      <c r="W224" s="35" t="s">
        <v>43</v>
      </c>
      <c r="X224" s="26" t="s">
        <v>920</v>
      </c>
    </row>
    <row r="225" spans="1:24" s="29" customFormat="1">
      <c r="A225" s="34" t="s">
        <v>31</v>
      </c>
      <c r="B225" s="34" t="s">
        <v>924</v>
      </c>
      <c r="C225" s="34" t="s">
        <v>925</v>
      </c>
      <c r="D225" s="34">
        <f t="shared" si="3"/>
        <v>-1</v>
      </c>
      <c r="E225" s="34" t="s">
        <v>34</v>
      </c>
      <c r="F225" s="34" t="s">
        <v>828</v>
      </c>
      <c r="G225" s="34" t="s">
        <v>926</v>
      </c>
      <c r="H225" s="34" t="s">
        <v>37</v>
      </c>
      <c r="I225" s="34" t="s">
        <v>38</v>
      </c>
      <c r="J225" s="34" t="s">
        <v>910</v>
      </c>
      <c r="K225" s="34" t="s">
        <v>911</v>
      </c>
      <c r="L225" s="34">
        <v>643178.5</v>
      </c>
      <c r="M225" s="34">
        <v>0</v>
      </c>
      <c r="N225" s="34">
        <v>0</v>
      </c>
      <c r="O225" s="34">
        <v>4028328.5</v>
      </c>
      <c r="P225" s="34" t="s">
        <v>41</v>
      </c>
      <c r="Q225" s="34" t="s">
        <v>42</v>
      </c>
      <c r="R225" s="26"/>
      <c r="S225" s="26"/>
      <c r="T225" s="26" t="s">
        <v>628</v>
      </c>
      <c r="U225" s="26"/>
      <c r="V225" s="26"/>
      <c r="W225" s="26"/>
      <c r="X225" s="26"/>
    </row>
    <row r="226" spans="1:24" s="29" customFormat="1">
      <c r="A226" s="35" t="s">
        <v>31</v>
      </c>
      <c r="B226" s="35" t="s">
        <v>927</v>
      </c>
      <c r="C226" s="35" t="s">
        <v>928</v>
      </c>
      <c r="D226" s="35">
        <f t="shared" si="3"/>
        <v>-1</v>
      </c>
      <c r="E226" s="35" t="s">
        <v>34</v>
      </c>
      <c r="F226" s="35" t="s">
        <v>828</v>
      </c>
      <c r="G226" s="35" t="s">
        <v>929</v>
      </c>
      <c r="H226" s="35" t="s">
        <v>37</v>
      </c>
      <c r="I226" s="35" t="s">
        <v>38</v>
      </c>
      <c r="J226" s="35" t="s">
        <v>311</v>
      </c>
      <c r="K226" s="35" t="s">
        <v>312</v>
      </c>
      <c r="L226" s="35">
        <v>0</v>
      </c>
      <c r="M226" s="35">
        <v>0</v>
      </c>
      <c r="N226" s="35">
        <v>0</v>
      </c>
      <c r="O226" s="35">
        <v>7450500</v>
      </c>
      <c r="P226" s="35" t="s">
        <v>41</v>
      </c>
      <c r="Q226" s="35" t="s">
        <v>42</v>
      </c>
      <c r="R226" s="26"/>
      <c r="S226" s="26"/>
      <c r="T226" s="26"/>
      <c r="U226" s="26"/>
      <c r="V226" s="26"/>
      <c r="W226" s="35" t="s">
        <v>43</v>
      </c>
      <c r="X226" s="26" t="s">
        <v>930</v>
      </c>
    </row>
    <row r="227" spans="1:24" s="29" customFormat="1">
      <c r="A227" s="34" t="s">
        <v>31</v>
      </c>
      <c r="B227" s="34" t="s">
        <v>931</v>
      </c>
      <c r="C227" s="34" t="s">
        <v>932</v>
      </c>
      <c r="D227" s="34">
        <f t="shared" si="3"/>
        <v>-1</v>
      </c>
      <c r="E227" s="34" t="s">
        <v>34</v>
      </c>
      <c r="F227" s="34" t="s">
        <v>828</v>
      </c>
      <c r="G227" s="34" t="s">
        <v>933</v>
      </c>
      <c r="H227" s="34" t="s">
        <v>37</v>
      </c>
      <c r="I227" s="34" t="s">
        <v>38</v>
      </c>
      <c r="J227" s="34" t="s">
        <v>934</v>
      </c>
      <c r="K227" s="34" t="s">
        <v>935</v>
      </c>
      <c r="L227" s="34">
        <v>115900</v>
      </c>
      <c r="M227" s="34">
        <v>0</v>
      </c>
      <c r="N227" s="34">
        <v>0</v>
      </c>
      <c r="O227" s="34">
        <v>725900</v>
      </c>
      <c r="P227" s="34" t="s">
        <v>41</v>
      </c>
      <c r="Q227" s="34" t="s">
        <v>42</v>
      </c>
      <c r="R227" s="26"/>
      <c r="S227" s="26"/>
      <c r="T227" s="26" t="s">
        <v>43</v>
      </c>
      <c r="U227" s="26"/>
      <c r="V227" s="26"/>
      <c r="W227" s="26"/>
      <c r="X227" s="26"/>
    </row>
    <row r="228" spans="1:24" s="29" customFormat="1">
      <c r="A228" s="34" t="s">
        <v>31</v>
      </c>
      <c r="B228" s="34" t="s">
        <v>936</v>
      </c>
      <c r="C228" s="34" t="s">
        <v>937</v>
      </c>
      <c r="D228" s="34">
        <f t="shared" si="3"/>
        <v>-1</v>
      </c>
      <c r="E228" s="34" t="s">
        <v>34</v>
      </c>
      <c r="F228" s="34" t="s">
        <v>828</v>
      </c>
      <c r="G228" s="34" t="s">
        <v>938</v>
      </c>
      <c r="H228" s="34" t="s">
        <v>37</v>
      </c>
      <c r="I228" s="34" t="s">
        <v>38</v>
      </c>
      <c r="J228" s="34" t="s">
        <v>939</v>
      </c>
      <c r="K228" s="34" t="s">
        <v>940</v>
      </c>
      <c r="L228" s="34">
        <v>71820</v>
      </c>
      <c r="M228" s="34">
        <v>0</v>
      </c>
      <c r="N228" s="34">
        <v>0</v>
      </c>
      <c r="O228" s="34">
        <v>449820</v>
      </c>
      <c r="P228" s="34" t="s">
        <v>41</v>
      </c>
      <c r="Q228" s="34" t="s">
        <v>42</v>
      </c>
      <c r="R228" s="26"/>
      <c r="S228" s="26"/>
      <c r="T228" s="26" t="s">
        <v>43</v>
      </c>
      <c r="U228" s="26"/>
      <c r="V228" s="26"/>
      <c r="W228" s="26"/>
      <c r="X228" s="26"/>
    </row>
    <row r="229" spans="1:24" s="29" customFormat="1">
      <c r="A229" s="34" t="s">
        <v>31</v>
      </c>
      <c r="B229" s="34" t="s">
        <v>941</v>
      </c>
      <c r="C229" s="34" t="s">
        <v>942</v>
      </c>
      <c r="D229" s="34">
        <f t="shared" si="3"/>
        <v>-1</v>
      </c>
      <c r="E229" s="34" t="s">
        <v>34</v>
      </c>
      <c r="F229" s="34" t="s">
        <v>828</v>
      </c>
      <c r="G229" s="34" t="s">
        <v>943</v>
      </c>
      <c r="H229" s="34" t="s">
        <v>37</v>
      </c>
      <c r="I229" s="34" t="s">
        <v>38</v>
      </c>
      <c r="J229" s="34" t="s">
        <v>944</v>
      </c>
      <c r="K229" s="34" t="s">
        <v>945</v>
      </c>
      <c r="L229" s="34">
        <v>79572</v>
      </c>
      <c r="M229" s="34">
        <v>0</v>
      </c>
      <c r="N229" s="34">
        <v>0</v>
      </c>
      <c r="O229" s="34">
        <v>498372</v>
      </c>
      <c r="P229" s="34" t="s">
        <v>41</v>
      </c>
      <c r="Q229" s="34" t="s">
        <v>42</v>
      </c>
      <c r="R229" s="26"/>
      <c r="S229" s="26"/>
      <c r="T229" s="26" t="s">
        <v>43</v>
      </c>
      <c r="U229" s="26"/>
      <c r="V229" s="26"/>
      <c r="W229" s="26"/>
      <c r="X229" s="26"/>
    </row>
    <row r="230" spans="1:24" s="29" customFormat="1">
      <c r="A230" s="26" t="s">
        <v>31</v>
      </c>
      <c r="B230" s="26" t="s">
        <v>946</v>
      </c>
      <c r="C230" s="26" t="s">
        <v>947</v>
      </c>
      <c r="D230" s="26">
        <f t="shared" si="3"/>
        <v>-1</v>
      </c>
      <c r="E230" s="26" t="s">
        <v>34</v>
      </c>
      <c r="F230" s="26" t="s">
        <v>828</v>
      </c>
      <c r="G230" s="26" t="s">
        <v>948</v>
      </c>
      <c r="H230" s="26" t="s">
        <v>37</v>
      </c>
      <c r="I230" s="26" t="s">
        <v>38</v>
      </c>
      <c r="J230" s="26" t="s">
        <v>949</v>
      </c>
      <c r="K230" s="26" t="s">
        <v>950</v>
      </c>
      <c r="L230" s="26">
        <v>929100</v>
      </c>
      <c r="M230" s="26">
        <v>0</v>
      </c>
      <c r="N230" s="26">
        <v>0</v>
      </c>
      <c r="O230" s="26">
        <v>5819100</v>
      </c>
      <c r="P230" s="26" t="s">
        <v>41</v>
      </c>
      <c r="Q230" s="26" t="s">
        <v>42</v>
      </c>
      <c r="R230" s="26"/>
      <c r="S230" s="26"/>
      <c r="T230" s="26"/>
      <c r="U230" s="26"/>
      <c r="V230" s="26" t="s">
        <v>43</v>
      </c>
      <c r="W230" s="26"/>
      <c r="X230" s="26"/>
    </row>
    <row r="231" spans="1:24" s="29" customFormat="1">
      <c r="A231" s="26" t="s">
        <v>31</v>
      </c>
      <c r="B231" s="26" t="s">
        <v>951</v>
      </c>
      <c r="C231" s="26" t="s">
        <v>952</v>
      </c>
      <c r="D231" s="26">
        <f t="shared" si="3"/>
        <v>-1</v>
      </c>
      <c r="E231" s="26" t="s">
        <v>34</v>
      </c>
      <c r="F231" s="26" t="s">
        <v>828</v>
      </c>
      <c r="G231" s="26" t="s">
        <v>953</v>
      </c>
      <c r="H231" s="26" t="s">
        <v>37</v>
      </c>
      <c r="I231" s="26" t="s">
        <v>38</v>
      </c>
      <c r="J231" s="26" t="s">
        <v>954</v>
      </c>
      <c r="K231" s="26" t="s">
        <v>955</v>
      </c>
      <c r="L231" s="26">
        <v>469300</v>
      </c>
      <c r="M231" s="26">
        <v>0</v>
      </c>
      <c r="N231" s="26">
        <v>0</v>
      </c>
      <c r="O231" s="26">
        <v>2939300</v>
      </c>
      <c r="P231" s="26" t="s">
        <v>41</v>
      </c>
      <c r="Q231" s="26" t="s">
        <v>42</v>
      </c>
      <c r="R231" s="26"/>
      <c r="S231" s="26"/>
      <c r="T231" s="26"/>
      <c r="U231" s="26"/>
      <c r="V231" s="26" t="s">
        <v>43</v>
      </c>
      <c r="W231" s="26"/>
      <c r="X231" s="26"/>
    </row>
    <row r="232" spans="1:24" s="29" customFormat="1">
      <c r="A232" s="26" t="s">
        <v>31</v>
      </c>
      <c r="B232" s="26" t="s">
        <v>956</v>
      </c>
      <c r="C232" s="26" t="s">
        <v>957</v>
      </c>
      <c r="D232" s="26">
        <f t="shared" si="3"/>
        <v>-1</v>
      </c>
      <c r="E232" s="26" t="s">
        <v>34</v>
      </c>
      <c r="F232" s="26" t="s">
        <v>828</v>
      </c>
      <c r="G232" s="26" t="s">
        <v>958</v>
      </c>
      <c r="H232" s="26" t="s">
        <v>37</v>
      </c>
      <c r="I232" s="26" t="s">
        <v>38</v>
      </c>
      <c r="J232" s="26" t="s">
        <v>959</v>
      </c>
      <c r="K232" s="26" t="s">
        <v>960</v>
      </c>
      <c r="L232" s="26">
        <v>721981</v>
      </c>
      <c r="M232" s="26">
        <v>0</v>
      </c>
      <c r="N232" s="26">
        <v>0</v>
      </c>
      <c r="O232" s="26">
        <v>4521881</v>
      </c>
      <c r="P232" s="26" t="s">
        <v>41</v>
      </c>
      <c r="Q232" s="26" t="s">
        <v>42</v>
      </c>
      <c r="R232" s="26"/>
      <c r="S232" s="26"/>
      <c r="T232" s="26"/>
      <c r="U232" s="26"/>
      <c r="V232" s="26" t="s">
        <v>43</v>
      </c>
      <c r="W232" s="26"/>
      <c r="X232" s="26"/>
    </row>
    <row r="233" spans="1:24" s="29" customFormat="1">
      <c r="A233" s="26" t="s">
        <v>31</v>
      </c>
      <c r="B233" s="26" t="s">
        <v>961</v>
      </c>
      <c r="C233" s="26" t="s">
        <v>962</v>
      </c>
      <c r="D233" s="26">
        <f t="shared" si="3"/>
        <v>-1</v>
      </c>
      <c r="E233" s="26" t="s">
        <v>34</v>
      </c>
      <c r="F233" s="26" t="s">
        <v>828</v>
      </c>
      <c r="G233" s="26" t="s">
        <v>963</v>
      </c>
      <c r="H233" s="26" t="s">
        <v>37</v>
      </c>
      <c r="I233" s="26" t="s">
        <v>38</v>
      </c>
      <c r="J233" s="26" t="s">
        <v>964</v>
      </c>
      <c r="K233" s="26" t="s">
        <v>965</v>
      </c>
      <c r="L233" s="26">
        <v>142500</v>
      </c>
      <c r="M233" s="26">
        <v>0</v>
      </c>
      <c r="N233" s="26">
        <v>0</v>
      </c>
      <c r="O233" s="26">
        <v>892500</v>
      </c>
      <c r="P233" s="26" t="s">
        <v>41</v>
      </c>
      <c r="Q233" s="26" t="s">
        <v>42</v>
      </c>
      <c r="R233" s="26"/>
      <c r="S233" s="26"/>
      <c r="T233" s="26"/>
      <c r="U233" s="26"/>
      <c r="V233" s="26" t="s">
        <v>43</v>
      </c>
      <c r="W233" s="26"/>
      <c r="X233" s="26"/>
    </row>
    <row r="234" spans="1:24" s="29" customFormat="1">
      <c r="A234" s="35" t="s">
        <v>31</v>
      </c>
      <c r="B234" s="35" t="s">
        <v>966</v>
      </c>
      <c r="C234" s="35" t="s">
        <v>967</v>
      </c>
      <c r="D234" s="35">
        <f t="shared" si="3"/>
        <v>-1</v>
      </c>
      <c r="E234" s="35" t="s">
        <v>34</v>
      </c>
      <c r="F234" s="35" t="s">
        <v>828</v>
      </c>
      <c r="G234" s="35" t="s">
        <v>968</v>
      </c>
      <c r="H234" s="35" t="s">
        <v>37</v>
      </c>
      <c r="I234" s="35" t="s">
        <v>38</v>
      </c>
      <c r="J234" s="35" t="s">
        <v>969</v>
      </c>
      <c r="K234" s="35" t="s">
        <v>970</v>
      </c>
      <c r="L234" s="35">
        <v>96330</v>
      </c>
      <c r="M234" s="35">
        <v>0</v>
      </c>
      <c r="N234" s="35">
        <v>0</v>
      </c>
      <c r="O234" s="35">
        <v>603330</v>
      </c>
      <c r="P234" s="35" t="s">
        <v>41</v>
      </c>
      <c r="Q234" s="35" t="s">
        <v>42</v>
      </c>
      <c r="R234" s="26"/>
      <c r="S234" s="26"/>
      <c r="T234" s="26"/>
      <c r="U234" s="26"/>
      <c r="V234" s="26"/>
      <c r="W234" s="35" t="s">
        <v>43</v>
      </c>
      <c r="X234" s="26" t="s">
        <v>920</v>
      </c>
    </row>
    <row r="235" spans="1:24" s="29" customFormat="1">
      <c r="A235" s="34" t="s">
        <v>31</v>
      </c>
      <c r="B235" s="34" t="s">
        <v>971</v>
      </c>
      <c r="C235" s="34" t="s">
        <v>972</v>
      </c>
      <c r="D235" s="34">
        <f t="shared" si="3"/>
        <v>-1</v>
      </c>
      <c r="E235" s="34" t="s">
        <v>34</v>
      </c>
      <c r="F235" s="34" t="s">
        <v>828</v>
      </c>
      <c r="G235" s="34" t="s">
        <v>973</v>
      </c>
      <c r="H235" s="34" t="s">
        <v>37</v>
      </c>
      <c r="I235" s="34" t="s">
        <v>38</v>
      </c>
      <c r="J235" s="34" t="s">
        <v>974</v>
      </c>
      <c r="K235" s="34" t="s">
        <v>975</v>
      </c>
      <c r="L235" s="34">
        <v>13252.5</v>
      </c>
      <c r="M235" s="34">
        <v>0</v>
      </c>
      <c r="N235" s="34">
        <v>0</v>
      </c>
      <c r="O235" s="34">
        <v>83002.5</v>
      </c>
      <c r="P235" s="34" t="s">
        <v>41</v>
      </c>
      <c r="Q235" s="34" t="s">
        <v>42</v>
      </c>
      <c r="R235" s="26"/>
      <c r="S235" s="26"/>
      <c r="T235" s="26" t="s">
        <v>43</v>
      </c>
      <c r="U235" s="26"/>
      <c r="V235" s="26"/>
      <c r="W235" s="26"/>
      <c r="X235" s="26"/>
    </row>
    <row r="236" spans="1:24" s="29" customFormat="1">
      <c r="A236" s="26" t="s">
        <v>31</v>
      </c>
      <c r="B236" s="26" t="s">
        <v>976</v>
      </c>
      <c r="C236" s="26" t="s">
        <v>977</v>
      </c>
      <c r="D236" s="26">
        <f t="shared" si="3"/>
        <v>-1</v>
      </c>
      <c r="E236" s="26" t="s">
        <v>34</v>
      </c>
      <c r="F236" s="26" t="s">
        <v>828</v>
      </c>
      <c r="G236" s="26" t="s">
        <v>978</v>
      </c>
      <c r="H236" s="26" t="s">
        <v>37</v>
      </c>
      <c r="I236" s="26" t="s">
        <v>38</v>
      </c>
      <c r="J236" s="26" t="s">
        <v>632</v>
      </c>
      <c r="K236" s="26" t="s">
        <v>633</v>
      </c>
      <c r="L236" s="26">
        <v>108300</v>
      </c>
      <c r="M236" s="26">
        <v>0</v>
      </c>
      <c r="N236" s="26">
        <v>0</v>
      </c>
      <c r="O236" s="26">
        <v>678300</v>
      </c>
      <c r="P236" s="26" t="s">
        <v>41</v>
      </c>
      <c r="Q236" s="26" t="s">
        <v>42</v>
      </c>
      <c r="R236" s="26"/>
      <c r="S236" s="26"/>
      <c r="T236" s="26"/>
      <c r="U236" s="26"/>
      <c r="V236" s="26" t="s">
        <v>43</v>
      </c>
      <c r="W236" s="26"/>
      <c r="X236" s="26"/>
    </row>
    <row r="237" spans="1:24" s="29" customFormat="1">
      <c r="A237" s="26" t="s">
        <v>31</v>
      </c>
      <c r="B237" s="26" t="s">
        <v>979</v>
      </c>
      <c r="C237" s="26" t="s">
        <v>980</v>
      </c>
      <c r="D237" s="26">
        <f t="shared" si="3"/>
        <v>-1</v>
      </c>
      <c r="E237" s="26" t="s">
        <v>34</v>
      </c>
      <c r="F237" s="26" t="s">
        <v>828</v>
      </c>
      <c r="G237" s="26" t="s">
        <v>981</v>
      </c>
      <c r="H237" s="26" t="s">
        <v>37</v>
      </c>
      <c r="I237" s="26" t="s">
        <v>38</v>
      </c>
      <c r="J237" s="26" t="s">
        <v>632</v>
      </c>
      <c r="K237" s="26" t="s">
        <v>633</v>
      </c>
      <c r="L237" s="26">
        <v>1102000</v>
      </c>
      <c r="M237" s="26">
        <v>0</v>
      </c>
      <c r="N237" s="26">
        <v>0</v>
      </c>
      <c r="O237" s="26">
        <v>6902000</v>
      </c>
      <c r="P237" s="26" t="s">
        <v>41</v>
      </c>
      <c r="Q237" s="26" t="s">
        <v>42</v>
      </c>
      <c r="R237" s="26"/>
      <c r="S237" s="26"/>
      <c r="T237" s="26"/>
      <c r="U237" s="26"/>
      <c r="V237" s="26" t="s">
        <v>43</v>
      </c>
      <c r="W237" s="26"/>
      <c r="X237" s="26"/>
    </row>
    <row r="238" spans="1:24" s="29" customFormat="1">
      <c r="A238" s="26" t="s">
        <v>31</v>
      </c>
      <c r="B238" s="26" t="s">
        <v>982</v>
      </c>
      <c r="C238" s="26" t="s">
        <v>983</v>
      </c>
      <c r="D238" s="26">
        <f t="shared" si="3"/>
        <v>-1</v>
      </c>
      <c r="E238" s="26" t="s">
        <v>34</v>
      </c>
      <c r="F238" s="26" t="s">
        <v>828</v>
      </c>
      <c r="G238" s="26" t="s">
        <v>984</v>
      </c>
      <c r="H238" s="26" t="s">
        <v>37</v>
      </c>
      <c r="I238" s="26" t="s">
        <v>38</v>
      </c>
      <c r="J238" s="26" t="s">
        <v>632</v>
      </c>
      <c r="K238" s="26" t="s">
        <v>633</v>
      </c>
      <c r="L238" s="26">
        <v>68191</v>
      </c>
      <c r="M238" s="26">
        <v>0</v>
      </c>
      <c r="N238" s="26">
        <v>0</v>
      </c>
      <c r="O238" s="26">
        <v>427091</v>
      </c>
      <c r="P238" s="26" t="s">
        <v>41</v>
      </c>
      <c r="Q238" s="26" t="s">
        <v>42</v>
      </c>
      <c r="R238" s="26"/>
      <c r="S238" s="26"/>
      <c r="T238" s="26"/>
      <c r="U238" s="26"/>
      <c r="V238" s="26" t="s">
        <v>43</v>
      </c>
      <c r="W238" s="26"/>
      <c r="X238" s="26"/>
    </row>
    <row r="239" spans="1:24" s="29" customFormat="1">
      <c r="A239" s="26" t="s">
        <v>31</v>
      </c>
      <c r="B239" s="26" t="s">
        <v>985</v>
      </c>
      <c r="C239" s="26" t="s">
        <v>986</v>
      </c>
      <c r="D239" s="26">
        <f t="shared" si="3"/>
        <v>-1</v>
      </c>
      <c r="E239" s="26" t="s">
        <v>34</v>
      </c>
      <c r="F239" s="26" t="s">
        <v>828</v>
      </c>
      <c r="G239" s="26" t="s">
        <v>987</v>
      </c>
      <c r="H239" s="26" t="s">
        <v>37</v>
      </c>
      <c r="I239" s="26" t="s">
        <v>38</v>
      </c>
      <c r="J239" s="26" t="s">
        <v>632</v>
      </c>
      <c r="K239" s="26" t="s">
        <v>633</v>
      </c>
      <c r="L239" s="26">
        <v>225750</v>
      </c>
      <c r="M239" s="26">
        <v>0</v>
      </c>
      <c r="N239" s="26">
        <v>0</v>
      </c>
      <c r="O239" s="26">
        <v>4740750</v>
      </c>
      <c r="P239" s="26" t="s">
        <v>41</v>
      </c>
      <c r="Q239" s="26" t="s">
        <v>42</v>
      </c>
      <c r="R239" s="26"/>
      <c r="S239" s="26"/>
      <c r="T239" s="26"/>
      <c r="U239" s="26"/>
      <c r="V239" s="26" t="s">
        <v>43</v>
      </c>
      <c r="W239" s="26"/>
      <c r="X239" s="26"/>
    </row>
    <row r="240" spans="1:24" s="29" customFormat="1">
      <c r="A240" s="34" t="s">
        <v>31</v>
      </c>
      <c r="B240" s="34" t="s">
        <v>988</v>
      </c>
      <c r="C240" s="34" t="s">
        <v>989</v>
      </c>
      <c r="D240" s="34">
        <f t="shared" si="3"/>
        <v>-1</v>
      </c>
      <c r="E240" s="34" t="s">
        <v>34</v>
      </c>
      <c r="F240" s="34" t="s">
        <v>828</v>
      </c>
      <c r="G240" s="34" t="s">
        <v>990</v>
      </c>
      <c r="H240" s="34" t="s">
        <v>37</v>
      </c>
      <c r="I240" s="34" t="s">
        <v>38</v>
      </c>
      <c r="J240" s="34" t="s">
        <v>974</v>
      </c>
      <c r="K240" s="34" t="s">
        <v>975</v>
      </c>
      <c r="L240" s="34">
        <v>2168945</v>
      </c>
      <c r="M240" s="34">
        <v>0</v>
      </c>
      <c r="N240" s="34">
        <v>0</v>
      </c>
      <c r="O240" s="34">
        <v>13584445</v>
      </c>
      <c r="P240" s="34" t="s">
        <v>41</v>
      </c>
      <c r="Q240" s="34" t="s">
        <v>42</v>
      </c>
      <c r="R240" s="26"/>
      <c r="S240" s="26"/>
      <c r="T240" s="26" t="s">
        <v>43</v>
      </c>
      <c r="U240" s="26"/>
      <c r="V240" s="26"/>
      <c r="W240" s="26"/>
      <c r="X240" s="26"/>
    </row>
    <row r="241" spans="1:24" s="29" customFormat="1">
      <c r="A241" s="34" t="s">
        <v>31</v>
      </c>
      <c r="B241" s="34" t="s">
        <v>991</v>
      </c>
      <c r="C241" s="34" t="s">
        <v>992</v>
      </c>
      <c r="D241" s="34">
        <f t="shared" si="3"/>
        <v>-1</v>
      </c>
      <c r="E241" s="34" t="s">
        <v>34</v>
      </c>
      <c r="F241" s="34" t="s">
        <v>828</v>
      </c>
      <c r="G241" s="34" t="s">
        <v>993</v>
      </c>
      <c r="H241" s="34" t="s">
        <v>37</v>
      </c>
      <c r="I241" s="34" t="s">
        <v>38</v>
      </c>
      <c r="J241" s="34" t="s">
        <v>994</v>
      </c>
      <c r="K241" s="34" t="s">
        <v>995</v>
      </c>
      <c r="L241" s="34">
        <v>9625153</v>
      </c>
      <c r="M241" s="34">
        <v>0</v>
      </c>
      <c r="N241" s="34">
        <v>0</v>
      </c>
      <c r="O241" s="34">
        <v>60283853</v>
      </c>
      <c r="P241" s="34" t="s">
        <v>41</v>
      </c>
      <c r="Q241" s="34" t="s">
        <v>42</v>
      </c>
      <c r="R241" s="26"/>
      <c r="S241" s="26"/>
      <c r="T241" s="26" t="s">
        <v>43</v>
      </c>
      <c r="U241" s="26"/>
      <c r="V241" s="26"/>
      <c r="W241" s="26"/>
      <c r="X241" s="26"/>
    </row>
    <row r="242" spans="1:24" s="29" customFormat="1">
      <c r="A242" s="34" t="s">
        <v>31</v>
      </c>
      <c r="B242" s="34" t="s">
        <v>996</v>
      </c>
      <c r="C242" s="34" t="s">
        <v>997</v>
      </c>
      <c r="D242" s="34">
        <f t="shared" si="3"/>
        <v>-1</v>
      </c>
      <c r="E242" s="34" t="s">
        <v>34</v>
      </c>
      <c r="F242" s="34" t="s">
        <v>828</v>
      </c>
      <c r="G242" s="34" t="s">
        <v>998</v>
      </c>
      <c r="H242" s="34" t="s">
        <v>37</v>
      </c>
      <c r="I242" s="34" t="s">
        <v>38</v>
      </c>
      <c r="J242" s="34" t="s">
        <v>999</v>
      </c>
      <c r="K242" s="34" t="s">
        <v>1000</v>
      </c>
      <c r="L242" s="34">
        <v>22800</v>
      </c>
      <c r="M242" s="34">
        <v>0</v>
      </c>
      <c r="N242" s="34">
        <v>0</v>
      </c>
      <c r="O242" s="34">
        <v>142800</v>
      </c>
      <c r="P242" s="34" t="s">
        <v>41</v>
      </c>
      <c r="Q242" s="34" t="s">
        <v>42</v>
      </c>
      <c r="R242" s="26"/>
      <c r="S242" s="26"/>
      <c r="T242" s="26" t="s">
        <v>43</v>
      </c>
      <c r="U242" s="26"/>
      <c r="V242" s="26"/>
      <c r="W242" s="26"/>
      <c r="X242" s="26"/>
    </row>
    <row r="243" spans="1:24" s="29" customFormat="1">
      <c r="A243" s="34" t="s">
        <v>31</v>
      </c>
      <c r="B243" s="34" t="s">
        <v>1001</v>
      </c>
      <c r="C243" s="34" t="s">
        <v>1002</v>
      </c>
      <c r="D243" s="34">
        <f t="shared" si="3"/>
        <v>-1</v>
      </c>
      <c r="E243" s="34" t="s">
        <v>34</v>
      </c>
      <c r="F243" s="34" t="s">
        <v>828</v>
      </c>
      <c r="G243" s="34" t="s">
        <v>1003</v>
      </c>
      <c r="H243" s="34" t="s">
        <v>37</v>
      </c>
      <c r="I243" s="34" t="s">
        <v>38</v>
      </c>
      <c r="J243" s="34" t="s">
        <v>1004</v>
      </c>
      <c r="K243" s="34" t="s">
        <v>1005</v>
      </c>
      <c r="L243" s="34">
        <v>23262.46</v>
      </c>
      <c r="M243" s="34">
        <v>0</v>
      </c>
      <c r="N243" s="34">
        <v>0</v>
      </c>
      <c r="O243" s="34">
        <v>145696.46</v>
      </c>
      <c r="P243" s="34" t="s">
        <v>41</v>
      </c>
      <c r="Q243" s="34" t="s">
        <v>42</v>
      </c>
      <c r="R243" s="26"/>
      <c r="S243" s="26"/>
      <c r="T243" s="26" t="s">
        <v>43</v>
      </c>
      <c r="U243" s="26"/>
      <c r="V243" s="26"/>
      <c r="W243" s="26"/>
      <c r="X243" s="26"/>
    </row>
    <row r="244" spans="1:24" s="29" customFormat="1">
      <c r="A244" s="26" t="s">
        <v>31</v>
      </c>
      <c r="B244" s="26" t="s">
        <v>1006</v>
      </c>
      <c r="C244" s="26" t="s">
        <v>1007</v>
      </c>
      <c r="D244" s="26">
        <f t="shared" si="3"/>
        <v>-1</v>
      </c>
      <c r="E244" s="26" t="s">
        <v>34</v>
      </c>
      <c r="F244" s="26" t="s">
        <v>828</v>
      </c>
      <c r="G244" s="26" t="s">
        <v>1008</v>
      </c>
      <c r="H244" s="26" t="s">
        <v>37</v>
      </c>
      <c r="I244" s="26" t="s">
        <v>38</v>
      </c>
      <c r="J244" s="26" t="s">
        <v>1009</v>
      </c>
      <c r="K244" s="26" t="s">
        <v>1010</v>
      </c>
      <c r="L244" s="26">
        <v>9310</v>
      </c>
      <c r="M244" s="26">
        <v>0</v>
      </c>
      <c r="N244" s="26">
        <v>0</v>
      </c>
      <c r="O244" s="26">
        <v>58310</v>
      </c>
      <c r="P244" s="26" t="s">
        <v>41</v>
      </c>
      <c r="Q244" s="26" t="s">
        <v>42</v>
      </c>
      <c r="R244" s="26"/>
      <c r="S244" s="26"/>
      <c r="T244" s="26"/>
      <c r="U244" s="26"/>
      <c r="V244" s="26" t="s">
        <v>43</v>
      </c>
      <c r="W244" s="26"/>
      <c r="X244" s="26"/>
    </row>
    <row r="245" spans="1:24" s="29" customFormat="1">
      <c r="A245" s="26" t="s">
        <v>31</v>
      </c>
      <c r="B245" s="26" t="s">
        <v>1011</v>
      </c>
      <c r="C245" s="26" t="s">
        <v>1012</v>
      </c>
      <c r="D245" s="26">
        <f t="shared" si="3"/>
        <v>-1</v>
      </c>
      <c r="E245" s="26" t="s">
        <v>34</v>
      </c>
      <c r="F245" s="26" t="s">
        <v>828</v>
      </c>
      <c r="G245" s="26" t="s">
        <v>1013</v>
      </c>
      <c r="H245" s="26" t="s">
        <v>37</v>
      </c>
      <c r="I245" s="26" t="s">
        <v>38</v>
      </c>
      <c r="J245" s="26" t="s">
        <v>1014</v>
      </c>
      <c r="K245" s="26" t="s">
        <v>1015</v>
      </c>
      <c r="L245" s="26">
        <v>764855.64</v>
      </c>
      <c r="M245" s="26">
        <v>0</v>
      </c>
      <c r="N245" s="26">
        <v>0</v>
      </c>
      <c r="O245" s="26">
        <v>4790411.6399999997</v>
      </c>
      <c r="P245" s="26" t="s">
        <v>41</v>
      </c>
      <c r="Q245" s="26" t="s">
        <v>42</v>
      </c>
      <c r="R245" s="26"/>
      <c r="S245" s="26"/>
      <c r="T245" s="26"/>
      <c r="U245" s="26"/>
      <c r="V245" s="26" t="s">
        <v>43</v>
      </c>
      <c r="W245" s="26"/>
      <c r="X245" s="26"/>
    </row>
    <row r="246" spans="1:24" s="29" customFormat="1">
      <c r="A246" s="26" t="s">
        <v>31</v>
      </c>
      <c r="B246" s="26" t="s">
        <v>1016</v>
      </c>
      <c r="C246" s="26" t="s">
        <v>1017</v>
      </c>
      <c r="D246" s="26">
        <f t="shared" si="3"/>
        <v>-1</v>
      </c>
      <c r="E246" s="26" t="s">
        <v>34</v>
      </c>
      <c r="F246" s="26" t="s">
        <v>828</v>
      </c>
      <c r="G246" s="26" t="s">
        <v>1018</v>
      </c>
      <c r="H246" s="26" t="s">
        <v>37</v>
      </c>
      <c r="I246" s="26" t="s">
        <v>38</v>
      </c>
      <c r="J246" s="26" t="s">
        <v>1014</v>
      </c>
      <c r="K246" s="26" t="s">
        <v>1015</v>
      </c>
      <c r="L246" s="26">
        <v>836000</v>
      </c>
      <c r="M246" s="26">
        <v>0</v>
      </c>
      <c r="N246" s="26">
        <v>0</v>
      </c>
      <c r="O246" s="26">
        <v>5236000</v>
      </c>
      <c r="P246" s="26" t="s">
        <v>41</v>
      </c>
      <c r="Q246" s="26" t="s">
        <v>42</v>
      </c>
      <c r="R246" s="26"/>
      <c r="S246" s="26"/>
      <c r="T246" s="26"/>
      <c r="U246" s="26"/>
      <c r="V246" s="26" t="s">
        <v>43</v>
      </c>
      <c r="W246" s="26"/>
      <c r="X246" s="26"/>
    </row>
    <row r="247" spans="1:24" s="29" customFormat="1">
      <c r="A247" s="26" t="s">
        <v>31</v>
      </c>
      <c r="B247" s="26" t="s">
        <v>1019</v>
      </c>
      <c r="C247" s="26" t="s">
        <v>1020</v>
      </c>
      <c r="D247" s="26">
        <f t="shared" si="3"/>
        <v>-1</v>
      </c>
      <c r="E247" s="26" t="s">
        <v>34</v>
      </c>
      <c r="F247" s="26" t="s">
        <v>828</v>
      </c>
      <c r="G247" s="26" t="s">
        <v>1021</v>
      </c>
      <c r="H247" s="26" t="s">
        <v>37</v>
      </c>
      <c r="I247" s="26" t="s">
        <v>38</v>
      </c>
      <c r="J247" s="26" t="s">
        <v>1022</v>
      </c>
      <c r="K247" s="26" t="s">
        <v>1023</v>
      </c>
      <c r="L247" s="26">
        <v>473915.05</v>
      </c>
      <c r="M247" s="26">
        <v>0</v>
      </c>
      <c r="N247" s="26">
        <v>0</v>
      </c>
      <c r="O247" s="26">
        <v>3384660.05</v>
      </c>
      <c r="P247" s="26" t="s">
        <v>41</v>
      </c>
      <c r="Q247" s="26" t="s">
        <v>42</v>
      </c>
      <c r="R247" s="26"/>
      <c r="S247" s="26"/>
      <c r="T247" s="26"/>
      <c r="U247" s="26"/>
      <c r="V247" s="26" t="s">
        <v>43</v>
      </c>
      <c r="W247" s="26"/>
      <c r="X247" s="26"/>
    </row>
    <row r="248" spans="1:24" s="29" customFormat="1">
      <c r="A248" s="35" t="s">
        <v>31</v>
      </c>
      <c r="B248" s="35" t="s">
        <v>1024</v>
      </c>
      <c r="C248" s="35" t="s">
        <v>1025</v>
      </c>
      <c r="D248" s="35">
        <f t="shared" si="3"/>
        <v>-1</v>
      </c>
      <c r="E248" s="35" t="s">
        <v>34</v>
      </c>
      <c r="F248" s="35" t="s">
        <v>828</v>
      </c>
      <c r="G248" s="35" t="s">
        <v>1026</v>
      </c>
      <c r="H248" s="35" t="s">
        <v>37</v>
      </c>
      <c r="I248" s="35" t="s">
        <v>38</v>
      </c>
      <c r="J248" s="35" t="s">
        <v>1027</v>
      </c>
      <c r="K248" s="35" t="s">
        <v>1028</v>
      </c>
      <c r="L248" s="35">
        <v>2308500</v>
      </c>
      <c r="M248" s="35">
        <v>0</v>
      </c>
      <c r="N248" s="35">
        <v>0</v>
      </c>
      <c r="O248" s="35">
        <v>14458500</v>
      </c>
      <c r="P248" s="35" t="s">
        <v>41</v>
      </c>
      <c r="Q248" s="35" t="s">
        <v>42</v>
      </c>
      <c r="R248" s="26"/>
      <c r="S248" s="26"/>
      <c r="T248" s="26"/>
      <c r="U248" s="26"/>
      <c r="V248" s="26"/>
      <c r="W248" s="35" t="s">
        <v>43</v>
      </c>
      <c r="X248" s="26" t="s">
        <v>1029</v>
      </c>
    </row>
    <row r="249" spans="1:24" s="29" customFormat="1">
      <c r="A249" s="34" t="s">
        <v>31</v>
      </c>
      <c r="B249" s="34" t="s">
        <v>1030</v>
      </c>
      <c r="C249" s="34" t="s">
        <v>1031</v>
      </c>
      <c r="D249" s="34">
        <f t="shared" si="3"/>
        <v>-1</v>
      </c>
      <c r="E249" s="34" t="s">
        <v>34</v>
      </c>
      <c r="F249" s="34" t="s">
        <v>828</v>
      </c>
      <c r="G249" s="34" t="s">
        <v>1032</v>
      </c>
      <c r="H249" s="34" t="s">
        <v>37</v>
      </c>
      <c r="I249" s="34" t="s">
        <v>38</v>
      </c>
      <c r="J249" s="34" t="s">
        <v>1033</v>
      </c>
      <c r="K249" s="34" t="s">
        <v>1034</v>
      </c>
      <c r="L249" s="34">
        <v>157035</v>
      </c>
      <c r="M249" s="34">
        <v>0</v>
      </c>
      <c r="N249" s="34">
        <v>0</v>
      </c>
      <c r="O249" s="34">
        <v>983535</v>
      </c>
      <c r="P249" s="34" t="s">
        <v>41</v>
      </c>
      <c r="Q249" s="34" t="s">
        <v>42</v>
      </c>
      <c r="R249" s="26"/>
      <c r="S249" s="26"/>
      <c r="T249" s="26" t="s">
        <v>43</v>
      </c>
      <c r="U249" s="26"/>
      <c r="V249" s="26"/>
      <c r="W249" s="26"/>
      <c r="X249" s="26"/>
    </row>
    <row r="250" spans="1:24" s="29" customFormat="1">
      <c r="A250" s="34" t="s">
        <v>31</v>
      </c>
      <c r="B250" s="34" t="s">
        <v>1035</v>
      </c>
      <c r="C250" s="34" t="s">
        <v>1036</v>
      </c>
      <c r="D250" s="34">
        <f t="shared" si="3"/>
        <v>-1</v>
      </c>
      <c r="E250" s="34" t="s">
        <v>34</v>
      </c>
      <c r="F250" s="34" t="s">
        <v>828</v>
      </c>
      <c r="G250" s="34" t="s">
        <v>1037</v>
      </c>
      <c r="H250" s="34" t="s">
        <v>37</v>
      </c>
      <c r="I250" s="34" t="s">
        <v>38</v>
      </c>
      <c r="J250" s="34" t="s">
        <v>1033</v>
      </c>
      <c r="K250" s="34" t="s">
        <v>1034</v>
      </c>
      <c r="L250" s="34">
        <v>513000</v>
      </c>
      <c r="M250" s="34">
        <v>0</v>
      </c>
      <c r="N250" s="34">
        <v>0</v>
      </c>
      <c r="O250" s="34">
        <v>3213000</v>
      </c>
      <c r="P250" s="34" t="s">
        <v>41</v>
      </c>
      <c r="Q250" s="34" t="s">
        <v>42</v>
      </c>
      <c r="R250" s="26"/>
      <c r="S250" s="26"/>
      <c r="T250" s="26" t="s">
        <v>43</v>
      </c>
      <c r="U250" s="26"/>
      <c r="V250" s="26"/>
      <c r="W250" s="26"/>
      <c r="X250" s="26"/>
    </row>
    <row r="251" spans="1:24" s="29" customFormat="1">
      <c r="A251" s="32" t="s">
        <v>31</v>
      </c>
      <c r="B251" s="32" t="s">
        <v>1038</v>
      </c>
      <c r="C251" s="32" t="s">
        <v>1039</v>
      </c>
      <c r="D251" s="32">
        <f t="shared" si="3"/>
        <v>-1</v>
      </c>
      <c r="E251" s="32" t="s">
        <v>34</v>
      </c>
      <c r="F251" s="32" t="s">
        <v>828</v>
      </c>
      <c r="G251" s="32" t="s">
        <v>1040</v>
      </c>
      <c r="H251" s="32" t="s">
        <v>37</v>
      </c>
      <c r="I251" s="32" t="s">
        <v>38</v>
      </c>
      <c r="J251" s="32" t="s">
        <v>1041</v>
      </c>
      <c r="K251" s="32" t="s">
        <v>1042</v>
      </c>
      <c r="L251" s="32">
        <v>392408.9</v>
      </c>
      <c r="M251" s="32">
        <v>0</v>
      </c>
      <c r="N251" s="32">
        <v>0</v>
      </c>
      <c r="O251" s="32">
        <v>2457718.9</v>
      </c>
      <c r="P251" s="32" t="s">
        <v>41</v>
      </c>
      <c r="Q251" s="32" t="s">
        <v>42</v>
      </c>
      <c r="R251" s="26" t="s">
        <v>43</v>
      </c>
      <c r="S251" s="26"/>
      <c r="T251" s="26"/>
      <c r="U251" s="26"/>
      <c r="V251" s="26"/>
      <c r="W251" s="26"/>
      <c r="X251" s="26"/>
    </row>
    <row r="252" spans="1:24" s="29" customFormat="1">
      <c r="A252" s="32" t="s">
        <v>31</v>
      </c>
      <c r="B252" s="32" t="s">
        <v>1043</v>
      </c>
      <c r="C252" s="32" t="s">
        <v>1044</v>
      </c>
      <c r="D252" s="32">
        <f t="shared" si="3"/>
        <v>-1</v>
      </c>
      <c r="E252" s="32" t="s">
        <v>34</v>
      </c>
      <c r="F252" s="32" t="s">
        <v>828</v>
      </c>
      <c r="G252" s="32" t="s">
        <v>1045</v>
      </c>
      <c r="H252" s="32" t="s">
        <v>37</v>
      </c>
      <c r="I252" s="32" t="s">
        <v>38</v>
      </c>
      <c r="J252" s="32" t="s">
        <v>1046</v>
      </c>
      <c r="K252" s="32" t="s">
        <v>1047</v>
      </c>
      <c r="L252" s="32">
        <v>42556.2</v>
      </c>
      <c r="M252" s="32">
        <v>0</v>
      </c>
      <c r="N252" s="32">
        <v>0</v>
      </c>
      <c r="O252" s="32">
        <v>266536.2</v>
      </c>
      <c r="P252" s="32" t="s">
        <v>41</v>
      </c>
      <c r="Q252" s="32" t="s">
        <v>42</v>
      </c>
      <c r="R252" s="26" t="s">
        <v>43</v>
      </c>
      <c r="S252" s="26"/>
      <c r="T252" s="26"/>
      <c r="U252" s="26"/>
      <c r="V252" s="26"/>
      <c r="W252" s="26"/>
      <c r="X252" s="26"/>
    </row>
    <row r="253" spans="1:24" s="29" customFormat="1">
      <c r="A253" s="26" t="s">
        <v>31</v>
      </c>
      <c r="B253" s="26" t="s">
        <v>1048</v>
      </c>
      <c r="C253" s="26" t="s">
        <v>1049</v>
      </c>
      <c r="D253" s="26">
        <f t="shared" si="3"/>
        <v>-1</v>
      </c>
      <c r="E253" s="26" t="s">
        <v>34</v>
      </c>
      <c r="F253" s="26" t="s">
        <v>828</v>
      </c>
      <c r="G253" s="26" t="s">
        <v>1050</v>
      </c>
      <c r="H253" s="26" t="s">
        <v>37</v>
      </c>
      <c r="I253" s="26" t="s">
        <v>38</v>
      </c>
      <c r="J253" s="26" t="s">
        <v>1051</v>
      </c>
      <c r="K253" s="26" t="s">
        <v>1052</v>
      </c>
      <c r="L253" s="26">
        <v>10510.8</v>
      </c>
      <c r="M253" s="26">
        <v>0</v>
      </c>
      <c r="N253" s="26">
        <v>0</v>
      </c>
      <c r="O253" s="26">
        <v>65830.8</v>
      </c>
      <c r="P253" s="26" t="s">
        <v>41</v>
      </c>
      <c r="Q253" s="26" t="s">
        <v>42</v>
      </c>
      <c r="R253" s="26"/>
      <c r="S253" s="26"/>
      <c r="T253" s="26"/>
      <c r="U253" s="26"/>
      <c r="V253" s="26" t="s">
        <v>43</v>
      </c>
      <c r="W253" s="26"/>
      <c r="X253" s="26"/>
    </row>
    <row r="254" spans="1:24" s="29" customFormat="1">
      <c r="A254" s="35" t="s">
        <v>31</v>
      </c>
      <c r="B254" s="35" t="s">
        <v>1053</v>
      </c>
      <c r="C254" s="35" t="s">
        <v>1054</v>
      </c>
      <c r="D254" s="35">
        <f t="shared" si="3"/>
        <v>-1</v>
      </c>
      <c r="E254" s="35" t="s">
        <v>34</v>
      </c>
      <c r="F254" s="35" t="s">
        <v>828</v>
      </c>
      <c r="G254" s="35" t="s">
        <v>1055</v>
      </c>
      <c r="H254" s="35" t="s">
        <v>37</v>
      </c>
      <c r="I254" s="35" t="s">
        <v>38</v>
      </c>
      <c r="J254" s="35" t="s">
        <v>1056</v>
      </c>
      <c r="K254" s="35" t="s">
        <v>1057</v>
      </c>
      <c r="L254" s="35">
        <v>89222.1</v>
      </c>
      <c r="M254" s="35">
        <v>0</v>
      </c>
      <c r="N254" s="35">
        <v>0</v>
      </c>
      <c r="O254" s="35">
        <v>558812.1</v>
      </c>
      <c r="P254" s="35" t="s">
        <v>41</v>
      </c>
      <c r="Q254" s="35" t="s">
        <v>42</v>
      </c>
      <c r="R254" s="26"/>
      <c r="S254" s="26"/>
      <c r="T254" s="26"/>
      <c r="U254" s="26"/>
      <c r="V254" s="26"/>
      <c r="W254" s="35" t="s">
        <v>43</v>
      </c>
      <c r="X254" s="26" t="s">
        <v>647</v>
      </c>
    </row>
    <row r="255" spans="1:24" s="29" customFormat="1">
      <c r="A255" s="26" t="s">
        <v>31</v>
      </c>
      <c r="B255" s="26" t="s">
        <v>1058</v>
      </c>
      <c r="C255" s="26" t="s">
        <v>1059</v>
      </c>
      <c r="D255" s="26">
        <f t="shared" si="3"/>
        <v>-1</v>
      </c>
      <c r="E255" s="26" t="s">
        <v>34</v>
      </c>
      <c r="F255" s="26" t="s">
        <v>828</v>
      </c>
      <c r="G255" s="26" t="s">
        <v>1060</v>
      </c>
      <c r="H255" s="26" t="s">
        <v>37</v>
      </c>
      <c r="I255" s="26" t="s">
        <v>38</v>
      </c>
      <c r="J255" s="26" t="s">
        <v>1061</v>
      </c>
      <c r="K255" s="26" t="s">
        <v>1062</v>
      </c>
      <c r="L255" s="26">
        <v>33128.400000000001</v>
      </c>
      <c r="M255" s="26">
        <v>0</v>
      </c>
      <c r="N255" s="26">
        <v>0</v>
      </c>
      <c r="O255" s="26">
        <v>207488.4</v>
      </c>
      <c r="P255" s="26" t="s">
        <v>41</v>
      </c>
      <c r="Q255" s="26" t="s">
        <v>42</v>
      </c>
      <c r="R255" s="26"/>
      <c r="S255" s="26"/>
      <c r="T255" s="26"/>
      <c r="U255" s="26"/>
      <c r="V255" s="26" t="s">
        <v>43</v>
      </c>
      <c r="W255" s="26"/>
      <c r="X255" s="26"/>
    </row>
    <row r="256" spans="1:24" s="29" customFormat="1">
      <c r="A256" s="34" t="s">
        <v>31</v>
      </c>
      <c r="B256" s="34" t="s">
        <v>1063</v>
      </c>
      <c r="C256" s="34" t="s">
        <v>1064</v>
      </c>
      <c r="D256" s="34">
        <f t="shared" si="3"/>
        <v>-1</v>
      </c>
      <c r="E256" s="34" t="s">
        <v>34</v>
      </c>
      <c r="F256" s="34" t="s">
        <v>828</v>
      </c>
      <c r="G256" s="34" t="s">
        <v>1065</v>
      </c>
      <c r="H256" s="34" t="s">
        <v>37</v>
      </c>
      <c r="I256" s="34" t="s">
        <v>38</v>
      </c>
      <c r="J256" s="34" t="s">
        <v>1066</v>
      </c>
      <c r="K256" s="34" t="s">
        <v>1067</v>
      </c>
      <c r="L256" s="34">
        <v>67270.5</v>
      </c>
      <c r="M256" s="34">
        <v>0</v>
      </c>
      <c r="N256" s="34">
        <v>0</v>
      </c>
      <c r="O256" s="34">
        <v>471600.5</v>
      </c>
      <c r="P256" s="34" t="s">
        <v>41</v>
      </c>
      <c r="Q256" s="34" t="s">
        <v>42</v>
      </c>
      <c r="R256" s="26"/>
      <c r="S256" s="26"/>
      <c r="T256" s="26" t="s">
        <v>43</v>
      </c>
      <c r="U256" s="26"/>
      <c r="V256" s="26"/>
      <c r="W256" s="26"/>
      <c r="X256" s="26"/>
    </row>
    <row r="257" spans="1:24" s="29" customFormat="1">
      <c r="A257" s="32" t="s">
        <v>31</v>
      </c>
      <c r="B257" s="32" t="s">
        <v>1068</v>
      </c>
      <c r="C257" s="32" t="s">
        <v>1069</v>
      </c>
      <c r="D257" s="32">
        <f t="shared" si="3"/>
        <v>-1</v>
      </c>
      <c r="E257" s="32" t="s">
        <v>34</v>
      </c>
      <c r="F257" s="32" t="s">
        <v>828</v>
      </c>
      <c r="G257" s="32" t="s">
        <v>1070</v>
      </c>
      <c r="H257" s="32" t="s">
        <v>37</v>
      </c>
      <c r="I257" s="32" t="s">
        <v>38</v>
      </c>
      <c r="J257" s="32" t="s">
        <v>1071</v>
      </c>
      <c r="K257" s="32" t="s">
        <v>1072</v>
      </c>
      <c r="L257" s="32">
        <v>167086</v>
      </c>
      <c r="M257" s="32">
        <v>0</v>
      </c>
      <c r="N257" s="32">
        <v>0</v>
      </c>
      <c r="O257" s="32">
        <v>1046486</v>
      </c>
      <c r="P257" s="32" t="s">
        <v>41</v>
      </c>
      <c r="Q257" s="32" t="s">
        <v>42</v>
      </c>
      <c r="R257" s="26" t="s">
        <v>43</v>
      </c>
      <c r="S257" s="26"/>
      <c r="T257" s="26"/>
      <c r="U257" s="26"/>
      <c r="V257" s="26"/>
      <c r="W257" s="26"/>
      <c r="X257" s="26"/>
    </row>
    <row r="258" spans="1:24" s="29" customFormat="1">
      <c r="A258" s="26" t="s">
        <v>31</v>
      </c>
      <c r="B258" s="26" t="s">
        <v>1073</v>
      </c>
      <c r="C258" s="26" t="s">
        <v>1074</v>
      </c>
      <c r="D258" s="26">
        <f t="shared" si="3"/>
        <v>-1</v>
      </c>
      <c r="E258" s="26" t="s">
        <v>34</v>
      </c>
      <c r="F258" s="26" t="s">
        <v>828</v>
      </c>
      <c r="G258" s="26" t="s">
        <v>1075</v>
      </c>
      <c r="H258" s="26" t="s">
        <v>37</v>
      </c>
      <c r="I258" s="26" t="s">
        <v>38</v>
      </c>
      <c r="J258" s="26" t="s">
        <v>1076</v>
      </c>
      <c r="K258" s="26" t="s">
        <v>1077</v>
      </c>
      <c r="L258" s="26">
        <v>780660.6</v>
      </c>
      <c r="M258" s="26">
        <v>0</v>
      </c>
      <c r="N258" s="26">
        <v>0</v>
      </c>
      <c r="O258" s="26">
        <v>4889400.5999999996</v>
      </c>
      <c r="P258" s="26" t="s">
        <v>41</v>
      </c>
      <c r="Q258" s="26" t="s">
        <v>42</v>
      </c>
      <c r="R258" s="26"/>
      <c r="S258" s="26"/>
      <c r="T258" s="26"/>
      <c r="U258" s="26"/>
      <c r="V258" s="26" t="s">
        <v>43</v>
      </c>
      <c r="W258" s="26"/>
      <c r="X258" s="26"/>
    </row>
    <row r="259" spans="1:24" s="29" customFormat="1">
      <c r="A259" s="34" t="s">
        <v>31</v>
      </c>
      <c r="B259" s="34" t="s">
        <v>1078</v>
      </c>
      <c r="C259" s="34" t="s">
        <v>1079</v>
      </c>
      <c r="D259" s="34">
        <f t="shared" si="3"/>
        <v>-1</v>
      </c>
      <c r="E259" s="34" t="s">
        <v>34</v>
      </c>
      <c r="F259" s="34" t="s">
        <v>828</v>
      </c>
      <c r="G259" s="34" t="s">
        <v>1080</v>
      </c>
      <c r="H259" s="34" t="s">
        <v>37</v>
      </c>
      <c r="I259" s="34" t="s">
        <v>38</v>
      </c>
      <c r="J259" s="34" t="s">
        <v>1081</v>
      </c>
      <c r="K259" s="34" t="s">
        <v>1082</v>
      </c>
      <c r="L259" s="34">
        <v>199498</v>
      </c>
      <c r="M259" s="34">
        <v>0</v>
      </c>
      <c r="N259" s="34">
        <v>0</v>
      </c>
      <c r="O259" s="34">
        <v>1412698</v>
      </c>
      <c r="P259" s="34" t="s">
        <v>41</v>
      </c>
      <c r="Q259" s="34" t="s">
        <v>42</v>
      </c>
      <c r="R259" s="26"/>
      <c r="S259" s="26"/>
      <c r="T259" s="26" t="s">
        <v>43</v>
      </c>
      <c r="U259" s="26"/>
      <c r="V259" s="26"/>
      <c r="W259" s="26"/>
      <c r="X259" s="26"/>
    </row>
    <row r="260" spans="1:24" s="29" customFormat="1">
      <c r="A260" s="34" t="s">
        <v>31</v>
      </c>
      <c r="B260" s="34" t="s">
        <v>1083</v>
      </c>
      <c r="C260" s="34" t="s">
        <v>1084</v>
      </c>
      <c r="D260" s="34">
        <f t="shared" si="3"/>
        <v>-1</v>
      </c>
      <c r="E260" s="34" t="s">
        <v>34</v>
      </c>
      <c r="F260" s="34" t="s">
        <v>828</v>
      </c>
      <c r="G260" s="34" t="s">
        <v>1085</v>
      </c>
      <c r="H260" s="34" t="s">
        <v>37</v>
      </c>
      <c r="I260" s="34" t="s">
        <v>38</v>
      </c>
      <c r="J260" s="34" t="s">
        <v>1081</v>
      </c>
      <c r="K260" s="34" t="s">
        <v>1082</v>
      </c>
      <c r="L260" s="34">
        <v>114177.4</v>
      </c>
      <c r="M260" s="34">
        <v>0</v>
      </c>
      <c r="N260" s="34">
        <v>0</v>
      </c>
      <c r="O260" s="34">
        <v>814437.4</v>
      </c>
      <c r="P260" s="34" t="s">
        <v>41</v>
      </c>
      <c r="Q260" s="34" t="s">
        <v>42</v>
      </c>
      <c r="R260" s="26"/>
      <c r="S260" s="26"/>
      <c r="T260" s="26" t="s">
        <v>43</v>
      </c>
      <c r="U260" s="26"/>
      <c r="V260" s="26"/>
      <c r="W260" s="26"/>
      <c r="X260" s="26"/>
    </row>
    <row r="261" spans="1:24" s="29" customFormat="1">
      <c r="A261" s="34" t="s">
        <v>31</v>
      </c>
      <c r="B261" s="34" t="s">
        <v>1086</v>
      </c>
      <c r="C261" s="34" t="s">
        <v>1087</v>
      </c>
      <c r="D261" s="34">
        <f t="shared" si="3"/>
        <v>-1</v>
      </c>
      <c r="E261" s="34" t="s">
        <v>34</v>
      </c>
      <c r="F261" s="34" t="s">
        <v>828</v>
      </c>
      <c r="G261" s="34" t="s">
        <v>1088</v>
      </c>
      <c r="H261" s="34" t="s">
        <v>37</v>
      </c>
      <c r="I261" s="34" t="s">
        <v>38</v>
      </c>
      <c r="J261" s="34" t="s">
        <v>1081</v>
      </c>
      <c r="K261" s="34" t="s">
        <v>1082</v>
      </c>
      <c r="L261" s="34">
        <v>288395.40000000002</v>
      </c>
      <c r="M261" s="34">
        <v>0</v>
      </c>
      <c r="N261" s="34">
        <v>0</v>
      </c>
      <c r="O261" s="34">
        <v>1889455.4</v>
      </c>
      <c r="P261" s="34" t="s">
        <v>41</v>
      </c>
      <c r="Q261" s="34" t="s">
        <v>42</v>
      </c>
      <c r="R261" s="26"/>
      <c r="S261" s="26"/>
      <c r="T261" s="26" t="s">
        <v>43</v>
      </c>
      <c r="U261" s="26"/>
      <c r="V261" s="26"/>
      <c r="W261" s="26"/>
      <c r="X261" s="26"/>
    </row>
    <row r="262" spans="1:24" s="29" customFormat="1">
      <c r="A262" s="32" t="s">
        <v>31</v>
      </c>
      <c r="B262" s="32" t="s">
        <v>1089</v>
      </c>
      <c r="C262" s="32" t="s">
        <v>1090</v>
      </c>
      <c r="D262" s="32">
        <f t="shared" si="3"/>
        <v>-1</v>
      </c>
      <c r="E262" s="32" t="s">
        <v>34</v>
      </c>
      <c r="F262" s="32" t="s">
        <v>828</v>
      </c>
      <c r="G262" s="32" t="s">
        <v>1091</v>
      </c>
      <c r="H262" s="32" t="s">
        <v>37</v>
      </c>
      <c r="I262" s="32" t="s">
        <v>38</v>
      </c>
      <c r="J262" s="32" t="s">
        <v>1092</v>
      </c>
      <c r="K262" s="32" t="s">
        <v>1093</v>
      </c>
      <c r="L262" s="32">
        <v>182400</v>
      </c>
      <c r="M262" s="32">
        <v>0</v>
      </c>
      <c r="N262" s="32">
        <v>0</v>
      </c>
      <c r="O262" s="32">
        <v>1142400</v>
      </c>
      <c r="P262" s="32" t="s">
        <v>41</v>
      </c>
      <c r="Q262" s="32" t="s">
        <v>42</v>
      </c>
      <c r="R262" s="26" t="s">
        <v>43</v>
      </c>
      <c r="S262" s="26"/>
      <c r="T262" s="26"/>
      <c r="U262" s="26"/>
      <c r="V262" s="26"/>
      <c r="W262" s="26"/>
      <c r="X262" s="26"/>
    </row>
    <row r="263" spans="1:24" s="29" customFormat="1">
      <c r="A263" s="32" t="s">
        <v>31</v>
      </c>
      <c r="B263" s="32" t="s">
        <v>1094</v>
      </c>
      <c r="C263" s="32" t="s">
        <v>1095</v>
      </c>
      <c r="D263" s="32">
        <f t="shared" si="3"/>
        <v>-1</v>
      </c>
      <c r="E263" s="32" t="s">
        <v>34</v>
      </c>
      <c r="F263" s="32" t="s">
        <v>828</v>
      </c>
      <c r="G263" s="32" t="s">
        <v>1096</v>
      </c>
      <c r="H263" s="32" t="s">
        <v>37</v>
      </c>
      <c r="I263" s="32" t="s">
        <v>38</v>
      </c>
      <c r="J263" s="32" t="s">
        <v>1092</v>
      </c>
      <c r="K263" s="32" t="s">
        <v>1093</v>
      </c>
      <c r="L263" s="32">
        <v>121600</v>
      </c>
      <c r="M263" s="32">
        <v>0</v>
      </c>
      <c r="N263" s="32">
        <v>0</v>
      </c>
      <c r="O263" s="32">
        <v>761600</v>
      </c>
      <c r="P263" s="32" t="s">
        <v>41</v>
      </c>
      <c r="Q263" s="32" t="s">
        <v>42</v>
      </c>
      <c r="R263" s="26" t="s">
        <v>43</v>
      </c>
      <c r="S263" s="26"/>
      <c r="T263" s="26"/>
      <c r="U263" s="26"/>
      <c r="V263" s="26"/>
      <c r="W263" s="26"/>
      <c r="X263" s="26"/>
    </row>
    <row r="264" spans="1:24" s="29" customFormat="1">
      <c r="A264" s="34" t="s">
        <v>31</v>
      </c>
      <c r="B264" s="34" t="s">
        <v>1097</v>
      </c>
      <c r="C264" s="34" t="s">
        <v>1098</v>
      </c>
      <c r="D264" s="34">
        <f t="shared" si="3"/>
        <v>-1</v>
      </c>
      <c r="E264" s="34" t="s">
        <v>34</v>
      </c>
      <c r="F264" s="34" t="s">
        <v>828</v>
      </c>
      <c r="G264" s="34" t="s">
        <v>1099</v>
      </c>
      <c r="H264" s="34" t="s">
        <v>37</v>
      </c>
      <c r="I264" s="34" t="s">
        <v>38</v>
      </c>
      <c r="J264" s="34" t="s">
        <v>1100</v>
      </c>
      <c r="K264" s="34" t="s">
        <v>1101</v>
      </c>
      <c r="L264" s="34">
        <v>390450</v>
      </c>
      <c r="M264" s="34">
        <v>0</v>
      </c>
      <c r="N264" s="34">
        <v>0</v>
      </c>
      <c r="O264" s="34">
        <v>2445450</v>
      </c>
      <c r="P264" s="34" t="s">
        <v>41</v>
      </c>
      <c r="Q264" s="34" t="s">
        <v>42</v>
      </c>
      <c r="R264" s="26"/>
      <c r="S264" s="26"/>
      <c r="T264" s="26" t="s">
        <v>43</v>
      </c>
      <c r="U264" s="26"/>
      <c r="V264" s="26"/>
      <c r="W264" s="26"/>
      <c r="X264" s="26"/>
    </row>
    <row r="265" spans="1:24" s="29" customFormat="1">
      <c r="A265" s="26" t="s">
        <v>31</v>
      </c>
      <c r="B265" s="26" t="s">
        <v>1102</v>
      </c>
      <c r="C265" s="26" t="s">
        <v>1103</v>
      </c>
      <c r="D265" s="26">
        <f t="shared" si="3"/>
        <v>-1</v>
      </c>
      <c r="E265" s="26" t="s">
        <v>34</v>
      </c>
      <c r="F265" s="26" t="s">
        <v>828</v>
      </c>
      <c r="G265" s="26" t="s">
        <v>1104</v>
      </c>
      <c r="H265" s="26" t="s">
        <v>37</v>
      </c>
      <c r="I265" s="26" t="s">
        <v>38</v>
      </c>
      <c r="J265" s="26" t="s">
        <v>1105</v>
      </c>
      <c r="K265" s="26" t="s">
        <v>1106</v>
      </c>
      <c r="L265" s="26">
        <v>280079</v>
      </c>
      <c r="M265" s="26">
        <v>0</v>
      </c>
      <c r="N265" s="26">
        <v>0</v>
      </c>
      <c r="O265" s="26">
        <v>2277379</v>
      </c>
      <c r="P265" s="26" t="s">
        <v>41</v>
      </c>
      <c r="Q265" s="26" t="s">
        <v>42</v>
      </c>
      <c r="R265" s="26"/>
      <c r="S265" s="26"/>
      <c r="T265" s="26"/>
      <c r="U265" s="26"/>
      <c r="V265" s="26" t="s">
        <v>43</v>
      </c>
      <c r="W265" s="26"/>
      <c r="X265" s="26"/>
    </row>
    <row r="266" spans="1:24" s="29" customFormat="1">
      <c r="A266" s="32" t="s">
        <v>31</v>
      </c>
      <c r="B266" s="32" t="s">
        <v>1107</v>
      </c>
      <c r="C266" s="32" t="s">
        <v>1108</v>
      </c>
      <c r="D266" s="32">
        <f t="shared" si="3"/>
        <v>-1</v>
      </c>
      <c r="E266" s="32" t="s">
        <v>34</v>
      </c>
      <c r="F266" s="32" t="s">
        <v>828</v>
      </c>
      <c r="G266" s="32" t="s">
        <v>1109</v>
      </c>
      <c r="H266" s="32" t="s">
        <v>37</v>
      </c>
      <c r="I266" s="32" t="s">
        <v>38</v>
      </c>
      <c r="J266" s="32" t="s">
        <v>1110</v>
      </c>
      <c r="K266" s="32" t="s">
        <v>1111</v>
      </c>
      <c r="L266" s="32">
        <v>31350</v>
      </c>
      <c r="M266" s="32">
        <v>0</v>
      </c>
      <c r="N266" s="32">
        <v>0</v>
      </c>
      <c r="O266" s="32">
        <v>196350</v>
      </c>
      <c r="P266" s="32" t="s">
        <v>41</v>
      </c>
      <c r="Q266" s="32" t="s">
        <v>42</v>
      </c>
      <c r="R266" s="26" t="s">
        <v>43</v>
      </c>
      <c r="S266" s="26"/>
      <c r="T266" s="26"/>
      <c r="U266" s="26"/>
      <c r="V266" s="26"/>
      <c r="W266" s="26"/>
      <c r="X266" s="26"/>
    </row>
    <row r="267" spans="1:24" s="29" customFormat="1">
      <c r="A267" s="32" t="s">
        <v>31</v>
      </c>
      <c r="B267" s="32" t="s">
        <v>1112</v>
      </c>
      <c r="C267" s="32" t="s">
        <v>1113</v>
      </c>
      <c r="D267" s="32">
        <f t="shared" si="3"/>
        <v>-1</v>
      </c>
      <c r="E267" s="32" t="s">
        <v>34</v>
      </c>
      <c r="F267" s="32" t="s">
        <v>828</v>
      </c>
      <c r="G267" s="32" t="s">
        <v>1114</v>
      </c>
      <c r="H267" s="32" t="s">
        <v>37</v>
      </c>
      <c r="I267" s="32" t="s">
        <v>38</v>
      </c>
      <c r="J267" s="32" t="s">
        <v>1110</v>
      </c>
      <c r="K267" s="32" t="s">
        <v>1111</v>
      </c>
      <c r="L267" s="32">
        <v>31350</v>
      </c>
      <c r="M267" s="32">
        <v>0</v>
      </c>
      <c r="N267" s="32">
        <v>0</v>
      </c>
      <c r="O267" s="32">
        <v>196350</v>
      </c>
      <c r="P267" s="32" t="s">
        <v>41</v>
      </c>
      <c r="Q267" s="32" t="s">
        <v>42</v>
      </c>
      <c r="R267" s="26" t="s">
        <v>43</v>
      </c>
      <c r="S267" s="26"/>
      <c r="T267" s="26"/>
      <c r="U267" s="26"/>
      <c r="V267" s="26"/>
      <c r="W267" s="26"/>
      <c r="X267" s="26"/>
    </row>
    <row r="268" spans="1:24" s="29" customFormat="1">
      <c r="A268" s="34" t="s">
        <v>31</v>
      </c>
      <c r="B268" s="34" t="s">
        <v>1115</v>
      </c>
      <c r="C268" s="34" t="s">
        <v>1116</v>
      </c>
      <c r="D268" s="34">
        <f t="shared" si="3"/>
        <v>-1</v>
      </c>
      <c r="E268" s="34" t="s">
        <v>34</v>
      </c>
      <c r="F268" s="34" t="s">
        <v>828</v>
      </c>
      <c r="G268" s="34" t="s">
        <v>1117</v>
      </c>
      <c r="H268" s="34" t="s">
        <v>37</v>
      </c>
      <c r="I268" s="34" t="s">
        <v>38</v>
      </c>
      <c r="J268" s="34" t="s">
        <v>1118</v>
      </c>
      <c r="K268" s="34" t="s">
        <v>1119</v>
      </c>
      <c r="L268" s="34">
        <v>155800</v>
      </c>
      <c r="M268" s="34">
        <v>0</v>
      </c>
      <c r="N268" s="34">
        <v>0</v>
      </c>
      <c r="O268" s="34">
        <v>975800</v>
      </c>
      <c r="P268" s="34" t="s">
        <v>41</v>
      </c>
      <c r="Q268" s="34" t="s">
        <v>42</v>
      </c>
      <c r="R268" s="26"/>
      <c r="S268" s="26"/>
      <c r="T268" s="26" t="s">
        <v>628</v>
      </c>
      <c r="U268" s="26"/>
      <c r="V268" s="26"/>
      <c r="W268" s="26"/>
      <c r="X268" s="26"/>
    </row>
    <row r="269" spans="1:24" s="29" customFormat="1">
      <c r="A269" s="32" t="s">
        <v>31</v>
      </c>
      <c r="B269" s="32" t="s">
        <v>1120</v>
      </c>
      <c r="C269" s="32" t="s">
        <v>1121</v>
      </c>
      <c r="D269" s="32">
        <f t="shared" ref="D269:D332" si="4">C269-C270</f>
        <v>-1</v>
      </c>
      <c r="E269" s="32" t="s">
        <v>34</v>
      </c>
      <c r="F269" s="32" t="s">
        <v>828</v>
      </c>
      <c r="G269" s="32" t="s">
        <v>1122</v>
      </c>
      <c r="H269" s="32" t="s">
        <v>37</v>
      </c>
      <c r="I269" s="32" t="s">
        <v>38</v>
      </c>
      <c r="J269" s="32" t="s">
        <v>1123</v>
      </c>
      <c r="K269" s="32" t="s">
        <v>1124</v>
      </c>
      <c r="L269" s="32">
        <v>48450</v>
      </c>
      <c r="M269" s="32">
        <v>0</v>
      </c>
      <c r="N269" s="32">
        <v>0</v>
      </c>
      <c r="O269" s="32">
        <v>303450</v>
      </c>
      <c r="P269" s="32" t="s">
        <v>41</v>
      </c>
      <c r="Q269" s="32" t="s">
        <v>42</v>
      </c>
      <c r="R269" s="26" t="s">
        <v>43</v>
      </c>
      <c r="S269" s="26"/>
      <c r="T269" s="26"/>
      <c r="U269" s="26"/>
      <c r="V269" s="26"/>
      <c r="W269" s="26"/>
      <c r="X269" s="26"/>
    </row>
    <row r="270" spans="1:24" s="29" customFormat="1">
      <c r="A270" s="32" t="s">
        <v>31</v>
      </c>
      <c r="B270" s="32" t="s">
        <v>1125</v>
      </c>
      <c r="C270" s="32" t="s">
        <v>1126</v>
      </c>
      <c r="D270" s="32">
        <f t="shared" si="4"/>
        <v>-1</v>
      </c>
      <c r="E270" s="32" t="s">
        <v>34</v>
      </c>
      <c r="F270" s="32" t="s">
        <v>828</v>
      </c>
      <c r="G270" s="32" t="s">
        <v>1127</v>
      </c>
      <c r="H270" s="32" t="s">
        <v>37</v>
      </c>
      <c r="I270" s="32" t="s">
        <v>38</v>
      </c>
      <c r="J270" s="32" t="s">
        <v>1123</v>
      </c>
      <c r="K270" s="32" t="s">
        <v>1124</v>
      </c>
      <c r="L270" s="32">
        <v>1550400</v>
      </c>
      <c r="M270" s="32">
        <v>0</v>
      </c>
      <c r="N270" s="32">
        <v>0</v>
      </c>
      <c r="O270" s="32">
        <v>9710400</v>
      </c>
      <c r="P270" s="32" t="s">
        <v>41</v>
      </c>
      <c r="Q270" s="32" t="s">
        <v>42</v>
      </c>
      <c r="R270" s="26" t="s">
        <v>43</v>
      </c>
      <c r="S270" s="26"/>
      <c r="T270" s="26"/>
      <c r="U270" s="26"/>
      <c r="V270" s="26"/>
      <c r="W270" s="26"/>
      <c r="X270" s="26"/>
    </row>
    <row r="271" spans="1:24" s="29" customFormat="1">
      <c r="A271" s="32" t="s">
        <v>31</v>
      </c>
      <c r="B271" s="32" t="s">
        <v>1128</v>
      </c>
      <c r="C271" s="32" t="s">
        <v>1129</v>
      </c>
      <c r="D271" s="32">
        <f t="shared" si="4"/>
        <v>-1</v>
      </c>
      <c r="E271" s="32" t="s">
        <v>34</v>
      </c>
      <c r="F271" s="32" t="s">
        <v>828</v>
      </c>
      <c r="G271" s="32" t="s">
        <v>1130</v>
      </c>
      <c r="H271" s="32" t="s">
        <v>37</v>
      </c>
      <c r="I271" s="32" t="s">
        <v>38</v>
      </c>
      <c r="J271" s="32" t="s">
        <v>1123</v>
      </c>
      <c r="K271" s="32" t="s">
        <v>1124</v>
      </c>
      <c r="L271" s="32">
        <v>1795500</v>
      </c>
      <c r="M271" s="32">
        <v>0</v>
      </c>
      <c r="N271" s="32">
        <v>0</v>
      </c>
      <c r="O271" s="32">
        <v>11245500</v>
      </c>
      <c r="P271" s="32" t="s">
        <v>41</v>
      </c>
      <c r="Q271" s="32" t="s">
        <v>42</v>
      </c>
      <c r="R271" s="26" t="s">
        <v>43</v>
      </c>
      <c r="S271" s="26"/>
      <c r="T271" s="26"/>
      <c r="U271" s="26"/>
      <c r="V271" s="26"/>
      <c r="W271" s="26"/>
      <c r="X271" s="26"/>
    </row>
    <row r="272" spans="1:24" s="29" customFormat="1">
      <c r="A272" s="34" t="s">
        <v>31</v>
      </c>
      <c r="B272" s="34" t="s">
        <v>1131</v>
      </c>
      <c r="C272" s="34" t="s">
        <v>1132</v>
      </c>
      <c r="D272" s="34">
        <f t="shared" si="4"/>
        <v>-1</v>
      </c>
      <c r="E272" s="34" t="s">
        <v>34</v>
      </c>
      <c r="F272" s="34" t="s">
        <v>828</v>
      </c>
      <c r="G272" s="34" t="s">
        <v>1133</v>
      </c>
      <c r="H272" s="34" t="s">
        <v>37</v>
      </c>
      <c r="I272" s="34" t="s">
        <v>38</v>
      </c>
      <c r="J272" s="34" t="s">
        <v>1134</v>
      </c>
      <c r="K272" s="34" t="s">
        <v>1135</v>
      </c>
      <c r="L272" s="34">
        <v>0</v>
      </c>
      <c r="M272" s="34">
        <v>0</v>
      </c>
      <c r="N272" s="34">
        <v>0</v>
      </c>
      <c r="O272" s="34">
        <v>1234000</v>
      </c>
      <c r="P272" s="34" t="s">
        <v>41</v>
      </c>
      <c r="Q272" s="34" t="s">
        <v>42</v>
      </c>
      <c r="R272" s="26"/>
      <c r="S272" s="26"/>
      <c r="T272" s="26" t="s">
        <v>43</v>
      </c>
      <c r="U272" s="26"/>
      <c r="V272" s="26"/>
      <c r="W272" s="26"/>
      <c r="X272" s="26"/>
    </row>
    <row r="273" spans="1:24" s="29" customFormat="1">
      <c r="A273" s="34" t="s">
        <v>31</v>
      </c>
      <c r="B273" s="34" t="s">
        <v>1136</v>
      </c>
      <c r="C273" s="34" t="s">
        <v>1137</v>
      </c>
      <c r="D273" s="34">
        <f t="shared" si="4"/>
        <v>-1</v>
      </c>
      <c r="E273" s="34" t="s">
        <v>34</v>
      </c>
      <c r="F273" s="34" t="s">
        <v>828</v>
      </c>
      <c r="G273" s="34" t="s">
        <v>1138</v>
      </c>
      <c r="H273" s="34" t="s">
        <v>37</v>
      </c>
      <c r="I273" s="34" t="s">
        <v>38</v>
      </c>
      <c r="J273" s="34" t="s">
        <v>1134</v>
      </c>
      <c r="K273" s="34" t="s">
        <v>1135</v>
      </c>
      <c r="L273" s="34">
        <v>902500</v>
      </c>
      <c r="M273" s="34">
        <v>0</v>
      </c>
      <c r="N273" s="34">
        <v>0</v>
      </c>
      <c r="O273" s="34">
        <v>5652500</v>
      </c>
      <c r="P273" s="34" t="s">
        <v>41</v>
      </c>
      <c r="Q273" s="34" t="s">
        <v>42</v>
      </c>
      <c r="R273" s="26"/>
      <c r="S273" s="26"/>
      <c r="T273" s="26" t="s">
        <v>43</v>
      </c>
      <c r="U273" s="26"/>
      <c r="V273" s="26"/>
      <c r="W273" s="26"/>
      <c r="X273" s="26"/>
    </row>
    <row r="274" spans="1:24" s="29" customFormat="1">
      <c r="A274" s="35" t="s">
        <v>31</v>
      </c>
      <c r="B274" s="35" t="s">
        <v>1139</v>
      </c>
      <c r="C274" s="35" t="s">
        <v>1140</v>
      </c>
      <c r="D274" s="35">
        <f t="shared" si="4"/>
        <v>-1</v>
      </c>
      <c r="E274" s="35" t="s">
        <v>34</v>
      </c>
      <c r="F274" s="35" t="s">
        <v>828</v>
      </c>
      <c r="G274" s="35" t="s">
        <v>1141</v>
      </c>
      <c r="H274" s="35" t="s">
        <v>37</v>
      </c>
      <c r="I274" s="35" t="s">
        <v>38</v>
      </c>
      <c r="J274" s="35" t="s">
        <v>1142</v>
      </c>
      <c r="K274" s="35" t="s">
        <v>1143</v>
      </c>
      <c r="L274" s="35">
        <v>2491851.14</v>
      </c>
      <c r="M274" s="35">
        <v>0</v>
      </c>
      <c r="N274" s="35">
        <v>0</v>
      </c>
      <c r="O274" s="35">
        <v>15606857.140000001</v>
      </c>
      <c r="P274" s="35" t="s">
        <v>41</v>
      </c>
      <c r="Q274" s="35" t="s">
        <v>42</v>
      </c>
      <c r="R274" s="26"/>
      <c r="S274" s="26"/>
      <c r="T274" s="26"/>
      <c r="U274" s="26"/>
      <c r="V274" s="26"/>
      <c r="W274" s="35" t="s">
        <v>43</v>
      </c>
      <c r="X274" s="26" t="s">
        <v>1144</v>
      </c>
    </row>
    <row r="275" spans="1:24" s="29" customFormat="1">
      <c r="A275" s="35" t="s">
        <v>31</v>
      </c>
      <c r="B275" s="35" t="s">
        <v>1145</v>
      </c>
      <c r="C275" s="35" t="s">
        <v>1146</v>
      </c>
      <c r="D275" s="35">
        <f t="shared" si="4"/>
        <v>-1</v>
      </c>
      <c r="E275" s="35" t="s">
        <v>34</v>
      </c>
      <c r="F275" s="35" t="s">
        <v>828</v>
      </c>
      <c r="G275" s="35" t="s">
        <v>1147</v>
      </c>
      <c r="H275" s="35" t="s">
        <v>37</v>
      </c>
      <c r="I275" s="35" t="s">
        <v>38</v>
      </c>
      <c r="J275" s="35" t="s">
        <v>1142</v>
      </c>
      <c r="K275" s="35" t="s">
        <v>1143</v>
      </c>
      <c r="L275" s="35">
        <v>355300</v>
      </c>
      <c r="M275" s="35">
        <v>0</v>
      </c>
      <c r="N275" s="35">
        <v>0</v>
      </c>
      <c r="O275" s="35">
        <v>2225300</v>
      </c>
      <c r="P275" s="35" t="s">
        <v>41</v>
      </c>
      <c r="Q275" s="35" t="s">
        <v>42</v>
      </c>
      <c r="R275" s="26"/>
      <c r="S275" s="26"/>
      <c r="T275" s="26"/>
      <c r="U275" s="26"/>
      <c r="V275" s="26"/>
      <c r="W275" s="35" t="s">
        <v>43</v>
      </c>
      <c r="X275" s="26" t="s">
        <v>1144</v>
      </c>
    </row>
    <row r="276" spans="1:24" s="29" customFormat="1">
      <c r="A276" s="35" t="s">
        <v>31</v>
      </c>
      <c r="B276" s="35" t="s">
        <v>1148</v>
      </c>
      <c r="C276" s="35" t="s">
        <v>1149</v>
      </c>
      <c r="D276" s="35">
        <f t="shared" si="4"/>
        <v>-1</v>
      </c>
      <c r="E276" s="35" t="s">
        <v>34</v>
      </c>
      <c r="F276" s="35" t="s">
        <v>828</v>
      </c>
      <c r="G276" s="35" t="s">
        <v>1150</v>
      </c>
      <c r="H276" s="35" t="s">
        <v>37</v>
      </c>
      <c r="I276" s="35" t="s">
        <v>38</v>
      </c>
      <c r="J276" s="35" t="s">
        <v>1142</v>
      </c>
      <c r="K276" s="35" t="s">
        <v>1143</v>
      </c>
      <c r="L276" s="35">
        <v>2630666.2799999998</v>
      </c>
      <c r="M276" s="35">
        <v>0</v>
      </c>
      <c r="N276" s="35">
        <v>0</v>
      </c>
      <c r="O276" s="35">
        <v>16476278.279999999</v>
      </c>
      <c r="P276" s="35" t="s">
        <v>41</v>
      </c>
      <c r="Q276" s="35" t="s">
        <v>42</v>
      </c>
      <c r="R276" s="26"/>
      <c r="S276" s="26"/>
      <c r="T276" s="26"/>
      <c r="U276" s="26"/>
      <c r="V276" s="26"/>
      <c r="W276" s="35" t="s">
        <v>43</v>
      </c>
      <c r="X276" s="26" t="s">
        <v>1144</v>
      </c>
    </row>
    <row r="277" spans="1:24" s="29" customFormat="1">
      <c r="A277" s="34" t="s">
        <v>31</v>
      </c>
      <c r="B277" s="34" t="s">
        <v>1151</v>
      </c>
      <c r="C277" s="34" t="s">
        <v>1152</v>
      </c>
      <c r="D277" s="34">
        <f t="shared" si="4"/>
        <v>-1</v>
      </c>
      <c r="E277" s="34" t="s">
        <v>34</v>
      </c>
      <c r="F277" s="34" t="s">
        <v>828</v>
      </c>
      <c r="G277" s="34" t="s">
        <v>1153</v>
      </c>
      <c r="H277" s="34" t="s">
        <v>37</v>
      </c>
      <c r="I277" s="34" t="s">
        <v>38</v>
      </c>
      <c r="J277" s="34" t="s">
        <v>1154</v>
      </c>
      <c r="K277" s="34" t="s">
        <v>1155</v>
      </c>
      <c r="L277" s="34">
        <v>136800</v>
      </c>
      <c r="M277" s="34">
        <v>0</v>
      </c>
      <c r="N277" s="34">
        <v>0</v>
      </c>
      <c r="O277" s="34">
        <v>856800</v>
      </c>
      <c r="P277" s="34" t="s">
        <v>41</v>
      </c>
      <c r="Q277" s="34" t="s">
        <v>42</v>
      </c>
      <c r="R277" s="26"/>
      <c r="S277" s="26"/>
      <c r="T277" s="26" t="s">
        <v>43</v>
      </c>
      <c r="U277" s="26"/>
      <c r="V277" s="26"/>
      <c r="W277" s="26"/>
      <c r="X277" s="26"/>
    </row>
    <row r="278" spans="1:24" s="29" customFormat="1">
      <c r="A278" s="34" t="s">
        <v>31</v>
      </c>
      <c r="B278" s="34" t="s">
        <v>1156</v>
      </c>
      <c r="C278" s="34" t="s">
        <v>1157</v>
      </c>
      <c r="D278" s="34">
        <f t="shared" si="4"/>
        <v>-1</v>
      </c>
      <c r="E278" s="34" t="s">
        <v>34</v>
      </c>
      <c r="F278" s="34" t="s">
        <v>828</v>
      </c>
      <c r="G278" s="34" t="s">
        <v>1158</v>
      </c>
      <c r="H278" s="34" t="s">
        <v>37</v>
      </c>
      <c r="I278" s="34" t="s">
        <v>38</v>
      </c>
      <c r="J278" s="34" t="s">
        <v>764</v>
      </c>
      <c r="K278" s="34" t="s">
        <v>765</v>
      </c>
      <c r="L278" s="34">
        <v>631541</v>
      </c>
      <c r="M278" s="34">
        <v>0</v>
      </c>
      <c r="N278" s="34">
        <v>0</v>
      </c>
      <c r="O278" s="34">
        <v>3955441</v>
      </c>
      <c r="P278" s="34" t="s">
        <v>41</v>
      </c>
      <c r="Q278" s="34" t="s">
        <v>42</v>
      </c>
      <c r="R278" s="26"/>
      <c r="S278" s="26"/>
      <c r="T278" s="26" t="s">
        <v>43</v>
      </c>
      <c r="U278" s="26"/>
      <c r="V278" s="26"/>
      <c r="W278" s="26"/>
      <c r="X278" s="26"/>
    </row>
    <row r="279" spans="1:24" s="29" customFormat="1">
      <c r="A279" s="32" t="s">
        <v>31</v>
      </c>
      <c r="B279" s="32" t="s">
        <v>1159</v>
      </c>
      <c r="C279" s="32" t="s">
        <v>1160</v>
      </c>
      <c r="D279" s="32">
        <f t="shared" si="4"/>
        <v>-1</v>
      </c>
      <c r="E279" s="32" t="s">
        <v>34</v>
      </c>
      <c r="F279" s="32" t="s">
        <v>828</v>
      </c>
      <c r="G279" s="32" t="s">
        <v>1161</v>
      </c>
      <c r="H279" s="32" t="s">
        <v>37</v>
      </c>
      <c r="I279" s="32" t="s">
        <v>38</v>
      </c>
      <c r="J279" s="32" t="s">
        <v>1162</v>
      </c>
      <c r="K279" s="32" t="s">
        <v>1163</v>
      </c>
      <c r="L279" s="32">
        <v>302225.78000000003</v>
      </c>
      <c r="M279" s="32">
        <v>0</v>
      </c>
      <c r="N279" s="32">
        <v>0</v>
      </c>
      <c r="O279" s="32">
        <v>1892887.78</v>
      </c>
      <c r="P279" s="32" t="s">
        <v>41</v>
      </c>
      <c r="Q279" s="32" t="s">
        <v>42</v>
      </c>
      <c r="R279" s="26" t="s">
        <v>43</v>
      </c>
      <c r="S279" s="26"/>
      <c r="T279" s="26"/>
      <c r="U279" s="26"/>
      <c r="V279" s="26"/>
      <c r="W279" s="26"/>
      <c r="X279" s="26"/>
    </row>
    <row r="280" spans="1:24" s="29" customFormat="1">
      <c r="A280" s="34" t="s">
        <v>31</v>
      </c>
      <c r="B280" s="34" t="s">
        <v>1164</v>
      </c>
      <c r="C280" s="34" t="s">
        <v>1165</v>
      </c>
      <c r="D280" s="34">
        <f t="shared" si="4"/>
        <v>-1</v>
      </c>
      <c r="E280" s="34" t="s">
        <v>34</v>
      </c>
      <c r="F280" s="34" t="s">
        <v>828</v>
      </c>
      <c r="G280" s="34" t="s">
        <v>1166</v>
      </c>
      <c r="H280" s="34" t="s">
        <v>37</v>
      </c>
      <c r="I280" s="34" t="s">
        <v>38</v>
      </c>
      <c r="J280" s="34" t="s">
        <v>69</v>
      </c>
      <c r="K280" s="34" t="s">
        <v>70</v>
      </c>
      <c r="L280" s="34">
        <v>648969.51</v>
      </c>
      <c r="M280" s="34">
        <v>0</v>
      </c>
      <c r="N280" s="34">
        <v>0</v>
      </c>
      <c r="O280" s="34">
        <v>4064598.51</v>
      </c>
      <c r="P280" s="34" t="s">
        <v>41</v>
      </c>
      <c r="Q280" s="34" t="s">
        <v>42</v>
      </c>
      <c r="R280" s="26"/>
      <c r="S280" s="26"/>
      <c r="T280" s="26" t="s">
        <v>43</v>
      </c>
      <c r="U280" s="26"/>
      <c r="V280" s="26"/>
      <c r="W280" s="26"/>
      <c r="X280" s="26"/>
    </row>
    <row r="281" spans="1:24" s="29" customFormat="1">
      <c r="A281" s="34" t="s">
        <v>31</v>
      </c>
      <c r="B281" s="34" t="s">
        <v>1167</v>
      </c>
      <c r="C281" s="34" t="s">
        <v>1168</v>
      </c>
      <c r="D281" s="34">
        <f t="shared" si="4"/>
        <v>-1</v>
      </c>
      <c r="E281" s="34" t="s">
        <v>34</v>
      </c>
      <c r="F281" s="34" t="s">
        <v>828</v>
      </c>
      <c r="G281" s="34" t="s">
        <v>1169</v>
      </c>
      <c r="H281" s="34" t="s">
        <v>37</v>
      </c>
      <c r="I281" s="34" t="s">
        <v>38</v>
      </c>
      <c r="J281" s="34" t="s">
        <v>1170</v>
      </c>
      <c r="K281" s="34" t="s">
        <v>1171</v>
      </c>
      <c r="L281" s="34">
        <v>2397040</v>
      </c>
      <c r="M281" s="34">
        <v>0</v>
      </c>
      <c r="N281" s="34">
        <v>0</v>
      </c>
      <c r="O281" s="34">
        <v>15013040</v>
      </c>
      <c r="P281" s="34" t="s">
        <v>41</v>
      </c>
      <c r="Q281" s="34" t="s">
        <v>42</v>
      </c>
      <c r="R281" s="26"/>
      <c r="S281" s="26"/>
      <c r="T281" s="26" t="s">
        <v>43</v>
      </c>
      <c r="U281" s="26"/>
      <c r="V281" s="26"/>
      <c r="W281" s="26"/>
      <c r="X281" s="26"/>
    </row>
    <row r="282" spans="1:24" s="29" customFormat="1">
      <c r="A282" s="34" t="s">
        <v>31</v>
      </c>
      <c r="B282" s="34" t="s">
        <v>1172</v>
      </c>
      <c r="C282" s="34" t="s">
        <v>1173</v>
      </c>
      <c r="D282" s="34">
        <f t="shared" si="4"/>
        <v>-1</v>
      </c>
      <c r="E282" s="34" t="s">
        <v>34</v>
      </c>
      <c r="F282" s="34" t="s">
        <v>828</v>
      </c>
      <c r="G282" s="34" t="s">
        <v>1174</v>
      </c>
      <c r="H282" s="34" t="s">
        <v>37</v>
      </c>
      <c r="I282" s="34" t="s">
        <v>38</v>
      </c>
      <c r="J282" s="34" t="s">
        <v>1134</v>
      </c>
      <c r="K282" s="34" t="s">
        <v>1135</v>
      </c>
      <c r="L282" s="34">
        <v>1107700</v>
      </c>
      <c r="M282" s="34">
        <v>0</v>
      </c>
      <c r="N282" s="34">
        <v>0</v>
      </c>
      <c r="O282" s="34">
        <v>6937700</v>
      </c>
      <c r="P282" s="34" t="s">
        <v>41</v>
      </c>
      <c r="Q282" s="34" t="s">
        <v>42</v>
      </c>
      <c r="R282" s="26"/>
      <c r="S282" s="26"/>
      <c r="T282" s="26" t="s">
        <v>43</v>
      </c>
      <c r="U282" s="26"/>
      <c r="V282" s="26"/>
      <c r="W282" s="26"/>
      <c r="X282" s="26"/>
    </row>
    <row r="283" spans="1:24" s="29" customFormat="1">
      <c r="A283" s="26" t="s">
        <v>31</v>
      </c>
      <c r="B283" s="26" t="s">
        <v>1175</v>
      </c>
      <c r="C283" s="26" t="s">
        <v>1176</v>
      </c>
      <c r="D283" s="26">
        <f t="shared" si="4"/>
        <v>-1</v>
      </c>
      <c r="E283" s="26" t="s">
        <v>34</v>
      </c>
      <c r="F283" s="26" t="s">
        <v>828</v>
      </c>
      <c r="G283" s="26" t="s">
        <v>1177</v>
      </c>
      <c r="H283" s="26" t="s">
        <v>37</v>
      </c>
      <c r="I283" s="26" t="s">
        <v>38</v>
      </c>
      <c r="J283" s="26" t="s">
        <v>1178</v>
      </c>
      <c r="K283" s="26" t="s">
        <v>1179</v>
      </c>
      <c r="L283" s="26">
        <v>101080</v>
      </c>
      <c r="M283" s="26">
        <v>0</v>
      </c>
      <c r="N283" s="26">
        <v>0</v>
      </c>
      <c r="O283" s="26">
        <v>633080</v>
      </c>
      <c r="P283" s="26" t="s">
        <v>41</v>
      </c>
      <c r="Q283" s="26" t="s">
        <v>42</v>
      </c>
      <c r="R283" s="26"/>
      <c r="S283" s="26"/>
      <c r="T283" s="26"/>
      <c r="U283" s="26"/>
      <c r="V283" s="26" t="s">
        <v>43</v>
      </c>
      <c r="W283" s="26"/>
      <c r="X283" s="26"/>
    </row>
    <row r="284" spans="1:24" s="29" customFormat="1">
      <c r="A284" s="26" t="s">
        <v>31</v>
      </c>
      <c r="B284" s="26" t="s">
        <v>1180</v>
      </c>
      <c r="C284" s="26" t="s">
        <v>1181</v>
      </c>
      <c r="D284" s="26">
        <f t="shared" si="4"/>
        <v>-1</v>
      </c>
      <c r="E284" s="26" t="s">
        <v>34</v>
      </c>
      <c r="F284" s="26" t="s">
        <v>828</v>
      </c>
      <c r="G284" s="26" t="s">
        <v>1182</v>
      </c>
      <c r="H284" s="26" t="s">
        <v>37</v>
      </c>
      <c r="I284" s="26" t="s">
        <v>38</v>
      </c>
      <c r="J284" s="26" t="s">
        <v>1183</v>
      </c>
      <c r="K284" s="26" t="s">
        <v>1184</v>
      </c>
      <c r="L284" s="26">
        <v>20900</v>
      </c>
      <c r="M284" s="26">
        <v>0</v>
      </c>
      <c r="N284" s="26">
        <v>0</v>
      </c>
      <c r="O284" s="26">
        <v>130900</v>
      </c>
      <c r="P284" s="26" t="s">
        <v>41</v>
      </c>
      <c r="Q284" s="26" t="s">
        <v>42</v>
      </c>
      <c r="R284" s="26"/>
      <c r="S284" s="26"/>
      <c r="T284" s="26"/>
      <c r="U284" s="26"/>
      <c r="V284" s="26" t="s">
        <v>43</v>
      </c>
      <c r="W284" s="26"/>
      <c r="X284" s="26"/>
    </row>
    <row r="285" spans="1:24" s="29" customFormat="1">
      <c r="A285" s="26" t="s">
        <v>31</v>
      </c>
      <c r="B285" s="26" t="s">
        <v>1185</v>
      </c>
      <c r="C285" s="26" t="s">
        <v>1186</v>
      </c>
      <c r="D285" s="26">
        <f t="shared" si="4"/>
        <v>-1</v>
      </c>
      <c r="E285" s="26" t="s">
        <v>34</v>
      </c>
      <c r="F285" s="26" t="s">
        <v>828</v>
      </c>
      <c r="G285" s="26" t="s">
        <v>1187</v>
      </c>
      <c r="H285" s="26" t="s">
        <v>37</v>
      </c>
      <c r="I285" s="26" t="s">
        <v>38</v>
      </c>
      <c r="J285" s="26" t="s">
        <v>1188</v>
      </c>
      <c r="K285" s="26" t="s">
        <v>1189</v>
      </c>
      <c r="L285" s="26">
        <v>20900</v>
      </c>
      <c r="M285" s="26">
        <v>0</v>
      </c>
      <c r="N285" s="26">
        <v>0</v>
      </c>
      <c r="O285" s="26">
        <v>130900</v>
      </c>
      <c r="P285" s="26" t="s">
        <v>41</v>
      </c>
      <c r="Q285" s="26" t="s">
        <v>42</v>
      </c>
      <c r="R285" s="26"/>
      <c r="S285" s="26"/>
      <c r="T285" s="26"/>
      <c r="U285" s="26"/>
      <c r="V285" s="26" t="s">
        <v>43</v>
      </c>
      <c r="W285" s="26"/>
      <c r="X285" s="26"/>
    </row>
    <row r="286" spans="1:24" s="29" customFormat="1">
      <c r="A286" s="32" t="s">
        <v>31</v>
      </c>
      <c r="B286" s="32" t="s">
        <v>1190</v>
      </c>
      <c r="C286" s="32" t="s">
        <v>1191</v>
      </c>
      <c r="D286" s="32">
        <f t="shared" si="4"/>
        <v>-1</v>
      </c>
      <c r="E286" s="32" t="s">
        <v>34</v>
      </c>
      <c r="F286" s="32" t="s">
        <v>828</v>
      </c>
      <c r="G286" s="32" t="s">
        <v>1192</v>
      </c>
      <c r="H286" s="32" t="s">
        <v>37</v>
      </c>
      <c r="I286" s="32" t="s">
        <v>38</v>
      </c>
      <c r="J286" s="32" t="s">
        <v>1193</v>
      </c>
      <c r="K286" s="32" t="s">
        <v>1194</v>
      </c>
      <c r="L286" s="32">
        <v>1428353.12</v>
      </c>
      <c r="M286" s="32">
        <v>0</v>
      </c>
      <c r="N286" s="32">
        <v>0</v>
      </c>
      <c r="O286" s="32">
        <v>8946001.1199999992</v>
      </c>
      <c r="P286" s="32" t="s">
        <v>41</v>
      </c>
      <c r="Q286" s="32" t="s">
        <v>42</v>
      </c>
      <c r="R286" s="26" t="s">
        <v>43</v>
      </c>
      <c r="S286" s="26"/>
      <c r="T286" s="26"/>
      <c r="U286" s="26"/>
      <c r="V286" s="26"/>
      <c r="W286" s="26"/>
      <c r="X286" s="26"/>
    </row>
    <row r="287" spans="1:24" s="29" customFormat="1">
      <c r="A287" s="32" t="s">
        <v>31</v>
      </c>
      <c r="B287" s="32" t="s">
        <v>1195</v>
      </c>
      <c r="C287" s="32" t="s">
        <v>1196</v>
      </c>
      <c r="D287" s="32">
        <f t="shared" si="4"/>
        <v>-1</v>
      </c>
      <c r="E287" s="32" t="s">
        <v>34</v>
      </c>
      <c r="F287" s="32" t="s">
        <v>828</v>
      </c>
      <c r="G287" s="32" t="s">
        <v>1197</v>
      </c>
      <c r="H287" s="32" t="s">
        <v>37</v>
      </c>
      <c r="I287" s="32" t="s">
        <v>38</v>
      </c>
      <c r="J287" s="32" t="s">
        <v>1198</v>
      </c>
      <c r="K287" s="32" t="s">
        <v>1199</v>
      </c>
      <c r="L287" s="32">
        <v>269332.59999999998</v>
      </c>
      <c r="M287" s="32">
        <v>0</v>
      </c>
      <c r="N287" s="32">
        <v>0</v>
      </c>
      <c r="O287" s="32">
        <v>1686872.6</v>
      </c>
      <c r="P287" s="32" t="s">
        <v>41</v>
      </c>
      <c r="Q287" s="32" t="s">
        <v>42</v>
      </c>
      <c r="R287" s="26" t="s">
        <v>43</v>
      </c>
      <c r="S287" s="26"/>
      <c r="T287" s="26"/>
      <c r="U287" s="26"/>
      <c r="V287" s="26"/>
      <c r="W287" s="26"/>
      <c r="X287" s="26"/>
    </row>
    <row r="288" spans="1:24" s="29" customFormat="1">
      <c r="A288" s="32" t="s">
        <v>31</v>
      </c>
      <c r="B288" s="32" t="s">
        <v>1200</v>
      </c>
      <c r="C288" s="32" t="s">
        <v>1201</v>
      </c>
      <c r="D288" s="32">
        <f t="shared" si="4"/>
        <v>-1</v>
      </c>
      <c r="E288" s="32" t="s">
        <v>34</v>
      </c>
      <c r="F288" s="32" t="s">
        <v>828</v>
      </c>
      <c r="G288" s="32" t="s">
        <v>1202</v>
      </c>
      <c r="H288" s="32" t="s">
        <v>37</v>
      </c>
      <c r="I288" s="32" t="s">
        <v>38</v>
      </c>
      <c r="J288" s="32" t="s">
        <v>1198</v>
      </c>
      <c r="K288" s="32" t="s">
        <v>1199</v>
      </c>
      <c r="L288" s="32">
        <v>333363.55</v>
      </c>
      <c r="M288" s="32">
        <v>0</v>
      </c>
      <c r="N288" s="32">
        <v>0</v>
      </c>
      <c r="O288" s="32">
        <v>2087908.55</v>
      </c>
      <c r="P288" s="32" t="s">
        <v>41</v>
      </c>
      <c r="Q288" s="32" t="s">
        <v>42</v>
      </c>
      <c r="R288" s="26" t="s">
        <v>43</v>
      </c>
      <c r="S288" s="26"/>
      <c r="T288" s="26"/>
      <c r="U288" s="26"/>
      <c r="V288" s="26"/>
      <c r="W288" s="26"/>
      <c r="X288" s="26"/>
    </row>
    <row r="289" spans="1:24" s="29" customFormat="1">
      <c r="A289" s="26" t="s">
        <v>31</v>
      </c>
      <c r="B289" s="26" t="s">
        <v>1203</v>
      </c>
      <c r="C289" s="26" t="s">
        <v>1204</v>
      </c>
      <c r="D289" s="26">
        <f t="shared" si="4"/>
        <v>-1</v>
      </c>
      <c r="E289" s="26" t="s">
        <v>34</v>
      </c>
      <c r="F289" s="26" t="s">
        <v>828</v>
      </c>
      <c r="G289" s="26" t="s">
        <v>1205</v>
      </c>
      <c r="H289" s="26" t="s">
        <v>37</v>
      </c>
      <c r="I289" s="26" t="s">
        <v>38</v>
      </c>
      <c r="J289" s="26" t="s">
        <v>1183</v>
      </c>
      <c r="K289" s="26" t="s">
        <v>1184</v>
      </c>
      <c r="L289" s="26">
        <v>298680</v>
      </c>
      <c r="M289" s="26">
        <v>0</v>
      </c>
      <c r="N289" s="26">
        <v>0</v>
      </c>
      <c r="O289" s="26">
        <v>1870680</v>
      </c>
      <c r="P289" s="26" t="s">
        <v>41</v>
      </c>
      <c r="Q289" s="26" t="s">
        <v>42</v>
      </c>
      <c r="R289" s="26"/>
      <c r="S289" s="26"/>
      <c r="T289" s="26"/>
      <c r="U289" s="26"/>
      <c r="V289" s="26" t="s">
        <v>43</v>
      </c>
      <c r="W289" s="26"/>
      <c r="X289" s="26"/>
    </row>
    <row r="290" spans="1:24" s="29" customFormat="1">
      <c r="A290" s="26" t="s">
        <v>31</v>
      </c>
      <c r="B290" s="26" t="s">
        <v>1206</v>
      </c>
      <c r="C290" s="26" t="s">
        <v>1207</v>
      </c>
      <c r="D290" s="26">
        <f t="shared" si="4"/>
        <v>-1</v>
      </c>
      <c r="E290" s="26" t="s">
        <v>34</v>
      </c>
      <c r="F290" s="26" t="s">
        <v>828</v>
      </c>
      <c r="G290" s="26" t="s">
        <v>1208</v>
      </c>
      <c r="H290" s="26" t="s">
        <v>37</v>
      </c>
      <c r="I290" s="26" t="s">
        <v>38</v>
      </c>
      <c r="J290" s="26" t="s">
        <v>1183</v>
      </c>
      <c r="K290" s="26" t="s">
        <v>1184</v>
      </c>
      <c r="L290" s="26">
        <v>397839.1</v>
      </c>
      <c r="M290" s="26">
        <v>0</v>
      </c>
      <c r="N290" s="26">
        <v>0</v>
      </c>
      <c r="O290" s="26">
        <v>2491729.1</v>
      </c>
      <c r="P290" s="26" t="s">
        <v>41</v>
      </c>
      <c r="Q290" s="26" t="s">
        <v>42</v>
      </c>
      <c r="R290" s="26"/>
      <c r="S290" s="26"/>
      <c r="T290" s="26"/>
      <c r="U290" s="26"/>
      <c r="V290" s="26" t="s">
        <v>43</v>
      </c>
      <c r="W290" s="26"/>
      <c r="X290" s="26"/>
    </row>
    <row r="291" spans="1:24" s="29" customFormat="1">
      <c r="A291" s="26" t="s">
        <v>31</v>
      </c>
      <c r="B291" s="26" t="s">
        <v>1209</v>
      </c>
      <c r="C291" s="26" t="s">
        <v>1210</v>
      </c>
      <c r="D291" s="26">
        <f t="shared" si="4"/>
        <v>-1</v>
      </c>
      <c r="E291" s="26" t="s">
        <v>34</v>
      </c>
      <c r="F291" s="26" t="s">
        <v>828</v>
      </c>
      <c r="G291" s="26" t="s">
        <v>1211</v>
      </c>
      <c r="H291" s="26" t="s">
        <v>37</v>
      </c>
      <c r="I291" s="26" t="s">
        <v>38</v>
      </c>
      <c r="J291" s="26" t="s">
        <v>1183</v>
      </c>
      <c r="K291" s="26" t="s">
        <v>1184</v>
      </c>
      <c r="L291" s="26">
        <v>201124.5</v>
      </c>
      <c r="M291" s="26">
        <v>0</v>
      </c>
      <c r="N291" s="26">
        <v>0</v>
      </c>
      <c r="O291" s="26">
        <v>1462674.5</v>
      </c>
      <c r="P291" s="26" t="s">
        <v>41</v>
      </c>
      <c r="Q291" s="26" t="s">
        <v>42</v>
      </c>
      <c r="R291" s="26"/>
      <c r="S291" s="26"/>
      <c r="T291" s="26"/>
      <c r="U291" s="26"/>
      <c r="V291" s="26" t="s">
        <v>43</v>
      </c>
      <c r="W291" s="26"/>
      <c r="X291" s="26"/>
    </row>
    <row r="292" spans="1:24" s="29" customFormat="1">
      <c r="A292" s="26" t="s">
        <v>31</v>
      </c>
      <c r="B292" s="26" t="s">
        <v>1212</v>
      </c>
      <c r="C292" s="26" t="s">
        <v>1213</v>
      </c>
      <c r="D292" s="26">
        <f t="shared" si="4"/>
        <v>-1</v>
      </c>
      <c r="E292" s="26" t="s">
        <v>34</v>
      </c>
      <c r="F292" s="26" t="s">
        <v>828</v>
      </c>
      <c r="G292" s="26" t="s">
        <v>1214</v>
      </c>
      <c r="H292" s="26" t="s">
        <v>37</v>
      </c>
      <c r="I292" s="26" t="s">
        <v>38</v>
      </c>
      <c r="J292" s="26" t="s">
        <v>1183</v>
      </c>
      <c r="K292" s="26" t="s">
        <v>1184</v>
      </c>
      <c r="L292" s="26">
        <v>248900</v>
      </c>
      <c r="M292" s="26">
        <v>0</v>
      </c>
      <c r="N292" s="26">
        <v>0</v>
      </c>
      <c r="O292" s="26">
        <v>1558900</v>
      </c>
      <c r="P292" s="26" t="s">
        <v>41</v>
      </c>
      <c r="Q292" s="26" t="s">
        <v>42</v>
      </c>
      <c r="R292" s="26"/>
      <c r="S292" s="26"/>
      <c r="T292" s="26"/>
      <c r="U292" s="26"/>
      <c r="V292" s="26" t="s">
        <v>43</v>
      </c>
      <c r="W292" s="26"/>
      <c r="X292" s="26"/>
    </row>
    <row r="293" spans="1:24" s="29" customFormat="1">
      <c r="A293" s="26" t="s">
        <v>31</v>
      </c>
      <c r="B293" s="26" t="s">
        <v>1215</v>
      </c>
      <c r="C293" s="26" t="s">
        <v>1216</v>
      </c>
      <c r="D293" s="26">
        <f t="shared" si="4"/>
        <v>-1</v>
      </c>
      <c r="E293" s="26" t="s">
        <v>34</v>
      </c>
      <c r="F293" s="26" t="s">
        <v>828</v>
      </c>
      <c r="G293" s="26" t="s">
        <v>1217</v>
      </c>
      <c r="H293" s="26" t="s">
        <v>37</v>
      </c>
      <c r="I293" s="26" t="s">
        <v>38</v>
      </c>
      <c r="J293" s="26" t="s">
        <v>1218</v>
      </c>
      <c r="K293" s="26" t="s">
        <v>1219</v>
      </c>
      <c r="L293" s="26">
        <v>24700</v>
      </c>
      <c r="M293" s="26">
        <v>0</v>
      </c>
      <c r="N293" s="26">
        <v>0</v>
      </c>
      <c r="O293" s="26">
        <v>154700</v>
      </c>
      <c r="P293" s="26" t="s">
        <v>41</v>
      </c>
      <c r="Q293" s="26" t="s">
        <v>42</v>
      </c>
      <c r="R293" s="26"/>
      <c r="S293" s="26"/>
      <c r="T293" s="26"/>
      <c r="U293" s="26"/>
      <c r="V293" s="26" t="s">
        <v>43</v>
      </c>
      <c r="W293" s="26"/>
      <c r="X293" s="26"/>
    </row>
    <row r="294" spans="1:24" s="29" customFormat="1">
      <c r="A294" s="32" t="s">
        <v>31</v>
      </c>
      <c r="B294" s="32" t="s">
        <v>1220</v>
      </c>
      <c r="C294" s="32" t="s">
        <v>1221</v>
      </c>
      <c r="D294" s="32">
        <f t="shared" si="4"/>
        <v>-1</v>
      </c>
      <c r="E294" s="32" t="s">
        <v>34</v>
      </c>
      <c r="F294" s="32" t="s">
        <v>828</v>
      </c>
      <c r="G294" s="32" t="s">
        <v>1222</v>
      </c>
      <c r="H294" s="32" t="s">
        <v>37</v>
      </c>
      <c r="I294" s="32" t="s">
        <v>38</v>
      </c>
      <c r="J294" s="32" t="s">
        <v>1223</v>
      </c>
      <c r="K294" s="32" t="s">
        <v>1224</v>
      </c>
      <c r="L294" s="32">
        <v>19000</v>
      </c>
      <c r="M294" s="32">
        <v>0</v>
      </c>
      <c r="N294" s="32">
        <v>0</v>
      </c>
      <c r="O294" s="32">
        <v>119000</v>
      </c>
      <c r="P294" s="32" t="s">
        <v>41</v>
      </c>
      <c r="Q294" s="32" t="s">
        <v>42</v>
      </c>
      <c r="R294" s="26" t="s">
        <v>43</v>
      </c>
      <c r="S294" s="26"/>
      <c r="T294" s="26"/>
      <c r="U294" s="26"/>
      <c r="V294" s="26"/>
      <c r="W294" s="26"/>
      <c r="X294" s="26"/>
    </row>
    <row r="295" spans="1:24" s="29" customFormat="1">
      <c r="A295" s="32" t="s">
        <v>31</v>
      </c>
      <c r="B295" s="32" t="s">
        <v>1225</v>
      </c>
      <c r="C295" s="32" t="s">
        <v>1226</v>
      </c>
      <c r="D295" s="32">
        <f t="shared" si="4"/>
        <v>-1</v>
      </c>
      <c r="E295" s="32" t="s">
        <v>34</v>
      </c>
      <c r="F295" s="32" t="s">
        <v>828</v>
      </c>
      <c r="G295" s="32" t="s">
        <v>1227</v>
      </c>
      <c r="H295" s="32" t="s">
        <v>37</v>
      </c>
      <c r="I295" s="32" t="s">
        <v>38</v>
      </c>
      <c r="J295" s="32" t="s">
        <v>1223</v>
      </c>
      <c r="K295" s="32" t="s">
        <v>1224</v>
      </c>
      <c r="L295" s="32">
        <v>1424008.39</v>
      </c>
      <c r="M295" s="32">
        <v>0</v>
      </c>
      <c r="N295" s="32">
        <v>0</v>
      </c>
      <c r="O295" s="32">
        <v>8918789.3900000006</v>
      </c>
      <c r="P295" s="32" t="s">
        <v>41</v>
      </c>
      <c r="Q295" s="32" t="s">
        <v>42</v>
      </c>
      <c r="R295" s="26" t="s">
        <v>43</v>
      </c>
      <c r="S295" s="26"/>
      <c r="T295" s="26"/>
      <c r="U295" s="26"/>
      <c r="V295" s="26"/>
      <c r="W295" s="26"/>
      <c r="X295" s="26"/>
    </row>
    <row r="296" spans="1:24" s="29" customFormat="1">
      <c r="A296" s="34" t="s">
        <v>31</v>
      </c>
      <c r="B296" s="34" t="s">
        <v>1228</v>
      </c>
      <c r="C296" s="34" t="s">
        <v>1229</v>
      </c>
      <c r="D296" s="34">
        <f t="shared" si="4"/>
        <v>-1</v>
      </c>
      <c r="E296" s="34" t="s">
        <v>34</v>
      </c>
      <c r="F296" s="34" t="s">
        <v>828</v>
      </c>
      <c r="G296" s="34" t="s">
        <v>1230</v>
      </c>
      <c r="H296" s="34" t="s">
        <v>37</v>
      </c>
      <c r="I296" s="34" t="s">
        <v>38</v>
      </c>
      <c r="J296" s="34" t="s">
        <v>126</v>
      </c>
      <c r="K296" s="34" t="s">
        <v>127</v>
      </c>
      <c r="L296" s="34">
        <v>59111.09</v>
      </c>
      <c r="M296" s="34">
        <v>0</v>
      </c>
      <c r="N296" s="34">
        <v>0</v>
      </c>
      <c r="O296" s="34">
        <v>370222.09</v>
      </c>
      <c r="P296" s="34" t="s">
        <v>41</v>
      </c>
      <c r="Q296" s="34" t="s">
        <v>42</v>
      </c>
      <c r="R296" s="26"/>
      <c r="S296" s="26"/>
      <c r="T296" s="26" t="s">
        <v>43</v>
      </c>
      <c r="U296" s="26"/>
      <c r="V296" s="26"/>
      <c r="W296" s="26"/>
      <c r="X296" s="26"/>
    </row>
    <row r="297" spans="1:24" s="29" customFormat="1">
      <c r="A297" s="34" t="s">
        <v>31</v>
      </c>
      <c r="B297" s="34" t="s">
        <v>1231</v>
      </c>
      <c r="C297" s="34" t="s">
        <v>1232</v>
      </c>
      <c r="D297" s="34">
        <f t="shared" si="4"/>
        <v>-1</v>
      </c>
      <c r="E297" s="34" t="s">
        <v>34</v>
      </c>
      <c r="F297" s="34" t="s">
        <v>828</v>
      </c>
      <c r="G297" s="34" t="s">
        <v>1233</v>
      </c>
      <c r="H297" s="34" t="s">
        <v>37</v>
      </c>
      <c r="I297" s="34" t="s">
        <v>38</v>
      </c>
      <c r="J297" s="34" t="s">
        <v>126</v>
      </c>
      <c r="K297" s="34" t="s">
        <v>127</v>
      </c>
      <c r="L297" s="34">
        <v>118222.18</v>
      </c>
      <c r="M297" s="34">
        <v>0</v>
      </c>
      <c r="N297" s="34">
        <v>0</v>
      </c>
      <c r="O297" s="34">
        <v>740444.18</v>
      </c>
      <c r="P297" s="34" t="s">
        <v>41</v>
      </c>
      <c r="Q297" s="34" t="s">
        <v>42</v>
      </c>
      <c r="R297" s="26"/>
      <c r="S297" s="26"/>
      <c r="T297" s="26" t="s">
        <v>43</v>
      </c>
      <c r="U297" s="26"/>
      <c r="V297" s="26"/>
      <c r="W297" s="26"/>
      <c r="X297" s="26"/>
    </row>
    <row r="298" spans="1:24" s="29" customFormat="1">
      <c r="A298" s="34" t="s">
        <v>31</v>
      </c>
      <c r="B298" s="34" t="s">
        <v>1234</v>
      </c>
      <c r="C298" s="34" t="s">
        <v>1235</v>
      </c>
      <c r="D298" s="34">
        <f t="shared" si="4"/>
        <v>-1</v>
      </c>
      <c r="E298" s="34" t="s">
        <v>34</v>
      </c>
      <c r="F298" s="34" t="s">
        <v>828</v>
      </c>
      <c r="G298" s="34" t="s">
        <v>1236</v>
      </c>
      <c r="H298" s="34" t="s">
        <v>37</v>
      </c>
      <c r="I298" s="34" t="s">
        <v>38</v>
      </c>
      <c r="J298" s="34" t="s">
        <v>1237</v>
      </c>
      <c r="K298" s="34" t="s">
        <v>1238</v>
      </c>
      <c r="L298" s="34">
        <v>26241.47</v>
      </c>
      <c r="M298" s="34">
        <v>0</v>
      </c>
      <c r="N298" s="34">
        <v>0</v>
      </c>
      <c r="O298" s="34">
        <v>164354.47</v>
      </c>
      <c r="P298" s="34" t="s">
        <v>41</v>
      </c>
      <c r="Q298" s="34" t="s">
        <v>42</v>
      </c>
      <c r="R298" s="26"/>
      <c r="S298" s="26"/>
      <c r="T298" s="26" t="s">
        <v>43</v>
      </c>
      <c r="U298" s="26"/>
      <c r="V298" s="26"/>
      <c r="W298" s="26"/>
      <c r="X298" s="26"/>
    </row>
    <row r="299" spans="1:24" s="29" customFormat="1">
      <c r="A299" s="34" t="s">
        <v>31</v>
      </c>
      <c r="B299" s="34" t="s">
        <v>1239</v>
      </c>
      <c r="C299" s="34" t="s">
        <v>1240</v>
      </c>
      <c r="D299" s="34">
        <f t="shared" si="4"/>
        <v>-1</v>
      </c>
      <c r="E299" s="34" t="s">
        <v>34</v>
      </c>
      <c r="F299" s="34" t="s">
        <v>828</v>
      </c>
      <c r="G299" s="34" t="s">
        <v>1241</v>
      </c>
      <c r="H299" s="34" t="s">
        <v>37</v>
      </c>
      <c r="I299" s="34" t="s">
        <v>38</v>
      </c>
      <c r="J299" s="34" t="s">
        <v>1242</v>
      </c>
      <c r="K299" s="34" t="s">
        <v>1243</v>
      </c>
      <c r="L299" s="34">
        <v>26241.47</v>
      </c>
      <c r="M299" s="34">
        <v>0</v>
      </c>
      <c r="N299" s="34">
        <v>0</v>
      </c>
      <c r="O299" s="34">
        <v>164354.47</v>
      </c>
      <c r="P299" s="34" t="s">
        <v>41</v>
      </c>
      <c r="Q299" s="34" t="s">
        <v>42</v>
      </c>
      <c r="R299" s="26"/>
      <c r="S299" s="26"/>
      <c r="T299" s="26" t="s">
        <v>43</v>
      </c>
      <c r="U299" s="26"/>
      <c r="V299" s="26"/>
      <c r="W299" s="26"/>
      <c r="X299" s="26"/>
    </row>
    <row r="300" spans="1:24" s="29" customFormat="1">
      <c r="A300" s="34" t="s">
        <v>31</v>
      </c>
      <c r="B300" s="34" t="s">
        <v>1244</v>
      </c>
      <c r="C300" s="34" t="s">
        <v>1245</v>
      </c>
      <c r="D300" s="34">
        <f t="shared" si="4"/>
        <v>-1</v>
      </c>
      <c r="E300" s="34" t="s">
        <v>34</v>
      </c>
      <c r="F300" s="34" t="s">
        <v>828</v>
      </c>
      <c r="G300" s="34" t="s">
        <v>1246</v>
      </c>
      <c r="H300" s="34" t="s">
        <v>37</v>
      </c>
      <c r="I300" s="34" t="s">
        <v>38</v>
      </c>
      <c r="J300" s="34" t="s">
        <v>1247</v>
      </c>
      <c r="K300" s="34" t="s">
        <v>1248</v>
      </c>
      <c r="L300" s="34">
        <v>59111.09</v>
      </c>
      <c r="M300" s="34">
        <v>0</v>
      </c>
      <c r="N300" s="34">
        <v>0</v>
      </c>
      <c r="O300" s="34">
        <v>370222.09</v>
      </c>
      <c r="P300" s="34" t="s">
        <v>41</v>
      </c>
      <c r="Q300" s="34" t="s">
        <v>42</v>
      </c>
      <c r="R300" s="26"/>
      <c r="S300" s="26"/>
      <c r="T300" s="26" t="s">
        <v>43</v>
      </c>
      <c r="U300" s="26"/>
      <c r="V300" s="26"/>
      <c r="W300" s="26"/>
      <c r="X300" s="26"/>
    </row>
    <row r="301" spans="1:24" s="29" customFormat="1">
      <c r="A301" s="34" t="s">
        <v>31</v>
      </c>
      <c r="B301" s="34" t="s">
        <v>1249</v>
      </c>
      <c r="C301" s="34" t="s">
        <v>1250</v>
      </c>
      <c r="D301" s="34">
        <f t="shared" si="4"/>
        <v>-1</v>
      </c>
      <c r="E301" s="34" t="s">
        <v>34</v>
      </c>
      <c r="F301" s="34" t="s">
        <v>828</v>
      </c>
      <c r="G301" s="34" t="s">
        <v>1251</v>
      </c>
      <c r="H301" s="34" t="s">
        <v>37</v>
      </c>
      <c r="I301" s="34" t="s">
        <v>38</v>
      </c>
      <c r="J301" s="34" t="s">
        <v>1252</v>
      </c>
      <c r="K301" s="34" t="s">
        <v>1253</v>
      </c>
      <c r="L301" s="34">
        <v>160483.5</v>
      </c>
      <c r="M301" s="34">
        <v>0</v>
      </c>
      <c r="N301" s="34">
        <v>0</v>
      </c>
      <c r="O301" s="34">
        <v>1005133.5</v>
      </c>
      <c r="P301" s="34" t="s">
        <v>41</v>
      </c>
      <c r="Q301" s="34" t="s">
        <v>42</v>
      </c>
      <c r="R301" s="26"/>
      <c r="S301" s="26"/>
      <c r="T301" s="26" t="s">
        <v>43</v>
      </c>
      <c r="U301" s="26"/>
      <c r="V301" s="26"/>
      <c r="W301" s="26"/>
      <c r="X301" s="26"/>
    </row>
    <row r="302" spans="1:24" s="29" customFormat="1">
      <c r="A302" s="35" t="s">
        <v>31</v>
      </c>
      <c r="B302" s="35" t="s">
        <v>1254</v>
      </c>
      <c r="C302" s="35" t="s">
        <v>1255</v>
      </c>
      <c r="D302" s="35">
        <f t="shared" si="4"/>
        <v>-1</v>
      </c>
      <c r="E302" s="35" t="s">
        <v>34</v>
      </c>
      <c r="F302" s="35" t="s">
        <v>828</v>
      </c>
      <c r="G302" s="35" t="s">
        <v>1256</v>
      </c>
      <c r="H302" s="35" t="s">
        <v>37</v>
      </c>
      <c r="I302" s="35" t="s">
        <v>38</v>
      </c>
      <c r="J302" s="35" t="s">
        <v>1257</v>
      </c>
      <c r="K302" s="35" t="s">
        <v>1258</v>
      </c>
      <c r="L302" s="35">
        <v>867635</v>
      </c>
      <c r="M302" s="35">
        <v>0</v>
      </c>
      <c r="N302" s="35">
        <v>0</v>
      </c>
      <c r="O302" s="35">
        <v>5434135</v>
      </c>
      <c r="P302" s="35" t="s">
        <v>41</v>
      </c>
      <c r="Q302" s="35" t="s">
        <v>42</v>
      </c>
      <c r="R302" s="26"/>
      <c r="S302" s="26"/>
      <c r="T302" s="26"/>
      <c r="U302" s="26"/>
      <c r="V302" s="26"/>
      <c r="W302" s="35" t="s">
        <v>43</v>
      </c>
      <c r="X302" s="26" t="s">
        <v>1259</v>
      </c>
    </row>
    <row r="303" spans="1:24" s="29" customFormat="1">
      <c r="A303" s="26" t="s">
        <v>31</v>
      </c>
      <c r="B303" s="26" t="s">
        <v>1260</v>
      </c>
      <c r="C303" s="26" t="s">
        <v>1261</v>
      </c>
      <c r="D303" s="26">
        <f t="shared" si="4"/>
        <v>-1</v>
      </c>
      <c r="E303" s="26" t="s">
        <v>34</v>
      </c>
      <c r="F303" s="26" t="s">
        <v>828</v>
      </c>
      <c r="G303" s="26" t="s">
        <v>1262</v>
      </c>
      <c r="H303" s="26" t="s">
        <v>37</v>
      </c>
      <c r="I303" s="26" t="s">
        <v>38</v>
      </c>
      <c r="J303" s="26" t="s">
        <v>1263</v>
      </c>
      <c r="K303" s="26" t="s">
        <v>1264</v>
      </c>
      <c r="L303" s="26">
        <v>66845.8</v>
      </c>
      <c r="M303" s="26">
        <v>0</v>
      </c>
      <c r="N303" s="26">
        <v>0</v>
      </c>
      <c r="O303" s="26">
        <v>418665.8</v>
      </c>
      <c r="P303" s="26" t="s">
        <v>41</v>
      </c>
      <c r="Q303" s="26" t="s">
        <v>42</v>
      </c>
      <c r="R303" s="26"/>
      <c r="S303" s="26"/>
      <c r="T303" s="26"/>
      <c r="U303" s="26"/>
      <c r="V303" s="26" t="s">
        <v>43</v>
      </c>
      <c r="W303" s="26"/>
      <c r="X303" s="26"/>
    </row>
    <row r="304" spans="1:24" s="29" customFormat="1">
      <c r="A304" s="26" t="s">
        <v>31</v>
      </c>
      <c r="B304" s="26" t="s">
        <v>1265</v>
      </c>
      <c r="C304" s="26" t="s">
        <v>1266</v>
      </c>
      <c r="D304" s="26">
        <f t="shared" si="4"/>
        <v>-1</v>
      </c>
      <c r="E304" s="26" t="s">
        <v>34</v>
      </c>
      <c r="F304" s="26" t="s">
        <v>828</v>
      </c>
      <c r="G304" s="26" t="s">
        <v>1267</v>
      </c>
      <c r="H304" s="26" t="s">
        <v>37</v>
      </c>
      <c r="I304" s="26" t="s">
        <v>38</v>
      </c>
      <c r="J304" s="26" t="s">
        <v>1268</v>
      </c>
      <c r="K304" s="26" t="s">
        <v>1269</v>
      </c>
      <c r="L304" s="26">
        <v>147630</v>
      </c>
      <c r="M304" s="26">
        <v>0</v>
      </c>
      <c r="N304" s="26">
        <v>0</v>
      </c>
      <c r="O304" s="26">
        <v>924630</v>
      </c>
      <c r="P304" s="26" t="s">
        <v>41</v>
      </c>
      <c r="Q304" s="26" t="s">
        <v>42</v>
      </c>
      <c r="R304" s="26"/>
      <c r="S304" s="26"/>
      <c r="T304" s="26"/>
      <c r="U304" s="26"/>
      <c r="V304" s="26" t="s">
        <v>43</v>
      </c>
      <c r="W304" s="26"/>
      <c r="X304" s="26"/>
    </row>
    <row r="305" spans="1:24" s="29" customFormat="1">
      <c r="A305" s="26" t="s">
        <v>31</v>
      </c>
      <c r="B305" s="26" t="s">
        <v>1270</v>
      </c>
      <c r="C305" s="26" t="s">
        <v>1271</v>
      </c>
      <c r="D305" s="26">
        <f t="shared" si="4"/>
        <v>-1</v>
      </c>
      <c r="E305" s="26" t="s">
        <v>34</v>
      </c>
      <c r="F305" s="26" t="s">
        <v>828</v>
      </c>
      <c r="G305" s="26" t="s">
        <v>1272</v>
      </c>
      <c r="H305" s="26" t="s">
        <v>37</v>
      </c>
      <c r="I305" s="26" t="s">
        <v>38</v>
      </c>
      <c r="J305" s="26" t="s">
        <v>1268</v>
      </c>
      <c r="K305" s="26" t="s">
        <v>1269</v>
      </c>
      <c r="L305" s="26">
        <v>49875</v>
      </c>
      <c r="M305" s="26">
        <v>0</v>
      </c>
      <c r="N305" s="26">
        <v>0</v>
      </c>
      <c r="O305" s="26">
        <v>312375</v>
      </c>
      <c r="P305" s="26" t="s">
        <v>41</v>
      </c>
      <c r="Q305" s="26" t="s">
        <v>42</v>
      </c>
      <c r="R305" s="26"/>
      <c r="S305" s="26"/>
      <c r="T305" s="26"/>
      <c r="U305" s="26"/>
      <c r="V305" s="26" t="s">
        <v>43</v>
      </c>
      <c r="W305" s="26"/>
      <c r="X305" s="26"/>
    </row>
    <row r="306" spans="1:24" s="29" customFormat="1">
      <c r="A306" s="26" t="s">
        <v>31</v>
      </c>
      <c r="B306" s="26" t="s">
        <v>1273</v>
      </c>
      <c r="C306" s="26" t="s">
        <v>1274</v>
      </c>
      <c r="D306" s="26">
        <f t="shared" si="4"/>
        <v>-1</v>
      </c>
      <c r="E306" s="26" t="s">
        <v>34</v>
      </c>
      <c r="F306" s="26" t="s">
        <v>828</v>
      </c>
      <c r="G306" s="26" t="s">
        <v>1275</v>
      </c>
      <c r="H306" s="26" t="s">
        <v>37</v>
      </c>
      <c r="I306" s="26" t="s">
        <v>38</v>
      </c>
      <c r="J306" s="26" t="s">
        <v>1268</v>
      </c>
      <c r="K306" s="26" t="s">
        <v>1269</v>
      </c>
      <c r="L306" s="26">
        <v>25270</v>
      </c>
      <c r="M306" s="26">
        <v>0</v>
      </c>
      <c r="N306" s="26">
        <v>0</v>
      </c>
      <c r="O306" s="26">
        <v>158270</v>
      </c>
      <c r="P306" s="26" t="s">
        <v>41</v>
      </c>
      <c r="Q306" s="26" t="s">
        <v>42</v>
      </c>
      <c r="R306" s="26"/>
      <c r="S306" s="26"/>
      <c r="T306" s="26"/>
      <c r="U306" s="26"/>
      <c r="V306" s="26" t="s">
        <v>43</v>
      </c>
      <c r="W306" s="26"/>
      <c r="X306" s="26"/>
    </row>
    <row r="307" spans="1:24" s="29" customFormat="1">
      <c r="A307" s="26" t="s">
        <v>31</v>
      </c>
      <c r="B307" s="26" t="s">
        <v>1276</v>
      </c>
      <c r="C307" s="26" t="s">
        <v>1277</v>
      </c>
      <c r="D307" s="26">
        <f t="shared" si="4"/>
        <v>-1</v>
      </c>
      <c r="E307" s="26" t="s">
        <v>34</v>
      </c>
      <c r="F307" s="26" t="s">
        <v>828</v>
      </c>
      <c r="G307" s="26" t="s">
        <v>1278</v>
      </c>
      <c r="H307" s="26" t="s">
        <v>37</v>
      </c>
      <c r="I307" s="26" t="s">
        <v>38</v>
      </c>
      <c r="J307" s="26" t="s">
        <v>1279</v>
      </c>
      <c r="K307" s="26" t="s">
        <v>1280</v>
      </c>
      <c r="L307" s="26">
        <v>280440</v>
      </c>
      <c r="M307" s="26">
        <v>0</v>
      </c>
      <c r="N307" s="26">
        <v>0</v>
      </c>
      <c r="O307" s="26">
        <v>1756440</v>
      </c>
      <c r="P307" s="26" t="s">
        <v>41</v>
      </c>
      <c r="Q307" s="26" t="s">
        <v>42</v>
      </c>
      <c r="R307" s="26"/>
      <c r="S307" s="26"/>
      <c r="T307" s="26"/>
      <c r="U307" s="26"/>
      <c r="V307" s="26" t="s">
        <v>43</v>
      </c>
      <c r="W307" s="26"/>
      <c r="X307" s="26"/>
    </row>
    <row r="308" spans="1:24" s="29" customFormat="1">
      <c r="A308" s="26" t="s">
        <v>31</v>
      </c>
      <c r="B308" s="26" t="s">
        <v>1281</v>
      </c>
      <c r="C308" s="26" t="s">
        <v>1282</v>
      </c>
      <c r="D308" s="26">
        <f t="shared" si="4"/>
        <v>-1</v>
      </c>
      <c r="E308" s="26" t="s">
        <v>34</v>
      </c>
      <c r="F308" s="26" t="s">
        <v>828</v>
      </c>
      <c r="G308" s="26" t="s">
        <v>1283</v>
      </c>
      <c r="H308" s="26" t="s">
        <v>37</v>
      </c>
      <c r="I308" s="26" t="s">
        <v>38</v>
      </c>
      <c r="J308" s="26" t="s">
        <v>1284</v>
      </c>
      <c r="K308" s="26" t="s">
        <v>1285</v>
      </c>
      <c r="L308" s="26">
        <v>1930970</v>
      </c>
      <c r="M308" s="26">
        <v>0</v>
      </c>
      <c r="N308" s="26">
        <v>0</v>
      </c>
      <c r="O308" s="26">
        <v>12093970</v>
      </c>
      <c r="P308" s="26" t="s">
        <v>41</v>
      </c>
      <c r="Q308" s="26" t="s">
        <v>42</v>
      </c>
      <c r="R308" s="26"/>
      <c r="S308" s="26"/>
      <c r="T308" s="26"/>
      <c r="U308" s="26"/>
      <c r="V308" s="26" t="s">
        <v>43</v>
      </c>
      <c r="W308" s="26"/>
      <c r="X308" s="26"/>
    </row>
    <row r="309" spans="1:24" s="29" customFormat="1">
      <c r="A309" s="26" t="s">
        <v>31</v>
      </c>
      <c r="B309" s="26" t="s">
        <v>1286</v>
      </c>
      <c r="C309" s="26" t="s">
        <v>1287</v>
      </c>
      <c r="D309" s="26">
        <f t="shared" si="4"/>
        <v>-1</v>
      </c>
      <c r="E309" s="26" t="s">
        <v>34</v>
      </c>
      <c r="F309" s="26" t="s">
        <v>828</v>
      </c>
      <c r="G309" s="26" t="s">
        <v>1288</v>
      </c>
      <c r="H309" s="26" t="s">
        <v>37</v>
      </c>
      <c r="I309" s="26" t="s">
        <v>38</v>
      </c>
      <c r="J309" s="26" t="s">
        <v>1289</v>
      </c>
      <c r="K309" s="26" t="s">
        <v>1290</v>
      </c>
      <c r="L309" s="26">
        <v>1898480</v>
      </c>
      <c r="M309" s="26">
        <v>0</v>
      </c>
      <c r="N309" s="26">
        <v>0</v>
      </c>
      <c r="O309" s="26">
        <v>11890480</v>
      </c>
      <c r="P309" s="26" t="s">
        <v>41</v>
      </c>
      <c r="Q309" s="26" t="s">
        <v>42</v>
      </c>
      <c r="R309" s="26"/>
      <c r="S309" s="26"/>
      <c r="T309" s="26"/>
      <c r="U309" s="26"/>
      <c r="V309" s="26" t="s">
        <v>43</v>
      </c>
      <c r="W309" s="26"/>
      <c r="X309" s="26"/>
    </row>
    <row r="310" spans="1:24" s="29" customFormat="1">
      <c r="A310" s="26" t="s">
        <v>31</v>
      </c>
      <c r="B310" s="26" t="s">
        <v>1291</v>
      </c>
      <c r="C310" s="26" t="s">
        <v>1292</v>
      </c>
      <c r="D310" s="26">
        <f t="shared" si="4"/>
        <v>-1</v>
      </c>
      <c r="E310" s="26" t="s">
        <v>34</v>
      </c>
      <c r="F310" s="26" t="s">
        <v>828</v>
      </c>
      <c r="G310" s="26" t="s">
        <v>1293</v>
      </c>
      <c r="H310" s="26" t="s">
        <v>37</v>
      </c>
      <c r="I310" s="26" t="s">
        <v>38</v>
      </c>
      <c r="J310" s="26" t="s">
        <v>1294</v>
      </c>
      <c r="K310" s="26" t="s">
        <v>1295</v>
      </c>
      <c r="L310" s="26">
        <v>1163497.68</v>
      </c>
      <c r="M310" s="26">
        <v>0</v>
      </c>
      <c r="N310" s="26">
        <v>0</v>
      </c>
      <c r="O310" s="26">
        <v>7287169.6799999997</v>
      </c>
      <c r="P310" s="26" t="s">
        <v>41</v>
      </c>
      <c r="Q310" s="26" t="s">
        <v>42</v>
      </c>
      <c r="R310" s="26"/>
      <c r="S310" s="26"/>
      <c r="T310" s="26"/>
      <c r="U310" s="26"/>
      <c r="V310" s="26" t="s">
        <v>43</v>
      </c>
      <c r="W310" s="26"/>
      <c r="X310" s="26"/>
    </row>
    <row r="311" spans="1:24" s="29" customFormat="1">
      <c r="A311" s="26" t="s">
        <v>31</v>
      </c>
      <c r="B311" s="26" t="s">
        <v>1296</v>
      </c>
      <c r="C311" s="26" t="s">
        <v>1297</v>
      </c>
      <c r="D311" s="26">
        <f t="shared" si="4"/>
        <v>-1</v>
      </c>
      <c r="E311" s="26" t="s">
        <v>34</v>
      </c>
      <c r="F311" s="26" t="s">
        <v>828</v>
      </c>
      <c r="G311" s="26" t="s">
        <v>1298</v>
      </c>
      <c r="H311" s="26" t="s">
        <v>37</v>
      </c>
      <c r="I311" s="26" t="s">
        <v>38</v>
      </c>
      <c r="J311" s="26" t="s">
        <v>1299</v>
      </c>
      <c r="K311" s="26" t="s">
        <v>1300</v>
      </c>
      <c r="L311" s="26">
        <v>375581.36</v>
      </c>
      <c r="M311" s="26">
        <v>0</v>
      </c>
      <c r="N311" s="26">
        <v>0</v>
      </c>
      <c r="O311" s="26">
        <v>2352325.36</v>
      </c>
      <c r="P311" s="26" t="s">
        <v>41</v>
      </c>
      <c r="Q311" s="26" t="s">
        <v>42</v>
      </c>
      <c r="R311" s="26"/>
      <c r="S311" s="26"/>
      <c r="T311" s="26"/>
      <c r="U311" s="26"/>
      <c r="V311" s="26" t="s">
        <v>43</v>
      </c>
      <c r="W311" s="26"/>
      <c r="X311" s="26"/>
    </row>
    <row r="312" spans="1:24" s="29" customFormat="1">
      <c r="A312" s="26" t="s">
        <v>31</v>
      </c>
      <c r="B312" s="26" t="s">
        <v>1301</v>
      </c>
      <c r="C312" s="26" t="s">
        <v>1302</v>
      </c>
      <c r="D312" s="26">
        <f t="shared" si="4"/>
        <v>-1</v>
      </c>
      <c r="E312" s="26" t="s">
        <v>34</v>
      </c>
      <c r="F312" s="26" t="s">
        <v>828</v>
      </c>
      <c r="G312" s="26" t="s">
        <v>1303</v>
      </c>
      <c r="H312" s="26" t="s">
        <v>37</v>
      </c>
      <c r="I312" s="26" t="s">
        <v>38</v>
      </c>
      <c r="J312" s="26" t="s">
        <v>1299</v>
      </c>
      <c r="K312" s="26" t="s">
        <v>1300</v>
      </c>
      <c r="L312" s="26">
        <v>313036.78000000003</v>
      </c>
      <c r="M312" s="26">
        <v>0</v>
      </c>
      <c r="N312" s="26">
        <v>0</v>
      </c>
      <c r="O312" s="26">
        <v>1960598.78</v>
      </c>
      <c r="P312" s="26" t="s">
        <v>41</v>
      </c>
      <c r="Q312" s="26" t="s">
        <v>42</v>
      </c>
      <c r="R312" s="26"/>
      <c r="S312" s="26"/>
      <c r="T312" s="26"/>
      <c r="U312" s="26"/>
      <c r="V312" s="26" t="s">
        <v>43</v>
      </c>
      <c r="W312" s="26"/>
      <c r="X312" s="26"/>
    </row>
    <row r="313" spans="1:24" s="29" customFormat="1">
      <c r="A313" s="26" t="s">
        <v>31</v>
      </c>
      <c r="B313" s="26" t="s">
        <v>1304</v>
      </c>
      <c r="C313" s="26" t="s">
        <v>1305</v>
      </c>
      <c r="D313" s="26">
        <f t="shared" si="4"/>
        <v>-1</v>
      </c>
      <c r="E313" s="26" t="s">
        <v>34</v>
      </c>
      <c r="F313" s="26" t="s">
        <v>828</v>
      </c>
      <c r="G313" s="26" t="s">
        <v>1306</v>
      </c>
      <c r="H313" s="26" t="s">
        <v>37</v>
      </c>
      <c r="I313" s="26" t="s">
        <v>38</v>
      </c>
      <c r="J313" s="26" t="s">
        <v>1294</v>
      </c>
      <c r="K313" s="26" t="s">
        <v>1295</v>
      </c>
      <c r="L313" s="26">
        <v>914115.84</v>
      </c>
      <c r="M313" s="26">
        <v>0</v>
      </c>
      <c r="N313" s="26">
        <v>0</v>
      </c>
      <c r="O313" s="26">
        <v>5725251.8399999999</v>
      </c>
      <c r="P313" s="26" t="s">
        <v>41</v>
      </c>
      <c r="Q313" s="26" t="s">
        <v>42</v>
      </c>
      <c r="R313" s="26"/>
      <c r="S313" s="26"/>
      <c r="T313" s="26"/>
      <c r="U313" s="26"/>
      <c r="V313" s="26" t="s">
        <v>43</v>
      </c>
      <c r="W313" s="26"/>
      <c r="X313" s="26"/>
    </row>
    <row r="314" spans="1:24" s="29" customFormat="1">
      <c r="A314" s="34" t="s">
        <v>31</v>
      </c>
      <c r="B314" s="34" t="s">
        <v>1307</v>
      </c>
      <c r="C314" s="34" t="s">
        <v>1308</v>
      </c>
      <c r="D314" s="34">
        <f t="shared" si="4"/>
        <v>-1</v>
      </c>
      <c r="E314" s="34" t="s">
        <v>34</v>
      </c>
      <c r="F314" s="34" t="s">
        <v>828</v>
      </c>
      <c r="G314" s="34" t="s">
        <v>1309</v>
      </c>
      <c r="H314" s="34" t="s">
        <v>37</v>
      </c>
      <c r="I314" s="34" t="s">
        <v>38</v>
      </c>
      <c r="J314" s="34" t="s">
        <v>1310</v>
      </c>
      <c r="K314" s="34" t="s">
        <v>1311</v>
      </c>
      <c r="L314" s="34">
        <v>109059.81</v>
      </c>
      <c r="M314" s="34">
        <v>0</v>
      </c>
      <c r="N314" s="34">
        <v>0</v>
      </c>
      <c r="O314" s="34">
        <v>683058.81</v>
      </c>
      <c r="P314" s="34" t="s">
        <v>41</v>
      </c>
      <c r="Q314" s="34" t="s">
        <v>42</v>
      </c>
      <c r="R314" s="26"/>
      <c r="S314" s="26"/>
      <c r="T314" s="26" t="s">
        <v>43</v>
      </c>
      <c r="U314" s="26"/>
      <c r="V314" s="26"/>
      <c r="W314" s="26"/>
      <c r="X314" s="26"/>
    </row>
    <row r="315" spans="1:24" s="29" customFormat="1">
      <c r="A315" s="34" t="s">
        <v>31</v>
      </c>
      <c r="B315" s="34" t="s">
        <v>1312</v>
      </c>
      <c r="C315" s="34" t="s">
        <v>1313</v>
      </c>
      <c r="D315" s="34">
        <f t="shared" si="4"/>
        <v>-1</v>
      </c>
      <c r="E315" s="34" t="s">
        <v>34</v>
      </c>
      <c r="F315" s="34" t="s">
        <v>828</v>
      </c>
      <c r="G315" s="34" t="s">
        <v>1314</v>
      </c>
      <c r="H315" s="34" t="s">
        <v>37</v>
      </c>
      <c r="I315" s="34" t="s">
        <v>38</v>
      </c>
      <c r="J315" s="34" t="s">
        <v>1315</v>
      </c>
      <c r="K315" s="34" t="s">
        <v>1316</v>
      </c>
      <c r="L315" s="34">
        <v>53200</v>
      </c>
      <c r="M315" s="34">
        <v>0</v>
      </c>
      <c r="N315" s="34">
        <v>0</v>
      </c>
      <c r="O315" s="34">
        <v>333200</v>
      </c>
      <c r="P315" s="34" t="s">
        <v>41</v>
      </c>
      <c r="Q315" s="34" t="s">
        <v>42</v>
      </c>
      <c r="R315" s="26"/>
      <c r="S315" s="26"/>
      <c r="T315" s="26" t="s">
        <v>43</v>
      </c>
      <c r="U315" s="26"/>
      <c r="V315" s="26"/>
      <c r="W315" s="26"/>
      <c r="X315" s="26"/>
    </row>
    <row r="316" spans="1:24" s="29" customFormat="1">
      <c r="A316" s="34" t="s">
        <v>31</v>
      </c>
      <c r="B316" s="34" t="s">
        <v>1317</v>
      </c>
      <c r="C316" s="34" t="s">
        <v>1318</v>
      </c>
      <c r="D316" s="34">
        <f t="shared" si="4"/>
        <v>-1</v>
      </c>
      <c r="E316" s="34" t="s">
        <v>34</v>
      </c>
      <c r="F316" s="34" t="s">
        <v>828</v>
      </c>
      <c r="G316" s="34" t="s">
        <v>1319</v>
      </c>
      <c r="H316" s="34" t="s">
        <v>37</v>
      </c>
      <c r="I316" s="34" t="s">
        <v>38</v>
      </c>
      <c r="J316" s="34" t="s">
        <v>1310</v>
      </c>
      <c r="K316" s="34" t="s">
        <v>1311</v>
      </c>
      <c r="L316" s="34">
        <v>266000</v>
      </c>
      <c r="M316" s="34">
        <v>0</v>
      </c>
      <c r="N316" s="34">
        <v>0</v>
      </c>
      <c r="O316" s="34">
        <v>1666000</v>
      </c>
      <c r="P316" s="34" t="s">
        <v>41</v>
      </c>
      <c r="Q316" s="34" t="s">
        <v>42</v>
      </c>
      <c r="R316" s="26"/>
      <c r="S316" s="26"/>
      <c r="T316" s="26" t="s">
        <v>43</v>
      </c>
      <c r="U316" s="26"/>
      <c r="V316" s="26"/>
      <c r="W316" s="26"/>
      <c r="X316" s="26"/>
    </row>
    <row r="317" spans="1:24" s="29" customFormat="1">
      <c r="A317" s="26" t="s">
        <v>31</v>
      </c>
      <c r="B317" s="26" t="s">
        <v>1320</v>
      </c>
      <c r="C317" s="26" t="s">
        <v>1321</v>
      </c>
      <c r="D317" s="26">
        <f t="shared" si="4"/>
        <v>-1</v>
      </c>
      <c r="E317" s="26" t="s">
        <v>34</v>
      </c>
      <c r="F317" s="26" t="s">
        <v>828</v>
      </c>
      <c r="G317" s="26" t="s">
        <v>1322</v>
      </c>
      <c r="H317" s="26" t="s">
        <v>37</v>
      </c>
      <c r="I317" s="26" t="s">
        <v>38</v>
      </c>
      <c r="J317" s="26" t="s">
        <v>1310</v>
      </c>
      <c r="K317" s="26" t="s">
        <v>1311</v>
      </c>
      <c r="L317" s="26">
        <v>266000</v>
      </c>
      <c r="M317" s="26">
        <v>0</v>
      </c>
      <c r="N317" s="26">
        <v>0</v>
      </c>
      <c r="O317" s="26">
        <v>1666000</v>
      </c>
      <c r="P317" s="26" t="s">
        <v>41</v>
      </c>
      <c r="Q317" s="26" t="s">
        <v>42</v>
      </c>
      <c r="R317" s="26"/>
      <c r="S317" s="26"/>
      <c r="T317" s="26"/>
      <c r="U317" s="26"/>
      <c r="V317" s="26" t="s">
        <v>43</v>
      </c>
      <c r="W317" s="26"/>
      <c r="X317" s="26"/>
    </row>
    <row r="318" spans="1:24" s="29" customFormat="1">
      <c r="A318" s="34" t="s">
        <v>31</v>
      </c>
      <c r="B318" s="34" t="s">
        <v>1323</v>
      </c>
      <c r="C318" s="34" t="s">
        <v>1324</v>
      </c>
      <c r="D318" s="34">
        <f t="shared" si="4"/>
        <v>-1</v>
      </c>
      <c r="E318" s="34" t="s">
        <v>34</v>
      </c>
      <c r="F318" s="34" t="s">
        <v>828</v>
      </c>
      <c r="G318" s="34" t="s">
        <v>1325</v>
      </c>
      <c r="H318" s="34" t="s">
        <v>37</v>
      </c>
      <c r="I318" s="34" t="s">
        <v>38</v>
      </c>
      <c r="J318" s="34" t="s">
        <v>1326</v>
      </c>
      <c r="K318" s="34" t="s">
        <v>1327</v>
      </c>
      <c r="L318" s="34">
        <v>594331.02</v>
      </c>
      <c r="M318" s="34">
        <v>0</v>
      </c>
      <c r="N318" s="34">
        <v>0</v>
      </c>
      <c r="O318" s="34">
        <v>3722389.02</v>
      </c>
      <c r="P318" s="34" t="s">
        <v>41</v>
      </c>
      <c r="Q318" s="34" t="s">
        <v>42</v>
      </c>
      <c r="R318" s="26"/>
      <c r="S318" s="26"/>
      <c r="T318" s="26" t="s">
        <v>43</v>
      </c>
      <c r="U318" s="26"/>
      <c r="V318" s="26"/>
      <c r="W318" s="26"/>
      <c r="X318" s="26"/>
    </row>
    <row r="319" spans="1:24" s="29" customFormat="1">
      <c r="A319" s="34" t="s">
        <v>31</v>
      </c>
      <c r="B319" s="34" t="s">
        <v>1328</v>
      </c>
      <c r="C319" s="34" t="s">
        <v>1329</v>
      </c>
      <c r="D319" s="34">
        <f t="shared" si="4"/>
        <v>-1</v>
      </c>
      <c r="E319" s="34" t="s">
        <v>34</v>
      </c>
      <c r="F319" s="34" t="s">
        <v>828</v>
      </c>
      <c r="G319" s="34" t="s">
        <v>1330</v>
      </c>
      <c r="H319" s="34" t="s">
        <v>37</v>
      </c>
      <c r="I319" s="34" t="s">
        <v>38</v>
      </c>
      <c r="J319" s="34" t="s">
        <v>1331</v>
      </c>
      <c r="K319" s="34" t="s">
        <v>1332</v>
      </c>
      <c r="L319" s="34">
        <v>79442.8</v>
      </c>
      <c r="M319" s="34">
        <v>0</v>
      </c>
      <c r="N319" s="34">
        <v>0</v>
      </c>
      <c r="O319" s="34">
        <v>497562.8</v>
      </c>
      <c r="P319" s="34" t="s">
        <v>41</v>
      </c>
      <c r="Q319" s="34" t="s">
        <v>42</v>
      </c>
      <c r="R319" s="26"/>
      <c r="S319" s="26"/>
      <c r="T319" s="26" t="s">
        <v>43</v>
      </c>
      <c r="U319" s="26"/>
      <c r="V319" s="26"/>
      <c r="W319" s="26"/>
      <c r="X319" s="26"/>
    </row>
    <row r="320" spans="1:24" s="29" customFormat="1">
      <c r="A320" s="35" t="s">
        <v>31</v>
      </c>
      <c r="B320" s="35" t="s">
        <v>1333</v>
      </c>
      <c r="C320" s="35" t="s">
        <v>1334</v>
      </c>
      <c r="D320" s="35">
        <f t="shared" si="4"/>
        <v>-1</v>
      </c>
      <c r="E320" s="35" t="s">
        <v>34</v>
      </c>
      <c r="F320" s="35" t="s">
        <v>828</v>
      </c>
      <c r="G320" s="35" t="s">
        <v>1335</v>
      </c>
      <c r="H320" s="35" t="s">
        <v>37</v>
      </c>
      <c r="I320" s="35" t="s">
        <v>38</v>
      </c>
      <c r="J320" s="35" t="s">
        <v>1336</v>
      </c>
      <c r="K320" s="35" t="s">
        <v>1337</v>
      </c>
      <c r="L320" s="35">
        <v>11226.15</v>
      </c>
      <c r="M320" s="35">
        <v>0</v>
      </c>
      <c r="N320" s="35">
        <v>0</v>
      </c>
      <c r="O320" s="35">
        <v>70311.149999999994</v>
      </c>
      <c r="P320" s="35" t="s">
        <v>41</v>
      </c>
      <c r="Q320" s="35" t="s">
        <v>42</v>
      </c>
      <c r="R320" s="26"/>
      <c r="S320" s="26"/>
      <c r="T320" s="26"/>
      <c r="U320" s="26"/>
      <c r="V320" s="26"/>
      <c r="W320" s="26"/>
      <c r="X320" s="26" t="s">
        <v>1338</v>
      </c>
    </row>
    <row r="321" spans="1:24" s="29" customFormat="1">
      <c r="A321" s="35" t="s">
        <v>31</v>
      </c>
      <c r="B321" s="35" t="s">
        <v>1339</v>
      </c>
      <c r="C321" s="35" t="s">
        <v>1340</v>
      </c>
      <c r="D321" s="35">
        <f t="shared" si="4"/>
        <v>-1</v>
      </c>
      <c r="E321" s="35" t="s">
        <v>34</v>
      </c>
      <c r="F321" s="35" t="s">
        <v>828</v>
      </c>
      <c r="G321" s="35" t="s">
        <v>1341</v>
      </c>
      <c r="H321" s="35" t="s">
        <v>37</v>
      </c>
      <c r="I321" s="35" t="s">
        <v>38</v>
      </c>
      <c r="J321" s="35" t="s">
        <v>1342</v>
      </c>
      <c r="K321" s="35" t="s">
        <v>1343</v>
      </c>
      <c r="L321" s="35">
        <v>427500</v>
      </c>
      <c r="M321" s="35">
        <v>0</v>
      </c>
      <c r="N321" s="35">
        <v>0</v>
      </c>
      <c r="O321" s="35">
        <v>2677500</v>
      </c>
      <c r="P321" s="35" t="s">
        <v>41</v>
      </c>
      <c r="Q321" s="35" t="s">
        <v>42</v>
      </c>
      <c r="R321" s="26"/>
      <c r="S321" s="26"/>
      <c r="T321" s="26"/>
      <c r="U321" s="26"/>
      <c r="V321" s="26"/>
      <c r="W321" s="35" t="s">
        <v>43</v>
      </c>
      <c r="X321" s="26" t="s">
        <v>1344</v>
      </c>
    </row>
    <row r="322" spans="1:24" s="29" customFormat="1">
      <c r="A322" s="35" t="s">
        <v>31</v>
      </c>
      <c r="B322" s="35" t="s">
        <v>1345</v>
      </c>
      <c r="C322" s="35" t="s">
        <v>1346</v>
      </c>
      <c r="D322" s="35">
        <f t="shared" si="4"/>
        <v>-1</v>
      </c>
      <c r="E322" s="35" t="s">
        <v>34</v>
      </c>
      <c r="F322" s="35" t="s">
        <v>828</v>
      </c>
      <c r="G322" s="35" t="s">
        <v>1347</v>
      </c>
      <c r="H322" s="35" t="s">
        <v>37</v>
      </c>
      <c r="I322" s="35" t="s">
        <v>38</v>
      </c>
      <c r="J322" s="35" t="s">
        <v>499</v>
      </c>
      <c r="K322" s="35" t="s">
        <v>500</v>
      </c>
      <c r="L322" s="35">
        <v>112100</v>
      </c>
      <c r="M322" s="35">
        <v>0</v>
      </c>
      <c r="N322" s="35">
        <v>0</v>
      </c>
      <c r="O322" s="35">
        <v>702100</v>
      </c>
      <c r="P322" s="35" t="s">
        <v>41</v>
      </c>
      <c r="Q322" s="35" t="s">
        <v>42</v>
      </c>
      <c r="R322" s="26"/>
      <c r="S322" s="26"/>
      <c r="T322" s="26"/>
      <c r="U322" s="26"/>
      <c r="V322" s="26"/>
      <c r="W322" s="26" t="s">
        <v>43</v>
      </c>
      <c r="X322" s="26" t="s">
        <v>501</v>
      </c>
    </row>
    <row r="323" spans="1:24" s="29" customFormat="1">
      <c r="A323" s="34" t="s">
        <v>31</v>
      </c>
      <c r="B323" s="34" t="s">
        <v>1348</v>
      </c>
      <c r="C323" s="34" t="s">
        <v>1349</v>
      </c>
      <c r="D323" s="34">
        <f t="shared" si="4"/>
        <v>-1</v>
      </c>
      <c r="E323" s="34" t="s">
        <v>34</v>
      </c>
      <c r="F323" s="34" t="s">
        <v>828</v>
      </c>
      <c r="G323" s="34" t="s">
        <v>1350</v>
      </c>
      <c r="H323" s="34" t="s">
        <v>37</v>
      </c>
      <c r="I323" s="34" t="s">
        <v>38</v>
      </c>
      <c r="J323" s="34" t="s">
        <v>1351</v>
      </c>
      <c r="K323" s="34" t="s">
        <v>1352</v>
      </c>
      <c r="L323" s="34">
        <v>371640</v>
      </c>
      <c r="M323" s="34">
        <v>0</v>
      </c>
      <c r="N323" s="34">
        <v>0</v>
      </c>
      <c r="O323" s="34">
        <v>2327640</v>
      </c>
      <c r="P323" s="34" t="s">
        <v>41</v>
      </c>
      <c r="Q323" s="34" t="s">
        <v>42</v>
      </c>
      <c r="R323" s="26"/>
      <c r="S323" s="26"/>
      <c r="T323" s="26" t="s">
        <v>43</v>
      </c>
      <c r="U323" s="26"/>
      <c r="V323" s="26"/>
      <c r="W323" s="26"/>
      <c r="X323" s="26"/>
    </row>
    <row r="324" spans="1:24" s="29" customFormat="1">
      <c r="A324" s="32" t="s">
        <v>31</v>
      </c>
      <c r="B324" s="32" t="s">
        <v>1353</v>
      </c>
      <c r="C324" s="32" t="s">
        <v>1354</v>
      </c>
      <c r="D324" s="32">
        <f t="shared" si="4"/>
        <v>-1</v>
      </c>
      <c r="E324" s="32" t="s">
        <v>34</v>
      </c>
      <c r="F324" s="32" t="s">
        <v>828</v>
      </c>
      <c r="G324" s="32" t="s">
        <v>1355</v>
      </c>
      <c r="H324" s="32" t="s">
        <v>37</v>
      </c>
      <c r="I324" s="32" t="s">
        <v>38</v>
      </c>
      <c r="J324" s="32" t="s">
        <v>1356</v>
      </c>
      <c r="K324" s="32" t="s">
        <v>1357</v>
      </c>
      <c r="L324" s="32">
        <v>1634000</v>
      </c>
      <c r="M324" s="32">
        <v>0</v>
      </c>
      <c r="N324" s="32">
        <v>0</v>
      </c>
      <c r="O324" s="32">
        <v>10234000</v>
      </c>
      <c r="P324" s="32" t="s">
        <v>41</v>
      </c>
      <c r="Q324" s="32" t="s">
        <v>42</v>
      </c>
      <c r="R324" s="26" t="s">
        <v>43</v>
      </c>
      <c r="S324" s="26"/>
      <c r="T324" s="26"/>
      <c r="U324" s="26"/>
      <c r="V324" s="26"/>
      <c r="W324" s="26"/>
      <c r="X324" s="26"/>
    </row>
    <row r="325" spans="1:24" s="29" customFormat="1">
      <c r="A325" s="35" t="s">
        <v>31</v>
      </c>
      <c r="B325" s="35" t="s">
        <v>1358</v>
      </c>
      <c r="C325" s="35" t="s">
        <v>1359</v>
      </c>
      <c r="D325" s="35">
        <f t="shared" si="4"/>
        <v>-1</v>
      </c>
      <c r="E325" s="35" t="s">
        <v>34</v>
      </c>
      <c r="F325" s="35" t="s">
        <v>828</v>
      </c>
      <c r="G325" s="35" t="s">
        <v>1360</v>
      </c>
      <c r="H325" s="35" t="s">
        <v>37</v>
      </c>
      <c r="I325" s="35" t="s">
        <v>38</v>
      </c>
      <c r="J325" s="35" t="s">
        <v>1361</v>
      </c>
      <c r="K325" s="35" t="s">
        <v>1362</v>
      </c>
      <c r="L325" s="35">
        <v>43814</v>
      </c>
      <c r="M325" s="35">
        <v>0</v>
      </c>
      <c r="N325" s="35">
        <v>0</v>
      </c>
      <c r="O325" s="35">
        <v>274414</v>
      </c>
      <c r="P325" s="35" t="s">
        <v>41</v>
      </c>
      <c r="Q325" s="35" t="s">
        <v>42</v>
      </c>
      <c r="R325" s="26"/>
      <c r="S325" s="26"/>
      <c r="T325" s="26"/>
      <c r="U325" s="26"/>
      <c r="V325" s="26"/>
      <c r="W325" s="35" t="s">
        <v>43</v>
      </c>
      <c r="X325" s="26" t="s">
        <v>1363</v>
      </c>
    </row>
    <row r="326" spans="1:24" s="29" customFormat="1">
      <c r="A326" s="35" t="s">
        <v>31</v>
      </c>
      <c r="B326" s="35" t="s">
        <v>1364</v>
      </c>
      <c r="C326" s="35" t="s">
        <v>1365</v>
      </c>
      <c r="D326" s="35">
        <f t="shared" si="4"/>
        <v>-1</v>
      </c>
      <c r="E326" s="35" t="s">
        <v>34</v>
      </c>
      <c r="F326" s="35" t="s">
        <v>828</v>
      </c>
      <c r="G326" s="35" t="s">
        <v>1366</v>
      </c>
      <c r="H326" s="35" t="s">
        <v>37</v>
      </c>
      <c r="I326" s="35" t="s">
        <v>38</v>
      </c>
      <c r="J326" s="35" t="s">
        <v>1367</v>
      </c>
      <c r="K326" s="35" t="s">
        <v>1368</v>
      </c>
      <c r="L326" s="35">
        <v>476266.92</v>
      </c>
      <c r="M326" s="35">
        <v>0</v>
      </c>
      <c r="N326" s="35">
        <v>0</v>
      </c>
      <c r="O326" s="35">
        <v>2982934.92</v>
      </c>
      <c r="P326" s="35" t="s">
        <v>41</v>
      </c>
      <c r="Q326" s="35" t="s">
        <v>42</v>
      </c>
      <c r="R326" s="26"/>
      <c r="S326" s="26"/>
      <c r="T326" s="26"/>
      <c r="U326" s="26"/>
      <c r="V326" s="26"/>
      <c r="W326" s="35" t="s">
        <v>43</v>
      </c>
      <c r="X326" s="26" t="s">
        <v>1259</v>
      </c>
    </row>
    <row r="327" spans="1:24" s="29" customFormat="1">
      <c r="A327" s="35" t="s">
        <v>31</v>
      </c>
      <c r="B327" s="35" t="s">
        <v>1369</v>
      </c>
      <c r="C327" s="35" t="s">
        <v>1370</v>
      </c>
      <c r="D327" s="35">
        <f t="shared" si="4"/>
        <v>-1</v>
      </c>
      <c r="E327" s="35" t="s">
        <v>34</v>
      </c>
      <c r="F327" s="35" t="s">
        <v>828</v>
      </c>
      <c r="G327" s="35" t="s">
        <v>1371</v>
      </c>
      <c r="H327" s="35" t="s">
        <v>37</v>
      </c>
      <c r="I327" s="35" t="s">
        <v>38</v>
      </c>
      <c r="J327" s="35" t="s">
        <v>1372</v>
      </c>
      <c r="K327" s="35" t="s">
        <v>1373</v>
      </c>
      <c r="L327" s="35">
        <v>4332000</v>
      </c>
      <c r="M327" s="35">
        <v>0</v>
      </c>
      <c r="N327" s="35">
        <v>0</v>
      </c>
      <c r="O327" s="35">
        <v>27132000</v>
      </c>
      <c r="P327" s="35" t="s">
        <v>41</v>
      </c>
      <c r="Q327" s="35" t="s">
        <v>42</v>
      </c>
      <c r="R327" s="26"/>
      <c r="S327" s="26"/>
      <c r="T327" s="26"/>
      <c r="U327" s="26"/>
      <c r="V327" s="26"/>
      <c r="W327" s="35" t="s">
        <v>43</v>
      </c>
      <c r="X327" s="26" t="s">
        <v>1029</v>
      </c>
    </row>
    <row r="328" spans="1:24" s="29" customFormat="1">
      <c r="A328" s="35" t="s">
        <v>31</v>
      </c>
      <c r="B328" s="35" t="s">
        <v>1374</v>
      </c>
      <c r="C328" s="35" t="s">
        <v>1375</v>
      </c>
      <c r="D328" s="35">
        <f t="shared" si="4"/>
        <v>-1</v>
      </c>
      <c r="E328" s="35" t="s">
        <v>34</v>
      </c>
      <c r="F328" s="35" t="s">
        <v>828</v>
      </c>
      <c r="G328" s="35" t="s">
        <v>1376</v>
      </c>
      <c r="H328" s="35" t="s">
        <v>37</v>
      </c>
      <c r="I328" s="35" t="s">
        <v>38</v>
      </c>
      <c r="J328" s="35" t="s">
        <v>1372</v>
      </c>
      <c r="K328" s="35" t="s">
        <v>1373</v>
      </c>
      <c r="L328" s="35">
        <v>743656.2</v>
      </c>
      <c r="M328" s="35">
        <v>0</v>
      </c>
      <c r="N328" s="35">
        <v>0</v>
      </c>
      <c r="O328" s="35">
        <v>4657636.2</v>
      </c>
      <c r="P328" s="35" t="s">
        <v>41</v>
      </c>
      <c r="Q328" s="35" t="s">
        <v>42</v>
      </c>
      <c r="R328" s="26"/>
      <c r="S328" s="26"/>
      <c r="T328" s="26"/>
      <c r="U328" s="26"/>
      <c r="V328" s="26"/>
      <c r="W328" s="35" t="s">
        <v>43</v>
      </c>
      <c r="X328" s="26" t="s">
        <v>1377</v>
      </c>
    </row>
    <row r="329" spans="1:24" s="29" customFormat="1">
      <c r="A329" s="35" t="s">
        <v>31</v>
      </c>
      <c r="B329" s="35" t="s">
        <v>1378</v>
      </c>
      <c r="C329" s="35" t="s">
        <v>1379</v>
      </c>
      <c r="D329" s="35">
        <f t="shared" si="4"/>
        <v>-1</v>
      </c>
      <c r="E329" s="35" t="s">
        <v>34</v>
      </c>
      <c r="F329" s="35" t="s">
        <v>828</v>
      </c>
      <c r="G329" s="35" t="s">
        <v>1380</v>
      </c>
      <c r="H329" s="35" t="s">
        <v>37</v>
      </c>
      <c r="I329" s="35" t="s">
        <v>38</v>
      </c>
      <c r="J329" s="35" t="s">
        <v>1372</v>
      </c>
      <c r="K329" s="35" t="s">
        <v>1373</v>
      </c>
      <c r="L329" s="35">
        <v>99055.17</v>
      </c>
      <c r="M329" s="35">
        <v>0</v>
      </c>
      <c r="N329" s="35">
        <v>0</v>
      </c>
      <c r="O329" s="35">
        <v>620398.17000000004</v>
      </c>
      <c r="P329" s="35" t="s">
        <v>41</v>
      </c>
      <c r="Q329" s="35" t="s">
        <v>42</v>
      </c>
      <c r="R329" s="26"/>
      <c r="S329" s="26"/>
      <c r="T329" s="26"/>
      <c r="U329" s="26"/>
      <c r="V329" s="26"/>
      <c r="W329" s="35" t="s">
        <v>43</v>
      </c>
      <c r="X329" s="26" t="s">
        <v>1029</v>
      </c>
    </row>
    <row r="330" spans="1:24" s="29" customFormat="1">
      <c r="A330" s="35" t="s">
        <v>31</v>
      </c>
      <c r="B330" s="35" t="s">
        <v>1381</v>
      </c>
      <c r="C330" s="35" t="s">
        <v>1382</v>
      </c>
      <c r="D330" s="35">
        <f t="shared" si="4"/>
        <v>-1</v>
      </c>
      <c r="E330" s="35" t="s">
        <v>34</v>
      </c>
      <c r="F330" s="35" t="s">
        <v>828</v>
      </c>
      <c r="G330" s="35" t="s">
        <v>1383</v>
      </c>
      <c r="H330" s="35" t="s">
        <v>37</v>
      </c>
      <c r="I330" s="35" t="s">
        <v>38</v>
      </c>
      <c r="J330" s="35" t="s">
        <v>1372</v>
      </c>
      <c r="K330" s="35" t="s">
        <v>1373</v>
      </c>
      <c r="L330" s="35">
        <v>36594</v>
      </c>
      <c r="M330" s="35">
        <v>0</v>
      </c>
      <c r="N330" s="35">
        <v>0</v>
      </c>
      <c r="O330" s="35">
        <v>229194</v>
      </c>
      <c r="P330" s="35" t="s">
        <v>41</v>
      </c>
      <c r="Q330" s="35" t="s">
        <v>42</v>
      </c>
      <c r="R330" s="26"/>
      <c r="S330" s="26"/>
      <c r="T330" s="26"/>
      <c r="U330" s="26"/>
      <c r="V330" s="26"/>
      <c r="W330" s="35" t="s">
        <v>43</v>
      </c>
      <c r="X330" s="26" t="s">
        <v>1384</v>
      </c>
    </row>
    <row r="331" spans="1:24" s="29" customFormat="1">
      <c r="A331" s="35" t="s">
        <v>31</v>
      </c>
      <c r="B331" s="35" t="s">
        <v>1385</v>
      </c>
      <c r="C331" s="35" t="s">
        <v>1386</v>
      </c>
      <c r="D331" s="35">
        <f t="shared" si="4"/>
        <v>-1</v>
      </c>
      <c r="E331" s="35" t="s">
        <v>34</v>
      </c>
      <c r="F331" s="35" t="s">
        <v>828</v>
      </c>
      <c r="G331" s="35" t="s">
        <v>1387</v>
      </c>
      <c r="H331" s="35" t="s">
        <v>37</v>
      </c>
      <c r="I331" s="35" t="s">
        <v>38</v>
      </c>
      <c r="J331" s="35" t="s">
        <v>1372</v>
      </c>
      <c r="K331" s="35" t="s">
        <v>1373</v>
      </c>
      <c r="L331" s="35">
        <v>50666.73</v>
      </c>
      <c r="M331" s="35">
        <v>0</v>
      </c>
      <c r="N331" s="35">
        <v>0</v>
      </c>
      <c r="O331" s="35">
        <v>317333.73</v>
      </c>
      <c r="P331" s="35" t="s">
        <v>41</v>
      </c>
      <c r="Q331" s="35" t="s">
        <v>42</v>
      </c>
      <c r="R331" s="26"/>
      <c r="S331" s="26"/>
      <c r="T331" s="26"/>
      <c r="U331" s="26"/>
      <c r="V331" s="26"/>
      <c r="W331" s="35" t="s">
        <v>43</v>
      </c>
      <c r="X331" s="26" t="s">
        <v>1388</v>
      </c>
    </row>
    <row r="332" spans="1:24" s="29" customFormat="1">
      <c r="A332" s="35" t="s">
        <v>31</v>
      </c>
      <c r="B332" s="35" t="s">
        <v>1389</v>
      </c>
      <c r="C332" s="35" t="s">
        <v>1390</v>
      </c>
      <c r="D332" s="35">
        <f t="shared" si="4"/>
        <v>-1</v>
      </c>
      <c r="E332" s="35" t="s">
        <v>34</v>
      </c>
      <c r="F332" s="35" t="s">
        <v>828</v>
      </c>
      <c r="G332" s="35" t="s">
        <v>1391</v>
      </c>
      <c r="H332" s="35" t="s">
        <v>37</v>
      </c>
      <c r="I332" s="35" t="s">
        <v>38</v>
      </c>
      <c r="J332" s="35" t="s">
        <v>1372</v>
      </c>
      <c r="K332" s="35" t="s">
        <v>1373</v>
      </c>
      <c r="L332" s="35">
        <v>51818.32</v>
      </c>
      <c r="M332" s="35">
        <v>0</v>
      </c>
      <c r="N332" s="35">
        <v>0</v>
      </c>
      <c r="O332" s="35">
        <v>324546.32</v>
      </c>
      <c r="P332" s="35" t="s">
        <v>41</v>
      </c>
      <c r="Q332" s="35" t="s">
        <v>42</v>
      </c>
      <c r="R332" s="26"/>
      <c r="S332" s="26"/>
      <c r="T332" s="26"/>
      <c r="U332" s="26"/>
      <c r="V332" s="26"/>
      <c r="W332" s="35" t="s">
        <v>43</v>
      </c>
      <c r="X332" s="26" t="s">
        <v>1029</v>
      </c>
    </row>
    <row r="333" spans="1:24" s="29" customFormat="1">
      <c r="A333" s="35" t="s">
        <v>31</v>
      </c>
      <c r="B333" s="35" t="s">
        <v>1392</v>
      </c>
      <c r="C333" s="35" t="s">
        <v>1393</v>
      </c>
      <c r="D333" s="35">
        <f t="shared" ref="D333:D396" si="5">C333-C334</f>
        <v>-1</v>
      </c>
      <c r="E333" s="35" t="s">
        <v>34</v>
      </c>
      <c r="F333" s="35" t="s">
        <v>828</v>
      </c>
      <c r="G333" s="35" t="s">
        <v>1394</v>
      </c>
      <c r="H333" s="35" t="s">
        <v>37</v>
      </c>
      <c r="I333" s="35" t="s">
        <v>38</v>
      </c>
      <c r="J333" s="35" t="s">
        <v>1372</v>
      </c>
      <c r="K333" s="35" t="s">
        <v>1373</v>
      </c>
      <c r="L333" s="35">
        <v>705196.78</v>
      </c>
      <c r="M333" s="35">
        <v>0</v>
      </c>
      <c r="N333" s="35">
        <v>0</v>
      </c>
      <c r="O333" s="35">
        <v>4416758.78</v>
      </c>
      <c r="P333" s="35" t="s">
        <v>41</v>
      </c>
      <c r="Q333" s="35" t="s">
        <v>42</v>
      </c>
      <c r="R333" s="26"/>
      <c r="S333" s="26"/>
      <c r="T333" s="26"/>
      <c r="U333" s="26"/>
      <c r="V333" s="26"/>
      <c r="W333" s="35" t="s">
        <v>43</v>
      </c>
      <c r="X333" s="28" t="s">
        <v>1029</v>
      </c>
    </row>
    <row r="334" spans="1:24" s="29" customFormat="1">
      <c r="A334" s="35" t="s">
        <v>31</v>
      </c>
      <c r="B334" s="35" t="s">
        <v>1395</v>
      </c>
      <c r="C334" s="35" t="s">
        <v>1396</v>
      </c>
      <c r="D334" s="35">
        <f t="shared" si="5"/>
        <v>-1</v>
      </c>
      <c r="E334" s="35" t="s">
        <v>34</v>
      </c>
      <c r="F334" s="35" t="s">
        <v>828</v>
      </c>
      <c r="G334" s="35" t="s">
        <v>1397</v>
      </c>
      <c r="H334" s="35" t="s">
        <v>37</v>
      </c>
      <c r="I334" s="35" t="s">
        <v>38</v>
      </c>
      <c r="J334" s="35" t="s">
        <v>1372</v>
      </c>
      <c r="K334" s="35" t="s">
        <v>1373</v>
      </c>
      <c r="L334" s="35">
        <v>134038.54</v>
      </c>
      <c r="M334" s="35">
        <v>0</v>
      </c>
      <c r="N334" s="35">
        <v>0</v>
      </c>
      <c r="O334" s="35">
        <v>839504.54</v>
      </c>
      <c r="P334" s="35" t="s">
        <v>41</v>
      </c>
      <c r="Q334" s="35" t="s">
        <v>42</v>
      </c>
      <c r="R334" s="26"/>
      <c r="S334" s="26"/>
      <c r="T334" s="26"/>
      <c r="U334" s="26"/>
      <c r="V334" s="26"/>
      <c r="W334" s="35" t="s">
        <v>43</v>
      </c>
      <c r="X334" s="28">
        <v>46076</v>
      </c>
    </row>
    <row r="335" spans="1:24" s="29" customFormat="1">
      <c r="A335" s="26" t="s">
        <v>31</v>
      </c>
      <c r="B335" s="26" t="s">
        <v>1398</v>
      </c>
      <c r="C335" s="26" t="s">
        <v>1399</v>
      </c>
      <c r="D335" s="26">
        <f t="shared" si="5"/>
        <v>-1</v>
      </c>
      <c r="E335" s="26" t="s">
        <v>34</v>
      </c>
      <c r="F335" s="26" t="s">
        <v>828</v>
      </c>
      <c r="G335" s="26" t="s">
        <v>1400</v>
      </c>
      <c r="H335" s="26" t="s">
        <v>37</v>
      </c>
      <c r="I335" s="26" t="s">
        <v>38</v>
      </c>
      <c r="J335" s="26" t="s">
        <v>1401</v>
      </c>
      <c r="K335" s="26" t="s">
        <v>1402</v>
      </c>
      <c r="L335" s="26">
        <v>542442.59</v>
      </c>
      <c r="M335" s="26">
        <v>0</v>
      </c>
      <c r="N335" s="26">
        <v>0</v>
      </c>
      <c r="O335" s="26">
        <v>3397403.59</v>
      </c>
      <c r="P335" s="26" t="s">
        <v>41</v>
      </c>
      <c r="Q335" s="26" t="s">
        <v>42</v>
      </c>
      <c r="R335" s="26"/>
      <c r="S335" s="26"/>
      <c r="T335" s="26"/>
      <c r="U335" s="26"/>
      <c r="V335" s="26" t="s">
        <v>43</v>
      </c>
      <c r="W335" s="26"/>
      <c r="X335" s="26"/>
    </row>
    <row r="336" spans="1:24" s="29" customFormat="1">
      <c r="A336" s="32" t="s">
        <v>31</v>
      </c>
      <c r="B336" s="32" t="s">
        <v>1403</v>
      </c>
      <c r="C336" s="32" t="s">
        <v>1404</v>
      </c>
      <c r="D336" s="32">
        <f t="shared" si="5"/>
        <v>-1</v>
      </c>
      <c r="E336" s="32" t="s">
        <v>34</v>
      </c>
      <c r="F336" s="32" t="s">
        <v>828</v>
      </c>
      <c r="G336" s="32" t="s">
        <v>1405</v>
      </c>
      <c r="H336" s="32" t="s">
        <v>37</v>
      </c>
      <c r="I336" s="32" t="s">
        <v>38</v>
      </c>
      <c r="J336" s="32" t="s">
        <v>1406</v>
      </c>
      <c r="K336" s="32" t="s">
        <v>1407</v>
      </c>
      <c r="L336" s="32">
        <v>213180</v>
      </c>
      <c r="M336" s="32">
        <v>0</v>
      </c>
      <c r="N336" s="32">
        <v>0</v>
      </c>
      <c r="O336" s="32">
        <v>1335180</v>
      </c>
      <c r="P336" s="32" t="s">
        <v>41</v>
      </c>
      <c r="Q336" s="32" t="s">
        <v>42</v>
      </c>
      <c r="R336" s="26" t="s">
        <v>43</v>
      </c>
      <c r="S336" s="26"/>
      <c r="T336" s="26"/>
      <c r="U336" s="26"/>
      <c r="V336" s="26"/>
      <c r="W336" s="26"/>
      <c r="X336" s="26"/>
    </row>
    <row r="337" spans="1:24" s="29" customFormat="1">
      <c r="A337" s="32" t="s">
        <v>31</v>
      </c>
      <c r="B337" s="32" t="s">
        <v>1408</v>
      </c>
      <c r="C337" s="32" t="s">
        <v>1409</v>
      </c>
      <c r="D337" s="32">
        <f t="shared" si="5"/>
        <v>-1</v>
      </c>
      <c r="E337" s="32" t="s">
        <v>34</v>
      </c>
      <c r="F337" s="32" t="s">
        <v>828</v>
      </c>
      <c r="G337" s="32" t="s">
        <v>1410</v>
      </c>
      <c r="H337" s="32" t="s">
        <v>37</v>
      </c>
      <c r="I337" s="32" t="s">
        <v>38</v>
      </c>
      <c r="J337" s="32" t="s">
        <v>1406</v>
      </c>
      <c r="K337" s="32" t="s">
        <v>1407</v>
      </c>
      <c r="L337" s="32">
        <v>107160</v>
      </c>
      <c r="M337" s="32">
        <v>0</v>
      </c>
      <c r="N337" s="32">
        <v>0</v>
      </c>
      <c r="O337" s="32">
        <v>671160</v>
      </c>
      <c r="P337" s="32" t="s">
        <v>41</v>
      </c>
      <c r="Q337" s="32" t="s">
        <v>42</v>
      </c>
      <c r="R337" s="26" t="s">
        <v>43</v>
      </c>
      <c r="S337" s="26"/>
      <c r="T337" s="26"/>
      <c r="U337" s="26"/>
      <c r="V337" s="26"/>
      <c r="W337" s="26"/>
      <c r="X337" s="26"/>
    </row>
    <row r="338" spans="1:24" s="29" customFormat="1">
      <c r="A338" s="32" t="s">
        <v>31</v>
      </c>
      <c r="B338" s="32" t="s">
        <v>1411</v>
      </c>
      <c r="C338" s="32" t="s">
        <v>1412</v>
      </c>
      <c r="D338" s="32">
        <f t="shared" si="5"/>
        <v>-1</v>
      </c>
      <c r="E338" s="32" t="s">
        <v>34</v>
      </c>
      <c r="F338" s="32" t="s">
        <v>828</v>
      </c>
      <c r="G338" s="32" t="s">
        <v>1413</v>
      </c>
      <c r="H338" s="32" t="s">
        <v>37</v>
      </c>
      <c r="I338" s="32" t="s">
        <v>38</v>
      </c>
      <c r="J338" s="32" t="s">
        <v>1414</v>
      </c>
      <c r="K338" s="32" t="s">
        <v>1415</v>
      </c>
      <c r="L338" s="32">
        <v>98800</v>
      </c>
      <c r="M338" s="32">
        <v>0</v>
      </c>
      <c r="N338" s="32">
        <v>0</v>
      </c>
      <c r="O338" s="32">
        <v>618800</v>
      </c>
      <c r="P338" s="32" t="s">
        <v>41</v>
      </c>
      <c r="Q338" s="32" t="s">
        <v>42</v>
      </c>
      <c r="R338" s="26" t="s">
        <v>43</v>
      </c>
      <c r="S338" s="26"/>
      <c r="T338" s="26"/>
      <c r="U338" s="26"/>
      <c r="V338" s="26"/>
      <c r="W338" s="26"/>
      <c r="X338" s="26"/>
    </row>
    <row r="339" spans="1:24" s="29" customFormat="1">
      <c r="A339" s="34" t="s">
        <v>31</v>
      </c>
      <c r="B339" s="34" t="s">
        <v>1416</v>
      </c>
      <c r="C339" s="34" t="s">
        <v>1417</v>
      </c>
      <c r="D339" s="34">
        <f t="shared" si="5"/>
        <v>-1</v>
      </c>
      <c r="E339" s="34" t="s">
        <v>34</v>
      </c>
      <c r="F339" s="34" t="s">
        <v>828</v>
      </c>
      <c r="G339" s="34" t="s">
        <v>1418</v>
      </c>
      <c r="H339" s="34" t="s">
        <v>37</v>
      </c>
      <c r="I339" s="34" t="s">
        <v>38</v>
      </c>
      <c r="J339" s="34" t="s">
        <v>1419</v>
      </c>
      <c r="K339" s="34" t="s">
        <v>1420</v>
      </c>
      <c r="L339" s="34">
        <v>196650</v>
      </c>
      <c r="M339" s="34">
        <v>0</v>
      </c>
      <c r="N339" s="34">
        <v>0</v>
      </c>
      <c r="O339" s="34">
        <v>1231650</v>
      </c>
      <c r="P339" s="34" t="s">
        <v>41</v>
      </c>
      <c r="Q339" s="34" t="s">
        <v>42</v>
      </c>
      <c r="R339" s="26"/>
      <c r="S339" s="26"/>
      <c r="T339" s="26" t="s">
        <v>43</v>
      </c>
      <c r="U339" s="26"/>
      <c r="V339" s="26"/>
      <c r="W339" s="26"/>
      <c r="X339" s="26"/>
    </row>
    <row r="340" spans="1:24" s="29" customFormat="1">
      <c r="A340" s="32" t="s">
        <v>31</v>
      </c>
      <c r="B340" s="32" t="s">
        <v>1421</v>
      </c>
      <c r="C340" s="32" t="s">
        <v>1422</v>
      </c>
      <c r="D340" s="32">
        <f t="shared" si="5"/>
        <v>-1</v>
      </c>
      <c r="E340" s="32" t="s">
        <v>34</v>
      </c>
      <c r="F340" s="32" t="s">
        <v>828</v>
      </c>
      <c r="G340" s="32" t="s">
        <v>1423</v>
      </c>
      <c r="H340" s="32" t="s">
        <v>37</v>
      </c>
      <c r="I340" s="32" t="s">
        <v>38</v>
      </c>
      <c r="J340" s="32" t="s">
        <v>1424</v>
      </c>
      <c r="K340" s="32" t="s">
        <v>1425</v>
      </c>
      <c r="L340" s="32">
        <v>7789345.6399999997</v>
      </c>
      <c r="M340" s="32">
        <v>0</v>
      </c>
      <c r="N340" s="32">
        <v>0</v>
      </c>
      <c r="O340" s="32">
        <v>48785901.640000001</v>
      </c>
      <c r="P340" s="32" t="s">
        <v>41</v>
      </c>
      <c r="Q340" s="32" t="s">
        <v>42</v>
      </c>
      <c r="R340" s="26" t="s">
        <v>43</v>
      </c>
      <c r="S340" s="26"/>
      <c r="T340" s="26"/>
      <c r="U340" s="26"/>
      <c r="V340" s="26"/>
      <c r="W340" s="26"/>
      <c r="X340" s="26"/>
    </row>
    <row r="341" spans="1:24" s="29" customFormat="1">
      <c r="A341" s="32" t="s">
        <v>31</v>
      </c>
      <c r="B341" s="32" t="s">
        <v>1426</v>
      </c>
      <c r="C341" s="32" t="s">
        <v>1427</v>
      </c>
      <c r="D341" s="32">
        <f t="shared" si="5"/>
        <v>-1</v>
      </c>
      <c r="E341" s="32" t="s">
        <v>34</v>
      </c>
      <c r="F341" s="32" t="s">
        <v>828</v>
      </c>
      <c r="G341" s="32" t="s">
        <v>1428</v>
      </c>
      <c r="H341" s="32" t="s">
        <v>37</v>
      </c>
      <c r="I341" s="32" t="s">
        <v>38</v>
      </c>
      <c r="J341" s="32" t="s">
        <v>1429</v>
      </c>
      <c r="K341" s="32" t="s">
        <v>1430</v>
      </c>
      <c r="L341" s="32">
        <v>594605</v>
      </c>
      <c r="M341" s="32">
        <v>0</v>
      </c>
      <c r="N341" s="32">
        <v>0</v>
      </c>
      <c r="O341" s="32">
        <v>3724105</v>
      </c>
      <c r="P341" s="32" t="s">
        <v>41</v>
      </c>
      <c r="Q341" s="32" t="s">
        <v>42</v>
      </c>
      <c r="R341" s="26" t="s">
        <v>43</v>
      </c>
      <c r="S341" s="26"/>
      <c r="T341" s="26"/>
      <c r="U341" s="26"/>
      <c r="V341" s="26"/>
      <c r="W341" s="26"/>
      <c r="X341" s="26"/>
    </row>
    <row r="342" spans="1:24" s="29" customFormat="1">
      <c r="A342" s="32" t="s">
        <v>31</v>
      </c>
      <c r="B342" s="32" t="s">
        <v>1431</v>
      </c>
      <c r="C342" s="32" t="s">
        <v>1432</v>
      </c>
      <c r="D342" s="32">
        <f t="shared" si="5"/>
        <v>-1</v>
      </c>
      <c r="E342" s="32" t="s">
        <v>34</v>
      </c>
      <c r="F342" s="32" t="s">
        <v>828</v>
      </c>
      <c r="G342" s="32" t="s">
        <v>1433</v>
      </c>
      <c r="H342" s="32" t="s">
        <v>37</v>
      </c>
      <c r="I342" s="32" t="s">
        <v>38</v>
      </c>
      <c r="J342" s="32" t="s">
        <v>1429</v>
      </c>
      <c r="K342" s="32" t="s">
        <v>1430</v>
      </c>
      <c r="L342" s="32">
        <v>1876440</v>
      </c>
      <c r="M342" s="32">
        <v>0</v>
      </c>
      <c r="N342" s="32">
        <v>0</v>
      </c>
      <c r="O342" s="32">
        <v>11752440</v>
      </c>
      <c r="P342" s="32" t="s">
        <v>41</v>
      </c>
      <c r="Q342" s="32" t="s">
        <v>42</v>
      </c>
      <c r="R342" s="26" t="s">
        <v>43</v>
      </c>
      <c r="S342" s="26"/>
      <c r="T342" s="26"/>
      <c r="U342" s="26"/>
      <c r="V342" s="26"/>
      <c r="W342" s="26"/>
      <c r="X342" s="26"/>
    </row>
    <row r="343" spans="1:24" s="29" customFormat="1">
      <c r="A343" s="35" t="s">
        <v>31</v>
      </c>
      <c r="B343" s="35" t="s">
        <v>1434</v>
      </c>
      <c r="C343" s="35" t="s">
        <v>1435</v>
      </c>
      <c r="D343" s="35">
        <f t="shared" si="5"/>
        <v>-1</v>
      </c>
      <c r="E343" s="35" t="s">
        <v>34</v>
      </c>
      <c r="F343" s="35" t="s">
        <v>828</v>
      </c>
      <c r="G343" s="35" t="s">
        <v>1436</v>
      </c>
      <c r="H343" s="35" t="s">
        <v>37</v>
      </c>
      <c r="I343" s="35" t="s">
        <v>38</v>
      </c>
      <c r="J343" s="35" t="s">
        <v>1437</v>
      </c>
      <c r="K343" s="35" t="s">
        <v>1438</v>
      </c>
      <c r="L343" s="35">
        <v>25226.49</v>
      </c>
      <c r="M343" s="35">
        <v>0</v>
      </c>
      <c r="N343" s="35">
        <v>0</v>
      </c>
      <c r="O343" s="35">
        <v>157997.49</v>
      </c>
      <c r="P343" s="35" t="s">
        <v>41</v>
      </c>
      <c r="Q343" s="35" t="s">
        <v>42</v>
      </c>
      <c r="R343" s="26"/>
      <c r="S343" s="26"/>
      <c r="T343" s="26"/>
      <c r="U343" s="26"/>
      <c r="V343" s="26"/>
      <c r="W343" s="35" t="s">
        <v>43</v>
      </c>
      <c r="X343" s="26" t="s">
        <v>1439</v>
      </c>
    </row>
    <row r="344" spans="1:24" s="29" customFormat="1">
      <c r="A344" s="32" t="s">
        <v>31</v>
      </c>
      <c r="B344" s="32" t="s">
        <v>1440</v>
      </c>
      <c r="C344" s="32" t="s">
        <v>1441</v>
      </c>
      <c r="D344" s="32">
        <f t="shared" si="5"/>
        <v>-1</v>
      </c>
      <c r="E344" s="32" t="s">
        <v>34</v>
      </c>
      <c r="F344" s="32" t="s">
        <v>828</v>
      </c>
      <c r="G344" s="32" t="s">
        <v>1442</v>
      </c>
      <c r="H344" s="32" t="s">
        <v>37</v>
      </c>
      <c r="I344" s="32" t="s">
        <v>38</v>
      </c>
      <c r="J344" s="32" t="s">
        <v>1443</v>
      </c>
      <c r="K344" s="32" t="s">
        <v>1444</v>
      </c>
      <c r="L344" s="32">
        <v>157043</v>
      </c>
      <c r="M344" s="32">
        <v>0</v>
      </c>
      <c r="N344" s="32">
        <v>0</v>
      </c>
      <c r="O344" s="32">
        <v>1047543</v>
      </c>
      <c r="P344" s="32" t="s">
        <v>41</v>
      </c>
      <c r="Q344" s="32" t="s">
        <v>42</v>
      </c>
      <c r="R344" s="26" t="s">
        <v>43</v>
      </c>
      <c r="S344" s="26"/>
      <c r="T344" s="26"/>
      <c r="U344" s="26"/>
      <c r="V344" s="26"/>
      <c r="W344" s="35" t="s">
        <v>43</v>
      </c>
      <c r="X344" s="26" t="s">
        <v>501</v>
      </c>
    </row>
    <row r="345" spans="1:24" s="29" customFormat="1">
      <c r="A345" s="35" t="s">
        <v>31</v>
      </c>
      <c r="B345" s="35" t="s">
        <v>1445</v>
      </c>
      <c r="C345" s="35" t="s">
        <v>1446</v>
      </c>
      <c r="D345" s="35">
        <f t="shared" si="5"/>
        <v>-1</v>
      </c>
      <c r="E345" s="35" t="s">
        <v>34</v>
      </c>
      <c r="F345" s="35" t="s">
        <v>828</v>
      </c>
      <c r="G345" s="35" t="s">
        <v>1447</v>
      </c>
      <c r="H345" s="35" t="s">
        <v>37</v>
      </c>
      <c r="I345" s="35" t="s">
        <v>38</v>
      </c>
      <c r="J345" s="35" t="s">
        <v>499</v>
      </c>
      <c r="K345" s="35" t="s">
        <v>500</v>
      </c>
      <c r="L345" s="35">
        <v>771780</v>
      </c>
      <c r="M345" s="35">
        <v>0</v>
      </c>
      <c r="N345" s="35">
        <v>0</v>
      </c>
      <c r="O345" s="35">
        <v>4833780</v>
      </c>
      <c r="P345" s="35" t="s">
        <v>41</v>
      </c>
      <c r="Q345" s="35" t="s">
        <v>42</v>
      </c>
      <c r="R345" s="26"/>
      <c r="S345" s="26"/>
      <c r="T345" s="26"/>
      <c r="U345" s="26"/>
      <c r="V345" s="26"/>
      <c r="W345" s="26"/>
      <c r="X345" s="26"/>
    </row>
    <row r="346" spans="1:24" s="29" customFormat="1">
      <c r="A346" s="26" t="s">
        <v>31</v>
      </c>
      <c r="B346" s="26" t="s">
        <v>1448</v>
      </c>
      <c r="C346" s="26" t="s">
        <v>1449</v>
      </c>
      <c r="D346" s="26">
        <f t="shared" si="5"/>
        <v>-1</v>
      </c>
      <c r="E346" s="26" t="s">
        <v>34</v>
      </c>
      <c r="F346" s="26" t="s">
        <v>828</v>
      </c>
      <c r="G346" s="26" t="s">
        <v>1450</v>
      </c>
      <c r="H346" s="26" t="s">
        <v>37</v>
      </c>
      <c r="I346" s="26" t="s">
        <v>38</v>
      </c>
      <c r="J346" s="26" t="s">
        <v>1451</v>
      </c>
      <c r="K346" s="26" t="s">
        <v>1452</v>
      </c>
      <c r="L346" s="26">
        <v>129485</v>
      </c>
      <c r="M346" s="26">
        <v>0</v>
      </c>
      <c r="N346" s="26">
        <v>0</v>
      </c>
      <c r="O346" s="26">
        <v>810985</v>
      </c>
      <c r="P346" s="26" t="s">
        <v>41</v>
      </c>
      <c r="Q346" s="26" t="s">
        <v>42</v>
      </c>
      <c r="R346" s="26"/>
      <c r="S346" s="26"/>
      <c r="T346" s="26"/>
      <c r="U346" s="26"/>
      <c r="V346" s="26" t="s">
        <v>43</v>
      </c>
      <c r="W346" s="26"/>
      <c r="X346" s="26"/>
    </row>
    <row r="347" spans="1:24" s="29" customFormat="1">
      <c r="A347" s="35" t="s">
        <v>31</v>
      </c>
      <c r="B347" s="35" t="s">
        <v>1453</v>
      </c>
      <c r="C347" s="35" t="s">
        <v>1454</v>
      </c>
      <c r="D347" s="35">
        <f t="shared" si="5"/>
        <v>-1</v>
      </c>
      <c r="E347" s="35" t="s">
        <v>34</v>
      </c>
      <c r="F347" s="35" t="s">
        <v>828</v>
      </c>
      <c r="G347" s="35" t="s">
        <v>1455</v>
      </c>
      <c r="H347" s="35" t="s">
        <v>37</v>
      </c>
      <c r="I347" s="35" t="s">
        <v>38</v>
      </c>
      <c r="J347" s="35" t="s">
        <v>1456</v>
      </c>
      <c r="K347" s="35" t="s">
        <v>1457</v>
      </c>
      <c r="L347" s="35">
        <v>8513.9</v>
      </c>
      <c r="M347" s="35">
        <v>0</v>
      </c>
      <c r="N347" s="35">
        <v>0</v>
      </c>
      <c r="O347" s="35">
        <v>53323.9</v>
      </c>
      <c r="P347" s="35" t="s">
        <v>41</v>
      </c>
      <c r="Q347" s="35" t="s">
        <v>42</v>
      </c>
      <c r="R347" s="26"/>
      <c r="S347" s="26"/>
      <c r="T347" s="26"/>
      <c r="U347" s="26"/>
      <c r="V347" s="26"/>
      <c r="W347" s="35" t="s">
        <v>43</v>
      </c>
      <c r="X347" s="26" t="s">
        <v>501</v>
      </c>
    </row>
    <row r="348" spans="1:24" s="29" customFormat="1">
      <c r="A348" s="32" t="s">
        <v>31</v>
      </c>
      <c r="B348" s="32" t="s">
        <v>1458</v>
      </c>
      <c r="C348" s="32" t="s">
        <v>1459</v>
      </c>
      <c r="D348" s="32">
        <f t="shared" si="5"/>
        <v>-1</v>
      </c>
      <c r="E348" s="32" t="s">
        <v>34</v>
      </c>
      <c r="F348" s="32" t="s">
        <v>828</v>
      </c>
      <c r="G348" s="32" t="s">
        <v>1460</v>
      </c>
      <c r="H348" s="32" t="s">
        <v>37</v>
      </c>
      <c r="I348" s="32" t="s">
        <v>38</v>
      </c>
      <c r="J348" s="32" t="s">
        <v>1461</v>
      </c>
      <c r="K348" s="32" t="s">
        <v>1462</v>
      </c>
      <c r="L348" s="32">
        <v>30053.439999999999</v>
      </c>
      <c r="M348" s="32">
        <v>0</v>
      </c>
      <c r="N348" s="32">
        <v>0</v>
      </c>
      <c r="O348" s="32">
        <v>188229.44</v>
      </c>
      <c r="P348" s="32" t="s">
        <v>41</v>
      </c>
      <c r="Q348" s="32" t="s">
        <v>42</v>
      </c>
      <c r="R348" s="26" t="s">
        <v>43</v>
      </c>
      <c r="S348" s="26"/>
      <c r="T348" s="26"/>
      <c r="U348" s="26"/>
      <c r="V348" s="26"/>
      <c r="W348" s="26"/>
      <c r="X348" s="26"/>
    </row>
    <row r="349" spans="1:24" s="29" customFormat="1">
      <c r="A349" s="34" t="s">
        <v>31</v>
      </c>
      <c r="B349" s="34" t="s">
        <v>1463</v>
      </c>
      <c r="C349" s="34" t="s">
        <v>1464</v>
      </c>
      <c r="D349" s="34">
        <f t="shared" si="5"/>
        <v>-1</v>
      </c>
      <c r="E349" s="34" t="s">
        <v>34</v>
      </c>
      <c r="F349" s="34" t="s">
        <v>828</v>
      </c>
      <c r="G349" s="34" t="s">
        <v>1465</v>
      </c>
      <c r="H349" s="34" t="s">
        <v>37</v>
      </c>
      <c r="I349" s="34" t="s">
        <v>38</v>
      </c>
      <c r="J349" s="34" t="s">
        <v>1466</v>
      </c>
      <c r="K349" s="34" t="s">
        <v>1467</v>
      </c>
      <c r="L349" s="34">
        <v>141311.74</v>
      </c>
      <c r="M349" s="34">
        <v>0</v>
      </c>
      <c r="N349" s="34">
        <v>0</v>
      </c>
      <c r="O349" s="34">
        <v>885057.74</v>
      </c>
      <c r="P349" s="34" t="s">
        <v>41</v>
      </c>
      <c r="Q349" s="34" t="s">
        <v>42</v>
      </c>
      <c r="R349" s="26"/>
      <c r="S349" s="26"/>
      <c r="T349" s="26" t="s">
        <v>43</v>
      </c>
      <c r="U349" s="26"/>
      <c r="V349" s="26"/>
      <c r="W349" s="26"/>
      <c r="X349" s="26"/>
    </row>
    <row r="350" spans="1:24" s="29" customFormat="1">
      <c r="A350" s="34" t="s">
        <v>31</v>
      </c>
      <c r="B350" s="34" t="s">
        <v>1468</v>
      </c>
      <c r="C350" s="34" t="s">
        <v>1469</v>
      </c>
      <c r="D350" s="34">
        <f t="shared" si="5"/>
        <v>-1</v>
      </c>
      <c r="E350" s="34" t="s">
        <v>34</v>
      </c>
      <c r="F350" s="34" t="s">
        <v>828</v>
      </c>
      <c r="G350" s="34" t="s">
        <v>1470</v>
      </c>
      <c r="H350" s="34" t="s">
        <v>37</v>
      </c>
      <c r="I350" s="34" t="s">
        <v>38</v>
      </c>
      <c r="J350" s="34" t="s">
        <v>1471</v>
      </c>
      <c r="K350" s="34" t="s">
        <v>1472</v>
      </c>
      <c r="L350" s="34">
        <v>81852</v>
      </c>
      <c r="M350" s="34">
        <v>0</v>
      </c>
      <c r="N350" s="34">
        <v>0</v>
      </c>
      <c r="O350" s="34">
        <v>512652</v>
      </c>
      <c r="P350" s="34" t="s">
        <v>41</v>
      </c>
      <c r="Q350" s="34" t="s">
        <v>42</v>
      </c>
      <c r="R350" s="26"/>
      <c r="S350" s="26"/>
      <c r="T350" s="26" t="s">
        <v>43</v>
      </c>
      <c r="U350" s="26"/>
      <c r="V350" s="26"/>
      <c r="W350" s="26"/>
      <c r="X350" s="26"/>
    </row>
    <row r="351" spans="1:24" s="29" customFormat="1">
      <c r="A351" s="32" t="s">
        <v>31</v>
      </c>
      <c r="B351" s="32" t="s">
        <v>1473</v>
      </c>
      <c r="C351" s="32" t="s">
        <v>1474</v>
      </c>
      <c r="D351" s="32">
        <f t="shared" si="5"/>
        <v>-1</v>
      </c>
      <c r="E351" s="32" t="s">
        <v>34</v>
      </c>
      <c r="F351" s="32" t="s">
        <v>828</v>
      </c>
      <c r="G351" s="32" t="s">
        <v>1475</v>
      </c>
      <c r="H351" s="32" t="s">
        <v>37</v>
      </c>
      <c r="I351" s="32" t="s">
        <v>38</v>
      </c>
      <c r="J351" s="32" t="s">
        <v>1476</v>
      </c>
      <c r="K351" s="32" t="s">
        <v>1477</v>
      </c>
      <c r="L351" s="32">
        <v>16974.599999999999</v>
      </c>
      <c r="M351" s="32">
        <v>0</v>
      </c>
      <c r="N351" s="32">
        <v>0</v>
      </c>
      <c r="O351" s="32">
        <v>106314.6</v>
      </c>
      <c r="P351" s="32" t="s">
        <v>41</v>
      </c>
      <c r="Q351" s="32" t="s">
        <v>42</v>
      </c>
      <c r="R351" s="26" t="s">
        <v>43</v>
      </c>
      <c r="S351" s="26"/>
      <c r="T351" s="26"/>
      <c r="U351" s="26"/>
      <c r="V351" s="26"/>
      <c r="W351" s="26"/>
      <c r="X351" s="26"/>
    </row>
    <row r="352" spans="1:24" s="29" customFormat="1">
      <c r="A352" s="32" t="s">
        <v>31</v>
      </c>
      <c r="B352" s="32" t="s">
        <v>1478</v>
      </c>
      <c r="C352" s="32" t="s">
        <v>1479</v>
      </c>
      <c r="D352" s="32">
        <f t="shared" si="5"/>
        <v>-1</v>
      </c>
      <c r="E352" s="32" t="s">
        <v>34</v>
      </c>
      <c r="F352" s="32" t="s">
        <v>828</v>
      </c>
      <c r="G352" s="32" t="s">
        <v>1480</v>
      </c>
      <c r="H352" s="32" t="s">
        <v>37</v>
      </c>
      <c r="I352" s="32" t="s">
        <v>38</v>
      </c>
      <c r="J352" s="32" t="s">
        <v>1481</v>
      </c>
      <c r="K352" s="32" t="s">
        <v>1482</v>
      </c>
      <c r="L352" s="32">
        <v>106780</v>
      </c>
      <c r="M352" s="32">
        <v>0</v>
      </c>
      <c r="N352" s="32">
        <v>0</v>
      </c>
      <c r="O352" s="32">
        <v>668780</v>
      </c>
      <c r="P352" s="32" t="s">
        <v>41</v>
      </c>
      <c r="Q352" s="32" t="s">
        <v>42</v>
      </c>
      <c r="R352" s="26" t="s">
        <v>43</v>
      </c>
      <c r="S352" s="26"/>
      <c r="T352" s="26"/>
      <c r="U352" s="26"/>
      <c r="V352" s="26"/>
      <c r="W352" s="26"/>
      <c r="X352" s="26"/>
    </row>
    <row r="353" spans="1:24" s="29" customFormat="1">
      <c r="A353" s="32" t="s">
        <v>31</v>
      </c>
      <c r="B353" s="32" t="s">
        <v>1483</v>
      </c>
      <c r="C353" s="32" t="s">
        <v>1484</v>
      </c>
      <c r="D353" s="32">
        <f t="shared" si="5"/>
        <v>-1</v>
      </c>
      <c r="E353" s="32" t="s">
        <v>34</v>
      </c>
      <c r="F353" s="32" t="s">
        <v>828</v>
      </c>
      <c r="G353" s="32" t="s">
        <v>1485</v>
      </c>
      <c r="H353" s="32" t="s">
        <v>37</v>
      </c>
      <c r="I353" s="32" t="s">
        <v>38</v>
      </c>
      <c r="J353" s="32" t="s">
        <v>1481</v>
      </c>
      <c r="K353" s="32" t="s">
        <v>1482</v>
      </c>
      <c r="L353" s="32">
        <v>71060</v>
      </c>
      <c r="M353" s="32">
        <v>0</v>
      </c>
      <c r="N353" s="32">
        <v>0</v>
      </c>
      <c r="O353" s="32">
        <v>445060</v>
      </c>
      <c r="P353" s="32" t="s">
        <v>41</v>
      </c>
      <c r="Q353" s="32" t="s">
        <v>42</v>
      </c>
      <c r="R353" s="26" t="s">
        <v>43</v>
      </c>
      <c r="S353" s="26"/>
      <c r="T353" s="26"/>
      <c r="U353" s="26"/>
      <c r="V353" s="26"/>
      <c r="W353" s="26"/>
      <c r="X353" s="26"/>
    </row>
    <row r="354" spans="1:24" s="29" customFormat="1">
      <c r="A354" s="32" t="s">
        <v>31</v>
      </c>
      <c r="B354" s="32" t="s">
        <v>1486</v>
      </c>
      <c r="C354" s="32" t="s">
        <v>1487</v>
      </c>
      <c r="D354" s="32">
        <f t="shared" si="5"/>
        <v>-1</v>
      </c>
      <c r="E354" s="32" t="s">
        <v>34</v>
      </c>
      <c r="F354" s="32" t="s">
        <v>828</v>
      </c>
      <c r="G354" s="32" t="s">
        <v>1488</v>
      </c>
      <c r="H354" s="32" t="s">
        <v>37</v>
      </c>
      <c r="I354" s="32" t="s">
        <v>38</v>
      </c>
      <c r="J354" s="32" t="s">
        <v>1481</v>
      </c>
      <c r="K354" s="32" t="s">
        <v>1482</v>
      </c>
      <c r="L354" s="32">
        <v>71060</v>
      </c>
      <c r="M354" s="32">
        <v>0</v>
      </c>
      <c r="N354" s="32">
        <v>0</v>
      </c>
      <c r="O354" s="32">
        <v>445060</v>
      </c>
      <c r="P354" s="32" t="s">
        <v>41</v>
      </c>
      <c r="Q354" s="32" t="s">
        <v>42</v>
      </c>
      <c r="R354" s="26" t="s">
        <v>43</v>
      </c>
      <c r="S354" s="26"/>
      <c r="T354" s="26"/>
      <c r="U354" s="26"/>
      <c r="V354" s="26"/>
      <c r="W354" s="26"/>
      <c r="X354" s="26"/>
    </row>
    <row r="355" spans="1:24" s="29" customFormat="1">
      <c r="A355" s="32" t="s">
        <v>31</v>
      </c>
      <c r="B355" s="32" t="s">
        <v>1489</v>
      </c>
      <c r="C355" s="32" t="s">
        <v>1490</v>
      </c>
      <c r="D355" s="32">
        <f t="shared" si="5"/>
        <v>-1</v>
      </c>
      <c r="E355" s="32" t="s">
        <v>34</v>
      </c>
      <c r="F355" s="32" t="s">
        <v>828</v>
      </c>
      <c r="G355" s="32" t="s">
        <v>1491</v>
      </c>
      <c r="H355" s="32" t="s">
        <v>37</v>
      </c>
      <c r="I355" s="32" t="s">
        <v>38</v>
      </c>
      <c r="J355" s="32" t="s">
        <v>1481</v>
      </c>
      <c r="K355" s="32" t="s">
        <v>1482</v>
      </c>
      <c r="L355" s="32">
        <v>124260</v>
      </c>
      <c r="M355" s="32">
        <v>0</v>
      </c>
      <c r="N355" s="32">
        <v>0</v>
      </c>
      <c r="O355" s="32">
        <v>778260</v>
      </c>
      <c r="P355" s="32" t="s">
        <v>41</v>
      </c>
      <c r="Q355" s="32" t="s">
        <v>42</v>
      </c>
      <c r="R355" s="26" t="s">
        <v>43</v>
      </c>
      <c r="S355" s="26"/>
      <c r="T355" s="26"/>
      <c r="U355" s="26"/>
      <c r="V355" s="26"/>
      <c r="W355" s="26"/>
      <c r="X355" s="26"/>
    </row>
    <row r="356" spans="1:24" s="29" customFormat="1">
      <c r="A356" s="32" t="s">
        <v>31</v>
      </c>
      <c r="B356" s="32" t="s">
        <v>1492</v>
      </c>
      <c r="C356" s="32" t="s">
        <v>1493</v>
      </c>
      <c r="D356" s="32">
        <f t="shared" si="5"/>
        <v>-1</v>
      </c>
      <c r="E356" s="32" t="s">
        <v>34</v>
      </c>
      <c r="F356" s="32" t="s">
        <v>828</v>
      </c>
      <c r="G356" s="32" t="s">
        <v>1494</v>
      </c>
      <c r="H356" s="32" t="s">
        <v>37</v>
      </c>
      <c r="I356" s="32" t="s">
        <v>38</v>
      </c>
      <c r="J356" s="32" t="s">
        <v>1481</v>
      </c>
      <c r="K356" s="32" t="s">
        <v>1482</v>
      </c>
      <c r="L356" s="32">
        <v>71060</v>
      </c>
      <c r="M356" s="32">
        <v>0</v>
      </c>
      <c r="N356" s="32">
        <v>0</v>
      </c>
      <c r="O356" s="32">
        <v>445060</v>
      </c>
      <c r="P356" s="32" t="s">
        <v>41</v>
      </c>
      <c r="Q356" s="32" t="s">
        <v>42</v>
      </c>
      <c r="R356" s="26" t="s">
        <v>43</v>
      </c>
      <c r="S356" s="26"/>
      <c r="T356" s="26"/>
      <c r="U356" s="26"/>
      <c r="V356" s="26"/>
      <c r="W356" s="26"/>
      <c r="X356" s="26"/>
    </row>
    <row r="357" spans="1:24" s="29" customFormat="1">
      <c r="A357" s="32" t="s">
        <v>31</v>
      </c>
      <c r="B357" s="32" t="s">
        <v>1495</v>
      </c>
      <c r="C357" s="32" t="s">
        <v>1496</v>
      </c>
      <c r="D357" s="32">
        <f t="shared" si="5"/>
        <v>-1</v>
      </c>
      <c r="E357" s="32" t="s">
        <v>34</v>
      </c>
      <c r="F357" s="32" t="s">
        <v>828</v>
      </c>
      <c r="G357" s="32" t="s">
        <v>1497</v>
      </c>
      <c r="H357" s="32" t="s">
        <v>37</v>
      </c>
      <c r="I357" s="32" t="s">
        <v>38</v>
      </c>
      <c r="J357" s="32" t="s">
        <v>1481</v>
      </c>
      <c r="K357" s="32" t="s">
        <v>1482</v>
      </c>
      <c r="L357" s="32">
        <v>71060</v>
      </c>
      <c r="M357" s="32">
        <v>0</v>
      </c>
      <c r="N357" s="32">
        <v>0</v>
      </c>
      <c r="O357" s="32">
        <v>445060</v>
      </c>
      <c r="P357" s="32" t="s">
        <v>41</v>
      </c>
      <c r="Q357" s="32" t="s">
        <v>42</v>
      </c>
      <c r="R357" s="26" t="s">
        <v>43</v>
      </c>
      <c r="S357" s="26"/>
      <c r="T357" s="26"/>
      <c r="U357" s="26"/>
      <c r="V357" s="26"/>
      <c r="W357" s="26"/>
      <c r="X357" s="26"/>
    </row>
    <row r="358" spans="1:24" s="29" customFormat="1">
      <c r="A358" s="32" t="s">
        <v>31</v>
      </c>
      <c r="B358" s="32" t="s">
        <v>1498</v>
      </c>
      <c r="C358" s="32" t="s">
        <v>1499</v>
      </c>
      <c r="D358" s="32">
        <f t="shared" si="5"/>
        <v>-1</v>
      </c>
      <c r="E358" s="32" t="s">
        <v>34</v>
      </c>
      <c r="F358" s="32" t="s">
        <v>828</v>
      </c>
      <c r="G358" s="32" t="s">
        <v>1500</v>
      </c>
      <c r="H358" s="32" t="s">
        <v>37</v>
      </c>
      <c r="I358" s="32" t="s">
        <v>38</v>
      </c>
      <c r="J358" s="32" t="s">
        <v>1481</v>
      </c>
      <c r="K358" s="32" t="s">
        <v>1482</v>
      </c>
      <c r="L358" s="32">
        <v>355300</v>
      </c>
      <c r="M358" s="32">
        <v>0</v>
      </c>
      <c r="N358" s="32">
        <v>0</v>
      </c>
      <c r="O358" s="32">
        <v>2225300</v>
      </c>
      <c r="P358" s="32" t="s">
        <v>41</v>
      </c>
      <c r="Q358" s="32" t="s">
        <v>42</v>
      </c>
      <c r="R358" s="26" t="s">
        <v>43</v>
      </c>
      <c r="S358" s="26"/>
      <c r="T358" s="26"/>
      <c r="U358" s="26"/>
      <c r="V358" s="26"/>
      <c r="W358" s="26"/>
      <c r="X358" s="26"/>
    </row>
    <row r="359" spans="1:24" s="29" customFormat="1">
      <c r="A359" s="32" t="s">
        <v>31</v>
      </c>
      <c r="B359" s="32" t="s">
        <v>1501</v>
      </c>
      <c r="C359" s="32" t="s">
        <v>1502</v>
      </c>
      <c r="D359" s="32">
        <f t="shared" si="5"/>
        <v>-1</v>
      </c>
      <c r="E359" s="32" t="s">
        <v>34</v>
      </c>
      <c r="F359" s="32" t="s">
        <v>828</v>
      </c>
      <c r="G359" s="32" t="s">
        <v>1503</v>
      </c>
      <c r="H359" s="32" t="s">
        <v>37</v>
      </c>
      <c r="I359" s="32" t="s">
        <v>38</v>
      </c>
      <c r="J359" s="32" t="s">
        <v>1481</v>
      </c>
      <c r="K359" s="32" t="s">
        <v>1482</v>
      </c>
      <c r="L359" s="32">
        <v>35720</v>
      </c>
      <c r="M359" s="32">
        <v>0</v>
      </c>
      <c r="N359" s="32">
        <v>0</v>
      </c>
      <c r="O359" s="32">
        <v>223720</v>
      </c>
      <c r="P359" s="32" t="s">
        <v>41</v>
      </c>
      <c r="Q359" s="32" t="s">
        <v>42</v>
      </c>
      <c r="R359" s="26" t="s">
        <v>43</v>
      </c>
      <c r="S359" s="26"/>
      <c r="T359" s="26"/>
      <c r="U359" s="26"/>
      <c r="V359" s="26"/>
      <c r="W359" s="26"/>
      <c r="X359" s="26"/>
    </row>
    <row r="360" spans="1:24" s="29" customFormat="1">
      <c r="A360" s="32" t="s">
        <v>31</v>
      </c>
      <c r="B360" s="32" t="s">
        <v>1504</v>
      </c>
      <c r="C360" s="32" t="s">
        <v>1505</v>
      </c>
      <c r="D360" s="32">
        <f t="shared" si="5"/>
        <v>-1</v>
      </c>
      <c r="E360" s="32" t="s">
        <v>34</v>
      </c>
      <c r="F360" s="32" t="s">
        <v>828</v>
      </c>
      <c r="G360" s="32" t="s">
        <v>1506</v>
      </c>
      <c r="H360" s="32" t="s">
        <v>37</v>
      </c>
      <c r="I360" s="32" t="s">
        <v>38</v>
      </c>
      <c r="J360" s="32" t="s">
        <v>1481</v>
      </c>
      <c r="K360" s="32" t="s">
        <v>1482</v>
      </c>
      <c r="L360" s="32">
        <v>35720</v>
      </c>
      <c r="M360" s="32">
        <v>0</v>
      </c>
      <c r="N360" s="32">
        <v>0</v>
      </c>
      <c r="O360" s="32">
        <v>223720</v>
      </c>
      <c r="P360" s="32" t="s">
        <v>41</v>
      </c>
      <c r="Q360" s="32" t="s">
        <v>42</v>
      </c>
      <c r="R360" s="26" t="s">
        <v>43</v>
      </c>
      <c r="S360" s="26"/>
      <c r="T360" s="26"/>
      <c r="U360" s="26"/>
      <c r="V360" s="26"/>
      <c r="W360" s="26"/>
      <c r="X360" s="26"/>
    </row>
    <row r="361" spans="1:24" s="29" customFormat="1">
      <c r="A361" s="32" t="s">
        <v>31</v>
      </c>
      <c r="B361" s="32" t="s">
        <v>1507</v>
      </c>
      <c r="C361" s="32" t="s">
        <v>1508</v>
      </c>
      <c r="D361" s="32">
        <f t="shared" si="5"/>
        <v>-1</v>
      </c>
      <c r="E361" s="32" t="s">
        <v>34</v>
      </c>
      <c r="F361" s="32" t="s">
        <v>828</v>
      </c>
      <c r="G361" s="32" t="s">
        <v>1509</v>
      </c>
      <c r="H361" s="32" t="s">
        <v>37</v>
      </c>
      <c r="I361" s="32" t="s">
        <v>38</v>
      </c>
      <c r="J361" s="32" t="s">
        <v>1481</v>
      </c>
      <c r="K361" s="32" t="s">
        <v>1482</v>
      </c>
      <c r="L361" s="32">
        <v>71440</v>
      </c>
      <c r="M361" s="32">
        <v>0</v>
      </c>
      <c r="N361" s="32">
        <v>0</v>
      </c>
      <c r="O361" s="32">
        <v>447440</v>
      </c>
      <c r="P361" s="32" t="s">
        <v>41</v>
      </c>
      <c r="Q361" s="32" t="s">
        <v>42</v>
      </c>
      <c r="R361" s="26" t="s">
        <v>43</v>
      </c>
      <c r="S361" s="26"/>
      <c r="T361" s="26"/>
      <c r="U361" s="26"/>
      <c r="V361" s="26"/>
      <c r="W361" s="26"/>
      <c r="X361" s="26"/>
    </row>
    <row r="362" spans="1:24" s="29" customFormat="1">
      <c r="A362" s="32" t="s">
        <v>31</v>
      </c>
      <c r="B362" s="32" t="s">
        <v>1510</v>
      </c>
      <c r="C362" s="32" t="s">
        <v>1511</v>
      </c>
      <c r="D362" s="32">
        <f t="shared" si="5"/>
        <v>-1</v>
      </c>
      <c r="E362" s="32" t="s">
        <v>34</v>
      </c>
      <c r="F362" s="32" t="s">
        <v>828</v>
      </c>
      <c r="G362" s="32" t="s">
        <v>1512</v>
      </c>
      <c r="H362" s="32" t="s">
        <v>37</v>
      </c>
      <c r="I362" s="32" t="s">
        <v>38</v>
      </c>
      <c r="J362" s="32" t="s">
        <v>1481</v>
      </c>
      <c r="K362" s="32" t="s">
        <v>1482</v>
      </c>
      <c r="L362" s="32">
        <v>53580</v>
      </c>
      <c r="M362" s="32">
        <v>0</v>
      </c>
      <c r="N362" s="32">
        <v>0</v>
      </c>
      <c r="O362" s="32">
        <v>335580</v>
      </c>
      <c r="P362" s="32" t="s">
        <v>41</v>
      </c>
      <c r="Q362" s="32" t="s">
        <v>42</v>
      </c>
      <c r="R362" s="26" t="s">
        <v>43</v>
      </c>
      <c r="S362" s="26"/>
      <c r="T362" s="26"/>
      <c r="U362" s="26"/>
      <c r="V362" s="26"/>
      <c r="W362" s="26"/>
      <c r="X362" s="26"/>
    </row>
    <row r="363" spans="1:24" s="29" customFormat="1">
      <c r="A363" s="32" t="s">
        <v>31</v>
      </c>
      <c r="B363" s="32" t="s">
        <v>1513</v>
      </c>
      <c r="C363" s="32" t="s">
        <v>1514</v>
      </c>
      <c r="D363" s="32">
        <f t="shared" si="5"/>
        <v>-1</v>
      </c>
      <c r="E363" s="32" t="s">
        <v>34</v>
      </c>
      <c r="F363" s="32" t="s">
        <v>828</v>
      </c>
      <c r="G363" s="32" t="s">
        <v>1515</v>
      </c>
      <c r="H363" s="32" t="s">
        <v>37</v>
      </c>
      <c r="I363" s="32" t="s">
        <v>38</v>
      </c>
      <c r="J363" s="32" t="s">
        <v>1481</v>
      </c>
      <c r="K363" s="32" t="s">
        <v>1482</v>
      </c>
      <c r="L363" s="32">
        <v>159600</v>
      </c>
      <c r="M363" s="32">
        <v>0</v>
      </c>
      <c r="N363" s="32">
        <v>0</v>
      </c>
      <c r="O363" s="32">
        <v>999600</v>
      </c>
      <c r="P363" s="32" t="s">
        <v>41</v>
      </c>
      <c r="Q363" s="32" t="s">
        <v>42</v>
      </c>
      <c r="R363" s="26" t="s">
        <v>43</v>
      </c>
      <c r="S363" s="26"/>
      <c r="T363" s="26"/>
      <c r="U363" s="26"/>
      <c r="V363" s="26"/>
      <c r="W363" s="26"/>
      <c r="X363" s="26"/>
    </row>
    <row r="364" spans="1:24" s="29" customFormat="1">
      <c r="A364" s="32" t="s">
        <v>31</v>
      </c>
      <c r="B364" s="32" t="s">
        <v>1516</v>
      </c>
      <c r="C364" s="32" t="s">
        <v>1517</v>
      </c>
      <c r="D364" s="32">
        <f t="shared" si="5"/>
        <v>-1</v>
      </c>
      <c r="E364" s="32" t="s">
        <v>34</v>
      </c>
      <c r="F364" s="32" t="s">
        <v>828</v>
      </c>
      <c r="G364" s="32" t="s">
        <v>1518</v>
      </c>
      <c r="H364" s="32" t="s">
        <v>37</v>
      </c>
      <c r="I364" s="32" t="s">
        <v>38</v>
      </c>
      <c r="J364" s="32" t="s">
        <v>1481</v>
      </c>
      <c r="K364" s="32" t="s">
        <v>1482</v>
      </c>
      <c r="L364" s="32">
        <v>53200</v>
      </c>
      <c r="M364" s="32">
        <v>0</v>
      </c>
      <c r="N364" s="32">
        <v>0</v>
      </c>
      <c r="O364" s="32">
        <v>333200</v>
      </c>
      <c r="P364" s="32" t="s">
        <v>41</v>
      </c>
      <c r="Q364" s="32" t="s">
        <v>42</v>
      </c>
      <c r="R364" s="26" t="s">
        <v>43</v>
      </c>
      <c r="S364" s="26"/>
      <c r="T364" s="26"/>
      <c r="U364" s="26"/>
      <c r="V364" s="26"/>
      <c r="W364" s="26"/>
      <c r="X364" s="26"/>
    </row>
    <row r="365" spans="1:24" s="29" customFormat="1">
      <c r="A365" s="32" t="s">
        <v>31</v>
      </c>
      <c r="B365" s="32" t="s">
        <v>1519</v>
      </c>
      <c r="C365" s="32" t="s">
        <v>1520</v>
      </c>
      <c r="D365" s="32">
        <f t="shared" si="5"/>
        <v>-1</v>
      </c>
      <c r="E365" s="32" t="s">
        <v>34</v>
      </c>
      <c r="F365" s="32" t="s">
        <v>828</v>
      </c>
      <c r="G365" s="32" t="s">
        <v>1521</v>
      </c>
      <c r="H365" s="32" t="s">
        <v>37</v>
      </c>
      <c r="I365" s="32" t="s">
        <v>38</v>
      </c>
      <c r="J365" s="32" t="s">
        <v>1481</v>
      </c>
      <c r="K365" s="32" t="s">
        <v>1482</v>
      </c>
      <c r="L365" s="32">
        <v>53200</v>
      </c>
      <c r="M365" s="32">
        <v>0</v>
      </c>
      <c r="N365" s="32">
        <v>0</v>
      </c>
      <c r="O365" s="32">
        <v>333200</v>
      </c>
      <c r="P365" s="32" t="s">
        <v>41</v>
      </c>
      <c r="Q365" s="32" t="s">
        <v>42</v>
      </c>
      <c r="R365" s="26" t="s">
        <v>43</v>
      </c>
      <c r="S365" s="26"/>
      <c r="T365" s="26"/>
      <c r="U365" s="26"/>
      <c r="V365" s="26"/>
      <c r="W365" s="26"/>
      <c r="X365" s="26"/>
    </row>
    <row r="366" spans="1:24" s="29" customFormat="1">
      <c r="A366" s="32" t="s">
        <v>31</v>
      </c>
      <c r="B366" s="32" t="s">
        <v>1522</v>
      </c>
      <c r="C366" s="32" t="s">
        <v>1523</v>
      </c>
      <c r="D366" s="32">
        <f t="shared" si="5"/>
        <v>-1</v>
      </c>
      <c r="E366" s="32" t="s">
        <v>34</v>
      </c>
      <c r="F366" s="32" t="s">
        <v>828</v>
      </c>
      <c r="G366" s="32" t="s">
        <v>1524</v>
      </c>
      <c r="H366" s="32" t="s">
        <v>37</v>
      </c>
      <c r="I366" s="32" t="s">
        <v>38</v>
      </c>
      <c r="J366" s="32" t="s">
        <v>1481</v>
      </c>
      <c r="K366" s="32" t="s">
        <v>1482</v>
      </c>
      <c r="L366" s="32">
        <v>53200</v>
      </c>
      <c r="M366" s="32">
        <v>0</v>
      </c>
      <c r="N366" s="32">
        <v>0</v>
      </c>
      <c r="O366" s="32">
        <v>333200</v>
      </c>
      <c r="P366" s="32" t="s">
        <v>41</v>
      </c>
      <c r="Q366" s="32" t="s">
        <v>42</v>
      </c>
      <c r="R366" s="26" t="s">
        <v>43</v>
      </c>
      <c r="S366" s="26"/>
      <c r="T366" s="26"/>
      <c r="U366" s="26"/>
      <c r="V366" s="26"/>
      <c r="W366" s="26"/>
      <c r="X366" s="26"/>
    </row>
    <row r="367" spans="1:24" s="29" customFormat="1">
      <c r="A367" s="32" t="s">
        <v>31</v>
      </c>
      <c r="B367" s="32" t="s">
        <v>1525</v>
      </c>
      <c r="C367" s="32" t="s">
        <v>1526</v>
      </c>
      <c r="D367" s="32">
        <f t="shared" si="5"/>
        <v>-1</v>
      </c>
      <c r="E367" s="32" t="s">
        <v>34</v>
      </c>
      <c r="F367" s="32" t="s">
        <v>828</v>
      </c>
      <c r="G367" s="32" t="s">
        <v>1527</v>
      </c>
      <c r="H367" s="32" t="s">
        <v>37</v>
      </c>
      <c r="I367" s="32" t="s">
        <v>38</v>
      </c>
      <c r="J367" s="32" t="s">
        <v>1481</v>
      </c>
      <c r="K367" s="32" t="s">
        <v>1482</v>
      </c>
      <c r="L367" s="32">
        <v>53200</v>
      </c>
      <c r="M367" s="32">
        <v>0</v>
      </c>
      <c r="N367" s="32">
        <v>0</v>
      </c>
      <c r="O367" s="32">
        <v>333200</v>
      </c>
      <c r="P367" s="32" t="s">
        <v>41</v>
      </c>
      <c r="Q367" s="32" t="s">
        <v>42</v>
      </c>
      <c r="R367" s="26" t="s">
        <v>43</v>
      </c>
      <c r="S367" s="26"/>
      <c r="T367" s="26"/>
      <c r="U367" s="26"/>
      <c r="V367" s="26"/>
      <c r="W367" s="26"/>
      <c r="X367" s="26"/>
    </row>
    <row r="368" spans="1:24" s="29" customFormat="1">
      <c r="A368" s="32" t="s">
        <v>31</v>
      </c>
      <c r="B368" s="32" t="s">
        <v>1528</v>
      </c>
      <c r="C368" s="32" t="s">
        <v>1529</v>
      </c>
      <c r="D368" s="32">
        <f t="shared" si="5"/>
        <v>-1</v>
      </c>
      <c r="E368" s="32" t="s">
        <v>34</v>
      </c>
      <c r="F368" s="32" t="s">
        <v>828</v>
      </c>
      <c r="G368" s="32" t="s">
        <v>1530</v>
      </c>
      <c r="H368" s="32" t="s">
        <v>37</v>
      </c>
      <c r="I368" s="32" t="s">
        <v>38</v>
      </c>
      <c r="J368" s="32" t="s">
        <v>1481</v>
      </c>
      <c r="K368" s="32" t="s">
        <v>1482</v>
      </c>
      <c r="L368" s="32">
        <v>53200</v>
      </c>
      <c r="M368" s="32">
        <v>0</v>
      </c>
      <c r="N368" s="32">
        <v>0</v>
      </c>
      <c r="O368" s="32">
        <v>333200</v>
      </c>
      <c r="P368" s="32" t="s">
        <v>41</v>
      </c>
      <c r="Q368" s="32" t="s">
        <v>42</v>
      </c>
      <c r="R368" s="26" t="s">
        <v>43</v>
      </c>
      <c r="S368" s="26"/>
      <c r="T368" s="26"/>
      <c r="U368" s="26"/>
      <c r="V368" s="26"/>
      <c r="W368" s="26"/>
      <c r="X368" s="26"/>
    </row>
    <row r="369" spans="1:24" s="29" customFormat="1">
      <c r="A369" s="32" t="s">
        <v>31</v>
      </c>
      <c r="B369" s="32" t="s">
        <v>1531</v>
      </c>
      <c r="C369" s="32" t="s">
        <v>1532</v>
      </c>
      <c r="D369" s="32">
        <f t="shared" si="5"/>
        <v>-1</v>
      </c>
      <c r="E369" s="32" t="s">
        <v>34</v>
      </c>
      <c r="F369" s="32" t="s">
        <v>828</v>
      </c>
      <c r="G369" s="32" t="s">
        <v>1533</v>
      </c>
      <c r="H369" s="32" t="s">
        <v>37</v>
      </c>
      <c r="I369" s="32" t="s">
        <v>38</v>
      </c>
      <c r="J369" s="32" t="s">
        <v>1481</v>
      </c>
      <c r="K369" s="32" t="s">
        <v>1482</v>
      </c>
      <c r="L369" s="32">
        <v>53200</v>
      </c>
      <c r="M369" s="32">
        <v>0</v>
      </c>
      <c r="N369" s="32">
        <v>0</v>
      </c>
      <c r="O369" s="32">
        <v>333200</v>
      </c>
      <c r="P369" s="32" t="s">
        <v>41</v>
      </c>
      <c r="Q369" s="32" t="s">
        <v>42</v>
      </c>
      <c r="R369" s="26" t="s">
        <v>43</v>
      </c>
      <c r="S369" s="26"/>
      <c r="T369" s="26"/>
      <c r="U369" s="26"/>
      <c r="V369" s="26"/>
      <c r="W369" s="26"/>
      <c r="X369" s="26"/>
    </row>
    <row r="370" spans="1:24" s="29" customFormat="1">
      <c r="A370" s="32" t="s">
        <v>31</v>
      </c>
      <c r="B370" s="32" t="s">
        <v>1534</v>
      </c>
      <c r="C370" s="32" t="s">
        <v>1535</v>
      </c>
      <c r="D370" s="32">
        <f t="shared" si="5"/>
        <v>-1</v>
      </c>
      <c r="E370" s="32" t="s">
        <v>34</v>
      </c>
      <c r="F370" s="32" t="s">
        <v>828</v>
      </c>
      <c r="G370" s="32" t="s">
        <v>1536</v>
      </c>
      <c r="H370" s="32" t="s">
        <v>37</v>
      </c>
      <c r="I370" s="32" t="s">
        <v>38</v>
      </c>
      <c r="J370" s="32" t="s">
        <v>1481</v>
      </c>
      <c r="K370" s="32" t="s">
        <v>1482</v>
      </c>
      <c r="L370" s="32">
        <v>53200</v>
      </c>
      <c r="M370" s="32">
        <v>0</v>
      </c>
      <c r="N370" s="32">
        <v>0</v>
      </c>
      <c r="O370" s="32">
        <v>333200</v>
      </c>
      <c r="P370" s="32" t="s">
        <v>41</v>
      </c>
      <c r="Q370" s="32" t="s">
        <v>42</v>
      </c>
      <c r="R370" s="26" t="s">
        <v>43</v>
      </c>
      <c r="S370" s="26"/>
      <c r="T370" s="26"/>
      <c r="U370" s="26"/>
      <c r="V370" s="26"/>
      <c r="W370" s="26"/>
      <c r="X370" s="26"/>
    </row>
    <row r="371" spans="1:24" s="29" customFormat="1">
      <c r="A371" s="32" t="s">
        <v>31</v>
      </c>
      <c r="B371" s="32" t="s">
        <v>1537</v>
      </c>
      <c r="C371" s="32" t="s">
        <v>1538</v>
      </c>
      <c r="D371" s="32">
        <f t="shared" si="5"/>
        <v>-1</v>
      </c>
      <c r="E371" s="32" t="s">
        <v>34</v>
      </c>
      <c r="F371" s="32" t="s">
        <v>828</v>
      </c>
      <c r="G371" s="32" t="s">
        <v>1539</v>
      </c>
      <c r="H371" s="32" t="s">
        <v>37</v>
      </c>
      <c r="I371" s="32" t="s">
        <v>38</v>
      </c>
      <c r="J371" s="32" t="s">
        <v>1481</v>
      </c>
      <c r="K371" s="32" t="s">
        <v>1482</v>
      </c>
      <c r="L371" s="32">
        <v>106400</v>
      </c>
      <c r="M371" s="32">
        <v>0</v>
      </c>
      <c r="N371" s="32">
        <v>0</v>
      </c>
      <c r="O371" s="32">
        <v>666400</v>
      </c>
      <c r="P371" s="32" t="s">
        <v>41</v>
      </c>
      <c r="Q371" s="32" t="s">
        <v>42</v>
      </c>
      <c r="R371" s="26" t="s">
        <v>43</v>
      </c>
      <c r="S371" s="26"/>
      <c r="T371" s="26"/>
      <c r="U371" s="26"/>
      <c r="V371" s="26"/>
      <c r="W371" s="26"/>
      <c r="X371" s="26"/>
    </row>
    <row r="372" spans="1:24" s="29" customFormat="1">
      <c r="A372" s="32" t="s">
        <v>31</v>
      </c>
      <c r="B372" s="32" t="s">
        <v>1540</v>
      </c>
      <c r="C372" s="32" t="s">
        <v>1541</v>
      </c>
      <c r="D372" s="32">
        <f t="shared" si="5"/>
        <v>-1</v>
      </c>
      <c r="E372" s="32" t="s">
        <v>34</v>
      </c>
      <c r="F372" s="32" t="s">
        <v>828</v>
      </c>
      <c r="G372" s="32" t="s">
        <v>1542</v>
      </c>
      <c r="H372" s="32" t="s">
        <v>37</v>
      </c>
      <c r="I372" s="32" t="s">
        <v>38</v>
      </c>
      <c r="J372" s="32" t="s">
        <v>1481</v>
      </c>
      <c r="K372" s="32" t="s">
        <v>1482</v>
      </c>
      <c r="L372" s="32">
        <v>53200</v>
      </c>
      <c r="M372" s="32">
        <v>0</v>
      </c>
      <c r="N372" s="32">
        <v>0</v>
      </c>
      <c r="O372" s="32">
        <v>333200</v>
      </c>
      <c r="P372" s="32" t="s">
        <v>41</v>
      </c>
      <c r="Q372" s="32" t="s">
        <v>42</v>
      </c>
      <c r="R372" s="26" t="s">
        <v>43</v>
      </c>
      <c r="S372" s="26"/>
      <c r="T372" s="26"/>
      <c r="U372" s="26"/>
      <c r="V372" s="26"/>
      <c r="W372" s="26"/>
      <c r="X372" s="26"/>
    </row>
    <row r="373" spans="1:24" s="29" customFormat="1">
      <c r="A373" s="32" t="s">
        <v>31</v>
      </c>
      <c r="B373" s="32" t="s">
        <v>1543</v>
      </c>
      <c r="C373" s="32" t="s">
        <v>1544</v>
      </c>
      <c r="D373" s="32">
        <f t="shared" si="5"/>
        <v>-1</v>
      </c>
      <c r="E373" s="32" t="s">
        <v>34</v>
      </c>
      <c r="F373" s="32" t="s">
        <v>828</v>
      </c>
      <c r="G373" s="32" t="s">
        <v>1545</v>
      </c>
      <c r="H373" s="32" t="s">
        <v>37</v>
      </c>
      <c r="I373" s="32" t="s">
        <v>38</v>
      </c>
      <c r="J373" s="32" t="s">
        <v>1481</v>
      </c>
      <c r="K373" s="32" t="s">
        <v>1482</v>
      </c>
      <c r="L373" s="32">
        <v>9212.34</v>
      </c>
      <c r="M373" s="32">
        <v>0</v>
      </c>
      <c r="N373" s="32">
        <v>0</v>
      </c>
      <c r="O373" s="32">
        <v>57698.34</v>
      </c>
      <c r="P373" s="32" t="s">
        <v>41</v>
      </c>
      <c r="Q373" s="32" t="s">
        <v>42</v>
      </c>
      <c r="R373" s="26" t="s">
        <v>43</v>
      </c>
      <c r="S373" s="26"/>
      <c r="T373" s="26"/>
      <c r="U373" s="26"/>
      <c r="V373" s="26"/>
      <c r="W373" s="26"/>
      <c r="X373" s="26"/>
    </row>
    <row r="374" spans="1:24" s="29" customFormat="1">
      <c r="A374" s="32" t="s">
        <v>31</v>
      </c>
      <c r="B374" s="32" t="s">
        <v>1546</v>
      </c>
      <c r="C374" s="32" t="s">
        <v>1547</v>
      </c>
      <c r="D374" s="32">
        <f t="shared" si="5"/>
        <v>-1</v>
      </c>
      <c r="E374" s="32" t="s">
        <v>34</v>
      </c>
      <c r="F374" s="32" t="s">
        <v>828</v>
      </c>
      <c r="G374" s="32" t="s">
        <v>1548</v>
      </c>
      <c r="H374" s="32" t="s">
        <v>37</v>
      </c>
      <c r="I374" s="32" t="s">
        <v>38</v>
      </c>
      <c r="J374" s="32" t="s">
        <v>1481</v>
      </c>
      <c r="K374" s="32" t="s">
        <v>1482</v>
      </c>
      <c r="L374" s="32">
        <v>9212.34</v>
      </c>
      <c r="M374" s="32">
        <v>0</v>
      </c>
      <c r="N374" s="32">
        <v>0</v>
      </c>
      <c r="O374" s="32">
        <v>57698.34</v>
      </c>
      <c r="P374" s="32" t="s">
        <v>41</v>
      </c>
      <c r="Q374" s="32" t="s">
        <v>42</v>
      </c>
      <c r="R374" s="26" t="s">
        <v>43</v>
      </c>
      <c r="S374" s="26"/>
      <c r="T374" s="26"/>
      <c r="U374" s="26"/>
      <c r="V374" s="26"/>
      <c r="W374" s="26"/>
      <c r="X374" s="26"/>
    </row>
    <row r="375" spans="1:24" s="29" customFormat="1">
      <c r="A375" s="32" t="s">
        <v>31</v>
      </c>
      <c r="B375" s="32" t="s">
        <v>1549</v>
      </c>
      <c r="C375" s="32" t="s">
        <v>1550</v>
      </c>
      <c r="D375" s="32">
        <f t="shared" si="5"/>
        <v>-1</v>
      </c>
      <c r="E375" s="32" t="s">
        <v>34</v>
      </c>
      <c r="F375" s="32" t="s">
        <v>828</v>
      </c>
      <c r="G375" s="32" t="s">
        <v>1551</v>
      </c>
      <c r="H375" s="32" t="s">
        <v>37</v>
      </c>
      <c r="I375" s="32" t="s">
        <v>38</v>
      </c>
      <c r="J375" s="32" t="s">
        <v>1481</v>
      </c>
      <c r="K375" s="32" t="s">
        <v>1482</v>
      </c>
      <c r="L375" s="32">
        <v>9212.34</v>
      </c>
      <c r="M375" s="32">
        <v>0</v>
      </c>
      <c r="N375" s="32">
        <v>0</v>
      </c>
      <c r="O375" s="32">
        <v>57698.34</v>
      </c>
      <c r="P375" s="32" t="s">
        <v>41</v>
      </c>
      <c r="Q375" s="32" t="s">
        <v>42</v>
      </c>
      <c r="R375" s="26" t="s">
        <v>43</v>
      </c>
      <c r="S375" s="26"/>
      <c r="T375" s="26"/>
      <c r="U375" s="26"/>
      <c r="V375" s="26"/>
      <c r="W375" s="26"/>
      <c r="X375" s="26"/>
    </row>
    <row r="376" spans="1:24" s="29" customFormat="1">
      <c r="A376" s="32" t="s">
        <v>31</v>
      </c>
      <c r="B376" s="32" t="s">
        <v>1552</v>
      </c>
      <c r="C376" s="32" t="s">
        <v>1553</v>
      </c>
      <c r="D376" s="32">
        <f t="shared" si="5"/>
        <v>-1</v>
      </c>
      <c r="E376" s="32" t="s">
        <v>34</v>
      </c>
      <c r="F376" s="32" t="s">
        <v>828</v>
      </c>
      <c r="G376" s="32" t="s">
        <v>1554</v>
      </c>
      <c r="H376" s="32" t="s">
        <v>37</v>
      </c>
      <c r="I376" s="32" t="s">
        <v>38</v>
      </c>
      <c r="J376" s="32" t="s">
        <v>1481</v>
      </c>
      <c r="K376" s="32" t="s">
        <v>1482</v>
      </c>
      <c r="L376" s="32">
        <v>9212.34</v>
      </c>
      <c r="M376" s="32">
        <v>0</v>
      </c>
      <c r="N376" s="32">
        <v>0</v>
      </c>
      <c r="O376" s="32">
        <v>57698.34</v>
      </c>
      <c r="P376" s="32" t="s">
        <v>41</v>
      </c>
      <c r="Q376" s="32" t="s">
        <v>42</v>
      </c>
      <c r="R376" s="26" t="s">
        <v>43</v>
      </c>
      <c r="S376" s="26"/>
      <c r="T376" s="26"/>
      <c r="U376" s="26"/>
      <c r="V376" s="26"/>
      <c r="W376" s="26"/>
      <c r="X376" s="26"/>
    </row>
    <row r="377" spans="1:24" s="29" customFormat="1">
      <c r="A377" s="32" t="s">
        <v>31</v>
      </c>
      <c r="B377" s="32" t="s">
        <v>1555</v>
      </c>
      <c r="C377" s="32" t="s">
        <v>1556</v>
      </c>
      <c r="D377" s="32">
        <f t="shared" si="5"/>
        <v>-1</v>
      </c>
      <c r="E377" s="32" t="s">
        <v>34</v>
      </c>
      <c r="F377" s="32" t="s">
        <v>828</v>
      </c>
      <c r="G377" s="32" t="s">
        <v>1557</v>
      </c>
      <c r="H377" s="32" t="s">
        <v>37</v>
      </c>
      <c r="I377" s="32" t="s">
        <v>38</v>
      </c>
      <c r="J377" s="32" t="s">
        <v>1481</v>
      </c>
      <c r="K377" s="32" t="s">
        <v>1482</v>
      </c>
      <c r="L377" s="32">
        <v>9212.34</v>
      </c>
      <c r="M377" s="32">
        <v>0</v>
      </c>
      <c r="N377" s="32">
        <v>0</v>
      </c>
      <c r="O377" s="32">
        <v>57698.34</v>
      </c>
      <c r="P377" s="32" t="s">
        <v>41</v>
      </c>
      <c r="Q377" s="32" t="s">
        <v>42</v>
      </c>
      <c r="R377" s="26" t="s">
        <v>43</v>
      </c>
      <c r="S377" s="26"/>
      <c r="T377" s="26"/>
      <c r="U377" s="26"/>
      <c r="V377" s="26"/>
      <c r="W377" s="26"/>
      <c r="X377" s="26"/>
    </row>
    <row r="378" spans="1:24" s="29" customFormat="1">
      <c r="A378" s="34" t="s">
        <v>31</v>
      </c>
      <c r="B378" s="34" t="s">
        <v>1558</v>
      </c>
      <c r="C378" s="34" t="s">
        <v>1559</v>
      </c>
      <c r="D378" s="34">
        <f t="shared" si="5"/>
        <v>-1</v>
      </c>
      <c r="E378" s="34" t="s">
        <v>34</v>
      </c>
      <c r="F378" s="34" t="s">
        <v>828</v>
      </c>
      <c r="G378" s="34" t="s">
        <v>1560</v>
      </c>
      <c r="H378" s="34" t="s">
        <v>37</v>
      </c>
      <c r="I378" s="34" t="s">
        <v>38</v>
      </c>
      <c r="J378" s="34" t="s">
        <v>383</v>
      </c>
      <c r="K378" s="34" t="s">
        <v>384</v>
      </c>
      <c r="L378" s="34">
        <v>258970</v>
      </c>
      <c r="M378" s="34">
        <v>0</v>
      </c>
      <c r="N378" s="34">
        <v>0</v>
      </c>
      <c r="O378" s="34">
        <v>1621970</v>
      </c>
      <c r="P378" s="34" t="s">
        <v>41</v>
      </c>
      <c r="Q378" s="34" t="s">
        <v>42</v>
      </c>
      <c r="R378" s="26"/>
      <c r="S378" s="26"/>
      <c r="T378" s="26" t="s">
        <v>43</v>
      </c>
      <c r="U378" s="26"/>
      <c r="V378" s="26"/>
      <c r="W378" s="26"/>
      <c r="X378" s="26"/>
    </row>
    <row r="379" spans="1:24" s="29" customFormat="1">
      <c r="A379" s="26" t="s">
        <v>31</v>
      </c>
      <c r="B379" s="26" t="s">
        <v>1561</v>
      </c>
      <c r="C379" s="26" t="s">
        <v>1562</v>
      </c>
      <c r="D379" s="26">
        <f t="shared" si="5"/>
        <v>-1</v>
      </c>
      <c r="E379" s="26" t="s">
        <v>34</v>
      </c>
      <c r="F379" s="26" t="s">
        <v>828</v>
      </c>
      <c r="G379" s="26" t="s">
        <v>1563</v>
      </c>
      <c r="H379" s="26" t="s">
        <v>37</v>
      </c>
      <c r="I379" s="26" t="s">
        <v>38</v>
      </c>
      <c r="J379" s="26" t="s">
        <v>471</v>
      </c>
      <c r="K379" s="26" t="s">
        <v>472</v>
      </c>
      <c r="L379" s="26">
        <v>35440.699999999997</v>
      </c>
      <c r="M379" s="26">
        <v>0</v>
      </c>
      <c r="N379" s="26">
        <v>0</v>
      </c>
      <c r="O379" s="26">
        <v>221970.7</v>
      </c>
      <c r="P379" s="26" t="s">
        <v>41</v>
      </c>
      <c r="Q379" s="26" t="s">
        <v>42</v>
      </c>
      <c r="R379" s="26"/>
      <c r="S379" s="26"/>
      <c r="T379" s="26"/>
      <c r="U379" s="26"/>
      <c r="V379" s="26" t="s">
        <v>43</v>
      </c>
      <c r="W379" s="26"/>
      <c r="X379" s="26"/>
    </row>
    <row r="380" spans="1:24" s="29" customFormat="1">
      <c r="A380" s="26" t="s">
        <v>31</v>
      </c>
      <c r="B380" s="26" t="s">
        <v>1564</v>
      </c>
      <c r="C380" s="26" t="s">
        <v>1565</v>
      </c>
      <c r="D380" s="26">
        <f t="shared" si="5"/>
        <v>-1</v>
      </c>
      <c r="E380" s="26" t="s">
        <v>34</v>
      </c>
      <c r="F380" s="26" t="s">
        <v>828</v>
      </c>
      <c r="G380" s="26" t="s">
        <v>1566</v>
      </c>
      <c r="H380" s="26" t="s">
        <v>37</v>
      </c>
      <c r="I380" s="26" t="s">
        <v>38</v>
      </c>
      <c r="J380" s="26" t="s">
        <v>471</v>
      </c>
      <c r="K380" s="26" t="s">
        <v>472</v>
      </c>
      <c r="L380" s="26">
        <v>10107.24</v>
      </c>
      <c r="M380" s="26">
        <v>0</v>
      </c>
      <c r="N380" s="26">
        <v>0</v>
      </c>
      <c r="O380" s="26">
        <v>63303.24</v>
      </c>
      <c r="P380" s="26" t="s">
        <v>41</v>
      </c>
      <c r="Q380" s="26" t="s">
        <v>42</v>
      </c>
      <c r="R380" s="26"/>
      <c r="S380" s="26"/>
      <c r="T380" s="26"/>
      <c r="U380" s="26"/>
      <c r="V380" s="26" t="s">
        <v>43</v>
      </c>
      <c r="W380" s="26"/>
      <c r="X380" s="26"/>
    </row>
    <row r="381" spans="1:24" s="29" customFormat="1">
      <c r="A381" s="26" t="s">
        <v>31</v>
      </c>
      <c r="B381" s="26" t="s">
        <v>1567</v>
      </c>
      <c r="C381" s="26" t="s">
        <v>1568</v>
      </c>
      <c r="D381" s="26">
        <f t="shared" si="5"/>
        <v>-1</v>
      </c>
      <c r="E381" s="26" t="s">
        <v>34</v>
      </c>
      <c r="F381" s="26" t="s">
        <v>828</v>
      </c>
      <c r="G381" s="26" t="s">
        <v>1569</v>
      </c>
      <c r="H381" s="26" t="s">
        <v>37</v>
      </c>
      <c r="I381" s="26" t="s">
        <v>38</v>
      </c>
      <c r="J381" s="26" t="s">
        <v>471</v>
      </c>
      <c r="K381" s="26" t="s">
        <v>472</v>
      </c>
      <c r="L381" s="26">
        <v>3430.83</v>
      </c>
      <c r="M381" s="26">
        <v>0</v>
      </c>
      <c r="N381" s="26">
        <v>0</v>
      </c>
      <c r="O381" s="26">
        <v>260221.83</v>
      </c>
      <c r="P381" s="26" t="s">
        <v>41</v>
      </c>
      <c r="Q381" s="26" t="s">
        <v>42</v>
      </c>
      <c r="R381" s="26"/>
      <c r="S381" s="26"/>
      <c r="T381" s="26"/>
      <c r="U381" s="26"/>
      <c r="V381" s="26" t="s">
        <v>43</v>
      </c>
      <c r="W381" s="26"/>
      <c r="X381" s="26"/>
    </row>
    <row r="382" spans="1:24" s="29" customFormat="1">
      <c r="A382" s="26" t="s">
        <v>31</v>
      </c>
      <c r="B382" s="26" t="s">
        <v>1570</v>
      </c>
      <c r="C382" s="26" t="s">
        <v>1571</v>
      </c>
      <c r="D382" s="26">
        <f t="shared" si="5"/>
        <v>-1</v>
      </c>
      <c r="E382" s="26" t="s">
        <v>34</v>
      </c>
      <c r="F382" s="26" t="s">
        <v>828</v>
      </c>
      <c r="G382" s="26" t="s">
        <v>1572</v>
      </c>
      <c r="H382" s="26" t="s">
        <v>37</v>
      </c>
      <c r="I382" s="26" t="s">
        <v>38</v>
      </c>
      <c r="J382" s="26" t="s">
        <v>1573</v>
      </c>
      <c r="K382" s="26" t="s">
        <v>1574</v>
      </c>
      <c r="L382" s="26">
        <v>231021</v>
      </c>
      <c r="M382" s="26">
        <v>0</v>
      </c>
      <c r="N382" s="26">
        <v>0</v>
      </c>
      <c r="O382" s="26">
        <v>1446921</v>
      </c>
      <c r="P382" s="26" t="s">
        <v>41</v>
      </c>
      <c r="Q382" s="26" t="s">
        <v>42</v>
      </c>
      <c r="R382" s="26"/>
      <c r="S382" s="26"/>
      <c r="T382" s="26"/>
      <c r="U382" s="26"/>
      <c r="V382" s="26" t="s">
        <v>43</v>
      </c>
      <c r="W382" s="26"/>
      <c r="X382" s="26"/>
    </row>
    <row r="383" spans="1:24" s="29" customFormat="1">
      <c r="A383" s="34" t="s">
        <v>31</v>
      </c>
      <c r="B383" s="34" t="s">
        <v>1575</v>
      </c>
      <c r="C383" s="34" t="s">
        <v>1576</v>
      </c>
      <c r="D383" s="34">
        <f t="shared" si="5"/>
        <v>-1</v>
      </c>
      <c r="E383" s="34" t="s">
        <v>34</v>
      </c>
      <c r="F383" s="34" t="s">
        <v>828</v>
      </c>
      <c r="G383" s="34" t="s">
        <v>1577</v>
      </c>
      <c r="H383" s="34" t="s">
        <v>37</v>
      </c>
      <c r="I383" s="34" t="s">
        <v>38</v>
      </c>
      <c r="J383" s="34" t="s">
        <v>52</v>
      </c>
      <c r="K383" s="34" t="s">
        <v>53</v>
      </c>
      <c r="L383" s="34">
        <v>75991.259999999995</v>
      </c>
      <c r="M383" s="34">
        <v>0</v>
      </c>
      <c r="N383" s="34">
        <v>0</v>
      </c>
      <c r="O383" s="34">
        <v>475945.26</v>
      </c>
      <c r="P383" s="34" t="s">
        <v>41</v>
      </c>
      <c r="Q383" s="34" t="s">
        <v>42</v>
      </c>
      <c r="R383" s="26"/>
      <c r="S383" s="26"/>
      <c r="T383" s="26" t="s">
        <v>43</v>
      </c>
      <c r="U383" s="26"/>
      <c r="V383" s="26"/>
      <c r="W383" s="26"/>
      <c r="X383" s="26"/>
    </row>
    <row r="384" spans="1:24" s="29" customFormat="1">
      <c r="A384" s="34" t="s">
        <v>31</v>
      </c>
      <c r="B384" s="34" t="s">
        <v>1578</v>
      </c>
      <c r="C384" s="34" t="s">
        <v>1579</v>
      </c>
      <c r="D384" s="34">
        <f t="shared" si="5"/>
        <v>-1</v>
      </c>
      <c r="E384" s="34" t="s">
        <v>34</v>
      </c>
      <c r="F384" s="34" t="s">
        <v>828</v>
      </c>
      <c r="G384" s="34" t="s">
        <v>1580</v>
      </c>
      <c r="H384" s="34" t="s">
        <v>37</v>
      </c>
      <c r="I384" s="34" t="s">
        <v>38</v>
      </c>
      <c r="J384" s="34" t="s">
        <v>52</v>
      </c>
      <c r="K384" s="34" t="s">
        <v>53</v>
      </c>
      <c r="L384" s="34">
        <v>24591.7</v>
      </c>
      <c r="M384" s="34">
        <v>0</v>
      </c>
      <c r="N384" s="34">
        <v>0</v>
      </c>
      <c r="O384" s="34">
        <v>154021.70000000001</v>
      </c>
      <c r="P384" s="34" t="s">
        <v>41</v>
      </c>
      <c r="Q384" s="34" t="s">
        <v>42</v>
      </c>
      <c r="R384" s="26"/>
      <c r="S384" s="26"/>
      <c r="T384" s="26" t="s">
        <v>43</v>
      </c>
      <c r="U384" s="26"/>
      <c r="V384" s="26"/>
      <c r="W384" s="26"/>
      <c r="X384" s="26"/>
    </row>
    <row r="385" spans="1:24" s="29" customFormat="1">
      <c r="A385" s="34" t="s">
        <v>31</v>
      </c>
      <c r="B385" s="34" t="s">
        <v>1581</v>
      </c>
      <c r="C385" s="34" t="s">
        <v>1582</v>
      </c>
      <c r="D385" s="34">
        <f t="shared" si="5"/>
        <v>-1</v>
      </c>
      <c r="E385" s="34" t="s">
        <v>34</v>
      </c>
      <c r="F385" s="34" t="s">
        <v>828</v>
      </c>
      <c r="G385" s="34" t="s">
        <v>1583</v>
      </c>
      <c r="H385" s="34" t="s">
        <v>37</v>
      </c>
      <c r="I385" s="34" t="s">
        <v>38</v>
      </c>
      <c r="J385" s="34" t="s">
        <v>1584</v>
      </c>
      <c r="K385" s="34" t="s">
        <v>1585</v>
      </c>
      <c r="L385" s="34">
        <v>194142</v>
      </c>
      <c r="M385" s="34">
        <v>0</v>
      </c>
      <c r="N385" s="34">
        <v>0</v>
      </c>
      <c r="O385" s="34">
        <v>1215942</v>
      </c>
      <c r="P385" s="34" t="s">
        <v>41</v>
      </c>
      <c r="Q385" s="34" t="s">
        <v>42</v>
      </c>
      <c r="R385" s="26"/>
      <c r="S385" s="26"/>
      <c r="T385" s="26" t="s">
        <v>43</v>
      </c>
      <c r="U385" s="26"/>
      <c r="V385" s="26"/>
      <c r="W385" s="26"/>
      <c r="X385" s="26"/>
    </row>
    <row r="386" spans="1:24" s="29" customFormat="1">
      <c r="A386" s="35" t="s">
        <v>31</v>
      </c>
      <c r="B386" s="35" t="s">
        <v>1586</v>
      </c>
      <c r="C386" s="35" t="s">
        <v>1587</v>
      </c>
      <c r="D386" s="35">
        <f t="shared" si="5"/>
        <v>-1</v>
      </c>
      <c r="E386" s="35" t="s">
        <v>34</v>
      </c>
      <c r="F386" s="35" t="s">
        <v>828</v>
      </c>
      <c r="G386" s="35" t="s">
        <v>1588</v>
      </c>
      <c r="H386" s="35" t="s">
        <v>37</v>
      </c>
      <c r="I386" s="35" t="s">
        <v>38</v>
      </c>
      <c r="J386" s="35" t="s">
        <v>1589</v>
      </c>
      <c r="K386" s="35" t="s">
        <v>1590</v>
      </c>
      <c r="L386" s="35">
        <v>25035</v>
      </c>
      <c r="M386" s="35">
        <v>0</v>
      </c>
      <c r="N386" s="35">
        <v>0</v>
      </c>
      <c r="O386" s="35">
        <v>525735</v>
      </c>
      <c r="P386" s="35" t="s">
        <v>41</v>
      </c>
      <c r="Q386" s="35" t="s">
        <v>42</v>
      </c>
      <c r="R386" s="26"/>
      <c r="S386" s="26"/>
      <c r="T386" s="26"/>
      <c r="U386" s="26"/>
      <c r="V386" s="26"/>
      <c r="W386" s="35" t="s">
        <v>43</v>
      </c>
      <c r="X386" s="26" t="s">
        <v>898</v>
      </c>
    </row>
    <row r="387" spans="1:24" s="29" customFormat="1">
      <c r="A387" s="34" t="s">
        <v>31</v>
      </c>
      <c r="B387" s="34" t="s">
        <v>1591</v>
      </c>
      <c r="C387" s="34" t="s">
        <v>1592</v>
      </c>
      <c r="D387" s="34">
        <f t="shared" si="5"/>
        <v>-1</v>
      </c>
      <c r="E387" s="34" t="s">
        <v>34</v>
      </c>
      <c r="F387" s="34" t="s">
        <v>828</v>
      </c>
      <c r="G387" s="34" t="s">
        <v>1593</v>
      </c>
      <c r="H387" s="34" t="s">
        <v>37</v>
      </c>
      <c r="I387" s="34" t="s">
        <v>38</v>
      </c>
      <c r="J387" s="34" t="s">
        <v>915</v>
      </c>
      <c r="K387" s="34" t="s">
        <v>916</v>
      </c>
      <c r="L387" s="34">
        <v>812620.5</v>
      </c>
      <c r="M387" s="34">
        <v>0</v>
      </c>
      <c r="N387" s="34">
        <v>0</v>
      </c>
      <c r="O387" s="34">
        <v>5089570.5</v>
      </c>
      <c r="P387" s="34" t="s">
        <v>41</v>
      </c>
      <c r="Q387" s="34" t="s">
        <v>42</v>
      </c>
      <c r="R387" s="26"/>
      <c r="S387" s="26"/>
      <c r="T387" s="26" t="s">
        <v>43</v>
      </c>
      <c r="U387" s="26"/>
      <c r="V387" s="26"/>
      <c r="W387" s="26"/>
      <c r="X387" s="26"/>
    </row>
    <row r="388" spans="1:24" s="29" customFormat="1">
      <c r="A388" s="26" t="s">
        <v>31</v>
      </c>
      <c r="B388" s="26" t="s">
        <v>1594</v>
      </c>
      <c r="C388" s="26" t="s">
        <v>1595</v>
      </c>
      <c r="D388" s="26">
        <f t="shared" si="5"/>
        <v>-1</v>
      </c>
      <c r="E388" s="26" t="s">
        <v>34</v>
      </c>
      <c r="F388" s="26" t="s">
        <v>828</v>
      </c>
      <c r="G388" s="26" t="s">
        <v>1596</v>
      </c>
      <c r="H388" s="26" t="s">
        <v>37</v>
      </c>
      <c r="I388" s="26" t="s">
        <v>38</v>
      </c>
      <c r="J388" s="26" t="s">
        <v>1597</v>
      </c>
      <c r="K388" s="26" t="s">
        <v>1598</v>
      </c>
      <c r="L388" s="26">
        <v>816810</v>
      </c>
      <c r="M388" s="26">
        <v>0</v>
      </c>
      <c r="N388" s="26">
        <v>0</v>
      </c>
      <c r="O388" s="26">
        <v>5115810</v>
      </c>
      <c r="P388" s="26" t="s">
        <v>41</v>
      </c>
      <c r="Q388" s="26" t="s">
        <v>42</v>
      </c>
      <c r="R388" s="26"/>
      <c r="S388" s="26"/>
      <c r="T388" s="26"/>
      <c r="U388" s="26"/>
      <c r="V388" s="26" t="s">
        <v>43</v>
      </c>
      <c r="W388" s="26"/>
      <c r="X388" s="26"/>
    </row>
    <row r="389" spans="1:24" s="29" customFormat="1">
      <c r="A389" s="26" t="s">
        <v>31</v>
      </c>
      <c r="B389" s="26" t="s">
        <v>1599</v>
      </c>
      <c r="C389" s="26" t="s">
        <v>1600</v>
      </c>
      <c r="D389" s="26">
        <f t="shared" si="5"/>
        <v>-1</v>
      </c>
      <c r="E389" s="26" t="s">
        <v>34</v>
      </c>
      <c r="F389" s="26" t="s">
        <v>828</v>
      </c>
      <c r="G389" s="26" t="s">
        <v>1601</v>
      </c>
      <c r="H389" s="26" t="s">
        <v>37</v>
      </c>
      <c r="I389" s="26" t="s">
        <v>38</v>
      </c>
      <c r="J389" s="26" t="s">
        <v>1597</v>
      </c>
      <c r="K389" s="26" t="s">
        <v>1598</v>
      </c>
      <c r="L389" s="26">
        <v>816810</v>
      </c>
      <c r="M389" s="26">
        <v>0</v>
      </c>
      <c r="N389" s="26">
        <v>0</v>
      </c>
      <c r="O389" s="26">
        <v>5115810</v>
      </c>
      <c r="P389" s="26" t="s">
        <v>41</v>
      </c>
      <c r="Q389" s="26" t="s">
        <v>42</v>
      </c>
      <c r="R389" s="26"/>
      <c r="S389" s="26"/>
      <c r="T389" s="26"/>
      <c r="U389" s="26"/>
      <c r="V389" s="26" t="s">
        <v>43</v>
      </c>
      <c r="W389" s="26"/>
      <c r="X389" s="26"/>
    </row>
    <row r="390" spans="1:24" s="29" customFormat="1">
      <c r="A390" s="26" t="s">
        <v>31</v>
      </c>
      <c r="B390" s="26" t="s">
        <v>1602</v>
      </c>
      <c r="C390" s="26" t="s">
        <v>1603</v>
      </c>
      <c r="D390" s="26">
        <f t="shared" si="5"/>
        <v>-1</v>
      </c>
      <c r="E390" s="26" t="s">
        <v>34</v>
      </c>
      <c r="F390" s="26" t="s">
        <v>828</v>
      </c>
      <c r="G390" s="26" t="s">
        <v>1604</v>
      </c>
      <c r="H390" s="26" t="s">
        <v>37</v>
      </c>
      <c r="I390" s="26" t="s">
        <v>38</v>
      </c>
      <c r="J390" s="26" t="s">
        <v>1605</v>
      </c>
      <c r="K390" s="26" t="s">
        <v>1606</v>
      </c>
      <c r="L390" s="26">
        <v>89854.8</v>
      </c>
      <c r="M390" s="26">
        <v>0</v>
      </c>
      <c r="N390" s="26">
        <v>0</v>
      </c>
      <c r="O390" s="26">
        <v>562774.80000000005</v>
      </c>
      <c r="P390" s="26" t="s">
        <v>41</v>
      </c>
      <c r="Q390" s="26" t="s">
        <v>42</v>
      </c>
      <c r="R390" s="26"/>
      <c r="S390" s="26"/>
      <c r="T390" s="26"/>
      <c r="U390" s="26"/>
      <c r="V390" s="26" t="s">
        <v>43</v>
      </c>
      <c r="W390" s="26"/>
      <c r="X390" s="26"/>
    </row>
    <row r="391" spans="1:24" s="29" customFormat="1">
      <c r="A391" s="35" t="s">
        <v>31</v>
      </c>
      <c r="B391" s="35" t="s">
        <v>1607</v>
      </c>
      <c r="C391" s="35" t="s">
        <v>1608</v>
      </c>
      <c r="D391" s="35">
        <f t="shared" si="5"/>
        <v>-1</v>
      </c>
      <c r="E391" s="35" t="s">
        <v>34</v>
      </c>
      <c r="F391" s="35" t="s">
        <v>828</v>
      </c>
      <c r="G391" s="35" t="s">
        <v>1609</v>
      </c>
      <c r="H391" s="35" t="s">
        <v>37</v>
      </c>
      <c r="I391" s="35" t="s">
        <v>38</v>
      </c>
      <c r="J391" s="35" t="s">
        <v>1610</v>
      </c>
      <c r="K391" s="35" t="s">
        <v>1611</v>
      </c>
      <c r="L391" s="35">
        <v>150100</v>
      </c>
      <c r="M391" s="35">
        <v>0</v>
      </c>
      <c r="N391" s="35">
        <v>0</v>
      </c>
      <c r="O391" s="35">
        <v>940100</v>
      </c>
      <c r="P391" s="35" t="s">
        <v>41</v>
      </c>
      <c r="Q391" s="35" t="s">
        <v>42</v>
      </c>
      <c r="R391" s="26"/>
      <c r="S391" s="26"/>
      <c r="T391" s="26"/>
      <c r="U391" s="26"/>
      <c r="V391" s="26"/>
      <c r="W391" s="35" t="s">
        <v>43</v>
      </c>
      <c r="X391" s="26" t="s">
        <v>1612</v>
      </c>
    </row>
    <row r="392" spans="1:24" s="29" customFormat="1">
      <c r="A392" s="26" t="s">
        <v>31</v>
      </c>
      <c r="B392" s="26" t="s">
        <v>1613</v>
      </c>
      <c r="C392" s="26" t="s">
        <v>1614</v>
      </c>
      <c r="D392" s="26">
        <f t="shared" si="5"/>
        <v>-1</v>
      </c>
      <c r="E392" s="26" t="s">
        <v>34</v>
      </c>
      <c r="F392" s="26" t="s">
        <v>828</v>
      </c>
      <c r="G392" s="26" t="s">
        <v>1615</v>
      </c>
      <c r="H392" s="26" t="s">
        <v>37</v>
      </c>
      <c r="I392" s="26" t="s">
        <v>38</v>
      </c>
      <c r="J392" s="26" t="s">
        <v>1336</v>
      </c>
      <c r="K392" s="26" t="s">
        <v>1337</v>
      </c>
      <c r="L392" s="26">
        <v>280670.55</v>
      </c>
      <c r="M392" s="26">
        <v>0</v>
      </c>
      <c r="N392" s="26">
        <v>0</v>
      </c>
      <c r="O392" s="26">
        <v>2474035.5499999998</v>
      </c>
      <c r="P392" s="26" t="s">
        <v>41</v>
      </c>
      <c r="Q392" s="26" t="s">
        <v>42</v>
      </c>
      <c r="R392" s="26"/>
      <c r="S392" s="26"/>
      <c r="T392" s="26"/>
      <c r="U392" s="26"/>
      <c r="V392" s="26" t="s">
        <v>43</v>
      </c>
      <c r="W392" s="26"/>
      <c r="X392" s="26"/>
    </row>
    <row r="393" spans="1:24" s="29" customFormat="1">
      <c r="A393" s="26" t="s">
        <v>31</v>
      </c>
      <c r="B393" s="26" t="s">
        <v>1616</v>
      </c>
      <c r="C393" s="26" t="s">
        <v>1617</v>
      </c>
      <c r="D393" s="26">
        <f t="shared" si="5"/>
        <v>-1</v>
      </c>
      <c r="E393" s="26" t="s">
        <v>34</v>
      </c>
      <c r="F393" s="26" t="s">
        <v>828</v>
      </c>
      <c r="G393" s="26" t="s">
        <v>1618</v>
      </c>
      <c r="H393" s="26" t="s">
        <v>37</v>
      </c>
      <c r="I393" s="26" t="s">
        <v>38</v>
      </c>
      <c r="J393" s="26" t="s">
        <v>1619</v>
      </c>
      <c r="K393" s="26" t="s">
        <v>1620</v>
      </c>
      <c r="L393" s="26">
        <v>111150</v>
      </c>
      <c r="M393" s="26">
        <v>0</v>
      </c>
      <c r="N393" s="26">
        <v>0</v>
      </c>
      <c r="O393" s="26">
        <v>696150</v>
      </c>
      <c r="P393" s="26" t="s">
        <v>41</v>
      </c>
      <c r="Q393" s="26" t="s">
        <v>42</v>
      </c>
      <c r="R393" s="26"/>
      <c r="S393" s="26"/>
      <c r="T393" s="26"/>
      <c r="U393" s="26"/>
      <c r="V393" s="26" t="s">
        <v>43</v>
      </c>
      <c r="W393" s="26"/>
      <c r="X393" s="26"/>
    </row>
    <row r="394" spans="1:24" s="29" customFormat="1">
      <c r="A394" s="35" t="s">
        <v>31</v>
      </c>
      <c r="B394" s="35" t="s">
        <v>1621</v>
      </c>
      <c r="C394" s="35" t="s">
        <v>1622</v>
      </c>
      <c r="D394" s="35">
        <f t="shared" si="5"/>
        <v>-1</v>
      </c>
      <c r="E394" s="35" t="s">
        <v>34</v>
      </c>
      <c r="F394" s="35" t="s">
        <v>828</v>
      </c>
      <c r="G394" s="35" t="s">
        <v>1618</v>
      </c>
      <c r="H394" s="35" t="s">
        <v>37</v>
      </c>
      <c r="I394" s="35" t="s">
        <v>38</v>
      </c>
      <c r="J394" s="35" t="s">
        <v>1623</v>
      </c>
      <c r="K394" s="35" t="s">
        <v>1624</v>
      </c>
      <c r="L394" s="35">
        <v>19295.64</v>
      </c>
      <c r="M394" s="35">
        <v>0</v>
      </c>
      <c r="N394" s="35">
        <v>0</v>
      </c>
      <c r="O394" s="35">
        <v>120851.64</v>
      </c>
      <c r="P394" s="35" t="s">
        <v>41</v>
      </c>
      <c r="Q394" s="35" t="s">
        <v>42</v>
      </c>
      <c r="R394" s="26"/>
      <c r="S394" s="26"/>
      <c r="T394" s="26"/>
      <c r="U394" s="26"/>
      <c r="V394" s="26"/>
      <c r="W394" s="35" t="s">
        <v>43</v>
      </c>
      <c r="X394" s="26" t="s">
        <v>1625</v>
      </c>
    </row>
    <row r="395" spans="1:24" s="29" customFormat="1">
      <c r="A395" s="26" t="s">
        <v>31</v>
      </c>
      <c r="B395" s="26" t="s">
        <v>1626</v>
      </c>
      <c r="C395" s="26" t="s">
        <v>1627</v>
      </c>
      <c r="D395" s="26">
        <f t="shared" si="5"/>
        <v>-1</v>
      </c>
      <c r="E395" s="26" t="s">
        <v>34</v>
      </c>
      <c r="F395" s="26" t="s">
        <v>828</v>
      </c>
      <c r="G395" s="26" t="s">
        <v>1628</v>
      </c>
      <c r="H395" s="26" t="s">
        <v>37</v>
      </c>
      <c r="I395" s="26" t="s">
        <v>38</v>
      </c>
      <c r="J395" s="26" t="s">
        <v>1629</v>
      </c>
      <c r="K395" s="26" t="s">
        <v>1630</v>
      </c>
      <c r="L395" s="26">
        <v>10260</v>
      </c>
      <c r="M395" s="26">
        <v>0</v>
      </c>
      <c r="N395" s="26">
        <v>0</v>
      </c>
      <c r="O395" s="26">
        <v>64260</v>
      </c>
      <c r="P395" s="26" t="s">
        <v>41</v>
      </c>
      <c r="Q395" s="26" t="s">
        <v>42</v>
      </c>
      <c r="R395" s="26"/>
      <c r="S395" s="26"/>
      <c r="T395" s="26"/>
      <c r="U395" s="26"/>
      <c r="V395" s="26" t="s">
        <v>43</v>
      </c>
      <c r="W395" s="26"/>
      <c r="X395" s="26"/>
    </row>
    <row r="396" spans="1:24" s="29" customFormat="1">
      <c r="A396" s="35" t="s">
        <v>31</v>
      </c>
      <c r="B396" s="35" t="s">
        <v>1631</v>
      </c>
      <c r="C396" s="35" t="s">
        <v>1632</v>
      </c>
      <c r="D396" s="35">
        <f t="shared" si="5"/>
        <v>-1</v>
      </c>
      <c r="E396" s="35" t="s">
        <v>34</v>
      </c>
      <c r="F396" s="35" t="s">
        <v>828</v>
      </c>
      <c r="G396" s="35" t="s">
        <v>1633</v>
      </c>
      <c r="H396" s="35" t="s">
        <v>37</v>
      </c>
      <c r="I396" s="35" t="s">
        <v>38</v>
      </c>
      <c r="J396" s="35" t="s">
        <v>1634</v>
      </c>
      <c r="K396" s="35" t="s">
        <v>1635</v>
      </c>
      <c r="L396" s="35">
        <v>298426.53999999998</v>
      </c>
      <c r="M396" s="35">
        <v>0</v>
      </c>
      <c r="N396" s="35">
        <v>0</v>
      </c>
      <c r="O396" s="35">
        <v>1869092.54</v>
      </c>
      <c r="P396" s="35" t="s">
        <v>41</v>
      </c>
      <c r="Q396" s="35" t="s">
        <v>42</v>
      </c>
      <c r="R396" s="26"/>
      <c r="S396" s="26"/>
      <c r="T396" s="26"/>
      <c r="U396" s="26"/>
      <c r="V396" s="26"/>
      <c r="W396" s="35" t="s">
        <v>43</v>
      </c>
      <c r="X396" s="26" t="s">
        <v>920</v>
      </c>
    </row>
    <row r="397" spans="1:24" s="29" customFormat="1">
      <c r="A397" s="34" t="s">
        <v>31</v>
      </c>
      <c r="B397" s="34" t="s">
        <v>1636</v>
      </c>
      <c r="C397" s="34" t="s">
        <v>1637</v>
      </c>
      <c r="D397" s="34">
        <f t="shared" ref="D397:D460" si="6">C397-C398</f>
        <v>-1</v>
      </c>
      <c r="E397" s="34" t="s">
        <v>34</v>
      </c>
      <c r="F397" s="34" t="s">
        <v>828</v>
      </c>
      <c r="G397" s="34" t="s">
        <v>1638</v>
      </c>
      <c r="H397" s="34" t="s">
        <v>37</v>
      </c>
      <c r="I397" s="34" t="s">
        <v>38</v>
      </c>
      <c r="J397" s="34" t="s">
        <v>1639</v>
      </c>
      <c r="K397" s="34" t="s">
        <v>1640</v>
      </c>
      <c r="L397" s="34">
        <v>379861.3</v>
      </c>
      <c r="M397" s="34">
        <v>0</v>
      </c>
      <c r="N397" s="34">
        <v>0</v>
      </c>
      <c r="O397" s="34">
        <v>2379131.2999999998</v>
      </c>
      <c r="P397" s="34" t="s">
        <v>41</v>
      </c>
      <c r="Q397" s="34" t="s">
        <v>42</v>
      </c>
      <c r="R397" s="26"/>
      <c r="S397" s="26"/>
      <c r="T397" s="26" t="s">
        <v>43</v>
      </c>
      <c r="U397" s="26"/>
      <c r="V397" s="26"/>
      <c r="W397" s="26"/>
      <c r="X397" s="26"/>
    </row>
    <row r="398" spans="1:24" s="29" customFormat="1">
      <c r="A398" s="32" t="s">
        <v>31</v>
      </c>
      <c r="B398" s="32" t="s">
        <v>1641</v>
      </c>
      <c r="C398" s="32" t="s">
        <v>1642</v>
      </c>
      <c r="D398" s="32">
        <f t="shared" si="6"/>
        <v>-1</v>
      </c>
      <c r="E398" s="32" t="s">
        <v>34</v>
      </c>
      <c r="F398" s="32" t="s">
        <v>828</v>
      </c>
      <c r="G398" s="32" t="s">
        <v>1643</v>
      </c>
      <c r="H398" s="32" t="s">
        <v>37</v>
      </c>
      <c r="I398" s="32" t="s">
        <v>38</v>
      </c>
      <c r="J398" s="32" t="s">
        <v>581</v>
      </c>
      <c r="K398" s="32" t="s">
        <v>582</v>
      </c>
      <c r="L398" s="32">
        <v>345277.5</v>
      </c>
      <c r="M398" s="32">
        <v>0</v>
      </c>
      <c r="N398" s="32">
        <v>0</v>
      </c>
      <c r="O398" s="32">
        <v>2162527.5</v>
      </c>
      <c r="P398" s="32" t="s">
        <v>41</v>
      </c>
      <c r="Q398" s="32" t="s">
        <v>42</v>
      </c>
      <c r="R398" s="26" t="s">
        <v>43</v>
      </c>
      <c r="S398" s="26"/>
      <c r="T398" s="26"/>
      <c r="U398" s="26"/>
      <c r="V398" s="26"/>
      <c r="W398" s="26"/>
      <c r="X398" s="26"/>
    </row>
    <row r="399" spans="1:24" s="29" customFormat="1">
      <c r="A399" s="34" t="s">
        <v>31</v>
      </c>
      <c r="B399" s="34" t="s">
        <v>1644</v>
      </c>
      <c r="C399" s="34" t="s">
        <v>1645</v>
      </c>
      <c r="D399" s="34">
        <f t="shared" si="6"/>
        <v>-1</v>
      </c>
      <c r="E399" s="34" t="s">
        <v>34</v>
      </c>
      <c r="F399" s="34" t="s">
        <v>828</v>
      </c>
      <c r="G399" s="34" t="s">
        <v>1646</v>
      </c>
      <c r="H399" s="34" t="s">
        <v>37</v>
      </c>
      <c r="I399" s="34" t="s">
        <v>38</v>
      </c>
      <c r="J399" s="34" t="s">
        <v>1647</v>
      </c>
      <c r="K399" s="34" t="s">
        <v>1648</v>
      </c>
      <c r="L399" s="34">
        <v>70794</v>
      </c>
      <c r="M399" s="34">
        <v>0</v>
      </c>
      <c r="N399" s="34">
        <v>0</v>
      </c>
      <c r="O399" s="34">
        <v>443394</v>
      </c>
      <c r="P399" s="34" t="s">
        <v>41</v>
      </c>
      <c r="Q399" s="34" t="s">
        <v>42</v>
      </c>
      <c r="R399" s="26"/>
      <c r="S399" s="26"/>
      <c r="T399" s="26" t="s">
        <v>43</v>
      </c>
      <c r="U399" s="26"/>
      <c r="V399" s="26"/>
      <c r="W399" s="26"/>
      <c r="X399" s="26"/>
    </row>
    <row r="400" spans="1:24" s="29" customFormat="1">
      <c r="A400" s="34" t="s">
        <v>31</v>
      </c>
      <c r="B400" s="34" t="s">
        <v>1649</v>
      </c>
      <c r="C400" s="34" t="s">
        <v>1650</v>
      </c>
      <c r="D400" s="34">
        <f t="shared" si="6"/>
        <v>-1</v>
      </c>
      <c r="E400" s="34" t="s">
        <v>34</v>
      </c>
      <c r="F400" s="34" t="s">
        <v>828</v>
      </c>
      <c r="G400" s="34" t="s">
        <v>1651</v>
      </c>
      <c r="H400" s="34" t="s">
        <v>37</v>
      </c>
      <c r="I400" s="34" t="s">
        <v>38</v>
      </c>
      <c r="J400" s="34" t="s">
        <v>1647</v>
      </c>
      <c r="K400" s="34" t="s">
        <v>1648</v>
      </c>
      <c r="L400" s="34">
        <v>228000</v>
      </c>
      <c r="M400" s="34">
        <v>0</v>
      </c>
      <c r="N400" s="34">
        <v>0</v>
      </c>
      <c r="O400" s="34">
        <v>1428000</v>
      </c>
      <c r="P400" s="34" t="s">
        <v>41</v>
      </c>
      <c r="Q400" s="34" t="s">
        <v>42</v>
      </c>
      <c r="R400" s="26"/>
      <c r="S400" s="26"/>
      <c r="T400" s="26" t="s">
        <v>43</v>
      </c>
      <c r="U400" s="26"/>
      <c r="V400" s="26"/>
      <c r="W400" s="26"/>
      <c r="X400" s="26"/>
    </row>
    <row r="401" spans="1:24" s="29" customFormat="1">
      <c r="A401" s="34" t="s">
        <v>31</v>
      </c>
      <c r="B401" s="34" t="s">
        <v>1652</v>
      </c>
      <c r="C401" s="34" t="s">
        <v>1653</v>
      </c>
      <c r="D401" s="34">
        <f t="shared" si="6"/>
        <v>-1</v>
      </c>
      <c r="E401" s="34" t="s">
        <v>34</v>
      </c>
      <c r="F401" s="34" t="s">
        <v>828</v>
      </c>
      <c r="G401" s="34" t="s">
        <v>1654</v>
      </c>
      <c r="H401" s="34" t="s">
        <v>37</v>
      </c>
      <c r="I401" s="34" t="s">
        <v>38</v>
      </c>
      <c r="J401" s="34" t="s">
        <v>1647</v>
      </c>
      <c r="K401" s="34" t="s">
        <v>1648</v>
      </c>
      <c r="L401" s="34">
        <v>133000</v>
      </c>
      <c r="M401" s="34">
        <v>0</v>
      </c>
      <c r="N401" s="34">
        <v>0</v>
      </c>
      <c r="O401" s="34">
        <v>833000</v>
      </c>
      <c r="P401" s="34" t="s">
        <v>41</v>
      </c>
      <c r="Q401" s="34" t="s">
        <v>42</v>
      </c>
      <c r="R401" s="26"/>
      <c r="S401" s="26"/>
      <c r="T401" s="26" t="s">
        <v>43</v>
      </c>
      <c r="U401" s="26"/>
      <c r="V401" s="26"/>
      <c r="W401" s="26"/>
      <c r="X401" s="26"/>
    </row>
    <row r="402" spans="1:24" s="29" customFormat="1">
      <c r="A402" s="26" t="s">
        <v>31</v>
      </c>
      <c r="B402" s="26" t="s">
        <v>1655</v>
      </c>
      <c r="C402" s="26" t="s">
        <v>1656</v>
      </c>
      <c r="D402" s="26">
        <f t="shared" si="6"/>
        <v>-1</v>
      </c>
      <c r="E402" s="26" t="s">
        <v>34</v>
      </c>
      <c r="F402" s="26" t="s">
        <v>828</v>
      </c>
      <c r="G402" s="26" t="s">
        <v>1657</v>
      </c>
      <c r="H402" s="26" t="s">
        <v>37</v>
      </c>
      <c r="I402" s="26" t="s">
        <v>38</v>
      </c>
      <c r="J402" s="26" t="s">
        <v>1658</v>
      </c>
      <c r="K402" s="26" t="s">
        <v>1659</v>
      </c>
      <c r="L402" s="26">
        <v>255454</v>
      </c>
      <c r="M402" s="26">
        <v>0</v>
      </c>
      <c r="N402" s="26">
        <v>0</v>
      </c>
      <c r="O402" s="26">
        <v>1689954</v>
      </c>
      <c r="P402" s="26" t="s">
        <v>41</v>
      </c>
      <c r="Q402" s="26" t="s">
        <v>42</v>
      </c>
      <c r="R402" s="26"/>
      <c r="S402" s="26"/>
      <c r="T402" s="26"/>
      <c r="U402" s="26"/>
      <c r="V402" s="26" t="s">
        <v>43</v>
      </c>
      <c r="W402" s="26"/>
      <c r="X402" s="26"/>
    </row>
    <row r="403" spans="1:24" s="29" customFormat="1">
      <c r="A403" s="26" t="s">
        <v>31</v>
      </c>
      <c r="B403" s="26" t="s">
        <v>1660</v>
      </c>
      <c r="C403" s="26" t="s">
        <v>1661</v>
      </c>
      <c r="D403" s="26">
        <f t="shared" si="6"/>
        <v>-1</v>
      </c>
      <c r="E403" s="26" t="s">
        <v>34</v>
      </c>
      <c r="F403" s="26" t="s">
        <v>828</v>
      </c>
      <c r="G403" s="26" t="s">
        <v>1662</v>
      </c>
      <c r="H403" s="26" t="s">
        <v>37</v>
      </c>
      <c r="I403" s="26" t="s">
        <v>38</v>
      </c>
      <c r="J403" s="26" t="s">
        <v>545</v>
      </c>
      <c r="K403" s="26" t="s">
        <v>546</v>
      </c>
      <c r="L403" s="26">
        <v>262558.95</v>
      </c>
      <c r="M403" s="26">
        <v>0</v>
      </c>
      <c r="N403" s="26">
        <v>0</v>
      </c>
      <c r="O403" s="26">
        <v>2421963.9500000002</v>
      </c>
      <c r="P403" s="26" t="s">
        <v>41</v>
      </c>
      <c r="Q403" s="26" t="s">
        <v>42</v>
      </c>
      <c r="R403" s="26"/>
      <c r="S403" s="26"/>
      <c r="T403" s="26"/>
      <c r="U403" s="26"/>
      <c r="V403" s="26" t="s">
        <v>43</v>
      </c>
      <c r="W403" s="26"/>
      <c r="X403" s="26"/>
    </row>
    <row r="404" spans="1:24" s="29" customFormat="1">
      <c r="A404" s="35" t="s">
        <v>31</v>
      </c>
      <c r="B404" s="35" t="s">
        <v>1663</v>
      </c>
      <c r="C404" s="35" t="s">
        <v>1664</v>
      </c>
      <c r="D404" s="35">
        <f t="shared" si="6"/>
        <v>-1</v>
      </c>
      <c r="E404" s="35" t="s">
        <v>34</v>
      </c>
      <c r="F404" s="35" t="s">
        <v>828</v>
      </c>
      <c r="G404" s="35" t="s">
        <v>1665</v>
      </c>
      <c r="H404" s="35" t="s">
        <v>37</v>
      </c>
      <c r="I404" s="35" t="s">
        <v>38</v>
      </c>
      <c r="J404" s="35" t="s">
        <v>1666</v>
      </c>
      <c r="K404" s="35" t="s">
        <v>1667</v>
      </c>
      <c r="L404" s="35">
        <v>3154971</v>
      </c>
      <c r="M404" s="35">
        <v>0</v>
      </c>
      <c r="N404" s="35">
        <v>0</v>
      </c>
      <c r="O404" s="35">
        <v>26400081.5</v>
      </c>
      <c r="P404" s="35" t="s">
        <v>41</v>
      </c>
      <c r="Q404" s="35" t="s">
        <v>42</v>
      </c>
      <c r="R404" s="26"/>
      <c r="S404" s="26"/>
      <c r="T404" s="26"/>
      <c r="U404" s="26"/>
      <c r="V404" s="26"/>
      <c r="W404" s="35" t="s">
        <v>43</v>
      </c>
      <c r="X404" s="26" t="s">
        <v>1388</v>
      </c>
    </row>
    <row r="405" spans="1:24" s="29" customFormat="1">
      <c r="A405" s="32" t="s">
        <v>31</v>
      </c>
      <c r="B405" s="32" t="s">
        <v>1668</v>
      </c>
      <c r="C405" s="32" t="s">
        <v>1669</v>
      </c>
      <c r="D405" s="32">
        <f t="shared" si="6"/>
        <v>-1</v>
      </c>
      <c r="E405" s="32" t="s">
        <v>34</v>
      </c>
      <c r="F405" s="32" t="s">
        <v>828</v>
      </c>
      <c r="G405" s="32" t="s">
        <v>1670</v>
      </c>
      <c r="H405" s="32" t="s">
        <v>37</v>
      </c>
      <c r="I405" s="32" t="s">
        <v>38</v>
      </c>
      <c r="J405" s="32" t="s">
        <v>592</v>
      </c>
      <c r="K405" s="32" t="s">
        <v>593</v>
      </c>
      <c r="L405" s="32">
        <v>13490</v>
      </c>
      <c r="M405" s="32">
        <v>0</v>
      </c>
      <c r="N405" s="32">
        <v>0</v>
      </c>
      <c r="O405" s="32">
        <v>84490</v>
      </c>
      <c r="P405" s="32" t="s">
        <v>41</v>
      </c>
      <c r="Q405" s="32" t="s">
        <v>42</v>
      </c>
      <c r="R405" s="26" t="s">
        <v>43</v>
      </c>
      <c r="S405" s="26"/>
      <c r="T405" s="26"/>
      <c r="U405" s="26"/>
      <c r="V405" s="26"/>
      <c r="W405" s="26"/>
      <c r="X405" s="26"/>
    </row>
    <row r="406" spans="1:24" s="29" customFormat="1">
      <c r="A406" s="34" t="s">
        <v>31</v>
      </c>
      <c r="B406" s="34" t="s">
        <v>1671</v>
      </c>
      <c r="C406" s="34" t="s">
        <v>1672</v>
      </c>
      <c r="D406" s="34">
        <f t="shared" si="6"/>
        <v>-1</v>
      </c>
      <c r="E406" s="34" t="s">
        <v>34</v>
      </c>
      <c r="F406" s="34" t="s">
        <v>828</v>
      </c>
      <c r="G406" s="34" t="s">
        <v>1673</v>
      </c>
      <c r="H406" s="34" t="s">
        <v>37</v>
      </c>
      <c r="I406" s="34" t="s">
        <v>38</v>
      </c>
      <c r="J406" s="34" t="s">
        <v>1674</v>
      </c>
      <c r="K406" s="34" t="s">
        <v>1675</v>
      </c>
      <c r="L406" s="34">
        <v>1016500</v>
      </c>
      <c r="M406" s="34">
        <v>0</v>
      </c>
      <c r="N406" s="34">
        <v>0</v>
      </c>
      <c r="O406" s="34">
        <v>6628000</v>
      </c>
      <c r="P406" s="34" t="s">
        <v>41</v>
      </c>
      <c r="Q406" s="34" t="s">
        <v>42</v>
      </c>
      <c r="R406" s="26"/>
      <c r="S406" s="26"/>
      <c r="T406" s="26" t="s">
        <v>43</v>
      </c>
      <c r="U406" s="26"/>
      <c r="V406" s="26"/>
      <c r="W406" s="26"/>
      <c r="X406" s="26"/>
    </row>
    <row r="407" spans="1:24" s="29" customFormat="1">
      <c r="A407" s="34" t="s">
        <v>31</v>
      </c>
      <c r="B407" s="34" t="s">
        <v>1676</v>
      </c>
      <c r="C407" s="34" t="s">
        <v>1677</v>
      </c>
      <c r="D407" s="34">
        <f t="shared" si="6"/>
        <v>-1</v>
      </c>
      <c r="E407" s="34" t="s">
        <v>34</v>
      </c>
      <c r="F407" s="34" t="s">
        <v>828</v>
      </c>
      <c r="G407" s="34" t="s">
        <v>1678</v>
      </c>
      <c r="H407" s="34" t="s">
        <v>37</v>
      </c>
      <c r="I407" s="34" t="s">
        <v>38</v>
      </c>
      <c r="J407" s="34" t="s">
        <v>1679</v>
      </c>
      <c r="K407" s="34" t="s">
        <v>1680</v>
      </c>
      <c r="L407" s="34">
        <v>68400</v>
      </c>
      <c r="M407" s="34">
        <v>0</v>
      </c>
      <c r="N407" s="34">
        <v>0</v>
      </c>
      <c r="O407" s="34">
        <v>428400</v>
      </c>
      <c r="P407" s="34" t="s">
        <v>41</v>
      </c>
      <c r="Q407" s="34" t="s">
        <v>42</v>
      </c>
      <c r="R407" s="26"/>
      <c r="S407" s="26"/>
      <c r="T407" s="26" t="s">
        <v>43</v>
      </c>
      <c r="U407" s="26"/>
      <c r="V407" s="26"/>
      <c r="W407" s="26"/>
      <c r="X407" s="26"/>
    </row>
    <row r="408" spans="1:24" s="29" customFormat="1">
      <c r="A408" s="34" t="s">
        <v>31</v>
      </c>
      <c r="B408" s="34" t="s">
        <v>1681</v>
      </c>
      <c r="C408" s="34" t="s">
        <v>1682</v>
      </c>
      <c r="D408" s="34">
        <f t="shared" si="6"/>
        <v>-1</v>
      </c>
      <c r="E408" s="34" t="s">
        <v>34</v>
      </c>
      <c r="F408" s="34" t="s">
        <v>828</v>
      </c>
      <c r="G408" s="34" t="s">
        <v>1683</v>
      </c>
      <c r="H408" s="34" t="s">
        <v>37</v>
      </c>
      <c r="I408" s="34" t="s">
        <v>38</v>
      </c>
      <c r="J408" s="34" t="s">
        <v>142</v>
      </c>
      <c r="K408" s="34" t="s">
        <v>143</v>
      </c>
      <c r="L408" s="34">
        <v>138308.79</v>
      </c>
      <c r="M408" s="34">
        <v>0</v>
      </c>
      <c r="N408" s="34">
        <v>0</v>
      </c>
      <c r="O408" s="34">
        <v>866249.79</v>
      </c>
      <c r="P408" s="34" t="s">
        <v>41</v>
      </c>
      <c r="Q408" s="34" t="s">
        <v>42</v>
      </c>
      <c r="R408" s="26"/>
      <c r="S408" s="26"/>
      <c r="T408" s="26" t="s">
        <v>43</v>
      </c>
      <c r="U408" s="26"/>
      <c r="V408" s="26"/>
      <c r="W408" s="26"/>
      <c r="X408" s="26"/>
    </row>
    <row r="409" spans="1:24" s="29" customFormat="1">
      <c r="A409" s="34" t="s">
        <v>31</v>
      </c>
      <c r="B409" s="34" t="s">
        <v>1684</v>
      </c>
      <c r="C409" s="34" t="s">
        <v>1685</v>
      </c>
      <c r="D409" s="34">
        <f t="shared" si="6"/>
        <v>-1</v>
      </c>
      <c r="E409" s="34" t="s">
        <v>34</v>
      </c>
      <c r="F409" s="34" t="s">
        <v>828</v>
      </c>
      <c r="G409" s="34" t="s">
        <v>1686</v>
      </c>
      <c r="H409" s="34" t="s">
        <v>37</v>
      </c>
      <c r="I409" s="34" t="s">
        <v>38</v>
      </c>
      <c r="J409" s="34" t="s">
        <v>142</v>
      </c>
      <c r="K409" s="34" t="s">
        <v>143</v>
      </c>
      <c r="L409" s="34">
        <v>3443.94</v>
      </c>
      <c r="M409" s="34">
        <v>0</v>
      </c>
      <c r="N409" s="34">
        <v>0</v>
      </c>
      <c r="O409" s="34">
        <v>21569.94</v>
      </c>
      <c r="P409" s="34" t="s">
        <v>41</v>
      </c>
      <c r="Q409" s="34" t="s">
        <v>42</v>
      </c>
      <c r="R409" s="26"/>
      <c r="S409" s="26"/>
      <c r="T409" s="26" t="s">
        <v>43</v>
      </c>
      <c r="U409" s="26"/>
      <c r="V409" s="26"/>
      <c r="W409" s="26"/>
      <c r="X409" s="26"/>
    </row>
    <row r="410" spans="1:24" s="29" customFormat="1">
      <c r="A410" s="26" t="s">
        <v>31</v>
      </c>
      <c r="B410" s="26" t="s">
        <v>1687</v>
      </c>
      <c r="C410" s="26" t="s">
        <v>1688</v>
      </c>
      <c r="D410" s="26">
        <f t="shared" si="6"/>
        <v>-1</v>
      </c>
      <c r="E410" s="26" t="s">
        <v>34</v>
      </c>
      <c r="F410" s="26" t="s">
        <v>828</v>
      </c>
      <c r="G410" s="26" t="s">
        <v>1689</v>
      </c>
      <c r="H410" s="26" t="s">
        <v>37</v>
      </c>
      <c r="I410" s="26" t="s">
        <v>38</v>
      </c>
      <c r="J410" s="26" t="s">
        <v>1690</v>
      </c>
      <c r="K410" s="26" t="s">
        <v>1691</v>
      </c>
      <c r="L410" s="26">
        <v>117914</v>
      </c>
      <c r="M410" s="26">
        <v>0</v>
      </c>
      <c r="N410" s="26">
        <v>0</v>
      </c>
      <c r="O410" s="26">
        <v>738514</v>
      </c>
      <c r="P410" s="26" t="s">
        <v>41</v>
      </c>
      <c r="Q410" s="26" t="s">
        <v>42</v>
      </c>
      <c r="R410" s="26"/>
      <c r="S410" s="26"/>
      <c r="T410" s="26"/>
      <c r="U410" s="26"/>
      <c r="V410" s="26" t="s">
        <v>43</v>
      </c>
      <c r="W410" s="26"/>
      <c r="X410" s="26"/>
    </row>
    <row r="411" spans="1:24" s="29" customFormat="1">
      <c r="A411" s="34" t="s">
        <v>31</v>
      </c>
      <c r="B411" s="34" t="s">
        <v>1692</v>
      </c>
      <c r="C411" s="34" t="s">
        <v>1693</v>
      </c>
      <c r="D411" s="34">
        <f t="shared" si="6"/>
        <v>-1</v>
      </c>
      <c r="E411" s="34" t="s">
        <v>34</v>
      </c>
      <c r="F411" s="34" t="s">
        <v>828</v>
      </c>
      <c r="G411" s="34" t="s">
        <v>1694</v>
      </c>
      <c r="H411" s="34" t="s">
        <v>37</v>
      </c>
      <c r="I411" s="34" t="s">
        <v>38</v>
      </c>
      <c r="J411" s="34" t="s">
        <v>915</v>
      </c>
      <c r="K411" s="34" t="s">
        <v>916</v>
      </c>
      <c r="L411" s="34">
        <v>922640</v>
      </c>
      <c r="M411" s="34">
        <v>0</v>
      </c>
      <c r="N411" s="34">
        <v>0</v>
      </c>
      <c r="O411" s="34">
        <v>5778640</v>
      </c>
      <c r="P411" s="34" t="s">
        <v>41</v>
      </c>
      <c r="Q411" s="34" t="s">
        <v>42</v>
      </c>
      <c r="R411" s="26"/>
      <c r="S411" s="26"/>
      <c r="T411" s="26" t="s">
        <v>43</v>
      </c>
      <c r="U411" s="26"/>
      <c r="V411" s="26"/>
      <c r="W411" s="26"/>
      <c r="X411" s="26"/>
    </row>
    <row r="412" spans="1:24" s="29" customFormat="1">
      <c r="A412" s="26" t="s">
        <v>31</v>
      </c>
      <c r="B412" s="26" t="s">
        <v>1695</v>
      </c>
      <c r="C412" s="26" t="s">
        <v>1696</v>
      </c>
      <c r="D412" s="26">
        <f t="shared" si="6"/>
        <v>-1</v>
      </c>
      <c r="E412" s="26" t="s">
        <v>34</v>
      </c>
      <c r="F412" s="26" t="s">
        <v>828</v>
      </c>
      <c r="G412" s="26" t="s">
        <v>1697</v>
      </c>
      <c r="H412" s="26" t="s">
        <v>37</v>
      </c>
      <c r="I412" s="26" t="s">
        <v>38</v>
      </c>
      <c r="J412" s="26" t="s">
        <v>1698</v>
      </c>
      <c r="K412" s="26" t="s">
        <v>1699</v>
      </c>
      <c r="L412" s="26">
        <v>133362.14000000001</v>
      </c>
      <c r="M412" s="26">
        <v>0</v>
      </c>
      <c r="N412" s="26">
        <v>0</v>
      </c>
      <c r="O412" s="26">
        <v>853870.14</v>
      </c>
      <c r="P412" s="26" t="s">
        <v>41</v>
      </c>
      <c r="Q412" s="26" t="s">
        <v>42</v>
      </c>
      <c r="R412" s="26"/>
      <c r="S412" s="26"/>
      <c r="T412" s="26"/>
      <c r="U412" s="26"/>
      <c r="V412" s="26" t="s">
        <v>43</v>
      </c>
      <c r="W412" s="26"/>
      <c r="X412" s="26"/>
    </row>
    <row r="413" spans="1:24" s="29" customFormat="1">
      <c r="A413" s="26" t="s">
        <v>31</v>
      </c>
      <c r="B413" s="26" t="s">
        <v>1700</v>
      </c>
      <c r="C413" s="26" t="s">
        <v>1701</v>
      </c>
      <c r="D413" s="26">
        <f t="shared" si="6"/>
        <v>-1</v>
      </c>
      <c r="E413" s="26" t="s">
        <v>34</v>
      </c>
      <c r="F413" s="26" t="s">
        <v>828</v>
      </c>
      <c r="G413" s="26" t="s">
        <v>1702</v>
      </c>
      <c r="H413" s="26" t="s">
        <v>37</v>
      </c>
      <c r="I413" s="26" t="s">
        <v>38</v>
      </c>
      <c r="J413" s="26" t="s">
        <v>1698</v>
      </c>
      <c r="K413" s="26" t="s">
        <v>1699</v>
      </c>
      <c r="L413" s="26">
        <v>284050</v>
      </c>
      <c r="M413" s="26">
        <v>0</v>
      </c>
      <c r="N413" s="26">
        <v>0</v>
      </c>
      <c r="O413" s="26">
        <v>1779050</v>
      </c>
      <c r="P413" s="26" t="s">
        <v>41</v>
      </c>
      <c r="Q413" s="26" t="s">
        <v>42</v>
      </c>
      <c r="R413" s="26"/>
      <c r="S413" s="26"/>
      <c r="T413" s="26"/>
      <c r="U413" s="26"/>
      <c r="V413" s="26" t="s">
        <v>43</v>
      </c>
      <c r="W413" s="26"/>
      <c r="X413" s="26"/>
    </row>
    <row r="414" spans="1:24" s="29" customFormat="1">
      <c r="A414" s="34" t="s">
        <v>31</v>
      </c>
      <c r="B414" s="34" t="s">
        <v>1703</v>
      </c>
      <c r="C414" s="34" t="s">
        <v>1704</v>
      </c>
      <c r="D414" s="34">
        <f t="shared" si="6"/>
        <v>-1</v>
      </c>
      <c r="E414" s="34" t="s">
        <v>34</v>
      </c>
      <c r="F414" s="34" t="s">
        <v>828</v>
      </c>
      <c r="G414" s="34" t="s">
        <v>1705</v>
      </c>
      <c r="H414" s="34" t="s">
        <v>37</v>
      </c>
      <c r="I414" s="34" t="s">
        <v>38</v>
      </c>
      <c r="J414" s="34" t="s">
        <v>530</v>
      </c>
      <c r="K414" s="34" t="s">
        <v>531</v>
      </c>
      <c r="L414" s="34">
        <v>19000</v>
      </c>
      <c r="M414" s="34">
        <v>0</v>
      </c>
      <c r="N414" s="34">
        <v>0</v>
      </c>
      <c r="O414" s="34">
        <v>119000</v>
      </c>
      <c r="P414" s="34" t="s">
        <v>41</v>
      </c>
      <c r="Q414" s="34" t="s">
        <v>42</v>
      </c>
      <c r="R414" s="26"/>
      <c r="S414" s="26"/>
      <c r="T414" s="26" t="s">
        <v>43</v>
      </c>
      <c r="U414" s="26"/>
      <c r="V414" s="26"/>
      <c r="W414" s="26"/>
      <c r="X414" s="26"/>
    </row>
    <row r="415" spans="1:24" s="29" customFormat="1">
      <c r="A415" s="26" t="s">
        <v>31</v>
      </c>
      <c r="B415" s="26" t="s">
        <v>1706</v>
      </c>
      <c r="C415" s="26" t="s">
        <v>1707</v>
      </c>
      <c r="D415" s="26">
        <f t="shared" si="6"/>
        <v>-1</v>
      </c>
      <c r="E415" s="26" t="s">
        <v>34</v>
      </c>
      <c r="F415" s="26" t="s">
        <v>828</v>
      </c>
      <c r="G415" s="26" t="s">
        <v>1708</v>
      </c>
      <c r="H415" s="26" t="s">
        <v>37</v>
      </c>
      <c r="I415" s="26" t="s">
        <v>38</v>
      </c>
      <c r="J415" s="26" t="s">
        <v>1709</v>
      </c>
      <c r="K415" s="26" t="s">
        <v>1710</v>
      </c>
      <c r="L415" s="26">
        <v>98800</v>
      </c>
      <c r="M415" s="26">
        <v>0</v>
      </c>
      <c r="N415" s="26">
        <v>0</v>
      </c>
      <c r="O415" s="26">
        <v>618800</v>
      </c>
      <c r="P415" s="26" t="s">
        <v>41</v>
      </c>
      <c r="Q415" s="26" t="s">
        <v>42</v>
      </c>
      <c r="R415" s="26"/>
      <c r="S415" s="26"/>
      <c r="T415" s="26"/>
      <c r="U415" s="26"/>
      <c r="V415" s="26" t="s">
        <v>43</v>
      </c>
      <c r="W415" s="26"/>
      <c r="X415" s="26"/>
    </row>
    <row r="416" spans="1:24" s="29" customFormat="1">
      <c r="A416" s="26" t="s">
        <v>31</v>
      </c>
      <c r="B416" s="26" t="s">
        <v>1711</v>
      </c>
      <c r="C416" s="26" t="s">
        <v>1712</v>
      </c>
      <c r="D416" s="26">
        <f t="shared" si="6"/>
        <v>-1</v>
      </c>
      <c r="E416" s="26" t="s">
        <v>34</v>
      </c>
      <c r="F416" s="26" t="s">
        <v>828</v>
      </c>
      <c r="G416" s="26" t="s">
        <v>1713</v>
      </c>
      <c r="H416" s="26" t="s">
        <v>37</v>
      </c>
      <c r="I416" s="26" t="s">
        <v>38</v>
      </c>
      <c r="J416" s="26" t="s">
        <v>1009</v>
      </c>
      <c r="K416" s="26" t="s">
        <v>1010</v>
      </c>
      <c r="L416" s="26">
        <v>33896</v>
      </c>
      <c r="M416" s="26">
        <v>0</v>
      </c>
      <c r="N416" s="26">
        <v>0</v>
      </c>
      <c r="O416" s="26">
        <v>828296</v>
      </c>
      <c r="P416" s="26" t="s">
        <v>41</v>
      </c>
      <c r="Q416" s="26" t="s">
        <v>42</v>
      </c>
      <c r="R416" s="26"/>
      <c r="S416" s="26"/>
      <c r="T416" s="26"/>
      <c r="U416" s="26"/>
      <c r="V416" s="26" t="s">
        <v>43</v>
      </c>
      <c r="W416" s="26"/>
      <c r="X416" s="26"/>
    </row>
    <row r="417" spans="1:24" s="29" customFormat="1">
      <c r="A417" s="35" t="s">
        <v>31</v>
      </c>
      <c r="B417" s="35" t="s">
        <v>1714</v>
      </c>
      <c r="C417" s="35" t="s">
        <v>1715</v>
      </c>
      <c r="D417" s="35">
        <f t="shared" si="6"/>
        <v>-1</v>
      </c>
      <c r="E417" s="35" t="s">
        <v>34</v>
      </c>
      <c r="F417" s="35" t="s">
        <v>828</v>
      </c>
      <c r="G417" s="35" t="s">
        <v>1716</v>
      </c>
      <c r="H417" s="35" t="s">
        <v>37</v>
      </c>
      <c r="I417" s="35" t="s">
        <v>38</v>
      </c>
      <c r="J417" s="35" t="s">
        <v>1717</v>
      </c>
      <c r="K417" s="35" t="s">
        <v>1718</v>
      </c>
      <c r="L417" s="35">
        <v>27514.36</v>
      </c>
      <c r="M417" s="35">
        <v>0</v>
      </c>
      <c r="N417" s="35">
        <v>0</v>
      </c>
      <c r="O417" s="35">
        <v>179770.36</v>
      </c>
      <c r="P417" s="35" t="s">
        <v>41</v>
      </c>
      <c r="Q417" s="35" t="s">
        <v>42</v>
      </c>
      <c r="R417" s="26"/>
      <c r="S417" s="26"/>
      <c r="T417" s="26"/>
      <c r="U417" s="26"/>
      <c r="V417" s="26"/>
      <c r="W417" s="35" t="s">
        <v>43</v>
      </c>
      <c r="X417" s="28">
        <v>46077</v>
      </c>
    </row>
    <row r="418" spans="1:24" s="29" customFormat="1">
      <c r="A418" s="32" t="s">
        <v>31</v>
      </c>
      <c r="B418" s="32" t="s">
        <v>1719</v>
      </c>
      <c r="C418" s="32" t="s">
        <v>1720</v>
      </c>
      <c r="D418" s="32">
        <f t="shared" si="6"/>
        <v>-1</v>
      </c>
      <c r="E418" s="32" t="s">
        <v>34</v>
      </c>
      <c r="F418" s="32" t="s">
        <v>828</v>
      </c>
      <c r="G418" s="32" t="s">
        <v>1721</v>
      </c>
      <c r="H418" s="32" t="s">
        <v>37</v>
      </c>
      <c r="I418" s="32" t="s">
        <v>38</v>
      </c>
      <c r="J418" s="32" t="s">
        <v>1722</v>
      </c>
      <c r="K418" s="32" t="s">
        <v>1723</v>
      </c>
      <c r="L418" s="32">
        <v>7904</v>
      </c>
      <c r="M418" s="32">
        <v>0</v>
      </c>
      <c r="N418" s="32">
        <v>0</v>
      </c>
      <c r="O418" s="32">
        <v>49504</v>
      </c>
      <c r="P418" s="32" t="s">
        <v>41</v>
      </c>
      <c r="Q418" s="32" t="s">
        <v>42</v>
      </c>
      <c r="R418" s="26" t="s">
        <v>43</v>
      </c>
      <c r="S418" s="26"/>
      <c r="T418" s="26"/>
      <c r="U418" s="26"/>
      <c r="V418" s="26"/>
      <c r="W418" s="26"/>
      <c r="X418" s="26"/>
    </row>
    <row r="419" spans="1:24" s="29" customFormat="1">
      <c r="A419" s="32" t="s">
        <v>31</v>
      </c>
      <c r="B419" s="32" t="s">
        <v>1724</v>
      </c>
      <c r="C419" s="32" t="s">
        <v>1725</v>
      </c>
      <c r="D419" s="32">
        <f t="shared" si="6"/>
        <v>-1</v>
      </c>
      <c r="E419" s="32" t="s">
        <v>34</v>
      </c>
      <c r="F419" s="32" t="s">
        <v>828</v>
      </c>
      <c r="G419" s="32" t="s">
        <v>1726</v>
      </c>
      <c r="H419" s="32" t="s">
        <v>37</v>
      </c>
      <c r="I419" s="32" t="s">
        <v>38</v>
      </c>
      <c r="J419" s="32" t="s">
        <v>1727</v>
      </c>
      <c r="K419" s="32" t="s">
        <v>1728</v>
      </c>
      <c r="L419" s="32">
        <v>344850</v>
      </c>
      <c r="M419" s="32">
        <v>0</v>
      </c>
      <c r="N419" s="32">
        <v>0</v>
      </c>
      <c r="O419" s="32">
        <v>2159850</v>
      </c>
      <c r="P419" s="32" t="s">
        <v>41</v>
      </c>
      <c r="Q419" s="32" t="s">
        <v>42</v>
      </c>
      <c r="R419" s="26" t="s">
        <v>43</v>
      </c>
      <c r="S419" s="26"/>
      <c r="T419" s="26"/>
      <c r="U419" s="26"/>
      <c r="V419" s="26"/>
      <c r="W419" s="26"/>
      <c r="X419" s="26"/>
    </row>
    <row r="420" spans="1:24" s="29" customFormat="1">
      <c r="A420" s="34" t="s">
        <v>31</v>
      </c>
      <c r="B420" s="34" t="s">
        <v>1729</v>
      </c>
      <c r="C420" s="34" t="s">
        <v>1730</v>
      </c>
      <c r="D420" s="34">
        <f t="shared" si="6"/>
        <v>-1</v>
      </c>
      <c r="E420" s="34" t="s">
        <v>34</v>
      </c>
      <c r="F420" s="34" t="s">
        <v>828</v>
      </c>
      <c r="G420" s="34" t="s">
        <v>1731</v>
      </c>
      <c r="H420" s="34" t="s">
        <v>37</v>
      </c>
      <c r="I420" s="34" t="s">
        <v>38</v>
      </c>
      <c r="J420" s="34" t="s">
        <v>600</v>
      </c>
      <c r="K420" s="34" t="s">
        <v>601</v>
      </c>
      <c r="L420" s="34">
        <v>593940</v>
      </c>
      <c r="M420" s="34">
        <v>0</v>
      </c>
      <c r="N420" s="34">
        <v>0</v>
      </c>
      <c r="O420" s="34">
        <v>4331140</v>
      </c>
      <c r="P420" s="34" t="s">
        <v>41</v>
      </c>
      <c r="Q420" s="34" t="s">
        <v>42</v>
      </c>
      <c r="R420" s="26"/>
      <c r="S420" s="26"/>
      <c r="T420" s="26" t="s">
        <v>43</v>
      </c>
      <c r="U420" s="26"/>
      <c r="V420" s="26"/>
      <c r="W420" s="26"/>
      <c r="X420" s="26"/>
    </row>
    <row r="421" spans="1:24" s="29" customFormat="1">
      <c r="A421" s="34" t="s">
        <v>31</v>
      </c>
      <c r="B421" s="34" t="s">
        <v>1732</v>
      </c>
      <c r="C421" s="34" t="s">
        <v>1733</v>
      </c>
      <c r="D421" s="34">
        <f t="shared" si="6"/>
        <v>-1</v>
      </c>
      <c r="E421" s="34" t="s">
        <v>34</v>
      </c>
      <c r="F421" s="34" t="s">
        <v>828</v>
      </c>
      <c r="G421" s="34" t="s">
        <v>1734</v>
      </c>
      <c r="H421" s="34" t="s">
        <v>37</v>
      </c>
      <c r="I421" s="34" t="s">
        <v>38</v>
      </c>
      <c r="J421" s="34" t="s">
        <v>1134</v>
      </c>
      <c r="K421" s="34" t="s">
        <v>1135</v>
      </c>
      <c r="L421" s="34">
        <v>547200</v>
      </c>
      <c r="M421" s="34">
        <v>0</v>
      </c>
      <c r="N421" s="34">
        <v>0</v>
      </c>
      <c r="O421" s="34">
        <v>3427200</v>
      </c>
      <c r="P421" s="34" t="s">
        <v>41</v>
      </c>
      <c r="Q421" s="34" t="s">
        <v>42</v>
      </c>
      <c r="R421" s="26"/>
      <c r="S421" s="26"/>
      <c r="T421" s="26" t="s">
        <v>43</v>
      </c>
      <c r="U421" s="26"/>
      <c r="V421" s="26"/>
      <c r="W421" s="26"/>
      <c r="X421" s="26"/>
    </row>
    <row r="422" spans="1:24" s="29" customFormat="1">
      <c r="A422" s="35" t="s">
        <v>31</v>
      </c>
      <c r="B422" s="35" t="s">
        <v>1735</v>
      </c>
      <c r="C422" s="35" t="s">
        <v>1736</v>
      </c>
      <c r="D422" s="35">
        <f t="shared" si="6"/>
        <v>-1</v>
      </c>
      <c r="E422" s="35" t="s">
        <v>34</v>
      </c>
      <c r="F422" s="35" t="s">
        <v>828</v>
      </c>
      <c r="G422" s="35" t="s">
        <v>1737</v>
      </c>
      <c r="H422" s="35" t="s">
        <v>37</v>
      </c>
      <c r="I422" s="35" t="s">
        <v>38</v>
      </c>
      <c r="J422" s="35" t="s">
        <v>1738</v>
      </c>
      <c r="K422" s="35" t="s">
        <v>1739</v>
      </c>
      <c r="L422" s="35">
        <v>18134</v>
      </c>
      <c r="M422" s="35">
        <v>0</v>
      </c>
      <c r="N422" s="35">
        <v>0</v>
      </c>
      <c r="O422" s="35">
        <v>296534</v>
      </c>
      <c r="P422" s="35" t="s">
        <v>41</v>
      </c>
      <c r="Q422" s="35" t="s">
        <v>42</v>
      </c>
      <c r="R422" s="26"/>
      <c r="S422" s="26"/>
      <c r="T422" s="26"/>
      <c r="U422" s="26"/>
      <c r="V422" s="26"/>
      <c r="W422" s="35" t="s">
        <v>43</v>
      </c>
      <c r="X422" s="26" t="s">
        <v>920</v>
      </c>
    </row>
    <row r="423" spans="1:24" s="29" customFormat="1">
      <c r="A423" s="26" t="s">
        <v>31</v>
      </c>
      <c r="B423" s="26" t="s">
        <v>1740</v>
      </c>
      <c r="C423" s="26" t="s">
        <v>1741</v>
      </c>
      <c r="D423" s="26">
        <f t="shared" si="6"/>
        <v>-1</v>
      </c>
      <c r="E423" s="26" t="s">
        <v>34</v>
      </c>
      <c r="F423" s="26" t="s">
        <v>828</v>
      </c>
      <c r="G423" s="26" t="s">
        <v>1742</v>
      </c>
      <c r="H423" s="26" t="s">
        <v>37</v>
      </c>
      <c r="I423" s="26" t="s">
        <v>38</v>
      </c>
      <c r="J423" s="26" t="s">
        <v>1743</v>
      </c>
      <c r="K423" s="26" t="s">
        <v>1744</v>
      </c>
      <c r="L423" s="26">
        <v>26142.1</v>
      </c>
      <c r="M423" s="26">
        <v>0</v>
      </c>
      <c r="N423" s="26">
        <v>0</v>
      </c>
      <c r="O423" s="26">
        <v>181852.1</v>
      </c>
      <c r="P423" s="26" t="s">
        <v>41</v>
      </c>
      <c r="Q423" s="26" t="s">
        <v>42</v>
      </c>
      <c r="R423" s="26"/>
      <c r="S423" s="26"/>
      <c r="T423" s="26"/>
      <c r="U423" s="26"/>
      <c r="V423" s="26" t="s">
        <v>43</v>
      </c>
      <c r="W423" s="26"/>
      <c r="X423" s="26"/>
    </row>
    <row r="424" spans="1:24" s="29" customFormat="1">
      <c r="A424" s="26" t="s">
        <v>31</v>
      </c>
      <c r="B424" s="26" t="s">
        <v>1745</v>
      </c>
      <c r="C424" s="26" t="s">
        <v>1746</v>
      </c>
      <c r="D424" s="26">
        <f t="shared" si="6"/>
        <v>-1</v>
      </c>
      <c r="E424" s="26" t="s">
        <v>34</v>
      </c>
      <c r="F424" s="26" t="s">
        <v>828</v>
      </c>
      <c r="G424" s="26" t="s">
        <v>1747</v>
      </c>
      <c r="H424" s="26" t="s">
        <v>37</v>
      </c>
      <c r="I424" s="26" t="s">
        <v>38</v>
      </c>
      <c r="J424" s="26" t="s">
        <v>1748</v>
      </c>
      <c r="K424" s="26" t="s">
        <v>1749</v>
      </c>
      <c r="L424" s="26">
        <v>474240</v>
      </c>
      <c r="M424" s="26">
        <v>0</v>
      </c>
      <c r="N424" s="26">
        <v>0</v>
      </c>
      <c r="O424" s="26">
        <v>2970240</v>
      </c>
      <c r="P424" s="26" t="s">
        <v>41</v>
      </c>
      <c r="Q424" s="26" t="s">
        <v>42</v>
      </c>
      <c r="R424" s="26"/>
      <c r="S424" s="26"/>
      <c r="T424" s="26"/>
      <c r="U424" s="26"/>
      <c r="V424" s="26" t="s">
        <v>43</v>
      </c>
      <c r="W424" s="26"/>
      <c r="X424" s="26"/>
    </row>
    <row r="425" spans="1:24" s="29" customFormat="1">
      <c r="A425" s="26" t="s">
        <v>31</v>
      </c>
      <c r="B425" s="26" t="s">
        <v>1750</v>
      </c>
      <c r="C425" s="26" t="s">
        <v>1751</v>
      </c>
      <c r="D425" s="26">
        <f t="shared" si="6"/>
        <v>-1</v>
      </c>
      <c r="E425" s="26" t="s">
        <v>34</v>
      </c>
      <c r="F425" s="26" t="s">
        <v>828</v>
      </c>
      <c r="G425" s="26" t="s">
        <v>1752</v>
      </c>
      <c r="H425" s="26" t="s">
        <v>37</v>
      </c>
      <c r="I425" s="26" t="s">
        <v>38</v>
      </c>
      <c r="J425" s="26" t="s">
        <v>1753</v>
      </c>
      <c r="K425" s="26" t="s">
        <v>1754</v>
      </c>
      <c r="L425" s="26">
        <v>13300</v>
      </c>
      <c r="M425" s="26">
        <v>0</v>
      </c>
      <c r="N425" s="26">
        <v>0</v>
      </c>
      <c r="O425" s="26">
        <v>83300</v>
      </c>
      <c r="P425" s="26" t="s">
        <v>41</v>
      </c>
      <c r="Q425" s="26" t="s">
        <v>42</v>
      </c>
      <c r="R425" s="26"/>
      <c r="S425" s="26"/>
      <c r="T425" s="26"/>
      <c r="U425" s="26"/>
      <c r="V425" s="26" t="s">
        <v>43</v>
      </c>
      <c r="W425" s="26"/>
      <c r="X425" s="26"/>
    </row>
    <row r="426" spans="1:24" s="29" customFormat="1">
      <c r="A426" s="34" t="s">
        <v>31</v>
      </c>
      <c r="B426" s="34" t="s">
        <v>1755</v>
      </c>
      <c r="C426" s="34" t="s">
        <v>1756</v>
      </c>
      <c r="D426" s="34">
        <f t="shared" si="6"/>
        <v>-1</v>
      </c>
      <c r="E426" s="34" t="s">
        <v>34</v>
      </c>
      <c r="F426" s="34" t="s">
        <v>828</v>
      </c>
      <c r="G426" s="34" t="s">
        <v>1757</v>
      </c>
      <c r="H426" s="34" t="s">
        <v>37</v>
      </c>
      <c r="I426" s="34" t="s">
        <v>38</v>
      </c>
      <c r="J426" s="34" t="s">
        <v>707</v>
      </c>
      <c r="K426" s="34" t="s">
        <v>708</v>
      </c>
      <c r="L426" s="34">
        <v>181986.75</v>
      </c>
      <c r="M426" s="34">
        <v>0</v>
      </c>
      <c r="N426" s="34">
        <v>0</v>
      </c>
      <c r="O426" s="34">
        <v>1139811.75</v>
      </c>
      <c r="P426" s="34" t="s">
        <v>41</v>
      </c>
      <c r="Q426" s="34" t="s">
        <v>42</v>
      </c>
      <c r="R426" s="26"/>
      <c r="S426" s="26"/>
      <c r="T426" s="26" t="s">
        <v>43</v>
      </c>
      <c r="U426" s="26"/>
      <c r="V426" s="26"/>
      <c r="W426" s="26"/>
      <c r="X426" s="26"/>
    </row>
    <row r="427" spans="1:24" s="29" customFormat="1">
      <c r="A427" s="26" t="s">
        <v>31</v>
      </c>
      <c r="B427" s="26" t="s">
        <v>1758</v>
      </c>
      <c r="C427" s="26" t="s">
        <v>1759</v>
      </c>
      <c r="D427" s="26">
        <f t="shared" si="6"/>
        <v>-1</v>
      </c>
      <c r="E427" s="26" t="s">
        <v>34</v>
      </c>
      <c r="F427" s="26" t="s">
        <v>828</v>
      </c>
      <c r="G427" s="26" t="s">
        <v>1760</v>
      </c>
      <c r="H427" s="26" t="s">
        <v>37</v>
      </c>
      <c r="I427" s="26" t="s">
        <v>38</v>
      </c>
      <c r="J427" s="26" t="s">
        <v>1761</v>
      </c>
      <c r="K427" s="26" t="s">
        <v>1762</v>
      </c>
      <c r="L427" s="26">
        <v>22574090</v>
      </c>
      <c r="M427" s="26">
        <v>0</v>
      </c>
      <c r="N427" s="26">
        <v>0</v>
      </c>
      <c r="O427" s="26">
        <v>141385090</v>
      </c>
      <c r="P427" s="26" t="s">
        <v>41</v>
      </c>
      <c r="Q427" s="26" t="s">
        <v>42</v>
      </c>
      <c r="R427" s="26"/>
      <c r="S427" s="26"/>
      <c r="T427" s="26"/>
      <c r="U427" s="26"/>
      <c r="V427" s="26" t="s">
        <v>43</v>
      </c>
      <c r="W427" s="26"/>
      <c r="X427" s="26"/>
    </row>
    <row r="428" spans="1:24" s="29" customFormat="1">
      <c r="A428" s="26" t="s">
        <v>31</v>
      </c>
      <c r="B428" s="26" t="s">
        <v>1763</v>
      </c>
      <c r="C428" s="26" t="s">
        <v>1764</v>
      </c>
      <c r="D428" s="26">
        <f t="shared" si="6"/>
        <v>-1</v>
      </c>
      <c r="E428" s="26" t="s">
        <v>34</v>
      </c>
      <c r="F428" s="26" t="s">
        <v>828</v>
      </c>
      <c r="G428" s="26" t="s">
        <v>1765</v>
      </c>
      <c r="H428" s="26" t="s">
        <v>37</v>
      </c>
      <c r="I428" s="26" t="s">
        <v>38</v>
      </c>
      <c r="J428" s="26" t="s">
        <v>1766</v>
      </c>
      <c r="K428" s="26" t="s">
        <v>1767</v>
      </c>
      <c r="L428" s="26">
        <v>0</v>
      </c>
      <c r="M428" s="26">
        <v>0</v>
      </c>
      <c r="N428" s="26">
        <v>0</v>
      </c>
      <c r="O428" s="26">
        <v>1582198</v>
      </c>
      <c r="P428" s="26" t="s">
        <v>41</v>
      </c>
      <c r="Q428" s="26" t="s">
        <v>42</v>
      </c>
      <c r="R428" s="26"/>
      <c r="S428" s="26"/>
      <c r="T428" s="26"/>
      <c r="U428" s="26"/>
      <c r="V428" s="26" t="s">
        <v>43</v>
      </c>
      <c r="W428" s="26"/>
      <c r="X428" s="26"/>
    </row>
    <row r="429" spans="1:24" s="29" customFormat="1">
      <c r="A429" s="35" t="s">
        <v>31</v>
      </c>
      <c r="B429" s="35" t="s">
        <v>1768</v>
      </c>
      <c r="C429" s="35" t="s">
        <v>1769</v>
      </c>
      <c r="D429" s="35">
        <f t="shared" si="6"/>
        <v>-1</v>
      </c>
      <c r="E429" s="35" t="s">
        <v>34</v>
      </c>
      <c r="F429" s="35" t="s">
        <v>828</v>
      </c>
      <c r="G429" s="35" t="s">
        <v>1770</v>
      </c>
      <c r="H429" s="35" t="s">
        <v>37</v>
      </c>
      <c r="I429" s="35" t="s">
        <v>38</v>
      </c>
      <c r="J429" s="35" t="s">
        <v>1771</v>
      </c>
      <c r="K429" s="35" t="s">
        <v>1772</v>
      </c>
      <c r="L429" s="35">
        <v>34396.65</v>
      </c>
      <c r="M429" s="35">
        <v>0</v>
      </c>
      <c r="N429" s="35">
        <v>0</v>
      </c>
      <c r="O429" s="35">
        <v>215431.65</v>
      </c>
      <c r="P429" s="35" t="s">
        <v>41</v>
      </c>
      <c r="Q429" s="35" t="s">
        <v>42</v>
      </c>
      <c r="R429" s="26"/>
      <c r="S429" s="26"/>
      <c r="T429" s="26"/>
      <c r="U429" s="26"/>
      <c r="V429" s="26"/>
      <c r="W429" s="35" t="s">
        <v>43</v>
      </c>
      <c r="X429" s="26" t="s">
        <v>501</v>
      </c>
    </row>
    <row r="430" spans="1:24" s="29" customFormat="1">
      <c r="A430" s="35" t="s">
        <v>31</v>
      </c>
      <c r="B430" s="35" t="s">
        <v>1773</v>
      </c>
      <c r="C430" s="35" t="s">
        <v>1774</v>
      </c>
      <c r="D430" s="35">
        <f t="shared" si="6"/>
        <v>-1</v>
      </c>
      <c r="E430" s="35" t="s">
        <v>34</v>
      </c>
      <c r="F430" s="35" t="s">
        <v>1775</v>
      </c>
      <c r="G430" s="35" t="s">
        <v>1776</v>
      </c>
      <c r="H430" s="35" t="s">
        <v>37</v>
      </c>
      <c r="I430" s="35" t="s">
        <v>38</v>
      </c>
      <c r="J430" s="35" t="s">
        <v>1372</v>
      </c>
      <c r="K430" s="35" t="s">
        <v>1373</v>
      </c>
      <c r="L430" s="35">
        <v>36594</v>
      </c>
      <c r="M430" s="35">
        <v>0</v>
      </c>
      <c r="N430" s="35">
        <v>0</v>
      </c>
      <c r="O430" s="35">
        <v>229194</v>
      </c>
      <c r="P430" s="35" t="s">
        <v>41</v>
      </c>
      <c r="Q430" s="35" t="s">
        <v>42</v>
      </c>
      <c r="R430" s="26"/>
      <c r="S430" s="26"/>
      <c r="T430" s="26"/>
      <c r="U430" s="26"/>
      <c r="V430" s="26"/>
      <c r="W430" s="35" t="s">
        <v>43</v>
      </c>
      <c r="X430" s="26" t="s">
        <v>920</v>
      </c>
    </row>
    <row r="431" spans="1:24" s="29" customFormat="1">
      <c r="A431" s="34" t="s">
        <v>31</v>
      </c>
      <c r="B431" s="34" t="s">
        <v>1777</v>
      </c>
      <c r="C431" s="34" t="s">
        <v>1778</v>
      </c>
      <c r="D431" s="34">
        <f t="shared" si="6"/>
        <v>-1</v>
      </c>
      <c r="E431" s="34" t="s">
        <v>34</v>
      </c>
      <c r="F431" s="34" t="s">
        <v>1775</v>
      </c>
      <c r="G431" s="34" t="s">
        <v>1779</v>
      </c>
      <c r="H431" s="34" t="s">
        <v>37</v>
      </c>
      <c r="I431" s="34" t="s">
        <v>38</v>
      </c>
      <c r="J431" s="34" t="s">
        <v>1780</v>
      </c>
      <c r="K431" s="34" t="s">
        <v>1781</v>
      </c>
      <c r="L431" s="34">
        <v>0</v>
      </c>
      <c r="M431" s="34">
        <v>0</v>
      </c>
      <c r="N431" s="34">
        <v>0</v>
      </c>
      <c r="O431" s="34">
        <v>6047300.0300000003</v>
      </c>
      <c r="P431" s="34" t="s">
        <v>41</v>
      </c>
      <c r="Q431" s="34" t="s">
        <v>42</v>
      </c>
      <c r="R431" s="26"/>
      <c r="S431" s="26"/>
      <c r="T431" s="26" t="s">
        <v>43</v>
      </c>
      <c r="U431" s="26"/>
      <c r="V431" s="26"/>
      <c r="W431" s="26"/>
      <c r="X431" s="26"/>
    </row>
    <row r="432" spans="1:24" s="29" customFormat="1">
      <c r="A432" s="26" t="s">
        <v>31</v>
      </c>
      <c r="B432" s="26" t="s">
        <v>1782</v>
      </c>
      <c r="C432" s="26" t="s">
        <v>1783</v>
      </c>
      <c r="D432" s="26">
        <f t="shared" si="6"/>
        <v>-1</v>
      </c>
      <c r="E432" s="26" t="s">
        <v>34</v>
      </c>
      <c r="F432" s="26" t="s">
        <v>1775</v>
      </c>
      <c r="G432" s="26" t="s">
        <v>1784</v>
      </c>
      <c r="H432" s="26" t="s">
        <v>37</v>
      </c>
      <c r="I432" s="26" t="s">
        <v>38</v>
      </c>
      <c r="J432" s="26" t="s">
        <v>1785</v>
      </c>
      <c r="K432" s="26" t="s">
        <v>1786</v>
      </c>
      <c r="L432" s="26">
        <v>95000</v>
      </c>
      <c r="M432" s="26">
        <v>0</v>
      </c>
      <c r="N432" s="26">
        <v>0</v>
      </c>
      <c r="O432" s="26">
        <v>595000</v>
      </c>
      <c r="P432" s="26" t="s">
        <v>41</v>
      </c>
      <c r="Q432" s="26" t="s">
        <v>42</v>
      </c>
      <c r="R432" s="26"/>
      <c r="S432" s="26"/>
      <c r="T432" s="26"/>
      <c r="U432" s="26"/>
      <c r="V432" s="26" t="s">
        <v>43</v>
      </c>
      <c r="W432" s="26"/>
      <c r="X432" s="26"/>
    </row>
    <row r="433" spans="1:24" s="29" customFormat="1">
      <c r="A433" s="34" t="s">
        <v>31</v>
      </c>
      <c r="B433" s="34" t="s">
        <v>1787</v>
      </c>
      <c r="C433" s="34" t="s">
        <v>1788</v>
      </c>
      <c r="D433" s="34">
        <f t="shared" si="6"/>
        <v>-1</v>
      </c>
      <c r="E433" s="34" t="s">
        <v>34</v>
      </c>
      <c r="F433" s="34" t="s">
        <v>1775</v>
      </c>
      <c r="G433" s="34" t="s">
        <v>1789</v>
      </c>
      <c r="H433" s="34" t="s">
        <v>37</v>
      </c>
      <c r="I433" s="34" t="s">
        <v>38</v>
      </c>
      <c r="J433" s="34" t="s">
        <v>1790</v>
      </c>
      <c r="K433" s="34" t="s">
        <v>1791</v>
      </c>
      <c r="L433" s="34">
        <v>350531</v>
      </c>
      <c r="M433" s="34">
        <v>0</v>
      </c>
      <c r="N433" s="34">
        <v>0</v>
      </c>
      <c r="O433" s="34">
        <v>2195431</v>
      </c>
      <c r="P433" s="34" t="s">
        <v>41</v>
      </c>
      <c r="Q433" s="34" t="s">
        <v>42</v>
      </c>
      <c r="R433" s="26"/>
      <c r="S433" s="26"/>
      <c r="T433" s="26" t="s">
        <v>43</v>
      </c>
      <c r="U433" s="26"/>
      <c r="V433" s="26"/>
      <c r="W433" s="26"/>
      <c r="X433" s="26"/>
    </row>
    <row r="434" spans="1:24" s="29" customFormat="1">
      <c r="A434" s="35" t="s">
        <v>31</v>
      </c>
      <c r="B434" s="35" t="s">
        <v>1792</v>
      </c>
      <c r="C434" s="35" t="s">
        <v>1793</v>
      </c>
      <c r="D434" s="35">
        <f t="shared" si="6"/>
        <v>-1</v>
      </c>
      <c r="E434" s="35" t="s">
        <v>34</v>
      </c>
      <c r="F434" s="35" t="s">
        <v>1775</v>
      </c>
      <c r="G434" s="35" t="s">
        <v>1794</v>
      </c>
      <c r="H434" s="35" t="s">
        <v>37</v>
      </c>
      <c r="I434" s="35" t="s">
        <v>38</v>
      </c>
      <c r="J434" s="35" t="s">
        <v>1795</v>
      </c>
      <c r="K434" s="35" t="s">
        <v>1796</v>
      </c>
      <c r="L434" s="35">
        <v>943882</v>
      </c>
      <c r="M434" s="35">
        <v>0</v>
      </c>
      <c r="N434" s="35">
        <v>0</v>
      </c>
      <c r="O434" s="35">
        <v>5911682</v>
      </c>
      <c r="P434" s="35" t="s">
        <v>41</v>
      </c>
      <c r="Q434" s="35" t="s">
        <v>42</v>
      </c>
      <c r="R434" s="26"/>
      <c r="S434" s="26"/>
      <c r="T434" s="26"/>
      <c r="U434" s="26"/>
      <c r="V434" s="26"/>
      <c r="W434" s="35" t="s">
        <v>43</v>
      </c>
      <c r="X434" s="26" t="s">
        <v>1377</v>
      </c>
    </row>
    <row r="435" spans="1:24" s="29" customFormat="1">
      <c r="A435" s="32" t="s">
        <v>31</v>
      </c>
      <c r="B435" s="32" t="s">
        <v>1797</v>
      </c>
      <c r="C435" s="32" t="s">
        <v>1798</v>
      </c>
      <c r="D435" s="32">
        <f t="shared" si="6"/>
        <v>-1</v>
      </c>
      <c r="E435" s="32" t="s">
        <v>34</v>
      </c>
      <c r="F435" s="32" t="s">
        <v>1775</v>
      </c>
      <c r="G435" s="32" t="s">
        <v>1799</v>
      </c>
      <c r="H435" s="32" t="s">
        <v>37</v>
      </c>
      <c r="I435" s="32" t="s">
        <v>38</v>
      </c>
      <c r="J435" s="32" t="s">
        <v>327</v>
      </c>
      <c r="K435" s="32" t="s">
        <v>328</v>
      </c>
      <c r="L435" s="32">
        <v>42750</v>
      </c>
      <c r="M435" s="32">
        <v>0</v>
      </c>
      <c r="N435" s="32">
        <v>0</v>
      </c>
      <c r="O435" s="32">
        <v>267750</v>
      </c>
      <c r="P435" s="32" t="s">
        <v>41</v>
      </c>
      <c r="Q435" s="32" t="s">
        <v>42</v>
      </c>
      <c r="R435" s="26" t="s">
        <v>43</v>
      </c>
      <c r="S435" s="26"/>
      <c r="T435" s="26"/>
      <c r="U435" s="26"/>
      <c r="V435" s="26"/>
      <c r="W435" s="26"/>
      <c r="X435" s="26"/>
    </row>
    <row r="436" spans="1:24" s="29" customFormat="1">
      <c r="A436" s="32" t="s">
        <v>31</v>
      </c>
      <c r="B436" s="32" t="s">
        <v>1800</v>
      </c>
      <c r="C436" s="32" t="s">
        <v>1801</v>
      </c>
      <c r="D436" s="32">
        <f t="shared" si="6"/>
        <v>-1</v>
      </c>
      <c r="E436" s="32" t="s">
        <v>34</v>
      </c>
      <c r="F436" s="32" t="s">
        <v>1775</v>
      </c>
      <c r="G436" s="32" t="s">
        <v>1802</v>
      </c>
      <c r="H436" s="32" t="s">
        <v>37</v>
      </c>
      <c r="I436" s="32" t="s">
        <v>38</v>
      </c>
      <c r="J436" s="32" t="s">
        <v>1803</v>
      </c>
      <c r="K436" s="32" t="s">
        <v>1804</v>
      </c>
      <c r="L436" s="32">
        <v>2213500</v>
      </c>
      <c r="M436" s="32">
        <v>0</v>
      </c>
      <c r="N436" s="32">
        <v>0</v>
      </c>
      <c r="O436" s="32">
        <v>13863500</v>
      </c>
      <c r="P436" s="32" t="s">
        <v>41</v>
      </c>
      <c r="Q436" s="32" t="s">
        <v>42</v>
      </c>
      <c r="R436" s="26" t="s">
        <v>43</v>
      </c>
      <c r="S436" s="26"/>
      <c r="T436" s="26"/>
      <c r="U436" s="26"/>
      <c r="V436" s="26"/>
      <c r="W436" s="26"/>
      <c r="X436" s="26"/>
    </row>
    <row r="437" spans="1:24" s="29" customFormat="1">
      <c r="A437" s="26" t="s">
        <v>31</v>
      </c>
      <c r="B437" s="26" t="s">
        <v>1805</v>
      </c>
      <c r="C437" s="26" t="s">
        <v>1806</v>
      </c>
      <c r="D437" s="26">
        <f t="shared" si="6"/>
        <v>-1</v>
      </c>
      <c r="E437" s="26" t="s">
        <v>34</v>
      </c>
      <c r="F437" s="26" t="s">
        <v>1775</v>
      </c>
      <c r="G437" s="26" t="s">
        <v>1807</v>
      </c>
      <c r="H437" s="26" t="s">
        <v>37</v>
      </c>
      <c r="I437" s="26" t="s">
        <v>38</v>
      </c>
      <c r="J437" s="26" t="s">
        <v>1808</v>
      </c>
      <c r="K437" s="26" t="s">
        <v>1809</v>
      </c>
      <c r="L437" s="26">
        <v>77140</v>
      </c>
      <c r="M437" s="26">
        <v>0</v>
      </c>
      <c r="N437" s="26">
        <v>0</v>
      </c>
      <c r="O437" s="26">
        <v>483140</v>
      </c>
      <c r="P437" s="26" t="s">
        <v>41</v>
      </c>
      <c r="Q437" s="26" t="s">
        <v>42</v>
      </c>
      <c r="R437" s="26"/>
      <c r="S437" s="26"/>
      <c r="T437" s="26"/>
      <c r="U437" s="26"/>
      <c r="V437" s="26" t="s">
        <v>43</v>
      </c>
      <c r="W437" s="26"/>
      <c r="X437" s="26"/>
    </row>
    <row r="438" spans="1:24" s="29" customFormat="1">
      <c r="A438" s="26" t="s">
        <v>31</v>
      </c>
      <c r="B438" s="26" t="s">
        <v>1810</v>
      </c>
      <c r="C438" s="26" t="s">
        <v>1811</v>
      </c>
      <c r="D438" s="26">
        <f t="shared" si="6"/>
        <v>-1</v>
      </c>
      <c r="E438" s="26" t="s">
        <v>34</v>
      </c>
      <c r="F438" s="26" t="s">
        <v>1775</v>
      </c>
      <c r="G438" s="26" t="s">
        <v>1812</v>
      </c>
      <c r="H438" s="26" t="s">
        <v>37</v>
      </c>
      <c r="I438" s="26" t="s">
        <v>38</v>
      </c>
      <c r="J438" s="26" t="s">
        <v>1813</v>
      </c>
      <c r="K438" s="26" t="s">
        <v>1814</v>
      </c>
      <c r="L438" s="26">
        <v>49400</v>
      </c>
      <c r="M438" s="26">
        <v>0</v>
      </c>
      <c r="N438" s="26">
        <v>0</v>
      </c>
      <c r="O438" s="26">
        <v>309400</v>
      </c>
      <c r="P438" s="26" t="s">
        <v>41</v>
      </c>
      <c r="Q438" s="26" t="s">
        <v>42</v>
      </c>
      <c r="R438" s="26"/>
      <c r="S438" s="26"/>
      <c r="T438" s="26"/>
      <c r="U438" s="26"/>
      <c r="V438" s="26" t="s">
        <v>43</v>
      </c>
      <c r="W438" s="26"/>
      <c r="X438" s="26"/>
    </row>
    <row r="439" spans="1:24" s="29" customFormat="1">
      <c r="A439" s="26" t="s">
        <v>31</v>
      </c>
      <c r="B439" s="26" t="s">
        <v>1815</v>
      </c>
      <c r="C439" s="26" t="s">
        <v>1816</v>
      </c>
      <c r="D439" s="26">
        <f t="shared" si="6"/>
        <v>-1</v>
      </c>
      <c r="E439" s="26" t="s">
        <v>34</v>
      </c>
      <c r="F439" s="26" t="s">
        <v>1775</v>
      </c>
      <c r="G439" s="26" t="s">
        <v>1817</v>
      </c>
      <c r="H439" s="26" t="s">
        <v>37</v>
      </c>
      <c r="I439" s="26" t="s">
        <v>38</v>
      </c>
      <c r="J439" s="26" t="s">
        <v>1818</v>
      </c>
      <c r="K439" s="26" t="s">
        <v>1819</v>
      </c>
      <c r="L439" s="26">
        <v>80646</v>
      </c>
      <c r="M439" s="26">
        <v>0</v>
      </c>
      <c r="N439" s="26">
        <v>0</v>
      </c>
      <c r="O439" s="26">
        <v>634046</v>
      </c>
      <c r="P439" s="26" t="s">
        <v>41</v>
      </c>
      <c r="Q439" s="26" t="s">
        <v>42</v>
      </c>
      <c r="R439" s="26"/>
      <c r="S439" s="26"/>
      <c r="T439" s="26"/>
      <c r="U439" s="26"/>
      <c r="V439" s="26" t="s">
        <v>43</v>
      </c>
      <c r="W439" s="26"/>
      <c r="X439" s="26"/>
    </row>
    <row r="440" spans="1:24" s="29" customFormat="1">
      <c r="A440" s="26" t="s">
        <v>31</v>
      </c>
      <c r="B440" s="26" t="s">
        <v>1820</v>
      </c>
      <c r="C440" s="26" t="s">
        <v>1821</v>
      </c>
      <c r="D440" s="26">
        <f t="shared" si="6"/>
        <v>-1</v>
      </c>
      <c r="E440" s="26" t="s">
        <v>34</v>
      </c>
      <c r="F440" s="26" t="s">
        <v>1775</v>
      </c>
      <c r="G440" s="26" t="s">
        <v>1822</v>
      </c>
      <c r="H440" s="26" t="s">
        <v>37</v>
      </c>
      <c r="I440" s="26" t="s">
        <v>38</v>
      </c>
      <c r="J440" s="26" t="s">
        <v>1823</v>
      </c>
      <c r="K440" s="26" t="s">
        <v>1824</v>
      </c>
      <c r="L440" s="26">
        <v>581342.81000000006</v>
      </c>
      <c r="M440" s="26">
        <v>0</v>
      </c>
      <c r="N440" s="26">
        <v>0</v>
      </c>
      <c r="O440" s="26">
        <v>3641041.81</v>
      </c>
      <c r="P440" s="26" t="s">
        <v>41</v>
      </c>
      <c r="Q440" s="26" t="s">
        <v>42</v>
      </c>
      <c r="R440" s="26"/>
      <c r="S440" s="26"/>
      <c r="T440" s="26"/>
      <c r="U440" s="26"/>
      <c r="V440" s="26" t="s">
        <v>43</v>
      </c>
      <c r="W440" s="26"/>
      <c r="X440" s="26"/>
    </row>
    <row r="441" spans="1:24" s="29" customFormat="1">
      <c r="A441" s="26" t="s">
        <v>31</v>
      </c>
      <c r="B441" s="26" t="s">
        <v>1825</v>
      </c>
      <c r="C441" s="26" t="s">
        <v>1826</v>
      </c>
      <c r="D441" s="26">
        <f t="shared" si="6"/>
        <v>-1</v>
      </c>
      <c r="E441" s="26" t="s">
        <v>34</v>
      </c>
      <c r="F441" s="26" t="s">
        <v>1775</v>
      </c>
      <c r="G441" s="26" t="s">
        <v>1827</v>
      </c>
      <c r="H441" s="26" t="s">
        <v>37</v>
      </c>
      <c r="I441" s="26" t="s">
        <v>38</v>
      </c>
      <c r="J441" s="26" t="s">
        <v>1823</v>
      </c>
      <c r="K441" s="26" t="s">
        <v>1824</v>
      </c>
      <c r="L441" s="26">
        <v>113987.65</v>
      </c>
      <c r="M441" s="26">
        <v>0</v>
      </c>
      <c r="N441" s="26">
        <v>0</v>
      </c>
      <c r="O441" s="26">
        <v>713922.65</v>
      </c>
      <c r="P441" s="26" t="s">
        <v>41</v>
      </c>
      <c r="Q441" s="26" t="s">
        <v>42</v>
      </c>
      <c r="R441" s="26"/>
      <c r="S441" s="26"/>
      <c r="T441" s="26"/>
      <c r="U441" s="26"/>
      <c r="V441" s="26" t="s">
        <v>43</v>
      </c>
      <c r="W441" s="26"/>
      <c r="X441" s="26"/>
    </row>
    <row r="442" spans="1:24" s="29" customFormat="1">
      <c r="A442" s="26" t="s">
        <v>31</v>
      </c>
      <c r="B442" s="26" t="s">
        <v>1828</v>
      </c>
      <c r="C442" s="26" t="s">
        <v>1829</v>
      </c>
      <c r="D442" s="26">
        <f t="shared" si="6"/>
        <v>-1</v>
      </c>
      <c r="E442" s="26" t="s">
        <v>34</v>
      </c>
      <c r="F442" s="26" t="s">
        <v>1775</v>
      </c>
      <c r="G442" s="26" t="s">
        <v>1830</v>
      </c>
      <c r="H442" s="26" t="s">
        <v>37</v>
      </c>
      <c r="I442" s="26" t="s">
        <v>38</v>
      </c>
      <c r="J442" s="26" t="s">
        <v>1823</v>
      </c>
      <c r="K442" s="26" t="s">
        <v>1824</v>
      </c>
      <c r="L442" s="26">
        <v>387980</v>
      </c>
      <c r="M442" s="26">
        <v>0</v>
      </c>
      <c r="N442" s="26">
        <v>0</v>
      </c>
      <c r="O442" s="26">
        <v>2429980</v>
      </c>
      <c r="P442" s="26" t="s">
        <v>41</v>
      </c>
      <c r="Q442" s="26" t="s">
        <v>42</v>
      </c>
      <c r="R442" s="26"/>
      <c r="S442" s="26"/>
      <c r="T442" s="26"/>
      <c r="U442" s="26"/>
      <c r="V442" s="26" t="s">
        <v>43</v>
      </c>
      <c r="W442" s="26"/>
      <c r="X442" s="26"/>
    </row>
    <row r="443" spans="1:24" s="29" customFormat="1">
      <c r="A443" s="32" t="s">
        <v>31</v>
      </c>
      <c r="B443" s="32" t="s">
        <v>1831</v>
      </c>
      <c r="C443" s="32" t="s">
        <v>1832</v>
      </c>
      <c r="D443" s="32">
        <f t="shared" si="6"/>
        <v>-1</v>
      </c>
      <c r="E443" s="32" t="s">
        <v>34</v>
      </c>
      <c r="F443" s="32" t="s">
        <v>1775</v>
      </c>
      <c r="G443" s="32" t="s">
        <v>1833</v>
      </c>
      <c r="H443" s="32" t="s">
        <v>37</v>
      </c>
      <c r="I443" s="32" t="s">
        <v>38</v>
      </c>
      <c r="J443" s="32" t="s">
        <v>1834</v>
      </c>
      <c r="K443" s="32" t="s">
        <v>1835</v>
      </c>
      <c r="L443" s="32">
        <v>435479.24</v>
      </c>
      <c r="M443" s="32">
        <v>0</v>
      </c>
      <c r="N443" s="32">
        <v>0</v>
      </c>
      <c r="O443" s="32">
        <v>2727475.24</v>
      </c>
      <c r="P443" s="32" t="s">
        <v>41</v>
      </c>
      <c r="Q443" s="32" t="s">
        <v>42</v>
      </c>
      <c r="R443" s="26" t="s">
        <v>43</v>
      </c>
      <c r="S443" s="26"/>
      <c r="T443" s="26"/>
      <c r="U443" s="26"/>
      <c r="V443" s="26"/>
      <c r="W443" s="26"/>
      <c r="X443" s="26"/>
    </row>
    <row r="444" spans="1:24" s="29" customFormat="1">
      <c r="A444" s="26" t="s">
        <v>31</v>
      </c>
      <c r="B444" s="26" t="s">
        <v>1836</v>
      </c>
      <c r="C444" s="26" t="s">
        <v>1837</v>
      </c>
      <c r="D444" s="26">
        <f t="shared" si="6"/>
        <v>-1</v>
      </c>
      <c r="E444" s="26" t="s">
        <v>34</v>
      </c>
      <c r="F444" s="26" t="s">
        <v>1775</v>
      </c>
      <c r="G444" s="26" t="s">
        <v>1838</v>
      </c>
      <c r="H444" s="26" t="s">
        <v>37</v>
      </c>
      <c r="I444" s="26" t="s">
        <v>38</v>
      </c>
      <c r="J444" s="26" t="s">
        <v>729</v>
      </c>
      <c r="K444" s="26" t="s">
        <v>730</v>
      </c>
      <c r="L444" s="26">
        <v>318497</v>
      </c>
      <c r="M444" s="26">
        <v>0</v>
      </c>
      <c r="N444" s="26">
        <v>0</v>
      </c>
      <c r="O444" s="26">
        <v>1994797</v>
      </c>
      <c r="P444" s="26" t="s">
        <v>41</v>
      </c>
      <c r="Q444" s="26" t="s">
        <v>42</v>
      </c>
      <c r="R444" s="26"/>
      <c r="S444" s="26"/>
      <c r="T444" s="26"/>
      <c r="U444" s="26"/>
      <c r="V444" s="26" t="s">
        <v>43</v>
      </c>
      <c r="W444" s="26"/>
      <c r="X444" s="26"/>
    </row>
    <row r="445" spans="1:24" s="29" customFormat="1">
      <c r="A445" s="26" t="s">
        <v>31</v>
      </c>
      <c r="B445" s="26" t="s">
        <v>1839</v>
      </c>
      <c r="C445" s="26" t="s">
        <v>1840</v>
      </c>
      <c r="D445" s="26">
        <f t="shared" si="6"/>
        <v>-1</v>
      </c>
      <c r="E445" s="26" t="s">
        <v>34</v>
      </c>
      <c r="F445" s="26" t="s">
        <v>1775</v>
      </c>
      <c r="G445" s="26" t="s">
        <v>1841</v>
      </c>
      <c r="H445" s="26" t="s">
        <v>37</v>
      </c>
      <c r="I445" s="26" t="s">
        <v>38</v>
      </c>
      <c r="J445" s="26" t="s">
        <v>729</v>
      </c>
      <c r="K445" s="26" t="s">
        <v>730</v>
      </c>
      <c r="L445" s="26">
        <v>193762</v>
      </c>
      <c r="M445" s="26">
        <v>0</v>
      </c>
      <c r="N445" s="26">
        <v>0</v>
      </c>
      <c r="O445" s="26">
        <v>1213562</v>
      </c>
      <c r="P445" s="26" t="s">
        <v>41</v>
      </c>
      <c r="Q445" s="26" t="s">
        <v>42</v>
      </c>
      <c r="R445" s="26"/>
      <c r="S445" s="26"/>
      <c r="T445" s="26"/>
      <c r="U445" s="26"/>
      <c r="V445" s="26" t="s">
        <v>43</v>
      </c>
      <c r="W445" s="26"/>
      <c r="X445" s="26"/>
    </row>
    <row r="446" spans="1:24" s="29" customFormat="1">
      <c r="A446" s="32" t="s">
        <v>31</v>
      </c>
      <c r="B446" s="32" t="s">
        <v>1842</v>
      </c>
      <c r="C446" s="32" t="s">
        <v>1843</v>
      </c>
      <c r="D446" s="32">
        <f t="shared" si="6"/>
        <v>-1</v>
      </c>
      <c r="E446" s="32" t="s">
        <v>34</v>
      </c>
      <c r="F446" s="32" t="s">
        <v>1775</v>
      </c>
      <c r="G446" s="32" t="s">
        <v>1844</v>
      </c>
      <c r="H446" s="32" t="s">
        <v>37</v>
      </c>
      <c r="I446" s="32" t="s">
        <v>38</v>
      </c>
      <c r="J446" s="32" t="s">
        <v>1845</v>
      </c>
      <c r="K446" s="32" t="s">
        <v>1846</v>
      </c>
      <c r="L446" s="32">
        <v>19000</v>
      </c>
      <c r="M446" s="32">
        <v>0</v>
      </c>
      <c r="N446" s="32">
        <v>0</v>
      </c>
      <c r="O446" s="32">
        <v>898000</v>
      </c>
      <c r="P446" s="32" t="s">
        <v>41</v>
      </c>
      <c r="Q446" s="32" t="s">
        <v>42</v>
      </c>
      <c r="R446" s="26" t="s">
        <v>43</v>
      </c>
      <c r="S446" s="26"/>
      <c r="T446" s="26"/>
      <c r="U446" s="26"/>
      <c r="V446" s="26"/>
      <c r="W446" s="26"/>
      <c r="X446" s="26"/>
    </row>
    <row r="447" spans="1:24" s="29" customFormat="1">
      <c r="A447" s="34" t="s">
        <v>31</v>
      </c>
      <c r="B447" s="34" t="s">
        <v>1847</v>
      </c>
      <c r="C447" s="34" t="s">
        <v>1848</v>
      </c>
      <c r="D447" s="34">
        <f t="shared" si="6"/>
        <v>-1</v>
      </c>
      <c r="E447" s="34" t="s">
        <v>34</v>
      </c>
      <c r="F447" s="34" t="s">
        <v>1775</v>
      </c>
      <c r="G447" s="34" t="s">
        <v>1849</v>
      </c>
      <c r="H447" s="34" t="s">
        <v>37</v>
      </c>
      <c r="I447" s="34" t="s">
        <v>38</v>
      </c>
      <c r="J447" s="34" t="s">
        <v>677</v>
      </c>
      <c r="K447" s="34" t="s">
        <v>678</v>
      </c>
      <c r="L447" s="34">
        <v>2279240</v>
      </c>
      <c r="M447" s="34">
        <v>0</v>
      </c>
      <c r="N447" s="34">
        <v>0</v>
      </c>
      <c r="O447" s="34">
        <v>14275240</v>
      </c>
      <c r="P447" s="34" t="s">
        <v>41</v>
      </c>
      <c r="Q447" s="34" t="s">
        <v>42</v>
      </c>
      <c r="R447" s="26"/>
      <c r="S447" s="26"/>
      <c r="T447" s="26" t="s">
        <v>43</v>
      </c>
      <c r="U447" s="26"/>
      <c r="V447" s="26"/>
      <c r="W447" s="26"/>
      <c r="X447" s="26"/>
    </row>
    <row r="448" spans="1:24" s="29" customFormat="1">
      <c r="A448" s="34" t="s">
        <v>31</v>
      </c>
      <c r="B448" s="34" t="s">
        <v>1850</v>
      </c>
      <c r="C448" s="34" t="s">
        <v>1851</v>
      </c>
      <c r="D448" s="34">
        <f t="shared" si="6"/>
        <v>-1</v>
      </c>
      <c r="E448" s="34" t="s">
        <v>34</v>
      </c>
      <c r="F448" s="34" t="s">
        <v>1775</v>
      </c>
      <c r="G448" s="34" t="s">
        <v>1852</v>
      </c>
      <c r="H448" s="34" t="s">
        <v>37</v>
      </c>
      <c r="I448" s="34" t="s">
        <v>38</v>
      </c>
      <c r="J448" s="34" t="s">
        <v>677</v>
      </c>
      <c r="K448" s="34" t="s">
        <v>678</v>
      </c>
      <c r="L448" s="34">
        <v>4417500</v>
      </c>
      <c r="M448" s="34">
        <v>0</v>
      </c>
      <c r="N448" s="34">
        <v>0</v>
      </c>
      <c r="O448" s="34">
        <v>27667500</v>
      </c>
      <c r="P448" s="34" t="s">
        <v>41</v>
      </c>
      <c r="Q448" s="34" t="s">
        <v>42</v>
      </c>
      <c r="R448" s="26"/>
      <c r="S448" s="26"/>
      <c r="T448" s="26" t="s">
        <v>43</v>
      </c>
      <c r="U448" s="26"/>
      <c r="V448" s="26"/>
      <c r="W448" s="26"/>
      <c r="X448" s="26"/>
    </row>
    <row r="449" spans="1:24" s="29" customFormat="1">
      <c r="A449" s="34" t="s">
        <v>31</v>
      </c>
      <c r="B449" s="34" t="s">
        <v>1853</v>
      </c>
      <c r="C449" s="34" t="s">
        <v>1854</v>
      </c>
      <c r="D449" s="34">
        <f t="shared" si="6"/>
        <v>-1</v>
      </c>
      <c r="E449" s="34" t="s">
        <v>34</v>
      </c>
      <c r="F449" s="34" t="s">
        <v>1775</v>
      </c>
      <c r="G449" s="34" t="s">
        <v>1855</v>
      </c>
      <c r="H449" s="34" t="s">
        <v>37</v>
      </c>
      <c r="I449" s="34" t="s">
        <v>38</v>
      </c>
      <c r="J449" s="34" t="s">
        <v>677</v>
      </c>
      <c r="K449" s="34" t="s">
        <v>678</v>
      </c>
      <c r="L449" s="34">
        <v>2945000</v>
      </c>
      <c r="M449" s="34">
        <v>0</v>
      </c>
      <c r="N449" s="34">
        <v>0</v>
      </c>
      <c r="O449" s="34">
        <v>18445000</v>
      </c>
      <c r="P449" s="34" t="s">
        <v>41</v>
      </c>
      <c r="Q449" s="34" t="s">
        <v>42</v>
      </c>
      <c r="R449" s="26"/>
      <c r="S449" s="26"/>
      <c r="T449" s="26" t="s">
        <v>43</v>
      </c>
      <c r="U449" s="26"/>
      <c r="V449" s="26"/>
      <c r="W449" s="26"/>
      <c r="X449" s="26"/>
    </row>
    <row r="450" spans="1:24" s="29" customFormat="1">
      <c r="A450" s="32" t="s">
        <v>31</v>
      </c>
      <c r="B450" s="32" t="s">
        <v>1856</v>
      </c>
      <c r="C450" s="32" t="s">
        <v>1857</v>
      </c>
      <c r="D450" s="32">
        <f t="shared" si="6"/>
        <v>-1</v>
      </c>
      <c r="E450" s="32" t="s">
        <v>34</v>
      </c>
      <c r="F450" s="32" t="s">
        <v>1775</v>
      </c>
      <c r="G450" s="32" t="s">
        <v>1858</v>
      </c>
      <c r="H450" s="32" t="s">
        <v>37</v>
      </c>
      <c r="I450" s="32" t="s">
        <v>38</v>
      </c>
      <c r="J450" s="32" t="s">
        <v>1859</v>
      </c>
      <c r="K450" s="32" t="s">
        <v>1860</v>
      </c>
      <c r="L450" s="32">
        <v>52487.5</v>
      </c>
      <c r="M450" s="32">
        <v>0</v>
      </c>
      <c r="N450" s="32">
        <v>0</v>
      </c>
      <c r="O450" s="32">
        <v>328737.5</v>
      </c>
      <c r="P450" s="32" t="s">
        <v>41</v>
      </c>
      <c r="Q450" s="32" t="s">
        <v>42</v>
      </c>
      <c r="R450" s="26" t="s">
        <v>43</v>
      </c>
      <c r="S450" s="26"/>
      <c r="T450" s="26"/>
      <c r="U450" s="26"/>
      <c r="V450" s="26"/>
      <c r="W450" s="26"/>
      <c r="X450" s="26"/>
    </row>
    <row r="451" spans="1:24" s="29" customFormat="1">
      <c r="A451" s="26" t="s">
        <v>31</v>
      </c>
      <c r="B451" s="26" t="s">
        <v>1861</v>
      </c>
      <c r="C451" s="26" t="s">
        <v>1862</v>
      </c>
      <c r="D451" s="26">
        <f t="shared" si="6"/>
        <v>-1</v>
      </c>
      <c r="E451" s="26" t="s">
        <v>34</v>
      </c>
      <c r="F451" s="26" t="s">
        <v>1775</v>
      </c>
      <c r="G451" s="26" t="s">
        <v>1863</v>
      </c>
      <c r="H451" s="26" t="s">
        <v>37</v>
      </c>
      <c r="I451" s="26" t="s">
        <v>38</v>
      </c>
      <c r="J451" s="26" t="s">
        <v>1864</v>
      </c>
      <c r="K451" s="26" t="s">
        <v>1865</v>
      </c>
      <c r="L451" s="26">
        <v>114722</v>
      </c>
      <c r="M451" s="26">
        <v>0</v>
      </c>
      <c r="N451" s="26">
        <v>0</v>
      </c>
      <c r="O451" s="26">
        <v>718522</v>
      </c>
      <c r="P451" s="26" t="s">
        <v>41</v>
      </c>
      <c r="Q451" s="26" t="s">
        <v>42</v>
      </c>
      <c r="R451" s="26"/>
      <c r="S451" s="26"/>
      <c r="T451" s="26"/>
      <c r="U451" s="26"/>
      <c r="V451" s="26" t="s">
        <v>43</v>
      </c>
      <c r="W451" s="26"/>
      <c r="X451" s="26"/>
    </row>
    <row r="452" spans="1:24" s="29" customFormat="1">
      <c r="A452" s="31" t="s">
        <v>31</v>
      </c>
      <c r="B452" s="31" t="s">
        <v>1866</v>
      </c>
      <c r="C452" s="31" t="s">
        <v>1867</v>
      </c>
      <c r="D452" s="31">
        <f t="shared" si="6"/>
        <v>-1</v>
      </c>
      <c r="E452" s="31" t="s">
        <v>34</v>
      </c>
      <c r="F452" s="31" t="s">
        <v>1775</v>
      </c>
      <c r="G452" s="31" t="s">
        <v>1868</v>
      </c>
      <c r="H452" s="31" t="s">
        <v>37</v>
      </c>
      <c r="I452" s="31" t="s">
        <v>38</v>
      </c>
      <c r="J452" s="31" t="s">
        <v>1869</v>
      </c>
      <c r="K452" s="31" t="s">
        <v>1870</v>
      </c>
      <c r="L452" s="31">
        <v>156978</v>
      </c>
      <c r="M452" s="31">
        <v>0</v>
      </c>
      <c r="N452" s="31">
        <v>0</v>
      </c>
      <c r="O452" s="31">
        <v>983178</v>
      </c>
      <c r="P452" s="31" t="s">
        <v>41</v>
      </c>
      <c r="Q452" s="31" t="s">
        <v>42</v>
      </c>
      <c r="R452" s="26"/>
      <c r="S452" s="26"/>
      <c r="T452" s="26"/>
      <c r="U452" s="26" t="s">
        <v>43</v>
      </c>
      <c r="V452" s="26"/>
      <c r="W452" s="26"/>
      <c r="X452" s="26"/>
    </row>
    <row r="453" spans="1:24" s="29" customFormat="1">
      <c r="A453" s="32" t="s">
        <v>31</v>
      </c>
      <c r="B453" s="32" t="s">
        <v>1871</v>
      </c>
      <c r="C453" s="32" t="s">
        <v>1872</v>
      </c>
      <c r="D453" s="32">
        <f t="shared" si="6"/>
        <v>-1</v>
      </c>
      <c r="E453" s="32" t="s">
        <v>34</v>
      </c>
      <c r="F453" s="32" t="s">
        <v>1775</v>
      </c>
      <c r="G453" s="32" t="s">
        <v>1873</v>
      </c>
      <c r="H453" s="32" t="s">
        <v>37</v>
      </c>
      <c r="I453" s="32" t="s">
        <v>38</v>
      </c>
      <c r="J453" s="32" t="s">
        <v>1869</v>
      </c>
      <c r="K453" s="32" t="s">
        <v>1870</v>
      </c>
      <c r="L453" s="32">
        <v>19482.98</v>
      </c>
      <c r="M453" s="32">
        <v>0</v>
      </c>
      <c r="N453" s="32">
        <v>0</v>
      </c>
      <c r="O453" s="32">
        <v>122024.98</v>
      </c>
      <c r="P453" s="32" t="s">
        <v>41</v>
      </c>
      <c r="Q453" s="32" t="s">
        <v>42</v>
      </c>
      <c r="R453" s="26" t="s">
        <v>43</v>
      </c>
      <c r="S453" s="26"/>
      <c r="T453" s="26"/>
      <c r="U453" s="26"/>
      <c r="V453" s="26"/>
      <c r="W453" s="26"/>
      <c r="X453" s="26"/>
    </row>
    <row r="454" spans="1:24" s="29" customFormat="1">
      <c r="A454" s="34" t="s">
        <v>31</v>
      </c>
      <c r="B454" s="34" t="s">
        <v>1874</v>
      </c>
      <c r="C454" s="34" t="s">
        <v>1875</v>
      </c>
      <c r="D454" s="34">
        <f t="shared" si="6"/>
        <v>-1</v>
      </c>
      <c r="E454" s="34" t="s">
        <v>34</v>
      </c>
      <c r="F454" s="34" t="s">
        <v>1775</v>
      </c>
      <c r="G454" s="34" t="s">
        <v>1876</v>
      </c>
      <c r="H454" s="34" t="s">
        <v>37</v>
      </c>
      <c r="I454" s="34" t="s">
        <v>38</v>
      </c>
      <c r="J454" s="34" t="s">
        <v>664</v>
      </c>
      <c r="K454" s="34" t="s">
        <v>665</v>
      </c>
      <c r="L454" s="34">
        <v>73245</v>
      </c>
      <c r="M454" s="34">
        <v>0</v>
      </c>
      <c r="N454" s="34">
        <v>0</v>
      </c>
      <c r="O454" s="34">
        <v>458745</v>
      </c>
      <c r="P454" s="34" t="s">
        <v>41</v>
      </c>
      <c r="Q454" s="34" t="s">
        <v>42</v>
      </c>
      <c r="R454" s="26"/>
      <c r="S454" s="26"/>
      <c r="T454" s="26" t="s">
        <v>43</v>
      </c>
      <c r="U454" s="26"/>
      <c r="V454" s="26"/>
      <c r="W454" s="26"/>
      <c r="X454" s="26"/>
    </row>
    <row r="455" spans="1:24" s="29" customFormat="1">
      <c r="A455" s="34" t="s">
        <v>31</v>
      </c>
      <c r="B455" s="34" t="s">
        <v>1877</v>
      </c>
      <c r="C455" s="34" t="s">
        <v>1878</v>
      </c>
      <c r="D455" s="34">
        <f t="shared" si="6"/>
        <v>-1</v>
      </c>
      <c r="E455" s="34" t="s">
        <v>34</v>
      </c>
      <c r="F455" s="34" t="s">
        <v>1775</v>
      </c>
      <c r="G455" s="34" t="s">
        <v>1879</v>
      </c>
      <c r="H455" s="34" t="s">
        <v>37</v>
      </c>
      <c r="I455" s="34" t="s">
        <v>38</v>
      </c>
      <c r="J455" s="34" t="s">
        <v>664</v>
      </c>
      <c r="K455" s="34" t="s">
        <v>665</v>
      </c>
      <c r="L455" s="34">
        <v>125400</v>
      </c>
      <c r="M455" s="34">
        <v>0</v>
      </c>
      <c r="N455" s="34">
        <v>0</v>
      </c>
      <c r="O455" s="34">
        <v>785400</v>
      </c>
      <c r="P455" s="34" t="s">
        <v>41</v>
      </c>
      <c r="Q455" s="34" t="s">
        <v>42</v>
      </c>
      <c r="R455" s="26"/>
      <c r="S455" s="26"/>
      <c r="T455" s="26" t="s">
        <v>43</v>
      </c>
      <c r="U455" s="26"/>
      <c r="V455" s="26"/>
      <c r="W455" s="26"/>
      <c r="X455" s="26"/>
    </row>
    <row r="456" spans="1:24" s="29" customFormat="1">
      <c r="A456" s="34" t="s">
        <v>31</v>
      </c>
      <c r="B456" s="34" t="s">
        <v>1880</v>
      </c>
      <c r="C456" s="34" t="s">
        <v>1881</v>
      </c>
      <c r="D456" s="34">
        <f t="shared" si="6"/>
        <v>-1</v>
      </c>
      <c r="E456" s="34" t="s">
        <v>34</v>
      </c>
      <c r="F456" s="34" t="s">
        <v>1775</v>
      </c>
      <c r="G456" s="34" t="s">
        <v>1882</v>
      </c>
      <c r="H456" s="34" t="s">
        <v>37</v>
      </c>
      <c r="I456" s="34" t="s">
        <v>38</v>
      </c>
      <c r="J456" s="34" t="s">
        <v>1883</v>
      </c>
      <c r="K456" s="34" t="s">
        <v>1884</v>
      </c>
      <c r="L456" s="34">
        <v>14250</v>
      </c>
      <c r="M456" s="34">
        <v>0</v>
      </c>
      <c r="N456" s="34">
        <v>0</v>
      </c>
      <c r="O456" s="34">
        <v>89250</v>
      </c>
      <c r="P456" s="34" t="s">
        <v>41</v>
      </c>
      <c r="Q456" s="34" t="s">
        <v>42</v>
      </c>
      <c r="R456" s="26"/>
      <c r="S456" s="26"/>
      <c r="T456" s="26" t="s">
        <v>43</v>
      </c>
      <c r="U456" s="26"/>
      <c r="V456" s="26"/>
      <c r="W456" s="26"/>
      <c r="X456" s="26"/>
    </row>
    <row r="457" spans="1:24" s="29" customFormat="1">
      <c r="A457" s="34" t="s">
        <v>31</v>
      </c>
      <c r="B457" s="34" t="s">
        <v>1885</v>
      </c>
      <c r="C457" s="34" t="s">
        <v>1886</v>
      </c>
      <c r="D457" s="34">
        <f t="shared" si="6"/>
        <v>-1</v>
      </c>
      <c r="E457" s="34" t="s">
        <v>34</v>
      </c>
      <c r="F457" s="34" t="s">
        <v>1775</v>
      </c>
      <c r="G457" s="34" t="s">
        <v>1887</v>
      </c>
      <c r="H457" s="34" t="s">
        <v>37</v>
      </c>
      <c r="I457" s="34" t="s">
        <v>38</v>
      </c>
      <c r="J457" s="34" t="s">
        <v>1888</v>
      </c>
      <c r="K457" s="34" t="s">
        <v>1889</v>
      </c>
      <c r="L457" s="34">
        <v>11438</v>
      </c>
      <c r="M457" s="34">
        <v>0</v>
      </c>
      <c r="N457" s="34">
        <v>0</v>
      </c>
      <c r="O457" s="34">
        <v>71638</v>
      </c>
      <c r="P457" s="34" t="s">
        <v>41</v>
      </c>
      <c r="Q457" s="34" t="s">
        <v>42</v>
      </c>
      <c r="R457" s="26"/>
      <c r="S457" s="26"/>
      <c r="T457" s="26" t="s">
        <v>43</v>
      </c>
      <c r="U457" s="26"/>
      <c r="V457" s="26"/>
      <c r="W457" s="26"/>
      <c r="X457" s="26"/>
    </row>
    <row r="458" spans="1:24" s="29" customFormat="1">
      <c r="A458" s="34" t="s">
        <v>31</v>
      </c>
      <c r="B458" s="34" t="s">
        <v>1890</v>
      </c>
      <c r="C458" s="34" t="s">
        <v>1891</v>
      </c>
      <c r="D458" s="34">
        <f t="shared" si="6"/>
        <v>-1</v>
      </c>
      <c r="E458" s="34" t="s">
        <v>34</v>
      </c>
      <c r="F458" s="34" t="s">
        <v>1775</v>
      </c>
      <c r="G458" s="34" t="s">
        <v>1892</v>
      </c>
      <c r="H458" s="34" t="s">
        <v>37</v>
      </c>
      <c r="I458" s="34" t="s">
        <v>38</v>
      </c>
      <c r="J458" s="34" t="s">
        <v>1893</v>
      </c>
      <c r="K458" s="34" t="s">
        <v>1894</v>
      </c>
      <c r="L458" s="34">
        <v>63270</v>
      </c>
      <c r="M458" s="34">
        <v>0</v>
      </c>
      <c r="N458" s="34">
        <v>0</v>
      </c>
      <c r="O458" s="34">
        <v>396270</v>
      </c>
      <c r="P458" s="34" t="s">
        <v>41</v>
      </c>
      <c r="Q458" s="34" t="s">
        <v>42</v>
      </c>
      <c r="R458" s="26"/>
      <c r="S458" s="26"/>
      <c r="T458" s="26" t="s">
        <v>43</v>
      </c>
      <c r="U458" s="26"/>
      <c r="V458" s="26"/>
      <c r="W458" s="26"/>
      <c r="X458" s="26"/>
    </row>
    <row r="459" spans="1:24" s="29" customFormat="1">
      <c r="A459" s="26" t="s">
        <v>31</v>
      </c>
      <c r="B459" s="26" t="s">
        <v>1895</v>
      </c>
      <c r="C459" s="26" t="s">
        <v>1896</v>
      </c>
      <c r="D459" s="26">
        <f t="shared" si="6"/>
        <v>-1</v>
      </c>
      <c r="E459" s="26" t="s">
        <v>34</v>
      </c>
      <c r="F459" s="26" t="s">
        <v>1775</v>
      </c>
      <c r="G459" s="26" t="s">
        <v>1897</v>
      </c>
      <c r="H459" s="26" t="s">
        <v>37</v>
      </c>
      <c r="I459" s="26" t="s">
        <v>38</v>
      </c>
      <c r="J459" s="26" t="s">
        <v>669</v>
      </c>
      <c r="K459" s="26" t="s">
        <v>670</v>
      </c>
      <c r="L459" s="26">
        <v>63820</v>
      </c>
      <c r="M459" s="26">
        <v>0</v>
      </c>
      <c r="N459" s="26">
        <v>0</v>
      </c>
      <c r="O459" s="26">
        <v>785820</v>
      </c>
      <c r="P459" s="26" t="s">
        <v>41</v>
      </c>
      <c r="Q459" s="26" t="s">
        <v>42</v>
      </c>
      <c r="R459" s="26"/>
      <c r="S459" s="26"/>
      <c r="T459" s="26"/>
      <c r="U459" s="26"/>
      <c r="V459" s="26" t="s">
        <v>43</v>
      </c>
      <c r="W459" s="26"/>
      <c r="X459" s="26"/>
    </row>
    <row r="460" spans="1:24" s="29" customFormat="1">
      <c r="A460" s="35" t="s">
        <v>31</v>
      </c>
      <c r="B460" s="35" t="s">
        <v>1898</v>
      </c>
      <c r="C460" s="35" t="s">
        <v>1899</v>
      </c>
      <c r="D460" s="35">
        <f t="shared" si="6"/>
        <v>-1</v>
      </c>
      <c r="E460" s="35" t="s">
        <v>34</v>
      </c>
      <c r="F460" s="35" t="s">
        <v>1775</v>
      </c>
      <c r="G460" s="35" t="s">
        <v>1900</v>
      </c>
      <c r="H460" s="35" t="s">
        <v>37</v>
      </c>
      <c r="I460" s="35" t="s">
        <v>38</v>
      </c>
      <c r="J460" s="35" t="s">
        <v>1901</v>
      </c>
      <c r="K460" s="35" t="s">
        <v>1902</v>
      </c>
      <c r="L460" s="35">
        <v>153153.20000000001</v>
      </c>
      <c r="M460" s="35">
        <v>0</v>
      </c>
      <c r="N460" s="35">
        <v>0</v>
      </c>
      <c r="O460" s="35">
        <v>980333.2</v>
      </c>
      <c r="P460" s="35" t="s">
        <v>41</v>
      </c>
      <c r="Q460" s="35" t="s">
        <v>42</v>
      </c>
      <c r="R460" s="26"/>
      <c r="S460" s="26"/>
      <c r="T460" s="26"/>
      <c r="U460" s="26"/>
      <c r="V460" s="26"/>
      <c r="W460" s="35" t="s">
        <v>43</v>
      </c>
      <c r="X460" s="26" t="s">
        <v>1903</v>
      </c>
    </row>
    <row r="461" spans="1:24" s="29" customFormat="1">
      <c r="A461" s="35" t="s">
        <v>31</v>
      </c>
      <c r="B461" s="35" t="s">
        <v>1904</v>
      </c>
      <c r="C461" s="35" t="s">
        <v>1905</v>
      </c>
      <c r="D461" s="35">
        <f t="shared" ref="D461:D524" si="7">C461-C462</f>
        <v>-1</v>
      </c>
      <c r="E461" s="35" t="s">
        <v>34</v>
      </c>
      <c r="F461" s="35" t="s">
        <v>1775</v>
      </c>
      <c r="G461" s="35" t="s">
        <v>1906</v>
      </c>
      <c r="H461" s="35" t="s">
        <v>37</v>
      </c>
      <c r="I461" s="35" t="s">
        <v>38</v>
      </c>
      <c r="J461" s="35" t="s">
        <v>890</v>
      </c>
      <c r="K461" s="35" t="s">
        <v>891</v>
      </c>
      <c r="L461" s="35">
        <v>107112.5</v>
      </c>
      <c r="M461" s="35">
        <v>0</v>
      </c>
      <c r="N461" s="35">
        <v>0</v>
      </c>
      <c r="O461" s="35">
        <v>670862.5</v>
      </c>
      <c r="P461" s="35" t="s">
        <v>41</v>
      </c>
      <c r="Q461" s="35" t="s">
        <v>42</v>
      </c>
      <c r="R461" s="26"/>
      <c r="S461" s="26"/>
      <c r="T461" s="26"/>
      <c r="U461" s="26"/>
      <c r="V461" s="26"/>
      <c r="W461" s="35" t="s">
        <v>43</v>
      </c>
      <c r="X461" s="26" t="s">
        <v>1388</v>
      </c>
    </row>
    <row r="462" spans="1:24" s="29" customFormat="1">
      <c r="A462" s="35" t="s">
        <v>31</v>
      </c>
      <c r="B462" s="35" t="s">
        <v>1907</v>
      </c>
      <c r="C462" s="35" t="s">
        <v>1908</v>
      </c>
      <c r="D462" s="35">
        <f t="shared" si="7"/>
        <v>-1</v>
      </c>
      <c r="E462" s="35" t="s">
        <v>34</v>
      </c>
      <c r="F462" s="35" t="s">
        <v>1775</v>
      </c>
      <c r="G462" s="35" t="s">
        <v>1909</v>
      </c>
      <c r="H462" s="35" t="s">
        <v>37</v>
      </c>
      <c r="I462" s="35" t="s">
        <v>38</v>
      </c>
      <c r="J462" s="35" t="s">
        <v>1910</v>
      </c>
      <c r="K462" s="35" t="s">
        <v>1911</v>
      </c>
      <c r="L462" s="35">
        <v>24052.1</v>
      </c>
      <c r="M462" s="35">
        <v>0</v>
      </c>
      <c r="N462" s="35">
        <v>0</v>
      </c>
      <c r="O462" s="35">
        <v>150642.1</v>
      </c>
      <c r="P462" s="35" t="s">
        <v>41</v>
      </c>
      <c r="Q462" s="35" t="s">
        <v>42</v>
      </c>
      <c r="R462" s="26"/>
      <c r="S462" s="26"/>
      <c r="T462" s="26"/>
      <c r="U462" s="26"/>
      <c r="V462" s="26"/>
      <c r="W462" s="35" t="s">
        <v>43</v>
      </c>
      <c r="X462" s="26" t="s">
        <v>1912</v>
      </c>
    </row>
    <row r="463" spans="1:24" s="29" customFormat="1">
      <c r="A463" s="26" t="s">
        <v>31</v>
      </c>
      <c r="B463" s="26" t="s">
        <v>1913</v>
      </c>
      <c r="C463" s="26" t="s">
        <v>1914</v>
      </c>
      <c r="D463" s="26">
        <f t="shared" si="7"/>
        <v>-1</v>
      </c>
      <c r="E463" s="26" t="s">
        <v>34</v>
      </c>
      <c r="F463" s="26" t="s">
        <v>1775</v>
      </c>
      <c r="G463" s="26" t="s">
        <v>1915</v>
      </c>
      <c r="H463" s="26" t="s">
        <v>37</v>
      </c>
      <c r="I463" s="26" t="s">
        <v>38</v>
      </c>
      <c r="J463" s="26" t="s">
        <v>1916</v>
      </c>
      <c r="K463" s="26" t="s">
        <v>1917</v>
      </c>
      <c r="L463" s="26">
        <v>231945.92</v>
      </c>
      <c r="M463" s="26">
        <v>0</v>
      </c>
      <c r="N463" s="26">
        <v>0</v>
      </c>
      <c r="O463" s="26">
        <v>1452713.92</v>
      </c>
      <c r="P463" s="26" t="s">
        <v>41</v>
      </c>
      <c r="Q463" s="26" t="s">
        <v>42</v>
      </c>
      <c r="R463" s="26"/>
      <c r="S463" s="26"/>
      <c r="T463" s="26"/>
      <c r="U463" s="26"/>
      <c r="V463" s="26" t="s">
        <v>43</v>
      </c>
      <c r="W463" s="26"/>
      <c r="X463" s="26"/>
    </row>
    <row r="464" spans="1:24" s="29" customFormat="1">
      <c r="A464" s="32" t="s">
        <v>31</v>
      </c>
      <c r="B464" s="32" t="s">
        <v>1918</v>
      </c>
      <c r="C464" s="32" t="s">
        <v>1919</v>
      </c>
      <c r="D464" s="32">
        <f t="shared" si="7"/>
        <v>-1</v>
      </c>
      <c r="E464" s="32" t="s">
        <v>34</v>
      </c>
      <c r="F464" s="32" t="s">
        <v>1775</v>
      </c>
      <c r="G464" s="32" t="s">
        <v>1920</v>
      </c>
      <c r="H464" s="32" t="s">
        <v>37</v>
      </c>
      <c r="I464" s="32" t="s">
        <v>38</v>
      </c>
      <c r="J464" s="32" t="s">
        <v>1869</v>
      </c>
      <c r="K464" s="32" t="s">
        <v>1870</v>
      </c>
      <c r="L464" s="32">
        <v>128820</v>
      </c>
      <c r="M464" s="32">
        <v>0</v>
      </c>
      <c r="N464" s="32">
        <v>0</v>
      </c>
      <c r="O464" s="32">
        <v>806820</v>
      </c>
      <c r="P464" s="32" t="s">
        <v>41</v>
      </c>
      <c r="Q464" s="32" t="s">
        <v>42</v>
      </c>
      <c r="R464" s="26" t="s">
        <v>43</v>
      </c>
      <c r="S464" s="26"/>
      <c r="T464" s="26"/>
      <c r="U464" s="26"/>
      <c r="V464" s="26"/>
      <c r="W464" s="26"/>
      <c r="X464" s="26"/>
    </row>
    <row r="465" spans="1:24" s="29" customFormat="1">
      <c r="A465" s="32" t="s">
        <v>31</v>
      </c>
      <c r="B465" s="32" t="s">
        <v>1921</v>
      </c>
      <c r="C465" s="32" t="s">
        <v>1922</v>
      </c>
      <c r="D465" s="32">
        <f t="shared" si="7"/>
        <v>-1</v>
      </c>
      <c r="E465" s="32" t="s">
        <v>34</v>
      </c>
      <c r="F465" s="32" t="s">
        <v>1775</v>
      </c>
      <c r="G465" s="32" t="s">
        <v>1923</v>
      </c>
      <c r="H465" s="32" t="s">
        <v>37</v>
      </c>
      <c r="I465" s="32" t="s">
        <v>38</v>
      </c>
      <c r="J465" s="32" t="s">
        <v>1924</v>
      </c>
      <c r="K465" s="32" t="s">
        <v>1925</v>
      </c>
      <c r="L465" s="32">
        <v>127300</v>
      </c>
      <c r="M465" s="32">
        <v>0</v>
      </c>
      <c r="N465" s="32">
        <v>0</v>
      </c>
      <c r="O465" s="32">
        <v>797300</v>
      </c>
      <c r="P465" s="32" t="s">
        <v>41</v>
      </c>
      <c r="Q465" s="32" t="s">
        <v>42</v>
      </c>
      <c r="R465" s="26" t="s">
        <v>43</v>
      </c>
      <c r="S465" s="26"/>
      <c r="T465" s="26"/>
      <c r="U465" s="26"/>
      <c r="V465" s="26"/>
      <c r="W465" s="26"/>
      <c r="X465" s="26"/>
    </row>
    <row r="466" spans="1:24" s="29" customFormat="1">
      <c r="A466" s="26" t="s">
        <v>31</v>
      </c>
      <c r="B466" s="26" t="s">
        <v>1926</v>
      </c>
      <c r="C466" s="26" t="s">
        <v>1927</v>
      </c>
      <c r="D466" s="26">
        <f t="shared" si="7"/>
        <v>-1</v>
      </c>
      <c r="E466" s="26" t="s">
        <v>34</v>
      </c>
      <c r="F466" s="26" t="s">
        <v>1775</v>
      </c>
      <c r="G466" s="26" t="s">
        <v>1928</v>
      </c>
      <c r="H466" s="26" t="s">
        <v>37</v>
      </c>
      <c r="I466" s="26" t="s">
        <v>38</v>
      </c>
      <c r="J466" s="26" t="s">
        <v>1929</v>
      </c>
      <c r="K466" s="26" t="s">
        <v>1930</v>
      </c>
      <c r="L466" s="26">
        <v>255903.4</v>
      </c>
      <c r="M466" s="26">
        <v>0</v>
      </c>
      <c r="N466" s="26">
        <v>0</v>
      </c>
      <c r="O466" s="26">
        <v>1602763.4</v>
      </c>
      <c r="P466" s="26" t="s">
        <v>41</v>
      </c>
      <c r="Q466" s="26" t="s">
        <v>42</v>
      </c>
      <c r="R466" s="26"/>
      <c r="S466" s="26"/>
      <c r="T466" s="26"/>
      <c r="U466" s="26"/>
      <c r="V466" s="26" t="s">
        <v>43</v>
      </c>
      <c r="W466" s="26"/>
      <c r="X466" s="26"/>
    </row>
    <row r="467" spans="1:24" s="29" customFormat="1">
      <c r="A467" s="32" t="s">
        <v>31</v>
      </c>
      <c r="B467" s="32" t="s">
        <v>1931</v>
      </c>
      <c r="C467" s="32" t="s">
        <v>1932</v>
      </c>
      <c r="D467" s="32">
        <f t="shared" si="7"/>
        <v>-1</v>
      </c>
      <c r="E467" s="32" t="s">
        <v>34</v>
      </c>
      <c r="F467" s="32" t="s">
        <v>1775</v>
      </c>
      <c r="G467" s="32" t="s">
        <v>1933</v>
      </c>
      <c r="H467" s="32" t="s">
        <v>37</v>
      </c>
      <c r="I467" s="32" t="s">
        <v>38</v>
      </c>
      <c r="J467" s="32" t="s">
        <v>1033</v>
      </c>
      <c r="K467" s="32" t="s">
        <v>1034</v>
      </c>
      <c r="L467" s="32">
        <v>4940000</v>
      </c>
      <c r="M467" s="32">
        <v>0</v>
      </c>
      <c r="N467" s="32">
        <v>0</v>
      </c>
      <c r="O467" s="32">
        <v>30940000</v>
      </c>
      <c r="P467" s="32" t="s">
        <v>41</v>
      </c>
      <c r="Q467" s="32" t="s">
        <v>42</v>
      </c>
      <c r="R467" s="26" t="s">
        <v>43</v>
      </c>
      <c r="S467" s="26"/>
      <c r="T467" s="26"/>
      <c r="U467" s="26"/>
      <c r="V467" s="26"/>
      <c r="W467" s="26"/>
      <c r="X467" s="26"/>
    </row>
    <row r="468" spans="1:24" s="29" customFormat="1">
      <c r="A468" s="32" t="s">
        <v>31</v>
      </c>
      <c r="B468" s="32" t="s">
        <v>1934</v>
      </c>
      <c r="C468" s="32" t="s">
        <v>1935</v>
      </c>
      <c r="D468" s="32">
        <f t="shared" si="7"/>
        <v>-1</v>
      </c>
      <c r="E468" s="32" t="s">
        <v>34</v>
      </c>
      <c r="F468" s="32" t="s">
        <v>1775</v>
      </c>
      <c r="G468" s="32" t="s">
        <v>1936</v>
      </c>
      <c r="H468" s="32" t="s">
        <v>37</v>
      </c>
      <c r="I468" s="32" t="s">
        <v>38</v>
      </c>
      <c r="J468" s="32" t="s">
        <v>1937</v>
      </c>
      <c r="K468" s="32" t="s">
        <v>1938</v>
      </c>
      <c r="L468" s="32">
        <v>33630</v>
      </c>
      <c r="M468" s="32">
        <v>0</v>
      </c>
      <c r="N468" s="32">
        <v>0</v>
      </c>
      <c r="O468" s="32">
        <v>210630</v>
      </c>
      <c r="P468" s="32" t="s">
        <v>41</v>
      </c>
      <c r="Q468" s="32" t="s">
        <v>42</v>
      </c>
      <c r="R468" s="26" t="s">
        <v>43</v>
      </c>
      <c r="S468" s="26"/>
      <c r="T468" s="26"/>
      <c r="U468" s="26"/>
      <c r="V468" s="26"/>
      <c r="W468" s="26"/>
      <c r="X468" s="26"/>
    </row>
    <row r="469" spans="1:24" s="29" customFormat="1">
      <c r="A469" s="32" t="s">
        <v>31</v>
      </c>
      <c r="B469" s="32" t="s">
        <v>1939</v>
      </c>
      <c r="C469" s="32" t="s">
        <v>1940</v>
      </c>
      <c r="D469" s="32">
        <f t="shared" si="7"/>
        <v>-1</v>
      </c>
      <c r="E469" s="32" t="s">
        <v>34</v>
      </c>
      <c r="F469" s="32" t="s">
        <v>1775</v>
      </c>
      <c r="G469" s="32" t="s">
        <v>1941</v>
      </c>
      <c r="H469" s="32" t="s">
        <v>37</v>
      </c>
      <c r="I469" s="32" t="s">
        <v>38</v>
      </c>
      <c r="J469" s="32" t="s">
        <v>1869</v>
      </c>
      <c r="K469" s="32" t="s">
        <v>1870</v>
      </c>
      <c r="L469" s="32">
        <v>69296.039999999994</v>
      </c>
      <c r="M469" s="32">
        <v>0</v>
      </c>
      <c r="N469" s="32">
        <v>0</v>
      </c>
      <c r="O469" s="32">
        <v>434012.04</v>
      </c>
      <c r="P469" s="32" t="s">
        <v>41</v>
      </c>
      <c r="Q469" s="32" t="s">
        <v>42</v>
      </c>
      <c r="R469" s="26" t="s">
        <v>43</v>
      </c>
      <c r="S469" s="26"/>
      <c r="T469" s="26"/>
      <c r="U469" s="26"/>
      <c r="V469" s="26"/>
      <c r="W469" s="26"/>
      <c r="X469" s="26"/>
    </row>
    <row r="470" spans="1:24" s="29" customFormat="1">
      <c r="A470" s="26" t="s">
        <v>31</v>
      </c>
      <c r="B470" s="26" t="s">
        <v>1942</v>
      </c>
      <c r="C470" s="26" t="s">
        <v>1943</v>
      </c>
      <c r="D470" s="26">
        <f t="shared" si="7"/>
        <v>-1</v>
      </c>
      <c r="E470" s="26" t="s">
        <v>34</v>
      </c>
      <c r="F470" s="26" t="s">
        <v>1775</v>
      </c>
      <c r="G470" s="26" t="s">
        <v>1944</v>
      </c>
      <c r="H470" s="26" t="s">
        <v>37</v>
      </c>
      <c r="I470" s="26" t="s">
        <v>38</v>
      </c>
      <c r="J470" s="26" t="s">
        <v>1945</v>
      </c>
      <c r="K470" s="26" t="s">
        <v>1946</v>
      </c>
      <c r="L470" s="26">
        <v>52722.1</v>
      </c>
      <c r="M470" s="26">
        <v>0</v>
      </c>
      <c r="N470" s="26">
        <v>0</v>
      </c>
      <c r="O470" s="26">
        <v>576412.1</v>
      </c>
      <c r="P470" s="26" t="s">
        <v>41</v>
      </c>
      <c r="Q470" s="26" t="s">
        <v>42</v>
      </c>
      <c r="R470" s="26"/>
      <c r="S470" s="26"/>
      <c r="T470" s="26"/>
      <c r="U470" s="26"/>
      <c r="V470" s="26" t="s">
        <v>43</v>
      </c>
      <c r="W470" s="26"/>
      <c r="X470" s="26"/>
    </row>
    <row r="471" spans="1:24" s="29" customFormat="1">
      <c r="A471" s="32" t="s">
        <v>31</v>
      </c>
      <c r="B471" s="32" t="s">
        <v>1947</v>
      </c>
      <c r="C471" s="32" t="s">
        <v>1948</v>
      </c>
      <c r="D471" s="32">
        <f t="shared" si="7"/>
        <v>-1</v>
      </c>
      <c r="E471" s="32" t="s">
        <v>34</v>
      </c>
      <c r="F471" s="32" t="s">
        <v>1775</v>
      </c>
      <c r="G471" s="32" t="s">
        <v>1949</v>
      </c>
      <c r="H471" s="32" t="s">
        <v>37</v>
      </c>
      <c r="I471" s="32" t="s">
        <v>38</v>
      </c>
      <c r="J471" s="32" t="s">
        <v>1110</v>
      </c>
      <c r="K471" s="32" t="s">
        <v>1111</v>
      </c>
      <c r="L471" s="32">
        <v>18050</v>
      </c>
      <c r="M471" s="32">
        <v>0</v>
      </c>
      <c r="N471" s="32">
        <v>0</v>
      </c>
      <c r="O471" s="32">
        <v>113050</v>
      </c>
      <c r="P471" s="32" t="s">
        <v>41</v>
      </c>
      <c r="Q471" s="32" t="s">
        <v>42</v>
      </c>
      <c r="R471" s="26" t="s">
        <v>43</v>
      </c>
      <c r="S471" s="26"/>
      <c r="T471" s="26"/>
      <c r="U471" s="26"/>
      <c r="V471" s="26"/>
      <c r="W471" s="26"/>
      <c r="X471" s="26"/>
    </row>
    <row r="472" spans="1:24" s="29" customFormat="1">
      <c r="A472" s="32" t="s">
        <v>31</v>
      </c>
      <c r="B472" s="32" t="s">
        <v>1950</v>
      </c>
      <c r="C472" s="32" t="s">
        <v>1951</v>
      </c>
      <c r="D472" s="32">
        <f t="shared" si="7"/>
        <v>-1</v>
      </c>
      <c r="E472" s="32" t="s">
        <v>34</v>
      </c>
      <c r="F472" s="32" t="s">
        <v>1775</v>
      </c>
      <c r="G472" s="32" t="s">
        <v>1952</v>
      </c>
      <c r="H472" s="32" t="s">
        <v>37</v>
      </c>
      <c r="I472" s="32" t="s">
        <v>38</v>
      </c>
      <c r="J472" s="32" t="s">
        <v>1953</v>
      </c>
      <c r="K472" s="32" t="s">
        <v>1954</v>
      </c>
      <c r="L472" s="32">
        <v>221847.8</v>
      </c>
      <c r="M472" s="32">
        <v>0</v>
      </c>
      <c r="N472" s="32">
        <v>0</v>
      </c>
      <c r="O472" s="32">
        <v>1389467.8</v>
      </c>
      <c r="P472" s="32" t="s">
        <v>41</v>
      </c>
      <c r="Q472" s="32" t="s">
        <v>42</v>
      </c>
      <c r="R472" s="26" t="s">
        <v>43</v>
      </c>
      <c r="S472" s="26"/>
      <c r="T472" s="26"/>
      <c r="U472" s="26"/>
      <c r="V472" s="26"/>
      <c r="W472" s="26"/>
      <c r="X472" s="26"/>
    </row>
    <row r="473" spans="1:24" s="29" customFormat="1">
      <c r="A473" s="33" t="s">
        <v>31</v>
      </c>
      <c r="B473" s="33" t="s">
        <v>1955</v>
      </c>
      <c r="C473" s="33" t="s">
        <v>1956</v>
      </c>
      <c r="D473" s="33">
        <f t="shared" si="7"/>
        <v>-1</v>
      </c>
      <c r="E473" s="33" t="s">
        <v>34</v>
      </c>
      <c r="F473" s="33" t="s">
        <v>1775</v>
      </c>
      <c r="G473" s="33" t="s">
        <v>1957</v>
      </c>
      <c r="H473" s="33" t="s">
        <v>37</v>
      </c>
      <c r="I473" s="33" t="s">
        <v>38</v>
      </c>
      <c r="J473" s="33" t="s">
        <v>1958</v>
      </c>
      <c r="K473" s="33" t="s">
        <v>1959</v>
      </c>
      <c r="L473" s="33">
        <v>505852.2</v>
      </c>
      <c r="M473" s="33">
        <v>0</v>
      </c>
      <c r="N473" s="33">
        <v>0</v>
      </c>
      <c r="O473" s="33">
        <v>3168232.2</v>
      </c>
      <c r="P473" s="33" t="s">
        <v>41</v>
      </c>
      <c r="Q473" s="33" t="s">
        <v>42</v>
      </c>
      <c r="R473" s="26"/>
      <c r="S473" s="26" t="s">
        <v>43</v>
      </c>
      <c r="T473" s="26"/>
      <c r="U473" s="26"/>
      <c r="V473" s="26"/>
      <c r="W473" s="26"/>
      <c r="X473" s="26"/>
    </row>
    <row r="474" spans="1:24" s="29" customFormat="1">
      <c r="A474" s="35" t="s">
        <v>31</v>
      </c>
      <c r="B474" s="35" t="s">
        <v>1960</v>
      </c>
      <c r="C474" s="35" t="s">
        <v>1961</v>
      </c>
      <c r="D474" s="35">
        <f t="shared" si="7"/>
        <v>-1</v>
      </c>
      <c r="E474" s="35" t="s">
        <v>34</v>
      </c>
      <c r="F474" s="35" t="s">
        <v>1775</v>
      </c>
      <c r="G474" s="35" t="s">
        <v>1962</v>
      </c>
      <c r="H474" s="35" t="s">
        <v>37</v>
      </c>
      <c r="I474" s="35" t="s">
        <v>38</v>
      </c>
      <c r="J474" s="35" t="s">
        <v>1963</v>
      </c>
      <c r="K474" s="35" t="s">
        <v>1964</v>
      </c>
      <c r="L474" s="35">
        <v>137666.01999999999</v>
      </c>
      <c r="M474" s="35">
        <v>0</v>
      </c>
      <c r="N474" s="35">
        <v>0</v>
      </c>
      <c r="O474" s="35">
        <v>862224.02</v>
      </c>
      <c r="P474" s="35" t="s">
        <v>41</v>
      </c>
      <c r="Q474" s="35" t="s">
        <v>42</v>
      </c>
      <c r="R474" s="26"/>
      <c r="S474" s="26"/>
      <c r="T474" s="26"/>
      <c r="U474" s="26"/>
      <c r="V474" s="26"/>
      <c r="W474" s="35" t="s">
        <v>43</v>
      </c>
      <c r="X474" s="26" t="s">
        <v>1965</v>
      </c>
    </row>
    <row r="475" spans="1:24" s="29" customFormat="1">
      <c r="A475" s="33" t="s">
        <v>31</v>
      </c>
      <c r="B475" s="33" t="s">
        <v>1966</v>
      </c>
      <c r="C475" s="33" t="s">
        <v>1967</v>
      </c>
      <c r="D475" s="33">
        <f t="shared" si="7"/>
        <v>-1</v>
      </c>
      <c r="E475" s="33" t="s">
        <v>34</v>
      </c>
      <c r="F475" s="33" t="s">
        <v>1775</v>
      </c>
      <c r="G475" s="33" t="s">
        <v>1968</v>
      </c>
      <c r="H475" s="33" t="s">
        <v>37</v>
      </c>
      <c r="I475" s="33" t="s">
        <v>38</v>
      </c>
      <c r="J475" s="33" t="s">
        <v>1722</v>
      </c>
      <c r="K475" s="33" t="s">
        <v>1723</v>
      </c>
      <c r="L475" s="33">
        <v>85871.64</v>
      </c>
      <c r="M475" s="33">
        <v>0</v>
      </c>
      <c r="N475" s="33">
        <v>0</v>
      </c>
      <c r="O475" s="33">
        <v>537827.64</v>
      </c>
      <c r="P475" s="33" t="s">
        <v>41</v>
      </c>
      <c r="Q475" s="33" t="s">
        <v>42</v>
      </c>
      <c r="R475" s="26"/>
      <c r="S475" s="26" t="s">
        <v>43</v>
      </c>
      <c r="T475" s="26"/>
      <c r="U475" s="26"/>
      <c r="V475" s="26"/>
      <c r="W475" s="26"/>
      <c r="X475" s="26"/>
    </row>
    <row r="476" spans="1:24" s="29" customFormat="1">
      <c r="A476" s="26" t="s">
        <v>31</v>
      </c>
      <c r="B476" s="26" t="s">
        <v>1969</v>
      </c>
      <c r="C476" s="26" t="s">
        <v>1970</v>
      </c>
      <c r="D476" s="26">
        <f t="shared" si="7"/>
        <v>-1</v>
      </c>
      <c r="E476" s="26" t="s">
        <v>34</v>
      </c>
      <c r="F476" s="26" t="s">
        <v>1775</v>
      </c>
      <c r="G476" s="26" t="s">
        <v>1971</v>
      </c>
      <c r="H476" s="26" t="s">
        <v>37</v>
      </c>
      <c r="I476" s="26" t="s">
        <v>38</v>
      </c>
      <c r="J476" s="26" t="s">
        <v>1972</v>
      </c>
      <c r="K476" s="26" t="s">
        <v>1973</v>
      </c>
      <c r="L476" s="26">
        <v>6694650</v>
      </c>
      <c r="M476" s="26">
        <v>0</v>
      </c>
      <c r="N476" s="26">
        <v>0</v>
      </c>
      <c r="O476" s="26">
        <v>41929650</v>
      </c>
      <c r="P476" s="26" t="s">
        <v>41</v>
      </c>
      <c r="Q476" s="26" t="s">
        <v>42</v>
      </c>
      <c r="R476" s="26"/>
      <c r="S476" s="26"/>
      <c r="T476" s="26"/>
      <c r="U476" s="26"/>
      <c r="V476" s="26" t="s">
        <v>43</v>
      </c>
      <c r="W476" s="26"/>
      <c r="X476" s="26"/>
    </row>
    <row r="477" spans="1:24" s="29" customFormat="1">
      <c r="A477" s="26" t="s">
        <v>31</v>
      </c>
      <c r="B477" s="26" t="s">
        <v>1974</v>
      </c>
      <c r="C477" s="26" t="s">
        <v>1975</v>
      </c>
      <c r="D477" s="26">
        <f t="shared" si="7"/>
        <v>-1</v>
      </c>
      <c r="E477" s="26" t="s">
        <v>34</v>
      </c>
      <c r="F477" s="26" t="s">
        <v>1775</v>
      </c>
      <c r="G477" s="26" t="s">
        <v>1976</v>
      </c>
      <c r="H477" s="26" t="s">
        <v>37</v>
      </c>
      <c r="I477" s="26" t="s">
        <v>38</v>
      </c>
      <c r="J477" s="26" t="s">
        <v>1977</v>
      </c>
      <c r="K477" s="26" t="s">
        <v>1978</v>
      </c>
      <c r="L477" s="26">
        <v>0</v>
      </c>
      <c r="M477" s="26">
        <v>0</v>
      </c>
      <c r="N477" s="26">
        <v>0</v>
      </c>
      <c r="O477" s="26">
        <v>17848788</v>
      </c>
      <c r="P477" s="26" t="s">
        <v>41</v>
      </c>
      <c r="Q477" s="26" t="s">
        <v>42</v>
      </c>
      <c r="R477" s="26"/>
      <c r="S477" s="26"/>
      <c r="T477" s="26"/>
      <c r="U477" s="26"/>
      <c r="V477" s="26" t="s">
        <v>43</v>
      </c>
      <c r="W477" s="26"/>
      <c r="X477" s="26"/>
    </row>
    <row r="478" spans="1:24" s="29" customFormat="1">
      <c r="A478" s="35" t="s">
        <v>31</v>
      </c>
      <c r="B478" s="35" t="s">
        <v>1979</v>
      </c>
      <c r="C478" s="35" t="s">
        <v>1980</v>
      </c>
      <c r="D478" s="35">
        <f t="shared" si="7"/>
        <v>-1</v>
      </c>
      <c r="E478" s="35" t="s">
        <v>34</v>
      </c>
      <c r="F478" s="35" t="s">
        <v>1775</v>
      </c>
      <c r="G478" s="35" t="s">
        <v>1981</v>
      </c>
      <c r="H478" s="35" t="s">
        <v>37</v>
      </c>
      <c r="I478" s="35" t="s">
        <v>38</v>
      </c>
      <c r="J478" s="35" t="s">
        <v>1982</v>
      </c>
      <c r="K478" s="35" t="s">
        <v>1983</v>
      </c>
      <c r="L478" s="35">
        <v>496930.96</v>
      </c>
      <c r="M478" s="35">
        <v>0</v>
      </c>
      <c r="N478" s="35">
        <v>0</v>
      </c>
      <c r="O478" s="35">
        <v>3331120.96</v>
      </c>
      <c r="P478" s="35" t="s">
        <v>41</v>
      </c>
      <c r="Q478" s="35" t="s">
        <v>42</v>
      </c>
      <c r="R478" s="26"/>
      <c r="S478" s="26"/>
      <c r="T478" s="26"/>
      <c r="U478" s="26"/>
      <c r="V478" s="26"/>
      <c r="W478" s="35" t="s">
        <v>43</v>
      </c>
      <c r="X478" s="26" t="s">
        <v>1984</v>
      </c>
    </row>
    <row r="479" spans="1:24" s="29" customFormat="1">
      <c r="A479" s="26" t="s">
        <v>31</v>
      </c>
      <c r="B479" s="26" t="s">
        <v>1985</v>
      </c>
      <c r="C479" s="26" t="s">
        <v>1986</v>
      </c>
      <c r="D479" s="26">
        <f t="shared" si="7"/>
        <v>-1</v>
      </c>
      <c r="E479" s="26" t="s">
        <v>34</v>
      </c>
      <c r="F479" s="26" t="s">
        <v>1775</v>
      </c>
      <c r="G479" s="26" t="s">
        <v>1987</v>
      </c>
      <c r="H479" s="26" t="s">
        <v>37</v>
      </c>
      <c r="I479" s="26" t="s">
        <v>38</v>
      </c>
      <c r="J479" s="26" t="s">
        <v>1988</v>
      </c>
      <c r="K479" s="26" t="s">
        <v>1989</v>
      </c>
      <c r="L479" s="26">
        <v>49780</v>
      </c>
      <c r="M479" s="26">
        <v>0</v>
      </c>
      <c r="N479" s="26">
        <v>0</v>
      </c>
      <c r="O479" s="26">
        <v>311780</v>
      </c>
      <c r="P479" s="26" t="s">
        <v>41</v>
      </c>
      <c r="Q479" s="26" t="s">
        <v>42</v>
      </c>
      <c r="R479" s="26"/>
      <c r="S479" s="26"/>
      <c r="T479" s="26"/>
      <c r="U479" s="26"/>
      <c r="V479" s="26" t="s">
        <v>43</v>
      </c>
      <c r="W479" s="26"/>
      <c r="X479" s="26"/>
    </row>
    <row r="480" spans="1:24" s="29" customFormat="1">
      <c r="A480" s="34" t="s">
        <v>31</v>
      </c>
      <c r="B480" s="34" t="s">
        <v>1990</v>
      </c>
      <c r="C480" s="34" t="s">
        <v>1991</v>
      </c>
      <c r="D480" s="34">
        <f t="shared" si="7"/>
        <v>-1</v>
      </c>
      <c r="E480" s="34" t="s">
        <v>34</v>
      </c>
      <c r="F480" s="34" t="s">
        <v>1775</v>
      </c>
      <c r="G480" s="34" t="s">
        <v>1992</v>
      </c>
      <c r="H480" s="34" t="s">
        <v>37</v>
      </c>
      <c r="I480" s="34" t="s">
        <v>38</v>
      </c>
      <c r="J480" s="34" t="s">
        <v>1993</v>
      </c>
      <c r="K480" s="34" t="s">
        <v>1994</v>
      </c>
      <c r="L480" s="34">
        <v>52940.65</v>
      </c>
      <c r="M480" s="34">
        <v>0</v>
      </c>
      <c r="N480" s="34">
        <v>0</v>
      </c>
      <c r="O480" s="34">
        <v>331575.65000000002</v>
      </c>
      <c r="P480" s="34" t="s">
        <v>41</v>
      </c>
      <c r="Q480" s="34" t="s">
        <v>42</v>
      </c>
      <c r="R480" s="26"/>
      <c r="S480" s="26"/>
      <c r="T480" s="26" t="s">
        <v>43</v>
      </c>
      <c r="U480" s="26"/>
      <c r="V480" s="26"/>
      <c r="W480" s="26"/>
      <c r="X480" s="26"/>
    </row>
    <row r="481" spans="1:24" s="29" customFormat="1">
      <c r="A481" s="34" t="s">
        <v>31</v>
      </c>
      <c r="B481" s="34" t="s">
        <v>1995</v>
      </c>
      <c r="C481" s="34" t="s">
        <v>1996</v>
      </c>
      <c r="D481" s="34">
        <f t="shared" si="7"/>
        <v>-1</v>
      </c>
      <c r="E481" s="34" t="s">
        <v>34</v>
      </c>
      <c r="F481" s="34" t="s">
        <v>1775</v>
      </c>
      <c r="G481" s="34" t="s">
        <v>1997</v>
      </c>
      <c r="H481" s="34" t="s">
        <v>37</v>
      </c>
      <c r="I481" s="34" t="s">
        <v>38</v>
      </c>
      <c r="J481" s="34" t="s">
        <v>83</v>
      </c>
      <c r="K481" s="34" t="s">
        <v>84</v>
      </c>
      <c r="L481" s="34">
        <v>90250</v>
      </c>
      <c r="M481" s="34">
        <v>0</v>
      </c>
      <c r="N481" s="34">
        <v>0</v>
      </c>
      <c r="O481" s="34">
        <v>565250</v>
      </c>
      <c r="P481" s="34" t="s">
        <v>41</v>
      </c>
      <c r="Q481" s="34" t="s">
        <v>42</v>
      </c>
      <c r="R481" s="26"/>
      <c r="S481" s="26"/>
      <c r="T481" s="26" t="s">
        <v>43</v>
      </c>
      <c r="U481" s="26"/>
      <c r="V481" s="26"/>
      <c r="W481" s="26"/>
      <c r="X481" s="26"/>
    </row>
    <row r="482" spans="1:24" s="29" customFormat="1">
      <c r="A482" s="32" t="s">
        <v>31</v>
      </c>
      <c r="B482" s="32" t="s">
        <v>1998</v>
      </c>
      <c r="C482" s="32" t="s">
        <v>1999</v>
      </c>
      <c r="D482" s="32">
        <f t="shared" si="7"/>
        <v>-1</v>
      </c>
      <c r="E482" s="32" t="s">
        <v>34</v>
      </c>
      <c r="F482" s="32" t="s">
        <v>1775</v>
      </c>
      <c r="G482" s="32" t="s">
        <v>2000</v>
      </c>
      <c r="H482" s="32" t="s">
        <v>37</v>
      </c>
      <c r="I482" s="32" t="s">
        <v>38</v>
      </c>
      <c r="J482" s="32" t="s">
        <v>2001</v>
      </c>
      <c r="K482" s="32" t="s">
        <v>2002</v>
      </c>
      <c r="L482" s="32">
        <v>93726.05</v>
      </c>
      <c r="M482" s="32">
        <v>0</v>
      </c>
      <c r="N482" s="32">
        <v>0</v>
      </c>
      <c r="O482" s="32">
        <v>587021.05000000005</v>
      </c>
      <c r="P482" s="32" t="s">
        <v>41</v>
      </c>
      <c r="Q482" s="32" t="s">
        <v>42</v>
      </c>
      <c r="R482" s="26" t="s">
        <v>43</v>
      </c>
      <c r="S482" s="26"/>
      <c r="T482" s="26"/>
      <c r="U482" s="26"/>
      <c r="V482" s="26"/>
      <c r="W482" s="26"/>
      <c r="X482" s="26"/>
    </row>
    <row r="483" spans="1:24" s="29" customFormat="1">
      <c r="A483" s="35" t="s">
        <v>31</v>
      </c>
      <c r="B483" s="35" t="s">
        <v>2003</v>
      </c>
      <c r="C483" s="35" t="s">
        <v>2004</v>
      </c>
      <c r="D483" s="35">
        <f t="shared" si="7"/>
        <v>-1</v>
      </c>
      <c r="E483" s="35" t="s">
        <v>34</v>
      </c>
      <c r="F483" s="35" t="s">
        <v>1775</v>
      </c>
      <c r="G483" s="35" t="s">
        <v>2005</v>
      </c>
      <c r="H483" s="35" t="s">
        <v>37</v>
      </c>
      <c r="I483" s="35" t="s">
        <v>38</v>
      </c>
      <c r="J483" s="35" t="s">
        <v>2006</v>
      </c>
      <c r="K483" s="35" t="s">
        <v>2007</v>
      </c>
      <c r="L483" s="35">
        <v>98082.3</v>
      </c>
      <c r="M483" s="35">
        <v>0</v>
      </c>
      <c r="N483" s="35">
        <v>0</v>
      </c>
      <c r="O483" s="35">
        <v>899252.3</v>
      </c>
      <c r="P483" s="35" t="s">
        <v>41</v>
      </c>
      <c r="Q483" s="35" t="s">
        <v>42</v>
      </c>
      <c r="R483" s="26"/>
      <c r="S483" s="26"/>
      <c r="T483" s="26"/>
      <c r="U483" s="26"/>
      <c r="V483" s="26"/>
      <c r="W483" s="35" t="s">
        <v>43</v>
      </c>
      <c r="X483" s="26" t="s">
        <v>1377</v>
      </c>
    </row>
    <row r="484" spans="1:24" s="29" customFormat="1">
      <c r="A484" s="35" t="s">
        <v>31</v>
      </c>
      <c r="B484" s="35" t="s">
        <v>2008</v>
      </c>
      <c r="C484" s="35" t="s">
        <v>2009</v>
      </c>
      <c r="D484" s="35">
        <f t="shared" si="7"/>
        <v>-1</v>
      </c>
      <c r="E484" s="35" t="s">
        <v>34</v>
      </c>
      <c r="F484" s="35" t="s">
        <v>1775</v>
      </c>
      <c r="G484" s="35" t="s">
        <v>2010</v>
      </c>
      <c r="H484" s="35" t="s">
        <v>37</v>
      </c>
      <c r="I484" s="35" t="s">
        <v>38</v>
      </c>
      <c r="J484" s="35" t="s">
        <v>2011</v>
      </c>
      <c r="K484" s="35" t="s">
        <v>2012</v>
      </c>
      <c r="L484" s="35">
        <v>18819.5</v>
      </c>
      <c r="M484" s="35">
        <v>0</v>
      </c>
      <c r="N484" s="35">
        <v>0</v>
      </c>
      <c r="O484" s="35">
        <v>117869.5</v>
      </c>
      <c r="P484" s="35" t="s">
        <v>41</v>
      </c>
      <c r="Q484" s="35" t="s">
        <v>42</v>
      </c>
      <c r="R484" s="26"/>
      <c r="S484" s="26"/>
      <c r="T484" s="26"/>
      <c r="U484" s="26"/>
      <c r="V484" s="26"/>
      <c r="W484" s="35" t="s">
        <v>43</v>
      </c>
      <c r="X484" s="26" t="s">
        <v>2013</v>
      </c>
    </row>
    <row r="485" spans="1:24" s="29" customFormat="1">
      <c r="A485" s="35" t="s">
        <v>31</v>
      </c>
      <c r="B485" s="35" t="s">
        <v>2014</v>
      </c>
      <c r="C485" s="35" t="s">
        <v>2015</v>
      </c>
      <c r="D485" s="35">
        <f t="shared" si="7"/>
        <v>-1</v>
      </c>
      <c r="E485" s="35" t="s">
        <v>34</v>
      </c>
      <c r="F485" s="35" t="s">
        <v>1775</v>
      </c>
      <c r="G485" s="35" t="s">
        <v>2016</v>
      </c>
      <c r="H485" s="35" t="s">
        <v>37</v>
      </c>
      <c r="I485" s="35" t="s">
        <v>38</v>
      </c>
      <c r="J485" s="35" t="s">
        <v>2017</v>
      </c>
      <c r="K485" s="35" t="s">
        <v>2018</v>
      </c>
      <c r="L485" s="35">
        <v>3130820</v>
      </c>
      <c r="M485" s="35">
        <v>0</v>
      </c>
      <c r="N485" s="35">
        <v>0</v>
      </c>
      <c r="O485" s="35">
        <v>19608820</v>
      </c>
      <c r="P485" s="35" t="s">
        <v>41</v>
      </c>
      <c r="Q485" s="35" t="s">
        <v>42</v>
      </c>
      <c r="R485" s="26"/>
      <c r="S485" s="26"/>
      <c r="T485" s="26"/>
      <c r="U485" s="26"/>
      <c r="V485" s="26"/>
      <c r="W485" s="35" t="s">
        <v>43</v>
      </c>
      <c r="X485" s="28" t="s">
        <v>2019</v>
      </c>
    </row>
    <row r="486" spans="1:24" s="29" customFormat="1">
      <c r="A486" s="34" t="s">
        <v>31</v>
      </c>
      <c r="B486" s="34" t="s">
        <v>2020</v>
      </c>
      <c r="C486" s="34" t="s">
        <v>2021</v>
      </c>
      <c r="D486" s="34">
        <f t="shared" si="7"/>
        <v>-1</v>
      </c>
      <c r="E486" s="34" t="s">
        <v>34</v>
      </c>
      <c r="F486" s="34" t="s">
        <v>1775</v>
      </c>
      <c r="G486" s="34" t="s">
        <v>2022</v>
      </c>
      <c r="H486" s="34" t="s">
        <v>37</v>
      </c>
      <c r="I486" s="34" t="s">
        <v>38</v>
      </c>
      <c r="J486" s="34" t="s">
        <v>2023</v>
      </c>
      <c r="K486" s="34" t="s">
        <v>2024</v>
      </c>
      <c r="L486" s="34">
        <v>675472.42</v>
      </c>
      <c r="M486" s="34">
        <v>0</v>
      </c>
      <c r="N486" s="34">
        <v>0</v>
      </c>
      <c r="O486" s="34">
        <v>5566590.4199999999</v>
      </c>
      <c r="P486" s="34" t="s">
        <v>41</v>
      </c>
      <c r="Q486" s="34" t="s">
        <v>42</v>
      </c>
      <c r="R486" s="26"/>
      <c r="S486" s="26"/>
      <c r="T486" s="26" t="s">
        <v>43</v>
      </c>
      <c r="U486" s="26"/>
      <c r="V486" s="26"/>
      <c r="W486" s="26"/>
      <c r="X486" s="26"/>
    </row>
    <row r="487" spans="1:24" s="29" customFormat="1">
      <c r="A487" s="32" t="s">
        <v>31</v>
      </c>
      <c r="B487" s="32" t="s">
        <v>2025</v>
      </c>
      <c r="C487" s="32" t="s">
        <v>2026</v>
      </c>
      <c r="D487" s="32">
        <f t="shared" si="7"/>
        <v>-1</v>
      </c>
      <c r="E487" s="32" t="s">
        <v>34</v>
      </c>
      <c r="F487" s="32" t="s">
        <v>1775</v>
      </c>
      <c r="G487" s="32" t="s">
        <v>2027</v>
      </c>
      <c r="H487" s="32" t="s">
        <v>37</v>
      </c>
      <c r="I487" s="32" t="s">
        <v>38</v>
      </c>
      <c r="J487" s="32" t="s">
        <v>2028</v>
      </c>
      <c r="K487" s="32" t="s">
        <v>2029</v>
      </c>
      <c r="L487" s="32">
        <v>275120</v>
      </c>
      <c r="M487" s="32">
        <v>0</v>
      </c>
      <c r="N487" s="32">
        <v>0</v>
      </c>
      <c r="O487" s="32">
        <v>1723120</v>
      </c>
      <c r="P487" s="32" t="s">
        <v>41</v>
      </c>
      <c r="Q487" s="32" t="s">
        <v>42</v>
      </c>
      <c r="R487" s="26" t="s">
        <v>43</v>
      </c>
      <c r="S487" s="26"/>
      <c r="T487" s="26"/>
      <c r="U487" s="26"/>
      <c r="V487" s="26"/>
      <c r="W487" s="26"/>
      <c r="X487" s="26"/>
    </row>
    <row r="488" spans="1:24" s="29" customFormat="1">
      <c r="A488" s="26" t="s">
        <v>31</v>
      </c>
      <c r="B488" s="26" t="s">
        <v>2030</v>
      </c>
      <c r="C488" s="26" t="s">
        <v>2031</v>
      </c>
      <c r="D488" s="26">
        <f t="shared" si="7"/>
        <v>-1</v>
      </c>
      <c r="E488" s="26" t="s">
        <v>34</v>
      </c>
      <c r="F488" s="26" t="s">
        <v>1775</v>
      </c>
      <c r="G488" s="26" t="s">
        <v>2032</v>
      </c>
      <c r="H488" s="26" t="s">
        <v>37</v>
      </c>
      <c r="I488" s="26" t="s">
        <v>38</v>
      </c>
      <c r="J488" s="26" t="s">
        <v>2033</v>
      </c>
      <c r="K488" s="26" t="s">
        <v>2034</v>
      </c>
      <c r="L488" s="26">
        <v>860527.1</v>
      </c>
      <c r="M488" s="26">
        <v>0</v>
      </c>
      <c r="N488" s="26">
        <v>0</v>
      </c>
      <c r="O488" s="26">
        <v>5389617.0999999996</v>
      </c>
      <c r="P488" s="26" t="s">
        <v>41</v>
      </c>
      <c r="Q488" s="26" t="s">
        <v>42</v>
      </c>
      <c r="R488" s="26"/>
      <c r="S488" s="26"/>
      <c r="T488" s="26"/>
      <c r="U488" s="26"/>
      <c r="V488" s="26" t="s">
        <v>43</v>
      </c>
      <c r="W488" s="26"/>
      <c r="X488" s="26"/>
    </row>
    <row r="489" spans="1:24" s="29" customFormat="1">
      <c r="A489" s="26" t="s">
        <v>31</v>
      </c>
      <c r="B489" s="26" t="s">
        <v>2035</v>
      </c>
      <c r="C489" s="26" t="s">
        <v>2036</v>
      </c>
      <c r="D489" s="26">
        <f t="shared" si="7"/>
        <v>-1</v>
      </c>
      <c r="E489" s="26" t="s">
        <v>34</v>
      </c>
      <c r="F489" s="26" t="s">
        <v>1775</v>
      </c>
      <c r="G489" s="26" t="s">
        <v>2037</v>
      </c>
      <c r="H489" s="26" t="s">
        <v>37</v>
      </c>
      <c r="I489" s="26" t="s">
        <v>38</v>
      </c>
      <c r="J489" s="26" t="s">
        <v>2038</v>
      </c>
      <c r="K489" s="26" t="s">
        <v>2039</v>
      </c>
      <c r="L489" s="26">
        <v>512430</v>
      </c>
      <c r="M489" s="26">
        <v>0</v>
      </c>
      <c r="N489" s="26">
        <v>0</v>
      </c>
      <c r="O489" s="26">
        <v>3209430</v>
      </c>
      <c r="P489" s="26" t="s">
        <v>41</v>
      </c>
      <c r="Q489" s="26" t="s">
        <v>42</v>
      </c>
      <c r="R489" s="26"/>
      <c r="S489" s="26"/>
      <c r="T489" s="26"/>
      <c r="U489" s="26"/>
      <c r="V489" s="26" t="s">
        <v>43</v>
      </c>
      <c r="W489" s="26"/>
      <c r="X489" s="26"/>
    </row>
    <row r="490" spans="1:24" s="29" customFormat="1">
      <c r="A490" s="26" t="s">
        <v>31</v>
      </c>
      <c r="B490" s="26" t="s">
        <v>2040</v>
      </c>
      <c r="C490" s="26" t="s">
        <v>2041</v>
      </c>
      <c r="D490" s="26">
        <f t="shared" si="7"/>
        <v>-1</v>
      </c>
      <c r="E490" s="26" t="s">
        <v>34</v>
      </c>
      <c r="F490" s="26" t="s">
        <v>1775</v>
      </c>
      <c r="G490" s="26" t="s">
        <v>2042</v>
      </c>
      <c r="H490" s="26" t="s">
        <v>37</v>
      </c>
      <c r="I490" s="26" t="s">
        <v>38</v>
      </c>
      <c r="J490" s="26" t="s">
        <v>616</v>
      </c>
      <c r="K490" s="26" t="s">
        <v>617</v>
      </c>
      <c r="L490" s="26">
        <v>51300</v>
      </c>
      <c r="M490" s="26">
        <v>0</v>
      </c>
      <c r="N490" s="26">
        <v>0</v>
      </c>
      <c r="O490" s="26">
        <v>321300</v>
      </c>
      <c r="P490" s="26" t="s">
        <v>41</v>
      </c>
      <c r="Q490" s="26" t="s">
        <v>42</v>
      </c>
      <c r="R490" s="26"/>
      <c r="S490" s="26"/>
      <c r="T490" s="26"/>
      <c r="U490" s="26"/>
      <c r="V490" s="26" t="s">
        <v>43</v>
      </c>
      <c r="W490" s="26"/>
      <c r="X490" s="26"/>
    </row>
    <row r="491" spans="1:24" s="29" customFormat="1">
      <c r="A491" s="34" t="s">
        <v>31</v>
      </c>
      <c r="B491" s="34" t="s">
        <v>2043</v>
      </c>
      <c r="C491" s="34" t="s">
        <v>2044</v>
      </c>
      <c r="D491" s="34">
        <f t="shared" si="7"/>
        <v>-1</v>
      </c>
      <c r="E491" s="34" t="s">
        <v>34</v>
      </c>
      <c r="F491" s="34" t="s">
        <v>1775</v>
      </c>
      <c r="G491" s="34" t="s">
        <v>2045</v>
      </c>
      <c r="H491" s="34" t="s">
        <v>37</v>
      </c>
      <c r="I491" s="34" t="s">
        <v>38</v>
      </c>
      <c r="J491" s="34" t="s">
        <v>806</v>
      </c>
      <c r="K491" s="34" t="s">
        <v>807</v>
      </c>
      <c r="L491" s="34">
        <v>85500</v>
      </c>
      <c r="M491" s="34">
        <v>0</v>
      </c>
      <c r="N491" s="34">
        <v>0</v>
      </c>
      <c r="O491" s="34">
        <v>535500</v>
      </c>
      <c r="P491" s="34" t="s">
        <v>41</v>
      </c>
      <c r="Q491" s="34" t="s">
        <v>42</v>
      </c>
      <c r="R491" s="26"/>
      <c r="S491" s="26"/>
      <c r="T491" s="26" t="s">
        <v>43</v>
      </c>
      <c r="U491" s="26"/>
      <c r="V491" s="26"/>
      <c r="W491" s="26"/>
      <c r="X491" s="26"/>
    </row>
    <row r="492" spans="1:24" s="29" customFormat="1">
      <c r="A492" s="35" t="s">
        <v>31</v>
      </c>
      <c r="B492" s="35" t="s">
        <v>2046</v>
      </c>
      <c r="C492" s="35" t="s">
        <v>2047</v>
      </c>
      <c r="D492" s="35">
        <f t="shared" si="7"/>
        <v>-1</v>
      </c>
      <c r="E492" s="35" t="s">
        <v>34</v>
      </c>
      <c r="F492" s="35" t="s">
        <v>1775</v>
      </c>
      <c r="G492" s="35" t="s">
        <v>2048</v>
      </c>
      <c r="H492" s="35" t="s">
        <v>37</v>
      </c>
      <c r="I492" s="35" t="s">
        <v>38</v>
      </c>
      <c r="J492" s="35" t="s">
        <v>499</v>
      </c>
      <c r="K492" s="35" t="s">
        <v>500</v>
      </c>
      <c r="L492" s="35">
        <v>248900</v>
      </c>
      <c r="M492" s="35">
        <v>0</v>
      </c>
      <c r="N492" s="35">
        <v>0</v>
      </c>
      <c r="O492" s="35">
        <v>1558900</v>
      </c>
      <c r="P492" s="35" t="s">
        <v>41</v>
      </c>
      <c r="Q492" s="35" t="s">
        <v>42</v>
      </c>
      <c r="R492" s="26"/>
      <c r="S492" s="26"/>
      <c r="T492" s="26"/>
      <c r="U492" s="26"/>
      <c r="V492" s="26"/>
      <c r="W492" s="35" t="s">
        <v>43</v>
      </c>
      <c r="X492" s="26" t="s">
        <v>1625</v>
      </c>
    </row>
    <row r="493" spans="1:24" s="29" customFormat="1">
      <c r="A493" s="35" t="s">
        <v>31</v>
      </c>
      <c r="B493" s="35" t="s">
        <v>2049</v>
      </c>
      <c r="C493" s="35" t="s">
        <v>2050</v>
      </c>
      <c r="D493" s="35">
        <f t="shared" si="7"/>
        <v>-1</v>
      </c>
      <c r="E493" s="35" t="s">
        <v>34</v>
      </c>
      <c r="F493" s="35" t="s">
        <v>1775</v>
      </c>
      <c r="G493" s="35" t="s">
        <v>2051</v>
      </c>
      <c r="H493" s="35" t="s">
        <v>37</v>
      </c>
      <c r="I493" s="35" t="s">
        <v>38</v>
      </c>
      <c r="J493" s="35" t="s">
        <v>499</v>
      </c>
      <c r="K493" s="35" t="s">
        <v>500</v>
      </c>
      <c r="L493" s="35">
        <v>19000</v>
      </c>
      <c r="M493" s="35">
        <v>0</v>
      </c>
      <c r="N493" s="35">
        <v>0</v>
      </c>
      <c r="O493" s="35">
        <v>119000</v>
      </c>
      <c r="P493" s="35" t="s">
        <v>41</v>
      </c>
      <c r="Q493" s="35" t="s">
        <v>42</v>
      </c>
      <c r="R493" s="26"/>
      <c r="S493" s="26"/>
      <c r="T493" s="26"/>
      <c r="U493" s="26"/>
      <c r="V493" s="26"/>
      <c r="W493" s="35" t="s">
        <v>43</v>
      </c>
      <c r="X493" s="26" t="s">
        <v>1625</v>
      </c>
    </row>
    <row r="494" spans="1:24" s="29" customFormat="1">
      <c r="A494" s="33" t="s">
        <v>31</v>
      </c>
      <c r="B494" s="33" t="s">
        <v>2052</v>
      </c>
      <c r="C494" s="33" t="s">
        <v>2053</v>
      </c>
      <c r="D494" s="33">
        <f t="shared" si="7"/>
        <v>-1</v>
      </c>
      <c r="E494" s="33" t="s">
        <v>34</v>
      </c>
      <c r="F494" s="33" t="s">
        <v>1775</v>
      </c>
      <c r="G494" s="33" t="s">
        <v>2054</v>
      </c>
      <c r="H494" s="33" t="s">
        <v>37</v>
      </c>
      <c r="I494" s="33" t="s">
        <v>38</v>
      </c>
      <c r="J494" s="33" t="s">
        <v>2055</v>
      </c>
      <c r="K494" s="33" t="s">
        <v>2056</v>
      </c>
      <c r="L494" s="33">
        <v>0</v>
      </c>
      <c r="M494" s="33">
        <v>0</v>
      </c>
      <c r="N494" s="33">
        <v>0</v>
      </c>
      <c r="O494" s="33">
        <v>1055000</v>
      </c>
      <c r="P494" s="33" t="s">
        <v>41</v>
      </c>
      <c r="Q494" s="33" t="s">
        <v>42</v>
      </c>
      <c r="R494" s="26"/>
      <c r="S494" s="26" t="s">
        <v>43</v>
      </c>
      <c r="T494" s="26"/>
      <c r="U494" s="26"/>
      <c r="V494" s="26"/>
      <c r="W494" s="26"/>
      <c r="X494" s="26"/>
    </row>
    <row r="495" spans="1:24" s="29" customFormat="1">
      <c r="A495" s="33" t="s">
        <v>31</v>
      </c>
      <c r="B495" s="33" t="s">
        <v>2057</v>
      </c>
      <c r="C495" s="33" t="s">
        <v>2058</v>
      </c>
      <c r="D495" s="33">
        <f t="shared" si="7"/>
        <v>-1</v>
      </c>
      <c r="E495" s="33" t="s">
        <v>34</v>
      </c>
      <c r="F495" s="33" t="s">
        <v>1775</v>
      </c>
      <c r="G495" s="33" t="s">
        <v>2059</v>
      </c>
      <c r="H495" s="33" t="s">
        <v>37</v>
      </c>
      <c r="I495" s="33" t="s">
        <v>38</v>
      </c>
      <c r="J495" s="33" t="s">
        <v>2055</v>
      </c>
      <c r="K495" s="33" t="s">
        <v>2056</v>
      </c>
      <c r="L495" s="33">
        <v>2736000</v>
      </c>
      <c r="M495" s="33">
        <v>0</v>
      </c>
      <c r="N495" s="33">
        <v>0</v>
      </c>
      <c r="O495" s="33">
        <v>17136000</v>
      </c>
      <c r="P495" s="33" t="s">
        <v>41</v>
      </c>
      <c r="Q495" s="33" t="s">
        <v>42</v>
      </c>
      <c r="R495" s="26"/>
      <c r="S495" s="26" t="s">
        <v>43</v>
      </c>
      <c r="T495" s="26"/>
      <c r="U495" s="26"/>
      <c r="V495" s="26"/>
      <c r="W495" s="26"/>
      <c r="X495" s="26"/>
    </row>
    <row r="496" spans="1:24" s="29" customFormat="1">
      <c r="A496" s="32" t="s">
        <v>31</v>
      </c>
      <c r="B496" s="32" t="s">
        <v>2060</v>
      </c>
      <c r="C496" s="32" t="s">
        <v>2061</v>
      </c>
      <c r="D496" s="32">
        <f t="shared" si="7"/>
        <v>-1</v>
      </c>
      <c r="E496" s="32" t="s">
        <v>34</v>
      </c>
      <c r="F496" s="32" t="s">
        <v>1775</v>
      </c>
      <c r="G496" s="32" t="s">
        <v>2062</v>
      </c>
      <c r="H496" s="32" t="s">
        <v>37</v>
      </c>
      <c r="I496" s="32" t="s">
        <v>38</v>
      </c>
      <c r="J496" s="32" t="s">
        <v>1869</v>
      </c>
      <c r="K496" s="32" t="s">
        <v>1870</v>
      </c>
      <c r="L496" s="32">
        <v>164597</v>
      </c>
      <c r="M496" s="32">
        <v>0</v>
      </c>
      <c r="N496" s="32">
        <v>0</v>
      </c>
      <c r="O496" s="32">
        <v>1030897</v>
      </c>
      <c r="P496" s="32" t="s">
        <v>41</v>
      </c>
      <c r="Q496" s="32" t="s">
        <v>42</v>
      </c>
      <c r="R496" s="26" t="s">
        <v>43</v>
      </c>
      <c r="S496" s="26"/>
      <c r="T496" s="26"/>
      <c r="U496" s="26"/>
      <c r="V496" s="26"/>
      <c r="W496" s="26"/>
      <c r="X496" s="26"/>
    </row>
    <row r="497" spans="1:24" s="29" customFormat="1">
      <c r="A497" s="32" t="s">
        <v>31</v>
      </c>
      <c r="B497" s="32" t="s">
        <v>2063</v>
      </c>
      <c r="C497" s="32" t="s">
        <v>2064</v>
      </c>
      <c r="D497" s="32">
        <f t="shared" si="7"/>
        <v>-1</v>
      </c>
      <c r="E497" s="32" t="s">
        <v>34</v>
      </c>
      <c r="F497" s="32" t="s">
        <v>1775</v>
      </c>
      <c r="G497" s="32" t="s">
        <v>2065</v>
      </c>
      <c r="H497" s="32" t="s">
        <v>37</v>
      </c>
      <c r="I497" s="32" t="s">
        <v>38</v>
      </c>
      <c r="J497" s="32" t="s">
        <v>2066</v>
      </c>
      <c r="K497" s="32" t="s">
        <v>2067</v>
      </c>
      <c r="L497" s="32">
        <v>90630</v>
      </c>
      <c r="M497" s="32">
        <v>0</v>
      </c>
      <c r="N497" s="32">
        <v>0</v>
      </c>
      <c r="O497" s="32">
        <v>567630</v>
      </c>
      <c r="P497" s="32" t="s">
        <v>41</v>
      </c>
      <c r="Q497" s="32" t="s">
        <v>42</v>
      </c>
      <c r="R497" s="26" t="s">
        <v>43</v>
      </c>
      <c r="S497" s="26"/>
      <c r="T497" s="26"/>
      <c r="U497" s="26"/>
      <c r="V497" s="26"/>
      <c r="W497" s="26"/>
      <c r="X497" s="26"/>
    </row>
    <row r="498" spans="1:24" s="29" customFormat="1">
      <c r="A498" s="32" t="s">
        <v>31</v>
      </c>
      <c r="B498" s="32" t="s">
        <v>2068</v>
      </c>
      <c r="C498" s="32" t="s">
        <v>2069</v>
      </c>
      <c r="D498" s="32">
        <f t="shared" si="7"/>
        <v>-1</v>
      </c>
      <c r="E498" s="32" t="s">
        <v>34</v>
      </c>
      <c r="F498" s="32" t="s">
        <v>1775</v>
      </c>
      <c r="G498" s="32" t="s">
        <v>2070</v>
      </c>
      <c r="H498" s="32" t="s">
        <v>37</v>
      </c>
      <c r="I498" s="32" t="s">
        <v>38</v>
      </c>
      <c r="J498" s="32" t="s">
        <v>1198</v>
      </c>
      <c r="K498" s="32" t="s">
        <v>1199</v>
      </c>
      <c r="L498" s="32">
        <v>0</v>
      </c>
      <c r="M498" s="32">
        <v>0</v>
      </c>
      <c r="N498" s="32">
        <v>0</v>
      </c>
      <c r="O498" s="32">
        <v>10440000</v>
      </c>
      <c r="P498" s="32" t="s">
        <v>41</v>
      </c>
      <c r="Q498" s="32" t="s">
        <v>42</v>
      </c>
      <c r="R498" s="26" t="s">
        <v>43</v>
      </c>
      <c r="S498" s="26"/>
      <c r="T498" s="26"/>
      <c r="U498" s="26"/>
      <c r="V498" s="26"/>
      <c r="W498" s="26"/>
      <c r="X498" s="26"/>
    </row>
    <row r="499" spans="1:24" s="29" customFormat="1">
      <c r="A499" s="26" t="s">
        <v>31</v>
      </c>
      <c r="B499" s="26" t="s">
        <v>2071</v>
      </c>
      <c r="C499" s="26" t="s">
        <v>2072</v>
      </c>
      <c r="D499" s="26">
        <f t="shared" si="7"/>
        <v>-1</v>
      </c>
      <c r="E499" s="26" t="s">
        <v>34</v>
      </c>
      <c r="F499" s="26" t="s">
        <v>1775</v>
      </c>
      <c r="G499" s="26" t="s">
        <v>2073</v>
      </c>
      <c r="H499" s="26" t="s">
        <v>37</v>
      </c>
      <c r="I499" s="26" t="s">
        <v>38</v>
      </c>
      <c r="J499" s="26" t="s">
        <v>2074</v>
      </c>
      <c r="K499" s="26" t="s">
        <v>2075</v>
      </c>
      <c r="L499" s="26">
        <v>332372.32</v>
      </c>
      <c r="M499" s="26">
        <v>0</v>
      </c>
      <c r="N499" s="26">
        <v>0</v>
      </c>
      <c r="O499" s="26">
        <v>2081700.32</v>
      </c>
      <c r="P499" s="26" t="s">
        <v>41</v>
      </c>
      <c r="Q499" s="26" t="s">
        <v>42</v>
      </c>
      <c r="R499" s="26"/>
      <c r="S499" s="26"/>
      <c r="T499" s="26"/>
      <c r="U499" s="26"/>
      <c r="V499" s="26" t="s">
        <v>43</v>
      </c>
      <c r="W499" s="26"/>
      <c r="X499" s="26"/>
    </row>
    <row r="500" spans="1:24" s="29" customFormat="1">
      <c r="A500" s="34" t="s">
        <v>31</v>
      </c>
      <c r="B500" s="34" t="s">
        <v>2076</v>
      </c>
      <c r="C500" s="34" t="s">
        <v>2077</v>
      </c>
      <c r="D500" s="34">
        <f t="shared" si="7"/>
        <v>-1</v>
      </c>
      <c r="E500" s="34" t="s">
        <v>34</v>
      </c>
      <c r="F500" s="34" t="s">
        <v>1775</v>
      </c>
      <c r="G500" s="34" t="s">
        <v>2078</v>
      </c>
      <c r="H500" s="34" t="s">
        <v>37</v>
      </c>
      <c r="I500" s="34" t="s">
        <v>38</v>
      </c>
      <c r="J500" s="34" t="s">
        <v>2079</v>
      </c>
      <c r="K500" s="34" t="s">
        <v>2080</v>
      </c>
      <c r="L500" s="34">
        <v>0</v>
      </c>
      <c r="M500" s="34">
        <v>0</v>
      </c>
      <c r="N500" s="34">
        <v>0</v>
      </c>
      <c r="O500" s="34">
        <v>4309680</v>
      </c>
      <c r="P500" s="34" t="s">
        <v>41</v>
      </c>
      <c r="Q500" s="34" t="s">
        <v>42</v>
      </c>
      <c r="R500" s="26"/>
      <c r="S500" s="26"/>
      <c r="T500" s="26" t="s">
        <v>43</v>
      </c>
      <c r="U500" s="26"/>
      <c r="V500" s="26"/>
      <c r="W500" s="26"/>
      <c r="X500" s="26"/>
    </row>
    <row r="501" spans="1:24" s="29" customFormat="1">
      <c r="A501" s="32" t="s">
        <v>31</v>
      </c>
      <c r="B501" s="32" t="s">
        <v>2081</v>
      </c>
      <c r="C501" s="32" t="s">
        <v>2082</v>
      </c>
      <c r="D501" s="32">
        <f t="shared" si="7"/>
        <v>-1</v>
      </c>
      <c r="E501" s="32" t="s">
        <v>34</v>
      </c>
      <c r="F501" s="32" t="s">
        <v>1775</v>
      </c>
      <c r="G501" s="32" t="s">
        <v>2083</v>
      </c>
      <c r="H501" s="32" t="s">
        <v>37</v>
      </c>
      <c r="I501" s="32" t="s">
        <v>38</v>
      </c>
      <c r="J501" s="32" t="s">
        <v>865</v>
      </c>
      <c r="K501" s="32" t="s">
        <v>866</v>
      </c>
      <c r="L501" s="32">
        <v>107122</v>
      </c>
      <c r="M501" s="32">
        <v>0</v>
      </c>
      <c r="N501" s="32">
        <v>0</v>
      </c>
      <c r="O501" s="32">
        <v>670922</v>
      </c>
      <c r="P501" s="32" t="s">
        <v>41</v>
      </c>
      <c r="Q501" s="32" t="s">
        <v>42</v>
      </c>
      <c r="R501" s="26" t="s">
        <v>43</v>
      </c>
      <c r="S501" s="26"/>
      <c r="T501" s="26"/>
      <c r="U501" s="26"/>
      <c r="V501" s="26"/>
      <c r="W501" s="26"/>
      <c r="X501" s="26"/>
    </row>
    <row r="502" spans="1:24" s="29" customFormat="1">
      <c r="A502" s="32" t="s">
        <v>31</v>
      </c>
      <c r="B502" s="32" t="s">
        <v>2084</v>
      </c>
      <c r="C502" s="32" t="s">
        <v>2085</v>
      </c>
      <c r="D502" s="32">
        <f t="shared" si="7"/>
        <v>-1</v>
      </c>
      <c r="E502" s="32" t="s">
        <v>34</v>
      </c>
      <c r="F502" s="32" t="s">
        <v>1775</v>
      </c>
      <c r="G502" s="32" t="s">
        <v>2086</v>
      </c>
      <c r="H502" s="32" t="s">
        <v>37</v>
      </c>
      <c r="I502" s="32" t="s">
        <v>38</v>
      </c>
      <c r="J502" s="32" t="s">
        <v>155</v>
      </c>
      <c r="K502" s="32" t="s">
        <v>156</v>
      </c>
      <c r="L502" s="32">
        <v>104500</v>
      </c>
      <c r="M502" s="32">
        <v>0</v>
      </c>
      <c r="N502" s="32">
        <v>0</v>
      </c>
      <c r="O502" s="32">
        <v>654500</v>
      </c>
      <c r="P502" s="32" t="s">
        <v>41</v>
      </c>
      <c r="Q502" s="32" t="s">
        <v>42</v>
      </c>
      <c r="R502" s="26" t="s">
        <v>43</v>
      </c>
      <c r="S502" s="26"/>
      <c r="T502" s="26"/>
      <c r="U502" s="26"/>
      <c r="V502" s="26"/>
      <c r="W502" s="26"/>
      <c r="X502" s="26"/>
    </row>
    <row r="503" spans="1:24" s="29" customFormat="1">
      <c r="A503" s="35" t="s">
        <v>31</v>
      </c>
      <c r="B503" s="35" t="s">
        <v>2087</v>
      </c>
      <c r="C503" s="35" t="s">
        <v>2088</v>
      </c>
      <c r="D503" s="35">
        <f t="shared" si="7"/>
        <v>-1</v>
      </c>
      <c r="E503" s="35" t="s">
        <v>34</v>
      </c>
      <c r="F503" s="35" t="s">
        <v>1775</v>
      </c>
      <c r="G503" s="35" t="s">
        <v>2089</v>
      </c>
      <c r="H503" s="35" t="s">
        <v>37</v>
      </c>
      <c r="I503" s="35" t="s">
        <v>38</v>
      </c>
      <c r="J503" s="35" t="s">
        <v>499</v>
      </c>
      <c r="K503" s="35" t="s">
        <v>500</v>
      </c>
      <c r="L503" s="35">
        <v>261250</v>
      </c>
      <c r="M503" s="35">
        <v>0</v>
      </c>
      <c r="N503" s="35">
        <v>0</v>
      </c>
      <c r="O503" s="35">
        <v>1636250</v>
      </c>
      <c r="P503" s="35" t="s">
        <v>41</v>
      </c>
      <c r="Q503" s="35" t="s">
        <v>42</v>
      </c>
      <c r="R503" s="26"/>
      <c r="S503" s="26"/>
      <c r="T503" s="26"/>
      <c r="U503" s="26"/>
      <c r="V503" s="26"/>
      <c r="W503" s="35" t="s">
        <v>43</v>
      </c>
      <c r="X503" s="26" t="s">
        <v>1625</v>
      </c>
    </row>
    <row r="504" spans="1:24" s="29" customFormat="1">
      <c r="A504" s="34" t="s">
        <v>31</v>
      </c>
      <c r="B504" s="34" t="s">
        <v>2090</v>
      </c>
      <c r="C504" s="34" t="s">
        <v>2091</v>
      </c>
      <c r="D504" s="34">
        <f t="shared" si="7"/>
        <v>-1</v>
      </c>
      <c r="E504" s="34" t="s">
        <v>34</v>
      </c>
      <c r="F504" s="34" t="s">
        <v>1775</v>
      </c>
      <c r="G504" s="34" t="s">
        <v>2092</v>
      </c>
      <c r="H504" s="34" t="s">
        <v>37</v>
      </c>
      <c r="I504" s="34" t="s">
        <v>38</v>
      </c>
      <c r="J504" s="34" t="s">
        <v>2093</v>
      </c>
      <c r="K504" s="34" t="s">
        <v>2094</v>
      </c>
      <c r="L504" s="34">
        <v>123500</v>
      </c>
      <c r="M504" s="34">
        <v>0</v>
      </c>
      <c r="N504" s="34">
        <v>0</v>
      </c>
      <c r="O504" s="34">
        <v>773500</v>
      </c>
      <c r="P504" s="34" t="s">
        <v>41</v>
      </c>
      <c r="Q504" s="34" t="s">
        <v>42</v>
      </c>
      <c r="R504" s="26"/>
      <c r="S504" s="26"/>
      <c r="T504" s="26" t="s">
        <v>43</v>
      </c>
      <c r="U504" s="26"/>
      <c r="V504" s="26"/>
      <c r="W504" s="26"/>
      <c r="X504" s="26"/>
    </row>
    <row r="505" spans="1:24" s="29" customFormat="1">
      <c r="A505" s="34" t="s">
        <v>31</v>
      </c>
      <c r="B505" s="34" t="s">
        <v>2095</v>
      </c>
      <c r="C505" s="34" t="s">
        <v>2096</v>
      </c>
      <c r="D505" s="34">
        <f t="shared" si="7"/>
        <v>-1</v>
      </c>
      <c r="E505" s="34" t="s">
        <v>34</v>
      </c>
      <c r="F505" s="34" t="s">
        <v>1775</v>
      </c>
      <c r="G505" s="34" t="s">
        <v>2097</v>
      </c>
      <c r="H505" s="34" t="s">
        <v>37</v>
      </c>
      <c r="I505" s="34" t="s">
        <v>38</v>
      </c>
      <c r="J505" s="34" t="s">
        <v>1584</v>
      </c>
      <c r="K505" s="34" t="s">
        <v>1585</v>
      </c>
      <c r="L505" s="34">
        <v>465500</v>
      </c>
      <c r="M505" s="34">
        <v>0</v>
      </c>
      <c r="N505" s="34">
        <v>0</v>
      </c>
      <c r="O505" s="34">
        <v>2915500</v>
      </c>
      <c r="P505" s="34" t="s">
        <v>41</v>
      </c>
      <c r="Q505" s="34" t="s">
        <v>42</v>
      </c>
      <c r="R505" s="26"/>
      <c r="S505" s="26"/>
      <c r="T505" s="26" t="s">
        <v>43</v>
      </c>
      <c r="U505" s="26"/>
      <c r="V505" s="26"/>
      <c r="W505" s="26"/>
      <c r="X505" s="26"/>
    </row>
    <row r="506" spans="1:24" s="29" customFormat="1">
      <c r="A506" s="26" t="s">
        <v>31</v>
      </c>
      <c r="B506" s="26" t="s">
        <v>2098</v>
      </c>
      <c r="C506" s="26" t="s">
        <v>2099</v>
      </c>
      <c r="D506" s="26">
        <f t="shared" si="7"/>
        <v>-1</v>
      </c>
      <c r="E506" s="26" t="s">
        <v>34</v>
      </c>
      <c r="F506" s="26" t="s">
        <v>1775</v>
      </c>
      <c r="G506" s="26" t="s">
        <v>2100</v>
      </c>
      <c r="H506" s="26" t="s">
        <v>37</v>
      </c>
      <c r="I506" s="26" t="s">
        <v>38</v>
      </c>
      <c r="J506" s="26" t="s">
        <v>2101</v>
      </c>
      <c r="K506" s="26" t="s">
        <v>2102</v>
      </c>
      <c r="L506" s="26">
        <v>95760</v>
      </c>
      <c r="M506" s="26">
        <v>0</v>
      </c>
      <c r="N506" s="26">
        <v>0</v>
      </c>
      <c r="O506" s="26">
        <v>599760</v>
      </c>
      <c r="P506" s="26" t="s">
        <v>41</v>
      </c>
      <c r="Q506" s="26" t="s">
        <v>42</v>
      </c>
      <c r="R506" s="26"/>
      <c r="S506" s="26"/>
      <c r="T506" s="26"/>
      <c r="U506" s="26"/>
      <c r="V506" s="26" t="s">
        <v>43</v>
      </c>
      <c r="W506" s="26"/>
      <c r="X506" s="26"/>
    </row>
    <row r="507" spans="1:24" s="29" customFormat="1">
      <c r="A507" s="26" t="s">
        <v>31</v>
      </c>
      <c r="B507" s="26" t="s">
        <v>2103</v>
      </c>
      <c r="C507" s="26" t="s">
        <v>2104</v>
      </c>
      <c r="D507" s="26">
        <f t="shared" si="7"/>
        <v>-1</v>
      </c>
      <c r="E507" s="26" t="s">
        <v>34</v>
      </c>
      <c r="F507" s="26" t="s">
        <v>1775</v>
      </c>
      <c r="G507" s="26" t="s">
        <v>2105</v>
      </c>
      <c r="H507" s="26" t="s">
        <v>37</v>
      </c>
      <c r="I507" s="26" t="s">
        <v>38</v>
      </c>
      <c r="J507" s="26" t="s">
        <v>798</v>
      </c>
      <c r="K507" s="26" t="s">
        <v>799</v>
      </c>
      <c r="L507" s="26">
        <v>122550</v>
      </c>
      <c r="M507" s="26">
        <v>0</v>
      </c>
      <c r="N507" s="26">
        <v>0</v>
      </c>
      <c r="O507" s="26">
        <v>767550</v>
      </c>
      <c r="P507" s="26" t="s">
        <v>41</v>
      </c>
      <c r="Q507" s="26" t="s">
        <v>42</v>
      </c>
      <c r="R507" s="26"/>
      <c r="S507" s="26"/>
      <c r="T507" s="26"/>
      <c r="U507" s="26"/>
      <c r="V507" s="26" t="s">
        <v>43</v>
      </c>
      <c r="W507" s="26"/>
      <c r="X507" s="26"/>
    </row>
    <row r="508" spans="1:24" s="29" customFormat="1">
      <c r="A508" s="26" t="s">
        <v>31</v>
      </c>
      <c r="B508" s="26" t="s">
        <v>2106</v>
      </c>
      <c r="C508" s="26" t="s">
        <v>2107</v>
      </c>
      <c r="D508" s="26">
        <f t="shared" si="7"/>
        <v>-1</v>
      </c>
      <c r="E508" s="26" t="s">
        <v>34</v>
      </c>
      <c r="F508" s="26" t="s">
        <v>1775</v>
      </c>
      <c r="G508" s="26" t="s">
        <v>2108</v>
      </c>
      <c r="H508" s="26" t="s">
        <v>37</v>
      </c>
      <c r="I508" s="26" t="s">
        <v>38</v>
      </c>
      <c r="J508" s="26" t="s">
        <v>2109</v>
      </c>
      <c r="K508" s="26" t="s">
        <v>2110</v>
      </c>
      <c r="L508" s="26">
        <v>219260</v>
      </c>
      <c r="M508" s="26">
        <v>0</v>
      </c>
      <c r="N508" s="26">
        <v>0</v>
      </c>
      <c r="O508" s="26">
        <v>1373260</v>
      </c>
      <c r="P508" s="26" t="s">
        <v>41</v>
      </c>
      <c r="Q508" s="26" t="s">
        <v>42</v>
      </c>
      <c r="R508" s="26"/>
      <c r="S508" s="26"/>
      <c r="T508" s="26"/>
      <c r="U508" s="26"/>
      <c r="V508" s="26" t="s">
        <v>43</v>
      </c>
      <c r="W508" s="26"/>
      <c r="X508" s="26"/>
    </row>
    <row r="509" spans="1:24" s="29" customFormat="1">
      <c r="A509" s="26" t="s">
        <v>31</v>
      </c>
      <c r="B509" s="26" t="s">
        <v>2111</v>
      </c>
      <c r="C509" s="26" t="s">
        <v>2112</v>
      </c>
      <c r="D509" s="26">
        <f t="shared" si="7"/>
        <v>-1</v>
      </c>
      <c r="E509" s="26" t="s">
        <v>34</v>
      </c>
      <c r="F509" s="26" t="s">
        <v>1775</v>
      </c>
      <c r="G509" s="26" t="s">
        <v>2113</v>
      </c>
      <c r="H509" s="26" t="s">
        <v>37</v>
      </c>
      <c r="I509" s="26" t="s">
        <v>38</v>
      </c>
      <c r="J509" s="26" t="s">
        <v>2114</v>
      </c>
      <c r="K509" s="26" t="s">
        <v>2115</v>
      </c>
      <c r="L509" s="26">
        <v>108145</v>
      </c>
      <c r="M509" s="26">
        <v>0</v>
      </c>
      <c r="N509" s="26">
        <v>0</v>
      </c>
      <c r="O509" s="26">
        <v>805385</v>
      </c>
      <c r="P509" s="26" t="s">
        <v>41</v>
      </c>
      <c r="Q509" s="26" t="s">
        <v>42</v>
      </c>
      <c r="R509" s="26"/>
      <c r="S509" s="26"/>
      <c r="T509" s="26"/>
      <c r="U509" s="26"/>
      <c r="V509" s="26" t="s">
        <v>43</v>
      </c>
      <c r="W509" s="26"/>
      <c r="X509" s="26"/>
    </row>
    <row r="510" spans="1:24" s="29" customFormat="1">
      <c r="A510" s="34" t="s">
        <v>31</v>
      </c>
      <c r="B510" s="34" t="s">
        <v>2116</v>
      </c>
      <c r="C510" s="34" t="s">
        <v>2117</v>
      </c>
      <c r="D510" s="34">
        <f t="shared" si="7"/>
        <v>-1</v>
      </c>
      <c r="E510" s="34" t="s">
        <v>34</v>
      </c>
      <c r="F510" s="34" t="s">
        <v>1775</v>
      </c>
      <c r="G510" s="34" t="s">
        <v>2118</v>
      </c>
      <c r="H510" s="34" t="s">
        <v>37</v>
      </c>
      <c r="I510" s="34" t="s">
        <v>38</v>
      </c>
      <c r="J510" s="34" t="s">
        <v>2079</v>
      </c>
      <c r="K510" s="34" t="s">
        <v>2080</v>
      </c>
      <c r="L510" s="34">
        <v>1415767.52</v>
      </c>
      <c r="M510" s="34">
        <v>0</v>
      </c>
      <c r="N510" s="34">
        <v>0</v>
      </c>
      <c r="O510" s="34">
        <v>8867175.5199999996</v>
      </c>
      <c r="P510" s="34" t="s">
        <v>41</v>
      </c>
      <c r="Q510" s="34" t="s">
        <v>42</v>
      </c>
      <c r="R510" s="26"/>
      <c r="S510" s="26"/>
      <c r="T510" s="26" t="s">
        <v>43</v>
      </c>
      <c r="U510" s="26"/>
      <c r="V510" s="26"/>
      <c r="W510" s="26"/>
      <c r="X510" s="26"/>
    </row>
    <row r="511" spans="1:24" s="29" customFormat="1">
      <c r="A511" s="26" t="s">
        <v>31</v>
      </c>
      <c r="B511" s="26" t="s">
        <v>2119</v>
      </c>
      <c r="C511" s="26" t="s">
        <v>2120</v>
      </c>
      <c r="D511" s="26">
        <f t="shared" si="7"/>
        <v>-1</v>
      </c>
      <c r="E511" s="26" t="s">
        <v>34</v>
      </c>
      <c r="F511" s="26" t="s">
        <v>1775</v>
      </c>
      <c r="G511" s="26" t="s">
        <v>2121</v>
      </c>
      <c r="H511" s="26" t="s">
        <v>37</v>
      </c>
      <c r="I511" s="26" t="s">
        <v>38</v>
      </c>
      <c r="J511" s="26" t="s">
        <v>2122</v>
      </c>
      <c r="K511" s="26" t="s">
        <v>2123</v>
      </c>
      <c r="L511" s="26">
        <v>121455.3</v>
      </c>
      <c r="M511" s="26">
        <v>0</v>
      </c>
      <c r="N511" s="26">
        <v>0</v>
      </c>
      <c r="O511" s="26">
        <v>791125.3</v>
      </c>
      <c r="P511" s="26" t="s">
        <v>41</v>
      </c>
      <c r="Q511" s="26" t="s">
        <v>42</v>
      </c>
      <c r="R511" s="26"/>
      <c r="S511" s="26"/>
      <c r="T511" s="26"/>
      <c r="U511" s="26"/>
      <c r="V511" s="26" t="s">
        <v>43</v>
      </c>
      <c r="W511" s="26"/>
      <c r="X511" s="26"/>
    </row>
    <row r="512" spans="1:24" s="29" customFormat="1">
      <c r="A512" s="33" t="s">
        <v>31</v>
      </c>
      <c r="B512" s="33" t="s">
        <v>2124</v>
      </c>
      <c r="C512" s="33" t="s">
        <v>2125</v>
      </c>
      <c r="D512" s="33">
        <f t="shared" si="7"/>
        <v>-1</v>
      </c>
      <c r="E512" s="33" t="s">
        <v>34</v>
      </c>
      <c r="F512" s="33" t="s">
        <v>1775</v>
      </c>
      <c r="G512" s="33" t="s">
        <v>2126</v>
      </c>
      <c r="H512" s="33" t="s">
        <v>37</v>
      </c>
      <c r="I512" s="33" t="s">
        <v>38</v>
      </c>
      <c r="J512" s="33" t="s">
        <v>2127</v>
      </c>
      <c r="K512" s="33" t="s">
        <v>2128</v>
      </c>
      <c r="L512" s="33">
        <v>261725</v>
      </c>
      <c r="M512" s="33">
        <v>0</v>
      </c>
      <c r="N512" s="33">
        <v>0</v>
      </c>
      <c r="O512" s="33">
        <v>1639225</v>
      </c>
      <c r="P512" s="33" t="s">
        <v>41</v>
      </c>
      <c r="Q512" s="33" t="s">
        <v>42</v>
      </c>
      <c r="R512" s="26"/>
      <c r="S512" s="26" t="s">
        <v>43</v>
      </c>
      <c r="T512" s="26"/>
      <c r="U512" s="26"/>
      <c r="V512" s="26"/>
      <c r="W512" s="26"/>
      <c r="X512" s="26"/>
    </row>
    <row r="513" spans="1:24" s="29" customFormat="1">
      <c r="A513" s="26" t="s">
        <v>31</v>
      </c>
      <c r="B513" s="26" t="s">
        <v>2129</v>
      </c>
      <c r="C513" s="26" t="s">
        <v>2130</v>
      </c>
      <c r="D513" s="26">
        <f t="shared" si="7"/>
        <v>-1</v>
      </c>
      <c r="E513" s="26" t="s">
        <v>34</v>
      </c>
      <c r="F513" s="26" t="s">
        <v>1775</v>
      </c>
      <c r="G513" s="26" t="s">
        <v>2131</v>
      </c>
      <c r="H513" s="26" t="s">
        <v>37</v>
      </c>
      <c r="I513" s="26" t="s">
        <v>38</v>
      </c>
      <c r="J513" s="26" t="s">
        <v>1610</v>
      </c>
      <c r="K513" s="26" t="s">
        <v>1611</v>
      </c>
      <c r="L513" s="26">
        <v>21850</v>
      </c>
      <c r="M513" s="26">
        <v>0</v>
      </c>
      <c r="N513" s="26">
        <v>0</v>
      </c>
      <c r="O513" s="26">
        <v>136850</v>
      </c>
      <c r="P513" s="26" t="s">
        <v>41</v>
      </c>
      <c r="Q513" s="26" t="s">
        <v>42</v>
      </c>
      <c r="R513" s="26"/>
      <c r="S513" s="26"/>
      <c r="T513" s="26"/>
      <c r="U513" s="26"/>
      <c r="V513" s="26" t="s">
        <v>43</v>
      </c>
      <c r="W513" s="26"/>
      <c r="X513" s="26"/>
    </row>
    <row r="514" spans="1:24" s="29" customFormat="1">
      <c r="A514" s="34" t="s">
        <v>31</v>
      </c>
      <c r="B514" s="34" t="s">
        <v>2132</v>
      </c>
      <c r="C514" s="34" t="s">
        <v>2133</v>
      </c>
      <c r="D514" s="34">
        <f t="shared" si="7"/>
        <v>-1</v>
      </c>
      <c r="E514" s="34" t="s">
        <v>34</v>
      </c>
      <c r="F514" s="34" t="s">
        <v>1775</v>
      </c>
      <c r="G514" s="34" t="s">
        <v>2134</v>
      </c>
      <c r="H514" s="34" t="s">
        <v>37</v>
      </c>
      <c r="I514" s="34" t="s">
        <v>38</v>
      </c>
      <c r="J514" s="34" t="s">
        <v>2135</v>
      </c>
      <c r="K514" s="34" t="s">
        <v>2136</v>
      </c>
      <c r="L514" s="34">
        <v>65360</v>
      </c>
      <c r="M514" s="34">
        <v>0</v>
      </c>
      <c r="N514" s="34">
        <v>0</v>
      </c>
      <c r="O514" s="34">
        <v>409360</v>
      </c>
      <c r="P514" s="34" t="s">
        <v>41</v>
      </c>
      <c r="Q514" s="34" t="s">
        <v>42</v>
      </c>
      <c r="R514" s="26"/>
      <c r="S514" s="26"/>
      <c r="T514" s="26" t="s">
        <v>43</v>
      </c>
      <c r="U514" s="26"/>
      <c r="V514" s="26"/>
      <c r="W514" s="26"/>
      <c r="X514" s="26"/>
    </row>
    <row r="515" spans="1:24" s="29" customFormat="1">
      <c r="A515" s="32" t="s">
        <v>31</v>
      </c>
      <c r="B515" s="32" t="s">
        <v>2137</v>
      </c>
      <c r="C515" s="32" t="s">
        <v>2138</v>
      </c>
      <c r="D515" s="32">
        <f t="shared" si="7"/>
        <v>-1</v>
      </c>
      <c r="E515" s="32" t="s">
        <v>34</v>
      </c>
      <c r="F515" s="32" t="s">
        <v>1775</v>
      </c>
      <c r="G515" s="32" t="s">
        <v>2139</v>
      </c>
      <c r="H515" s="32" t="s">
        <v>37</v>
      </c>
      <c r="I515" s="32" t="s">
        <v>38</v>
      </c>
      <c r="J515" s="32" t="s">
        <v>1476</v>
      </c>
      <c r="K515" s="32" t="s">
        <v>1477</v>
      </c>
      <c r="L515" s="32">
        <v>45187.7</v>
      </c>
      <c r="M515" s="32">
        <v>0</v>
      </c>
      <c r="N515" s="32">
        <v>0</v>
      </c>
      <c r="O515" s="32">
        <v>283017.7</v>
      </c>
      <c r="P515" s="32" t="s">
        <v>41</v>
      </c>
      <c r="Q515" s="32" t="s">
        <v>42</v>
      </c>
      <c r="R515" s="26" t="s">
        <v>43</v>
      </c>
      <c r="S515" s="26"/>
      <c r="T515" s="26"/>
      <c r="U515" s="26"/>
      <c r="V515" s="26"/>
      <c r="W515" s="26"/>
      <c r="X515" s="26"/>
    </row>
    <row r="516" spans="1:24" s="29" customFormat="1">
      <c r="A516" s="35" t="s">
        <v>31</v>
      </c>
      <c r="B516" s="35" t="s">
        <v>2140</v>
      </c>
      <c r="C516" s="35" t="s">
        <v>2141</v>
      </c>
      <c r="D516" s="35">
        <f t="shared" si="7"/>
        <v>-1</v>
      </c>
      <c r="E516" s="35" t="s">
        <v>34</v>
      </c>
      <c r="F516" s="35" t="s">
        <v>1775</v>
      </c>
      <c r="G516" s="35" t="s">
        <v>2142</v>
      </c>
      <c r="H516" s="35" t="s">
        <v>37</v>
      </c>
      <c r="I516" s="35" t="s">
        <v>38</v>
      </c>
      <c r="J516" s="35" t="s">
        <v>2143</v>
      </c>
      <c r="K516" s="35" t="s">
        <v>2144</v>
      </c>
      <c r="L516" s="35">
        <v>53619.9</v>
      </c>
      <c r="M516" s="35">
        <v>0</v>
      </c>
      <c r="N516" s="35">
        <v>0</v>
      </c>
      <c r="O516" s="35">
        <v>335829.9</v>
      </c>
      <c r="P516" s="35" t="s">
        <v>41</v>
      </c>
      <c r="Q516" s="35" t="s">
        <v>42</v>
      </c>
      <c r="R516" s="26"/>
      <c r="S516" s="26"/>
      <c r="T516" s="26"/>
      <c r="U516" s="26"/>
      <c r="V516" s="26"/>
      <c r="W516" s="35" t="s">
        <v>43</v>
      </c>
      <c r="X516" s="26" t="s">
        <v>1625</v>
      </c>
    </row>
    <row r="517" spans="1:24" s="29" customFormat="1">
      <c r="A517" s="35" t="s">
        <v>31</v>
      </c>
      <c r="B517" s="35" t="s">
        <v>2145</v>
      </c>
      <c r="C517" s="35" t="s">
        <v>2146</v>
      </c>
      <c r="D517" s="35">
        <f t="shared" si="7"/>
        <v>-1</v>
      </c>
      <c r="E517" s="35" t="s">
        <v>34</v>
      </c>
      <c r="F517" s="35" t="s">
        <v>1775</v>
      </c>
      <c r="G517" s="35" t="s">
        <v>2147</v>
      </c>
      <c r="H517" s="35" t="s">
        <v>37</v>
      </c>
      <c r="I517" s="35" t="s">
        <v>38</v>
      </c>
      <c r="J517" s="35" t="s">
        <v>2143</v>
      </c>
      <c r="K517" s="35" t="s">
        <v>2144</v>
      </c>
      <c r="L517" s="35">
        <v>78276.2</v>
      </c>
      <c r="M517" s="35">
        <v>0</v>
      </c>
      <c r="N517" s="35">
        <v>0</v>
      </c>
      <c r="O517" s="35">
        <v>490256.2</v>
      </c>
      <c r="P517" s="35" t="s">
        <v>41</v>
      </c>
      <c r="Q517" s="35" t="s">
        <v>42</v>
      </c>
      <c r="R517" s="26"/>
      <c r="S517" s="26"/>
      <c r="T517" s="26"/>
      <c r="U517" s="26"/>
      <c r="V517" s="26"/>
      <c r="W517" s="35" t="s">
        <v>43</v>
      </c>
      <c r="X517" s="26" t="s">
        <v>1625</v>
      </c>
    </row>
    <row r="518" spans="1:24" s="29" customFormat="1">
      <c r="A518" s="26" t="s">
        <v>31</v>
      </c>
      <c r="B518" s="26" t="s">
        <v>2148</v>
      </c>
      <c r="C518" s="26" t="s">
        <v>2149</v>
      </c>
      <c r="D518" s="26">
        <f t="shared" si="7"/>
        <v>-1</v>
      </c>
      <c r="E518" s="26" t="s">
        <v>34</v>
      </c>
      <c r="F518" s="26" t="s">
        <v>1775</v>
      </c>
      <c r="G518" s="26" t="s">
        <v>2150</v>
      </c>
      <c r="H518" s="26" t="s">
        <v>37</v>
      </c>
      <c r="I518" s="26" t="s">
        <v>38</v>
      </c>
      <c r="J518" s="26" t="s">
        <v>2151</v>
      </c>
      <c r="K518" s="26" t="s">
        <v>2152</v>
      </c>
      <c r="L518" s="26">
        <v>1061131</v>
      </c>
      <c r="M518" s="26">
        <v>0</v>
      </c>
      <c r="N518" s="26">
        <v>0</v>
      </c>
      <c r="O518" s="26">
        <v>6646031</v>
      </c>
      <c r="P518" s="26" t="s">
        <v>41</v>
      </c>
      <c r="Q518" s="26" t="s">
        <v>42</v>
      </c>
      <c r="R518" s="26"/>
      <c r="S518" s="26"/>
      <c r="T518" s="26"/>
      <c r="U518" s="26"/>
      <c r="V518" s="26" t="s">
        <v>43</v>
      </c>
      <c r="W518" s="26"/>
      <c r="X518" s="26"/>
    </row>
    <row r="519" spans="1:24" s="29" customFormat="1">
      <c r="A519" s="34" t="s">
        <v>31</v>
      </c>
      <c r="B519" s="34" t="s">
        <v>2153</v>
      </c>
      <c r="C519" s="34" t="s">
        <v>2154</v>
      </c>
      <c r="D519" s="34">
        <f t="shared" si="7"/>
        <v>-1</v>
      </c>
      <c r="E519" s="34" t="s">
        <v>34</v>
      </c>
      <c r="F519" s="34" t="s">
        <v>1775</v>
      </c>
      <c r="G519" s="34" t="s">
        <v>2155</v>
      </c>
      <c r="H519" s="34" t="s">
        <v>37</v>
      </c>
      <c r="I519" s="34" t="s">
        <v>38</v>
      </c>
      <c r="J519" s="34" t="s">
        <v>2135</v>
      </c>
      <c r="K519" s="34" t="s">
        <v>2136</v>
      </c>
      <c r="L519" s="34">
        <v>1943187</v>
      </c>
      <c r="M519" s="34">
        <v>0</v>
      </c>
      <c r="N519" s="34">
        <v>0</v>
      </c>
      <c r="O519" s="34">
        <v>12170487</v>
      </c>
      <c r="P519" s="34" t="s">
        <v>41</v>
      </c>
      <c r="Q519" s="34" t="s">
        <v>42</v>
      </c>
      <c r="R519" s="26"/>
      <c r="S519" s="26"/>
      <c r="T519" s="26" t="s">
        <v>43</v>
      </c>
      <c r="U519" s="26"/>
      <c r="V519" s="26"/>
      <c r="W519" s="26"/>
      <c r="X519" s="26"/>
    </row>
    <row r="520" spans="1:24" s="29" customFormat="1">
      <c r="A520" s="34" t="s">
        <v>31</v>
      </c>
      <c r="B520" s="34" t="s">
        <v>2156</v>
      </c>
      <c r="C520" s="34" t="s">
        <v>2157</v>
      </c>
      <c r="D520" s="34">
        <f t="shared" si="7"/>
        <v>-1</v>
      </c>
      <c r="E520" s="34" t="s">
        <v>34</v>
      </c>
      <c r="F520" s="34" t="s">
        <v>1775</v>
      </c>
      <c r="G520" s="34" t="s">
        <v>2158</v>
      </c>
      <c r="H520" s="34" t="s">
        <v>37</v>
      </c>
      <c r="I520" s="34" t="s">
        <v>38</v>
      </c>
      <c r="J520" s="34" t="s">
        <v>2135</v>
      </c>
      <c r="K520" s="34" t="s">
        <v>2136</v>
      </c>
      <c r="L520" s="34">
        <v>716949.99</v>
      </c>
      <c r="M520" s="34">
        <v>0</v>
      </c>
      <c r="N520" s="34">
        <v>0</v>
      </c>
      <c r="O520" s="34">
        <v>4490370.99</v>
      </c>
      <c r="P520" s="34" t="s">
        <v>41</v>
      </c>
      <c r="Q520" s="34" t="s">
        <v>42</v>
      </c>
      <c r="R520" s="26"/>
      <c r="S520" s="26"/>
      <c r="T520" s="26" t="s">
        <v>43</v>
      </c>
      <c r="U520" s="26"/>
      <c r="V520" s="26"/>
      <c r="W520" s="26"/>
      <c r="X520" s="26"/>
    </row>
    <row r="521" spans="1:24" s="29" customFormat="1">
      <c r="A521" s="34" t="s">
        <v>31</v>
      </c>
      <c r="B521" s="34" t="s">
        <v>2159</v>
      </c>
      <c r="C521" s="34" t="s">
        <v>2160</v>
      </c>
      <c r="D521" s="34">
        <f t="shared" si="7"/>
        <v>-1</v>
      </c>
      <c r="E521" s="34" t="s">
        <v>34</v>
      </c>
      <c r="F521" s="34" t="s">
        <v>2161</v>
      </c>
      <c r="G521" s="34" t="s">
        <v>2162</v>
      </c>
      <c r="H521" s="34" t="s">
        <v>37</v>
      </c>
      <c r="I521" s="34" t="s">
        <v>38</v>
      </c>
      <c r="J521" s="34" t="s">
        <v>2135</v>
      </c>
      <c r="K521" s="34" t="s">
        <v>2136</v>
      </c>
      <c r="L521" s="34">
        <v>140296.95000000001</v>
      </c>
      <c r="M521" s="34">
        <v>0</v>
      </c>
      <c r="N521" s="34">
        <v>0</v>
      </c>
      <c r="O521" s="34">
        <v>878701.95</v>
      </c>
      <c r="P521" s="34" t="s">
        <v>41</v>
      </c>
      <c r="Q521" s="34" t="s">
        <v>42</v>
      </c>
      <c r="R521" s="26"/>
      <c r="S521" s="26"/>
      <c r="T521" s="26" t="s">
        <v>628</v>
      </c>
      <c r="U521" s="26"/>
      <c r="V521" s="26"/>
      <c r="W521" s="26"/>
      <c r="X521" s="26"/>
    </row>
    <row r="522" spans="1:24" s="29" customFormat="1">
      <c r="A522" s="33" t="s">
        <v>31</v>
      </c>
      <c r="B522" s="33" t="s">
        <v>2163</v>
      </c>
      <c r="C522" s="33" t="s">
        <v>2164</v>
      </c>
      <c r="D522" s="33">
        <f t="shared" si="7"/>
        <v>-1</v>
      </c>
      <c r="E522" s="33" t="s">
        <v>34</v>
      </c>
      <c r="F522" s="33" t="s">
        <v>1775</v>
      </c>
      <c r="G522" s="33" t="s">
        <v>2165</v>
      </c>
      <c r="H522" s="33" t="s">
        <v>37</v>
      </c>
      <c r="I522" s="33" t="s">
        <v>38</v>
      </c>
      <c r="J522" s="33" t="s">
        <v>2166</v>
      </c>
      <c r="K522" s="33" t="s">
        <v>2167</v>
      </c>
      <c r="L522" s="33">
        <v>200638</v>
      </c>
      <c r="M522" s="33">
        <v>0</v>
      </c>
      <c r="N522" s="33">
        <v>0</v>
      </c>
      <c r="O522" s="33">
        <v>1356838</v>
      </c>
      <c r="P522" s="33" t="s">
        <v>41</v>
      </c>
      <c r="Q522" s="33" t="s">
        <v>42</v>
      </c>
      <c r="R522" s="26"/>
      <c r="S522" s="26" t="s">
        <v>43</v>
      </c>
      <c r="T522" s="26"/>
      <c r="U522" s="26"/>
      <c r="V522" s="26"/>
      <c r="W522" s="26"/>
      <c r="X522" s="26"/>
    </row>
    <row r="523" spans="1:24" s="29" customFormat="1">
      <c r="A523" s="26" t="s">
        <v>31</v>
      </c>
      <c r="B523" s="26" t="s">
        <v>2168</v>
      </c>
      <c r="C523" s="26" t="s">
        <v>2169</v>
      </c>
      <c r="D523" s="26">
        <f t="shared" si="7"/>
        <v>-1</v>
      </c>
      <c r="E523" s="26" t="s">
        <v>34</v>
      </c>
      <c r="F523" s="26" t="s">
        <v>1775</v>
      </c>
      <c r="G523" s="26" t="s">
        <v>2170</v>
      </c>
      <c r="H523" s="26" t="s">
        <v>37</v>
      </c>
      <c r="I523" s="26" t="s">
        <v>38</v>
      </c>
      <c r="J523" s="26" t="s">
        <v>471</v>
      </c>
      <c r="K523" s="26" t="s">
        <v>472</v>
      </c>
      <c r="L523" s="26">
        <v>9978.7999999999993</v>
      </c>
      <c r="M523" s="26">
        <v>0</v>
      </c>
      <c r="N523" s="26">
        <v>0</v>
      </c>
      <c r="O523" s="26">
        <v>114488.8</v>
      </c>
      <c r="P523" s="26" t="s">
        <v>41</v>
      </c>
      <c r="Q523" s="26" t="s">
        <v>42</v>
      </c>
      <c r="R523" s="26"/>
      <c r="S523" s="26"/>
      <c r="T523" s="26"/>
      <c r="U523" s="26"/>
      <c r="V523" s="26" t="s">
        <v>43</v>
      </c>
      <c r="W523" s="26"/>
      <c r="X523" s="26"/>
    </row>
    <row r="524" spans="1:24" s="29" customFormat="1">
      <c r="A524" s="26" t="s">
        <v>31</v>
      </c>
      <c r="B524" s="26" t="s">
        <v>2171</v>
      </c>
      <c r="C524" s="26" t="s">
        <v>2172</v>
      </c>
      <c r="D524" s="26">
        <f t="shared" si="7"/>
        <v>-1</v>
      </c>
      <c r="E524" s="26" t="s">
        <v>34</v>
      </c>
      <c r="F524" s="26" t="s">
        <v>1775</v>
      </c>
      <c r="G524" s="26" t="s">
        <v>2173</v>
      </c>
      <c r="H524" s="26" t="s">
        <v>37</v>
      </c>
      <c r="I524" s="26" t="s">
        <v>38</v>
      </c>
      <c r="J524" s="26" t="s">
        <v>2174</v>
      </c>
      <c r="K524" s="26" t="s">
        <v>2175</v>
      </c>
      <c r="L524" s="26">
        <v>306074.61</v>
      </c>
      <c r="M524" s="26">
        <v>0</v>
      </c>
      <c r="N524" s="26">
        <v>0</v>
      </c>
      <c r="O524" s="26">
        <v>1927949.61</v>
      </c>
      <c r="P524" s="26" t="s">
        <v>41</v>
      </c>
      <c r="Q524" s="26" t="s">
        <v>42</v>
      </c>
      <c r="R524" s="26"/>
      <c r="S524" s="26"/>
      <c r="T524" s="26"/>
      <c r="U524" s="26"/>
      <c r="V524" s="26" t="s">
        <v>43</v>
      </c>
      <c r="W524" s="26"/>
      <c r="X524" s="26"/>
    </row>
    <row r="525" spans="1:24" s="29" customFormat="1">
      <c r="A525" s="33" t="s">
        <v>31</v>
      </c>
      <c r="B525" s="33" t="s">
        <v>2176</v>
      </c>
      <c r="C525" s="33" t="s">
        <v>2177</v>
      </c>
      <c r="D525" s="33">
        <f t="shared" ref="D525:D588" si="8">C525-C526</f>
        <v>-1</v>
      </c>
      <c r="E525" s="33" t="s">
        <v>34</v>
      </c>
      <c r="F525" s="33" t="s">
        <v>1775</v>
      </c>
      <c r="G525" s="33" t="s">
        <v>2178</v>
      </c>
      <c r="H525" s="33" t="s">
        <v>37</v>
      </c>
      <c r="I525" s="33" t="s">
        <v>38</v>
      </c>
      <c r="J525" s="33" t="s">
        <v>2179</v>
      </c>
      <c r="K525" s="33" t="s">
        <v>2180</v>
      </c>
      <c r="L525" s="33">
        <v>279041.59999999998</v>
      </c>
      <c r="M525" s="33">
        <v>0</v>
      </c>
      <c r="N525" s="33">
        <v>0</v>
      </c>
      <c r="O525" s="33">
        <v>1747681.6</v>
      </c>
      <c r="P525" s="33" t="s">
        <v>41</v>
      </c>
      <c r="Q525" s="33" t="s">
        <v>42</v>
      </c>
      <c r="R525" s="26"/>
      <c r="S525" s="26" t="s">
        <v>43</v>
      </c>
      <c r="T525" s="26"/>
      <c r="U525" s="26"/>
      <c r="V525" s="26"/>
      <c r="W525" s="26"/>
      <c r="X525" s="26"/>
    </row>
    <row r="526" spans="1:24" s="29" customFormat="1">
      <c r="A526" s="26" t="s">
        <v>31</v>
      </c>
      <c r="B526" s="26" t="s">
        <v>2181</v>
      </c>
      <c r="C526" s="26" t="s">
        <v>2182</v>
      </c>
      <c r="D526" s="26">
        <f t="shared" si="8"/>
        <v>-1</v>
      </c>
      <c r="E526" s="26" t="s">
        <v>34</v>
      </c>
      <c r="F526" s="26" t="s">
        <v>1775</v>
      </c>
      <c r="G526" s="26" t="s">
        <v>2183</v>
      </c>
      <c r="H526" s="26" t="s">
        <v>37</v>
      </c>
      <c r="I526" s="26" t="s">
        <v>38</v>
      </c>
      <c r="J526" s="26" t="s">
        <v>2184</v>
      </c>
      <c r="K526" s="26" t="s">
        <v>2185</v>
      </c>
      <c r="L526" s="26">
        <v>0</v>
      </c>
      <c r="M526" s="26">
        <v>0</v>
      </c>
      <c r="N526" s="26">
        <v>0</v>
      </c>
      <c r="O526" s="26">
        <v>432000</v>
      </c>
      <c r="P526" s="26" t="s">
        <v>41</v>
      </c>
      <c r="Q526" s="26" t="s">
        <v>42</v>
      </c>
      <c r="R526" s="26"/>
      <c r="S526" s="26"/>
      <c r="T526" s="26"/>
      <c r="U526" s="26"/>
      <c r="V526" s="26" t="s">
        <v>43</v>
      </c>
      <c r="W526" s="26"/>
      <c r="X526" s="26"/>
    </row>
    <row r="527" spans="1:24" s="29" customFormat="1">
      <c r="A527" s="35" t="s">
        <v>31</v>
      </c>
      <c r="B527" s="35" t="s">
        <v>2186</v>
      </c>
      <c r="C527" s="35" t="s">
        <v>2187</v>
      </c>
      <c r="D527" s="35">
        <f t="shared" si="8"/>
        <v>-1</v>
      </c>
      <c r="E527" s="35" t="s">
        <v>34</v>
      </c>
      <c r="F527" s="35" t="s">
        <v>1775</v>
      </c>
      <c r="G527" s="35" t="s">
        <v>2188</v>
      </c>
      <c r="H527" s="35" t="s">
        <v>37</v>
      </c>
      <c r="I527" s="35" t="s">
        <v>38</v>
      </c>
      <c r="J527" s="35" t="s">
        <v>1372</v>
      </c>
      <c r="K527" s="35" t="s">
        <v>1373</v>
      </c>
      <c r="L527" s="35">
        <v>0</v>
      </c>
      <c r="M527" s="35">
        <v>0</v>
      </c>
      <c r="N527" s="35">
        <v>0</v>
      </c>
      <c r="O527" s="35">
        <v>4261045</v>
      </c>
      <c r="P527" s="35" t="s">
        <v>41</v>
      </c>
      <c r="Q527" s="35" t="s">
        <v>42</v>
      </c>
      <c r="R527" s="26"/>
      <c r="S527" s="26"/>
      <c r="T527" s="26"/>
      <c r="U527" s="26"/>
      <c r="V527" s="26"/>
      <c r="W527" s="35" t="s">
        <v>43</v>
      </c>
      <c r="X527" s="26" t="s">
        <v>1984</v>
      </c>
    </row>
    <row r="528" spans="1:24" s="29" customFormat="1">
      <c r="A528" s="26" t="s">
        <v>31</v>
      </c>
      <c r="B528" s="26" t="s">
        <v>2189</v>
      </c>
      <c r="C528" s="26" t="s">
        <v>2190</v>
      </c>
      <c r="D528" s="26">
        <f t="shared" si="8"/>
        <v>-1</v>
      </c>
      <c r="E528" s="26" t="s">
        <v>34</v>
      </c>
      <c r="F528" s="26" t="s">
        <v>1775</v>
      </c>
      <c r="G528" s="26" t="s">
        <v>2191</v>
      </c>
      <c r="H528" s="26" t="s">
        <v>37</v>
      </c>
      <c r="I528" s="26" t="s">
        <v>38</v>
      </c>
      <c r="J528" s="26" t="s">
        <v>2192</v>
      </c>
      <c r="K528" s="26" t="s">
        <v>2193</v>
      </c>
      <c r="L528" s="26">
        <v>79372.5</v>
      </c>
      <c r="M528" s="26">
        <v>0</v>
      </c>
      <c r="N528" s="26">
        <v>0</v>
      </c>
      <c r="O528" s="26">
        <v>497122.5</v>
      </c>
      <c r="P528" s="26" t="s">
        <v>41</v>
      </c>
      <c r="Q528" s="26" t="s">
        <v>42</v>
      </c>
      <c r="R528" s="26"/>
      <c r="S528" s="26"/>
      <c r="T528" s="26"/>
      <c r="U528" s="26"/>
      <c r="V528" s="26" t="s">
        <v>43</v>
      </c>
      <c r="W528" s="26"/>
      <c r="X528" s="26"/>
    </row>
    <row r="529" spans="1:24" s="29" customFormat="1">
      <c r="A529" s="26" t="s">
        <v>31</v>
      </c>
      <c r="B529" s="26" t="s">
        <v>2194</v>
      </c>
      <c r="C529" s="26" t="s">
        <v>2195</v>
      </c>
      <c r="D529" s="26">
        <f t="shared" si="8"/>
        <v>-1</v>
      </c>
      <c r="E529" s="26" t="s">
        <v>34</v>
      </c>
      <c r="F529" s="26" t="s">
        <v>1775</v>
      </c>
      <c r="G529" s="26" t="s">
        <v>2196</v>
      </c>
      <c r="H529" s="26" t="s">
        <v>37</v>
      </c>
      <c r="I529" s="26" t="s">
        <v>38</v>
      </c>
      <c r="J529" s="26" t="s">
        <v>2197</v>
      </c>
      <c r="K529" s="26" t="s">
        <v>2198</v>
      </c>
      <c r="L529" s="26">
        <v>625100</v>
      </c>
      <c r="M529" s="26">
        <v>0</v>
      </c>
      <c r="N529" s="26">
        <v>0</v>
      </c>
      <c r="O529" s="26">
        <v>6265100</v>
      </c>
      <c r="P529" s="26" t="s">
        <v>41</v>
      </c>
      <c r="Q529" s="26" t="s">
        <v>42</v>
      </c>
      <c r="R529" s="26"/>
      <c r="S529" s="26"/>
      <c r="T529" s="26"/>
      <c r="U529" s="26"/>
      <c r="V529" s="26" t="s">
        <v>43</v>
      </c>
      <c r="W529" s="26"/>
      <c r="X529" s="26"/>
    </row>
    <row r="530" spans="1:24" s="29" customFormat="1">
      <c r="A530" s="32" t="s">
        <v>31</v>
      </c>
      <c r="B530" s="32" t="s">
        <v>2199</v>
      </c>
      <c r="C530" s="32" t="s">
        <v>2200</v>
      </c>
      <c r="D530" s="32">
        <f t="shared" si="8"/>
        <v>-1</v>
      </c>
      <c r="E530" s="32" t="s">
        <v>34</v>
      </c>
      <c r="F530" s="32" t="s">
        <v>1775</v>
      </c>
      <c r="G530" s="32" t="s">
        <v>2201</v>
      </c>
      <c r="H530" s="32" t="s">
        <v>37</v>
      </c>
      <c r="I530" s="32" t="s">
        <v>38</v>
      </c>
      <c r="J530" s="32" t="s">
        <v>2202</v>
      </c>
      <c r="K530" s="32" t="s">
        <v>2203</v>
      </c>
      <c r="L530" s="32">
        <v>39140</v>
      </c>
      <c r="M530" s="32">
        <v>0</v>
      </c>
      <c r="N530" s="32">
        <v>0</v>
      </c>
      <c r="O530" s="32">
        <v>1439140</v>
      </c>
      <c r="P530" s="32" t="s">
        <v>41</v>
      </c>
      <c r="Q530" s="32" t="s">
        <v>42</v>
      </c>
      <c r="R530" s="26" t="s">
        <v>43</v>
      </c>
      <c r="S530" s="26"/>
      <c r="T530" s="26"/>
      <c r="U530" s="26"/>
      <c r="V530" s="26"/>
      <c r="W530" s="26"/>
      <c r="X530" s="26"/>
    </row>
    <row r="531" spans="1:24" s="29" customFormat="1">
      <c r="A531" s="34" t="s">
        <v>31</v>
      </c>
      <c r="B531" s="34" t="s">
        <v>2204</v>
      </c>
      <c r="C531" s="34" t="s">
        <v>2205</v>
      </c>
      <c r="D531" s="34">
        <f t="shared" si="8"/>
        <v>-1</v>
      </c>
      <c r="E531" s="34" t="s">
        <v>34</v>
      </c>
      <c r="F531" s="34" t="s">
        <v>1775</v>
      </c>
      <c r="G531" s="34" t="s">
        <v>2206</v>
      </c>
      <c r="H531" s="34" t="s">
        <v>37</v>
      </c>
      <c r="I531" s="34" t="s">
        <v>38</v>
      </c>
      <c r="J531" s="34" t="s">
        <v>2202</v>
      </c>
      <c r="K531" s="34" t="s">
        <v>2203</v>
      </c>
      <c r="L531" s="34">
        <v>24700</v>
      </c>
      <c r="M531" s="34">
        <v>0</v>
      </c>
      <c r="N531" s="34">
        <v>0</v>
      </c>
      <c r="O531" s="34">
        <v>154700</v>
      </c>
      <c r="P531" s="34" t="s">
        <v>41</v>
      </c>
      <c r="Q531" s="34" t="s">
        <v>42</v>
      </c>
      <c r="R531" s="26"/>
      <c r="S531" s="26"/>
      <c r="T531" s="26" t="s">
        <v>43</v>
      </c>
      <c r="U531" s="26"/>
      <c r="V531" s="26"/>
      <c r="W531" s="26"/>
      <c r="X531" s="26"/>
    </row>
    <row r="532" spans="1:24" s="29" customFormat="1">
      <c r="A532" s="26" t="s">
        <v>31</v>
      </c>
      <c r="B532" s="26" t="s">
        <v>2207</v>
      </c>
      <c r="C532" s="26" t="s">
        <v>2208</v>
      </c>
      <c r="D532" s="26">
        <f t="shared" si="8"/>
        <v>-1</v>
      </c>
      <c r="E532" s="26" t="s">
        <v>34</v>
      </c>
      <c r="F532" s="26" t="s">
        <v>1775</v>
      </c>
      <c r="G532" s="26" t="s">
        <v>2209</v>
      </c>
      <c r="H532" s="26" t="s">
        <v>37</v>
      </c>
      <c r="I532" s="26" t="s">
        <v>38</v>
      </c>
      <c r="J532" s="26" t="s">
        <v>2210</v>
      </c>
      <c r="K532" s="26" t="s">
        <v>2211</v>
      </c>
      <c r="L532" s="26">
        <v>226100</v>
      </c>
      <c r="M532" s="26">
        <v>0</v>
      </c>
      <c r="N532" s="26">
        <v>0</v>
      </c>
      <c r="O532" s="26">
        <v>1416100</v>
      </c>
      <c r="P532" s="26" t="s">
        <v>41</v>
      </c>
      <c r="Q532" s="26" t="s">
        <v>42</v>
      </c>
      <c r="R532" s="26"/>
      <c r="S532" s="26"/>
      <c r="T532" s="26"/>
      <c r="U532" s="26"/>
      <c r="V532" s="26" t="s">
        <v>43</v>
      </c>
      <c r="W532" s="26"/>
      <c r="X532" s="26"/>
    </row>
    <row r="533" spans="1:24" s="29" customFormat="1">
      <c r="A533" s="26" t="s">
        <v>31</v>
      </c>
      <c r="B533" s="26" t="s">
        <v>2212</v>
      </c>
      <c r="C533" s="26" t="s">
        <v>2213</v>
      </c>
      <c r="D533" s="26">
        <f t="shared" si="8"/>
        <v>-1</v>
      </c>
      <c r="E533" s="26" t="s">
        <v>34</v>
      </c>
      <c r="F533" s="26" t="s">
        <v>1775</v>
      </c>
      <c r="G533" s="26" t="s">
        <v>2214</v>
      </c>
      <c r="H533" s="26" t="s">
        <v>37</v>
      </c>
      <c r="I533" s="26" t="s">
        <v>38</v>
      </c>
      <c r="J533" s="26" t="s">
        <v>2215</v>
      </c>
      <c r="K533" s="26" t="s">
        <v>2216</v>
      </c>
      <c r="L533" s="26">
        <v>0</v>
      </c>
      <c r="M533" s="26">
        <v>0</v>
      </c>
      <c r="N533" s="26">
        <v>0</v>
      </c>
      <c r="O533" s="26">
        <v>1390000</v>
      </c>
      <c r="P533" s="26" t="s">
        <v>41</v>
      </c>
      <c r="Q533" s="26" t="s">
        <v>42</v>
      </c>
      <c r="R533" s="26"/>
      <c r="S533" s="26"/>
      <c r="T533" s="26"/>
      <c r="U533" s="26"/>
      <c r="V533" s="26" t="s">
        <v>43</v>
      </c>
      <c r="W533" s="26"/>
      <c r="X533" s="26"/>
    </row>
    <row r="534" spans="1:24" s="29" customFormat="1">
      <c r="A534" s="32" t="s">
        <v>31</v>
      </c>
      <c r="B534" s="32" t="s">
        <v>2217</v>
      </c>
      <c r="C534" s="32" t="s">
        <v>2218</v>
      </c>
      <c r="D534" s="32">
        <f t="shared" si="8"/>
        <v>-1</v>
      </c>
      <c r="E534" s="32" t="s">
        <v>34</v>
      </c>
      <c r="F534" s="32" t="s">
        <v>1775</v>
      </c>
      <c r="G534" s="32" t="s">
        <v>2219</v>
      </c>
      <c r="H534" s="32" t="s">
        <v>37</v>
      </c>
      <c r="I534" s="32" t="s">
        <v>38</v>
      </c>
      <c r="J534" s="32" t="s">
        <v>2220</v>
      </c>
      <c r="K534" s="32" t="s">
        <v>2221</v>
      </c>
      <c r="L534" s="32">
        <v>36176</v>
      </c>
      <c r="M534" s="32">
        <v>0</v>
      </c>
      <c r="N534" s="32">
        <v>0</v>
      </c>
      <c r="O534" s="32">
        <v>226576</v>
      </c>
      <c r="P534" s="32" t="s">
        <v>41</v>
      </c>
      <c r="Q534" s="32" t="s">
        <v>42</v>
      </c>
      <c r="R534" s="26" t="s">
        <v>43</v>
      </c>
      <c r="S534" s="26"/>
      <c r="T534" s="26"/>
      <c r="U534" s="26"/>
      <c r="V534" s="26"/>
      <c r="W534" s="26"/>
      <c r="X534" s="26"/>
    </row>
    <row r="535" spans="1:24" s="29" customFormat="1">
      <c r="A535" s="32" t="s">
        <v>31</v>
      </c>
      <c r="B535" s="32" t="s">
        <v>2222</v>
      </c>
      <c r="C535" s="32" t="s">
        <v>2223</v>
      </c>
      <c r="D535" s="32">
        <f t="shared" si="8"/>
        <v>-1</v>
      </c>
      <c r="E535" s="32" t="s">
        <v>34</v>
      </c>
      <c r="F535" s="32" t="s">
        <v>1775</v>
      </c>
      <c r="G535" s="32" t="s">
        <v>2224</v>
      </c>
      <c r="H535" s="32" t="s">
        <v>37</v>
      </c>
      <c r="I535" s="32" t="s">
        <v>38</v>
      </c>
      <c r="J535" s="32" t="s">
        <v>2220</v>
      </c>
      <c r="K535" s="32" t="s">
        <v>2221</v>
      </c>
      <c r="L535" s="32">
        <v>3097</v>
      </c>
      <c r="M535" s="32">
        <v>0</v>
      </c>
      <c r="N535" s="32">
        <v>0</v>
      </c>
      <c r="O535" s="32">
        <v>19397</v>
      </c>
      <c r="P535" s="32" t="s">
        <v>41</v>
      </c>
      <c r="Q535" s="32" t="s">
        <v>42</v>
      </c>
      <c r="R535" s="26" t="s">
        <v>43</v>
      </c>
      <c r="S535" s="26"/>
      <c r="T535" s="26"/>
      <c r="U535" s="26"/>
      <c r="V535" s="26"/>
      <c r="W535" s="26"/>
      <c r="X535" s="26"/>
    </row>
    <row r="536" spans="1:24" s="29" customFormat="1">
      <c r="A536" s="26" t="s">
        <v>31</v>
      </c>
      <c r="B536" s="26" t="s">
        <v>2225</v>
      </c>
      <c r="C536" s="26" t="s">
        <v>2226</v>
      </c>
      <c r="D536" s="26">
        <f t="shared" si="8"/>
        <v>-1</v>
      </c>
      <c r="E536" s="26" t="s">
        <v>34</v>
      </c>
      <c r="F536" s="26" t="s">
        <v>1775</v>
      </c>
      <c r="G536" s="26" t="s">
        <v>2227</v>
      </c>
      <c r="H536" s="26" t="s">
        <v>37</v>
      </c>
      <c r="I536" s="26" t="s">
        <v>38</v>
      </c>
      <c r="J536" s="26" t="s">
        <v>1748</v>
      </c>
      <c r="K536" s="26" t="s">
        <v>1749</v>
      </c>
      <c r="L536" s="26">
        <v>0</v>
      </c>
      <c r="M536" s="26">
        <v>0</v>
      </c>
      <c r="N536" s="26">
        <v>0</v>
      </c>
      <c r="O536" s="26">
        <v>2085000</v>
      </c>
      <c r="P536" s="26" t="s">
        <v>41</v>
      </c>
      <c r="Q536" s="26" t="s">
        <v>42</v>
      </c>
      <c r="R536" s="26"/>
      <c r="S536" s="26"/>
      <c r="T536" s="26"/>
      <c r="U536" s="26"/>
      <c r="V536" s="26" t="s">
        <v>43</v>
      </c>
      <c r="W536" s="26"/>
      <c r="X536" s="26"/>
    </row>
    <row r="537" spans="1:24" s="29" customFormat="1">
      <c r="A537" s="32" t="s">
        <v>31</v>
      </c>
      <c r="B537" s="32" t="s">
        <v>2228</v>
      </c>
      <c r="C537" s="32" t="s">
        <v>2229</v>
      </c>
      <c r="D537" s="32">
        <f t="shared" si="8"/>
        <v>-1</v>
      </c>
      <c r="E537" s="32" t="s">
        <v>34</v>
      </c>
      <c r="F537" s="32" t="s">
        <v>1775</v>
      </c>
      <c r="G537" s="32" t="s">
        <v>2230</v>
      </c>
      <c r="H537" s="32" t="s">
        <v>37</v>
      </c>
      <c r="I537" s="32" t="s">
        <v>38</v>
      </c>
      <c r="J537" s="32" t="s">
        <v>2028</v>
      </c>
      <c r="K537" s="32" t="s">
        <v>2029</v>
      </c>
      <c r="L537" s="32">
        <v>1237470</v>
      </c>
      <c r="M537" s="32">
        <v>0</v>
      </c>
      <c r="N537" s="32">
        <v>0</v>
      </c>
      <c r="O537" s="32">
        <v>7750470</v>
      </c>
      <c r="P537" s="32" t="s">
        <v>41</v>
      </c>
      <c r="Q537" s="32" t="s">
        <v>42</v>
      </c>
      <c r="R537" s="26" t="s">
        <v>43</v>
      </c>
      <c r="S537" s="26"/>
      <c r="T537" s="26"/>
      <c r="U537" s="26"/>
      <c r="V537" s="26"/>
      <c r="W537" s="26"/>
      <c r="X537" s="26"/>
    </row>
    <row r="538" spans="1:24" s="29" customFormat="1">
      <c r="A538" s="26" t="s">
        <v>31</v>
      </c>
      <c r="B538" s="26" t="s">
        <v>2231</v>
      </c>
      <c r="C538" s="26" t="s">
        <v>2232</v>
      </c>
      <c r="D538" s="26">
        <f t="shared" si="8"/>
        <v>-1</v>
      </c>
      <c r="E538" s="26" t="s">
        <v>34</v>
      </c>
      <c r="F538" s="26" t="s">
        <v>1775</v>
      </c>
      <c r="G538" s="26" t="s">
        <v>2233</v>
      </c>
      <c r="H538" s="26" t="s">
        <v>37</v>
      </c>
      <c r="I538" s="26" t="s">
        <v>38</v>
      </c>
      <c r="J538" s="26" t="s">
        <v>2234</v>
      </c>
      <c r="K538" s="26" t="s">
        <v>2235</v>
      </c>
      <c r="L538" s="26">
        <v>125020</v>
      </c>
      <c r="M538" s="26">
        <v>0</v>
      </c>
      <c r="N538" s="26">
        <v>0</v>
      </c>
      <c r="O538" s="26">
        <v>783020</v>
      </c>
      <c r="P538" s="26" t="s">
        <v>41</v>
      </c>
      <c r="Q538" s="26" t="s">
        <v>42</v>
      </c>
      <c r="R538" s="26"/>
      <c r="S538" s="26"/>
      <c r="T538" s="26"/>
      <c r="U538" s="26"/>
      <c r="V538" s="26" t="s">
        <v>43</v>
      </c>
      <c r="W538" s="26"/>
      <c r="X538" s="26"/>
    </row>
    <row r="539" spans="1:24" s="29" customFormat="1">
      <c r="A539" s="34" t="s">
        <v>31</v>
      </c>
      <c r="B539" s="34" t="s">
        <v>2236</v>
      </c>
      <c r="C539" s="34" t="s">
        <v>2237</v>
      </c>
      <c r="D539" s="34">
        <f t="shared" si="8"/>
        <v>-1</v>
      </c>
      <c r="E539" s="34" t="s">
        <v>34</v>
      </c>
      <c r="F539" s="34" t="s">
        <v>1775</v>
      </c>
      <c r="G539" s="34" t="s">
        <v>2238</v>
      </c>
      <c r="H539" s="34" t="s">
        <v>37</v>
      </c>
      <c r="I539" s="34" t="s">
        <v>38</v>
      </c>
      <c r="J539" s="34" t="s">
        <v>870</v>
      </c>
      <c r="K539" s="34" t="s">
        <v>871</v>
      </c>
      <c r="L539" s="34">
        <v>59850</v>
      </c>
      <c r="M539" s="34">
        <v>0</v>
      </c>
      <c r="N539" s="34">
        <v>0</v>
      </c>
      <c r="O539" s="34">
        <v>374850</v>
      </c>
      <c r="P539" s="34" t="s">
        <v>41</v>
      </c>
      <c r="Q539" s="34" t="s">
        <v>42</v>
      </c>
      <c r="R539" s="26"/>
      <c r="S539" s="26"/>
      <c r="T539" s="26" t="s">
        <v>43</v>
      </c>
      <c r="U539" s="26"/>
      <c r="V539" s="26"/>
      <c r="W539" s="26"/>
      <c r="X539" s="26"/>
    </row>
    <row r="540" spans="1:24" s="29" customFormat="1">
      <c r="A540" s="26" t="s">
        <v>31</v>
      </c>
      <c r="B540" s="26" t="s">
        <v>2239</v>
      </c>
      <c r="C540" s="26" t="s">
        <v>2240</v>
      </c>
      <c r="D540" s="26">
        <f t="shared" si="8"/>
        <v>-1</v>
      </c>
      <c r="E540" s="26" t="s">
        <v>34</v>
      </c>
      <c r="F540" s="26" t="s">
        <v>1775</v>
      </c>
      <c r="G540" s="26" t="s">
        <v>2241</v>
      </c>
      <c r="H540" s="26" t="s">
        <v>37</v>
      </c>
      <c r="I540" s="26" t="s">
        <v>38</v>
      </c>
      <c r="J540" s="26" t="s">
        <v>2242</v>
      </c>
      <c r="K540" s="26" t="s">
        <v>2243</v>
      </c>
      <c r="L540" s="26">
        <v>120498</v>
      </c>
      <c r="M540" s="26">
        <v>0</v>
      </c>
      <c r="N540" s="26">
        <v>0</v>
      </c>
      <c r="O540" s="26">
        <v>777198</v>
      </c>
      <c r="P540" s="26" t="s">
        <v>41</v>
      </c>
      <c r="Q540" s="26" t="s">
        <v>42</v>
      </c>
      <c r="R540" s="26"/>
      <c r="S540" s="26"/>
      <c r="T540" s="26"/>
      <c r="U540" s="26"/>
      <c r="V540" s="26" t="s">
        <v>43</v>
      </c>
      <c r="W540" s="26"/>
      <c r="X540" s="26"/>
    </row>
    <row r="541" spans="1:24" s="29" customFormat="1">
      <c r="A541" s="26" t="s">
        <v>31</v>
      </c>
      <c r="B541" s="26" t="s">
        <v>2244</v>
      </c>
      <c r="C541" s="26" t="s">
        <v>2245</v>
      </c>
      <c r="D541" s="26">
        <f t="shared" si="8"/>
        <v>-1</v>
      </c>
      <c r="E541" s="26" t="s">
        <v>34</v>
      </c>
      <c r="F541" s="26" t="s">
        <v>1775</v>
      </c>
      <c r="G541" s="26" t="s">
        <v>2246</v>
      </c>
      <c r="H541" s="26" t="s">
        <v>37</v>
      </c>
      <c r="I541" s="26" t="s">
        <v>38</v>
      </c>
      <c r="J541" s="26" t="s">
        <v>2247</v>
      </c>
      <c r="K541" s="26" t="s">
        <v>2248</v>
      </c>
      <c r="L541" s="26">
        <v>104310</v>
      </c>
      <c r="M541" s="26">
        <v>0</v>
      </c>
      <c r="N541" s="26">
        <v>0</v>
      </c>
      <c r="O541" s="26">
        <v>653310</v>
      </c>
      <c r="P541" s="26" t="s">
        <v>41</v>
      </c>
      <c r="Q541" s="26" t="s">
        <v>42</v>
      </c>
      <c r="R541" s="26"/>
      <c r="S541" s="26"/>
      <c r="T541" s="26"/>
      <c r="U541" s="26"/>
      <c r="V541" s="26" t="s">
        <v>43</v>
      </c>
      <c r="W541" s="26"/>
      <c r="X541" s="26"/>
    </row>
    <row r="542" spans="1:24" s="29" customFormat="1">
      <c r="A542" s="34" t="s">
        <v>31</v>
      </c>
      <c r="B542" s="34" t="s">
        <v>2249</v>
      </c>
      <c r="C542" s="34" t="s">
        <v>2250</v>
      </c>
      <c r="D542" s="34">
        <f t="shared" si="8"/>
        <v>-1</v>
      </c>
      <c r="E542" s="34" t="s">
        <v>34</v>
      </c>
      <c r="F542" s="34" t="s">
        <v>1775</v>
      </c>
      <c r="G542" s="34" t="s">
        <v>2251</v>
      </c>
      <c r="H542" s="34" t="s">
        <v>37</v>
      </c>
      <c r="I542" s="34" t="s">
        <v>38</v>
      </c>
      <c r="J542" s="34" t="s">
        <v>2252</v>
      </c>
      <c r="K542" s="34" t="s">
        <v>2253</v>
      </c>
      <c r="L542" s="34">
        <v>77900</v>
      </c>
      <c r="M542" s="34">
        <v>0</v>
      </c>
      <c r="N542" s="34">
        <v>0</v>
      </c>
      <c r="O542" s="34">
        <v>487900</v>
      </c>
      <c r="P542" s="34" t="s">
        <v>41</v>
      </c>
      <c r="Q542" s="34" t="s">
        <v>42</v>
      </c>
      <c r="R542" s="26"/>
      <c r="S542" s="26"/>
      <c r="T542" s="26" t="s">
        <v>43</v>
      </c>
      <c r="U542" s="26"/>
      <c r="V542" s="26"/>
      <c r="W542" s="26"/>
      <c r="X542" s="26"/>
    </row>
    <row r="543" spans="1:24" s="29" customFormat="1">
      <c r="A543" s="35" t="s">
        <v>31</v>
      </c>
      <c r="B543" s="35" t="s">
        <v>2254</v>
      </c>
      <c r="C543" s="35" t="s">
        <v>2255</v>
      </c>
      <c r="D543" s="35">
        <f t="shared" si="8"/>
        <v>-1</v>
      </c>
      <c r="E543" s="35" t="s">
        <v>34</v>
      </c>
      <c r="F543" s="35" t="s">
        <v>1775</v>
      </c>
      <c r="G543" s="35" t="s">
        <v>2256</v>
      </c>
      <c r="H543" s="35" t="s">
        <v>37</v>
      </c>
      <c r="I543" s="35" t="s">
        <v>38</v>
      </c>
      <c r="J543" s="35" t="s">
        <v>499</v>
      </c>
      <c r="K543" s="35" t="s">
        <v>500</v>
      </c>
      <c r="L543" s="35">
        <v>771780</v>
      </c>
      <c r="M543" s="35">
        <v>0</v>
      </c>
      <c r="N543" s="35">
        <v>0</v>
      </c>
      <c r="O543" s="35">
        <v>4833780</v>
      </c>
      <c r="P543" s="35" t="s">
        <v>41</v>
      </c>
      <c r="Q543" s="35" t="s">
        <v>42</v>
      </c>
      <c r="R543" s="26"/>
      <c r="S543" s="26"/>
      <c r="T543" s="26"/>
      <c r="U543" s="26"/>
      <c r="V543" s="26"/>
      <c r="W543" s="35" t="s">
        <v>43</v>
      </c>
      <c r="X543" s="26" t="s">
        <v>1625</v>
      </c>
    </row>
    <row r="544" spans="1:24" s="29" customFormat="1">
      <c r="A544" s="34" t="s">
        <v>31</v>
      </c>
      <c r="B544" s="34" t="s">
        <v>2257</v>
      </c>
      <c r="C544" s="34" t="s">
        <v>2258</v>
      </c>
      <c r="D544" s="34">
        <f t="shared" si="8"/>
        <v>-1</v>
      </c>
      <c r="E544" s="34" t="s">
        <v>34</v>
      </c>
      <c r="F544" s="34" t="s">
        <v>1775</v>
      </c>
      <c r="G544" s="34" t="s">
        <v>2259</v>
      </c>
      <c r="H544" s="34" t="s">
        <v>37</v>
      </c>
      <c r="I544" s="34" t="s">
        <v>38</v>
      </c>
      <c r="J544" s="34" t="s">
        <v>2260</v>
      </c>
      <c r="K544" s="34" t="s">
        <v>2261</v>
      </c>
      <c r="L544" s="34">
        <v>336300</v>
      </c>
      <c r="M544" s="34">
        <v>0</v>
      </c>
      <c r="N544" s="34">
        <v>0</v>
      </c>
      <c r="O544" s="34">
        <v>2106300</v>
      </c>
      <c r="P544" s="34" t="s">
        <v>41</v>
      </c>
      <c r="Q544" s="34" t="s">
        <v>42</v>
      </c>
      <c r="R544" s="26"/>
      <c r="S544" s="26"/>
      <c r="T544" s="26" t="s">
        <v>43</v>
      </c>
      <c r="U544" s="26"/>
      <c r="V544" s="26"/>
      <c r="W544" s="26"/>
      <c r="X544" s="26"/>
    </row>
    <row r="545" spans="1:24" s="29" customFormat="1">
      <c r="A545" s="35" t="s">
        <v>31</v>
      </c>
      <c r="B545" s="35" t="s">
        <v>2262</v>
      </c>
      <c r="C545" s="35" t="s">
        <v>2263</v>
      </c>
      <c r="D545" s="35">
        <f t="shared" si="8"/>
        <v>-1</v>
      </c>
      <c r="E545" s="35" t="s">
        <v>34</v>
      </c>
      <c r="F545" s="35" t="s">
        <v>1775</v>
      </c>
      <c r="G545" s="35" t="s">
        <v>2264</v>
      </c>
      <c r="H545" s="35" t="s">
        <v>37</v>
      </c>
      <c r="I545" s="35" t="s">
        <v>38</v>
      </c>
      <c r="J545" s="35" t="s">
        <v>2265</v>
      </c>
      <c r="K545" s="35" t="s">
        <v>2266</v>
      </c>
      <c r="L545" s="35">
        <v>37050</v>
      </c>
      <c r="M545" s="35">
        <v>0</v>
      </c>
      <c r="N545" s="35">
        <v>0</v>
      </c>
      <c r="O545" s="35">
        <v>232050</v>
      </c>
      <c r="P545" s="35" t="s">
        <v>41</v>
      </c>
      <c r="Q545" s="35" t="s">
        <v>42</v>
      </c>
      <c r="R545" s="26"/>
      <c r="S545" s="26"/>
      <c r="T545" s="26"/>
      <c r="U545" s="26"/>
      <c r="V545" s="26"/>
      <c r="W545" s="35" t="s">
        <v>43</v>
      </c>
      <c r="X545" s="26" t="s">
        <v>1029</v>
      </c>
    </row>
    <row r="546" spans="1:24" s="29" customFormat="1">
      <c r="A546" s="26" t="s">
        <v>31</v>
      </c>
      <c r="B546" s="26" t="s">
        <v>2267</v>
      </c>
      <c r="C546" s="26" t="s">
        <v>2268</v>
      </c>
      <c r="D546" s="26">
        <f t="shared" si="8"/>
        <v>-1</v>
      </c>
      <c r="E546" s="26" t="s">
        <v>34</v>
      </c>
      <c r="F546" s="26" t="s">
        <v>1775</v>
      </c>
      <c r="G546" s="26" t="s">
        <v>2269</v>
      </c>
      <c r="H546" s="26" t="s">
        <v>37</v>
      </c>
      <c r="I546" s="26" t="s">
        <v>38</v>
      </c>
      <c r="J546" s="26" t="s">
        <v>1766</v>
      </c>
      <c r="K546" s="26" t="s">
        <v>1767</v>
      </c>
      <c r="L546" s="26">
        <v>0</v>
      </c>
      <c r="M546" s="26">
        <v>0</v>
      </c>
      <c r="N546" s="26">
        <v>0</v>
      </c>
      <c r="O546" s="26">
        <v>791099</v>
      </c>
      <c r="P546" s="26" t="s">
        <v>41</v>
      </c>
      <c r="Q546" s="26" t="s">
        <v>42</v>
      </c>
      <c r="R546" s="26"/>
      <c r="S546" s="26"/>
      <c r="T546" s="26"/>
      <c r="U546" s="26"/>
      <c r="V546" s="26" t="s">
        <v>43</v>
      </c>
      <c r="W546" s="26"/>
      <c r="X546" s="26"/>
    </row>
    <row r="547" spans="1:24" s="29" customFormat="1">
      <c r="A547" s="26" t="s">
        <v>31</v>
      </c>
      <c r="B547" s="26" t="s">
        <v>2270</v>
      </c>
      <c r="C547" s="26" t="s">
        <v>2271</v>
      </c>
      <c r="D547" s="26">
        <f t="shared" si="8"/>
        <v>-1</v>
      </c>
      <c r="E547" s="26" t="s">
        <v>34</v>
      </c>
      <c r="F547" s="26" t="s">
        <v>2161</v>
      </c>
      <c r="G547" s="26" t="s">
        <v>2272</v>
      </c>
      <c r="H547" s="26" t="s">
        <v>37</v>
      </c>
      <c r="I547" s="26" t="s">
        <v>38</v>
      </c>
      <c r="J547" s="26" t="s">
        <v>1014</v>
      </c>
      <c r="K547" s="26" t="s">
        <v>1015</v>
      </c>
      <c r="L547" s="26">
        <v>764855.64</v>
      </c>
      <c r="M547" s="26">
        <v>0</v>
      </c>
      <c r="N547" s="26">
        <v>0</v>
      </c>
      <c r="O547" s="26">
        <v>4790411.6399999997</v>
      </c>
      <c r="P547" s="26" t="s">
        <v>41</v>
      </c>
      <c r="Q547" s="26" t="s">
        <v>42</v>
      </c>
      <c r="R547" s="26"/>
      <c r="S547" s="26"/>
      <c r="T547" s="26"/>
      <c r="U547" s="26"/>
      <c r="V547" s="26" t="s">
        <v>43</v>
      </c>
      <c r="W547" s="26"/>
      <c r="X547" s="26"/>
    </row>
    <row r="548" spans="1:24" s="29" customFormat="1">
      <c r="A548" s="26" t="s">
        <v>31</v>
      </c>
      <c r="B548" s="26" t="s">
        <v>2273</v>
      </c>
      <c r="C548" s="26" t="s">
        <v>2274</v>
      </c>
      <c r="D548" s="26">
        <f t="shared" si="8"/>
        <v>-1</v>
      </c>
      <c r="E548" s="26" t="s">
        <v>34</v>
      </c>
      <c r="F548" s="26" t="s">
        <v>2161</v>
      </c>
      <c r="G548" s="26" t="s">
        <v>2275</v>
      </c>
      <c r="H548" s="26" t="s">
        <v>37</v>
      </c>
      <c r="I548" s="26" t="s">
        <v>38</v>
      </c>
      <c r="J548" s="26" t="s">
        <v>1014</v>
      </c>
      <c r="K548" s="26" t="s">
        <v>1015</v>
      </c>
      <c r="L548" s="26">
        <v>450300</v>
      </c>
      <c r="M548" s="26">
        <v>0</v>
      </c>
      <c r="N548" s="26">
        <v>0</v>
      </c>
      <c r="O548" s="26">
        <v>2820300</v>
      </c>
      <c r="P548" s="26" t="s">
        <v>41</v>
      </c>
      <c r="Q548" s="26" t="s">
        <v>42</v>
      </c>
      <c r="R548" s="26"/>
      <c r="S548" s="26"/>
      <c r="T548" s="26"/>
      <c r="U548" s="26"/>
      <c r="V548" s="26" t="s">
        <v>43</v>
      </c>
      <c r="W548" s="26"/>
      <c r="X548" s="26"/>
    </row>
    <row r="549" spans="1:24" s="29" customFormat="1">
      <c r="A549" s="26" t="s">
        <v>31</v>
      </c>
      <c r="B549" s="26" t="s">
        <v>2276</v>
      </c>
      <c r="C549" s="26" t="s">
        <v>2277</v>
      </c>
      <c r="D549" s="26">
        <f t="shared" si="8"/>
        <v>-1</v>
      </c>
      <c r="E549" s="26" t="s">
        <v>34</v>
      </c>
      <c r="F549" s="26" t="s">
        <v>2161</v>
      </c>
      <c r="G549" s="26" t="s">
        <v>2278</v>
      </c>
      <c r="H549" s="26" t="s">
        <v>37</v>
      </c>
      <c r="I549" s="26" t="s">
        <v>38</v>
      </c>
      <c r="J549" s="26" t="s">
        <v>2279</v>
      </c>
      <c r="K549" s="26" t="s">
        <v>2280</v>
      </c>
      <c r="L549" s="26">
        <v>539420.82999999996</v>
      </c>
      <c r="M549" s="26">
        <v>0</v>
      </c>
      <c r="N549" s="26">
        <v>0</v>
      </c>
      <c r="O549" s="26">
        <v>3403982.83</v>
      </c>
      <c r="P549" s="26" t="s">
        <v>41</v>
      </c>
      <c r="Q549" s="26" t="s">
        <v>42</v>
      </c>
      <c r="R549" s="26"/>
      <c r="S549" s="26"/>
      <c r="T549" s="26"/>
      <c r="U549" s="26"/>
      <c r="V549" s="26" t="s">
        <v>43</v>
      </c>
      <c r="W549" s="26"/>
      <c r="X549" s="26"/>
    </row>
    <row r="550" spans="1:24" s="29" customFormat="1">
      <c r="A550" s="26" t="s">
        <v>31</v>
      </c>
      <c r="B550" s="26" t="s">
        <v>2281</v>
      </c>
      <c r="C550" s="26" t="s">
        <v>2282</v>
      </c>
      <c r="D550" s="26">
        <f t="shared" si="8"/>
        <v>-1</v>
      </c>
      <c r="E550" s="26" t="s">
        <v>34</v>
      </c>
      <c r="F550" s="26" t="s">
        <v>2161</v>
      </c>
      <c r="G550" s="26" t="s">
        <v>2283</v>
      </c>
      <c r="H550" s="26" t="s">
        <v>37</v>
      </c>
      <c r="I550" s="26" t="s">
        <v>38</v>
      </c>
      <c r="J550" s="26" t="s">
        <v>2284</v>
      </c>
      <c r="K550" s="26" t="s">
        <v>2285</v>
      </c>
      <c r="L550" s="26">
        <v>144400</v>
      </c>
      <c r="M550" s="26">
        <v>0</v>
      </c>
      <c r="N550" s="26">
        <v>0</v>
      </c>
      <c r="O550" s="26">
        <v>904400</v>
      </c>
      <c r="P550" s="26" t="s">
        <v>41</v>
      </c>
      <c r="Q550" s="26" t="s">
        <v>42</v>
      </c>
      <c r="R550" s="26"/>
      <c r="S550" s="26"/>
      <c r="T550" s="26"/>
      <c r="U550" s="26"/>
      <c r="V550" s="26" t="s">
        <v>43</v>
      </c>
      <c r="W550" s="26"/>
      <c r="X550" s="26"/>
    </row>
    <row r="551" spans="1:24" s="29" customFormat="1">
      <c r="A551" s="35" t="s">
        <v>31</v>
      </c>
      <c r="B551" s="35" t="s">
        <v>2286</v>
      </c>
      <c r="C551" s="35" t="s">
        <v>2287</v>
      </c>
      <c r="D551" s="35">
        <f t="shared" si="8"/>
        <v>-1</v>
      </c>
      <c r="E551" s="35" t="s">
        <v>34</v>
      </c>
      <c r="F551" s="35" t="s">
        <v>2161</v>
      </c>
      <c r="G551" s="35" t="s">
        <v>2288</v>
      </c>
      <c r="H551" s="35" t="s">
        <v>37</v>
      </c>
      <c r="I551" s="35" t="s">
        <v>38</v>
      </c>
      <c r="J551" s="35" t="s">
        <v>2289</v>
      </c>
      <c r="K551" s="35" t="s">
        <v>2290</v>
      </c>
      <c r="L551" s="35">
        <v>100708.26</v>
      </c>
      <c r="M551" s="35">
        <v>0</v>
      </c>
      <c r="N551" s="35">
        <v>0</v>
      </c>
      <c r="O551" s="35">
        <v>630751.74</v>
      </c>
      <c r="P551" s="35" t="s">
        <v>41</v>
      </c>
      <c r="Q551" s="35" t="s">
        <v>42</v>
      </c>
      <c r="R551" s="26"/>
      <c r="S551" s="26"/>
      <c r="T551" s="26"/>
      <c r="U551" s="26"/>
      <c r="V551" s="26"/>
      <c r="W551" s="35" t="s">
        <v>43</v>
      </c>
      <c r="X551" s="26" t="s">
        <v>1029</v>
      </c>
    </row>
    <row r="552" spans="1:24" s="29" customFormat="1">
      <c r="A552" s="26" t="s">
        <v>31</v>
      </c>
      <c r="B552" s="26" t="s">
        <v>2291</v>
      </c>
      <c r="C552" s="26" t="s">
        <v>2292</v>
      </c>
      <c r="D552" s="26">
        <f t="shared" si="8"/>
        <v>-1</v>
      </c>
      <c r="E552" s="26" t="s">
        <v>34</v>
      </c>
      <c r="F552" s="26" t="s">
        <v>2161</v>
      </c>
      <c r="G552" s="26" t="s">
        <v>2293</v>
      </c>
      <c r="H552" s="26" t="s">
        <v>37</v>
      </c>
      <c r="I552" s="26" t="s">
        <v>38</v>
      </c>
      <c r="J552" s="26" t="s">
        <v>1619</v>
      </c>
      <c r="K552" s="26" t="s">
        <v>1620</v>
      </c>
      <c r="L552" s="26">
        <v>140600</v>
      </c>
      <c r="M552" s="26">
        <v>0</v>
      </c>
      <c r="N552" s="26">
        <v>0</v>
      </c>
      <c r="O552" s="26">
        <v>880600</v>
      </c>
      <c r="P552" s="26" t="s">
        <v>41</v>
      </c>
      <c r="Q552" s="26" t="s">
        <v>42</v>
      </c>
      <c r="R552" s="26"/>
      <c r="S552" s="26"/>
      <c r="T552" s="26"/>
      <c r="U552" s="26"/>
      <c r="V552" s="26" t="s">
        <v>43</v>
      </c>
      <c r="W552" s="26"/>
      <c r="X552" s="26"/>
    </row>
    <row r="553" spans="1:24" s="29" customFormat="1">
      <c r="A553" s="26" t="s">
        <v>31</v>
      </c>
      <c r="B553" s="26" t="s">
        <v>2294</v>
      </c>
      <c r="C553" s="26" t="s">
        <v>2295</v>
      </c>
      <c r="D553" s="26">
        <f t="shared" si="8"/>
        <v>-1</v>
      </c>
      <c r="E553" s="26" t="s">
        <v>34</v>
      </c>
      <c r="F553" s="26" t="s">
        <v>2161</v>
      </c>
      <c r="G553" s="26" t="s">
        <v>2296</v>
      </c>
      <c r="H553" s="26" t="s">
        <v>37</v>
      </c>
      <c r="I553" s="26" t="s">
        <v>38</v>
      </c>
      <c r="J553" s="26" t="s">
        <v>2297</v>
      </c>
      <c r="K553" s="26" t="s">
        <v>2298</v>
      </c>
      <c r="L553" s="26">
        <v>196840</v>
      </c>
      <c r="M553" s="26">
        <v>0</v>
      </c>
      <c r="N553" s="26">
        <v>0</v>
      </c>
      <c r="O553" s="26">
        <v>1232840</v>
      </c>
      <c r="P553" s="26" t="s">
        <v>41</v>
      </c>
      <c r="Q553" s="26" t="s">
        <v>42</v>
      </c>
      <c r="R553" s="26"/>
      <c r="S553" s="26"/>
      <c r="T553" s="26"/>
      <c r="U553" s="26"/>
      <c r="V553" s="26" t="s">
        <v>43</v>
      </c>
      <c r="W553" s="26"/>
      <c r="X553" s="26"/>
    </row>
    <row r="554" spans="1:24" s="29" customFormat="1">
      <c r="A554" s="26" t="s">
        <v>31</v>
      </c>
      <c r="B554" s="26" t="s">
        <v>2299</v>
      </c>
      <c r="C554" s="26" t="s">
        <v>2300</v>
      </c>
      <c r="D554" s="26">
        <f t="shared" si="8"/>
        <v>-1</v>
      </c>
      <c r="E554" s="26" t="s">
        <v>34</v>
      </c>
      <c r="F554" s="26" t="s">
        <v>2161</v>
      </c>
      <c r="G554" s="26" t="s">
        <v>2301</v>
      </c>
      <c r="H554" s="26" t="s">
        <v>37</v>
      </c>
      <c r="I554" s="26" t="s">
        <v>38</v>
      </c>
      <c r="J554" s="26" t="s">
        <v>2302</v>
      </c>
      <c r="K554" s="26" t="s">
        <v>2303</v>
      </c>
      <c r="L554" s="26">
        <v>402800</v>
      </c>
      <c r="M554" s="26">
        <v>0</v>
      </c>
      <c r="N554" s="26">
        <v>0</v>
      </c>
      <c r="O554" s="26">
        <v>2522800</v>
      </c>
      <c r="P554" s="26" t="s">
        <v>41</v>
      </c>
      <c r="Q554" s="26" t="s">
        <v>42</v>
      </c>
      <c r="R554" s="26"/>
      <c r="S554" s="26"/>
      <c r="T554" s="26"/>
      <c r="U554" s="26"/>
      <c r="V554" s="26" t="s">
        <v>43</v>
      </c>
      <c r="W554" s="26"/>
      <c r="X554" s="26"/>
    </row>
    <row r="555" spans="1:24" s="29" customFormat="1">
      <c r="A555" s="31" t="s">
        <v>31</v>
      </c>
      <c r="B555" s="31" t="s">
        <v>2304</v>
      </c>
      <c r="C555" s="31" t="s">
        <v>2305</v>
      </c>
      <c r="D555" s="31">
        <f t="shared" si="8"/>
        <v>-1</v>
      </c>
      <c r="E555" s="31" t="s">
        <v>34</v>
      </c>
      <c r="F555" s="31" t="s">
        <v>2161</v>
      </c>
      <c r="G555" s="31" t="s">
        <v>2306</v>
      </c>
      <c r="H555" s="31" t="s">
        <v>37</v>
      </c>
      <c r="I555" s="31" t="s">
        <v>38</v>
      </c>
      <c r="J555" s="31" t="s">
        <v>2252</v>
      </c>
      <c r="K555" s="31" t="s">
        <v>2253</v>
      </c>
      <c r="L555" s="31">
        <v>220780</v>
      </c>
      <c r="M555" s="31">
        <v>0</v>
      </c>
      <c r="N555" s="31">
        <v>0</v>
      </c>
      <c r="O555" s="31">
        <v>1382780</v>
      </c>
      <c r="P555" s="31" t="s">
        <v>41</v>
      </c>
      <c r="Q555" s="31" t="s">
        <v>42</v>
      </c>
      <c r="R555" s="26"/>
      <c r="S555" s="26"/>
      <c r="T555" s="26"/>
      <c r="U555" s="31" t="s">
        <v>43</v>
      </c>
      <c r="V555" s="26"/>
      <c r="W555" s="26"/>
      <c r="X555" s="26"/>
    </row>
    <row r="556" spans="1:24" s="29" customFormat="1">
      <c r="A556" s="26" t="s">
        <v>31</v>
      </c>
      <c r="B556" s="26" t="s">
        <v>2307</v>
      </c>
      <c r="C556" s="26" t="s">
        <v>2308</v>
      </c>
      <c r="D556" s="26">
        <f t="shared" si="8"/>
        <v>-1</v>
      </c>
      <c r="E556" s="26" t="s">
        <v>34</v>
      </c>
      <c r="F556" s="26" t="s">
        <v>2161</v>
      </c>
      <c r="G556" s="26" t="s">
        <v>2309</v>
      </c>
      <c r="H556" s="26" t="s">
        <v>37</v>
      </c>
      <c r="I556" s="26" t="s">
        <v>38</v>
      </c>
      <c r="J556" s="26" t="s">
        <v>2310</v>
      </c>
      <c r="K556" s="26" t="s">
        <v>2311</v>
      </c>
      <c r="L556" s="26">
        <v>228047.5</v>
      </c>
      <c r="M556" s="26">
        <v>0</v>
      </c>
      <c r="N556" s="26">
        <v>0</v>
      </c>
      <c r="O556" s="26">
        <v>1428297.5</v>
      </c>
      <c r="P556" s="26" t="s">
        <v>41</v>
      </c>
      <c r="Q556" s="26" t="s">
        <v>42</v>
      </c>
      <c r="R556" s="26"/>
      <c r="S556" s="26"/>
      <c r="T556" s="26"/>
      <c r="U556" s="26"/>
      <c r="V556" s="26" t="s">
        <v>43</v>
      </c>
      <c r="W556" s="26"/>
      <c r="X556" s="26"/>
    </row>
    <row r="557" spans="1:24" s="29" customFormat="1">
      <c r="A557" s="26" t="s">
        <v>31</v>
      </c>
      <c r="B557" s="26" t="s">
        <v>2312</v>
      </c>
      <c r="C557" s="26" t="s">
        <v>2313</v>
      </c>
      <c r="D557" s="26">
        <f t="shared" si="8"/>
        <v>-1</v>
      </c>
      <c r="E557" s="26" t="s">
        <v>34</v>
      </c>
      <c r="F557" s="26" t="s">
        <v>2161</v>
      </c>
      <c r="G557" s="26" t="s">
        <v>2314</v>
      </c>
      <c r="H557" s="26" t="s">
        <v>37</v>
      </c>
      <c r="I557" s="26" t="s">
        <v>38</v>
      </c>
      <c r="J557" s="26" t="s">
        <v>337</v>
      </c>
      <c r="K557" s="26" t="s">
        <v>338</v>
      </c>
      <c r="L557" s="26">
        <v>38380</v>
      </c>
      <c r="M557" s="26">
        <v>0</v>
      </c>
      <c r="N557" s="26">
        <v>0</v>
      </c>
      <c r="O557" s="26">
        <v>240380</v>
      </c>
      <c r="P557" s="26" t="s">
        <v>41</v>
      </c>
      <c r="Q557" s="26" t="s">
        <v>42</v>
      </c>
      <c r="R557" s="26"/>
      <c r="S557" s="26"/>
      <c r="T557" s="26"/>
      <c r="U557" s="26"/>
      <c r="V557" s="26" t="s">
        <v>43</v>
      </c>
      <c r="W557" s="26"/>
      <c r="X557" s="26"/>
    </row>
    <row r="558" spans="1:24" s="29" customFormat="1">
      <c r="A558" s="26" t="s">
        <v>31</v>
      </c>
      <c r="B558" s="26" t="s">
        <v>2315</v>
      </c>
      <c r="C558" s="26" t="s">
        <v>2316</v>
      </c>
      <c r="D558" s="26">
        <f t="shared" si="8"/>
        <v>-1</v>
      </c>
      <c r="E558" s="26" t="s">
        <v>34</v>
      </c>
      <c r="F558" s="26" t="s">
        <v>2161</v>
      </c>
      <c r="G558" s="26" t="s">
        <v>2317</v>
      </c>
      <c r="H558" s="26" t="s">
        <v>37</v>
      </c>
      <c r="I558" s="26" t="s">
        <v>38</v>
      </c>
      <c r="J558" s="26" t="s">
        <v>2318</v>
      </c>
      <c r="K558" s="26" t="s">
        <v>2319</v>
      </c>
      <c r="L558" s="26">
        <v>86375.9</v>
      </c>
      <c r="M558" s="26">
        <v>0</v>
      </c>
      <c r="N558" s="26">
        <v>0</v>
      </c>
      <c r="O558" s="26">
        <v>540985.9</v>
      </c>
      <c r="P558" s="26" t="s">
        <v>41</v>
      </c>
      <c r="Q558" s="26" t="s">
        <v>42</v>
      </c>
      <c r="R558" s="26"/>
      <c r="S558" s="26"/>
      <c r="T558" s="26"/>
      <c r="U558" s="26"/>
      <c r="V558" s="26" t="s">
        <v>43</v>
      </c>
      <c r="W558" s="26"/>
      <c r="X558" s="26"/>
    </row>
    <row r="559" spans="1:24" s="29" customFormat="1">
      <c r="A559" s="26" t="s">
        <v>31</v>
      </c>
      <c r="B559" s="26" t="s">
        <v>2320</v>
      </c>
      <c r="C559" s="26" t="s">
        <v>2321</v>
      </c>
      <c r="D559" s="26">
        <f t="shared" si="8"/>
        <v>-1</v>
      </c>
      <c r="E559" s="26" t="s">
        <v>34</v>
      </c>
      <c r="F559" s="26" t="s">
        <v>2161</v>
      </c>
      <c r="G559" s="26" t="s">
        <v>2322</v>
      </c>
      <c r="H559" s="26" t="s">
        <v>37</v>
      </c>
      <c r="I559" s="26" t="s">
        <v>38</v>
      </c>
      <c r="J559" s="26" t="s">
        <v>1014</v>
      </c>
      <c r="K559" s="26" t="s">
        <v>1015</v>
      </c>
      <c r="L559" s="26">
        <v>20954.34</v>
      </c>
      <c r="M559" s="26">
        <v>0</v>
      </c>
      <c r="N559" s="26">
        <v>0</v>
      </c>
      <c r="O559" s="26">
        <v>131240.34</v>
      </c>
      <c r="P559" s="26" t="s">
        <v>41</v>
      </c>
      <c r="Q559" s="26" t="s">
        <v>42</v>
      </c>
      <c r="R559" s="26"/>
      <c r="S559" s="26"/>
      <c r="T559" s="26"/>
      <c r="U559" s="26"/>
      <c r="V559" s="26" t="s">
        <v>43</v>
      </c>
      <c r="W559" s="26"/>
      <c r="X559" s="26"/>
    </row>
    <row r="560" spans="1:24" s="29" customFormat="1">
      <c r="A560" s="26" t="s">
        <v>31</v>
      </c>
      <c r="B560" s="26" t="s">
        <v>2323</v>
      </c>
      <c r="C560" s="26" t="s">
        <v>2324</v>
      </c>
      <c r="D560" s="26">
        <f t="shared" si="8"/>
        <v>-1</v>
      </c>
      <c r="E560" s="26" t="s">
        <v>34</v>
      </c>
      <c r="F560" s="26" t="s">
        <v>2161</v>
      </c>
      <c r="G560" s="26" t="s">
        <v>2325</v>
      </c>
      <c r="H560" s="26" t="s">
        <v>37</v>
      </c>
      <c r="I560" s="26" t="s">
        <v>38</v>
      </c>
      <c r="J560" s="26" t="s">
        <v>2326</v>
      </c>
      <c r="K560" s="26" t="s">
        <v>2327</v>
      </c>
      <c r="L560" s="26">
        <v>105216.63</v>
      </c>
      <c r="M560" s="26">
        <v>0</v>
      </c>
      <c r="N560" s="26">
        <v>0</v>
      </c>
      <c r="O560" s="26">
        <v>753109.63</v>
      </c>
      <c r="P560" s="26" t="s">
        <v>41</v>
      </c>
      <c r="Q560" s="26" t="s">
        <v>42</v>
      </c>
      <c r="R560" s="26"/>
      <c r="S560" s="26"/>
      <c r="T560" s="26"/>
      <c r="U560" s="26"/>
      <c r="V560" s="26" t="s">
        <v>43</v>
      </c>
      <c r="W560" s="26"/>
      <c r="X560" s="26"/>
    </row>
    <row r="561" spans="1:24" s="29" customFormat="1">
      <c r="A561" s="33" t="s">
        <v>31</v>
      </c>
      <c r="B561" s="33" t="s">
        <v>2328</v>
      </c>
      <c r="C561" s="33" t="s">
        <v>2329</v>
      </c>
      <c r="D561" s="33">
        <f t="shared" si="8"/>
        <v>-1</v>
      </c>
      <c r="E561" s="33" t="s">
        <v>34</v>
      </c>
      <c r="F561" s="33" t="s">
        <v>2161</v>
      </c>
      <c r="G561" s="33" t="s">
        <v>2330</v>
      </c>
      <c r="H561" s="33" t="s">
        <v>37</v>
      </c>
      <c r="I561" s="33" t="s">
        <v>38</v>
      </c>
      <c r="J561" s="33" t="s">
        <v>2331</v>
      </c>
      <c r="K561" s="33" t="s">
        <v>2332</v>
      </c>
      <c r="L561" s="33">
        <v>37392</v>
      </c>
      <c r="M561" s="33">
        <v>0</v>
      </c>
      <c r="N561" s="33">
        <v>0</v>
      </c>
      <c r="O561" s="33">
        <v>234192</v>
      </c>
      <c r="P561" s="33" t="s">
        <v>41</v>
      </c>
      <c r="Q561" s="33" t="s">
        <v>42</v>
      </c>
      <c r="R561" s="26"/>
      <c r="S561" s="26" t="s">
        <v>43</v>
      </c>
      <c r="T561" s="26"/>
      <c r="U561" s="26"/>
      <c r="V561" s="26"/>
      <c r="W561" s="26"/>
      <c r="X561" s="26"/>
    </row>
    <row r="562" spans="1:24" s="29" customFormat="1">
      <c r="A562" s="32" t="s">
        <v>31</v>
      </c>
      <c r="B562" s="32" t="s">
        <v>2333</v>
      </c>
      <c r="C562" s="32" t="s">
        <v>2334</v>
      </c>
      <c r="D562" s="32">
        <f t="shared" si="8"/>
        <v>-1</v>
      </c>
      <c r="E562" s="32" t="s">
        <v>34</v>
      </c>
      <c r="F562" s="32" t="s">
        <v>2161</v>
      </c>
      <c r="G562" s="32" t="s">
        <v>2335</v>
      </c>
      <c r="H562" s="32" t="s">
        <v>37</v>
      </c>
      <c r="I562" s="32" t="s">
        <v>38</v>
      </c>
      <c r="J562" s="32" t="s">
        <v>2336</v>
      </c>
      <c r="K562" s="32" t="s">
        <v>2337</v>
      </c>
      <c r="L562" s="32">
        <v>11020</v>
      </c>
      <c r="M562" s="32">
        <v>0</v>
      </c>
      <c r="N562" s="32">
        <v>0</v>
      </c>
      <c r="O562" s="32">
        <v>69020</v>
      </c>
      <c r="P562" s="32" t="s">
        <v>41</v>
      </c>
      <c r="Q562" s="32" t="s">
        <v>42</v>
      </c>
      <c r="R562" s="26" t="s">
        <v>43</v>
      </c>
      <c r="S562" s="26"/>
      <c r="T562" s="26"/>
      <c r="U562" s="26"/>
      <c r="V562" s="26"/>
      <c r="W562" s="26"/>
      <c r="X562" s="26"/>
    </row>
    <row r="563" spans="1:24" s="29" customFormat="1">
      <c r="A563" s="34" t="s">
        <v>31</v>
      </c>
      <c r="B563" s="34" t="s">
        <v>2338</v>
      </c>
      <c r="C563" s="34" t="s">
        <v>2339</v>
      </c>
      <c r="D563" s="34">
        <f t="shared" si="8"/>
        <v>-1</v>
      </c>
      <c r="E563" s="34" t="s">
        <v>34</v>
      </c>
      <c r="F563" s="34" t="s">
        <v>2161</v>
      </c>
      <c r="G563" s="34" t="s">
        <v>2340</v>
      </c>
      <c r="H563" s="34" t="s">
        <v>37</v>
      </c>
      <c r="I563" s="34" t="s">
        <v>38</v>
      </c>
      <c r="J563" s="34" t="s">
        <v>1647</v>
      </c>
      <c r="K563" s="34" t="s">
        <v>1648</v>
      </c>
      <c r="L563" s="34">
        <v>617443</v>
      </c>
      <c r="M563" s="34">
        <v>0</v>
      </c>
      <c r="N563" s="34">
        <v>0</v>
      </c>
      <c r="O563" s="34">
        <v>3867143</v>
      </c>
      <c r="P563" s="34" t="s">
        <v>41</v>
      </c>
      <c r="Q563" s="34" t="s">
        <v>42</v>
      </c>
      <c r="R563" s="26"/>
      <c r="S563" s="26"/>
      <c r="T563" s="26" t="s">
        <v>43</v>
      </c>
      <c r="U563" s="26"/>
      <c r="V563" s="26"/>
      <c r="W563" s="26"/>
      <c r="X563" s="26"/>
    </row>
    <row r="564" spans="1:24" s="29" customFormat="1">
      <c r="A564" s="26" t="s">
        <v>31</v>
      </c>
      <c r="B564" s="26" t="s">
        <v>2341</v>
      </c>
      <c r="C564" s="26" t="s">
        <v>2342</v>
      </c>
      <c r="D564" s="26">
        <f t="shared" si="8"/>
        <v>-1</v>
      </c>
      <c r="E564" s="26" t="s">
        <v>34</v>
      </c>
      <c r="F564" s="26" t="s">
        <v>2161</v>
      </c>
      <c r="G564" s="26" t="s">
        <v>2343</v>
      </c>
      <c r="H564" s="26" t="s">
        <v>37</v>
      </c>
      <c r="I564" s="26" t="s">
        <v>38</v>
      </c>
      <c r="J564" s="26" t="s">
        <v>2344</v>
      </c>
      <c r="K564" s="26" t="s">
        <v>2345</v>
      </c>
      <c r="L564" s="26">
        <v>68058</v>
      </c>
      <c r="M564" s="26">
        <v>0</v>
      </c>
      <c r="N564" s="26">
        <v>0</v>
      </c>
      <c r="O564" s="26">
        <v>4186258</v>
      </c>
      <c r="P564" s="26" t="s">
        <v>41</v>
      </c>
      <c r="Q564" s="26" t="s">
        <v>42</v>
      </c>
      <c r="R564" s="26"/>
      <c r="S564" s="26"/>
      <c r="T564" s="26"/>
      <c r="U564" s="26"/>
      <c r="V564" s="26" t="s">
        <v>43</v>
      </c>
      <c r="W564" s="26"/>
      <c r="X564" s="26"/>
    </row>
    <row r="565" spans="1:24" s="29" customFormat="1">
      <c r="A565" s="34" t="s">
        <v>31</v>
      </c>
      <c r="B565" s="34" t="s">
        <v>2346</v>
      </c>
      <c r="C565" s="34" t="s">
        <v>2347</v>
      </c>
      <c r="D565" s="34">
        <f t="shared" si="8"/>
        <v>-1</v>
      </c>
      <c r="E565" s="34" t="s">
        <v>34</v>
      </c>
      <c r="F565" s="34" t="s">
        <v>2161</v>
      </c>
      <c r="G565" s="34" t="s">
        <v>2348</v>
      </c>
      <c r="H565" s="34" t="s">
        <v>37</v>
      </c>
      <c r="I565" s="34" t="s">
        <v>38</v>
      </c>
      <c r="J565" s="34" t="s">
        <v>1647</v>
      </c>
      <c r="K565" s="34" t="s">
        <v>1648</v>
      </c>
      <c r="L565" s="34">
        <v>32756</v>
      </c>
      <c r="M565" s="34">
        <v>0</v>
      </c>
      <c r="N565" s="34">
        <v>0</v>
      </c>
      <c r="O565" s="34">
        <v>205156</v>
      </c>
      <c r="P565" s="34" t="s">
        <v>41</v>
      </c>
      <c r="Q565" s="34" t="s">
        <v>42</v>
      </c>
      <c r="R565" s="26"/>
      <c r="S565" s="26"/>
      <c r="T565" s="26" t="s">
        <v>43</v>
      </c>
      <c r="U565" s="26"/>
      <c r="V565" s="26"/>
      <c r="W565" s="26"/>
      <c r="X565" s="26"/>
    </row>
    <row r="566" spans="1:24" s="29" customFormat="1">
      <c r="A566" s="26" t="s">
        <v>31</v>
      </c>
      <c r="B566" s="26" t="s">
        <v>2349</v>
      </c>
      <c r="C566" s="26" t="s">
        <v>2350</v>
      </c>
      <c r="D566" s="26">
        <f t="shared" si="8"/>
        <v>-1</v>
      </c>
      <c r="E566" s="26" t="s">
        <v>34</v>
      </c>
      <c r="F566" s="26" t="s">
        <v>2161</v>
      </c>
      <c r="G566" s="26" t="s">
        <v>2351</v>
      </c>
      <c r="H566" s="26" t="s">
        <v>37</v>
      </c>
      <c r="I566" s="26" t="s">
        <v>38</v>
      </c>
      <c r="J566" s="26" t="s">
        <v>2352</v>
      </c>
      <c r="K566" s="26" t="s">
        <v>2353</v>
      </c>
      <c r="L566" s="26">
        <v>104500</v>
      </c>
      <c r="M566" s="26">
        <v>0</v>
      </c>
      <c r="N566" s="26">
        <v>0</v>
      </c>
      <c r="O566" s="26">
        <v>654500</v>
      </c>
      <c r="P566" s="26" t="s">
        <v>41</v>
      </c>
      <c r="Q566" s="26" t="s">
        <v>42</v>
      </c>
      <c r="R566" s="26"/>
      <c r="S566" s="26"/>
      <c r="T566" s="26"/>
      <c r="U566" s="26"/>
      <c r="V566" s="26" t="s">
        <v>43</v>
      </c>
      <c r="W566" s="26"/>
      <c r="X566" s="26"/>
    </row>
    <row r="567" spans="1:24" s="29" customFormat="1">
      <c r="A567" s="35" t="s">
        <v>31</v>
      </c>
      <c r="B567" s="35" t="s">
        <v>2354</v>
      </c>
      <c r="C567" s="35" t="s">
        <v>2355</v>
      </c>
      <c r="D567" s="35">
        <f t="shared" si="8"/>
        <v>-1</v>
      </c>
      <c r="E567" s="35" t="s">
        <v>34</v>
      </c>
      <c r="F567" s="35" t="s">
        <v>2161</v>
      </c>
      <c r="G567" s="35" t="s">
        <v>2356</v>
      </c>
      <c r="H567" s="35" t="s">
        <v>37</v>
      </c>
      <c r="I567" s="35" t="s">
        <v>38</v>
      </c>
      <c r="J567" s="35" t="s">
        <v>2357</v>
      </c>
      <c r="K567" s="35" t="s">
        <v>2358</v>
      </c>
      <c r="L567" s="35">
        <v>6832.97</v>
      </c>
      <c r="M567" s="35">
        <v>0</v>
      </c>
      <c r="N567" s="35">
        <v>0</v>
      </c>
      <c r="O567" s="35">
        <v>120395.97</v>
      </c>
      <c r="P567" s="35" t="s">
        <v>41</v>
      </c>
      <c r="Q567" s="35" t="s">
        <v>42</v>
      </c>
      <c r="R567" s="26"/>
      <c r="S567" s="26"/>
      <c r="T567" s="26"/>
      <c r="U567" s="26"/>
      <c r="V567" s="26"/>
      <c r="W567" s="35" t="s">
        <v>43</v>
      </c>
      <c r="X567" s="26" t="s">
        <v>2359</v>
      </c>
    </row>
    <row r="568" spans="1:24" s="29" customFormat="1">
      <c r="A568" s="26" t="s">
        <v>31</v>
      </c>
      <c r="B568" s="26" t="s">
        <v>2360</v>
      </c>
      <c r="C568" s="26" t="s">
        <v>2361</v>
      </c>
      <c r="D568" s="26">
        <f t="shared" si="8"/>
        <v>-1</v>
      </c>
      <c r="E568" s="26" t="s">
        <v>34</v>
      </c>
      <c r="F568" s="26" t="s">
        <v>2161</v>
      </c>
      <c r="G568" s="26" t="s">
        <v>2362</v>
      </c>
      <c r="H568" s="26" t="s">
        <v>37</v>
      </c>
      <c r="I568" s="26" t="s">
        <v>38</v>
      </c>
      <c r="J568" s="26" t="s">
        <v>2352</v>
      </c>
      <c r="K568" s="26" t="s">
        <v>2353</v>
      </c>
      <c r="L568" s="26">
        <v>95000</v>
      </c>
      <c r="M568" s="26">
        <v>0</v>
      </c>
      <c r="N568" s="26">
        <v>0</v>
      </c>
      <c r="O568" s="26">
        <v>595000</v>
      </c>
      <c r="P568" s="26" t="s">
        <v>41</v>
      </c>
      <c r="Q568" s="26" t="s">
        <v>42</v>
      </c>
      <c r="R568" s="26"/>
      <c r="S568" s="26"/>
      <c r="T568" s="26"/>
      <c r="U568" s="26"/>
      <c r="V568" s="26" t="s">
        <v>43</v>
      </c>
      <c r="W568" s="26"/>
      <c r="X568" s="26"/>
    </row>
    <row r="569" spans="1:24" s="29" customFormat="1">
      <c r="A569" s="34" t="s">
        <v>31</v>
      </c>
      <c r="B569" s="34" t="s">
        <v>2363</v>
      </c>
      <c r="C569" s="34" t="s">
        <v>2364</v>
      </c>
      <c r="D569" s="34">
        <f t="shared" si="8"/>
        <v>-1</v>
      </c>
      <c r="E569" s="34" t="s">
        <v>34</v>
      </c>
      <c r="F569" s="34" t="s">
        <v>2161</v>
      </c>
      <c r="G569" s="34" t="s">
        <v>2365</v>
      </c>
      <c r="H569" s="34" t="s">
        <v>37</v>
      </c>
      <c r="I569" s="34" t="s">
        <v>38</v>
      </c>
      <c r="J569" s="34" t="s">
        <v>1170</v>
      </c>
      <c r="K569" s="34" t="s">
        <v>1171</v>
      </c>
      <c r="L569" s="34">
        <v>5247800</v>
      </c>
      <c r="M569" s="34">
        <v>0</v>
      </c>
      <c r="N569" s="34">
        <v>0</v>
      </c>
      <c r="O569" s="34">
        <v>32867800</v>
      </c>
      <c r="P569" s="34" t="s">
        <v>41</v>
      </c>
      <c r="Q569" s="34" t="s">
        <v>42</v>
      </c>
      <c r="R569" s="26"/>
      <c r="S569" s="26"/>
      <c r="T569" s="26" t="s">
        <v>43</v>
      </c>
      <c r="U569" s="26"/>
      <c r="V569" s="26"/>
      <c r="W569" s="26"/>
      <c r="X569" s="26"/>
    </row>
    <row r="570" spans="1:24" s="29" customFormat="1">
      <c r="A570" s="34" t="s">
        <v>31</v>
      </c>
      <c r="B570" s="34" t="s">
        <v>2366</v>
      </c>
      <c r="C570" s="34" t="s">
        <v>2367</v>
      </c>
      <c r="D570" s="34">
        <f t="shared" si="8"/>
        <v>-1</v>
      </c>
      <c r="E570" s="34" t="s">
        <v>34</v>
      </c>
      <c r="F570" s="34" t="s">
        <v>2161</v>
      </c>
      <c r="G570" s="34" t="s">
        <v>2368</v>
      </c>
      <c r="H570" s="34" t="s">
        <v>37</v>
      </c>
      <c r="I570" s="34" t="s">
        <v>38</v>
      </c>
      <c r="J570" s="34" t="s">
        <v>2260</v>
      </c>
      <c r="K570" s="34" t="s">
        <v>2261</v>
      </c>
      <c r="L570" s="34">
        <v>168150</v>
      </c>
      <c r="M570" s="34">
        <v>0</v>
      </c>
      <c r="N570" s="34">
        <v>0</v>
      </c>
      <c r="O570" s="34">
        <v>1053150</v>
      </c>
      <c r="P570" s="34" t="s">
        <v>41</v>
      </c>
      <c r="Q570" s="34" t="s">
        <v>42</v>
      </c>
      <c r="R570" s="26"/>
      <c r="S570" s="26"/>
      <c r="T570" s="26" t="s">
        <v>43</v>
      </c>
      <c r="U570" s="26"/>
      <c r="V570" s="26"/>
      <c r="W570" s="26"/>
      <c r="X570" s="26"/>
    </row>
    <row r="571" spans="1:24" s="29" customFormat="1">
      <c r="A571" s="26" t="s">
        <v>31</v>
      </c>
      <c r="B571" s="26" t="s">
        <v>2369</v>
      </c>
      <c r="C571" s="26" t="s">
        <v>2370</v>
      </c>
      <c r="D571" s="26">
        <f t="shared" si="8"/>
        <v>-1</v>
      </c>
      <c r="E571" s="26" t="s">
        <v>34</v>
      </c>
      <c r="F571" s="26" t="s">
        <v>2161</v>
      </c>
      <c r="G571" s="26" t="s">
        <v>2371</v>
      </c>
      <c r="H571" s="26" t="s">
        <v>37</v>
      </c>
      <c r="I571" s="26" t="s">
        <v>38</v>
      </c>
      <c r="J571" s="26" t="s">
        <v>1299</v>
      </c>
      <c r="K571" s="26" t="s">
        <v>1300</v>
      </c>
      <c r="L571" s="26">
        <v>2300687.2000000002</v>
      </c>
      <c r="M571" s="26">
        <v>0</v>
      </c>
      <c r="N571" s="26">
        <v>0</v>
      </c>
      <c r="O571" s="26">
        <v>14409567.199999999</v>
      </c>
      <c r="P571" s="26" t="s">
        <v>41</v>
      </c>
      <c r="Q571" s="26" t="s">
        <v>42</v>
      </c>
      <c r="R571" s="26"/>
      <c r="S571" s="26"/>
      <c r="T571" s="26"/>
      <c r="U571" s="26"/>
      <c r="V571" s="26" t="s">
        <v>43</v>
      </c>
      <c r="W571" s="26"/>
      <c r="X571" s="26"/>
    </row>
    <row r="572" spans="1:24" s="29" customFormat="1">
      <c r="A572" s="34" t="s">
        <v>31</v>
      </c>
      <c r="B572" s="34" t="s">
        <v>2372</v>
      </c>
      <c r="C572" s="34" t="s">
        <v>2373</v>
      </c>
      <c r="D572" s="34">
        <f t="shared" si="8"/>
        <v>-1</v>
      </c>
      <c r="E572" s="34" t="s">
        <v>34</v>
      </c>
      <c r="F572" s="34" t="s">
        <v>2161</v>
      </c>
      <c r="G572" s="34" t="s">
        <v>2374</v>
      </c>
      <c r="H572" s="34" t="s">
        <v>37</v>
      </c>
      <c r="I572" s="34" t="s">
        <v>38</v>
      </c>
      <c r="J572" s="34" t="s">
        <v>2375</v>
      </c>
      <c r="K572" s="34" t="s">
        <v>2376</v>
      </c>
      <c r="L572" s="34">
        <v>41230</v>
      </c>
      <c r="M572" s="34">
        <v>0</v>
      </c>
      <c r="N572" s="34">
        <v>0</v>
      </c>
      <c r="O572" s="34">
        <v>258230</v>
      </c>
      <c r="P572" s="34" t="s">
        <v>41</v>
      </c>
      <c r="Q572" s="34" t="s">
        <v>42</v>
      </c>
      <c r="R572" s="26"/>
      <c r="S572" s="26"/>
      <c r="T572" s="26" t="s">
        <v>43</v>
      </c>
      <c r="U572" s="26"/>
      <c r="V572" s="26"/>
      <c r="W572" s="26"/>
      <c r="X572" s="26"/>
    </row>
    <row r="573" spans="1:24" s="29" customFormat="1">
      <c r="A573" s="26" t="s">
        <v>31</v>
      </c>
      <c r="B573" s="26" t="s">
        <v>2377</v>
      </c>
      <c r="C573" s="26" t="s">
        <v>2378</v>
      </c>
      <c r="D573" s="26">
        <f t="shared" si="8"/>
        <v>-1</v>
      </c>
      <c r="E573" s="26" t="s">
        <v>34</v>
      </c>
      <c r="F573" s="26" t="s">
        <v>2161</v>
      </c>
      <c r="G573" s="26" t="s">
        <v>2379</v>
      </c>
      <c r="H573" s="26" t="s">
        <v>37</v>
      </c>
      <c r="I573" s="26" t="s">
        <v>38</v>
      </c>
      <c r="J573" s="26" t="s">
        <v>1401</v>
      </c>
      <c r="K573" s="26" t="s">
        <v>1402</v>
      </c>
      <c r="L573" s="26">
        <v>54710.31</v>
      </c>
      <c r="M573" s="26">
        <v>0</v>
      </c>
      <c r="N573" s="26">
        <v>0</v>
      </c>
      <c r="O573" s="26">
        <v>342659.31</v>
      </c>
      <c r="P573" s="26" t="s">
        <v>41</v>
      </c>
      <c r="Q573" s="26" t="s">
        <v>42</v>
      </c>
      <c r="R573" s="26"/>
      <c r="S573" s="26"/>
      <c r="T573" s="26"/>
      <c r="U573" s="26"/>
      <c r="V573" s="26" t="s">
        <v>43</v>
      </c>
      <c r="W573" s="26"/>
      <c r="X573" s="26"/>
    </row>
    <row r="574" spans="1:24" s="29" customFormat="1">
      <c r="A574" s="26" t="s">
        <v>31</v>
      </c>
      <c r="B574" s="26" t="s">
        <v>2380</v>
      </c>
      <c r="C574" s="26" t="s">
        <v>2381</v>
      </c>
      <c r="D574" s="26">
        <f t="shared" si="8"/>
        <v>-1</v>
      </c>
      <c r="E574" s="26" t="s">
        <v>34</v>
      </c>
      <c r="F574" s="26" t="s">
        <v>2161</v>
      </c>
      <c r="G574" s="26" t="s">
        <v>2382</v>
      </c>
      <c r="H574" s="26" t="s">
        <v>37</v>
      </c>
      <c r="I574" s="26" t="s">
        <v>38</v>
      </c>
      <c r="J574" s="26" t="s">
        <v>1401</v>
      </c>
      <c r="K574" s="26" t="s">
        <v>1402</v>
      </c>
      <c r="L574" s="26">
        <v>8556498</v>
      </c>
      <c r="M574" s="26">
        <v>0</v>
      </c>
      <c r="N574" s="26">
        <v>0</v>
      </c>
      <c r="O574" s="26">
        <v>53590698</v>
      </c>
      <c r="P574" s="26" t="s">
        <v>41</v>
      </c>
      <c r="Q574" s="26" t="s">
        <v>42</v>
      </c>
      <c r="R574" s="26"/>
      <c r="S574" s="26"/>
      <c r="T574" s="26"/>
      <c r="U574" s="26"/>
      <c r="V574" s="26" t="s">
        <v>43</v>
      </c>
      <c r="W574" s="26"/>
      <c r="X574" s="26"/>
    </row>
    <row r="575" spans="1:24" s="29" customFormat="1">
      <c r="A575" s="26" t="s">
        <v>31</v>
      </c>
      <c r="B575" s="26" t="s">
        <v>2383</v>
      </c>
      <c r="C575" s="26" t="s">
        <v>2384</v>
      </c>
      <c r="D575" s="26">
        <f t="shared" si="8"/>
        <v>-1</v>
      </c>
      <c r="E575" s="26" t="s">
        <v>34</v>
      </c>
      <c r="F575" s="26" t="s">
        <v>2161</v>
      </c>
      <c r="G575" s="26" t="s">
        <v>2385</v>
      </c>
      <c r="H575" s="26" t="s">
        <v>37</v>
      </c>
      <c r="I575" s="26" t="s">
        <v>38</v>
      </c>
      <c r="J575" s="26" t="s">
        <v>1401</v>
      </c>
      <c r="K575" s="26" t="s">
        <v>1402</v>
      </c>
      <c r="L575" s="26">
        <v>34200</v>
      </c>
      <c r="M575" s="26">
        <v>0</v>
      </c>
      <c r="N575" s="26">
        <v>0</v>
      </c>
      <c r="O575" s="26">
        <v>214200</v>
      </c>
      <c r="P575" s="26" t="s">
        <v>41</v>
      </c>
      <c r="Q575" s="26" t="s">
        <v>42</v>
      </c>
      <c r="R575" s="26"/>
      <c r="S575" s="26"/>
      <c r="T575" s="26"/>
      <c r="U575" s="26"/>
      <c r="V575" s="26" t="s">
        <v>43</v>
      </c>
      <c r="W575" s="26"/>
      <c r="X575" s="26"/>
    </row>
    <row r="576" spans="1:24" s="29" customFormat="1">
      <c r="A576" s="32" t="s">
        <v>31</v>
      </c>
      <c r="B576" s="32" t="s">
        <v>2386</v>
      </c>
      <c r="C576" s="32" t="s">
        <v>2387</v>
      </c>
      <c r="D576" s="32">
        <f t="shared" si="8"/>
        <v>-1</v>
      </c>
      <c r="E576" s="32" t="s">
        <v>34</v>
      </c>
      <c r="F576" s="32" t="s">
        <v>2161</v>
      </c>
      <c r="G576" s="32" t="s">
        <v>2388</v>
      </c>
      <c r="H576" s="32" t="s">
        <v>37</v>
      </c>
      <c r="I576" s="32" t="s">
        <v>38</v>
      </c>
      <c r="J576" s="32" t="s">
        <v>2389</v>
      </c>
      <c r="K576" s="32" t="s">
        <v>2390</v>
      </c>
      <c r="L576" s="32">
        <v>329548.34999999998</v>
      </c>
      <c r="M576" s="32">
        <v>0</v>
      </c>
      <c r="N576" s="32">
        <v>0</v>
      </c>
      <c r="O576" s="32">
        <v>2965111.35</v>
      </c>
      <c r="P576" s="32" t="s">
        <v>41</v>
      </c>
      <c r="Q576" s="32" t="s">
        <v>42</v>
      </c>
      <c r="R576" s="26" t="s">
        <v>43</v>
      </c>
      <c r="S576" s="26"/>
      <c r="T576" s="26"/>
      <c r="U576" s="26"/>
      <c r="V576" s="26"/>
      <c r="W576" s="26"/>
      <c r="X576" s="26"/>
    </row>
    <row r="577" spans="1:24" s="29" customFormat="1">
      <c r="A577" s="26" t="s">
        <v>31</v>
      </c>
      <c r="B577" s="26" t="s">
        <v>2391</v>
      </c>
      <c r="C577" s="26" t="s">
        <v>2392</v>
      </c>
      <c r="D577" s="26">
        <f t="shared" si="8"/>
        <v>-1</v>
      </c>
      <c r="E577" s="26" t="s">
        <v>34</v>
      </c>
      <c r="F577" s="26" t="s">
        <v>2161</v>
      </c>
      <c r="G577" s="26" t="s">
        <v>2393</v>
      </c>
      <c r="H577" s="26" t="s">
        <v>37</v>
      </c>
      <c r="I577" s="26" t="s">
        <v>38</v>
      </c>
      <c r="J577" s="26" t="s">
        <v>2101</v>
      </c>
      <c r="K577" s="26" t="s">
        <v>2102</v>
      </c>
      <c r="L577" s="26">
        <v>0</v>
      </c>
      <c r="M577" s="26">
        <v>0</v>
      </c>
      <c r="N577" s="26">
        <v>0</v>
      </c>
      <c r="O577" s="26">
        <v>1438000</v>
      </c>
      <c r="P577" s="26" t="s">
        <v>41</v>
      </c>
      <c r="Q577" s="26" t="s">
        <v>42</v>
      </c>
      <c r="R577" s="26"/>
      <c r="S577" s="26"/>
      <c r="T577" s="26"/>
      <c r="U577" s="26"/>
      <c r="V577" s="26" t="s">
        <v>43</v>
      </c>
      <c r="W577" s="26"/>
      <c r="X577" s="26"/>
    </row>
    <row r="578" spans="1:24" s="29" customFormat="1">
      <c r="A578" s="35" t="s">
        <v>31</v>
      </c>
      <c r="B578" s="35" t="s">
        <v>2394</v>
      </c>
      <c r="C578" s="35" t="s">
        <v>2395</v>
      </c>
      <c r="D578" s="35">
        <f t="shared" si="8"/>
        <v>-1</v>
      </c>
      <c r="E578" s="35" t="s">
        <v>34</v>
      </c>
      <c r="F578" s="35" t="s">
        <v>2161</v>
      </c>
      <c r="G578" s="35" t="s">
        <v>2396</v>
      </c>
      <c r="H578" s="35" t="s">
        <v>37</v>
      </c>
      <c r="I578" s="35" t="s">
        <v>38</v>
      </c>
      <c r="J578" s="35" t="s">
        <v>2397</v>
      </c>
      <c r="K578" s="35" t="s">
        <v>2398</v>
      </c>
      <c r="L578" s="35">
        <v>66310</v>
      </c>
      <c r="M578" s="35">
        <v>0</v>
      </c>
      <c r="N578" s="35">
        <v>0</v>
      </c>
      <c r="O578" s="35">
        <v>415310</v>
      </c>
      <c r="P578" s="35" t="s">
        <v>41</v>
      </c>
      <c r="Q578" s="35" t="s">
        <v>42</v>
      </c>
      <c r="R578" s="26"/>
      <c r="S578" s="26"/>
      <c r="T578" s="26"/>
      <c r="U578" s="26"/>
      <c r="V578" s="26"/>
      <c r="W578" s="35" t="s">
        <v>43</v>
      </c>
      <c r="X578" s="26" t="s">
        <v>2359</v>
      </c>
    </row>
    <row r="579" spans="1:24" s="29" customFormat="1">
      <c r="A579" s="34" t="s">
        <v>31</v>
      </c>
      <c r="B579" s="34" t="s">
        <v>2399</v>
      </c>
      <c r="C579" s="34" t="s">
        <v>2400</v>
      </c>
      <c r="D579" s="34">
        <f t="shared" si="8"/>
        <v>-1</v>
      </c>
      <c r="E579" s="34" t="s">
        <v>34</v>
      </c>
      <c r="F579" s="34" t="s">
        <v>2161</v>
      </c>
      <c r="G579" s="34" t="s">
        <v>2401</v>
      </c>
      <c r="H579" s="34" t="s">
        <v>37</v>
      </c>
      <c r="I579" s="34" t="s">
        <v>38</v>
      </c>
      <c r="J579" s="34" t="s">
        <v>2402</v>
      </c>
      <c r="K579" s="34" t="s">
        <v>2403</v>
      </c>
      <c r="L579" s="34">
        <v>1197190</v>
      </c>
      <c r="M579" s="34">
        <v>0</v>
      </c>
      <c r="N579" s="34">
        <v>0</v>
      </c>
      <c r="O579" s="34">
        <v>7498190</v>
      </c>
      <c r="P579" s="34" t="s">
        <v>41</v>
      </c>
      <c r="Q579" s="34" t="s">
        <v>42</v>
      </c>
      <c r="R579" s="26"/>
      <c r="S579" s="26"/>
      <c r="T579" s="26" t="s">
        <v>43</v>
      </c>
      <c r="U579" s="26"/>
      <c r="V579" s="26"/>
      <c r="W579" s="26"/>
      <c r="X579" s="26"/>
    </row>
    <row r="580" spans="1:24" s="29" customFormat="1">
      <c r="A580" s="32" t="s">
        <v>31</v>
      </c>
      <c r="B580" s="32" t="s">
        <v>2404</v>
      </c>
      <c r="C580" s="32" t="s">
        <v>2405</v>
      </c>
      <c r="D580" s="32">
        <f t="shared" si="8"/>
        <v>-1</v>
      </c>
      <c r="E580" s="32" t="s">
        <v>34</v>
      </c>
      <c r="F580" s="32" t="s">
        <v>2161</v>
      </c>
      <c r="G580" s="32" t="s">
        <v>2406</v>
      </c>
      <c r="H580" s="32" t="s">
        <v>37</v>
      </c>
      <c r="I580" s="32" t="s">
        <v>38</v>
      </c>
      <c r="J580" s="32" t="s">
        <v>2407</v>
      </c>
      <c r="K580" s="32" t="s">
        <v>2408</v>
      </c>
      <c r="L580" s="32">
        <v>18591.5</v>
      </c>
      <c r="M580" s="32">
        <v>0</v>
      </c>
      <c r="N580" s="32">
        <v>0</v>
      </c>
      <c r="O580" s="32">
        <v>116441.5</v>
      </c>
      <c r="P580" s="32" t="s">
        <v>41</v>
      </c>
      <c r="Q580" s="32" t="s">
        <v>42</v>
      </c>
      <c r="R580" s="26" t="s">
        <v>43</v>
      </c>
      <c r="S580" s="26"/>
      <c r="T580" s="26"/>
      <c r="U580" s="26"/>
      <c r="V580" s="26"/>
      <c r="W580" s="26"/>
      <c r="X580" s="26"/>
    </row>
    <row r="581" spans="1:24" s="29" customFormat="1">
      <c r="A581" s="32" t="s">
        <v>31</v>
      </c>
      <c r="B581" s="32" t="s">
        <v>2409</v>
      </c>
      <c r="C581" s="32" t="s">
        <v>2410</v>
      </c>
      <c r="D581" s="32">
        <f t="shared" si="8"/>
        <v>-1</v>
      </c>
      <c r="E581" s="32" t="s">
        <v>34</v>
      </c>
      <c r="F581" s="32" t="s">
        <v>2161</v>
      </c>
      <c r="G581" s="32" t="s">
        <v>2411</v>
      </c>
      <c r="H581" s="32" t="s">
        <v>37</v>
      </c>
      <c r="I581" s="32" t="s">
        <v>38</v>
      </c>
      <c r="J581" s="32" t="s">
        <v>2407</v>
      </c>
      <c r="K581" s="32" t="s">
        <v>2408</v>
      </c>
      <c r="L581" s="32">
        <v>24625.9</v>
      </c>
      <c r="M581" s="32">
        <v>0</v>
      </c>
      <c r="N581" s="32">
        <v>0</v>
      </c>
      <c r="O581" s="32">
        <v>154235.9</v>
      </c>
      <c r="P581" s="32" t="s">
        <v>41</v>
      </c>
      <c r="Q581" s="32" t="s">
        <v>42</v>
      </c>
      <c r="R581" s="26" t="s">
        <v>43</v>
      </c>
      <c r="S581" s="26"/>
      <c r="T581" s="26"/>
      <c r="U581" s="26"/>
      <c r="V581" s="26"/>
      <c r="W581" s="26"/>
      <c r="X581" s="26"/>
    </row>
    <row r="582" spans="1:24" s="29" customFormat="1">
      <c r="A582" s="32" t="s">
        <v>31</v>
      </c>
      <c r="B582" s="32" t="s">
        <v>2412</v>
      </c>
      <c r="C582" s="32" t="s">
        <v>2413</v>
      </c>
      <c r="D582" s="32">
        <f t="shared" si="8"/>
        <v>-1</v>
      </c>
      <c r="E582" s="32" t="s">
        <v>34</v>
      </c>
      <c r="F582" s="32" t="s">
        <v>2161</v>
      </c>
      <c r="G582" s="32" t="s">
        <v>2414</v>
      </c>
      <c r="H582" s="32" t="s">
        <v>37</v>
      </c>
      <c r="I582" s="32" t="s">
        <v>38</v>
      </c>
      <c r="J582" s="32" t="s">
        <v>2415</v>
      </c>
      <c r="K582" s="32" t="s">
        <v>2416</v>
      </c>
      <c r="L582" s="32">
        <v>144761</v>
      </c>
      <c r="M582" s="32">
        <v>0</v>
      </c>
      <c r="N582" s="32">
        <v>0</v>
      </c>
      <c r="O582" s="32">
        <v>906661</v>
      </c>
      <c r="P582" s="32" t="s">
        <v>41</v>
      </c>
      <c r="Q582" s="32" t="s">
        <v>42</v>
      </c>
      <c r="R582" s="26" t="s">
        <v>43</v>
      </c>
      <c r="S582" s="26"/>
      <c r="T582" s="26"/>
      <c r="U582" s="26"/>
      <c r="V582" s="26"/>
      <c r="W582" s="26"/>
      <c r="X582" s="26"/>
    </row>
    <row r="583" spans="1:24" s="29" customFormat="1">
      <c r="A583" s="26" t="s">
        <v>31</v>
      </c>
      <c r="B583" s="26" t="s">
        <v>2417</v>
      </c>
      <c r="C583" s="26" t="s">
        <v>2418</v>
      </c>
      <c r="D583" s="26">
        <f t="shared" si="8"/>
        <v>-1</v>
      </c>
      <c r="E583" s="26" t="s">
        <v>34</v>
      </c>
      <c r="F583" s="26" t="s">
        <v>2161</v>
      </c>
      <c r="G583" s="26" t="s">
        <v>2419</v>
      </c>
      <c r="H583" s="26" t="s">
        <v>37</v>
      </c>
      <c r="I583" s="26" t="s">
        <v>38</v>
      </c>
      <c r="J583" s="26" t="s">
        <v>2420</v>
      </c>
      <c r="K583" s="26" t="s">
        <v>2421</v>
      </c>
      <c r="L583" s="26">
        <v>373209.4</v>
      </c>
      <c r="M583" s="26">
        <v>0</v>
      </c>
      <c r="N583" s="26">
        <v>0</v>
      </c>
      <c r="O583" s="26">
        <v>2337469.4</v>
      </c>
      <c r="P583" s="26" t="s">
        <v>41</v>
      </c>
      <c r="Q583" s="26" t="s">
        <v>42</v>
      </c>
      <c r="R583" s="26"/>
      <c r="S583" s="26"/>
      <c r="T583" s="26"/>
      <c r="U583" s="26"/>
      <c r="V583" s="26" t="s">
        <v>43</v>
      </c>
      <c r="W583" s="26"/>
      <c r="X583" s="26"/>
    </row>
    <row r="584" spans="1:24" s="29" customFormat="1">
      <c r="A584" s="32" t="s">
        <v>31</v>
      </c>
      <c r="B584" s="32" t="s">
        <v>2422</v>
      </c>
      <c r="C584" s="32" t="s">
        <v>2423</v>
      </c>
      <c r="D584" s="32">
        <f t="shared" si="8"/>
        <v>-1</v>
      </c>
      <c r="E584" s="32" t="s">
        <v>34</v>
      </c>
      <c r="F584" s="32" t="s">
        <v>2161</v>
      </c>
      <c r="G584" s="32" t="s">
        <v>2424</v>
      </c>
      <c r="H584" s="32" t="s">
        <v>37</v>
      </c>
      <c r="I584" s="32" t="s">
        <v>38</v>
      </c>
      <c r="J584" s="32" t="s">
        <v>2425</v>
      </c>
      <c r="K584" s="32" t="s">
        <v>2426</v>
      </c>
      <c r="L584" s="32">
        <v>814285.66</v>
      </c>
      <c r="M584" s="32">
        <v>0</v>
      </c>
      <c r="N584" s="32">
        <v>0</v>
      </c>
      <c r="O584" s="32">
        <v>5099999.66</v>
      </c>
      <c r="P584" s="32" t="s">
        <v>41</v>
      </c>
      <c r="Q584" s="32" t="s">
        <v>42</v>
      </c>
      <c r="R584" s="26" t="s">
        <v>43</v>
      </c>
      <c r="S584" s="26"/>
      <c r="T584" s="26"/>
      <c r="U584" s="26"/>
      <c r="V584" s="26"/>
      <c r="W584" s="26"/>
      <c r="X584" s="26"/>
    </row>
    <row r="585" spans="1:24" s="29" customFormat="1">
      <c r="A585" s="31" t="s">
        <v>31</v>
      </c>
      <c r="B585" s="31" t="s">
        <v>2427</v>
      </c>
      <c r="C585" s="31" t="s">
        <v>2428</v>
      </c>
      <c r="D585" s="31">
        <f t="shared" si="8"/>
        <v>-1</v>
      </c>
      <c r="E585" s="31" t="s">
        <v>34</v>
      </c>
      <c r="F585" s="31" t="s">
        <v>2161</v>
      </c>
      <c r="G585" s="31" t="s">
        <v>2429</v>
      </c>
      <c r="H585" s="31" t="s">
        <v>37</v>
      </c>
      <c r="I585" s="31" t="s">
        <v>38</v>
      </c>
      <c r="J585" s="31" t="s">
        <v>2430</v>
      </c>
      <c r="K585" s="31" t="s">
        <v>2431</v>
      </c>
      <c r="L585" s="31">
        <v>169130.97</v>
      </c>
      <c r="M585" s="31">
        <v>0</v>
      </c>
      <c r="N585" s="31">
        <v>0</v>
      </c>
      <c r="O585" s="31">
        <v>1059293.97</v>
      </c>
      <c r="P585" s="31" t="s">
        <v>41</v>
      </c>
      <c r="Q585" s="31" t="s">
        <v>42</v>
      </c>
      <c r="R585" s="26"/>
      <c r="S585" s="26"/>
      <c r="T585" s="26"/>
      <c r="U585" s="31" t="s">
        <v>43</v>
      </c>
      <c r="V585" s="26"/>
      <c r="W585" s="26"/>
      <c r="X585" s="26"/>
    </row>
    <row r="586" spans="1:24" s="29" customFormat="1">
      <c r="A586" s="26" t="s">
        <v>31</v>
      </c>
      <c r="B586" s="26" t="s">
        <v>2432</v>
      </c>
      <c r="C586" s="26" t="s">
        <v>2433</v>
      </c>
      <c r="D586" s="26">
        <f t="shared" si="8"/>
        <v>-1</v>
      </c>
      <c r="E586" s="26" t="s">
        <v>34</v>
      </c>
      <c r="F586" s="26" t="s">
        <v>2161</v>
      </c>
      <c r="G586" s="26" t="s">
        <v>2434</v>
      </c>
      <c r="H586" s="26" t="s">
        <v>37</v>
      </c>
      <c r="I586" s="26" t="s">
        <v>38</v>
      </c>
      <c r="J586" s="26" t="s">
        <v>2430</v>
      </c>
      <c r="K586" s="26" t="s">
        <v>2431</v>
      </c>
      <c r="L586" s="26">
        <v>1066115.46</v>
      </c>
      <c r="M586" s="26">
        <v>0</v>
      </c>
      <c r="N586" s="26">
        <v>0</v>
      </c>
      <c r="O586" s="26">
        <v>6677249.46</v>
      </c>
      <c r="P586" s="26" t="s">
        <v>41</v>
      </c>
      <c r="Q586" s="26" t="s">
        <v>42</v>
      </c>
      <c r="R586" s="26"/>
      <c r="S586" s="26"/>
      <c r="T586" s="26"/>
      <c r="U586" s="26"/>
      <c r="V586" s="26" t="s">
        <v>43</v>
      </c>
      <c r="W586" s="26"/>
      <c r="X586" s="26"/>
    </row>
    <row r="587" spans="1:24" s="29" customFormat="1">
      <c r="A587" s="35" t="s">
        <v>31</v>
      </c>
      <c r="B587" s="35" t="s">
        <v>2435</v>
      </c>
      <c r="C587" s="35" t="s">
        <v>2436</v>
      </c>
      <c r="D587" s="35">
        <f t="shared" si="8"/>
        <v>-1</v>
      </c>
      <c r="E587" s="35" t="s">
        <v>34</v>
      </c>
      <c r="F587" s="35" t="s">
        <v>2161</v>
      </c>
      <c r="G587" s="35" t="s">
        <v>2437</v>
      </c>
      <c r="H587" s="35" t="s">
        <v>37</v>
      </c>
      <c r="I587" s="35" t="s">
        <v>38</v>
      </c>
      <c r="J587" s="35" t="s">
        <v>2438</v>
      </c>
      <c r="K587" s="35" t="s">
        <v>2439</v>
      </c>
      <c r="L587" s="35">
        <v>18430</v>
      </c>
      <c r="M587" s="35">
        <v>0</v>
      </c>
      <c r="N587" s="35">
        <v>0</v>
      </c>
      <c r="O587" s="35">
        <v>115430</v>
      </c>
      <c r="P587" s="35" t="s">
        <v>41</v>
      </c>
      <c r="Q587" s="35" t="s">
        <v>42</v>
      </c>
      <c r="R587" s="26"/>
      <c r="S587" s="26"/>
      <c r="T587" s="26"/>
      <c r="U587" s="26"/>
      <c r="V587" s="26"/>
      <c r="W587" s="35" t="s">
        <v>43</v>
      </c>
      <c r="X587" s="26" t="s">
        <v>1029</v>
      </c>
    </row>
    <row r="588" spans="1:24" s="29" customFormat="1">
      <c r="A588" s="26" t="s">
        <v>31</v>
      </c>
      <c r="B588" s="26" t="s">
        <v>2440</v>
      </c>
      <c r="C588" s="26" t="s">
        <v>2441</v>
      </c>
      <c r="D588" s="26">
        <f t="shared" si="8"/>
        <v>-1</v>
      </c>
      <c r="E588" s="26" t="s">
        <v>34</v>
      </c>
      <c r="F588" s="26" t="s">
        <v>2161</v>
      </c>
      <c r="G588" s="26" t="s">
        <v>2442</v>
      </c>
      <c r="H588" s="26" t="s">
        <v>37</v>
      </c>
      <c r="I588" s="26" t="s">
        <v>38</v>
      </c>
      <c r="J588" s="26" t="s">
        <v>471</v>
      </c>
      <c r="K588" s="26" t="s">
        <v>472</v>
      </c>
      <c r="L588" s="26">
        <v>79713.929999999993</v>
      </c>
      <c r="M588" s="26">
        <v>0</v>
      </c>
      <c r="N588" s="26">
        <v>0</v>
      </c>
      <c r="O588" s="26">
        <v>499260.93</v>
      </c>
      <c r="P588" s="26" t="s">
        <v>41</v>
      </c>
      <c r="Q588" s="26" t="s">
        <v>42</v>
      </c>
      <c r="R588" s="26"/>
      <c r="S588" s="26"/>
      <c r="T588" s="26"/>
      <c r="U588" s="26"/>
      <c r="V588" s="26" t="s">
        <v>43</v>
      </c>
      <c r="W588" s="26"/>
      <c r="X588" s="26"/>
    </row>
    <row r="589" spans="1:24" s="29" customFormat="1">
      <c r="A589" s="32" t="s">
        <v>31</v>
      </c>
      <c r="B589" s="32" t="s">
        <v>2443</v>
      </c>
      <c r="C589" s="32" t="s">
        <v>2444</v>
      </c>
      <c r="D589" s="32">
        <f t="shared" ref="D589:D652" si="9">C589-C590</f>
        <v>-1</v>
      </c>
      <c r="E589" s="32" t="s">
        <v>34</v>
      </c>
      <c r="F589" s="32" t="s">
        <v>2161</v>
      </c>
      <c r="G589" s="32" t="s">
        <v>2445</v>
      </c>
      <c r="H589" s="32" t="s">
        <v>37</v>
      </c>
      <c r="I589" s="32" t="s">
        <v>38</v>
      </c>
      <c r="J589" s="32" t="s">
        <v>2446</v>
      </c>
      <c r="K589" s="32" t="s">
        <v>2447</v>
      </c>
      <c r="L589" s="32">
        <v>51739.66</v>
      </c>
      <c r="M589" s="32">
        <v>0</v>
      </c>
      <c r="N589" s="32">
        <v>0</v>
      </c>
      <c r="O589" s="32">
        <v>324053.65999999997</v>
      </c>
      <c r="P589" s="32" t="s">
        <v>41</v>
      </c>
      <c r="Q589" s="32" t="s">
        <v>42</v>
      </c>
      <c r="R589" s="26" t="s">
        <v>43</v>
      </c>
      <c r="S589" s="26"/>
      <c r="T589" s="26"/>
      <c r="U589" s="26"/>
      <c r="V589" s="26"/>
      <c r="W589" s="26"/>
      <c r="X589" s="26"/>
    </row>
    <row r="590" spans="1:24" s="29" customFormat="1">
      <c r="A590" s="26" t="s">
        <v>31</v>
      </c>
      <c r="B590" s="26" t="s">
        <v>2448</v>
      </c>
      <c r="C590" s="26" t="s">
        <v>2449</v>
      </c>
      <c r="D590" s="26">
        <f t="shared" si="9"/>
        <v>-1</v>
      </c>
      <c r="E590" s="26" t="s">
        <v>34</v>
      </c>
      <c r="F590" s="26" t="s">
        <v>2161</v>
      </c>
      <c r="G590" s="26" t="s">
        <v>2450</v>
      </c>
      <c r="H590" s="26" t="s">
        <v>37</v>
      </c>
      <c r="I590" s="26" t="s">
        <v>38</v>
      </c>
      <c r="J590" s="26" t="s">
        <v>2451</v>
      </c>
      <c r="K590" s="26" t="s">
        <v>2452</v>
      </c>
      <c r="L590" s="26">
        <v>17651</v>
      </c>
      <c r="M590" s="26">
        <v>0</v>
      </c>
      <c r="N590" s="26">
        <v>0</v>
      </c>
      <c r="O590" s="26">
        <v>110551</v>
      </c>
      <c r="P590" s="26" t="s">
        <v>41</v>
      </c>
      <c r="Q590" s="26" t="s">
        <v>42</v>
      </c>
      <c r="R590" s="26"/>
      <c r="S590" s="26"/>
      <c r="T590" s="26"/>
      <c r="U590" s="26"/>
      <c r="V590" s="26" t="s">
        <v>43</v>
      </c>
      <c r="W590" s="26"/>
      <c r="X590" s="26"/>
    </row>
    <row r="591" spans="1:24" s="29" customFormat="1">
      <c r="A591" s="35" t="s">
        <v>31</v>
      </c>
      <c r="B591" s="35" t="s">
        <v>2453</v>
      </c>
      <c r="C591" s="35" t="s">
        <v>2454</v>
      </c>
      <c r="D591" s="35">
        <f t="shared" si="9"/>
        <v>-1</v>
      </c>
      <c r="E591" s="35" t="s">
        <v>34</v>
      </c>
      <c r="F591" s="35" t="s">
        <v>2161</v>
      </c>
      <c r="G591" s="35" t="s">
        <v>2455</v>
      </c>
      <c r="H591" s="35" t="s">
        <v>37</v>
      </c>
      <c r="I591" s="35" t="s">
        <v>38</v>
      </c>
      <c r="J591" s="35" t="s">
        <v>1027</v>
      </c>
      <c r="K591" s="35" t="s">
        <v>1028</v>
      </c>
      <c r="L591" s="35">
        <v>47500</v>
      </c>
      <c r="M591" s="35">
        <v>0</v>
      </c>
      <c r="N591" s="35">
        <v>0</v>
      </c>
      <c r="O591" s="35">
        <v>297500</v>
      </c>
      <c r="P591" s="35" t="s">
        <v>41</v>
      </c>
      <c r="Q591" s="35" t="s">
        <v>42</v>
      </c>
      <c r="R591" s="26"/>
      <c r="S591" s="26"/>
      <c r="T591" s="26"/>
      <c r="U591" s="26"/>
      <c r="V591" s="26"/>
      <c r="W591" s="35" t="s">
        <v>43</v>
      </c>
      <c r="X591" s="26" t="s">
        <v>2359</v>
      </c>
    </row>
    <row r="592" spans="1:24" s="29" customFormat="1">
      <c r="A592" s="26" t="s">
        <v>31</v>
      </c>
      <c r="B592" s="26" t="s">
        <v>2456</v>
      </c>
      <c r="C592" s="26" t="s">
        <v>2457</v>
      </c>
      <c r="D592" s="26">
        <f t="shared" si="9"/>
        <v>-1</v>
      </c>
      <c r="E592" s="26" t="s">
        <v>34</v>
      </c>
      <c r="F592" s="26" t="s">
        <v>2161</v>
      </c>
      <c r="G592" s="26" t="s">
        <v>2458</v>
      </c>
      <c r="H592" s="26" t="s">
        <v>37</v>
      </c>
      <c r="I592" s="26" t="s">
        <v>38</v>
      </c>
      <c r="J592" s="26" t="s">
        <v>2459</v>
      </c>
      <c r="K592" s="26" t="s">
        <v>2460</v>
      </c>
      <c r="L592" s="26">
        <v>23750</v>
      </c>
      <c r="M592" s="26">
        <v>0</v>
      </c>
      <c r="N592" s="26">
        <v>0</v>
      </c>
      <c r="O592" s="26">
        <v>148750</v>
      </c>
      <c r="P592" s="26" t="s">
        <v>41</v>
      </c>
      <c r="Q592" s="26" t="s">
        <v>42</v>
      </c>
      <c r="R592" s="26"/>
      <c r="S592" s="26"/>
      <c r="T592" s="26"/>
      <c r="U592" s="26"/>
      <c r="V592" s="26" t="s">
        <v>43</v>
      </c>
      <c r="W592" s="26"/>
      <c r="X592" s="26"/>
    </row>
    <row r="593" spans="1:24" s="29" customFormat="1">
      <c r="A593" s="35" t="s">
        <v>31</v>
      </c>
      <c r="B593" s="35" t="s">
        <v>2461</v>
      </c>
      <c r="C593" s="35" t="s">
        <v>2462</v>
      </c>
      <c r="D593" s="35">
        <f t="shared" si="9"/>
        <v>-1</v>
      </c>
      <c r="E593" s="35" t="s">
        <v>34</v>
      </c>
      <c r="F593" s="35" t="s">
        <v>2161</v>
      </c>
      <c r="G593" s="35" t="s">
        <v>2463</v>
      </c>
      <c r="H593" s="35" t="s">
        <v>37</v>
      </c>
      <c r="I593" s="35" t="s">
        <v>38</v>
      </c>
      <c r="J593" s="35" t="s">
        <v>1771</v>
      </c>
      <c r="K593" s="35" t="s">
        <v>1772</v>
      </c>
      <c r="L593" s="35">
        <v>644681.4</v>
      </c>
      <c r="M593" s="35">
        <v>0</v>
      </c>
      <c r="N593" s="35">
        <v>0</v>
      </c>
      <c r="O593" s="35">
        <v>4037741.4</v>
      </c>
      <c r="P593" s="35" t="s">
        <v>41</v>
      </c>
      <c r="Q593" s="35" t="s">
        <v>42</v>
      </c>
      <c r="R593" s="26"/>
      <c r="S593" s="26"/>
      <c r="T593" s="26"/>
      <c r="U593" s="26"/>
      <c r="V593" s="26"/>
      <c r="W593" s="35" t="s">
        <v>43</v>
      </c>
      <c r="X593" s="26" t="s">
        <v>2359</v>
      </c>
    </row>
    <row r="594" spans="1:24" s="29" customFormat="1">
      <c r="A594" s="26" t="s">
        <v>31</v>
      </c>
      <c r="B594" s="26" t="s">
        <v>2464</v>
      </c>
      <c r="C594" s="26" t="s">
        <v>2465</v>
      </c>
      <c r="D594" s="26">
        <f t="shared" si="9"/>
        <v>-1</v>
      </c>
      <c r="E594" s="26" t="s">
        <v>34</v>
      </c>
      <c r="F594" s="26" t="s">
        <v>2161</v>
      </c>
      <c r="G594" s="26" t="s">
        <v>2466</v>
      </c>
      <c r="H594" s="26" t="s">
        <v>37</v>
      </c>
      <c r="I594" s="26" t="s">
        <v>38</v>
      </c>
      <c r="J594" s="26" t="s">
        <v>2467</v>
      </c>
      <c r="K594" s="26" t="s">
        <v>2468</v>
      </c>
      <c r="L594" s="26">
        <v>70345.98</v>
      </c>
      <c r="M594" s="26">
        <v>0</v>
      </c>
      <c r="N594" s="26">
        <v>0</v>
      </c>
      <c r="O594" s="26">
        <v>440587.98</v>
      </c>
      <c r="P594" s="26" t="s">
        <v>41</v>
      </c>
      <c r="Q594" s="26" t="s">
        <v>42</v>
      </c>
      <c r="R594" s="26"/>
      <c r="S594" s="26"/>
      <c r="T594" s="26"/>
      <c r="U594" s="26"/>
      <c r="V594" s="26" t="s">
        <v>43</v>
      </c>
      <c r="W594" s="26"/>
      <c r="X594" s="26"/>
    </row>
    <row r="595" spans="1:24" s="29" customFormat="1">
      <c r="A595" s="26" t="s">
        <v>31</v>
      </c>
      <c r="B595" s="26" t="s">
        <v>2469</v>
      </c>
      <c r="C595" s="26" t="s">
        <v>2470</v>
      </c>
      <c r="D595" s="26">
        <f t="shared" si="9"/>
        <v>-1</v>
      </c>
      <c r="E595" s="26" t="s">
        <v>34</v>
      </c>
      <c r="F595" s="26" t="s">
        <v>2161</v>
      </c>
      <c r="G595" s="26" t="s">
        <v>2471</v>
      </c>
      <c r="H595" s="26" t="s">
        <v>37</v>
      </c>
      <c r="I595" s="26" t="s">
        <v>38</v>
      </c>
      <c r="J595" s="26" t="s">
        <v>2467</v>
      </c>
      <c r="K595" s="26" t="s">
        <v>2468</v>
      </c>
      <c r="L595" s="26">
        <v>8322</v>
      </c>
      <c r="M595" s="26">
        <v>0</v>
      </c>
      <c r="N595" s="26">
        <v>0</v>
      </c>
      <c r="O595" s="26">
        <v>52122</v>
      </c>
      <c r="P595" s="26" t="s">
        <v>41</v>
      </c>
      <c r="Q595" s="26" t="s">
        <v>42</v>
      </c>
      <c r="R595" s="26"/>
      <c r="S595" s="26"/>
      <c r="T595" s="26"/>
      <c r="U595" s="26"/>
      <c r="V595" s="26" t="s">
        <v>43</v>
      </c>
      <c r="W595" s="26"/>
      <c r="X595" s="26"/>
    </row>
    <row r="596" spans="1:24" s="29" customFormat="1">
      <c r="A596" s="26" t="s">
        <v>31</v>
      </c>
      <c r="B596" s="26" t="s">
        <v>2472</v>
      </c>
      <c r="C596" s="26" t="s">
        <v>2473</v>
      </c>
      <c r="D596" s="26">
        <f t="shared" si="9"/>
        <v>-1</v>
      </c>
      <c r="E596" s="26" t="s">
        <v>34</v>
      </c>
      <c r="F596" s="26" t="s">
        <v>2161</v>
      </c>
      <c r="G596" s="26" t="s">
        <v>2474</v>
      </c>
      <c r="H596" s="26" t="s">
        <v>37</v>
      </c>
      <c r="I596" s="26" t="s">
        <v>38</v>
      </c>
      <c r="J596" s="26" t="s">
        <v>2467</v>
      </c>
      <c r="K596" s="26" t="s">
        <v>2468</v>
      </c>
      <c r="L596" s="26">
        <v>139540.26</v>
      </c>
      <c r="M596" s="26">
        <v>0</v>
      </c>
      <c r="N596" s="26">
        <v>0</v>
      </c>
      <c r="O596" s="26">
        <v>930574.26</v>
      </c>
      <c r="P596" s="26" t="s">
        <v>41</v>
      </c>
      <c r="Q596" s="26" t="s">
        <v>42</v>
      </c>
      <c r="R596" s="26"/>
      <c r="S596" s="26"/>
      <c r="T596" s="26"/>
      <c r="U596" s="26"/>
      <c r="V596" s="26" t="s">
        <v>43</v>
      </c>
      <c r="W596" s="26"/>
      <c r="X596" s="26"/>
    </row>
    <row r="597" spans="1:24" s="29" customFormat="1">
      <c r="A597" s="26" t="s">
        <v>31</v>
      </c>
      <c r="B597" s="26" t="s">
        <v>2475</v>
      </c>
      <c r="C597" s="26" t="s">
        <v>2476</v>
      </c>
      <c r="D597" s="26">
        <f t="shared" si="9"/>
        <v>-1</v>
      </c>
      <c r="E597" s="26" t="s">
        <v>34</v>
      </c>
      <c r="F597" s="26" t="s">
        <v>2161</v>
      </c>
      <c r="G597" s="26" t="s">
        <v>2477</v>
      </c>
      <c r="H597" s="26" t="s">
        <v>37</v>
      </c>
      <c r="I597" s="26" t="s">
        <v>38</v>
      </c>
      <c r="J597" s="26" t="s">
        <v>2114</v>
      </c>
      <c r="K597" s="26" t="s">
        <v>2115</v>
      </c>
      <c r="L597" s="26">
        <v>369690.6</v>
      </c>
      <c r="M597" s="26">
        <v>0</v>
      </c>
      <c r="N597" s="26">
        <v>0</v>
      </c>
      <c r="O597" s="26">
        <v>2332710.6</v>
      </c>
      <c r="P597" s="26" t="s">
        <v>41</v>
      </c>
      <c r="Q597" s="26" t="s">
        <v>42</v>
      </c>
      <c r="R597" s="26"/>
      <c r="S597" s="26"/>
      <c r="T597" s="26"/>
      <c r="U597" s="26"/>
      <c r="V597" s="26" t="s">
        <v>43</v>
      </c>
      <c r="W597" s="26"/>
      <c r="X597" s="26"/>
    </row>
    <row r="598" spans="1:24" s="29" customFormat="1">
      <c r="A598" s="35" t="s">
        <v>31</v>
      </c>
      <c r="B598" s="35" t="s">
        <v>2478</v>
      </c>
      <c r="C598" s="35" t="s">
        <v>2479</v>
      </c>
      <c r="D598" s="35">
        <f t="shared" si="9"/>
        <v>-1</v>
      </c>
      <c r="E598" s="35" t="s">
        <v>34</v>
      </c>
      <c r="F598" s="35" t="s">
        <v>2161</v>
      </c>
      <c r="G598" s="35" t="s">
        <v>2480</v>
      </c>
      <c r="H598" s="35" t="s">
        <v>37</v>
      </c>
      <c r="I598" s="35" t="s">
        <v>38</v>
      </c>
      <c r="J598" s="35" t="s">
        <v>1910</v>
      </c>
      <c r="K598" s="35" t="s">
        <v>1911</v>
      </c>
      <c r="L598" s="35">
        <v>37905</v>
      </c>
      <c r="M598" s="35">
        <v>0</v>
      </c>
      <c r="N598" s="35">
        <v>0</v>
      </c>
      <c r="O598" s="35">
        <v>237405</v>
      </c>
      <c r="P598" s="35" t="s">
        <v>41</v>
      </c>
      <c r="Q598" s="35" t="s">
        <v>42</v>
      </c>
      <c r="R598" s="26"/>
      <c r="S598" s="26"/>
      <c r="T598" s="26"/>
      <c r="U598" s="26"/>
      <c r="V598" s="26"/>
      <c r="W598" s="35" t="s">
        <v>43</v>
      </c>
      <c r="X598" s="26" t="s">
        <v>1377</v>
      </c>
    </row>
    <row r="599" spans="1:24" s="29" customFormat="1">
      <c r="A599" s="32" t="s">
        <v>31</v>
      </c>
      <c r="B599" s="32" t="s">
        <v>2481</v>
      </c>
      <c r="C599" s="32" t="s">
        <v>2482</v>
      </c>
      <c r="D599" s="32">
        <f t="shared" si="9"/>
        <v>-1</v>
      </c>
      <c r="E599" s="32" t="s">
        <v>34</v>
      </c>
      <c r="F599" s="32" t="s">
        <v>2161</v>
      </c>
      <c r="G599" s="32" t="s">
        <v>2483</v>
      </c>
      <c r="H599" s="32" t="s">
        <v>37</v>
      </c>
      <c r="I599" s="32" t="s">
        <v>38</v>
      </c>
      <c r="J599" s="32" t="s">
        <v>2484</v>
      </c>
      <c r="K599" s="32" t="s">
        <v>2485</v>
      </c>
      <c r="L599" s="32">
        <v>37364.07</v>
      </c>
      <c r="M599" s="32">
        <v>0</v>
      </c>
      <c r="N599" s="32">
        <v>0</v>
      </c>
      <c r="O599" s="32">
        <v>254489.07</v>
      </c>
      <c r="P599" s="32" t="s">
        <v>41</v>
      </c>
      <c r="Q599" s="32" t="s">
        <v>42</v>
      </c>
      <c r="R599" s="26" t="s">
        <v>43</v>
      </c>
      <c r="S599" s="26"/>
      <c r="T599" s="26"/>
      <c r="U599" s="26"/>
      <c r="V599" s="26"/>
      <c r="W599" s="26"/>
      <c r="X599" s="26"/>
    </row>
    <row r="600" spans="1:24" s="29" customFormat="1">
      <c r="A600" s="32" t="s">
        <v>31</v>
      </c>
      <c r="B600" s="32" t="s">
        <v>2486</v>
      </c>
      <c r="C600" s="32" t="s">
        <v>2487</v>
      </c>
      <c r="D600" s="32">
        <f t="shared" si="9"/>
        <v>-1</v>
      </c>
      <c r="E600" s="32" t="s">
        <v>34</v>
      </c>
      <c r="F600" s="32" t="s">
        <v>2161</v>
      </c>
      <c r="G600" s="32" t="s">
        <v>2488</v>
      </c>
      <c r="H600" s="32" t="s">
        <v>37</v>
      </c>
      <c r="I600" s="32" t="s">
        <v>38</v>
      </c>
      <c r="J600" s="32" t="s">
        <v>2484</v>
      </c>
      <c r="K600" s="32" t="s">
        <v>2485</v>
      </c>
      <c r="L600" s="32">
        <v>32148</v>
      </c>
      <c r="M600" s="32">
        <v>0</v>
      </c>
      <c r="N600" s="32">
        <v>0</v>
      </c>
      <c r="O600" s="32">
        <v>201348</v>
      </c>
      <c r="P600" s="32" t="s">
        <v>41</v>
      </c>
      <c r="Q600" s="32" t="s">
        <v>42</v>
      </c>
      <c r="R600" s="26" t="s">
        <v>43</v>
      </c>
      <c r="S600" s="26"/>
      <c r="T600" s="26"/>
      <c r="U600" s="26"/>
      <c r="V600" s="26"/>
      <c r="W600" s="26"/>
      <c r="X600" s="26"/>
    </row>
    <row r="601" spans="1:24" s="29" customFormat="1">
      <c r="A601" s="32" t="s">
        <v>31</v>
      </c>
      <c r="B601" s="32" t="s">
        <v>2489</v>
      </c>
      <c r="C601" s="32" t="s">
        <v>2490</v>
      </c>
      <c r="D601" s="32">
        <f t="shared" si="9"/>
        <v>-1</v>
      </c>
      <c r="E601" s="32" t="s">
        <v>34</v>
      </c>
      <c r="F601" s="32" t="s">
        <v>2161</v>
      </c>
      <c r="G601" s="32" t="s">
        <v>2491</v>
      </c>
      <c r="H601" s="32" t="s">
        <v>37</v>
      </c>
      <c r="I601" s="32" t="s">
        <v>38</v>
      </c>
      <c r="J601" s="32" t="s">
        <v>2484</v>
      </c>
      <c r="K601" s="32" t="s">
        <v>2485</v>
      </c>
      <c r="L601" s="32">
        <v>66068.320000000007</v>
      </c>
      <c r="M601" s="32">
        <v>0</v>
      </c>
      <c r="N601" s="32">
        <v>0</v>
      </c>
      <c r="O601" s="32">
        <v>485040.32</v>
      </c>
      <c r="P601" s="32" t="s">
        <v>41</v>
      </c>
      <c r="Q601" s="32" t="s">
        <v>42</v>
      </c>
      <c r="R601" s="26" t="s">
        <v>43</v>
      </c>
      <c r="S601" s="26"/>
      <c r="T601" s="26"/>
      <c r="U601" s="26"/>
      <c r="V601" s="26"/>
      <c r="W601" s="26"/>
      <c r="X601" s="26"/>
    </row>
    <row r="602" spans="1:24" s="29" customFormat="1">
      <c r="A602" s="32" t="s">
        <v>31</v>
      </c>
      <c r="B602" s="32" t="s">
        <v>2492</v>
      </c>
      <c r="C602" s="32" t="s">
        <v>2493</v>
      </c>
      <c r="D602" s="32">
        <f t="shared" si="9"/>
        <v>-1</v>
      </c>
      <c r="E602" s="32" t="s">
        <v>34</v>
      </c>
      <c r="F602" s="32" t="s">
        <v>2161</v>
      </c>
      <c r="G602" s="32" t="s">
        <v>2494</v>
      </c>
      <c r="H602" s="32" t="s">
        <v>37</v>
      </c>
      <c r="I602" s="32" t="s">
        <v>38</v>
      </c>
      <c r="J602" s="32" t="s">
        <v>2484</v>
      </c>
      <c r="K602" s="32" t="s">
        <v>2485</v>
      </c>
      <c r="L602" s="32">
        <v>7125</v>
      </c>
      <c r="M602" s="32">
        <v>0</v>
      </c>
      <c r="N602" s="32">
        <v>0</v>
      </c>
      <c r="O602" s="32">
        <v>44625</v>
      </c>
      <c r="P602" s="32" t="s">
        <v>41</v>
      </c>
      <c r="Q602" s="32" t="s">
        <v>42</v>
      </c>
      <c r="R602" s="26" t="s">
        <v>43</v>
      </c>
      <c r="S602" s="26"/>
      <c r="T602" s="26"/>
      <c r="U602" s="26"/>
      <c r="V602" s="26"/>
      <c r="W602" s="26"/>
      <c r="X602" s="26"/>
    </row>
    <row r="603" spans="1:24" s="29" customFormat="1">
      <c r="A603" s="32" t="s">
        <v>31</v>
      </c>
      <c r="B603" s="32" t="s">
        <v>2495</v>
      </c>
      <c r="C603" s="32" t="s">
        <v>2496</v>
      </c>
      <c r="D603" s="32">
        <f t="shared" si="9"/>
        <v>-1</v>
      </c>
      <c r="E603" s="32" t="s">
        <v>34</v>
      </c>
      <c r="F603" s="32" t="s">
        <v>2161</v>
      </c>
      <c r="G603" s="32" t="s">
        <v>2497</v>
      </c>
      <c r="H603" s="32" t="s">
        <v>37</v>
      </c>
      <c r="I603" s="32" t="s">
        <v>38</v>
      </c>
      <c r="J603" s="32" t="s">
        <v>2498</v>
      </c>
      <c r="K603" s="32" t="s">
        <v>2499</v>
      </c>
      <c r="L603" s="32">
        <v>1271932.58</v>
      </c>
      <c r="M603" s="32">
        <v>0</v>
      </c>
      <c r="N603" s="32">
        <v>0</v>
      </c>
      <c r="O603" s="32">
        <v>7966314.5800000001</v>
      </c>
      <c r="P603" s="32" t="s">
        <v>41</v>
      </c>
      <c r="Q603" s="32" t="s">
        <v>42</v>
      </c>
      <c r="R603" s="26" t="s">
        <v>43</v>
      </c>
      <c r="S603" s="26"/>
      <c r="T603" s="26"/>
      <c r="U603" s="26"/>
      <c r="V603" s="26"/>
      <c r="W603" s="26"/>
      <c r="X603" s="26"/>
    </row>
    <row r="604" spans="1:24" s="29" customFormat="1">
      <c r="A604" s="32" t="s">
        <v>31</v>
      </c>
      <c r="B604" s="32" t="s">
        <v>2500</v>
      </c>
      <c r="C604" s="32" t="s">
        <v>2501</v>
      </c>
      <c r="D604" s="32">
        <f t="shared" si="9"/>
        <v>-1</v>
      </c>
      <c r="E604" s="32" t="s">
        <v>34</v>
      </c>
      <c r="F604" s="32" t="s">
        <v>2161</v>
      </c>
      <c r="G604" s="32" t="s">
        <v>2502</v>
      </c>
      <c r="H604" s="32" t="s">
        <v>37</v>
      </c>
      <c r="I604" s="32" t="s">
        <v>38</v>
      </c>
      <c r="J604" s="32" t="s">
        <v>2503</v>
      </c>
      <c r="K604" s="32" t="s">
        <v>2504</v>
      </c>
      <c r="L604" s="32">
        <v>55920.42</v>
      </c>
      <c r="M604" s="32">
        <v>0</v>
      </c>
      <c r="N604" s="32">
        <v>0</v>
      </c>
      <c r="O604" s="32">
        <v>350238.42</v>
      </c>
      <c r="P604" s="32" t="s">
        <v>41</v>
      </c>
      <c r="Q604" s="32" t="s">
        <v>42</v>
      </c>
      <c r="R604" s="26" t="s">
        <v>43</v>
      </c>
      <c r="S604" s="26"/>
      <c r="T604" s="26"/>
      <c r="U604" s="26"/>
      <c r="V604" s="26"/>
      <c r="W604" s="26"/>
      <c r="X604" s="26"/>
    </row>
    <row r="605" spans="1:24" s="29" customFormat="1">
      <c r="A605" s="34" t="s">
        <v>31</v>
      </c>
      <c r="B605" s="34" t="s">
        <v>2505</v>
      </c>
      <c r="C605" s="34" t="s">
        <v>2506</v>
      </c>
      <c r="D605" s="34">
        <f t="shared" si="9"/>
        <v>-1</v>
      </c>
      <c r="E605" s="34" t="s">
        <v>34</v>
      </c>
      <c r="F605" s="34" t="s">
        <v>2161</v>
      </c>
      <c r="G605" s="34" t="s">
        <v>2507</v>
      </c>
      <c r="H605" s="34" t="s">
        <v>37</v>
      </c>
      <c r="I605" s="34" t="s">
        <v>38</v>
      </c>
      <c r="J605" s="34" t="s">
        <v>2503</v>
      </c>
      <c r="K605" s="34" t="s">
        <v>2504</v>
      </c>
      <c r="L605" s="34">
        <v>1010757.82</v>
      </c>
      <c r="M605" s="34">
        <v>0</v>
      </c>
      <c r="N605" s="34">
        <v>0</v>
      </c>
      <c r="O605" s="34">
        <v>6330535.8200000003</v>
      </c>
      <c r="P605" s="34" t="s">
        <v>41</v>
      </c>
      <c r="Q605" s="34" t="s">
        <v>42</v>
      </c>
      <c r="R605" s="26"/>
      <c r="S605" s="26"/>
      <c r="T605" s="26" t="s">
        <v>43</v>
      </c>
      <c r="U605" s="26"/>
      <c r="V605" s="26"/>
      <c r="W605" s="26"/>
      <c r="X605" s="26"/>
    </row>
    <row r="606" spans="1:24" s="29" customFormat="1">
      <c r="A606" s="26" t="s">
        <v>31</v>
      </c>
      <c r="B606" s="26" t="s">
        <v>2508</v>
      </c>
      <c r="C606" s="26" t="s">
        <v>2509</v>
      </c>
      <c r="D606" s="26">
        <f t="shared" si="9"/>
        <v>-1</v>
      </c>
      <c r="E606" s="26" t="s">
        <v>34</v>
      </c>
      <c r="F606" s="26" t="s">
        <v>2161</v>
      </c>
      <c r="G606" s="26" t="s">
        <v>2510</v>
      </c>
      <c r="H606" s="26" t="s">
        <v>37</v>
      </c>
      <c r="I606" s="26" t="s">
        <v>38</v>
      </c>
      <c r="J606" s="26" t="s">
        <v>2511</v>
      </c>
      <c r="K606" s="26" t="s">
        <v>2512</v>
      </c>
      <c r="L606" s="26">
        <v>408183.46</v>
      </c>
      <c r="M606" s="26">
        <v>0</v>
      </c>
      <c r="N606" s="26">
        <v>0</v>
      </c>
      <c r="O606" s="26">
        <v>2556517.46</v>
      </c>
      <c r="P606" s="26" t="s">
        <v>41</v>
      </c>
      <c r="Q606" s="26" t="s">
        <v>42</v>
      </c>
      <c r="R606" s="26"/>
      <c r="S606" s="26"/>
      <c r="T606" s="26"/>
      <c r="U606" s="26"/>
      <c r="V606" s="26" t="s">
        <v>43</v>
      </c>
      <c r="W606" s="26"/>
      <c r="X606" s="26"/>
    </row>
    <row r="607" spans="1:24" s="29" customFormat="1">
      <c r="A607" s="35" t="s">
        <v>31</v>
      </c>
      <c r="B607" s="35" t="s">
        <v>2513</v>
      </c>
      <c r="C607" s="35" t="s">
        <v>2514</v>
      </c>
      <c r="D607" s="35">
        <f t="shared" si="9"/>
        <v>-1</v>
      </c>
      <c r="E607" s="35" t="s">
        <v>34</v>
      </c>
      <c r="F607" s="35" t="s">
        <v>2161</v>
      </c>
      <c r="G607" s="35" t="s">
        <v>2515</v>
      </c>
      <c r="H607" s="35" t="s">
        <v>37</v>
      </c>
      <c r="I607" s="35" t="s">
        <v>38</v>
      </c>
      <c r="J607" s="35" t="s">
        <v>2516</v>
      </c>
      <c r="K607" s="35" t="s">
        <v>2517</v>
      </c>
      <c r="L607" s="35">
        <v>17100</v>
      </c>
      <c r="M607" s="35">
        <v>0</v>
      </c>
      <c r="N607" s="35">
        <v>0</v>
      </c>
      <c r="O607" s="35">
        <v>107100</v>
      </c>
      <c r="P607" s="35" t="s">
        <v>41</v>
      </c>
      <c r="Q607" s="35" t="s">
        <v>42</v>
      </c>
      <c r="R607" s="26"/>
      <c r="S607" s="26"/>
      <c r="T607" s="26"/>
      <c r="U607" s="26"/>
      <c r="V607" s="26"/>
      <c r="W607" s="35" t="s">
        <v>43</v>
      </c>
      <c r="X607" s="26" t="s">
        <v>2518</v>
      </c>
    </row>
    <row r="608" spans="1:24" s="29" customFormat="1">
      <c r="A608" s="34" t="s">
        <v>31</v>
      </c>
      <c r="B608" s="34" t="s">
        <v>2519</v>
      </c>
      <c r="C608" s="34" t="s">
        <v>2520</v>
      </c>
      <c r="D608" s="34">
        <f t="shared" si="9"/>
        <v>-1</v>
      </c>
      <c r="E608" s="34" t="s">
        <v>34</v>
      </c>
      <c r="F608" s="34" t="s">
        <v>2161</v>
      </c>
      <c r="G608" s="34" t="s">
        <v>2521</v>
      </c>
      <c r="H608" s="34" t="s">
        <v>37</v>
      </c>
      <c r="I608" s="34" t="s">
        <v>38</v>
      </c>
      <c r="J608" s="34" t="s">
        <v>939</v>
      </c>
      <c r="K608" s="34" t="s">
        <v>940</v>
      </c>
      <c r="L608" s="34">
        <v>541500</v>
      </c>
      <c r="M608" s="34">
        <v>0</v>
      </c>
      <c r="N608" s="34">
        <v>0</v>
      </c>
      <c r="O608" s="34">
        <v>3391500</v>
      </c>
      <c r="P608" s="34" t="s">
        <v>41</v>
      </c>
      <c r="Q608" s="34" t="s">
        <v>42</v>
      </c>
      <c r="R608" s="26"/>
      <c r="S608" s="26"/>
      <c r="T608" s="26" t="s">
        <v>43</v>
      </c>
      <c r="U608" s="26"/>
      <c r="V608" s="26"/>
      <c r="W608" s="26"/>
      <c r="X608" s="26"/>
    </row>
    <row r="609" spans="1:24" s="29" customFormat="1">
      <c r="A609" s="31" t="s">
        <v>31</v>
      </c>
      <c r="B609" s="31" t="s">
        <v>2522</v>
      </c>
      <c r="C609" s="31" t="s">
        <v>2523</v>
      </c>
      <c r="D609" s="31">
        <f t="shared" si="9"/>
        <v>-1</v>
      </c>
      <c r="E609" s="31" t="s">
        <v>34</v>
      </c>
      <c r="F609" s="31" t="s">
        <v>2161</v>
      </c>
      <c r="G609" s="31" t="s">
        <v>2524</v>
      </c>
      <c r="H609" s="31" t="s">
        <v>37</v>
      </c>
      <c r="I609" s="31" t="s">
        <v>38</v>
      </c>
      <c r="J609" s="31" t="s">
        <v>2525</v>
      </c>
      <c r="K609" s="31" t="s">
        <v>2526</v>
      </c>
      <c r="L609" s="31">
        <v>25923.599999999999</v>
      </c>
      <c r="M609" s="31">
        <v>0</v>
      </c>
      <c r="N609" s="31">
        <v>0</v>
      </c>
      <c r="O609" s="31">
        <v>162363.6</v>
      </c>
      <c r="P609" s="31" t="s">
        <v>41</v>
      </c>
      <c r="Q609" s="31" t="s">
        <v>42</v>
      </c>
      <c r="R609" s="26"/>
      <c r="S609" s="26"/>
      <c r="T609" s="26"/>
      <c r="U609" s="26" t="s">
        <v>43</v>
      </c>
      <c r="V609" s="26"/>
      <c r="W609" s="26"/>
      <c r="X609" s="26"/>
    </row>
    <row r="610" spans="1:24" s="29" customFormat="1">
      <c r="A610" s="32" t="s">
        <v>31</v>
      </c>
      <c r="B610" s="32" t="s">
        <v>2527</v>
      </c>
      <c r="C610" s="32" t="s">
        <v>2528</v>
      </c>
      <c r="D610" s="32">
        <f t="shared" si="9"/>
        <v>-1</v>
      </c>
      <c r="E610" s="32" t="s">
        <v>34</v>
      </c>
      <c r="F610" s="32" t="s">
        <v>2161</v>
      </c>
      <c r="G610" s="32" t="s">
        <v>2529</v>
      </c>
      <c r="H610" s="32" t="s">
        <v>37</v>
      </c>
      <c r="I610" s="32" t="s">
        <v>38</v>
      </c>
      <c r="J610" s="32" t="s">
        <v>1223</v>
      </c>
      <c r="K610" s="32" t="s">
        <v>1224</v>
      </c>
      <c r="L610" s="32">
        <v>871764.65</v>
      </c>
      <c r="M610" s="32">
        <v>0</v>
      </c>
      <c r="N610" s="32">
        <v>0</v>
      </c>
      <c r="O610" s="32">
        <v>5459999.6500000004</v>
      </c>
      <c r="P610" s="32" t="s">
        <v>41</v>
      </c>
      <c r="Q610" s="32" t="s">
        <v>42</v>
      </c>
      <c r="R610" s="26" t="s">
        <v>43</v>
      </c>
      <c r="S610" s="26"/>
      <c r="T610" s="26"/>
      <c r="U610" s="26"/>
      <c r="V610" s="26"/>
      <c r="W610" s="26"/>
      <c r="X610" s="26"/>
    </row>
    <row r="611" spans="1:24" s="29" customFormat="1">
      <c r="A611" s="34" t="s">
        <v>31</v>
      </c>
      <c r="B611" s="34" t="s">
        <v>2530</v>
      </c>
      <c r="C611" s="34" t="s">
        <v>2531</v>
      </c>
      <c r="D611" s="34">
        <f t="shared" si="9"/>
        <v>-1</v>
      </c>
      <c r="E611" s="34" t="s">
        <v>34</v>
      </c>
      <c r="F611" s="34" t="s">
        <v>2161</v>
      </c>
      <c r="G611" s="34" t="s">
        <v>2532</v>
      </c>
      <c r="H611" s="34" t="s">
        <v>37</v>
      </c>
      <c r="I611" s="34" t="s">
        <v>38</v>
      </c>
      <c r="J611" s="34" t="s">
        <v>707</v>
      </c>
      <c r="K611" s="34" t="s">
        <v>708</v>
      </c>
      <c r="L611" s="34">
        <v>1205493</v>
      </c>
      <c r="M611" s="34">
        <v>0</v>
      </c>
      <c r="N611" s="34">
        <v>0</v>
      </c>
      <c r="O611" s="34">
        <v>7550193</v>
      </c>
      <c r="P611" s="34" t="s">
        <v>41</v>
      </c>
      <c r="Q611" s="34" t="s">
        <v>42</v>
      </c>
      <c r="R611" s="26"/>
      <c r="S611" s="26"/>
      <c r="T611" s="26" t="s">
        <v>43</v>
      </c>
      <c r="U611" s="26"/>
      <c r="V611" s="26"/>
      <c r="W611" s="26"/>
      <c r="X611" s="26"/>
    </row>
    <row r="612" spans="1:24" s="29" customFormat="1">
      <c r="A612" s="34" t="s">
        <v>31</v>
      </c>
      <c r="B612" s="34" t="s">
        <v>2533</v>
      </c>
      <c r="C612" s="34" t="s">
        <v>2534</v>
      </c>
      <c r="D612" s="34">
        <f t="shared" si="9"/>
        <v>-1</v>
      </c>
      <c r="E612" s="34" t="s">
        <v>34</v>
      </c>
      <c r="F612" s="34" t="s">
        <v>2161</v>
      </c>
      <c r="G612" s="34" t="s">
        <v>2535</v>
      </c>
      <c r="H612" s="34" t="s">
        <v>37</v>
      </c>
      <c r="I612" s="34" t="s">
        <v>38</v>
      </c>
      <c r="J612" s="34" t="s">
        <v>707</v>
      </c>
      <c r="K612" s="34" t="s">
        <v>708</v>
      </c>
      <c r="L612" s="34">
        <v>1205493</v>
      </c>
      <c r="M612" s="34">
        <v>0</v>
      </c>
      <c r="N612" s="34">
        <v>0</v>
      </c>
      <c r="O612" s="34">
        <v>7550193</v>
      </c>
      <c r="P612" s="34" t="s">
        <v>41</v>
      </c>
      <c r="Q612" s="34" t="s">
        <v>42</v>
      </c>
      <c r="R612" s="26"/>
      <c r="S612" s="26"/>
      <c r="T612" s="26" t="s">
        <v>43</v>
      </c>
      <c r="U612" s="26"/>
      <c r="V612" s="26"/>
      <c r="W612" s="26"/>
      <c r="X612" s="26"/>
    </row>
    <row r="613" spans="1:24" s="29" customFormat="1">
      <c r="A613" s="35" t="s">
        <v>31</v>
      </c>
      <c r="B613" s="35" t="s">
        <v>2536</v>
      </c>
      <c r="C613" s="35" t="s">
        <v>2537</v>
      </c>
      <c r="D613" s="35">
        <f t="shared" si="9"/>
        <v>-1</v>
      </c>
      <c r="E613" s="35" t="s">
        <v>34</v>
      </c>
      <c r="F613" s="35" t="s">
        <v>2161</v>
      </c>
      <c r="G613" s="35" t="s">
        <v>2538</v>
      </c>
      <c r="H613" s="35" t="s">
        <v>37</v>
      </c>
      <c r="I613" s="35" t="s">
        <v>38</v>
      </c>
      <c r="J613" s="35" t="s">
        <v>2539</v>
      </c>
      <c r="K613" s="35" t="s">
        <v>2540</v>
      </c>
      <c r="L613" s="35">
        <v>21115919.800000001</v>
      </c>
      <c r="M613" s="35">
        <v>0</v>
      </c>
      <c r="N613" s="35">
        <v>0</v>
      </c>
      <c r="O613" s="35">
        <v>132252339.8</v>
      </c>
      <c r="P613" s="35" t="s">
        <v>41</v>
      </c>
      <c r="Q613" s="35" t="s">
        <v>42</v>
      </c>
      <c r="R613" s="26"/>
      <c r="S613" s="26"/>
      <c r="T613" s="26"/>
      <c r="U613" s="26"/>
      <c r="V613" s="26"/>
      <c r="W613" s="35" t="s">
        <v>43</v>
      </c>
      <c r="X613" s="26" t="s">
        <v>2541</v>
      </c>
    </row>
    <row r="614" spans="1:24" s="29" customFormat="1">
      <c r="A614" s="34" t="s">
        <v>31</v>
      </c>
      <c r="B614" s="34" t="s">
        <v>2542</v>
      </c>
      <c r="C614" s="34" t="s">
        <v>2543</v>
      </c>
      <c r="D614" s="34">
        <f t="shared" si="9"/>
        <v>-1</v>
      </c>
      <c r="E614" s="34" t="s">
        <v>34</v>
      </c>
      <c r="F614" s="34" t="s">
        <v>2161</v>
      </c>
      <c r="G614" s="34" t="s">
        <v>2544</v>
      </c>
      <c r="H614" s="34" t="s">
        <v>37</v>
      </c>
      <c r="I614" s="34" t="s">
        <v>38</v>
      </c>
      <c r="J614" s="34" t="s">
        <v>915</v>
      </c>
      <c r="K614" s="34" t="s">
        <v>916</v>
      </c>
      <c r="L614" s="34">
        <v>922640</v>
      </c>
      <c r="M614" s="34">
        <v>0</v>
      </c>
      <c r="N614" s="34">
        <v>0</v>
      </c>
      <c r="O614" s="34">
        <v>5778640</v>
      </c>
      <c r="P614" s="34" t="s">
        <v>41</v>
      </c>
      <c r="Q614" s="34" t="s">
        <v>42</v>
      </c>
      <c r="R614" s="26"/>
      <c r="S614" s="26"/>
      <c r="T614" s="26" t="s">
        <v>43</v>
      </c>
      <c r="U614" s="26"/>
      <c r="V614" s="26"/>
      <c r="W614" s="26"/>
      <c r="X614" s="26"/>
    </row>
    <row r="615" spans="1:24" s="29" customFormat="1">
      <c r="A615" s="32" t="s">
        <v>31</v>
      </c>
      <c r="B615" s="32" t="s">
        <v>2545</v>
      </c>
      <c r="C615" s="32" t="s">
        <v>2546</v>
      </c>
      <c r="D615" s="32">
        <f t="shared" si="9"/>
        <v>-1</v>
      </c>
      <c r="E615" s="32" t="s">
        <v>34</v>
      </c>
      <c r="F615" s="32" t="s">
        <v>2547</v>
      </c>
      <c r="G615" s="32" t="s">
        <v>2548</v>
      </c>
      <c r="H615" s="32" t="s">
        <v>37</v>
      </c>
      <c r="I615" s="32" t="s">
        <v>38</v>
      </c>
      <c r="J615" s="32" t="s">
        <v>194</v>
      </c>
      <c r="K615" s="32" t="s">
        <v>195</v>
      </c>
      <c r="L615" s="32">
        <v>369560.45</v>
      </c>
      <c r="M615" s="32">
        <v>0</v>
      </c>
      <c r="N615" s="32">
        <v>0</v>
      </c>
      <c r="O615" s="32">
        <v>4495563.45</v>
      </c>
      <c r="P615" s="32" t="s">
        <v>41</v>
      </c>
      <c r="Q615" s="32" t="s">
        <v>42</v>
      </c>
      <c r="R615" s="26" t="s">
        <v>43</v>
      </c>
      <c r="S615" s="26"/>
      <c r="T615" s="26"/>
      <c r="U615" s="26"/>
      <c r="V615" s="26"/>
      <c r="W615" s="26"/>
      <c r="X615" s="26"/>
    </row>
    <row r="616" spans="1:24" s="29" customFormat="1">
      <c r="A616" s="32" t="s">
        <v>31</v>
      </c>
      <c r="B616" s="32" t="s">
        <v>2549</v>
      </c>
      <c r="C616" s="32" t="s">
        <v>2550</v>
      </c>
      <c r="D616" s="32">
        <f t="shared" si="9"/>
        <v>-1</v>
      </c>
      <c r="E616" s="32" t="s">
        <v>34</v>
      </c>
      <c r="F616" s="32" t="s">
        <v>2547</v>
      </c>
      <c r="G616" s="32" t="s">
        <v>2551</v>
      </c>
      <c r="H616" s="32" t="s">
        <v>37</v>
      </c>
      <c r="I616" s="32" t="s">
        <v>38</v>
      </c>
      <c r="J616" s="32" t="s">
        <v>194</v>
      </c>
      <c r="K616" s="32" t="s">
        <v>195</v>
      </c>
      <c r="L616" s="32">
        <v>2586923.15</v>
      </c>
      <c r="M616" s="32">
        <v>0</v>
      </c>
      <c r="N616" s="32">
        <v>0</v>
      </c>
      <c r="O616" s="32">
        <v>48916528.149999999</v>
      </c>
      <c r="P616" s="32" t="s">
        <v>41</v>
      </c>
      <c r="Q616" s="32" t="s">
        <v>42</v>
      </c>
      <c r="R616" s="26" t="s">
        <v>43</v>
      </c>
      <c r="S616" s="26"/>
      <c r="T616" s="26"/>
      <c r="U616" s="26"/>
      <c r="V616" s="26"/>
      <c r="W616" s="26"/>
      <c r="X616" s="26"/>
    </row>
    <row r="617" spans="1:24" s="29" customFormat="1">
      <c r="A617" s="32" t="s">
        <v>31</v>
      </c>
      <c r="B617" s="32" t="s">
        <v>2552</v>
      </c>
      <c r="C617" s="32" t="s">
        <v>2553</v>
      </c>
      <c r="D617" s="32">
        <f t="shared" si="9"/>
        <v>-1</v>
      </c>
      <c r="E617" s="32" t="s">
        <v>34</v>
      </c>
      <c r="F617" s="32" t="s">
        <v>2547</v>
      </c>
      <c r="G617" s="32" t="s">
        <v>2554</v>
      </c>
      <c r="H617" s="32" t="s">
        <v>37</v>
      </c>
      <c r="I617" s="32" t="s">
        <v>38</v>
      </c>
      <c r="J617" s="32" t="s">
        <v>189</v>
      </c>
      <c r="K617" s="32" t="s">
        <v>190</v>
      </c>
      <c r="L617" s="32">
        <v>0</v>
      </c>
      <c r="M617" s="32">
        <v>0</v>
      </c>
      <c r="N617" s="32">
        <v>0</v>
      </c>
      <c r="O617" s="32">
        <v>15333336</v>
      </c>
      <c r="P617" s="32" t="s">
        <v>41</v>
      </c>
      <c r="Q617" s="32" t="s">
        <v>42</v>
      </c>
      <c r="R617" s="26" t="s">
        <v>43</v>
      </c>
      <c r="S617" s="26"/>
      <c r="T617" s="26"/>
      <c r="U617" s="26"/>
      <c r="V617" s="26"/>
      <c r="W617" s="26"/>
      <c r="X617" s="26"/>
    </row>
    <row r="618" spans="1:24" s="29" customFormat="1">
      <c r="A618" s="32" t="s">
        <v>31</v>
      </c>
      <c r="B618" s="32" t="s">
        <v>2555</v>
      </c>
      <c r="C618" s="32" t="s">
        <v>2556</v>
      </c>
      <c r="D618" s="32">
        <f t="shared" si="9"/>
        <v>-1</v>
      </c>
      <c r="E618" s="32" t="s">
        <v>34</v>
      </c>
      <c r="F618" s="32" t="s">
        <v>2547</v>
      </c>
      <c r="G618" s="32" t="s">
        <v>2557</v>
      </c>
      <c r="H618" s="32" t="s">
        <v>37</v>
      </c>
      <c r="I618" s="32" t="s">
        <v>38</v>
      </c>
      <c r="J618" s="32" t="s">
        <v>2558</v>
      </c>
      <c r="K618" s="32" t="s">
        <v>2559</v>
      </c>
      <c r="L618" s="32">
        <v>239400</v>
      </c>
      <c r="M618" s="32">
        <v>0</v>
      </c>
      <c r="N618" s="32">
        <v>0</v>
      </c>
      <c r="O618" s="32">
        <v>1499400</v>
      </c>
      <c r="P618" s="32" t="s">
        <v>41</v>
      </c>
      <c r="Q618" s="32" t="s">
        <v>42</v>
      </c>
      <c r="R618" s="26" t="s">
        <v>43</v>
      </c>
      <c r="S618" s="26"/>
      <c r="T618" s="26"/>
      <c r="U618" s="26"/>
      <c r="V618" s="26"/>
      <c r="W618" s="26"/>
      <c r="X618" s="26"/>
    </row>
    <row r="619" spans="1:24" s="29" customFormat="1">
      <c r="A619" s="26" t="s">
        <v>31</v>
      </c>
      <c r="B619" s="26" t="s">
        <v>2560</v>
      </c>
      <c r="C619" s="26" t="s">
        <v>2561</v>
      </c>
      <c r="D619" s="26">
        <f t="shared" si="9"/>
        <v>-1</v>
      </c>
      <c r="E619" s="26" t="s">
        <v>34</v>
      </c>
      <c r="F619" s="26" t="s">
        <v>2547</v>
      </c>
      <c r="G619" s="26" t="s">
        <v>2562</v>
      </c>
      <c r="H619" s="26" t="s">
        <v>37</v>
      </c>
      <c r="I619" s="26" t="s">
        <v>38</v>
      </c>
      <c r="J619" s="26" t="s">
        <v>2563</v>
      </c>
      <c r="K619" s="26" t="s">
        <v>2564</v>
      </c>
      <c r="L619" s="26">
        <v>31559</v>
      </c>
      <c r="M619" s="26">
        <v>0</v>
      </c>
      <c r="N619" s="26">
        <v>0</v>
      </c>
      <c r="O619" s="26">
        <v>197659</v>
      </c>
      <c r="P619" s="26" t="s">
        <v>41</v>
      </c>
      <c r="Q619" s="26" t="s">
        <v>42</v>
      </c>
      <c r="R619" s="26"/>
      <c r="S619" s="26"/>
      <c r="T619" s="26"/>
      <c r="U619" s="26"/>
      <c r="V619" s="26" t="s">
        <v>43</v>
      </c>
      <c r="W619" s="26"/>
      <c r="X619" s="26"/>
    </row>
    <row r="620" spans="1:24" s="29" customFormat="1">
      <c r="A620" s="26" t="s">
        <v>31</v>
      </c>
      <c r="B620" s="26" t="s">
        <v>2565</v>
      </c>
      <c r="C620" s="26" t="s">
        <v>2566</v>
      </c>
      <c r="D620" s="26">
        <f t="shared" si="9"/>
        <v>-1</v>
      </c>
      <c r="E620" s="26" t="s">
        <v>34</v>
      </c>
      <c r="F620" s="26" t="s">
        <v>2547</v>
      </c>
      <c r="G620" s="26" t="s">
        <v>2567</v>
      </c>
      <c r="H620" s="26" t="s">
        <v>37</v>
      </c>
      <c r="I620" s="26" t="s">
        <v>38</v>
      </c>
      <c r="J620" s="26" t="s">
        <v>2563</v>
      </c>
      <c r="K620" s="26" t="s">
        <v>2564</v>
      </c>
      <c r="L620" s="26">
        <v>46018</v>
      </c>
      <c r="M620" s="26">
        <v>0</v>
      </c>
      <c r="N620" s="26">
        <v>0</v>
      </c>
      <c r="O620" s="26">
        <v>288218</v>
      </c>
      <c r="P620" s="26" t="s">
        <v>41</v>
      </c>
      <c r="Q620" s="26" t="s">
        <v>42</v>
      </c>
      <c r="R620" s="26"/>
      <c r="S620" s="26"/>
      <c r="T620" s="26"/>
      <c r="U620" s="26"/>
      <c r="V620" s="26" t="s">
        <v>43</v>
      </c>
      <c r="W620" s="26"/>
      <c r="X620" s="26"/>
    </row>
    <row r="621" spans="1:24" s="29" customFormat="1">
      <c r="A621" s="32" t="s">
        <v>31</v>
      </c>
      <c r="B621" s="32" t="s">
        <v>2568</v>
      </c>
      <c r="C621" s="32" t="s">
        <v>2569</v>
      </c>
      <c r="D621" s="32">
        <f t="shared" si="9"/>
        <v>-1</v>
      </c>
      <c r="E621" s="32" t="s">
        <v>34</v>
      </c>
      <c r="F621" s="32" t="s">
        <v>2547</v>
      </c>
      <c r="G621" s="32" t="s">
        <v>2570</v>
      </c>
      <c r="H621" s="32" t="s">
        <v>37</v>
      </c>
      <c r="I621" s="32" t="s">
        <v>38</v>
      </c>
      <c r="J621" s="32" t="s">
        <v>2571</v>
      </c>
      <c r="K621" s="32" t="s">
        <v>2572</v>
      </c>
      <c r="L621" s="32">
        <v>146186</v>
      </c>
      <c r="M621" s="32">
        <v>0</v>
      </c>
      <c r="N621" s="32">
        <v>0</v>
      </c>
      <c r="O621" s="32">
        <v>915586</v>
      </c>
      <c r="P621" s="32" t="s">
        <v>41</v>
      </c>
      <c r="Q621" s="32" t="s">
        <v>42</v>
      </c>
      <c r="R621" s="26" t="s">
        <v>43</v>
      </c>
      <c r="S621" s="26"/>
      <c r="T621" s="26"/>
      <c r="U621" s="26"/>
      <c r="V621" s="26"/>
      <c r="W621" s="26"/>
      <c r="X621" s="26"/>
    </row>
    <row r="622" spans="1:24" s="29" customFormat="1">
      <c r="A622" s="35" t="s">
        <v>31</v>
      </c>
      <c r="B622" s="35" t="s">
        <v>2573</v>
      </c>
      <c r="C622" s="35" t="s">
        <v>2574</v>
      </c>
      <c r="D622" s="35">
        <f t="shared" si="9"/>
        <v>-1</v>
      </c>
      <c r="E622" s="35" t="s">
        <v>34</v>
      </c>
      <c r="F622" s="35" t="s">
        <v>2547</v>
      </c>
      <c r="G622" s="35" t="s">
        <v>2575</v>
      </c>
      <c r="H622" s="35" t="s">
        <v>37</v>
      </c>
      <c r="I622" s="35" t="s">
        <v>38</v>
      </c>
      <c r="J622" s="35" t="s">
        <v>2576</v>
      </c>
      <c r="K622" s="35" t="s">
        <v>2577</v>
      </c>
      <c r="L622" s="35">
        <v>654155.18000000005</v>
      </c>
      <c r="M622" s="35">
        <v>0</v>
      </c>
      <c r="N622" s="35">
        <v>0</v>
      </c>
      <c r="O622" s="35">
        <v>4097077.18</v>
      </c>
      <c r="P622" s="35" t="s">
        <v>41</v>
      </c>
      <c r="Q622" s="35" t="s">
        <v>42</v>
      </c>
      <c r="R622" s="26"/>
      <c r="S622" s="26"/>
      <c r="T622" s="26"/>
      <c r="U622" s="26"/>
      <c r="V622" s="26"/>
      <c r="W622" s="35" t="s">
        <v>43</v>
      </c>
      <c r="X622" s="26" t="s">
        <v>647</v>
      </c>
    </row>
    <row r="623" spans="1:24" s="29" customFormat="1">
      <c r="A623" s="35" t="s">
        <v>31</v>
      </c>
      <c r="B623" s="35" t="s">
        <v>2578</v>
      </c>
      <c r="C623" s="35" t="s">
        <v>2579</v>
      </c>
      <c r="D623" s="35">
        <f t="shared" si="9"/>
        <v>-1</v>
      </c>
      <c r="E623" s="35" t="s">
        <v>34</v>
      </c>
      <c r="F623" s="35" t="s">
        <v>2547</v>
      </c>
      <c r="G623" s="35" t="s">
        <v>2580</v>
      </c>
      <c r="H623" s="35" t="s">
        <v>37</v>
      </c>
      <c r="I623" s="35" t="s">
        <v>38</v>
      </c>
      <c r="J623" s="35" t="s">
        <v>2576</v>
      </c>
      <c r="K623" s="35" t="s">
        <v>2577</v>
      </c>
      <c r="L623" s="35">
        <v>93449.98</v>
      </c>
      <c r="M623" s="35">
        <v>0</v>
      </c>
      <c r="N623" s="35">
        <v>0</v>
      </c>
      <c r="O623" s="35">
        <v>585291.98</v>
      </c>
      <c r="P623" s="35" t="s">
        <v>41</v>
      </c>
      <c r="Q623" s="35" t="s">
        <v>42</v>
      </c>
      <c r="R623" s="26"/>
      <c r="S623" s="26"/>
      <c r="T623" s="26"/>
      <c r="U623" s="26"/>
      <c r="V623" s="26"/>
      <c r="W623" s="35" t="s">
        <v>43</v>
      </c>
      <c r="X623" s="26" t="s">
        <v>647</v>
      </c>
    </row>
    <row r="624" spans="1:24" s="29" customFormat="1">
      <c r="A624" s="26" t="s">
        <v>31</v>
      </c>
      <c r="B624" s="26" t="s">
        <v>2581</v>
      </c>
      <c r="C624" s="26" t="s">
        <v>2582</v>
      </c>
      <c r="D624" s="26">
        <f t="shared" si="9"/>
        <v>-1</v>
      </c>
      <c r="E624" s="26" t="s">
        <v>34</v>
      </c>
      <c r="F624" s="26" t="s">
        <v>2547</v>
      </c>
      <c r="G624" s="26" t="s">
        <v>2583</v>
      </c>
      <c r="H624" s="26" t="s">
        <v>37</v>
      </c>
      <c r="I624" s="26" t="s">
        <v>38</v>
      </c>
      <c r="J624" s="26" t="s">
        <v>2563</v>
      </c>
      <c r="K624" s="26" t="s">
        <v>2564</v>
      </c>
      <c r="L624" s="26">
        <v>128250</v>
      </c>
      <c r="M624" s="26">
        <v>0</v>
      </c>
      <c r="N624" s="26">
        <v>0</v>
      </c>
      <c r="O624" s="26">
        <v>803250</v>
      </c>
      <c r="P624" s="26" t="s">
        <v>41</v>
      </c>
      <c r="Q624" s="26" t="s">
        <v>42</v>
      </c>
      <c r="R624" s="26"/>
      <c r="S624" s="26"/>
      <c r="T624" s="26"/>
      <c r="U624" s="26"/>
      <c r="V624" s="26" t="s">
        <v>43</v>
      </c>
      <c r="W624" s="26"/>
      <c r="X624" s="26"/>
    </row>
    <row r="625" spans="1:24" s="29" customFormat="1">
      <c r="A625" s="26" t="s">
        <v>31</v>
      </c>
      <c r="B625" s="26" t="s">
        <v>2584</v>
      </c>
      <c r="C625" s="26" t="s">
        <v>2585</v>
      </c>
      <c r="D625" s="26">
        <f t="shared" si="9"/>
        <v>-1</v>
      </c>
      <c r="E625" s="26" t="s">
        <v>34</v>
      </c>
      <c r="F625" s="26" t="s">
        <v>2547</v>
      </c>
      <c r="G625" s="26" t="s">
        <v>2586</v>
      </c>
      <c r="H625" s="26" t="s">
        <v>37</v>
      </c>
      <c r="I625" s="26" t="s">
        <v>38</v>
      </c>
      <c r="J625" s="26" t="s">
        <v>2563</v>
      </c>
      <c r="K625" s="26" t="s">
        <v>2564</v>
      </c>
      <c r="L625" s="26">
        <v>42256</v>
      </c>
      <c r="M625" s="26">
        <v>0</v>
      </c>
      <c r="N625" s="26">
        <v>0</v>
      </c>
      <c r="O625" s="26">
        <v>264656</v>
      </c>
      <c r="P625" s="26" t="s">
        <v>41</v>
      </c>
      <c r="Q625" s="26" t="s">
        <v>42</v>
      </c>
      <c r="R625" s="26"/>
      <c r="S625" s="26"/>
      <c r="T625" s="26"/>
      <c r="U625" s="26"/>
      <c r="V625" s="26" t="s">
        <v>43</v>
      </c>
      <c r="W625" s="26"/>
      <c r="X625" s="26"/>
    </row>
    <row r="626" spans="1:24" s="29" customFormat="1">
      <c r="A626" s="26" t="s">
        <v>31</v>
      </c>
      <c r="B626" s="26" t="s">
        <v>2587</v>
      </c>
      <c r="C626" s="26" t="s">
        <v>2588</v>
      </c>
      <c r="D626" s="26">
        <f t="shared" si="9"/>
        <v>-1</v>
      </c>
      <c r="E626" s="26" t="s">
        <v>34</v>
      </c>
      <c r="F626" s="26" t="s">
        <v>2547</v>
      </c>
      <c r="G626" s="26" t="s">
        <v>2589</v>
      </c>
      <c r="H626" s="26" t="s">
        <v>37</v>
      </c>
      <c r="I626" s="26" t="s">
        <v>38</v>
      </c>
      <c r="J626" s="26" t="s">
        <v>2590</v>
      </c>
      <c r="K626" s="26" t="s">
        <v>2591</v>
      </c>
      <c r="L626" s="26">
        <v>1022580</v>
      </c>
      <c r="M626" s="26">
        <v>0</v>
      </c>
      <c r="N626" s="26">
        <v>0</v>
      </c>
      <c r="O626" s="26">
        <v>6404580</v>
      </c>
      <c r="P626" s="26" t="s">
        <v>41</v>
      </c>
      <c r="Q626" s="26" t="s">
        <v>42</v>
      </c>
      <c r="R626" s="26"/>
      <c r="S626" s="26"/>
      <c r="T626" s="26"/>
      <c r="U626" s="26"/>
      <c r="V626" s="26" t="s">
        <v>43</v>
      </c>
      <c r="W626" s="26"/>
      <c r="X626" s="26"/>
    </row>
    <row r="627" spans="1:24" s="29" customFormat="1">
      <c r="A627" s="26" t="s">
        <v>31</v>
      </c>
      <c r="B627" s="26" t="s">
        <v>2592</v>
      </c>
      <c r="C627" s="26" t="s">
        <v>2593</v>
      </c>
      <c r="D627" s="26">
        <f t="shared" si="9"/>
        <v>-1</v>
      </c>
      <c r="E627" s="26" t="s">
        <v>34</v>
      </c>
      <c r="F627" s="26" t="s">
        <v>2547</v>
      </c>
      <c r="G627" s="26" t="s">
        <v>2594</v>
      </c>
      <c r="H627" s="26" t="s">
        <v>37</v>
      </c>
      <c r="I627" s="26" t="s">
        <v>38</v>
      </c>
      <c r="J627" s="26" t="s">
        <v>2595</v>
      </c>
      <c r="K627" s="26" t="s">
        <v>2596</v>
      </c>
      <c r="L627" s="26">
        <v>0</v>
      </c>
      <c r="M627" s="26">
        <v>0</v>
      </c>
      <c r="N627" s="26">
        <v>0</v>
      </c>
      <c r="O627" s="26">
        <v>1347360</v>
      </c>
      <c r="P627" s="26" t="s">
        <v>41</v>
      </c>
      <c r="Q627" s="26" t="s">
        <v>42</v>
      </c>
      <c r="R627" s="26"/>
      <c r="S627" s="26"/>
      <c r="T627" s="26"/>
      <c r="U627" s="26"/>
      <c r="V627" s="26" t="s">
        <v>43</v>
      </c>
      <c r="W627" s="26"/>
      <c r="X627" s="26"/>
    </row>
    <row r="628" spans="1:24" s="29" customFormat="1">
      <c r="A628" s="34" t="s">
        <v>31</v>
      </c>
      <c r="B628" s="34" t="s">
        <v>2597</v>
      </c>
      <c r="C628" s="34" t="s">
        <v>2598</v>
      </c>
      <c r="D628" s="34">
        <f t="shared" si="9"/>
        <v>-1</v>
      </c>
      <c r="E628" s="34" t="s">
        <v>34</v>
      </c>
      <c r="F628" s="34" t="s">
        <v>2547</v>
      </c>
      <c r="G628" s="34" t="s">
        <v>2599</v>
      </c>
      <c r="H628" s="34" t="s">
        <v>37</v>
      </c>
      <c r="I628" s="34" t="s">
        <v>38</v>
      </c>
      <c r="J628" s="34" t="s">
        <v>2600</v>
      </c>
      <c r="K628" s="34" t="s">
        <v>2601</v>
      </c>
      <c r="L628" s="34">
        <v>308023.5</v>
      </c>
      <c r="M628" s="34">
        <v>0</v>
      </c>
      <c r="N628" s="34">
        <v>0</v>
      </c>
      <c r="O628" s="34">
        <v>2235873.5</v>
      </c>
      <c r="P628" s="34" t="s">
        <v>41</v>
      </c>
      <c r="Q628" s="34" t="s">
        <v>42</v>
      </c>
      <c r="R628" s="26"/>
      <c r="S628" s="26"/>
      <c r="T628" s="26" t="s">
        <v>43</v>
      </c>
      <c r="U628" s="26"/>
      <c r="V628" s="26"/>
      <c r="W628" s="26"/>
      <c r="X628" s="26"/>
    </row>
    <row r="629" spans="1:24" s="29" customFormat="1">
      <c r="A629" s="34" t="s">
        <v>31</v>
      </c>
      <c r="B629" s="34" t="s">
        <v>2602</v>
      </c>
      <c r="C629" s="34" t="s">
        <v>2603</v>
      </c>
      <c r="D629" s="34">
        <f t="shared" si="9"/>
        <v>-1</v>
      </c>
      <c r="E629" s="34" t="s">
        <v>34</v>
      </c>
      <c r="F629" s="34" t="s">
        <v>2547</v>
      </c>
      <c r="G629" s="34" t="s">
        <v>2604</v>
      </c>
      <c r="H629" s="34" t="s">
        <v>37</v>
      </c>
      <c r="I629" s="34" t="s">
        <v>38</v>
      </c>
      <c r="J629" s="34" t="s">
        <v>2600</v>
      </c>
      <c r="K629" s="34" t="s">
        <v>2601</v>
      </c>
      <c r="L629" s="34">
        <v>237366</v>
      </c>
      <c r="M629" s="34">
        <v>0</v>
      </c>
      <c r="N629" s="34">
        <v>0</v>
      </c>
      <c r="O629" s="34">
        <v>1545166</v>
      </c>
      <c r="P629" s="34" t="s">
        <v>41</v>
      </c>
      <c r="Q629" s="34" t="s">
        <v>42</v>
      </c>
      <c r="R629" s="26"/>
      <c r="S629" s="26"/>
      <c r="T629" s="26" t="s">
        <v>43</v>
      </c>
      <c r="U629" s="26"/>
      <c r="V629" s="26"/>
      <c r="W629" s="26"/>
      <c r="X629" s="26"/>
    </row>
    <row r="630" spans="1:24" s="29" customFormat="1">
      <c r="A630" s="34" t="s">
        <v>31</v>
      </c>
      <c r="B630" s="34" t="s">
        <v>2605</v>
      </c>
      <c r="C630" s="34" t="s">
        <v>2606</v>
      </c>
      <c r="D630" s="34">
        <f t="shared" si="9"/>
        <v>-1</v>
      </c>
      <c r="E630" s="34" t="s">
        <v>34</v>
      </c>
      <c r="F630" s="34" t="s">
        <v>2547</v>
      </c>
      <c r="G630" s="34" t="s">
        <v>2607</v>
      </c>
      <c r="H630" s="34" t="s">
        <v>37</v>
      </c>
      <c r="I630" s="34" t="s">
        <v>38</v>
      </c>
      <c r="J630" s="34" t="s">
        <v>2600</v>
      </c>
      <c r="K630" s="34" t="s">
        <v>2601</v>
      </c>
      <c r="L630" s="34">
        <v>11400</v>
      </c>
      <c r="M630" s="34">
        <v>0</v>
      </c>
      <c r="N630" s="34">
        <v>0</v>
      </c>
      <c r="O630" s="34">
        <v>71400</v>
      </c>
      <c r="P630" s="34" t="s">
        <v>41</v>
      </c>
      <c r="Q630" s="34" t="s">
        <v>42</v>
      </c>
      <c r="R630" s="26"/>
      <c r="S630" s="26"/>
      <c r="T630" s="26" t="s">
        <v>43</v>
      </c>
      <c r="U630" s="26"/>
      <c r="V630" s="26"/>
      <c r="W630" s="26"/>
      <c r="X630" s="26"/>
    </row>
    <row r="631" spans="1:24" s="29" customFormat="1">
      <c r="A631" s="32" t="s">
        <v>31</v>
      </c>
      <c r="B631" s="32" t="s">
        <v>2608</v>
      </c>
      <c r="C631" s="32" t="s">
        <v>2609</v>
      </c>
      <c r="D631" s="32">
        <f t="shared" si="9"/>
        <v>-1</v>
      </c>
      <c r="E631" s="32" t="s">
        <v>34</v>
      </c>
      <c r="F631" s="32" t="s">
        <v>2547</v>
      </c>
      <c r="G631" s="32" t="s">
        <v>2610</v>
      </c>
      <c r="H631" s="32" t="s">
        <v>37</v>
      </c>
      <c r="I631" s="32" t="s">
        <v>38</v>
      </c>
      <c r="J631" s="32" t="s">
        <v>2611</v>
      </c>
      <c r="K631" s="32" t="s">
        <v>2612</v>
      </c>
      <c r="L631" s="32">
        <v>57993</v>
      </c>
      <c r="M631" s="32">
        <v>0</v>
      </c>
      <c r="N631" s="32">
        <v>0</v>
      </c>
      <c r="O631" s="32">
        <v>1025493</v>
      </c>
      <c r="P631" s="32" t="s">
        <v>41</v>
      </c>
      <c r="Q631" s="32" t="s">
        <v>42</v>
      </c>
      <c r="R631" s="26" t="s">
        <v>43</v>
      </c>
      <c r="S631" s="26"/>
      <c r="T631" s="26"/>
      <c r="U631" s="26"/>
      <c r="V631" s="26"/>
      <c r="W631" s="26"/>
      <c r="X631" s="26"/>
    </row>
    <row r="632" spans="1:24" s="29" customFormat="1">
      <c r="A632" s="32" t="s">
        <v>31</v>
      </c>
      <c r="B632" s="32" t="s">
        <v>2613</v>
      </c>
      <c r="C632" s="32" t="s">
        <v>2614</v>
      </c>
      <c r="D632" s="32">
        <f t="shared" si="9"/>
        <v>-1</v>
      </c>
      <c r="E632" s="32" t="s">
        <v>34</v>
      </c>
      <c r="F632" s="32" t="s">
        <v>2547</v>
      </c>
      <c r="G632" s="32" t="s">
        <v>2615</v>
      </c>
      <c r="H632" s="32" t="s">
        <v>37</v>
      </c>
      <c r="I632" s="32" t="s">
        <v>38</v>
      </c>
      <c r="J632" s="32" t="s">
        <v>2611</v>
      </c>
      <c r="K632" s="32" t="s">
        <v>2612</v>
      </c>
      <c r="L632" s="32">
        <v>136237.6</v>
      </c>
      <c r="M632" s="32">
        <v>0</v>
      </c>
      <c r="N632" s="32">
        <v>0</v>
      </c>
      <c r="O632" s="32">
        <v>1045277.6</v>
      </c>
      <c r="P632" s="32" t="s">
        <v>41</v>
      </c>
      <c r="Q632" s="32" t="s">
        <v>42</v>
      </c>
      <c r="R632" s="26" t="s">
        <v>43</v>
      </c>
      <c r="S632" s="26"/>
      <c r="T632" s="26"/>
      <c r="U632" s="26"/>
      <c r="V632" s="26"/>
      <c r="W632" s="26"/>
      <c r="X632" s="26"/>
    </row>
    <row r="633" spans="1:24" s="29" customFormat="1">
      <c r="A633" s="34" t="s">
        <v>31</v>
      </c>
      <c r="B633" s="34" t="s">
        <v>2616</v>
      </c>
      <c r="C633" s="34" t="s">
        <v>2617</v>
      </c>
      <c r="D633" s="34">
        <f t="shared" si="9"/>
        <v>-1</v>
      </c>
      <c r="E633" s="34" t="s">
        <v>34</v>
      </c>
      <c r="F633" s="34" t="s">
        <v>2547</v>
      </c>
      <c r="G633" s="34" t="s">
        <v>2618</v>
      </c>
      <c r="H633" s="34" t="s">
        <v>37</v>
      </c>
      <c r="I633" s="34" t="s">
        <v>38</v>
      </c>
      <c r="J633" s="34" t="s">
        <v>2619</v>
      </c>
      <c r="K633" s="34" t="s">
        <v>2620</v>
      </c>
      <c r="L633" s="34">
        <v>283062</v>
      </c>
      <c r="M633" s="34">
        <v>0</v>
      </c>
      <c r="N633" s="34">
        <v>0</v>
      </c>
      <c r="O633" s="34">
        <v>1772862</v>
      </c>
      <c r="P633" s="34" t="s">
        <v>41</v>
      </c>
      <c r="Q633" s="34" t="s">
        <v>42</v>
      </c>
      <c r="R633" s="26"/>
      <c r="S633" s="26"/>
      <c r="T633" s="26" t="s">
        <v>43</v>
      </c>
      <c r="U633" s="26"/>
      <c r="V633" s="26"/>
      <c r="W633" s="26"/>
      <c r="X633" s="26"/>
    </row>
    <row r="634" spans="1:24" s="29" customFormat="1">
      <c r="A634" s="26" t="s">
        <v>31</v>
      </c>
      <c r="B634" s="26" t="s">
        <v>2621</v>
      </c>
      <c r="C634" s="26" t="s">
        <v>2622</v>
      </c>
      <c r="D634" s="26">
        <f t="shared" si="9"/>
        <v>-1</v>
      </c>
      <c r="E634" s="26" t="s">
        <v>34</v>
      </c>
      <c r="F634" s="26" t="s">
        <v>2547</v>
      </c>
      <c r="G634" s="26" t="s">
        <v>2623</v>
      </c>
      <c r="H634" s="26" t="s">
        <v>37</v>
      </c>
      <c r="I634" s="26" t="s">
        <v>38</v>
      </c>
      <c r="J634" s="26" t="s">
        <v>2624</v>
      </c>
      <c r="K634" s="26" t="s">
        <v>2625</v>
      </c>
      <c r="L634" s="26">
        <v>142500</v>
      </c>
      <c r="M634" s="26">
        <v>0</v>
      </c>
      <c r="N634" s="26">
        <v>0</v>
      </c>
      <c r="O634" s="26">
        <v>892500</v>
      </c>
      <c r="P634" s="26" t="s">
        <v>41</v>
      </c>
      <c r="Q634" s="26" t="s">
        <v>42</v>
      </c>
      <c r="R634" s="26"/>
      <c r="S634" s="26"/>
      <c r="T634" s="26"/>
      <c r="U634" s="26"/>
      <c r="V634" s="26" t="s">
        <v>43</v>
      </c>
      <c r="W634" s="26"/>
      <c r="X634" s="26"/>
    </row>
    <row r="635" spans="1:24" s="29" customFormat="1">
      <c r="A635" s="26" t="s">
        <v>31</v>
      </c>
      <c r="B635" s="26" t="s">
        <v>2626</v>
      </c>
      <c r="C635" s="26" t="s">
        <v>2627</v>
      </c>
      <c r="D635" s="26">
        <f t="shared" si="9"/>
        <v>-1</v>
      </c>
      <c r="E635" s="26" t="s">
        <v>34</v>
      </c>
      <c r="F635" s="26" t="s">
        <v>2547</v>
      </c>
      <c r="G635" s="26" t="s">
        <v>2628</v>
      </c>
      <c r="H635" s="26" t="s">
        <v>37</v>
      </c>
      <c r="I635" s="26" t="s">
        <v>38</v>
      </c>
      <c r="J635" s="26" t="s">
        <v>2624</v>
      </c>
      <c r="K635" s="26" t="s">
        <v>2625</v>
      </c>
      <c r="L635" s="26">
        <v>156750</v>
      </c>
      <c r="M635" s="26">
        <v>0</v>
      </c>
      <c r="N635" s="26">
        <v>0</v>
      </c>
      <c r="O635" s="26">
        <v>981750</v>
      </c>
      <c r="P635" s="26" t="s">
        <v>41</v>
      </c>
      <c r="Q635" s="26" t="s">
        <v>42</v>
      </c>
      <c r="R635" s="26"/>
      <c r="S635" s="26"/>
      <c r="T635" s="26"/>
      <c r="U635" s="26"/>
      <c r="V635" s="26" t="s">
        <v>43</v>
      </c>
      <c r="W635" s="26"/>
      <c r="X635" s="26"/>
    </row>
    <row r="636" spans="1:24" s="29" customFormat="1">
      <c r="A636" s="34" t="s">
        <v>31</v>
      </c>
      <c r="B636" s="34" t="s">
        <v>2629</v>
      </c>
      <c r="C636" s="34" t="s">
        <v>2630</v>
      </c>
      <c r="D636" s="34">
        <f t="shared" si="9"/>
        <v>-1</v>
      </c>
      <c r="E636" s="34" t="s">
        <v>34</v>
      </c>
      <c r="F636" s="34" t="s">
        <v>2547</v>
      </c>
      <c r="G636" s="34" t="s">
        <v>2631</v>
      </c>
      <c r="H636" s="34" t="s">
        <v>37</v>
      </c>
      <c r="I636" s="34" t="s">
        <v>38</v>
      </c>
      <c r="J636" s="34" t="s">
        <v>69</v>
      </c>
      <c r="K636" s="34" t="s">
        <v>70</v>
      </c>
      <c r="L636" s="34">
        <v>22632.42</v>
      </c>
      <c r="M636" s="34">
        <v>0</v>
      </c>
      <c r="N636" s="34">
        <v>0</v>
      </c>
      <c r="O636" s="34">
        <v>141750.42000000001</v>
      </c>
      <c r="P636" s="34" t="s">
        <v>41</v>
      </c>
      <c r="Q636" s="34" t="s">
        <v>42</v>
      </c>
      <c r="R636" s="26"/>
      <c r="S636" s="26"/>
      <c r="T636" s="26" t="s">
        <v>43</v>
      </c>
      <c r="U636" s="26"/>
      <c r="V636" s="26"/>
      <c r="W636" s="26"/>
      <c r="X636" s="26"/>
    </row>
    <row r="637" spans="1:24" s="29" customFormat="1">
      <c r="A637" s="34" t="s">
        <v>31</v>
      </c>
      <c r="B637" s="34" t="s">
        <v>2632</v>
      </c>
      <c r="C637" s="34" t="s">
        <v>2633</v>
      </c>
      <c r="D637" s="34">
        <f t="shared" si="9"/>
        <v>-1</v>
      </c>
      <c r="E637" s="34" t="s">
        <v>34</v>
      </c>
      <c r="F637" s="34" t="s">
        <v>2547</v>
      </c>
      <c r="G637" s="34" t="s">
        <v>2634</v>
      </c>
      <c r="H637" s="34" t="s">
        <v>37</v>
      </c>
      <c r="I637" s="34" t="s">
        <v>38</v>
      </c>
      <c r="J637" s="34" t="s">
        <v>69</v>
      </c>
      <c r="K637" s="34" t="s">
        <v>70</v>
      </c>
      <c r="L637" s="34">
        <v>32048.25</v>
      </c>
      <c r="M637" s="34">
        <v>0</v>
      </c>
      <c r="N637" s="34">
        <v>0</v>
      </c>
      <c r="O637" s="34">
        <v>200723.25</v>
      </c>
      <c r="P637" s="34" t="s">
        <v>41</v>
      </c>
      <c r="Q637" s="34" t="s">
        <v>42</v>
      </c>
      <c r="R637" s="26"/>
      <c r="S637" s="26"/>
      <c r="T637" s="26" t="s">
        <v>43</v>
      </c>
      <c r="U637" s="26"/>
      <c r="V637" s="26"/>
      <c r="W637" s="26"/>
      <c r="X637" s="26"/>
    </row>
    <row r="638" spans="1:24" s="29" customFormat="1">
      <c r="A638" s="32" t="s">
        <v>31</v>
      </c>
      <c r="B638" s="32" t="s">
        <v>2635</v>
      </c>
      <c r="C638" s="32" t="s">
        <v>2636</v>
      </c>
      <c r="D638" s="32">
        <f t="shared" si="9"/>
        <v>-1</v>
      </c>
      <c r="E638" s="32" t="s">
        <v>34</v>
      </c>
      <c r="F638" s="32" t="s">
        <v>2547</v>
      </c>
      <c r="G638" s="32" t="s">
        <v>2637</v>
      </c>
      <c r="H638" s="32" t="s">
        <v>37</v>
      </c>
      <c r="I638" s="32" t="s">
        <v>38</v>
      </c>
      <c r="J638" s="32" t="s">
        <v>2503</v>
      </c>
      <c r="K638" s="32" t="s">
        <v>2504</v>
      </c>
      <c r="L638" s="32">
        <v>32048.25</v>
      </c>
      <c r="M638" s="32">
        <v>0</v>
      </c>
      <c r="N638" s="32">
        <v>0</v>
      </c>
      <c r="O638" s="32">
        <v>200723.25</v>
      </c>
      <c r="P638" s="32" t="s">
        <v>41</v>
      </c>
      <c r="Q638" s="32" t="s">
        <v>42</v>
      </c>
      <c r="R638" s="26" t="s">
        <v>43</v>
      </c>
      <c r="S638" s="26"/>
      <c r="T638" s="26"/>
      <c r="U638" s="26"/>
      <c r="V638" s="26"/>
      <c r="W638" s="26"/>
      <c r="X638" s="26"/>
    </row>
    <row r="639" spans="1:24" s="29" customFormat="1">
      <c r="A639" s="32" t="s">
        <v>31</v>
      </c>
      <c r="B639" s="32" t="s">
        <v>2638</v>
      </c>
      <c r="C639" s="32" t="s">
        <v>2639</v>
      </c>
      <c r="D639" s="32">
        <f t="shared" si="9"/>
        <v>-1</v>
      </c>
      <c r="E639" s="32" t="s">
        <v>34</v>
      </c>
      <c r="F639" s="32" t="s">
        <v>2547</v>
      </c>
      <c r="G639" s="32" t="s">
        <v>2640</v>
      </c>
      <c r="H639" s="32" t="s">
        <v>37</v>
      </c>
      <c r="I639" s="32" t="s">
        <v>38</v>
      </c>
      <c r="J639" s="32" t="s">
        <v>2641</v>
      </c>
      <c r="K639" s="32" t="s">
        <v>2642</v>
      </c>
      <c r="L639" s="32">
        <v>479740.85</v>
      </c>
      <c r="M639" s="32">
        <v>0</v>
      </c>
      <c r="N639" s="32">
        <v>0</v>
      </c>
      <c r="O639" s="32">
        <v>3004692.85</v>
      </c>
      <c r="P639" s="32" t="s">
        <v>41</v>
      </c>
      <c r="Q639" s="32" t="s">
        <v>42</v>
      </c>
      <c r="R639" s="26" t="s">
        <v>43</v>
      </c>
      <c r="S639" s="26"/>
      <c r="T639" s="26"/>
      <c r="U639" s="26"/>
      <c r="V639" s="26"/>
      <c r="W639" s="26"/>
      <c r="X639" s="26"/>
    </row>
    <row r="640" spans="1:24" s="29" customFormat="1">
      <c r="A640" s="32" t="s">
        <v>31</v>
      </c>
      <c r="B640" s="32" t="s">
        <v>2643</v>
      </c>
      <c r="C640" s="32" t="s">
        <v>2644</v>
      </c>
      <c r="D640" s="32">
        <f t="shared" si="9"/>
        <v>-1</v>
      </c>
      <c r="E640" s="32" t="s">
        <v>34</v>
      </c>
      <c r="F640" s="32" t="s">
        <v>2547</v>
      </c>
      <c r="G640" s="32" t="s">
        <v>2645</v>
      </c>
      <c r="H640" s="32" t="s">
        <v>37</v>
      </c>
      <c r="I640" s="32" t="s">
        <v>38</v>
      </c>
      <c r="J640" s="32" t="s">
        <v>150</v>
      </c>
      <c r="K640" s="32" t="s">
        <v>151</v>
      </c>
      <c r="L640" s="32">
        <v>9500</v>
      </c>
      <c r="M640" s="32">
        <v>0</v>
      </c>
      <c r="N640" s="32">
        <v>0</v>
      </c>
      <c r="O640" s="32">
        <v>59500</v>
      </c>
      <c r="P640" s="32" t="s">
        <v>41</v>
      </c>
      <c r="Q640" s="32" t="s">
        <v>42</v>
      </c>
      <c r="R640" s="26" t="s">
        <v>43</v>
      </c>
      <c r="S640" s="26"/>
      <c r="T640" s="26"/>
      <c r="U640" s="26"/>
      <c r="V640" s="26"/>
      <c r="W640" s="26"/>
      <c r="X640" s="26"/>
    </row>
    <row r="641" spans="1:24" s="29" customFormat="1">
      <c r="A641" s="32" t="s">
        <v>31</v>
      </c>
      <c r="B641" s="32" t="s">
        <v>2646</v>
      </c>
      <c r="C641" s="32" t="s">
        <v>2647</v>
      </c>
      <c r="D641" s="32">
        <f t="shared" si="9"/>
        <v>-1</v>
      </c>
      <c r="E641" s="32" t="s">
        <v>34</v>
      </c>
      <c r="F641" s="32" t="s">
        <v>2547</v>
      </c>
      <c r="G641" s="32" t="s">
        <v>2648</v>
      </c>
      <c r="H641" s="32" t="s">
        <v>37</v>
      </c>
      <c r="I641" s="32" t="s">
        <v>38</v>
      </c>
      <c r="J641" s="32" t="s">
        <v>150</v>
      </c>
      <c r="K641" s="32" t="s">
        <v>151</v>
      </c>
      <c r="L641" s="32">
        <v>68186.25</v>
      </c>
      <c r="M641" s="32">
        <v>0</v>
      </c>
      <c r="N641" s="32">
        <v>0</v>
      </c>
      <c r="O641" s="32">
        <v>427061.25</v>
      </c>
      <c r="P641" s="32" t="s">
        <v>41</v>
      </c>
      <c r="Q641" s="32" t="s">
        <v>42</v>
      </c>
      <c r="R641" s="26" t="s">
        <v>43</v>
      </c>
      <c r="S641" s="26"/>
      <c r="T641" s="26"/>
      <c r="U641" s="26"/>
      <c r="V641" s="26"/>
      <c r="W641" s="26"/>
      <c r="X641" s="26"/>
    </row>
    <row r="642" spans="1:24" s="29" customFormat="1">
      <c r="A642" s="32" t="s">
        <v>31</v>
      </c>
      <c r="B642" s="32" t="s">
        <v>2649</v>
      </c>
      <c r="C642" s="32" t="s">
        <v>2650</v>
      </c>
      <c r="D642" s="32">
        <f t="shared" si="9"/>
        <v>-1</v>
      </c>
      <c r="E642" s="32" t="s">
        <v>34</v>
      </c>
      <c r="F642" s="32" t="s">
        <v>2547</v>
      </c>
      <c r="G642" s="32" t="s">
        <v>2651</v>
      </c>
      <c r="H642" s="32" t="s">
        <v>37</v>
      </c>
      <c r="I642" s="32" t="s">
        <v>38</v>
      </c>
      <c r="J642" s="32" t="s">
        <v>189</v>
      </c>
      <c r="K642" s="32" t="s">
        <v>190</v>
      </c>
      <c r="L642" s="32">
        <v>0</v>
      </c>
      <c r="M642" s="32">
        <v>0</v>
      </c>
      <c r="N642" s="32">
        <v>0</v>
      </c>
      <c r="O642" s="32">
        <v>6542844</v>
      </c>
      <c r="P642" s="32" t="s">
        <v>41</v>
      </c>
      <c r="Q642" s="32" t="s">
        <v>42</v>
      </c>
      <c r="R642" s="26" t="s">
        <v>43</v>
      </c>
      <c r="S642" s="26"/>
      <c r="T642" s="26"/>
      <c r="U642" s="26"/>
      <c r="V642" s="26"/>
      <c r="W642" s="26"/>
      <c r="X642" s="26"/>
    </row>
    <row r="643" spans="1:24" s="29" customFormat="1">
      <c r="A643" s="31" t="s">
        <v>31</v>
      </c>
      <c r="B643" s="31" t="s">
        <v>2652</v>
      </c>
      <c r="C643" s="31" t="s">
        <v>2653</v>
      </c>
      <c r="D643" s="31">
        <f t="shared" si="9"/>
        <v>-1</v>
      </c>
      <c r="E643" s="31" t="s">
        <v>34</v>
      </c>
      <c r="F643" s="31" t="s">
        <v>2547</v>
      </c>
      <c r="G643" s="31" t="s">
        <v>2654</v>
      </c>
      <c r="H643" s="31" t="s">
        <v>37</v>
      </c>
      <c r="I643" s="31" t="s">
        <v>38</v>
      </c>
      <c r="J643" s="31" t="s">
        <v>194</v>
      </c>
      <c r="K643" s="31" t="s">
        <v>195</v>
      </c>
      <c r="L643" s="31">
        <v>4597698.47</v>
      </c>
      <c r="M643" s="31">
        <v>0</v>
      </c>
      <c r="N643" s="31">
        <v>0</v>
      </c>
      <c r="O643" s="31">
        <v>28796111.469999999</v>
      </c>
      <c r="P643" s="31" t="s">
        <v>41</v>
      </c>
      <c r="Q643" s="31" t="s">
        <v>42</v>
      </c>
      <c r="R643" s="26"/>
      <c r="S643" s="26"/>
      <c r="T643" s="26"/>
      <c r="U643" s="31" t="s">
        <v>43</v>
      </c>
      <c r="V643" s="26"/>
      <c r="W643" s="26"/>
      <c r="X643" s="26" t="s">
        <v>246</v>
      </c>
    </row>
    <row r="644" spans="1:24" s="29" customFormat="1">
      <c r="A644" s="32" t="s">
        <v>31</v>
      </c>
      <c r="B644" s="32" t="s">
        <v>2655</v>
      </c>
      <c r="C644" s="32" t="s">
        <v>2656</v>
      </c>
      <c r="D644" s="32">
        <f t="shared" si="9"/>
        <v>-1</v>
      </c>
      <c r="E644" s="32" t="s">
        <v>34</v>
      </c>
      <c r="F644" s="32" t="s">
        <v>2547</v>
      </c>
      <c r="G644" s="32" t="s">
        <v>2657</v>
      </c>
      <c r="H644" s="32" t="s">
        <v>37</v>
      </c>
      <c r="I644" s="32" t="s">
        <v>38</v>
      </c>
      <c r="J644" s="32" t="s">
        <v>194</v>
      </c>
      <c r="K644" s="32" t="s">
        <v>195</v>
      </c>
      <c r="L644" s="32">
        <v>4434725.4000000004</v>
      </c>
      <c r="M644" s="32">
        <v>0</v>
      </c>
      <c r="N644" s="32">
        <v>0</v>
      </c>
      <c r="O644" s="32">
        <v>38680125.399999999</v>
      </c>
      <c r="P644" s="32" t="s">
        <v>41</v>
      </c>
      <c r="Q644" s="32" t="s">
        <v>42</v>
      </c>
      <c r="R644" s="26" t="s">
        <v>43</v>
      </c>
      <c r="S644" s="26"/>
      <c r="T644" s="26"/>
      <c r="U644" s="26"/>
      <c r="V644" s="26"/>
      <c r="W644" s="26"/>
      <c r="X644" s="26"/>
    </row>
    <row r="645" spans="1:24" s="29" customFormat="1">
      <c r="A645" s="32" t="s">
        <v>31</v>
      </c>
      <c r="B645" s="32" t="s">
        <v>2658</v>
      </c>
      <c r="C645" s="32" t="s">
        <v>2659</v>
      </c>
      <c r="D645" s="32">
        <f t="shared" si="9"/>
        <v>-1</v>
      </c>
      <c r="E645" s="32" t="s">
        <v>34</v>
      </c>
      <c r="F645" s="32" t="s">
        <v>2547</v>
      </c>
      <c r="G645" s="32" t="s">
        <v>2660</v>
      </c>
      <c r="H645" s="32" t="s">
        <v>37</v>
      </c>
      <c r="I645" s="32" t="s">
        <v>38</v>
      </c>
      <c r="J645" s="32" t="s">
        <v>194</v>
      </c>
      <c r="K645" s="32" t="s">
        <v>195</v>
      </c>
      <c r="L645" s="32">
        <v>3878305.27</v>
      </c>
      <c r="M645" s="32">
        <v>0</v>
      </c>
      <c r="N645" s="32">
        <v>0</v>
      </c>
      <c r="O645" s="32">
        <v>39623774.270000003</v>
      </c>
      <c r="P645" s="32" t="s">
        <v>41</v>
      </c>
      <c r="Q645" s="32" t="s">
        <v>42</v>
      </c>
      <c r="R645" s="26" t="s">
        <v>43</v>
      </c>
      <c r="S645" s="26"/>
      <c r="T645" s="26"/>
      <c r="U645" s="26"/>
      <c r="V645" s="26"/>
      <c r="W645" s="26"/>
      <c r="X645" s="26"/>
    </row>
    <row r="646" spans="1:24" s="29" customFormat="1">
      <c r="A646" s="31" t="s">
        <v>31</v>
      </c>
      <c r="B646" s="31" t="s">
        <v>2661</v>
      </c>
      <c r="C646" s="31" t="s">
        <v>2662</v>
      </c>
      <c r="D646" s="31">
        <f t="shared" si="9"/>
        <v>-1</v>
      </c>
      <c r="E646" s="31" t="s">
        <v>34</v>
      </c>
      <c r="F646" s="31" t="s">
        <v>2547</v>
      </c>
      <c r="G646" s="31" t="s">
        <v>2663</v>
      </c>
      <c r="H646" s="31" t="s">
        <v>37</v>
      </c>
      <c r="I646" s="31" t="s">
        <v>38</v>
      </c>
      <c r="J646" s="31" t="s">
        <v>194</v>
      </c>
      <c r="K646" s="31" t="s">
        <v>195</v>
      </c>
      <c r="L646" s="31">
        <v>10698881.380000001</v>
      </c>
      <c r="M646" s="31">
        <v>0</v>
      </c>
      <c r="N646" s="31">
        <v>0</v>
      </c>
      <c r="O646" s="31">
        <v>67008783.380000003</v>
      </c>
      <c r="P646" s="31" t="s">
        <v>41</v>
      </c>
      <c r="Q646" s="31" t="s">
        <v>42</v>
      </c>
      <c r="R646" s="26"/>
      <c r="S646" s="26"/>
      <c r="T646" s="26"/>
      <c r="U646" s="31" t="s">
        <v>43</v>
      </c>
      <c r="V646" s="26"/>
      <c r="W646" s="26"/>
      <c r="X646" s="26" t="s">
        <v>2664</v>
      </c>
    </row>
    <row r="647" spans="1:24" s="29" customFormat="1">
      <c r="A647" s="32" t="s">
        <v>31</v>
      </c>
      <c r="B647" s="32" t="s">
        <v>2665</v>
      </c>
      <c r="C647" s="32" t="s">
        <v>2666</v>
      </c>
      <c r="D647" s="32">
        <f t="shared" si="9"/>
        <v>-1</v>
      </c>
      <c r="E647" s="32" t="s">
        <v>34</v>
      </c>
      <c r="F647" s="32" t="s">
        <v>2547</v>
      </c>
      <c r="G647" s="32" t="s">
        <v>2667</v>
      </c>
      <c r="H647" s="32" t="s">
        <v>37</v>
      </c>
      <c r="I647" s="32" t="s">
        <v>38</v>
      </c>
      <c r="J647" s="32" t="s">
        <v>194</v>
      </c>
      <c r="K647" s="32" t="s">
        <v>195</v>
      </c>
      <c r="L647" s="32">
        <v>0</v>
      </c>
      <c r="M647" s="32">
        <v>0</v>
      </c>
      <c r="N647" s="32">
        <v>0</v>
      </c>
      <c r="O647" s="32">
        <v>39925940</v>
      </c>
      <c r="P647" s="32" t="s">
        <v>41</v>
      </c>
      <c r="Q647" s="32" t="s">
        <v>42</v>
      </c>
      <c r="R647" s="26" t="s">
        <v>43</v>
      </c>
      <c r="S647" s="26"/>
      <c r="T647" s="26"/>
      <c r="U647" s="26"/>
      <c r="V647" s="26"/>
      <c r="W647" s="26"/>
      <c r="X647" s="26"/>
    </row>
    <row r="648" spans="1:24" s="29" customFormat="1">
      <c r="A648" s="34" t="s">
        <v>31</v>
      </c>
      <c r="B648" s="34" t="s">
        <v>2668</v>
      </c>
      <c r="C648" s="34" t="s">
        <v>2669</v>
      </c>
      <c r="D648" s="34">
        <f t="shared" si="9"/>
        <v>-1</v>
      </c>
      <c r="E648" s="34" t="s">
        <v>34</v>
      </c>
      <c r="F648" s="34" t="s">
        <v>2547</v>
      </c>
      <c r="G648" s="34" t="s">
        <v>2670</v>
      </c>
      <c r="H648" s="34" t="s">
        <v>37</v>
      </c>
      <c r="I648" s="34" t="s">
        <v>38</v>
      </c>
      <c r="J648" s="34" t="s">
        <v>2671</v>
      </c>
      <c r="K648" s="34" t="s">
        <v>2672</v>
      </c>
      <c r="L648" s="34">
        <v>15872.6</v>
      </c>
      <c r="M648" s="34">
        <v>0</v>
      </c>
      <c r="N648" s="34">
        <v>0</v>
      </c>
      <c r="O648" s="34">
        <v>99412.6</v>
      </c>
      <c r="P648" s="34" t="s">
        <v>41</v>
      </c>
      <c r="Q648" s="34" t="s">
        <v>42</v>
      </c>
      <c r="R648" s="26"/>
      <c r="S648" s="26"/>
      <c r="T648" s="26" t="s">
        <v>43</v>
      </c>
      <c r="U648" s="26"/>
      <c r="V648" s="26"/>
      <c r="W648" s="26"/>
      <c r="X648" s="26"/>
    </row>
    <row r="649" spans="1:24" s="29" customFormat="1">
      <c r="A649" s="32" t="s">
        <v>31</v>
      </c>
      <c r="B649" s="32" t="s">
        <v>2673</v>
      </c>
      <c r="C649" s="32" t="s">
        <v>2674</v>
      </c>
      <c r="D649" s="32">
        <f t="shared" si="9"/>
        <v>-1</v>
      </c>
      <c r="E649" s="32" t="s">
        <v>34</v>
      </c>
      <c r="F649" s="32" t="s">
        <v>2547</v>
      </c>
      <c r="G649" s="32" t="s">
        <v>2675</v>
      </c>
      <c r="H649" s="32" t="s">
        <v>37</v>
      </c>
      <c r="I649" s="32" t="s">
        <v>38</v>
      </c>
      <c r="J649" s="32" t="s">
        <v>126</v>
      </c>
      <c r="K649" s="32" t="s">
        <v>127</v>
      </c>
      <c r="L649" s="32">
        <v>233181.87</v>
      </c>
      <c r="M649" s="32">
        <v>0</v>
      </c>
      <c r="N649" s="32">
        <v>0</v>
      </c>
      <c r="O649" s="32">
        <v>1460454.87</v>
      </c>
      <c r="P649" s="32" t="s">
        <v>41</v>
      </c>
      <c r="Q649" s="32" t="s">
        <v>42</v>
      </c>
      <c r="R649" s="26" t="s">
        <v>43</v>
      </c>
      <c r="S649" s="26"/>
      <c r="T649" s="26"/>
      <c r="U649" s="26"/>
      <c r="V649" s="26"/>
      <c r="W649" s="26"/>
      <c r="X649" s="26"/>
    </row>
    <row r="650" spans="1:24" s="29" customFormat="1">
      <c r="A650" s="32" t="s">
        <v>31</v>
      </c>
      <c r="B650" s="32" t="s">
        <v>2676</v>
      </c>
      <c r="C650" s="32" t="s">
        <v>2677</v>
      </c>
      <c r="D650" s="32">
        <f t="shared" si="9"/>
        <v>-1</v>
      </c>
      <c r="E650" s="32" t="s">
        <v>34</v>
      </c>
      <c r="F650" s="32" t="s">
        <v>2547</v>
      </c>
      <c r="G650" s="32" t="s">
        <v>2678</v>
      </c>
      <c r="H650" s="32" t="s">
        <v>37</v>
      </c>
      <c r="I650" s="32" t="s">
        <v>38</v>
      </c>
      <c r="J650" s="32" t="s">
        <v>194</v>
      </c>
      <c r="K650" s="32" t="s">
        <v>195</v>
      </c>
      <c r="L650" s="32">
        <v>4804285.8499999996</v>
      </c>
      <c r="M650" s="32">
        <v>0</v>
      </c>
      <c r="N650" s="32">
        <v>0</v>
      </c>
      <c r="O650" s="32">
        <v>30090000.850000001</v>
      </c>
      <c r="P650" s="32" t="s">
        <v>41</v>
      </c>
      <c r="Q650" s="32" t="s">
        <v>42</v>
      </c>
      <c r="R650" s="26" t="s">
        <v>43</v>
      </c>
      <c r="S650" s="26"/>
      <c r="T650" s="26"/>
      <c r="U650" s="26"/>
      <c r="V650" s="26"/>
      <c r="W650" s="26"/>
      <c r="X650" s="26"/>
    </row>
    <row r="651" spans="1:24" s="29" customFormat="1">
      <c r="A651" s="32" t="s">
        <v>31</v>
      </c>
      <c r="B651" s="32" t="s">
        <v>2679</v>
      </c>
      <c r="C651" s="32" t="s">
        <v>2680</v>
      </c>
      <c r="D651" s="32">
        <f t="shared" si="9"/>
        <v>-1</v>
      </c>
      <c r="E651" s="32" t="s">
        <v>34</v>
      </c>
      <c r="F651" s="32" t="s">
        <v>2547</v>
      </c>
      <c r="G651" s="32" t="s">
        <v>2681</v>
      </c>
      <c r="H651" s="32" t="s">
        <v>37</v>
      </c>
      <c r="I651" s="32" t="s">
        <v>38</v>
      </c>
      <c r="J651" s="32" t="s">
        <v>194</v>
      </c>
      <c r="K651" s="32" t="s">
        <v>195</v>
      </c>
      <c r="L651" s="32">
        <v>739120.9</v>
      </c>
      <c r="M651" s="32">
        <v>0</v>
      </c>
      <c r="N651" s="32">
        <v>0</v>
      </c>
      <c r="O651" s="32">
        <v>4629230.9000000004</v>
      </c>
      <c r="P651" s="32" t="s">
        <v>41</v>
      </c>
      <c r="Q651" s="32" t="s">
        <v>42</v>
      </c>
      <c r="R651" s="26" t="s">
        <v>43</v>
      </c>
      <c r="S651" s="26"/>
      <c r="T651" s="26"/>
      <c r="U651" s="26"/>
      <c r="V651" s="26"/>
      <c r="W651" s="26"/>
      <c r="X651" s="26"/>
    </row>
    <row r="652" spans="1:24" s="29" customFormat="1">
      <c r="A652" s="32" t="s">
        <v>31</v>
      </c>
      <c r="B652" s="32" t="s">
        <v>2682</v>
      </c>
      <c r="C652" s="32" t="s">
        <v>2683</v>
      </c>
      <c r="D652" s="32">
        <f t="shared" si="9"/>
        <v>-1</v>
      </c>
      <c r="E652" s="32" t="s">
        <v>34</v>
      </c>
      <c r="F652" s="32" t="s">
        <v>2547</v>
      </c>
      <c r="G652" s="32" t="s">
        <v>2684</v>
      </c>
      <c r="H652" s="32" t="s">
        <v>37</v>
      </c>
      <c r="I652" s="32" t="s">
        <v>38</v>
      </c>
      <c r="J652" s="32" t="s">
        <v>2685</v>
      </c>
      <c r="K652" s="32" t="s">
        <v>2686</v>
      </c>
      <c r="L652" s="32">
        <v>323264.67</v>
      </c>
      <c r="M652" s="32">
        <v>0</v>
      </c>
      <c r="N652" s="32">
        <v>0</v>
      </c>
      <c r="O652" s="32">
        <v>2024657.67</v>
      </c>
      <c r="P652" s="32" t="s">
        <v>41</v>
      </c>
      <c r="Q652" s="32" t="s">
        <v>42</v>
      </c>
      <c r="R652" s="26" t="s">
        <v>43</v>
      </c>
      <c r="S652" s="26"/>
      <c r="T652" s="26"/>
      <c r="U652" s="26"/>
      <c r="V652" s="26"/>
      <c r="W652" s="26"/>
      <c r="X652" s="26"/>
    </row>
    <row r="653" spans="1:24" s="29" customFormat="1">
      <c r="A653" s="32" t="s">
        <v>31</v>
      </c>
      <c r="B653" s="32" t="s">
        <v>2687</v>
      </c>
      <c r="C653" s="32" t="s">
        <v>2688</v>
      </c>
      <c r="D653" s="32">
        <f t="shared" ref="D653:D716" si="10">C653-C654</f>
        <v>-1</v>
      </c>
      <c r="E653" s="32" t="s">
        <v>34</v>
      </c>
      <c r="F653" s="32" t="s">
        <v>2547</v>
      </c>
      <c r="G653" s="32" t="s">
        <v>2689</v>
      </c>
      <c r="H653" s="32" t="s">
        <v>37</v>
      </c>
      <c r="I653" s="32" t="s">
        <v>38</v>
      </c>
      <c r="J653" s="32" t="s">
        <v>793</v>
      </c>
      <c r="K653" s="32" t="s">
        <v>794</v>
      </c>
      <c r="L653" s="32">
        <v>19000</v>
      </c>
      <c r="M653" s="32">
        <v>0</v>
      </c>
      <c r="N653" s="32">
        <v>0</v>
      </c>
      <c r="O653" s="32">
        <v>119000</v>
      </c>
      <c r="P653" s="32" t="s">
        <v>41</v>
      </c>
      <c r="Q653" s="32" t="s">
        <v>42</v>
      </c>
      <c r="R653" s="26" t="s">
        <v>43</v>
      </c>
      <c r="S653" s="26"/>
      <c r="T653" s="26"/>
      <c r="U653" s="26"/>
      <c r="V653" s="26"/>
      <c r="W653" s="26"/>
      <c r="X653" s="26"/>
    </row>
    <row r="654" spans="1:24" s="29" customFormat="1">
      <c r="A654" s="32" t="s">
        <v>31</v>
      </c>
      <c r="B654" s="32" t="s">
        <v>2690</v>
      </c>
      <c r="C654" s="32" t="s">
        <v>2691</v>
      </c>
      <c r="D654" s="32">
        <f t="shared" si="10"/>
        <v>-1</v>
      </c>
      <c r="E654" s="32" t="s">
        <v>34</v>
      </c>
      <c r="F654" s="32" t="s">
        <v>2547</v>
      </c>
      <c r="G654" s="32" t="s">
        <v>2692</v>
      </c>
      <c r="H654" s="32" t="s">
        <v>37</v>
      </c>
      <c r="I654" s="32" t="s">
        <v>38</v>
      </c>
      <c r="J654" s="32" t="s">
        <v>2693</v>
      </c>
      <c r="K654" s="32" t="s">
        <v>2694</v>
      </c>
      <c r="L654" s="32">
        <v>125148.82</v>
      </c>
      <c r="M654" s="32">
        <v>0</v>
      </c>
      <c r="N654" s="32">
        <v>0</v>
      </c>
      <c r="O654" s="32">
        <v>783826.82</v>
      </c>
      <c r="P654" s="32" t="s">
        <v>41</v>
      </c>
      <c r="Q654" s="32" t="s">
        <v>42</v>
      </c>
      <c r="R654" s="26" t="s">
        <v>43</v>
      </c>
      <c r="S654" s="26"/>
      <c r="T654" s="26"/>
      <c r="U654" s="26"/>
      <c r="V654" s="26"/>
      <c r="W654" s="26"/>
      <c r="X654" s="26"/>
    </row>
    <row r="655" spans="1:24" s="29" customFormat="1">
      <c r="A655" s="32" t="s">
        <v>31</v>
      </c>
      <c r="B655" s="32" t="s">
        <v>2695</v>
      </c>
      <c r="C655" s="32" t="s">
        <v>2696</v>
      </c>
      <c r="D655" s="32">
        <f t="shared" si="10"/>
        <v>-1</v>
      </c>
      <c r="E655" s="32" t="s">
        <v>34</v>
      </c>
      <c r="F655" s="32" t="s">
        <v>2547</v>
      </c>
      <c r="G655" s="32" t="s">
        <v>2697</v>
      </c>
      <c r="H655" s="32" t="s">
        <v>37</v>
      </c>
      <c r="I655" s="32" t="s">
        <v>38</v>
      </c>
      <c r="J655" s="32" t="s">
        <v>194</v>
      </c>
      <c r="K655" s="32" t="s">
        <v>195</v>
      </c>
      <c r="L655" s="32">
        <v>0</v>
      </c>
      <c r="M655" s="32">
        <v>0</v>
      </c>
      <c r="N655" s="32">
        <v>0</v>
      </c>
      <c r="O655" s="32">
        <v>5750001</v>
      </c>
      <c r="P655" s="32" t="s">
        <v>41</v>
      </c>
      <c r="Q655" s="32" t="s">
        <v>42</v>
      </c>
      <c r="R655" s="26" t="s">
        <v>43</v>
      </c>
      <c r="S655" s="26"/>
      <c r="T655" s="26"/>
      <c r="U655" s="26"/>
      <c r="V655" s="26"/>
      <c r="W655" s="26"/>
      <c r="X655" s="26"/>
    </row>
    <row r="656" spans="1:24" s="29" customFormat="1">
      <c r="A656" s="32" t="s">
        <v>31</v>
      </c>
      <c r="B656" s="32" t="s">
        <v>2698</v>
      </c>
      <c r="C656" s="32" t="s">
        <v>2699</v>
      </c>
      <c r="D656" s="32">
        <f t="shared" si="10"/>
        <v>-1</v>
      </c>
      <c r="E656" s="32" t="s">
        <v>34</v>
      </c>
      <c r="F656" s="32" t="s">
        <v>2547</v>
      </c>
      <c r="G656" s="32" t="s">
        <v>2700</v>
      </c>
      <c r="H656" s="32" t="s">
        <v>37</v>
      </c>
      <c r="I656" s="32" t="s">
        <v>38</v>
      </c>
      <c r="J656" s="32" t="s">
        <v>194</v>
      </c>
      <c r="K656" s="32" t="s">
        <v>195</v>
      </c>
      <c r="L656" s="32">
        <v>739120.9</v>
      </c>
      <c r="M656" s="32">
        <v>0</v>
      </c>
      <c r="N656" s="32">
        <v>0</v>
      </c>
      <c r="O656" s="32">
        <v>12295898.9</v>
      </c>
      <c r="P656" s="32" t="s">
        <v>41</v>
      </c>
      <c r="Q656" s="32" t="s">
        <v>42</v>
      </c>
      <c r="R656" s="26" t="s">
        <v>43</v>
      </c>
      <c r="S656" s="26"/>
      <c r="T656" s="26"/>
      <c r="U656" s="26"/>
      <c r="V656" s="26"/>
      <c r="W656" s="26"/>
      <c r="X656" s="26"/>
    </row>
    <row r="657" spans="1:24" s="29" customFormat="1">
      <c r="A657" s="32" t="s">
        <v>31</v>
      </c>
      <c r="B657" s="32" t="s">
        <v>2701</v>
      </c>
      <c r="C657" s="32" t="s">
        <v>2702</v>
      </c>
      <c r="D657" s="32">
        <f t="shared" si="10"/>
        <v>-1</v>
      </c>
      <c r="E657" s="32" t="s">
        <v>34</v>
      </c>
      <c r="F657" s="32" t="s">
        <v>2547</v>
      </c>
      <c r="G657" s="32" t="s">
        <v>2703</v>
      </c>
      <c r="H657" s="32" t="s">
        <v>37</v>
      </c>
      <c r="I657" s="32" t="s">
        <v>38</v>
      </c>
      <c r="J657" s="32" t="s">
        <v>194</v>
      </c>
      <c r="K657" s="32" t="s">
        <v>195</v>
      </c>
      <c r="L657" s="32">
        <v>1538150.7</v>
      </c>
      <c r="M657" s="32">
        <v>0</v>
      </c>
      <c r="N657" s="32">
        <v>0</v>
      </c>
      <c r="O657" s="32">
        <v>16176524.699999999</v>
      </c>
      <c r="P657" s="32" t="s">
        <v>41</v>
      </c>
      <c r="Q657" s="32" t="s">
        <v>42</v>
      </c>
      <c r="R657" s="26" t="s">
        <v>43</v>
      </c>
      <c r="S657" s="26"/>
      <c r="T657" s="26"/>
      <c r="U657" s="26"/>
      <c r="V657" s="26"/>
      <c r="W657" s="26"/>
      <c r="X657" s="26"/>
    </row>
    <row r="658" spans="1:24" s="29" customFormat="1">
      <c r="A658" s="34" t="s">
        <v>31</v>
      </c>
      <c r="B658" s="34" t="s">
        <v>2704</v>
      </c>
      <c r="C658" s="34" t="s">
        <v>2705</v>
      </c>
      <c r="D658" s="34">
        <f t="shared" si="10"/>
        <v>-1</v>
      </c>
      <c r="E658" s="34" t="s">
        <v>34</v>
      </c>
      <c r="F658" s="34" t="s">
        <v>2547</v>
      </c>
      <c r="G658" s="34" t="s">
        <v>2706</v>
      </c>
      <c r="H658" s="34" t="s">
        <v>37</v>
      </c>
      <c r="I658" s="34" t="s">
        <v>38</v>
      </c>
      <c r="J658" s="34" t="s">
        <v>944</v>
      </c>
      <c r="K658" s="34" t="s">
        <v>945</v>
      </c>
      <c r="L658" s="34">
        <v>89300</v>
      </c>
      <c r="M658" s="34">
        <v>0</v>
      </c>
      <c r="N658" s="34">
        <v>0</v>
      </c>
      <c r="O658" s="34">
        <v>559300</v>
      </c>
      <c r="P658" s="34" t="s">
        <v>41</v>
      </c>
      <c r="Q658" s="34" t="s">
        <v>42</v>
      </c>
      <c r="R658" s="26"/>
      <c r="S658" s="26"/>
      <c r="T658" s="26" t="s">
        <v>43</v>
      </c>
      <c r="U658" s="26"/>
      <c r="V658" s="26"/>
      <c r="W658" s="26"/>
      <c r="X658" s="26"/>
    </row>
    <row r="659" spans="1:24" s="29" customFormat="1">
      <c r="A659" s="26" t="s">
        <v>31</v>
      </c>
      <c r="B659" s="26" t="s">
        <v>2707</v>
      </c>
      <c r="C659" s="26" t="s">
        <v>2708</v>
      </c>
      <c r="D659" s="26">
        <f t="shared" si="10"/>
        <v>-1</v>
      </c>
      <c r="E659" s="26" t="s">
        <v>34</v>
      </c>
      <c r="F659" s="26" t="s">
        <v>2547</v>
      </c>
      <c r="G659" s="26" t="s">
        <v>2709</v>
      </c>
      <c r="H659" s="26" t="s">
        <v>37</v>
      </c>
      <c r="I659" s="26" t="s">
        <v>38</v>
      </c>
      <c r="J659" s="26" t="s">
        <v>2710</v>
      </c>
      <c r="K659" s="26" t="s">
        <v>2711</v>
      </c>
      <c r="L659" s="26">
        <v>85500</v>
      </c>
      <c r="M659" s="26">
        <v>0</v>
      </c>
      <c r="N659" s="26">
        <v>0</v>
      </c>
      <c r="O659" s="26">
        <v>535500</v>
      </c>
      <c r="P659" s="26" t="s">
        <v>41</v>
      </c>
      <c r="Q659" s="26" t="s">
        <v>42</v>
      </c>
      <c r="R659" s="26"/>
      <c r="S659" s="26"/>
      <c r="T659" s="26"/>
      <c r="U659" s="26"/>
      <c r="V659" s="26" t="s">
        <v>43</v>
      </c>
      <c r="W659" s="26"/>
      <c r="X659" s="26"/>
    </row>
    <row r="660" spans="1:24" s="29" customFormat="1">
      <c r="A660" s="26" t="s">
        <v>31</v>
      </c>
      <c r="B660" s="26" t="s">
        <v>2712</v>
      </c>
      <c r="C660" s="26" t="s">
        <v>2713</v>
      </c>
      <c r="D660" s="26">
        <f t="shared" si="10"/>
        <v>-1</v>
      </c>
      <c r="E660" s="26" t="s">
        <v>34</v>
      </c>
      <c r="F660" s="26" t="s">
        <v>2547</v>
      </c>
      <c r="G660" s="26" t="s">
        <v>2709</v>
      </c>
      <c r="H660" s="26" t="s">
        <v>37</v>
      </c>
      <c r="I660" s="26" t="s">
        <v>38</v>
      </c>
      <c r="J660" s="26" t="s">
        <v>2714</v>
      </c>
      <c r="K660" s="26" t="s">
        <v>2715</v>
      </c>
      <c r="L660" s="26">
        <v>399000</v>
      </c>
      <c r="M660" s="26">
        <v>0</v>
      </c>
      <c r="N660" s="26">
        <v>0</v>
      </c>
      <c r="O660" s="26">
        <v>2499000</v>
      </c>
      <c r="P660" s="26" t="s">
        <v>41</v>
      </c>
      <c r="Q660" s="26" t="s">
        <v>42</v>
      </c>
      <c r="R660" s="26"/>
      <c r="S660" s="26"/>
      <c r="T660" s="26"/>
      <c r="U660" s="26"/>
      <c r="V660" s="26" t="s">
        <v>43</v>
      </c>
      <c r="W660" s="26"/>
      <c r="X660" s="26"/>
    </row>
    <row r="661" spans="1:24" s="29" customFormat="1">
      <c r="A661" s="34" t="s">
        <v>31</v>
      </c>
      <c r="B661" s="34" t="s">
        <v>2716</v>
      </c>
      <c r="C661" s="34" t="s">
        <v>2717</v>
      </c>
      <c r="D661" s="34">
        <f t="shared" si="10"/>
        <v>-1</v>
      </c>
      <c r="E661" s="34" t="s">
        <v>34</v>
      </c>
      <c r="F661" s="34" t="s">
        <v>2547</v>
      </c>
      <c r="G661" s="34" t="s">
        <v>2718</v>
      </c>
      <c r="H661" s="34" t="s">
        <v>37</v>
      </c>
      <c r="I661" s="34" t="s">
        <v>38</v>
      </c>
      <c r="J661" s="34" t="s">
        <v>2719</v>
      </c>
      <c r="K661" s="34" t="s">
        <v>2720</v>
      </c>
      <c r="L661" s="34">
        <v>3173000</v>
      </c>
      <c r="M661" s="34">
        <v>0</v>
      </c>
      <c r="N661" s="34">
        <v>0</v>
      </c>
      <c r="O661" s="34">
        <v>19873000</v>
      </c>
      <c r="P661" s="34" t="s">
        <v>41</v>
      </c>
      <c r="Q661" s="34" t="s">
        <v>42</v>
      </c>
      <c r="R661" s="26"/>
      <c r="S661" s="26"/>
      <c r="T661" s="26" t="s">
        <v>43</v>
      </c>
      <c r="U661" s="26"/>
      <c r="V661" s="26"/>
      <c r="W661" s="26"/>
      <c r="X661" s="26"/>
    </row>
    <row r="662" spans="1:24" s="29" customFormat="1">
      <c r="A662" s="26" t="s">
        <v>31</v>
      </c>
      <c r="B662" s="26" t="s">
        <v>2721</v>
      </c>
      <c r="C662" s="26" t="s">
        <v>2722</v>
      </c>
      <c r="D662" s="26">
        <f t="shared" si="10"/>
        <v>-1</v>
      </c>
      <c r="E662" s="26" t="s">
        <v>34</v>
      </c>
      <c r="F662" s="26" t="s">
        <v>2547</v>
      </c>
      <c r="G662" s="26" t="s">
        <v>2723</v>
      </c>
      <c r="H662" s="26" t="s">
        <v>37</v>
      </c>
      <c r="I662" s="26" t="s">
        <v>38</v>
      </c>
      <c r="J662" s="26" t="s">
        <v>2724</v>
      </c>
      <c r="K662" s="26" t="s">
        <v>2725</v>
      </c>
      <c r="L662" s="26">
        <v>142500</v>
      </c>
      <c r="M662" s="26">
        <v>0</v>
      </c>
      <c r="N662" s="26">
        <v>0</v>
      </c>
      <c r="O662" s="26">
        <v>892500</v>
      </c>
      <c r="P662" s="26" t="s">
        <v>41</v>
      </c>
      <c r="Q662" s="26" t="s">
        <v>42</v>
      </c>
      <c r="R662" s="26"/>
      <c r="S662" s="26"/>
      <c r="T662" s="26"/>
      <c r="U662" s="26"/>
      <c r="V662" s="26" t="s">
        <v>43</v>
      </c>
      <c r="W662" s="26"/>
      <c r="X662" s="26"/>
    </row>
    <row r="663" spans="1:24" s="29" customFormat="1">
      <c r="A663" s="26" t="s">
        <v>31</v>
      </c>
      <c r="B663" s="26" t="s">
        <v>2726</v>
      </c>
      <c r="C663" s="26" t="s">
        <v>2727</v>
      </c>
      <c r="D663" s="26">
        <f t="shared" si="10"/>
        <v>-1</v>
      </c>
      <c r="E663" s="26" t="s">
        <v>34</v>
      </c>
      <c r="F663" s="26" t="s">
        <v>2547</v>
      </c>
      <c r="G663" s="26" t="s">
        <v>2728</v>
      </c>
      <c r="H663" s="26" t="s">
        <v>37</v>
      </c>
      <c r="I663" s="26" t="s">
        <v>38</v>
      </c>
      <c r="J663" s="26" t="s">
        <v>2729</v>
      </c>
      <c r="K663" s="26" t="s">
        <v>2730</v>
      </c>
      <c r="L663" s="26">
        <v>1146569.44</v>
      </c>
      <c r="M663" s="26">
        <v>0</v>
      </c>
      <c r="N663" s="26">
        <v>0</v>
      </c>
      <c r="O663" s="26">
        <v>7181145.4400000004</v>
      </c>
      <c r="P663" s="26" t="s">
        <v>41</v>
      </c>
      <c r="Q663" s="26" t="s">
        <v>42</v>
      </c>
      <c r="R663" s="26"/>
      <c r="S663" s="26"/>
      <c r="T663" s="26"/>
      <c r="U663" s="26"/>
      <c r="V663" s="26" t="s">
        <v>43</v>
      </c>
      <c r="W663" s="26"/>
      <c r="X663" s="26"/>
    </row>
    <row r="664" spans="1:24" s="29" customFormat="1">
      <c r="A664" s="35" t="s">
        <v>31</v>
      </c>
      <c r="B664" s="35" t="s">
        <v>2731</v>
      </c>
      <c r="C664" s="35" t="s">
        <v>2732</v>
      </c>
      <c r="D664" s="35">
        <f t="shared" si="10"/>
        <v>-1</v>
      </c>
      <c r="E664" s="35" t="s">
        <v>34</v>
      </c>
      <c r="F664" s="35" t="s">
        <v>2547</v>
      </c>
      <c r="G664" s="35" t="s">
        <v>2733</v>
      </c>
      <c r="H664" s="35" t="s">
        <v>37</v>
      </c>
      <c r="I664" s="35" t="s">
        <v>38</v>
      </c>
      <c r="J664" s="35" t="s">
        <v>2734</v>
      </c>
      <c r="K664" s="35" t="s">
        <v>2735</v>
      </c>
      <c r="L664" s="35">
        <v>15004.49</v>
      </c>
      <c r="M664" s="35">
        <v>0</v>
      </c>
      <c r="N664" s="35">
        <v>0</v>
      </c>
      <c r="O664" s="35">
        <v>156897.49</v>
      </c>
      <c r="P664" s="35" t="s">
        <v>41</v>
      </c>
      <c r="Q664" s="35" t="s">
        <v>42</v>
      </c>
      <c r="R664" s="26"/>
      <c r="S664" s="26"/>
      <c r="T664" s="26"/>
      <c r="U664" s="26"/>
      <c r="V664" s="26"/>
      <c r="W664" s="35" t="s">
        <v>43</v>
      </c>
      <c r="X664" s="26" t="s">
        <v>501</v>
      </c>
    </row>
    <row r="665" spans="1:24" s="29" customFormat="1">
      <c r="A665" s="35" t="s">
        <v>31</v>
      </c>
      <c r="B665" s="35" t="s">
        <v>2736</v>
      </c>
      <c r="C665" s="35" t="s">
        <v>2737</v>
      </c>
      <c r="D665" s="35">
        <f t="shared" si="10"/>
        <v>-1</v>
      </c>
      <c r="E665" s="35" t="s">
        <v>34</v>
      </c>
      <c r="F665" s="35" t="s">
        <v>2547</v>
      </c>
      <c r="G665" s="35" t="s">
        <v>2733</v>
      </c>
      <c r="H665" s="35" t="s">
        <v>37</v>
      </c>
      <c r="I665" s="35" t="s">
        <v>38</v>
      </c>
      <c r="J665" s="35" t="s">
        <v>2738</v>
      </c>
      <c r="K665" s="35" t="s">
        <v>2739</v>
      </c>
      <c r="L665" s="35">
        <v>40594.559999999998</v>
      </c>
      <c r="M665" s="35">
        <v>0</v>
      </c>
      <c r="N665" s="35">
        <v>0</v>
      </c>
      <c r="O665" s="35">
        <v>292762.56</v>
      </c>
      <c r="P665" s="35" t="s">
        <v>41</v>
      </c>
      <c r="Q665" s="35" t="s">
        <v>42</v>
      </c>
      <c r="R665" s="26"/>
      <c r="S665" s="26"/>
      <c r="T665" s="26"/>
      <c r="U665" s="26"/>
      <c r="V665" s="26"/>
      <c r="W665" s="35" t="s">
        <v>43</v>
      </c>
      <c r="X665" s="26" t="s">
        <v>2740</v>
      </c>
    </row>
    <row r="666" spans="1:24" s="29" customFormat="1">
      <c r="A666" s="35" t="s">
        <v>31</v>
      </c>
      <c r="B666" s="35" t="s">
        <v>2741</v>
      </c>
      <c r="C666" s="35" t="s">
        <v>2742</v>
      </c>
      <c r="D666" s="35">
        <f t="shared" si="10"/>
        <v>-1</v>
      </c>
      <c r="E666" s="35" t="s">
        <v>34</v>
      </c>
      <c r="F666" s="35" t="s">
        <v>2547</v>
      </c>
      <c r="G666" s="35" t="s">
        <v>2743</v>
      </c>
      <c r="H666" s="35" t="s">
        <v>37</v>
      </c>
      <c r="I666" s="35" t="s">
        <v>38</v>
      </c>
      <c r="J666" s="35" t="s">
        <v>2744</v>
      </c>
      <c r="K666" s="35" t="s">
        <v>2745</v>
      </c>
      <c r="L666" s="35">
        <v>12162.28</v>
      </c>
      <c r="M666" s="35">
        <v>0</v>
      </c>
      <c r="N666" s="35">
        <v>0</v>
      </c>
      <c r="O666" s="35">
        <v>109519.28</v>
      </c>
      <c r="P666" s="35" t="s">
        <v>41</v>
      </c>
      <c r="Q666" s="35" t="s">
        <v>42</v>
      </c>
      <c r="R666" s="26"/>
      <c r="S666" s="26"/>
      <c r="T666" s="26"/>
      <c r="U666" s="26"/>
      <c r="V666" s="26"/>
      <c r="W666" s="35" t="s">
        <v>43</v>
      </c>
      <c r="X666" s="26" t="s">
        <v>2746</v>
      </c>
    </row>
    <row r="667" spans="1:24" s="29" customFormat="1">
      <c r="A667" s="35" t="s">
        <v>31</v>
      </c>
      <c r="B667" s="35" t="s">
        <v>2747</v>
      </c>
      <c r="C667" s="35" t="s">
        <v>2748</v>
      </c>
      <c r="D667" s="35">
        <f t="shared" si="10"/>
        <v>-1</v>
      </c>
      <c r="E667" s="35" t="s">
        <v>34</v>
      </c>
      <c r="F667" s="35" t="s">
        <v>2547</v>
      </c>
      <c r="G667" s="35" t="s">
        <v>2749</v>
      </c>
      <c r="H667" s="35" t="s">
        <v>37</v>
      </c>
      <c r="I667" s="35" t="s">
        <v>38</v>
      </c>
      <c r="J667" s="35" t="s">
        <v>2750</v>
      </c>
      <c r="K667" s="35" t="s">
        <v>2751</v>
      </c>
      <c r="L667" s="35">
        <v>25005.71</v>
      </c>
      <c r="M667" s="35">
        <v>0</v>
      </c>
      <c r="N667" s="35">
        <v>0</v>
      </c>
      <c r="O667" s="35">
        <v>156614.71</v>
      </c>
      <c r="P667" s="35" t="s">
        <v>41</v>
      </c>
      <c r="Q667" s="35" t="s">
        <v>42</v>
      </c>
      <c r="R667" s="26"/>
      <c r="S667" s="26"/>
      <c r="T667" s="26"/>
      <c r="U667" s="26"/>
      <c r="V667" s="26" t="s">
        <v>43</v>
      </c>
      <c r="W667" s="35" t="s">
        <v>43</v>
      </c>
      <c r="X667" s="26" t="s">
        <v>2752</v>
      </c>
    </row>
    <row r="668" spans="1:24" s="29" customFormat="1">
      <c r="A668" s="35" t="s">
        <v>31</v>
      </c>
      <c r="B668" s="35" t="s">
        <v>2753</v>
      </c>
      <c r="C668" s="35" t="s">
        <v>2754</v>
      </c>
      <c r="D668" s="35">
        <f t="shared" si="10"/>
        <v>-1</v>
      </c>
      <c r="E668" s="35" t="s">
        <v>34</v>
      </c>
      <c r="F668" s="35" t="s">
        <v>2547</v>
      </c>
      <c r="G668" s="35" t="s">
        <v>2755</v>
      </c>
      <c r="H668" s="35" t="s">
        <v>37</v>
      </c>
      <c r="I668" s="35" t="s">
        <v>38</v>
      </c>
      <c r="J668" s="35" t="s">
        <v>2756</v>
      </c>
      <c r="K668" s="35" t="s">
        <v>2757</v>
      </c>
      <c r="L668" s="35">
        <v>97470</v>
      </c>
      <c r="M668" s="35">
        <v>0</v>
      </c>
      <c r="N668" s="35">
        <v>0</v>
      </c>
      <c r="O668" s="35">
        <v>610470</v>
      </c>
      <c r="P668" s="35" t="s">
        <v>41</v>
      </c>
      <c r="Q668" s="35" t="s">
        <v>42</v>
      </c>
      <c r="R668" s="26"/>
      <c r="S668" s="26"/>
      <c r="T668" s="26"/>
      <c r="U668" s="26"/>
      <c r="V668" s="26"/>
      <c r="W668" s="35" t="s">
        <v>43</v>
      </c>
      <c r="X668" s="26" t="s">
        <v>930</v>
      </c>
    </row>
    <row r="669" spans="1:24" s="29" customFormat="1">
      <c r="A669" s="32" t="s">
        <v>31</v>
      </c>
      <c r="B669" s="32" t="s">
        <v>2758</v>
      </c>
      <c r="C669" s="32" t="s">
        <v>2759</v>
      </c>
      <c r="D669" s="32">
        <f t="shared" si="10"/>
        <v>-1</v>
      </c>
      <c r="E669" s="32" t="s">
        <v>34</v>
      </c>
      <c r="F669" s="32" t="s">
        <v>2547</v>
      </c>
      <c r="G669" s="32" t="s">
        <v>2760</v>
      </c>
      <c r="H669" s="32" t="s">
        <v>37</v>
      </c>
      <c r="I669" s="32" t="s">
        <v>38</v>
      </c>
      <c r="J669" s="32" t="s">
        <v>2761</v>
      </c>
      <c r="K669" s="32" t="s">
        <v>2762</v>
      </c>
      <c r="L669" s="32">
        <v>32735024</v>
      </c>
      <c r="M669" s="32">
        <v>0</v>
      </c>
      <c r="N669" s="32">
        <v>0</v>
      </c>
      <c r="O669" s="32">
        <v>205024624</v>
      </c>
      <c r="P669" s="32" t="s">
        <v>41</v>
      </c>
      <c r="Q669" s="32" t="s">
        <v>42</v>
      </c>
      <c r="R669" s="26" t="s">
        <v>43</v>
      </c>
      <c r="S669" s="26"/>
      <c r="T669" s="26"/>
      <c r="U669" s="26"/>
      <c r="V669" s="26"/>
      <c r="W669" s="26"/>
      <c r="X669" s="26"/>
    </row>
    <row r="670" spans="1:24" s="29" customFormat="1">
      <c r="A670" s="33" t="s">
        <v>31</v>
      </c>
      <c r="B670" s="33" t="s">
        <v>2763</v>
      </c>
      <c r="C670" s="33" t="s">
        <v>2764</v>
      </c>
      <c r="D670" s="33">
        <f t="shared" si="10"/>
        <v>-1</v>
      </c>
      <c r="E670" s="33" t="s">
        <v>34</v>
      </c>
      <c r="F670" s="33" t="s">
        <v>2547</v>
      </c>
      <c r="G670" s="33" t="s">
        <v>2765</v>
      </c>
      <c r="H670" s="33" t="s">
        <v>37</v>
      </c>
      <c r="I670" s="33" t="s">
        <v>38</v>
      </c>
      <c r="J670" s="33" t="s">
        <v>494</v>
      </c>
      <c r="K670" s="33" t="s">
        <v>495</v>
      </c>
      <c r="L670" s="33">
        <v>29186.66</v>
      </c>
      <c r="M670" s="33">
        <v>0</v>
      </c>
      <c r="N670" s="33">
        <v>0</v>
      </c>
      <c r="O670" s="33">
        <v>182800.66</v>
      </c>
      <c r="P670" s="33" t="s">
        <v>41</v>
      </c>
      <c r="Q670" s="33" t="s">
        <v>42</v>
      </c>
      <c r="R670" s="26"/>
      <c r="S670" s="26" t="s">
        <v>43</v>
      </c>
      <c r="T670" s="26"/>
      <c r="U670" s="26"/>
      <c r="V670" s="26"/>
      <c r="W670" s="26"/>
      <c r="X670" s="26"/>
    </row>
    <row r="671" spans="1:24" s="29" customFormat="1">
      <c r="A671" s="32" t="s">
        <v>31</v>
      </c>
      <c r="B671" s="32" t="s">
        <v>2766</v>
      </c>
      <c r="C671" s="32" t="s">
        <v>2767</v>
      </c>
      <c r="D671" s="32">
        <f t="shared" si="10"/>
        <v>-1</v>
      </c>
      <c r="E671" s="32" t="s">
        <v>34</v>
      </c>
      <c r="F671" s="32" t="s">
        <v>2547</v>
      </c>
      <c r="G671" s="32" t="s">
        <v>2768</v>
      </c>
      <c r="H671" s="32" t="s">
        <v>37</v>
      </c>
      <c r="I671" s="32" t="s">
        <v>38</v>
      </c>
      <c r="J671" s="32" t="s">
        <v>194</v>
      </c>
      <c r="K671" s="32" t="s">
        <v>195</v>
      </c>
      <c r="L671" s="32">
        <v>12143017.42</v>
      </c>
      <c r="M671" s="32">
        <v>0</v>
      </c>
      <c r="N671" s="32">
        <v>0</v>
      </c>
      <c r="O671" s="32">
        <v>76053635.420000002</v>
      </c>
      <c r="P671" s="32" t="s">
        <v>41</v>
      </c>
      <c r="Q671" s="32" t="s">
        <v>42</v>
      </c>
      <c r="R671" s="26" t="s">
        <v>43</v>
      </c>
      <c r="S671" s="26"/>
      <c r="T671" s="26"/>
      <c r="U671" s="26"/>
      <c r="V671" s="26"/>
      <c r="W671" s="26"/>
      <c r="X671" s="26"/>
    </row>
    <row r="672" spans="1:24" s="29" customFormat="1">
      <c r="A672" s="26" t="s">
        <v>31</v>
      </c>
      <c r="B672" s="26" t="s">
        <v>2769</v>
      </c>
      <c r="C672" s="26" t="s">
        <v>2770</v>
      </c>
      <c r="D672" s="26">
        <f t="shared" si="10"/>
        <v>-1</v>
      </c>
      <c r="E672" s="26" t="s">
        <v>34</v>
      </c>
      <c r="F672" s="26" t="s">
        <v>2547</v>
      </c>
      <c r="G672" s="26" t="s">
        <v>2771</v>
      </c>
      <c r="H672" s="26" t="s">
        <v>37</v>
      </c>
      <c r="I672" s="26" t="s">
        <v>38</v>
      </c>
      <c r="J672" s="26" t="s">
        <v>131</v>
      </c>
      <c r="K672" s="26" t="s">
        <v>132</v>
      </c>
      <c r="L672" s="26">
        <v>160710.35999999999</v>
      </c>
      <c r="M672" s="26">
        <v>0</v>
      </c>
      <c r="N672" s="26">
        <v>0</v>
      </c>
      <c r="O672" s="26">
        <v>1006554.36</v>
      </c>
      <c r="P672" s="26" t="s">
        <v>41</v>
      </c>
      <c r="Q672" s="26" t="s">
        <v>42</v>
      </c>
      <c r="R672" s="26"/>
      <c r="S672" s="26"/>
      <c r="T672" s="26"/>
      <c r="U672" s="26"/>
      <c r="V672" s="26" t="s">
        <v>43</v>
      </c>
      <c r="W672" s="26"/>
      <c r="X672" s="26"/>
    </row>
    <row r="673" spans="1:24" s="29" customFormat="1">
      <c r="A673" s="35" t="s">
        <v>31</v>
      </c>
      <c r="B673" s="35" t="s">
        <v>2772</v>
      </c>
      <c r="C673" s="35" t="s">
        <v>2773</v>
      </c>
      <c r="D673" s="35">
        <f t="shared" si="10"/>
        <v>-1</v>
      </c>
      <c r="E673" s="35" t="s">
        <v>34</v>
      </c>
      <c r="F673" s="35" t="s">
        <v>2547</v>
      </c>
      <c r="G673" s="35" t="s">
        <v>2774</v>
      </c>
      <c r="H673" s="35" t="s">
        <v>37</v>
      </c>
      <c r="I673" s="35" t="s">
        <v>38</v>
      </c>
      <c r="J673" s="35" t="s">
        <v>1771</v>
      </c>
      <c r="K673" s="35" t="s">
        <v>1772</v>
      </c>
      <c r="L673" s="35">
        <v>1610091.35</v>
      </c>
      <c r="M673" s="35">
        <v>0</v>
      </c>
      <c r="N673" s="35">
        <v>0</v>
      </c>
      <c r="O673" s="35">
        <v>10084256.35</v>
      </c>
      <c r="P673" s="35" t="s">
        <v>41</v>
      </c>
      <c r="Q673" s="35" t="s">
        <v>42</v>
      </c>
      <c r="R673" s="26"/>
      <c r="S673" s="26"/>
      <c r="T673" s="26"/>
      <c r="U673" s="26"/>
      <c r="V673" s="26"/>
      <c r="W673" s="35" t="s">
        <v>43</v>
      </c>
      <c r="X673" s="26" t="s">
        <v>501</v>
      </c>
    </row>
    <row r="674" spans="1:24" s="29" customFormat="1">
      <c r="A674" s="32" t="s">
        <v>31</v>
      </c>
      <c r="B674" s="32" t="s">
        <v>2775</v>
      </c>
      <c r="C674" s="32" t="s">
        <v>2776</v>
      </c>
      <c r="D674" s="32">
        <f t="shared" si="10"/>
        <v>-1</v>
      </c>
      <c r="E674" s="32" t="s">
        <v>34</v>
      </c>
      <c r="F674" s="32" t="s">
        <v>2547</v>
      </c>
      <c r="G674" s="32" t="s">
        <v>2777</v>
      </c>
      <c r="H674" s="32" t="s">
        <v>37</v>
      </c>
      <c r="I674" s="32" t="s">
        <v>38</v>
      </c>
      <c r="J674" s="32" t="s">
        <v>974</v>
      </c>
      <c r="K674" s="32" t="s">
        <v>975</v>
      </c>
      <c r="L674" s="32">
        <v>131290</v>
      </c>
      <c r="M674" s="32">
        <v>0</v>
      </c>
      <c r="N674" s="32">
        <v>0</v>
      </c>
      <c r="O674" s="32">
        <v>822290</v>
      </c>
      <c r="P674" s="32" t="s">
        <v>41</v>
      </c>
      <c r="Q674" s="32" t="s">
        <v>42</v>
      </c>
      <c r="R674" s="26" t="s">
        <v>43</v>
      </c>
      <c r="S674" s="26"/>
      <c r="T674" s="26"/>
      <c r="U674" s="26"/>
      <c r="V674" s="26"/>
      <c r="W674" s="26"/>
      <c r="X674" s="26"/>
    </row>
    <row r="675" spans="1:24" s="29" customFormat="1">
      <c r="A675" s="26" t="s">
        <v>31</v>
      </c>
      <c r="B675" s="26" t="s">
        <v>2778</v>
      </c>
      <c r="C675" s="26" t="s">
        <v>2779</v>
      </c>
      <c r="D675" s="26">
        <f t="shared" si="10"/>
        <v>-1</v>
      </c>
      <c r="E675" s="26" t="s">
        <v>34</v>
      </c>
      <c r="F675" s="26" t="s">
        <v>2547</v>
      </c>
      <c r="G675" s="26" t="s">
        <v>2780</v>
      </c>
      <c r="H675" s="26" t="s">
        <v>37</v>
      </c>
      <c r="I675" s="26" t="s">
        <v>38</v>
      </c>
      <c r="J675" s="26" t="s">
        <v>769</v>
      </c>
      <c r="K675" s="26" t="s">
        <v>770</v>
      </c>
      <c r="L675" s="26">
        <v>64560.3</v>
      </c>
      <c r="M675" s="26">
        <v>0</v>
      </c>
      <c r="N675" s="26">
        <v>0</v>
      </c>
      <c r="O675" s="26">
        <v>538530.30000000005</v>
      </c>
      <c r="P675" s="26" t="s">
        <v>41</v>
      </c>
      <c r="Q675" s="26" t="s">
        <v>42</v>
      </c>
      <c r="R675" s="26"/>
      <c r="S675" s="26"/>
      <c r="T675" s="26"/>
      <c r="U675" s="26"/>
      <c r="V675" s="26" t="s">
        <v>43</v>
      </c>
      <c r="W675" s="26"/>
      <c r="X675" s="26"/>
    </row>
    <row r="676" spans="1:24" s="29" customFormat="1">
      <c r="A676" s="34" t="s">
        <v>31</v>
      </c>
      <c r="B676" s="34" t="s">
        <v>2781</v>
      </c>
      <c r="C676" s="34" t="s">
        <v>2782</v>
      </c>
      <c r="D676" s="34">
        <f t="shared" si="10"/>
        <v>-1</v>
      </c>
      <c r="E676" s="34" t="s">
        <v>34</v>
      </c>
      <c r="F676" s="34" t="s">
        <v>2547</v>
      </c>
      <c r="G676" s="34" t="s">
        <v>2783</v>
      </c>
      <c r="H676" s="34" t="s">
        <v>37</v>
      </c>
      <c r="I676" s="34" t="s">
        <v>38</v>
      </c>
      <c r="J676" s="34" t="s">
        <v>1351</v>
      </c>
      <c r="K676" s="34" t="s">
        <v>1352</v>
      </c>
      <c r="L676" s="34">
        <v>35092.050000000003</v>
      </c>
      <c r="M676" s="34">
        <v>0</v>
      </c>
      <c r="N676" s="34">
        <v>0</v>
      </c>
      <c r="O676" s="34">
        <v>219787.05</v>
      </c>
      <c r="P676" s="34" t="s">
        <v>41</v>
      </c>
      <c r="Q676" s="34" t="s">
        <v>42</v>
      </c>
      <c r="R676" s="26"/>
      <c r="S676" s="26"/>
      <c r="T676" s="26" t="s">
        <v>43</v>
      </c>
      <c r="U676" s="26"/>
      <c r="V676" s="26"/>
      <c r="W676" s="26"/>
      <c r="X676" s="26"/>
    </row>
    <row r="677" spans="1:24" s="29" customFormat="1">
      <c r="A677" s="26" t="s">
        <v>31</v>
      </c>
      <c r="B677" s="26" t="s">
        <v>2784</v>
      </c>
      <c r="C677" s="26" t="s">
        <v>2785</v>
      </c>
      <c r="D677" s="26">
        <f t="shared" si="10"/>
        <v>-1</v>
      </c>
      <c r="E677" s="26" t="s">
        <v>34</v>
      </c>
      <c r="F677" s="26" t="s">
        <v>2547</v>
      </c>
      <c r="G677" s="26" t="s">
        <v>2786</v>
      </c>
      <c r="H677" s="26" t="s">
        <v>37</v>
      </c>
      <c r="I677" s="26" t="s">
        <v>38</v>
      </c>
      <c r="J677" s="26" t="s">
        <v>769</v>
      </c>
      <c r="K677" s="26" t="s">
        <v>770</v>
      </c>
      <c r="L677" s="26">
        <v>110200</v>
      </c>
      <c r="M677" s="26">
        <v>0</v>
      </c>
      <c r="N677" s="26">
        <v>0</v>
      </c>
      <c r="O677" s="26">
        <v>690200</v>
      </c>
      <c r="P677" s="26" t="s">
        <v>41</v>
      </c>
      <c r="Q677" s="26" t="s">
        <v>42</v>
      </c>
      <c r="R677" s="26"/>
      <c r="S677" s="26"/>
      <c r="T677" s="26"/>
      <c r="U677" s="26"/>
      <c r="V677" s="26" t="s">
        <v>43</v>
      </c>
      <c r="W677" s="26"/>
      <c r="X677" s="26"/>
    </row>
    <row r="678" spans="1:24" s="29" customFormat="1">
      <c r="A678" s="26" t="s">
        <v>31</v>
      </c>
      <c r="B678" s="26" t="s">
        <v>2787</v>
      </c>
      <c r="C678" s="26" t="s">
        <v>2788</v>
      </c>
      <c r="D678" s="26">
        <f t="shared" si="10"/>
        <v>-1</v>
      </c>
      <c r="E678" s="26" t="s">
        <v>34</v>
      </c>
      <c r="F678" s="26" t="s">
        <v>2547</v>
      </c>
      <c r="G678" s="26" t="s">
        <v>2789</v>
      </c>
      <c r="H678" s="26" t="s">
        <v>37</v>
      </c>
      <c r="I678" s="26" t="s">
        <v>38</v>
      </c>
      <c r="J678" s="26" t="s">
        <v>2790</v>
      </c>
      <c r="K678" s="26" t="s">
        <v>2791</v>
      </c>
      <c r="L678" s="26">
        <v>7828000</v>
      </c>
      <c r="M678" s="26">
        <v>0</v>
      </c>
      <c r="N678" s="26">
        <v>0</v>
      </c>
      <c r="O678" s="26">
        <v>49028000</v>
      </c>
      <c r="P678" s="26" t="s">
        <v>41</v>
      </c>
      <c r="Q678" s="26" t="s">
        <v>42</v>
      </c>
      <c r="R678" s="26"/>
      <c r="S678" s="26"/>
      <c r="T678" s="26"/>
      <c r="U678" s="26"/>
      <c r="V678" s="26" t="s">
        <v>43</v>
      </c>
      <c r="W678" s="26"/>
      <c r="X678" s="26"/>
    </row>
    <row r="679" spans="1:24" s="29" customFormat="1">
      <c r="A679" s="34" t="s">
        <v>31</v>
      </c>
      <c r="B679" s="34" t="s">
        <v>2792</v>
      </c>
      <c r="C679" s="34" t="s">
        <v>2793</v>
      </c>
      <c r="D679" s="34">
        <f t="shared" si="10"/>
        <v>-1</v>
      </c>
      <c r="E679" s="34" t="s">
        <v>34</v>
      </c>
      <c r="F679" s="34" t="s">
        <v>2547</v>
      </c>
      <c r="G679" s="34" t="s">
        <v>2794</v>
      </c>
      <c r="H679" s="34" t="s">
        <v>37</v>
      </c>
      <c r="I679" s="34" t="s">
        <v>38</v>
      </c>
      <c r="J679" s="34" t="s">
        <v>1351</v>
      </c>
      <c r="K679" s="34" t="s">
        <v>1352</v>
      </c>
      <c r="L679" s="34">
        <v>92891.95</v>
      </c>
      <c r="M679" s="34">
        <v>0</v>
      </c>
      <c r="N679" s="34">
        <v>0</v>
      </c>
      <c r="O679" s="34">
        <v>581796.94999999995</v>
      </c>
      <c r="P679" s="34" t="s">
        <v>41</v>
      </c>
      <c r="Q679" s="34" t="s">
        <v>42</v>
      </c>
      <c r="R679" s="26"/>
      <c r="S679" s="26"/>
      <c r="T679" s="26" t="s">
        <v>43</v>
      </c>
      <c r="U679" s="26"/>
      <c r="V679" s="26"/>
      <c r="W679" s="26"/>
      <c r="X679" s="26"/>
    </row>
    <row r="680" spans="1:24" s="29" customFormat="1">
      <c r="A680" s="35" t="s">
        <v>31</v>
      </c>
      <c r="B680" s="35" t="s">
        <v>2795</v>
      </c>
      <c r="C680" s="35" t="s">
        <v>2796</v>
      </c>
      <c r="D680" s="35">
        <f t="shared" si="10"/>
        <v>-1</v>
      </c>
      <c r="E680" s="35" t="s">
        <v>34</v>
      </c>
      <c r="F680" s="35" t="s">
        <v>2547</v>
      </c>
      <c r="G680" s="35" t="s">
        <v>2797</v>
      </c>
      <c r="H680" s="35" t="s">
        <v>37</v>
      </c>
      <c r="I680" s="35" t="s">
        <v>38</v>
      </c>
      <c r="J680" s="35" t="s">
        <v>2798</v>
      </c>
      <c r="K680" s="35" t="s">
        <v>2799</v>
      </c>
      <c r="L680" s="35">
        <v>1188260</v>
      </c>
      <c r="M680" s="35">
        <v>0</v>
      </c>
      <c r="N680" s="35">
        <v>0</v>
      </c>
      <c r="O680" s="35">
        <v>7442260</v>
      </c>
      <c r="P680" s="35" t="s">
        <v>41</v>
      </c>
      <c r="Q680" s="35" t="s">
        <v>42</v>
      </c>
      <c r="R680" s="26"/>
      <c r="S680" s="26"/>
      <c r="T680" s="26"/>
      <c r="U680" s="26"/>
      <c r="V680" s="26"/>
      <c r="W680" s="35" t="s">
        <v>43</v>
      </c>
      <c r="X680" s="26" t="s">
        <v>1377</v>
      </c>
    </row>
    <row r="681" spans="1:24" s="29" customFormat="1">
      <c r="A681" s="34" t="s">
        <v>31</v>
      </c>
      <c r="B681" s="34" t="s">
        <v>2800</v>
      </c>
      <c r="C681" s="34" t="s">
        <v>2801</v>
      </c>
      <c r="D681" s="34">
        <f t="shared" si="10"/>
        <v>-1</v>
      </c>
      <c r="E681" s="34" t="s">
        <v>34</v>
      </c>
      <c r="F681" s="34" t="s">
        <v>2547</v>
      </c>
      <c r="G681" s="34" t="s">
        <v>2802</v>
      </c>
      <c r="H681" s="34" t="s">
        <v>37</v>
      </c>
      <c r="I681" s="34" t="s">
        <v>38</v>
      </c>
      <c r="J681" s="34" t="s">
        <v>2803</v>
      </c>
      <c r="K681" s="34" t="s">
        <v>2804</v>
      </c>
      <c r="L681" s="34">
        <v>152190</v>
      </c>
      <c r="M681" s="34">
        <v>0</v>
      </c>
      <c r="N681" s="34">
        <v>0</v>
      </c>
      <c r="O681" s="34">
        <v>953190</v>
      </c>
      <c r="P681" s="34" t="s">
        <v>41</v>
      </c>
      <c r="Q681" s="34" t="s">
        <v>42</v>
      </c>
      <c r="R681" s="26"/>
      <c r="S681" s="26"/>
      <c r="T681" s="26" t="s">
        <v>43</v>
      </c>
      <c r="U681" s="26"/>
      <c r="V681" s="26"/>
      <c r="W681" s="26"/>
      <c r="X681" s="26"/>
    </row>
    <row r="682" spans="1:24" s="29" customFormat="1">
      <c r="A682" s="32" t="s">
        <v>31</v>
      </c>
      <c r="B682" s="32" t="s">
        <v>2805</v>
      </c>
      <c r="C682" s="32" t="s">
        <v>2806</v>
      </c>
      <c r="D682" s="32">
        <f t="shared" si="10"/>
        <v>-1</v>
      </c>
      <c r="E682" s="32" t="s">
        <v>34</v>
      </c>
      <c r="F682" s="32" t="s">
        <v>2547</v>
      </c>
      <c r="G682" s="32" t="s">
        <v>2807</v>
      </c>
      <c r="H682" s="32" t="s">
        <v>37</v>
      </c>
      <c r="I682" s="32" t="s">
        <v>38</v>
      </c>
      <c r="J682" s="32" t="s">
        <v>1443</v>
      </c>
      <c r="K682" s="32" t="s">
        <v>1444</v>
      </c>
      <c r="L682" s="32">
        <v>9104594.8000000007</v>
      </c>
      <c r="M682" s="32">
        <v>0</v>
      </c>
      <c r="N682" s="32">
        <v>0</v>
      </c>
      <c r="O682" s="32">
        <v>57023514.799999997</v>
      </c>
      <c r="P682" s="32" t="s">
        <v>41</v>
      </c>
      <c r="Q682" s="32" t="s">
        <v>42</v>
      </c>
      <c r="R682" s="26" t="s">
        <v>43</v>
      </c>
      <c r="S682" s="26"/>
      <c r="T682" s="26"/>
      <c r="U682" s="26"/>
      <c r="V682" s="26"/>
      <c r="W682" s="26"/>
      <c r="X682" s="26"/>
    </row>
    <row r="683" spans="1:24" s="29" customFormat="1">
      <c r="A683" s="35" t="s">
        <v>31</v>
      </c>
      <c r="B683" s="35" t="s">
        <v>2808</v>
      </c>
      <c r="C683" s="35" t="s">
        <v>2809</v>
      </c>
      <c r="D683" s="35">
        <f t="shared" si="10"/>
        <v>-1</v>
      </c>
      <c r="E683" s="35" t="s">
        <v>34</v>
      </c>
      <c r="F683" s="35" t="s">
        <v>2547</v>
      </c>
      <c r="G683" s="35" t="s">
        <v>2810</v>
      </c>
      <c r="H683" s="35" t="s">
        <v>37</v>
      </c>
      <c r="I683" s="35" t="s">
        <v>38</v>
      </c>
      <c r="J683" s="35" t="s">
        <v>2811</v>
      </c>
      <c r="K683" s="35" t="s">
        <v>2812</v>
      </c>
      <c r="L683" s="35">
        <v>127326.6</v>
      </c>
      <c r="M683" s="35">
        <v>0</v>
      </c>
      <c r="N683" s="35">
        <v>0</v>
      </c>
      <c r="O683" s="35">
        <v>857346.6</v>
      </c>
      <c r="P683" s="35" t="s">
        <v>41</v>
      </c>
      <c r="Q683" s="35" t="s">
        <v>42</v>
      </c>
      <c r="R683" s="26"/>
      <c r="S683" s="26"/>
      <c r="T683" s="26"/>
      <c r="U683" s="26"/>
      <c r="V683" s="26"/>
      <c r="W683" s="35" t="s">
        <v>43</v>
      </c>
      <c r="X683" s="26" t="s">
        <v>1377</v>
      </c>
    </row>
    <row r="684" spans="1:24" s="29" customFormat="1">
      <c r="A684" s="26" t="s">
        <v>31</v>
      </c>
      <c r="B684" s="26" t="s">
        <v>2813</v>
      </c>
      <c r="C684" s="26" t="s">
        <v>2814</v>
      </c>
      <c r="D684" s="26">
        <f t="shared" si="10"/>
        <v>-1</v>
      </c>
      <c r="E684" s="26" t="s">
        <v>34</v>
      </c>
      <c r="F684" s="26" t="s">
        <v>2547</v>
      </c>
      <c r="G684" s="26" t="s">
        <v>2815</v>
      </c>
      <c r="H684" s="26" t="s">
        <v>37</v>
      </c>
      <c r="I684" s="26" t="s">
        <v>38</v>
      </c>
      <c r="J684" s="26" t="s">
        <v>954</v>
      </c>
      <c r="K684" s="26" t="s">
        <v>955</v>
      </c>
      <c r="L684" s="26">
        <v>0</v>
      </c>
      <c r="M684" s="26">
        <v>0</v>
      </c>
      <c r="N684" s="26">
        <v>0</v>
      </c>
      <c r="O684" s="26">
        <v>2528460</v>
      </c>
      <c r="P684" s="26" t="s">
        <v>41</v>
      </c>
      <c r="Q684" s="26" t="s">
        <v>42</v>
      </c>
      <c r="R684" s="26"/>
      <c r="S684" s="26"/>
      <c r="T684" s="26"/>
      <c r="U684" s="26"/>
      <c r="V684" s="26" t="s">
        <v>43</v>
      </c>
      <c r="W684" s="26"/>
      <c r="X684" s="26"/>
    </row>
    <row r="685" spans="1:24" s="29" customFormat="1">
      <c r="A685" s="26" t="s">
        <v>31</v>
      </c>
      <c r="B685" s="26" t="s">
        <v>2816</v>
      </c>
      <c r="C685" s="26" t="s">
        <v>2817</v>
      </c>
      <c r="D685" s="26">
        <f t="shared" si="10"/>
        <v>-1</v>
      </c>
      <c r="E685" s="26" t="s">
        <v>34</v>
      </c>
      <c r="F685" s="26" t="s">
        <v>2547</v>
      </c>
      <c r="G685" s="26" t="s">
        <v>2818</v>
      </c>
      <c r="H685" s="26" t="s">
        <v>37</v>
      </c>
      <c r="I685" s="26" t="s">
        <v>38</v>
      </c>
      <c r="J685" s="26" t="s">
        <v>2302</v>
      </c>
      <c r="K685" s="26" t="s">
        <v>2303</v>
      </c>
      <c r="L685" s="26">
        <v>2861844.6</v>
      </c>
      <c r="M685" s="26">
        <v>0</v>
      </c>
      <c r="N685" s="26">
        <v>0</v>
      </c>
      <c r="O685" s="26">
        <v>17924184.600000001</v>
      </c>
      <c r="P685" s="26" t="s">
        <v>41</v>
      </c>
      <c r="Q685" s="26" t="s">
        <v>42</v>
      </c>
      <c r="R685" s="26"/>
      <c r="S685" s="26"/>
      <c r="T685" s="26"/>
      <c r="U685" s="26"/>
      <c r="V685" s="26" t="s">
        <v>43</v>
      </c>
      <c r="W685" s="26"/>
      <c r="X685" s="26"/>
    </row>
    <row r="686" spans="1:24" s="29" customFormat="1">
      <c r="A686" s="32" t="s">
        <v>31</v>
      </c>
      <c r="B686" s="32" t="s">
        <v>2819</v>
      </c>
      <c r="C686" s="32" t="s">
        <v>2820</v>
      </c>
      <c r="D686" s="32">
        <f t="shared" si="10"/>
        <v>-1</v>
      </c>
      <c r="E686" s="32" t="s">
        <v>34</v>
      </c>
      <c r="F686" s="32" t="s">
        <v>2547</v>
      </c>
      <c r="G686" s="32" t="s">
        <v>2821</v>
      </c>
      <c r="H686" s="32" t="s">
        <v>37</v>
      </c>
      <c r="I686" s="32" t="s">
        <v>38</v>
      </c>
      <c r="J686" s="32" t="s">
        <v>2822</v>
      </c>
      <c r="K686" s="32" t="s">
        <v>2823</v>
      </c>
      <c r="L686" s="32">
        <v>127279.48</v>
      </c>
      <c r="M686" s="32">
        <v>0</v>
      </c>
      <c r="N686" s="32">
        <v>0</v>
      </c>
      <c r="O686" s="32">
        <v>797171.48</v>
      </c>
      <c r="P686" s="32" t="s">
        <v>41</v>
      </c>
      <c r="Q686" s="32" t="s">
        <v>42</v>
      </c>
      <c r="R686" s="26"/>
      <c r="S686" s="26"/>
      <c r="T686" s="26" t="s">
        <v>43</v>
      </c>
      <c r="U686" s="26"/>
      <c r="V686" s="26"/>
      <c r="W686" s="26"/>
      <c r="X686" s="26"/>
    </row>
    <row r="687" spans="1:24" s="29" customFormat="1">
      <c r="A687" s="26" t="s">
        <v>31</v>
      </c>
      <c r="B687" s="26" t="s">
        <v>2824</v>
      </c>
      <c r="C687" s="26" t="s">
        <v>2825</v>
      </c>
      <c r="D687" s="26">
        <f t="shared" si="10"/>
        <v>-1</v>
      </c>
      <c r="E687" s="26" t="s">
        <v>34</v>
      </c>
      <c r="F687" s="26" t="s">
        <v>2547</v>
      </c>
      <c r="G687" s="26" t="s">
        <v>2826</v>
      </c>
      <c r="H687" s="26" t="s">
        <v>37</v>
      </c>
      <c r="I687" s="26" t="s">
        <v>38</v>
      </c>
      <c r="J687" s="26" t="s">
        <v>2122</v>
      </c>
      <c r="K687" s="26" t="s">
        <v>2123</v>
      </c>
      <c r="L687" s="26">
        <v>4750</v>
      </c>
      <c r="M687" s="26">
        <v>0</v>
      </c>
      <c r="N687" s="26">
        <v>0</v>
      </c>
      <c r="O687" s="26">
        <v>29750</v>
      </c>
      <c r="P687" s="26" t="s">
        <v>41</v>
      </c>
      <c r="Q687" s="26" t="s">
        <v>42</v>
      </c>
      <c r="R687" s="26"/>
      <c r="S687" s="26"/>
      <c r="T687" s="26"/>
      <c r="U687" s="26"/>
      <c r="V687" s="26" t="s">
        <v>43</v>
      </c>
      <c r="W687" s="26"/>
      <c r="X687" s="26"/>
    </row>
    <row r="688" spans="1:24" s="29" customFormat="1">
      <c r="A688" s="32" t="s">
        <v>31</v>
      </c>
      <c r="B688" s="32" t="s">
        <v>2827</v>
      </c>
      <c r="C688" s="32" t="s">
        <v>2828</v>
      </c>
      <c r="D688" s="32">
        <f t="shared" si="10"/>
        <v>-1</v>
      </c>
      <c r="E688" s="32" t="s">
        <v>34</v>
      </c>
      <c r="F688" s="32" t="s">
        <v>2547</v>
      </c>
      <c r="G688" s="32" t="s">
        <v>2829</v>
      </c>
      <c r="H688" s="32" t="s">
        <v>37</v>
      </c>
      <c r="I688" s="32" t="s">
        <v>38</v>
      </c>
      <c r="J688" s="32" t="s">
        <v>322</v>
      </c>
      <c r="K688" s="32" t="s">
        <v>323</v>
      </c>
      <c r="L688" s="32">
        <v>372400</v>
      </c>
      <c r="M688" s="32">
        <v>0</v>
      </c>
      <c r="N688" s="32">
        <v>0</v>
      </c>
      <c r="O688" s="32">
        <v>2332400</v>
      </c>
      <c r="P688" s="32" t="s">
        <v>41</v>
      </c>
      <c r="Q688" s="32" t="s">
        <v>42</v>
      </c>
      <c r="R688" s="26" t="s">
        <v>43</v>
      </c>
      <c r="S688" s="26"/>
      <c r="T688" s="26"/>
      <c r="U688" s="26"/>
      <c r="V688" s="26"/>
      <c r="W688" s="26"/>
      <c r="X688" s="26"/>
    </row>
    <row r="689" spans="1:24" s="29" customFormat="1">
      <c r="A689" s="26" t="s">
        <v>31</v>
      </c>
      <c r="B689" s="26" t="s">
        <v>2830</v>
      </c>
      <c r="C689" s="26" t="s">
        <v>2831</v>
      </c>
      <c r="D689" s="26">
        <f t="shared" si="10"/>
        <v>-1</v>
      </c>
      <c r="E689" s="26" t="s">
        <v>34</v>
      </c>
      <c r="F689" s="26" t="s">
        <v>2547</v>
      </c>
      <c r="G689" s="26" t="s">
        <v>2832</v>
      </c>
      <c r="H689" s="26" t="s">
        <v>37</v>
      </c>
      <c r="I689" s="26" t="s">
        <v>38</v>
      </c>
      <c r="J689" s="26" t="s">
        <v>2284</v>
      </c>
      <c r="K689" s="26" t="s">
        <v>2285</v>
      </c>
      <c r="L689" s="26">
        <v>722000</v>
      </c>
      <c r="M689" s="26">
        <v>0</v>
      </c>
      <c r="N689" s="26">
        <v>0</v>
      </c>
      <c r="O689" s="26">
        <v>4522000</v>
      </c>
      <c r="P689" s="26" t="s">
        <v>41</v>
      </c>
      <c r="Q689" s="26" t="s">
        <v>42</v>
      </c>
      <c r="R689" s="26"/>
      <c r="S689" s="26"/>
      <c r="T689" s="26"/>
      <c r="U689" s="26"/>
      <c r="V689" s="26" t="s">
        <v>43</v>
      </c>
      <c r="W689" s="26"/>
      <c r="X689" s="26"/>
    </row>
    <row r="690" spans="1:24" s="29" customFormat="1">
      <c r="A690" s="26" t="s">
        <v>31</v>
      </c>
      <c r="B690" s="26" t="s">
        <v>2833</v>
      </c>
      <c r="C690" s="26" t="s">
        <v>2834</v>
      </c>
      <c r="D690" s="26">
        <f t="shared" si="10"/>
        <v>-1</v>
      </c>
      <c r="E690" s="26" t="s">
        <v>34</v>
      </c>
      <c r="F690" s="26" t="s">
        <v>2547</v>
      </c>
      <c r="G690" s="26" t="s">
        <v>2835</v>
      </c>
      <c r="H690" s="26" t="s">
        <v>37</v>
      </c>
      <c r="I690" s="26" t="s">
        <v>38</v>
      </c>
      <c r="J690" s="26" t="s">
        <v>2836</v>
      </c>
      <c r="K690" s="26" t="s">
        <v>2837</v>
      </c>
      <c r="L690" s="26">
        <v>593370</v>
      </c>
      <c r="M690" s="26">
        <v>0</v>
      </c>
      <c r="N690" s="26">
        <v>0</v>
      </c>
      <c r="O690" s="26">
        <v>3716370</v>
      </c>
      <c r="P690" s="26" t="s">
        <v>41</v>
      </c>
      <c r="Q690" s="26" t="s">
        <v>42</v>
      </c>
      <c r="R690" s="26"/>
      <c r="S690" s="26"/>
      <c r="T690" s="26"/>
      <c r="U690" s="26"/>
      <c r="V690" s="26" t="s">
        <v>43</v>
      </c>
      <c r="W690" s="26"/>
      <c r="X690" s="26"/>
    </row>
    <row r="691" spans="1:24" s="29" customFormat="1">
      <c r="A691" s="26" t="s">
        <v>31</v>
      </c>
      <c r="B691" s="26" t="s">
        <v>2838</v>
      </c>
      <c r="C691" s="26" t="s">
        <v>2839</v>
      </c>
      <c r="D691" s="26">
        <f t="shared" si="10"/>
        <v>-1</v>
      </c>
      <c r="E691" s="26" t="s">
        <v>34</v>
      </c>
      <c r="F691" s="26" t="s">
        <v>2547</v>
      </c>
      <c r="G691" s="26" t="s">
        <v>2840</v>
      </c>
      <c r="H691" s="26" t="s">
        <v>37</v>
      </c>
      <c r="I691" s="26" t="s">
        <v>38</v>
      </c>
      <c r="J691" s="26" t="s">
        <v>2841</v>
      </c>
      <c r="K691" s="26" t="s">
        <v>2842</v>
      </c>
      <c r="L691" s="26">
        <v>51870</v>
      </c>
      <c r="M691" s="26">
        <v>0</v>
      </c>
      <c r="N691" s="26">
        <v>0</v>
      </c>
      <c r="O691" s="26">
        <v>324870</v>
      </c>
      <c r="P691" s="26" t="s">
        <v>41</v>
      </c>
      <c r="Q691" s="26" t="s">
        <v>42</v>
      </c>
      <c r="R691" s="26"/>
      <c r="S691" s="26"/>
      <c r="T691" s="26"/>
      <c r="U691" s="26"/>
      <c r="V691" s="26" t="s">
        <v>43</v>
      </c>
      <c r="W691" s="26"/>
      <c r="X691" s="26"/>
    </row>
    <row r="692" spans="1:24" s="29" customFormat="1">
      <c r="A692" s="26" t="s">
        <v>31</v>
      </c>
      <c r="B692" s="26" t="s">
        <v>2843</v>
      </c>
      <c r="C692" s="26" t="s">
        <v>2844</v>
      </c>
      <c r="D692" s="26">
        <f t="shared" si="10"/>
        <v>-1</v>
      </c>
      <c r="E692" s="26" t="s">
        <v>34</v>
      </c>
      <c r="F692" s="26" t="s">
        <v>2547</v>
      </c>
      <c r="G692" s="26" t="s">
        <v>2845</v>
      </c>
      <c r="H692" s="26" t="s">
        <v>37</v>
      </c>
      <c r="I692" s="26" t="s">
        <v>38</v>
      </c>
      <c r="J692" s="26" t="s">
        <v>2841</v>
      </c>
      <c r="K692" s="26" t="s">
        <v>2842</v>
      </c>
      <c r="L692" s="26">
        <v>720666.2</v>
      </c>
      <c r="M692" s="26">
        <v>0</v>
      </c>
      <c r="N692" s="26">
        <v>0</v>
      </c>
      <c r="O692" s="26">
        <v>4513646.2</v>
      </c>
      <c r="P692" s="26" t="s">
        <v>41</v>
      </c>
      <c r="Q692" s="26" t="s">
        <v>42</v>
      </c>
      <c r="R692" s="26"/>
      <c r="S692" s="26"/>
      <c r="T692" s="26"/>
      <c r="U692" s="26"/>
      <c r="V692" s="26" t="s">
        <v>43</v>
      </c>
      <c r="W692" s="26"/>
      <c r="X692" s="26"/>
    </row>
    <row r="693" spans="1:24" s="29" customFormat="1">
      <c r="A693" s="26" t="s">
        <v>31</v>
      </c>
      <c r="B693" s="26" t="s">
        <v>2846</v>
      </c>
      <c r="C693" s="26" t="s">
        <v>2847</v>
      </c>
      <c r="D693" s="26">
        <f t="shared" si="10"/>
        <v>-1</v>
      </c>
      <c r="E693" s="26" t="s">
        <v>34</v>
      </c>
      <c r="F693" s="26" t="s">
        <v>2547</v>
      </c>
      <c r="G693" s="26" t="s">
        <v>2848</v>
      </c>
      <c r="H693" s="26" t="s">
        <v>37</v>
      </c>
      <c r="I693" s="26" t="s">
        <v>38</v>
      </c>
      <c r="J693" s="26" t="s">
        <v>2849</v>
      </c>
      <c r="K693" s="26" t="s">
        <v>2850</v>
      </c>
      <c r="L693" s="26">
        <v>22832.65</v>
      </c>
      <c r="M693" s="26">
        <v>0</v>
      </c>
      <c r="N693" s="26">
        <v>0</v>
      </c>
      <c r="O693" s="26">
        <v>212242.65</v>
      </c>
      <c r="P693" s="26" t="s">
        <v>41</v>
      </c>
      <c r="Q693" s="26" t="s">
        <v>42</v>
      </c>
      <c r="R693" s="26"/>
      <c r="S693" s="26"/>
      <c r="T693" s="26"/>
      <c r="U693" s="26"/>
      <c r="V693" s="26" t="s">
        <v>43</v>
      </c>
      <c r="W693" s="26"/>
      <c r="X693" s="26"/>
    </row>
    <row r="694" spans="1:24" s="29" customFormat="1">
      <c r="A694" s="26" t="s">
        <v>31</v>
      </c>
      <c r="B694" s="26" t="s">
        <v>2851</v>
      </c>
      <c r="C694" s="26" t="s">
        <v>2852</v>
      </c>
      <c r="D694" s="26">
        <f t="shared" si="10"/>
        <v>-1</v>
      </c>
      <c r="E694" s="26" t="s">
        <v>34</v>
      </c>
      <c r="F694" s="26" t="s">
        <v>2547</v>
      </c>
      <c r="G694" s="26" t="s">
        <v>2853</v>
      </c>
      <c r="H694" s="26" t="s">
        <v>37</v>
      </c>
      <c r="I694" s="26" t="s">
        <v>38</v>
      </c>
      <c r="J694" s="26" t="s">
        <v>2854</v>
      </c>
      <c r="K694" s="26" t="s">
        <v>2855</v>
      </c>
      <c r="L694" s="26">
        <v>19970.14</v>
      </c>
      <c r="M694" s="26">
        <v>0</v>
      </c>
      <c r="N694" s="26">
        <v>0</v>
      </c>
      <c r="O694" s="26">
        <v>142560.14000000001</v>
      </c>
      <c r="P694" s="26" t="s">
        <v>41</v>
      </c>
      <c r="Q694" s="26" t="s">
        <v>42</v>
      </c>
      <c r="R694" s="26"/>
      <c r="S694" s="26"/>
      <c r="T694" s="26"/>
      <c r="U694" s="26"/>
      <c r="V694" s="26" t="s">
        <v>43</v>
      </c>
      <c r="W694" s="26"/>
      <c r="X694" s="26"/>
    </row>
    <row r="695" spans="1:24" s="29" customFormat="1">
      <c r="A695" s="26" t="s">
        <v>31</v>
      </c>
      <c r="B695" s="26" t="s">
        <v>2856</v>
      </c>
      <c r="C695" s="26" t="s">
        <v>2857</v>
      </c>
      <c r="D695" s="26">
        <f t="shared" si="10"/>
        <v>-1</v>
      </c>
      <c r="E695" s="26" t="s">
        <v>34</v>
      </c>
      <c r="F695" s="26" t="s">
        <v>2547</v>
      </c>
      <c r="G695" s="26" t="s">
        <v>2858</v>
      </c>
      <c r="H695" s="26" t="s">
        <v>37</v>
      </c>
      <c r="I695" s="26" t="s">
        <v>38</v>
      </c>
      <c r="J695" s="26" t="s">
        <v>2859</v>
      </c>
      <c r="K695" s="26" t="s">
        <v>2860</v>
      </c>
      <c r="L695" s="26">
        <v>1331101.05</v>
      </c>
      <c r="M695" s="26">
        <v>0</v>
      </c>
      <c r="N695" s="26">
        <v>0</v>
      </c>
      <c r="O695" s="26">
        <v>8336896.0499999998</v>
      </c>
      <c r="P695" s="26" t="s">
        <v>41</v>
      </c>
      <c r="Q695" s="26" t="s">
        <v>42</v>
      </c>
      <c r="R695" s="26"/>
      <c r="S695" s="26"/>
      <c r="T695" s="26"/>
      <c r="U695" s="26"/>
      <c r="V695" s="26" t="s">
        <v>43</v>
      </c>
      <c r="W695" s="26"/>
      <c r="X695" s="26"/>
    </row>
    <row r="696" spans="1:24" s="29" customFormat="1">
      <c r="A696" s="34" t="s">
        <v>31</v>
      </c>
      <c r="B696" s="34" t="s">
        <v>2861</v>
      </c>
      <c r="C696" s="34" t="s">
        <v>2862</v>
      </c>
      <c r="D696" s="34">
        <f t="shared" si="10"/>
        <v>-1</v>
      </c>
      <c r="E696" s="34" t="s">
        <v>34</v>
      </c>
      <c r="F696" s="34" t="s">
        <v>2547</v>
      </c>
      <c r="G696" s="34" t="s">
        <v>2863</v>
      </c>
      <c r="H696" s="34" t="s">
        <v>37</v>
      </c>
      <c r="I696" s="34" t="s">
        <v>38</v>
      </c>
      <c r="J696" s="34" t="s">
        <v>2864</v>
      </c>
      <c r="K696" s="34" t="s">
        <v>2865</v>
      </c>
      <c r="L696" s="34">
        <v>746409.3</v>
      </c>
      <c r="M696" s="34">
        <v>0</v>
      </c>
      <c r="N696" s="34">
        <v>0</v>
      </c>
      <c r="O696" s="34">
        <v>4674879.3</v>
      </c>
      <c r="P696" s="34" t="s">
        <v>41</v>
      </c>
      <c r="Q696" s="34" t="s">
        <v>42</v>
      </c>
      <c r="R696" s="26"/>
      <c r="S696" s="26"/>
      <c r="T696" s="26" t="s">
        <v>43</v>
      </c>
      <c r="U696" s="26"/>
      <c r="V696" s="26"/>
      <c r="W696" s="26"/>
      <c r="X696" s="26"/>
    </row>
    <row r="697" spans="1:24" s="29" customFormat="1">
      <c r="A697" s="34" t="s">
        <v>31</v>
      </c>
      <c r="B697" s="34" t="s">
        <v>2866</v>
      </c>
      <c r="C697" s="34" t="s">
        <v>2867</v>
      </c>
      <c r="D697" s="34">
        <f t="shared" si="10"/>
        <v>-1</v>
      </c>
      <c r="E697" s="34" t="s">
        <v>34</v>
      </c>
      <c r="F697" s="34" t="s">
        <v>2547</v>
      </c>
      <c r="G697" s="34" t="s">
        <v>2868</v>
      </c>
      <c r="H697" s="34" t="s">
        <v>37</v>
      </c>
      <c r="I697" s="34" t="s">
        <v>38</v>
      </c>
      <c r="J697" s="34" t="s">
        <v>2864</v>
      </c>
      <c r="K697" s="34" t="s">
        <v>2865</v>
      </c>
      <c r="L697" s="34">
        <v>1492818.6</v>
      </c>
      <c r="M697" s="34">
        <v>0</v>
      </c>
      <c r="N697" s="34">
        <v>0</v>
      </c>
      <c r="O697" s="34">
        <v>9349758.5999999996</v>
      </c>
      <c r="P697" s="34" t="s">
        <v>41</v>
      </c>
      <c r="Q697" s="34" t="s">
        <v>42</v>
      </c>
      <c r="R697" s="26"/>
      <c r="S697" s="26"/>
      <c r="T697" s="26" t="s">
        <v>43</v>
      </c>
      <c r="U697" s="26"/>
      <c r="V697" s="26"/>
      <c r="W697" s="26"/>
      <c r="X697" s="26"/>
    </row>
    <row r="698" spans="1:24" s="29" customFormat="1">
      <c r="A698" s="34" t="s">
        <v>31</v>
      </c>
      <c r="B698" s="34" t="s">
        <v>2869</v>
      </c>
      <c r="C698" s="34" t="s">
        <v>2870</v>
      </c>
      <c r="D698" s="34">
        <f t="shared" si="10"/>
        <v>-1</v>
      </c>
      <c r="E698" s="34" t="s">
        <v>34</v>
      </c>
      <c r="F698" s="34" t="s">
        <v>2547</v>
      </c>
      <c r="G698" s="34" t="s">
        <v>2871</v>
      </c>
      <c r="H698" s="34" t="s">
        <v>37</v>
      </c>
      <c r="I698" s="34" t="s">
        <v>38</v>
      </c>
      <c r="J698" s="34" t="s">
        <v>1242</v>
      </c>
      <c r="K698" s="34" t="s">
        <v>1243</v>
      </c>
      <c r="L698" s="34">
        <v>373204.65</v>
      </c>
      <c r="M698" s="34">
        <v>0</v>
      </c>
      <c r="N698" s="34">
        <v>0</v>
      </c>
      <c r="O698" s="34">
        <v>2337439.65</v>
      </c>
      <c r="P698" s="34" t="s">
        <v>41</v>
      </c>
      <c r="Q698" s="34" t="s">
        <v>42</v>
      </c>
      <c r="R698" s="26"/>
      <c r="S698" s="26"/>
      <c r="T698" s="26" t="s">
        <v>43</v>
      </c>
      <c r="U698" s="26"/>
      <c r="V698" s="26"/>
      <c r="W698" s="26"/>
      <c r="X698" s="26"/>
    </row>
    <row r="699" spans="1:24" s="29" customFormat="1">
      <c r="A699" s="34" t="s">
        <v>31</v>
      </c>
      <c r="B699" s="34" t="s">
        <v>2872</v>
      </c>
      <c r="C699" s="34" t="s">
        <v>2873</v>
      </c>
      <c r="D699" s="34">
        <f t="shared" si="10"/>
        <v>-1</v>
      </c>
      <c r="E699" s="34" t="s">
        <v>34</v>
      </c>
      <c r="F699" s="34" t="s">
        <v>2547</v>
      </c>
      <c r="G699" s="34" t="s">
        <v>2874</v>
      </c>
      <c r="H699" s="34" t="s">
        <v>37</v>
      </c>
      <c r="I699" s="34" t="s">
        <v>38</v>
      </c>
      <c r="J699" s="34" t="s">
        <v>2671</v>
      </c>
      <c r="K699" s="34" t="s">
        <v>2672</v>
      </c>
      <c r="L699" s="34">
        <v>373204.65</v>
      </c>
      <c r="M699" s="34">
        <v>0</v>
      </c>
      <c r="N699" s="34">
        <v>0</v>
      </c>
      <c r="O699" s="34">
        <v>2337439.65</v>
      </c>
      <c r="P699" s="34" t="s">
        <v>41</v>
      </c>
      <c r="Q699" s="34" t="s">
        <v>42</v>
      </c>
      <c r="R699" s="26"/>
      <c r="S699" s="26"/>
      <c r="T699" s="26" t="s">
        <v>43</v>
      </c>
      <c r="U699" s="26"/>
      <c r="V699" s="26"/>
      <c r="W699" s="26"/>
      <c r="X699" s="26"/>
    </row>
    <row r="700" spans="1:24" s="29" customFormat="1">
      <c r="A700" s="34" t="s">
        <v>31</v>
      </c>
      <c r="B700" s="34" t="s">
        <v>2875</v>
      </c>
      <c r="C700" s="34" t="s">
        <v>2876</v>
      </c>
      <c r="D700" s="34">
        <f t="shared" si="10"/>
        <v>-1</v>
      </c>
      <c r="E700" s="34" t="s">
        <v>34</v>
      </c>
      <c r="F700" s="34" t="s">
        <v>2547</v>
      </c>
      <c r="G700" s="34" t="s">
        <v>2877</v>
      </c>
      <c r="H700" s="34" t="s">
        <v>37</v>
      </c>
      <c r="I700" s="34" t="s">
        <v>38</v>
      </c>
      <c r="J700" s="34" t="s">
        <v>126</v>
      </c>
      <c r="K700" s="34" t="s">
        <v>127</v>
      </c>
      <c r="L700" s="34">
        <v>1119613.95</v>
      </c>
      <c r="M700" s="34">
        <v>0</v>
      </c>
      <c r="N700" s="34">
        <v>0</v>
      </c>
      <c r="O700" s="34">
        <v>7012318.9500000002</v>
      </c>
      <c r="P700" s="34" t="s">
        <v>41</v>
      </c>
      <c r="Q700" s="34" t="s">
        <v>42</v>
      </c>
      <c r="R700" s="26"/>
      <c r="S700" s="26"/>
      <c r="T700" s="26" t="s">
        <v>43</v>
      </c>
      <c r="U700" s="26"/>
      <c r="V700" s="26"/>
      <c r="W700" s="26"/>
      <c r="X700" s="26"/>
    </row>
    <row r="701" spans="1:24" s="29" customFormat="1">
      <c r="A701" s="34" t="s">
        <v>31</v>
      </c>
      <c r="B701" s="34" t="s">
        <v>2878</v>
      </c>
      <c r="C701" s="34" t="s">
        <v>2879</v>
      </c>
      <c r="D701" s="34">
        <f t="shared" si="10"/>
        <v>-1</v>
      </c>
      <c r="E701" s="34" t="s">
        <v>34</v>
      </c>
      <c r="F701" s="34" t="s">
        <v>2547</v>
      </c>
      <c r="G701" s="34" t="s">
        <v>2880</v>
      </c>
      <c r="H701" s="34" t="s">
        <v>37</v>
      </c>
      <c r="I701" s="34" t="s">
        <v>38</v>
      </c>
      <c r="J701" s="34" t="s">
        <v>2671</v>
      </c>
      <c r="K701" s="34" t="s">
        <v>2672</v>
      </c>
      <c r="L701" s="34">
        <v>373204.65</v>
      </c>
      <c r="M701" s="34">
        <v>0</v>
      </c>
      <c r="N701" s="34">
        <v>0</v>
      </c>
      <c r="O701" s="34">
        <v>2337439.65</v>
      </c>
      <c r="P701" s="34" t="s">
        <v>41</v>
      </c>
      <c r="Q701" s="34" t="s">
        <v>42</v>
      </c>
      <c r="R701" s="26"/>
      <c r="S701" s="26"/>
      <c r="T701" s="26" t="s">
        <v>43</v>
      </c>
      <c r="U701" s="26"/>
      <c r="V701" s="26"/>
      <c r="W701" s="26"/>
      <c r="X701" s="26"/>
    </row>
    <row r="702" spans="1:24" s="29" customFormat="1">
      <c r="A702" s="34" t="s">
        <v>31</v>
      </c>
      <c r="B702" s="34" t="s">
        <v>2881</v>
      </c>
      <c r="C702" s="34" t="s">
        <v>2882</v>
      </c>
      <c r="D702" s="34">
        <f t="shared" si="10"/>
        <v>-1</v>
      </c>
      <c r="E702" s="34" t="s">
        <v>34</v>
      </c>
      <c r="F702" s="34" t="s">
        <v>2547</v>
      </c>
      <c r="G702" s="34" t="s">
        <v>2883</v>
      </c>
      <c r="H702" s="34" t="s">
        <v>37</v>
      </c>
      <c r="I702" s="34" t="s">
        <v>38</v>
      </c>
      <c r="J702" s="34" t="s">
        <v>2884</v>
      </c>
      <c r="K702" s="34" t="s">
        <v>2885</v>
      </c>
      <c r="L702" s="34">
        <v>1017956.16</v>
      </c>
      <c r="M702" s="34">
        <v>0</v>
      </c>
      <c r="N702" s="34">
        <v>0</v>
      </c>
      <c r="O702" s="34">
        <v>6375620.1600000001</v>
      </c>
      <c r="P702" s="34" t="s">
        <v>41</v>
      </c>
      <c r="Q702" s="34" t="s">
        <v>42</v>
      </c>
      <c r="R702" s="26"/>
      <c r="S702" s="26"/>
      <c r="T702" s="26" t="s">
        <v>43</v>
      </c>
      <c r="U702" s="26"/>
      <c r="V702" s="26"/>
      <c r="W702" s="26"/>
      <c r="X702" s="26"/>
    </row>
    <row r="703" spans="1:24" s="29" customFormat="1">
      <c r="A703" s="32" t="s">
        <v>31</v>
      </c>
      <c r="B703" s="32" t="s">
        <v>2886</v>
      </c>
      <c r="C703" s="32" t="s">
        <v>2887</v>
      </c>
      <c r="D703" s="32">
        <f t="shared" si="10"/>
        <v>-1</v>
      </c>
      <c r="E703" s="32" t="s">
        <v>34</v>
      </c>
      <c r="F703" s="32" t="s">
        <v>2547</v>
      </c>
      <c r="G703" s="32" t="s">
        <v>2888</v>
      </c>
      <c r="H703" s="32" t="s">
        <v>37</v>
      </c>
      <c r="I703" s="32" t="s">
        <v>38</v>
      </c>
      <c r="J703" s="32" t="s">
        <v>520</v>
      </c>
      <c r="K703" s="32" t="s">
        <v>521</v>
      </c>
      <c r="L703" s="32">
        <v>1468997.75</v>
      </c>
      <c r="M703" s="32">
        <v>0</v>
      </c>
      <c r="N703" s="32">
        <v>0</v>
      </c>
      <c r="O703" s="32">
        <v>10143722.75</v>
      </c>
      <c r="P703" s="32" t="s">
        <v>41</v>
      </c>
      <c r="Q703" s="32" t="s">
        <v>42</v>
      </c>
      <c r="R703" s="26" t="s">
        <v>43</v>
      </c>
      <c r="S703" s="26"/>
      <c r="T703" s="26"/>
      <c r="U703" s="26"/>
      <c r="V703" s="26"/>
      <c r="W703" s="26"/>
      <c r="X703" s="26"/>
    </row>
    <row r="704" spans="1:24" s="29" customFormat="1">
      <c r="A704" s="26" t="s">
        <v>31</v>
      </c>
      <c r="B704" s="26" t="s">
        <v>2889</v>
      </c>
      <c r="C704" s="26" t="s">
        <v>2890</v>
      </c>
      <c r="D704" s="26">
        <f t="shared" si="10"/>
        <v>-1</v>
      </c>
      <c r="E704" s="26" t="s">
        <v>34</v>
      </c>
      <c r="F704" s="26" t="s">
        <v>2547</v>
      </c>
      <c r="G704" s="26" t="s">
        <v>2891</v>
      </c>
      <c r="H704" s="26" t="s">
        <v>37</v>
      </c>
      <c r="I704" s="26" t="s">
        <v>38</v>
      </c>
      <c r="J704" s="26" t="s">
        <v>1722</v>
      </c>
      <c r="K704" s="26" t="s">
        <v>1723</v>
      </c>
      <c r="L704" s="26">
        <v>11821.42</v>
      </c>
      <c r="M704" s="26">
        <v>0</v>
      </c>
      <c r="N704" s="26">
        <v>0</v>
      </c>
      <c r="O704" s="26">
        <v>74039.42</v>
      </c>
      <c r="P704" s="26" t="s">
        <v>41</v>
      </c>
      <c r="Q704" s="26" t="s">
        <v>42</v>
      </c>
      <c r="R704" s="26"/>
      <c r="S704" s="26"/>
      <c r="T704" s="26"/>
      <c r="U704" s="26"/>
      <c r="V704" s="26" t="s">
        <v>43</v>
      </c>
      <c r="W704" s="26"/>
      <c r="X704" s="26"/>
    </row>
    <row r="705" spans="1:24" s="29" customFormat="1">
      <c r="A705" s="33" t="s">
        <v>31</v>
      </c>
      <c r="B705" s="33" t="s">
        <v>2892</v>
      </c>
      <c r="C705" s="33" t="s">
        <v>2893</v>
      </c>
      <c r="D705" s="33">
        <f t="shared" si="10"/>
        <v>-1</v>
      </c>
      <c r="E705" s="33" t="s">
        <v>34</v>
      </c>
      <c r="F705" s="33" t="s">
        <v>2547</v>
      </c>
      <c r="G705" s="33" t="s">
        <v>2894</v>
      </c>
      <c r="H705" s="33" t="s">
        <v>37</v>
      </c>
      <c r="I705" s="33" t="s">
        <v>38</v>
      </c>
      <c r="J705" s="33" t="s">
        <v>1722</v>
      </c>
      <c r="K705" s="33" t="s">
        <v>1723</v>
      </c>
      <c r="L705" s="33">
        <v>28500</v>
      </c>
      <c r="M705" s="33">
        <v>0</v>
      </c>
      <c r="N705" s="33">
        <v>0</v>
      </c>
      <c r="O705" s="33">
        <v>178500</v>
      </c>
      <c r="P705" s="33" t="s">
        <v>41</v>
      </c>
      <c r="Q705" s="33" t="s">
        <v>42</v>
      </c>
      <c r="R705" s="26"/>
      <c r="S705" s="26" t="s">
        <v>43</v>
      </c>
      <c r="T705" s="26"/>
      <c r="U705" s="26"/>
      <c r="V705" s="26"/>
      <c r="W705" s="26"/>
      <c r="X705" s="26"/>
    </row>
    <row r="706" spans="1:24" s="29" customFormat="1">
      <c r="A706" s="33" t="s">
        <v>31</v>
      </c>
      <c r="B706" s="33" t="s">
        <v>2895</v>
      </c>
      <c r="C706" s="33" t="s">
        <v>2896</v>
      </c>
      <c r="D706" s="33">
        <f t="shared" si="10"/>
        <v>-1</v>
      </c>
      <c r="E706" s="33" t="s">
        <v>34</v>
      </c>
      <c r="F706" s="33" t="s">
        <v>2547</v>
      </c>
      <c r="G706" s="33" t="s">
        <v>2897</v>
      </c>
      <c r="H706" s="33" t="s">
        <v>37</v>
      </c>
      <c r="I706" s="33" t="s">
        <v>38</v>
      </c>
      <c r="J706" s="33" t="s">
        <v>1722</v>
      </c>
      <c r="K706" s="33" t="s">
        <v>1723</v>
      </c>
      <c r="L706" s="33">
        <v>18620</v>
      </c>
      <c r="M706" s="33">
        <v>0</v>
      </c>
      <c r="N706" s="33">
        <v>0</v>
      </c>
      <c r="O706" s="33">
        <v>116620</v>
      </c>
      <c r="P706" s="33" t="s">
        <v>41</v>
      </c>
      <c r="Q706" s="33" t="s">
        <v>42</v>
      </c>
      <c r="R706" s="26"/>
      <c r="S706" s="26" t="s">
        <v>43</v>
      </c>
      <c r="T706" s="26"/>
      <c r="U706" s="26"/>
      <c r="V706" s="26"/>
      <c r="W706" s="26"/>
      <c r="X706" s="26"/>
    </row>
    <row r="707" spans="1:24" s="29" customFormat="1">
      <c r="A707" s="33" t="s">
        <v>31</v>
      </c>
      <c r="B707" s="33" t="s">
        <v>2898</v>
      </c>
      <c r="C707" s="33" t="s">
        <v>2899</v>
      </c>
      <c r="D707" s="33">
        <f t="shared" si="10"/>
        <v>-1</v>
      </c>
      <c r="E707" s="33" t="s">
        <v>34</v>
      </c>
      <c r="F707" s="33" t="s">
        <v>2547</v>
      </c>
      <c r="G707" s="33" t="s">
        <v>2900</v>
      </c>
      <c r="H707" s="33" t="s">
        <v>37</v>
      </c>
      <c r="I707" s="33" t="s">
        <v>38</v>
      </c>
      <c r="J707" s="33" t="s">
        <v>1722</v>
      </c>
      <c r="K707" s="33" t="s">
        <v>1723</v>
      </c>
      <c r="L707" s="33">
        <v>18620</v>
      </c>
      <c r="M707" s="33">
        <v>0</v>
      </c>
      <c r="N707" s="33">
        <v>0</v>
      </c>
      <c r="O707" s="33">
        <v>116620</v>
      </c>
      <c r="P707" s="33" t="s">
        <v>41</v>
      </c>
      <c r="Q707" s="33" t="s">
        <v>42</v>
      </c>
      <c r="R707" s="26"/>
      <c r="S707" s="26" t="s">
        <v>43</v>
      </c>
      <c r="T707" s="26"/>
      <c r="U707" s="26"/>
      <c r="V707" s="26"/>
      <c r="W707" s="26"/>
      <c r="X707" s="26"/>
    </row>
    <row r="708" spans="1:24" s="29" customFormat="1">
      <c r="A708" s="33" t="s">
        <v>31</v>
      </c>
      <c r="B708" s="33" t="s">
        <v>2901</v>
      </c>
      <c r="C708" s="33" t="s">
        <v>2902</v>
      </c>
      <c r="D708" s="33">
        <f t="shared" si="10"/>
        <v>-1</v>
      </c>
      <c r="E708" s="33" t="s">
        <v>34</v>
      </c>
      <c r="F708" s="33" t="s">
        <v>2547</v>
      </c>
      <c r="G708" s="33" t="s">
        <v>2903</v>
      </c>
      <c r="H708" s="33" t="s">
        <v>37</v>
      </c>
      <c r="I708" s="33" t="s">
        <v>38</v>
      </c>
      <c r="J708" s="33" t="s">
        <v>1722</v>
      </c>
      <c r="K708" s="33" t="s">
        <v>1723</v>
      </c>
      <c r="L708" s="33">
        <v>18620</v>
      </c>
      <c r="M708" s="33">
        <v>0</v>
      </c>
      <c r="N708" s="33">
        <v>0</v>
      </c>
      <c r="O708" s="33">
        <v>116620</v>
      </c>
      <c r="P708" s="33" t="s">
        <v>41</v>
      </c>
      <c r="Q708" s="33" t="s">
        <v>42</v>
      </c>
      <c r="R708" s="26"/>
      <c r="S708" s="26" t="s">
        <v>43</v>
      </c>
      <c r="T708" s="26"/>
      <c r="U708" s="26"/>
      <c r="V708" s="26"/>
      <c r="W708" s="26"/>
      <c r="X708" s="26"/>
    </row>
    <row r="709" spans="1:24" s="29" customFormat="1">
      <c r="A709" s="33" t="s">
        <v>31</v>
      </c>
      <c r="B709" s="33" t="s">
        <v>2904</v>
      </c>
      <c r="C709" s="33" t="s">
        <v>2905</v>
      </c>
      <c r="D709" s="33">
        <f t="shared" si="10"/>
        <v>-1</v>
      </c>
      <c r="E709" s="33" t="s">
        <v>34</v>
      </c>
      <c r="F709" s="33" t="s">
        <v>2547</v>
      </c>
      <c r="G709" s="33" t="s">
        <v>2906</v>
      </c>
      <c r="H709" s="33" t="s">
        <v>37</v>
      </c>
      <c r="I709" s="33" t="s">
        <v>38</v>
      </c>
      <c r="J709" s="33" t="s">
        <v>1722</v>
      </c>
      <c r="K709" s="33" t="s">
        <v>1723</v>
      </c>
      <c r="L709" s="33">
        <v>18620</v>
      </c>
      <c r="M709" s="33">
        <v>0</v>
      </c>
      <c r="N709" s="33">
        <v>0</v>
      </c>
      <c r="O709" s="33">
        <v>116620</v>
      </c>
      <c r="P709" s="33" t="s">
        <v>41</v>
      </c>
      <c r="Q709" s="33" t="s">
        <v>42</v>
      </c>
      <c r="R709" s="26"/>
      <c r="S709" s="26" t="s">
        <v>43</v>
      </c>
      <c r="T709" s="26"/>
      <c r="U709" s="26"/>
      <c r="V709" s="26"/>
      <c r="W709" s="26"/>
      <c r="X709" s="26"/>
    </row>
    <row r="710" spans="1:24" s="29" customFormat="1">
      <c r="A710" s="31" t="s">
        <v>31</v>
      </c>
      <c r="B710" s="31" t="s">
        <v>2907</v>
      </c>
      <c r="C710" s="31" t="s">
        <v>2908</v>
      </c>
      <c r="D710" s="31">
        <f t="shared" si="10"/>
        <v>-1</v>
      </c>
      <c r="E710" s="31" t="s">
        <v>34</v>
      </c>
      <c r="F710" s="31" t="s">
        <v>2547</v>
      </c>
      <c r="G710" s="31" t="s">
        <v>2909</v>
      </c>
      <c r="H710" s="31" t="s">
        <v>37</v>
      </c>
      <c r="I710" s="31" t="s">
        <v>38</v>
      </c>
      <c r="J710" s="31" t="s">
        <v>1722</v>
      </c>
      <c r="K710" s="31" t="s">
        <v>1723</v>
      </c>
      <c r="L710" s="31">
        <v>18620</v>
      </c>
      <c r="M710" s="31">
        <v>0</v>
      </c>
      <c r="N710" s="31">
        <v>0</v>
      </c>
      <c r="O710" s="31">
        <v>116620</v>
      </c>
      <c r="P710" s="31" t="s">
        <v>41</v>
      </c>
      <c r="Q710" s="31" t="s">
        <v>42</v>
      </c>
      <c r="R710" s="26"/>
      <c r="S710" s="26"/>
      <c r="T710" s="26"/>
      <c r="U710" s="26" t="s">
        <v>43</v>
      </c>
      <c r="V710" s="26"/>
      <c r="W710" s="26"/>
      <c r="X710" s="26"/>
    </row>
    <row r="711" spans="1:24" s="29" customFormat="1">
      <c r="A711" s="26" t="s">
        <v>31</v>
      </c>
      <c r="B711" s="26" t="s">
        <v>2910</v>
      </c>
      <c r="C711" s="26" t="s">
        <v>2911</v>
      </c>
      <c r="D711" s="26">
        <f t="shared" si="10"/>
        <v>-1</v>
      </c>
      <c r="E711" s="26" t="s">
        <v>34</v>
      </c>
      <c r="F711" s="26" t="s">
        <v>2547</v>
      </c>
      <c r="G711" s="26" t="s">
        <v>2912</v>
      </c>
      <c r="H711" s="26" t="s">
        <v>37</v>
      </c>
      <c r="I711" s="26" t="s">
        <v>38</v>
      </c>
      <c r="J711" s="26" t="s">
        <v>2913</v>
      </c>
      <c r="K711" s="26" t="s">
        <v>2914</v>
      </c>
      <c r="L711" s="26">
        <v>51204.62</v>
      </c>
      <c r="M711" s="26">
        <v>0</v>
      </c>
      <c r="N711" s="26">
        <v>0</v>
      </c>
      <c r="O711" s="26">
        <v>320702.62</v>
      </c>
      <c r="P711" s="26" t="s">
        <v>41</v>
      </c>
      <c r="Q711" s="26" t="s">
        <v>42</v>
      </c>
      <c r="R711" s="26"/>
      <c r="S711" s="26"/>
      <c r="T711" s="26"/>
      <c r="U711" s="26"/>
      <c r="V711" s="26" t="s">
        <v>43</v>
      </c>
      <c r="W711" s="26"/>
      <c r="X711" s="26"/>
    </row>
    <row r="712" spans="1:24" s="29" customFormat="1">
      <c r="A712" s="33" t="s">
        <v>31</v>
      </c>
      <c r="B712" s="33" t="s">
        <v>2915</v>
      </c>
      <c r="C712" s="33" t="s">
        <v>2916</v>
      </c>
      <c r="D712" s="33">
        <f t="shared" si="10"/>
        <v>-1</v>
      </c>
      <c r="E712" s="33" t="s">
        <v>34</v>
      </c>
      <c r="F712" s="33" t="s">
        <v>2547</v>
      </c>
      <c r="G712" s="33" t="s">
        <v>2917</v>
      </c>
      <c r="H712" s="33" t="s">
        <v>37</v>
      </c>
      <c r="I712" s="33" t="s">
        <v>38</v>
      </c>
      <c r="J712" s="33" t="s">
        <v>494</v>
      </c>
      <c r="K712" s="33" t="s">
        <v>495</v>
      </c>
      <c r="L712" s="33">
        <v>11821.42</v>
      </c>
      <c r="M712" s="33">
        <v>0</v>
      </c>
      <c r="N712" s="33">
        <v>0</v>
      </c>
      <c r="O712" s="33">
        <v>74039.42</v>
      </c>
      <c r="P712" s="33" t="s">
        <v>41</v>
      </c>
      <c r="Q712" s="33" t="s">
        <v>42</v>
      </c>
      <c r="R712" s="26"/>
      <c r="S712" s="26" t="s">
        <v>43</v>
      </c>
      <c r="T712" s="26"/>
      <c r="U712" s="26"/>
      <c r="V712" s="26"/>
      <c r="W712" s="26"/>
      <c r="X712" s="26"/>
    </row>
    <row r="713" spans="1:24" s="29" customFormat="1">
      <c r="A713" s="35" t="s">
        <v>31</v>
      </c>
      <c r="B713" s="35" t="s">
        <v>2918</v>
      </c>
      <c r="C713" s="35" t="s">
        <v>2919</v>
      </c>
      <c r="D713" s="35">
        <f t="shared" si="10"/>
        <v>-1</v>
      </c>
      <c r="E713" s="35" t="s">
        <v>34</v>
      </c>
      <c r="F713" s="35" t="s">
        <v>2547</v>
      </c>
      <c r="G713" s="35" t="s">
        <v>2920</v>
      </c>
      <c r="H713" s="35" t="s">
        <v>37</v>
      </c>
      <c r="I713" s="35" t="s">
        <v>38</v>
      </c>
      <c r="J713" s="35" t="s">
        <v>2921</v>
      </c>
      <c r="K713" s="35" t="s">
        <v>2922</v>
      </c>
      <c r="L713" s="35">
        <v>61503</v>
      </c>
      <c r="M713" s="35">
        <v>0</v>
      </c>
      <c r="N713" s="35">
        <v>0</v>
      </c>
      <c r="O713" s="35">
        <v>385203</v>
      </c>
      <c r="P713" s="35" t="s">
        <v>41</v>
      </c>
      <c r="Q713" s="35" t="s">
        <v>42</v>
      </c>
      <c r="R713" s="26"/>
      <c r="S713" s="26"/>
      <c r="T713" s="26"/>
      <c r="U713" s="26"/>
      <c r="V713" s="26"/>
      <c r="W713" s="35" t="s">
        <v>43</v>
      </c>
      <c r="X713" s="26" t="s">
        <v>898</v>
      </c>
    </row>
    <row r="714" spans="1:24" s="29" customFormat="1">
      <c r="A714" s="34" t="s">
        <v>31</v>
      </c>
      <c r="B714" s="34" t="s">
        <v>2923</v>
      </c>
      <c r="C714" s="34" t="s">
        <v>2924</v>
      </c>
      <c r="D714" s="34">
        <f t="shared" si="10"/>
        <v>-1</v>
      </c>
      <c r="E714" s="34" t="s">
        <v>34</v>
      </c>
      <c r="F714" s="34" t="s">
        <v>2547</v>
      </c>
      <c r="G714" s="34" t="s">
        <v>2925</v>
      </c>
      <c r="H714" s="34" t="s">
        <v>37</v>
      </c>
      <c r="I714" s="34" t="s">
        <v>38</v>
      </c>
      <c r="J714" s="34" t="s">
        <v>69</v>
      </c>
      <c r="K714" s="34" t="s">
        <v>70</v>
      </c>
      <c r="L714" s="34">
        <v>648969.51</v>
      </c>
      <c r="M714" s="34">
        <v>0</v>
      </c>
      <c r="N714" s="34">
        <v>0</v>
      </c>
      <c r="O714" s="34">
        <v>4064598.51</v>
      </c>
      <c r="P714" s="34" t="s">
        <v>41</v>
      </c>
      <c r="Q714" s="34" t="s">
        <v>42</v>
      </c>
      <c r="R714" s="26"/>
      <c r="S714" s="26"/>
      <c r="T714" s="26" t="s">
        <v>43</v>
      </c>
      <c r="U714" s="26"/>
      <c r="V714" s="26"/>
      <c r="W714" s="26"/>
      <c r="X714" s="26"/>
    </row>
    <row r="715" spans="1:24" s="29" customFormat="1">
      <c r="A715" s="34" t="s">
        <v>31</v>
      </c>
      <c r="B715" s="34" t="s">
        <v>2926</v>
      </c>
      <c r="C715" s="34" t="s">
        <v>2927</v>
      </c>
      <c r="D715" s="34">
        <f t="shared" si="10"/>
        <v>-1</v>
      </c>
      <c r="E715" s="34" t="s">
        <v>34</v>
      </c>
      <c r="F715" s="34" t="s">
        <v>2547</v>
      </c>
      <c r="G715" s="34" t="s">
        <v>2928</v>
      </c>
      <c r="H715" s="34" t="s">
        <v>37</v>
      </c>
      <c r="I715" s="34" t="s">
        <v>38</v>
      </c>
      <c r="J715" s="34" t="s">
        <v>69</v>
      </c>
      <c r="K715" s="34" t="s">
        <v>70</v>
      </c>
      <c r="L715" s="34">
        <v>648969.51</v>
      </c>
      <c r="M715" s="34">
        <v>0</v>
      </c>
      <c r="N715" s="34">
        <v>0</v>
      </c>
      <c r="O715" s="34">
        <v>4064598.51</v>
      </c>
      <c r="P715" s="34" t="s">
        <v>41</v>
      </c>
      <c r="Q715" s="34" t="s">
        <v>42</v>
      </c>
      <c r="R715" s="25"/>
      <c r="S715" s="26"/>
      <c r="T715" s="26" t="s">
        <v>43</v>
      </c>
      <c r="U715" s="26"/>
      <c r="V715" s="26"/>
      <c r="W715" s="26"/>
      <c r="X715" s="26"/>
    </row>
    <row r="716" spans="1:24" s="29" customFormat="1">
      <c r="A716" s="32" t="s">
        <v>31</v>
      </c>
      <c r="B716" s="32" t="s">
        <v>2929</v>
      </c>
      <c r="C716" s="32" t="s">
        <v>2930</v>
      </c>
      <c r="D716" s="32">
        <f t="shared" si="10"/>
        <v>-1</v>
      </c>
      <c r="E716" s="32" t="s">
        <v>34</v>
      </c>
      <c r="F716" s="32" t="s">
        <v>2547</v>
      </c>
      <c r="G716" s="32" t="s">
        <v>2931</v>
      </c>
      <c r="H716" s="32" t="s">
        <v>37</v>
      </c>
      <c r="I716" s="32" t="s">
        <v>38</v>
      </c>
      <c r="J716" s="32" t="s">
        <v>2503</v>
      </c>
      <c r="K716" s="32" t="s">
        <v>2504</v>
      </c>
      <c r="L716" s="32">
        <v>55613.19</v>
      </c>
      <c r="M716" s="32">
        <v>0</v>
      </c>
      <c r="N716" s="32">
        <v>0</v>
      </c>
      <c r="O716" s="32">
        <v>348314.19</v>
      </c>
      <c r="P716" s="32" t="s">
        <v>41</v>
      </c>
      <c r="Q716" s="32" t="s">
        <v>42</v>
      </c>
      <c r="R716" s="26" t="s">
        <v>43</v>
      </c>
      <c r="S716" s="26"/>
      <c r="T716" s="26"/>
      <c r="U716" s="26"/>
      <c r="V716" s="26"/>
      <c r="W716" s="26"/>
      <c r="X716" s="26"/>
    </row>
    <row r="717" spans="1:24" s="29" customFormat="1">
      <c r="A717" s="35" t="s">
        <v>31</v>
      </c>
      <c r="B717" s="35" t="s">
        <v>2932</v>
      </c>
      <c r="C717" s="35" t="s">
        <v>2933</v>
      </c>
      <c r="D717" s="35">
        <f t="shared" ref="D717:D780" si="11">C717-C718</f>
        <v>-1</v>
      </c>
      <c r="E717" s="35" t="s">
        <v>34</v>
      </c>
      <c r="F717" s="35" t="s">
        <v>2547</v>
      </c>
      <c r="G717" s="35" t="s">
        <v>2934</v>
      </c>
      <c r="H717" s="35" t="s">
        <v>37</v>
      </c>
      <c r="I717" s="35" t="s">
        <v>38</v>
      </c>
      <c r="J717" s="35" t="s">
        <v>2935</v>
      </c>
      <c r="K717" s="35" t="s">
        <v>2936</v>
      </c>
      <c r="L717" s="35">
        <v>45125</v>
      </c>
      <c r="M717" s="35">
        <v>0</v>
      </c>
      <c r="N717" s="35">
        <v>0</v>
      </c>
      <c r="O717" s="35">
        <v>282625</v>
      </c>
      <c r="P717" s="35" t="s">
        <v>41</v>
      </c>
      <c r="Q717" s="35" t="s">
        <v>42</v>
      </c>
      <c r="R717" s="26"/>
      <c r="S717" s="26"/>
      <c r="T717" s="26"/>
      <c r="U717" s="26"/>
      <c r="V717" s="26"/>
      <c r="W717" s="35" t="s">
        <v>43</v>
      </c>
      <c r="X717" s="26" t="s">
        <v>1377</v>
      </c>
    </row>
    <row r="718" spans="1:24" s="29" customFormat="1">
      <c r="A718" s="35" t="s">
        <v>31</v>
      </c>
      <c r="B718" s="35" t="s">
        <v>2937</v>
      </c>
      <c r="C718" s="35" t="s">
        <v>2938</v>
      </c>
      <c r="D718" s="35">
        <f t="shared" si="11"/>
        <v>-1</v>
      </c>
      <c r="E718" s="35" t="s">
        <v>34</v>
      </c>
      <c r="F718" s="35" t="s">
        <v>2547</v>
      </c>
      <c r="G718" s="35" t="s">
        <v>2939</v>
      </c>
      <c r="H718" s="35" t="s">
        <v>37</v>
      </c>
      <c r="I718" s="35" t="s">
        <v>38</v>
      </c>
      <c r="J718" s="35" t="s">
        <v>2940</v>
      </c>
      <c r="K718" s="35" t="s">
        <v>2941</v>
      </c>
      <c r="L718" s="35">
        <v>58738.5</v>
      </c>
      <c r="M718" s="35">
        <v>0</v>
      </c>
      <c r="N718" s="35">
        <v>0</v>
      </c>
      <c r="O718" s="35">
        <v>367888.5</v>
      </c>
      <c r="P718" s="35" t="s">
        <v>41</v>
      </c>
      <c r="Q718" s="35" t="s">
        <v>42</v>
      </c>
      <c r="R718" s="26"/>
      <c r="S718" s="26"/>
      <c r="T718" s="26"/>
      <c r="U718" s="26"/>
      <c r="V718" s="26"/>
      <c r="W718" s="35" t="s">
        <v>43</v>
      </c>
      <c r="X718" s="26" t="s">
        <v>1259</v>
      </c>
    </row>
    <row r="719" spans="1:24" s="29" customFormat="1">
      <c r="A719" s="26" t="s">
        <v>31</v>
      </c>
      <c r="B719" s="26" t="s">
        <v>2942</v>
      </c>
      <c r="C719" s="26" t="s">
        <v>2943</v>
      </c>
      <c r="D719" s="26">
        <f t="shared" si="11"/>
        <v>-1</v>
      </c>
      <c r="E719" s="26" t="s">
        <v>34</v>
      </c>
      <c r="F719" s="26" t="s">
        <v>2547</v>
      </c>
      <c r="G719" s="26" t="s">
        <v>2944</v>
      </c>
      <c r="H719" s="26" t="s">
        <v>37</v>
      </c>
      <c r="I719" s="26" t="s">
        <v>38</v>
      </c>
      <c r="J719" s="26" t="s">
        <v>830</v>
      </c>
      <c r="K719" s="26" t="s">
        <v>831</v>
      </c>
      <c r="L719" s="26">
        <v>171570</v>
      </c>
      <c r="M719" s="26">
        <v>0</v>
      </c>
      <c r="N719" s="26">
        <v>0</v>
      </c>
      <c r="O719" s="26">
        <v>1074570</v>
      </c>
      <c r="P719" s="26" t="s">
        <v>41</v>
      </c>
      <c r="Q719" s="26" t="s">
        <v>42</v>
      </c>
      <c r="R719" s="26"/>
      <c r="S719" s="26"/>
      <c r="T719" s="26"/>
      <c r="U719" s="26"/>
      <c r="V719" s="26" t="s">
        <v>43</v>
      </c>
      <c r="W719" s="26"/>
      <c r="X719" s="26"/>
    </row>
    <row r="720" spans="1:24" s="29" customFormat="1">
      <c r="A720" s="26" t="s">
        <v>31</v>
      </c>
      <c r="B720" s="26" t="s">
        <v>2945</v>
      </c>
      <c r="C720" s="26" t="s">
        <v>2946</v>
      </c>
      <c r="D720" s="26">
        <f t="shared" si="11"/>
        <v>-1</v>
      </c>
      <c r="E720" s="26" t="s">
        <v>34</v>
      </c>
      <c r="F720" s="26" t="s">
        <v>2547</v>
      </c>
      <c r="G720" s="26" t="s">
        <v>2947</v>
      </c>
      <c r="H720" s="26" t="s">
        <v>37</v>
      </c>
      <c r="I720" s="26" t="s">
        <v>38</v>
      </c>
      <c r="J720" s="26" t="s">
        <v>2948</v>
      </c>
      <c r="K720" s="26" t="s">
        <v>2949</v>
      </c>
      <c r="L720" s="26">
        <v>147986.82</v>
      </c>
      <c r="M720" s="26">
        <v>0</v>
      </c>
      <c r="N720" s="26">
        <v>0</v>
      </c>
      <c r="O720" s="26">
        <v>926864.82</v>
      </c>
      <c r="P720" s="26" t="s">
        <v>41</v>
      </c>
      <c r="Q720" s="26" t="s">
        <v>42</v>
      </c>
      <c r="R720" s="26"/>
      <c r="S720" s="26"/>
      <c r="T720" s="26"/>
      <c r="U720" s="26"/>
      <c r="V720" s="26" t="s">
        <v>43</v>
      </c>
      <c r="W720" s="26"/>
      <c r="X720" s="26"/>
    </row>
    <row r="721" spans="1:24" s="29" customFormat="1">
      <c r="A721" s="32" t="s">
        <v>31</v>
      </c>
      <c r="B721" s="32" t="s">
        <v>2950</v>
      </c>
      <c r="C721" s="32" t="s">
        <v>2951</v>
      </c>
      <c r="D721" s="32">
        <f t="shared" si="11"/>
        <v>-1</v>
      </c>
      <c r="E721" s="32" t="s">
        <v>34</v>
      </c>
      <c r="F721" s="32" t="s">
        <v>2547</v>
      </c>
      <c r="G721" s="32" t="s">
        <v>2952</v>
      </c>
      <c r="H721" s="32" t="s">
        <v>37</v>
      </c>
      <c r="I721" s="32" t="s">
        <v>38</v>
      </c>
      <c r="J721" s="32" t="s">
        <v>194</v>
      </c>
      <c r="K721" s="32" t="s">
        <v>195</v>
      </c>
      <c r="L721" s="32">
        <v>1463988</v>
      </c>
      <c r="M721" s="32">
        <v>0</v>
      </c>
      <c r="N721" s="32">
        <v>0</v>
      </c>
      <c r="O721" s="32">
        <v>11165485</v>
      </c>
      <c r="P721" s="32" t="s">
        <v>41</v>
      </c>
      <c r="Q721" s="32" t="s">
        <v>42</v>
      </c>
      <c r="R721" s="26" t="s">
        <v>43</v>
      </c>
      <c r="S721" s="26"/>
      <c r="T721" s="26"/>
      <c r="U721" s="26"/>
      <c r="V721" s="26"/>
      <c r="W721" s="26"/>
      <c r="X721" s="26"/>
    </row>
    <row r="722" spans="1:24" s="29" customFormat="1">
      <c r="A722" s="33" t="s">
        <v>31</v>
      </c>
      <c r="B722" s="33" t="s">
        <v>2953</v>
      </c>
      <c r="C722" s="33" t="s">
        <v>2954</v>
      </c>
      <c r="D722" s="33">
        <f t="shared" si="11"/>
        <v>-1</v>
      </c>
      <c r="E722" s="33" t="s">
        <v>34</v>
      </c>
      <c r="F722" s="33" t="s">
        <v>2547</v>
      </c>
      <c r="G722" s="33" t="s">
        <v>2955</v>
      </c>
      <c r="H722" s="33" t="s">
        <v>37</v>
      </c>
      <c r="I722" s="33" t="s">
        <v>38</v>
      </c>
      <c r="J722" s="33" t="s">
        <v>2055</v>
      </c>
      <c r="K722" s="33" t="s">
        <v>2056</v>
      </c>
      <c r="L722" s="33">
        <v>289104</v>
      </c>
      <c r="M722" s="33">
        <v>0</v>
      </c>
      <c r="N722" s="33">
        <v>0</v>
      </c>
      <c r="O722" s="33">
        <v>1810704</v>
      </c>
      <c r="P722" s="33" t="s">
        <v>41</v>
      </c>
      <c r="Q722" s="33" t="s">
        <v>42</v>
      </c>
      <c r="R722" s="26"/>
      <c r="S722" s="26" t="s">
        <v>43</v>
      </c>
      <c r="T722" s="26"/>
      <c r="U722" s="26"/>
      <c r="V722" s="26"/>
      <c r="W722" s="26"/>
      <c r="X722" s="26"/>
    </row>
    <row r="723" spans="1:24" s="29" customFormat="1">
      <c r="A723" s="26" t="s">
        <v>31</v>
      </c>
      <c r="B723" s="26" t="s">
        <v>2956</v>
      </c>
      <c r="C723" s="26" t="s">
        <v>2957</v>
      </c>
      <c r="D723" s="26">
        <f t="shared" si="11"/>
        <v>-1</v>
      </c>
      <c r="E723" s="26" t="s">
        <v>34</v>
      </c>
      <c r="F723" s="26" t="s">
        <v>2547</v>
      </c>
      <c r="G723" s="26" t="s">
        <v>2958</v>
      </c>
      <c r="H723" s="26" t="s">
        <v>37</v>
      </c>
      <c r="I723" s="26" t="s">
        <v>38</v>
      </c>
      <c r="J723" s="26" t="s">
        <v>2959</v>
      </c>
      <c r="K723" s="26" t="s">
        <v>2960</v>
      </c>
      <c r="L723" s="26">
        <v>540177.6</v>
      </c>
      <c r="M723" s="26">
        <v>0</v>
      </c>
      <c r="N723" s="26">
        <v>0</v>
      </c>
      <c r="O723" s="26">
        <v>3383217.6</v>
      </c>
      <c r="P723" s="26" t="s">
        <v>41</v>
      </c>
      <c r="Q723" s="26" t="s">
        <v>42</v>
      </c>
      <c r="R723" s="26"/>
      <c r="S723" s="26"/>
      <c r="T723" s="26"/>
      <c r="U723" s="26"/>
      <c r="V723" s="26" t="s">
        <v>43</v>
      </c>
      <c r="W723" s="26"/>
      <c r="X723" s="26"/>
    </row>
    <row r="724" spans="1:24" s="29" customFormat="1">
      <c r="A724" s="32" t="s">
        <v>31</v>
      </c>
      <c r="B724" s="32" t="s">
        <v>2961</v>
      </c>
      <c r="C724" s="32" t="s">
        <v>2962</v>
      </c>
      <c r="D724" s="32">
        <f t="shared" si="11"/>
        <v>-1</v>
      </c>
      <c r="E724" s="32" t="s">
        <v>34</v>
      </c>
      <c r="F724" s="32" t="s">
        <v>2547</v>
      </c>
      <c r="G724" s="32" t="s">
        <v>2963</v>
      </c>
      <c r="H724" s="32" t="s">
        <v>37</v>
      </c>
      <c r="I724" s="32" t="s">
        <v>38</v>
      </c>
      <c r="J724" s="32" t="s">
        <v>621</v>
      </c>
      <c r="K724" s="32" t="s">
        <v>622</v>
      </c>
      <c r="L724" s="32">
        <v>22245</v>
      </c>
      <c r="M724" s="32">
        <v>0</v>
      </c>
      <c r="N724" s="32">
        <v>0</v>
      </c>
      <c r="O724" s="32">
        <v>252945</v>
      </c>
      <c r="P724" s="32" t="s">
        <v>41</v>
      </c>
      <c r="Q724" s="32" t="s">
        <v>42</v>
      </c>
      <c r="R724" s="26" t="s">
        <v>43</v>
      </c>
      <c r="S724" s="26"/>
      <c r="T724" s="26"/>
      <c r="U724" s="26"/>
      <c r="V724" s="26"/>
      <c r="W724" s="26"/>
      <c r="X724" s="26"/>
    </row>
    <row r="725" spans="1:24" s="29" customFormat="1">
      <c r="A725" s="34" t="s">
        <v>31</v>
      </c>
      <c r="B725" s="34" t="s">
        <v>2964</v>
      </c>
      <c r="C725" s="34" t="s">
        <v>2965</v>
      </c>
      <c r="D725" s="34">
        <f t="shared" si="11"/>
        <v>-1</v>
      </c>
      <c r="E725" s="34" t="s">
        <v>34</v>
      </c>
      <c r="F725" s="34" t="s">
        <v>2547</v>
      </c>
      <c r="G725" s="34" t="s">
        <v>2966</v>
      </c>
      <c r="H725" s="34" t="s">
        <v>37</v>
      </c>
      <c r="I725" s="34" t="s">
        <v>38</v>
      </c>
      <c r="J725" s="34" t="s">
        <v>69</v>
      </c>
      <c r="K725" s="34" t="s">
        <v>70</v>
      </c>
      <c r="L725" s="34">
        <v>72267.83</v>
      </c>
      <c r="M725" s="34">
        <v>0</v>
      </c>
      <c r="N725" s="34">
        <v>0</v>
      </c>
      <c r="O725" s="34">
        <v>452624.83</v>
      </c>
      <c r="P725" s="34" t="s">
        <v>41</v>
      </c>
      <c r="Q725" s="34" t="s">
        <v>42</v>
      </c>
      <c r="R725" s="26"/>
      <c r="S725" s="26"/>
      <c r="T725" s="26" t="s">
        <v>43</v>
      </c>
      <c r="U725" s="26"/>
      <c r="V725" s="26"/>
      <c r="W725" s="26"/>
      <c r="X725" s="26"/>
    </row>
    <row r="726" spans="1:24" s="29" customFormat="1">
      <c r="A726" s="26" t="s">
        <v>31</v>
      </c>
      <c r="B726" s="26" t="s">
        <v>2967</v>
      </c>
      <c r="C726" s="26" t="s">
        <v>2968</v>
      </c>
      <c r="D726" s="26">
        <f t="shared" si="11"/>
        <v>-1</v>
      </c>
      <c r="E726" s="26" t="s">
        <v>34</v>
      </c>
      <c r="F726" s="26" t="s">
        <v>2547</v>
      </c>
      <c r="G726" s="26" t="s">
        <v>2969</v>
      </c>
      <c r="H726" s="26" t="s">
        <v>37</v>
      </c>
      <c r="I726" s="26" t="s">
        <v>38</v>
      </c>
      <c r="J726" s="26" t="s">
        <v>2970</v>
      </c>
      <c r="K726" s="26" t="s">
        <v>2971</v>
      </c>
      <c r="L726" s="26">
        <v>203466.06</v>
      </c>
      <c r="M726" s="26">
        <v>0</v>
      </c>
      <c r="N726" s="26">
        <v>0</v>
      </c>
      <c r="O726" s="26">
        <v>1274340.06</v>
      </c>
      <c r="P726" s="26" t="s">
        <v>41</v>
      </c>
      <c r="Q726" s="26" t="s">
        <v>42</v>
      </c>
      <c r="R726" s="26"/>
      <c r="S726" s="26"/>
      <c r="T726" s="26"/>
      <c r="U726" s="26"/>
      <c r="V726" s="26" t="s">
        <v>43</v>
      </c>
      <c r="W726" s="26"/>
      <c r="X726" s="26"/>
    </row>
    <row r="727" spans="1:24" s="29" customFormat="1">
      <c r="A727" s="32" t="s">
        <v>31</v>
      </c>
      <c r="B727" s="32" t="s">
        <v>2972</v>
      </c>
      <c r="C727" s="32" t="s">
        <v>2973</v>
      </c>
      <c r="D727" s="32">
        <f t="shared" si="11"/>
        <v>-1</v>
      </c>
      <c r="E727" s="32" t="s">
        <v>34</v>
      </c>
      <c r="F727" s="32" t="s">
        <v>2547</v>
      </c>
      <c r="G727" s="32" t="s">
        <v>2974</v>
      </c>
      <c r="H727" s="32" t="s">
        <v>37</v>
      </c>
      <c r="I727" s="32" t="s">
        <v>38</v>
      </c>
      <c r="J727" s="32" t="s">
        <v>1223</v>
      </c>
      <c r="K727" s="32" t="s">
        <v>1224</v>
      </c>
      <c r="L727" s="32">
        <v>66500</v>
      </c>
      <c r="M727" s="32">
        <v>0</v>
      </c>
      <c r="N727" s="32">
        <v>0</v>
      </c>
      <c r="O727" s="32">
        <v>416500</v>
      </c>
      <c r="P727" s="32" t="s">
        <v>41</v>
      </c>
      <c r="Q727" s="32" t="s">
        <v>42</v>
      </c>
      <c r="R727" s="26" t="s">
        <v>43</v>
      </c>
      <c r="S727" s="26"/>
      <c r="T727" s="26"/>
      <c r="U727" s="26"/>
      <c r="V727" s="26"/>
      <c r="W727" s="26"/>
      <c r="X727" s="26"/>
    </row>
    <row r="728" spans="1:24" s="29" customFormat="1">
      <c r="A728" s="34" t="s">
        <v>31</v>
      </c>
      <c r="B728" s="34" t="s">
        <v>2975</v>
      </c>
      <c r="C728" s="34" t="s">
        <v>2976</v>
      </c>
      <c r="D728" s="34">
        <f t="shared" si="11"/>
        <v>-1</v>
      </c>
      <c r="E728" s="34" t="s">
        <v>34</v>
      </c>
      <c r="F728" s="34" t="s">
        <v>2547</v>
      </c>
      <c r="G728" s="34" t="s">
        <v>2977</v>
      </c>
      <c r="H728" s="34" t="s">
        <v>37</v>
      </c>
      <c r="I728" s="34" t="s">
        <v>38</v>
      </c>
      <c r="J728" s="34" t="s">
        <v>707</v>
      </c>
      <c r="K728" s="34" t="s">
        <v>708</v>
      </c>
      <c r="L728" s="34">
        <v>842650</v>
      </c>
      <c r="M728" s="34">
        <v>0</v>
      </c>
      <c r="N728" s="34">
        <v>0</v>
      </c>
      <c r="O728" s="34">
        <v>5277650</v>
      </c>
      <c r="P728" s="34" t="s">
        <v>41</v>
      </c>
      <c r="Q728" s="34" t="s">
        <v>42</v>
      </c>
      <c r="R728" s="26"/>
      <c r="S728" s="26"/>
      <c r="T728" s="26" t="s">
        <v>43</v>
      </c>
      <c r="U728" s="26"/>
      <c r="V728" s="26"/>
      <c r="W728" s="26"/>
      <c r="X728" s="26"/>
    </row>
    <row r="729" spans="1:24" s="29" customFormat="1">
      <c r="A729" s="26" t="s">
        <v>31</v>
      </c>
      <c r="B729" s="26" t="s">
        <v>2978</v>
      </c>
      <c r="C729" s="26" t="s">
        <v>2979</v>
      </c>
      <c r="D729" s="26">
        <f t="shared" si="11"/>
        <v>-1</v>
      </c>
      <c r="E729" s="26" t="s">
        <v>34</v>
      </c>
      <c r="F729" s="26" t="s">
        <v>2547</v>
      </c>
      <c r="G729" s="26" t="s">
        <v>2980</v>
      </c>
      <c r="H729" s="26" t="s">
        <v>37</v>
      </c>
      <c r="I729" s="26" t="s">
        <v>38</v>
      </c>
      <c r="J729" s="26" t="s">
        <v>2247</v>
      </c>
      <c r="K729" s="26" t="s">
        <v>2248</v>
      </c>
      <c r="L729" s="26">
        <v>710980</v>
      </c>
      <c r="M729" s="26">
        <v>0</v>
      </c>
      <c r="N729" s="26">
        <v>0</v>
      </c>
      <c r="O729" s="26">
        <v>4452980</v>
      </c>
      <c r="P729" s="26" t="s">
        <v>41</v>
      </c>
      <c r="Q729" s="26" t="s">
        <v>42</v>
      </c>
      <c r="R729" s="26"/>
      <c r="S729" s="26"/>
      <c r="T729" s="26"/>
      <c r="U729" s="26"/>
      <c r="V729" s="26" t="s">
        <v>43</v>
      </c>
      <c r="W729" s="26"/>
      <c r="X729" s="26"/>
    </row>
    <row r="730" spans="1:24" s="29" customFormat="1">
      <c r="A730" s="35" t="s">
        <v>31</v>
      </c>
      <c r="B730" s="35" t="s">
        <v>2981</v>
      </c>
      <c r="C730" s="35" t="s">
        <v>2982</v>
      </c>
      <c r="D730" s="35">
        <f t="shared" si="11"/>
        <v>-1</v>
      </c>
      <c r="E730" s="35" t="s">
        <v>34</v>
      </c>
      <c r="F730" s="35" t="s">
        <v>2547</v>
      </c>
      <c r="G730" s="35" t="s">
        <v>2983</v>
      </c>
      <c r="H730" s="35" t="s">
        <v>37</v>
      </c>
      <c r="I730" s="35" t="s">
        <v>38</v>
      </c>
      <c r="J730" s="35" t="s">
        <v>2984</v>
      </c>
      <c r="K730" s="35" t="s">
        <v>2985</v>
      </c>
      <c r="L730" s="35">
        <v>542260</v>
      </c>
      <c r="M730" s="35">
        <v>0</v>
      </c>
      <c r="N730" s="35">
        <v>0</v>
      </c>
      <c r="O730" s="35">
        <v>3396260</v>
      </c>
      <c r="P730" s="35" t="s">
        <v>41</v>
      </c>
      <c r="Q730" s="35" t="s">
        <v>42</v>
      </c>
      <c r="R730" s="26"/>
      <c r="S730" s="26"/>
      <c r="T730" s="26"/>
      <c r="U730" s="26"/>
      <c r="V730" s="26"/>
      <c r="W730" s="35" t="s">
        <v>43</v>
      </c>
      <c r="X730" s="26" t="s">
        <v>898</v>
      </c>
    </row>
    <row r="731" spans="1:24" s="29" customFormat="1">
      <c r="A731" s="34" t="s">
        <v>31</v>
      </c>
      <c r="B731" s="34" t="s">
        <v>2986</v>
      </c>
      <c r="C731" s="34" t="s">
        <v>2987</v>
      </c>
      <c r="D731" s="34">
        <f t="shared" si="11"/>
        <v>-1</v>
      </c>
      <c r="E731" s="34" t="s">
        <v>34</v>
      </c>
      <c r="F731" s="34" t="s">
        <v>2547</v>
      </c>
      <c r="G731" s="34" t="s">
        <v>2988</v>
      </c>
      <c r="H731" s="34" t="s">
        <v>37</v>
      </c>
      <c r="I731" s="34" t="s">
        <v>38</v>
      </c>
      <c r="J731" s="34" t="s">
        <v>2989</v>
      </c>
      <c r="K731" s="34" t="s">
        <v>2990</v>
      </c>
      <c r="L731" s="34">
        <v>76760</v>
      </c>
      <c r="M731" s="34">
        <v>0</v>
      </c>
      <c r="N731" s="34">
        <v>0</v>
      </c>
      <c r="O731" s="34">
        <v>480760</v>
      </c>
      <c r="P731" s="34" t="s">
        <v>41</v>
      </c>
      <c r="Q731" s="34" t="s">
        <v>42</v>
      </c>
      <c r="R731" s="26"/>
      <c r="S731" s="26"/>
      <c r="T731" s="26" t="s">
        <v>43</v>
      </c>
      <c r="U731" s="26"/>
      <c r="V731" s="26"/>
      <c r="W731" s="26"/>
      <c r="X731" s="26"/>
    </row>
    <row r="732" spans="1:24" s="29" customFormat="1">
      <c r="A732" s="32" t="s">
        <v>31</v>
      </c>
      <c r="B732" s="32" t="s">
        <v>2991</v>
      </c>
      <c r="C732" s="32" t="s">
        <v>2992</v>
      </c>
      <c r="D732" s="32">
        <f t="shared" si="11"/>
        <v>-1</v>
      </c>
      <c r="E732" s="32" t="s">
        <v>34</v>
      </c>
      <c r="F732" s="32" t="s">
        <v>2993</v>
      </c>
      <c r="G732" s="32" t="s">
        <v>2994</v>
      </c>
      <c r="H732" s="32" t="s">
        <v>37</v>
      </c>
      <c r="I732" s="32" t="s">
        <v>38</v>
      </c>
      <c r="J732" s="32" t="s">
        <v>322</v>
      </c>
      <c r="K732" s="32" t="s">
        <v>323</v>
      </c>
      <c r="L732" s="32">
        <v>2048200</v>
      </c>
      <c r="M732" s="32">
        <v>0</v>
      </c>
      <c r="N732" s="32">
        <v>0</v>
      </c>
      <c r="O732" s="32">
        <v>12828200</v>
      </c>
      <c r="P732" s="32" t="s">
        <v>41</v>
      </c>
      <c r="Q732" s="32" t="s">
        <v>42</v>
      </c>
      <c r="R732" s="26" t="s">
        <v>43</v>
      </c>
      <c r="S732" s="26"/>
      <c r="T732" s="26"/>
      <c r="U732" s="26"/>
      <c r="V732" s="26"/>
      <c r="W732" s="26"/>
      <c r="X732" s="26"/>
    </row>
    <row r="733" spans="1:24" s="29" customFormat="1">
      <c r="A733" s="32" t="s">
        <v>31</v>
      </c>
      <c r="B733" s="32" t="s">
        <v>2995</v>
      </c>
      <c r="C733" s="32" t="s">
        <v>2996</v>
      </c>
      <c r="D733" s="32">
        <f t="shared" si="11"/>
        <v>-1</v>
      </c>
      <c r="E733" s="32" t="s">
        <v>34</v>
      </c>
      <c r="F733" s="32" t="s">
        <v>2993</v>
      </c>
      <c r="G733" s="32" t="s">
        <v>2997</v>
      </c>
      <c r="H733" s="32" t="s">
        <v>37</v>
      </c>
      <c r="I733" s="32" t="s">
        <v>38</v>
      </c>
      <c r="J733" s="32" t="s">
        <v>2998</v>
      </c>
      <c r="K733" s="32" t="s">
        <v>2999</v>
      </c>
      <c r="L733" s="32">
        <v>1746537</v>
      </c>
      <c r="M733" s="32">
        <v>0</v>
      </c>
      <c r="N733" s="32">
        <v>0</v>
      </c>
      <c r="O733" s="32">
        <v>10938837</v>
      </c>
      <c r="P733" s="32" t="s">
        <v>41</v>
      </c>
      <c r="Q733" s="32" t="s">
        <v>42</v>
      </c>
      <c r="R733" s="26" t="s">
        <v>43</v>
      </c>
      <c r="S733" s="26"/>
      <c r="T733" s="26"/>
      <c r="U733" s="26"/>
      <c r="V733" s="26"/>
      <c r="W733" s="26"/>
      <c r="X733" s="26"/>
    </row>
    <row r="734" spans="1:24" s="29" customFormat="1">
      <c r="A734" s="34" t="s">
        <v>31</v>
      </c>
      <c r="B734" s="34" t="s">
        <v>3000</v>
      </c>
      <c r="C734" s="34" t="s">
        <v>3001</v>
      </c>
      <c r="D734" s="34">
        <f t="shared" si="11"/>
        <v>-1</v>
      </c>
      <c r="E734" s="34" t="s">
        <v>34</v>
      </c>
      <c r="F734" s="34" t="s">
        <v>2993</v>
      </c>
      <c r="G734" s="34" t="s">
        <v>3002</v>
      </c>
      <c r="H734" s="34" t="s">
        <v>37</v>
      </c>
      <c r="I734" s="34" t="s">
        <v>38</v>
      </c>
      <c r="J734" s="34" t="s">
        <v>600</v>
      </c>
      <c r="K734" s="34" t="s">
        <v>601</v>
      </c>
      <c r="L734" s="34">
        <v>45923</v>
      </c>
      <c r="M734" s="34">
        <v>0</v>
      </c>
      <c r="N734" s="34">
        <v>0</v>
      </c>
      <c r="O734" s="34">
        <v>287623</v>
      </c>
      <c r="P734" s="34" t="s">
        <v>41</v>
      </c>
      <c r="Q734" s="34" t="s">
        <v>42</v>
      </c>
      <c r="R734" s="26"/>
      <c r="S734" s="26"/>
      <c r="T734" s="26" t="s">
        <v>43</v>
      </c>
      <c r="U734" s="26"/>
      <c r="V734" s="26"/>
      <c r="W734" s="26"/>
      <c r="X734" s="26"/>
    </row>
    <row r="735" spans="1:24" s="29" customFormat="1">
      <c r="A735" s="26" t="s">
        <v>31</v>
      </c>
      <c r="B735" s="26" t="s">
        <v>3003</v>
      </c>
      <c r="C735" s="26" t="s">
        <v>3004</v>
      </c>
      <c r="D735" s="26">
        <f t="shared" si="11"/>
        <v>-1</v>
      </c>
      <c r="E735" s="26" t="s">
        <v>34</v>
      </c>
      <c r="F735" s="26" t="s">
        <v>2993</v>
      </c>
      <c r="G735" s="26" t="s">
        <v>3005</v>
      </c>
      <c r="H735" s="26" t="s">
        <v>37</v>
      </c>
      <c r="I735" s="26" t="s">
        <v>38</v>
      </c>
      <c r="J735" s="26" t="s">
        <v>2344</v>
      </c>
      <c r="K735" s="26" t="s">
        <v>2345</v>
      </c>
      <c r="L735" s="26">
        <v>181205</v>
      </c>
      <c r="M735" s="26">
        <v>0</v>
      </c>
      <c r="N735" s="26">
        <v>0</v>
      </c>
      <c r="O735" s="26">
        <v>1943305</v>
      </c>
      <c r="P735" s="26" t="s">
        <v>41</v>
      </c>
      <c r="Q735" s="26" t="s">
        <v>42</v>
      </c>
      <c r="R735" s="26"/>
      <c r="S735" s="26"/>
      <c r="T735" s="26"/>
      <c r="U735" s="26"/>
      <c r="V735" s="26" t="s">
        <v>43</v>
      </c>
      <c r="W735" s="26"/>
      <c r="X735" s="26"/>
    </row>
    <row r="736" spans="1:24" s="29" customFormat="1">
      <c r="A736" s="26" t="s">
        <v>31</v>
      </c>
      <c r="B736" s="26" t="s">
        <v>3006</v>
      </c>
      <c r="C736" s="26" t="s">
        <v>3007</v>
      </c>
      <c r="D736" s="26">
        <f t="shared" si="11"/>
        <v>-1</v>
      </c>
      <c r="E736" s="26" t="s">
        <v>34</v>
      </c>
      <c r="F736" s="26" t="s">
        <v>2993</v>
      </c>
      <c r="G736" s="26" t="s">
        <v>3008</v>
      </c>
      <c r="H736" s="26" t="s">
        <v>37</v>
      </c>
      <c r="I736" s="26" t="s">
        <v>38</v>
      </c>
      <c r="J736" s="26" t="s">
        <v>3009</v>
      </c>
      <c r="K736" s="26" t="s">
        <v>3010</v>
      </c>
      <c r="L736" s="26">
        <v>91437.5</v>
      </c>
      <c r="M736" s="26">
        <v>0</v>
      </c>
      <c r="N736" s="26">
        <v>0</v>
      </c>
      <c r="O736" s="26">
        <v>572687.5</v>
      </c>
      <c r="P736" s="26" t="s">
        <v>41</v>
      </c>
      <c r="Q736" s="26" t="s">
        <v>42</v>
      </c>
      <c r="R736" s="26"/>
      <c r="S736" s="26"/>
      <c r="T736" s="26"/>
      <c r="U736" s="26"/>
      <c r="V736" s="26" t="s">
        <v>43</v>
      </c>
      <c r="W736" s="26"/>
      <c r="X736" s="26"/>
    </row>
    <row r="737" spans="1:24" s="29" customFormat="1">
      <c r="A737" s="32" t="s">
        <v>31</v>
      </c>
      <c r="B737" s="32" t="s">
        <v>3011</v>
      </c>
      <c r="C737" s="32" t="s">
        <v>3012</v>
      </c>
      <c r="D737" s="32">
        <f t="shared" si="11"/>
        <v>-1</v>
      </c>
      <c r="E737" s="32" t="s">
        <v>34</v>
      </c>
      <c r="F737" s="32" t="s">
        <v>2993</v>
      </c>
      <c r="G737" s="32" t="s">
        <v>3013</v>
      </c>
      <c r="H737" s="32" t="s">
        <v>37</v>
      </c>
      <c r="I737" s="32" t="s">
        <v>38</v>
      </c>
      <c r="J737" s="32" t="s">
        <v>2336</v>
      </c>
      <c r="K737" s="32" t="s">
        <v>2337</v>
      </c>
      <c r="L737" s="32">
        <v>811436.7</v>
      </c>
      <c r="M737" s="32">
        <v>0</v>
      </c>
      <c r="N737" s="32">
        <v>0</v>
      </c>
      <c r="O737" s="32">
        <v>7856366.7000000002</v>
      </c>
      <c r="P737" s="32" t="s">
        <v>41</v>
      </c>
      <c r="Q737" s="32" t="s">
        <v>42</v>
      </c>
      <c r="R737" s="26" t="s">
        <v>43</v>
      </c>
      <c r="S737" s="26"/>
      <c r="T737" s="26"/>
      <c r="U737" s="26"/>
      <c r="V737" s="26"/>
      <c r="W737" s="26"/>
      <c r="X737" s="26"/>
    </row>
    <row r="738" spans="1:24" s="29" customFormat="1">
      <c r="A738" s="32" t="s">
        <v>31</v>
      </c>
      <c r="B738" s="32" t="s">
        <v>3014</v>
      </c>
      <c r="C738" s="32" t="s">
        <v>3015</v>
      </c>
      <c r="D738" s="32">
        <f t="shared" si="11"/>
        <v>-1</v>
      </c>
      <c r="E738" s="32" t="s">
        <v>34</v>
      </c>
      <c r="F738" s="32" t="s">
        <v>2993</v>
      </c>
      <c r="G738" s="32" t="s">
        <v>3016</v>
      </c>
      <c r="H738" s="32" t="s">
        <v>37</v>
      </c>
      <c r="I738" s="32" t="s">
        <v>38</v>
      </c>
      <c r="J738" s="32" t="s">
        <v>581</v>
      </c>
      <c r="K738" s="32" t="s">
        <v>582</v>
      </c>
      <c r="L738" s="32">
        <v>38218.5</v>
      </c>
      <c r="M738" s="32">
        <v>0</v>
      </c>
      <c r="N738" s="32">
        <v>0</v>
      </c>
      <c r="O738" s="32">
        <v>239368.5</v>
      </c>
      <c r="P738" s="32" t="s">
        <v>41</v>
      </c>
      <c r="Q738" s="32" t="s">
        <v>42</v>
      </c>
      <c r="R738" s="26" t="s">
        <v>43</v>
      </c>
      <c r="S738" s="26"/>
      <c r="T738" s="26"/>
      <c r="U738" s="26"/>
      <c r="V738" s="26"/>
      <c r="W738" s="26"/>
      <c r="X738" s="26"/>
    </row>
    <row r="739" spans="1:24" s="29" customFormat="1">
      <c r="A739" s="26" t="s">
        <v>31</v>
      </c>
      <c r="B739" s="26" t="s">
        <v>3017</v>
      </c>
      <c r="C739" s="26" t="s">
        <v>3018</v>
      </c>
      <c r="D739" s="26">
        <f t="shared" si="11"/>
        <v>-1</v>
      </c>
      <c r="E739" s="26" t="s">
        <v>34</v>
      </c>
      <c r="F739" s="26" t="s">
        <v>2993</v>
      </c>
      <c r="G739" s="26" t="s">
        <v>3019</v>
      </c>
      <c r="H739" s="26" t="s">
        <v>37</v>
      </c>
      <c r="I739" s="26" t="s">
        <v>38</v>
      </c>
      <c r="J739" s="26" t="s">
        <v>1014</v>
      </c>
      <c r="K739" s="26" t="s">
        <v>1015</v>
      </c>
      <c r="L739" s="26">
        <v>75976.25</v>
      </c>
      <c r="M739" s="26">
        <v>0</v>
      </c>
      <c r="N739" s="26">
        <v>0</v>
      </c>
      <c r="O739" s="26">
        <v>475851.25</v>
      </c>
      <c r="P739" s="26" t="s">
        <v>41</v>
      </c>
      <c r="Q739" s="26" t="s">
        <v>42</v>
      </c>
      <c r="R739" s="26"/>
      <c r="S739" s="26"/>
      <c r="T739" s="26"/>
      <c r="U739" s="26"/>
      <c r="V739" s="26" t="s">
        <v>43</v>
      </c>
      <c r="W739" s="26"/>
      <c r="X739" s="26"/>
    </row>
    <row r="740" spans="1:24" s="29" customFormat="1">
      <c r="A740" s="35" t="s">
        <v>31</v>
      </c>
      <c r="B740" s="35" t="s">
        <v>3020</v>
      </c>
      <c r="C740" s="35" t="s">
        <v>3021</v>
      </c>
      <c r="D740" s="35">
        <f t="shared" si="11"/>
        <v>-1</v>
      </c>
      <c r="E740" s="35" t="s">
        <v>34</v>
      </c>
      <c r="F740" s="35" t="s">
        <v>2993</v>
      </c>
      <c r="G740" s="35" t="s">
        <v>3022</v>
      </c>
      <c r="H740" s="35" t="s">
        <v>37</v>
      </c>
      <c r="I740" s="35" t="s">
        <v>38</v>
      </c>
      <c r="J740" s="35" t="s">
        <v>3023</v>
      </c>
      <c r="K740" s="35" t="s">
        <v>3024</v>
      </c>
      <c r="L740" s="35">
        <v>293174.56</v>
      </c>
      <c r="M740" s="35">
        <v>0</v>
      </c>
      <c r="N740" s="35">
        <v>0</v>
      </c>
      <c r="O740" s="35">
        <v>1836198.56</v>
      </c>
      <c r="P740" s="35" t="s">
        <v>41</v>
      </c>
      <c r="Q740" s="35" t="s">
        <v>42</v>
      </c>
      <c r="R740" s="26"/>
      <c r="S740" s="26"/>
      <c r="T740" s="26"/>
      <c r="U740" s="26"/>
      <c r="V740" s="26"/>
      <c r="W740" s="35" t="s">
        <v>43</v>
      </c>
      <c r="X740" s="26" t="s">
        <v>647</v>
      </c>
    </row>
    <row r="741" spans="1:24" s="29" customFormat="1">
      <c r="A741" s="34" t="s">
        <v>31</v>
      </c>
      <c r="B741" s="34" t="s">
        <v>3025</v>
      </c>
      <c r="C741" s="34" t="s">
        <v>3026</v>
      </c>
      <c r="D741" s="34">
        <f t="shared" si="11"/>
        <v>-1</v>
      </c>
      <c r="E741" s="34" t="s">
        <v>34</v>
      </c>
      <c r="F741" s="34" t="s">
        <v>2993</v>
      </c>
      <c r="G741" s="34" t="s">
        <v>3027</v>
      </c>
      <c r="H741" s="34" t="s">
        <v>37</v>
      </c>
      <c r="I741" s="34" t="s">
        <v>38</v>
      </c>
      <c r="J741" s="34" t="s">
        <v>1004</v>
      </c>
      <c r="K741" s="34" t="s">
        <v>1005</v>
      </c>
      <c r="L741" s="34">
        <v>18657.810000000001</v>
      </c>
      <c r="M741" s="34">
        <v>0</v>
      </c>
      <c r="N741" s="34">
        <v>0</v>
      </c>
      <c r="O741" s="34">
        <v>125808.81</v>
      </c>
      <c r="P741" s="34" t="s">
        <v>41</v>
      </c>
      <c r="Q741" s="34" t="s">
        <v>42</v>
      </c>
      <c r="R741" s="26"/>
      <c r="S741" s="26"/>
      <c r="T741" s="26" t="s">
        <v>43</v>
      </c>
      <c r="U741" s="26"/>
      <c r="V741" s="26"/>
      <c r="W741" s="35" t="s">
        <v>43</v>
      </c>
      <c r="X741" s="26" t="s">
        <v>501</v>
      </c>
    </row>
    <row r="742" spans="1:24" s="29" customFormat="1">
      <c r="A742" s="35" t="s">
        <v>31</v>
      </c>
      <c r="B742" s="35" t="s">
        <v>3028</v>
      </c>
      <c r="C742" s="35" t="s">
        <v>3029</v>
      </c>
      <c r="D742" s="35">
        <f t="shared" si="11"/>
        <v>-1</v>
      </c>
      <c r="E742" s="35" t="s">
        <v>34</v>
      </c>
      <c r="F742" s="35" t="s">
        <v>2993</v>
      </c>
      <c r="G742" s="35" t="s">
        <v>3030</v>
      </c>
      <c r="H742" s="35" t="s">
        <v>37</v>
      </c>
      <c r="I742" s="35" t="s">
        <v>38</v>
      </c>
      <c r="J742" s="35" t="s">
        <v>1771</v>
      </c>
      <c r="K742" s="35" t="s">
        <v>1772</v>
      </c>
      <c r="L742" s="35">
        <v>584374.26</v>
      </c>
      <c r="M742" s="35">
        <v>0</v>
      </c>
      <c r="N742" s="35">
        <v>0</v>
      </c>
      <c r="O742" s="35">
        <v>3660028.26</v>
      </c>
      <c r="P742" s="35" t="s">
        <v>41</v>
      </c>
      <c r="Q742" s="35" t="s">
        <v>42</v>
      </c>
      <c r="R742" s="26"/>
      <c r="S742" s="26"/>
      <c r="T742" s="26"/>
      <c r="U742" s="26"/>
      <c r="V742" s="26"/>
      <c r="W742" s="26"/>
      <c r="X742" s="26"/>
    </row>
    <row r="743" spans="1:24" s="29" customFormat="1">
      <c r="A743" s="34" t="s">
        <v>31</v>
      </c>
      <c r="B743" s="34" t="s">
        <v>3031</v>
      </c>
      <c r="C743" s="34" t="s">
        <v>3032</v>
      </c>
      <c r="D743" s="34">
        <f t="shared" si="11"/>
        <v>-1</v>
      </c>
      <c r="E743" s="34" t="s">
        <v>34</v>
      </c>
      <c r="F743" s="34" t="s">
        <v>2993</v>
      </c>
      <c r="G743" s="34" t="s">
        <v>3033</v>
      </c>
      <c r="H743" s="34" t="s">
        <v>37</v>
      </c>
      <c r="I743" s="34" t="s">
        <v>38</v>
      </c>
      <c r="J743" s="34" t="s">
        <v>939</v>
      </c>
      <c r="K743" s="34" t="s">
        <v>940</v>
      </c>
      <c r="L743" s="34">
        <v>391590</v>
      </c>
      <c r="M743" s="34">
        <v>0</v>
      </c>
      <c r="N743" s="34">
        <v>0</v>
      </c>
      <c r="O743" s="34">
        <v>2452590</v>
      </c>
      <c r="P743" s="34" t="s">
        <v>41</v>
      </c>
      <c r="Q743" s="34" t="s">
        <v>42</v>
      </c>
      <c r="R743" s="26"/>
      <c r="S743" s="26"/>
      <c r="T743" s="26" t="s">
        <v>43</v>
      </c>
      <c r="U743" s="26"/>
      <c r="V743" s="26"/>
      <c r="W743" s="26"/>
      <c r="X743" s="26"/>
    </row>
    <row r="744" spans="1:24" s="29" customFormat="1">
      <c r="A744" s="26" t="s">
        <v>31</v>
      </c>
      <c r="B744" s="26" t="s">
        <v>3034</v>
      </c>
      <c r="C744" s="26" t="s">
        <v>3035</v>
      </c>
      <c r="D744" s="26">
        <f t="shared" si="11"/>
        <v>-1</v>
      </c>
      <c r="E744" s="26" t="s">
        <v>34</v>
      </c>
      <c r="F744" s="26" t="s">
        <v>2993</v>
      </c>
      <c r="G744" s="26" t="s">
        <v>3036</v>
      </c>
      <c r="H744" s="26" t="s">
        <v>37</v>
      </c>
      <c r="I744" s="26" t="s">
        <v>38</v>
      </c>
      <c r="J744" s="26" t="s">
        <v>3037</v>
      </c>
      <c r="K744" s="26" t="s">
        <v>3038</v>
      </c>
      <c r="L744" s="26">
        <v>71630</v>
      </c>
      <c r="M744" s="26">
        <v>0</v>
      </c>
      <c r="N744" s="26">
        <v>0</v>
      </c>
      <c r="O744" s="26">
        <v>448630</v>
      </c>
      <c r="P744" s="26" t="s">
        <v>41</v>
      </c>
      <c r="Q744" s="26" t="s">
        <v>42</v>
      </c>
      <c r="R744" s="26"/>
      <c r="S744" s="26"/>
      <c r="T744" s="26"/>
      <c r="U744" s="26"/>
      <c r="V744" s="26" t="s">
        <v>43</v>
      </c>
      <c r="W744" s="26"/>
      <c r="X744" s="26"/>
    </row>
    <row r="745" spans="1:24" s="29" customFormat="1">
      <c r="A745" s="26" t="s">
        <v>31</v>
      </c>
      <c r="B745" s="26" t="s">
        <v>3039</v>
      </c>
      <c r="C745" s="26" t="s">
        <v>3040</v>
      </c>
      <c r="D745" s="26">
        <f t="shared" si="11"/>
        <v>-1</v>
      </c>
      <c r="E745" s="26" t="s">
        <v>34</v>
      </c>
      <c r="F745" s="26" t="s">
        <v>2993</v>
      </c>
      <c r="G745" s="26" t="s">
        <v>3041</v>
      </c>
      <c r="H745" s="26" t="s">
        <v>37</v>
      </c>
      <c r="I745" s="26" t="s">
        <v>38</v>
      </c>
      <c r="J745" s="26" t="s">
        <v>3042</v>
      </c>
      <c r="K745" s="26" t="s">
        <v>3043</v>
      </c>
      <c r="L745" s="26">
        <v>635778</v>
      </c>
      <c r="M745" s="26">
        <v>0</v>
      </c>
      <c r="N745" s="26">
        <v>0</v>
      </c>
      <c r="O745" s="26">
        <v>3981978</v>
      </c>
      <c r="P745" s="26" t="s">
        <v>41</v>
      </c>
      <c r="Q745" s="26" t="s">
        <v>42</v>
      </c>
      <c r="R745" s="26"/>
      <c r="S745" s="26"/>
      <c r="T745" s="26"/>
      <c r="U745" s="26"/>
      <c r="V745" s="26" t="s">
        <v>43</v>
      </c>
      <c r="W745" s="26"/>
      <c r="X745" s="26"/>
    </row>
    <row r="746" spans="1:24" s="29" customFormat="1">
      <c r="A746" s="26" t="s">
        <v>31</v>
      </c>
      <c r="B746" s="26" t="s">
        <v>3044</v>
      </c>
      <c r="C746" s="26" t="s">
        <v>3045</v>
      </c>
      <c r="D746" s="26">
        <f t="shared" si="11"/>
        <v>-1</v>
      </c>
      <c r="E746" s="26" t="s">
        <v>34</v>
      </c>
      <c r="F746" s="26" t="s">
        <v>2993</v>
      </c>
      <c r="G746" s="26" t="s">
        <v>3046</v>
      </c>
      <c r="H746" s="26" t="s">
        <v>37</v>
      </c>
      <c r="I746" s="26" t="s">
        <v>38</v>
      </c>
      <c r="J746" s="26" t="s">
        <v>2841</v>
      </c>
      <c r="K746" s="26" t="s">
        <v>2842</v>
      </c>
      <c r="L746" s="26">
        <v>0</v>
      </c>
      <c r="M746" s="26">
        <v>0</v>
      </c>
      <c r="N746" s="26">
        <v>0</v>
      </c>
      <c r="O746" s="26">
        <v>505000</v>
      </c>
      <c r="P746" s="26" t="s">
        <v>41</v>
      </c>
      <c r="Q746" s="26" t="s">
        <v>42</v>
      </c>
      <c r="R746" s="26"/>
      <c r="S746" s="26"/>
      <c r="T746" s="26"/>
      <c r="U746" s="26"/>
      <c r="V746" s="26" t="s">
        <v>43</v>
      </c>
      <c r="W746" s="26"/>
      <c r="X746" s="26"/>
    </row>
    <row r="747" spans="1:24" s="29" customFormat="1">
      <c r="A747" s="26" t="s">
        <v>31</v>
      </c>
      <c r="B747" s="26" t="s">
        <v>3047</v>
      </c>
      <c r="C747" s="26" t="s">
        <v>3048</v>
      </c>
      <c r="D747" s="26">
        <f t="shared" si="11"/>
        <v>-1</v>
      </c>
      <c r="E747" s="26" t="s">
        <v>34</v>
      </c>
      <c r="F747" s="26" t="s">
        <v>2993</v>
      </c>
      <c r="G747" s="26" t="s">
        <v>3049</v>
      </c>
      <c r="H747" s="26" t="s">
        <v>37</v>
      </c>
      <c r="I747" s="26" t="s">
        <v>38</v>
      </c>
      <c r="J747" s="26" t="s">
        <v>3050</v>
      </c>
      <c r="K747" s="26" t="s">
        <v>3051</v>
      </c>
      <c r="L747" s="26">
        <v>113463.44</v>
      </c>
      <c r="M747" s="26">
        <v>0</v>
      </c>
      <c r="N747" s="26">
        <v>0</v>
      </c>
      <c r="O747" s="26">
        <v>710639.44</v>
      </c>
      <c r="P747" s="26" t="s">
        <v>41</v>
      </c>
      <c r="Q747" s="26" t="s">
        <v>42</v>
      </c>
      <c r="R747" s="26"/>
      <c r="S747" s="26"/>
      <c r="T747" s="26"/>
      <c r="U747" s="26"/>
      <c r="V747" s="26" t="s">
        <v>43</v>
      </c>
      <c r="W747" s="26"/>
      <c r="X747" s="26"/>
    </row>
    <row r="748" spans="1:24" s="29" customFormat="1">
      <c r="A748" s="26" t="s">
        <v>31</v>
      </c>
      <c r="B748" s="26" t="s">
        <v>3052</v>
      </c>
      <c r="C748" s="26" t="s">
        <v>3053</v>
      </c>
      <c r="D748" s="26">
        <f t="shared" si="11"/>
        <v>-1</v>
      </c>
      <c r="E748" s="26" t="s">
        <v>34</v>
      </c>
      <c r="F748" s="26" t="s">
        <v>2993</v>
      </c>
      <c r="G748" s="26" t="s">
        <v>3054</v>
      </c>
      <c r="H748" s="26" t="s">
        <v>37</v>
      </c>
      <c r="I748" s="26" t="s">
        <v>38</v>
      </c>
      <c r="J748" s="26" t="s">
        <v>3055</v>
      </c>
      <c r="K748" s="26" t="s">
        <v>3056</v>
      </c>
      <c r="L748" s="26">
        <v>131836.06</v>
      </c>
      <c r="M748" s="26">
        <v>0</v>
      </c>
      <c r="N748" s="26">
        <v>0</v>
      </c>
      <c r="O748" s="26">
        <v>838305.06</v>
      </c>
      <c r="P748" s="26" t="s">
        <v>41</v>
      </c>
      <c r="Q748" s="26" t="s">
        <v>42</v>
      </c>
      <c r="R748" s="26"/>
      <c r="S748" s="26"/>
      <c r="T748" s="26"/>
      <c r="U748" s="26"/>
      <c r="V748" s="26" t="s">
        <v>43</v>
      </c>
      <c r="W748" s="26"/>
      <c r="X748" s="26"/>
    </row>
    <row r="749" spans="1:24" s="29" customFormat="1">
      <c r="A749" s="26" t="s">
        <v>31</v>
      </c>
      <c r="B749" s="26" t="s">
        <v>3057</v>
      </c>
      <c r="C749" s="26" t="s">
        <v>3058</v>
      </c>
      <c r="D749" s="26">
        <f t="shared" si="11"/>
        <v>-1</v>
      </c>
      <c r="E749" s="26" t="s">
        <v>34</v>
      </c>
      <c r="F749" s="26" t="s">
        <v>2993</v>
      </c>
      <c r="G749" s="26" t="s">
        <v>3059</v>
      </c>
      <c r="H749" s="26" t="s">
        <v>37</v>
      </c>
      <c r="I749" s="26" t="s">
        <v>38</v>
      </c>
      <c r="J749" s="26" t="s">
        <v>3060</v>
      </c>
      <c r="K749" s="26" t="s">
        <v>3061</v>
      </c>
      <c r="L749" s="26">
        <v>3527673</v>
      </c>
      <c r="M749" s="26">
        <v>0</v>
      </c>
      <c r="N749" s="26">
        <v>0</v>
      </c>
      <c r="O749" s="26">
        <v>22094373</v>
      </c>
      <c r="P749" s="26" t="s">
        <v>41</v>
      </c>
      <c r="Q749" s="26" t="s">
        <v>42</v>
      </c>
      <c r="R749" s="26"/>
      <c r="S749" s="26"/>
      <c r="T749" s="26"/>
      <c r="U749" s="26"/>
      <c r="V749" s="26" t="s">
        <v>43</v>
      </c>
      <c r="W749" s="26"/>
      <c r="X749" s="26"/>
    </row>
    <row r="750" spans="1:24" s="29" customFormat="1">
      <c r="A750" s="32" t="s">
        <v>31</v>
      </c>
      <c r="B750" s="32" t="s">
        <v>3062</v>
      </c>
      <c r="C750" s="32" t="s">
        <v>3063</v>
      </c>
      <c r="D750" s="32">
        <f t="shared" si="11"/>
        <v>-1</v>
      </c>
      <c r="E750" s="32" t="s">
        <v>34</v>
      </c>
      <c r="F750" s="32" t="s">
        <v>2993</v>
      </c>
      <c r="G750" s="32" t="s">
        <v>3064</v>
      </c>
      <c r="H750" s="32" t="s">
        <v>37</v>
      </c>
      <c r="I750" s="32" t="s">
        <v>38</v>
      </c>
      <c r="J750" s="32" t="s">
        <v>1193</v>
      </c>
      <c r="K750" s="32" t="s">
        <v>1194</v>
      </c>
      <c r="L750" s="32">
        <v>1428353.12</v>
      </c>
      <c r="M750" s="32">
        <v>0</v>
      </c>
      <c r="N750" s="32">
        <v>0</v>
      </c>
      <c r="O750" s="32">
        <v>8946001.1199999992</v>
      </c>
      <c r="P750" s="32" t="s">
        <v>41</v>
      </c>
      <c r="Q750" s="32" t="s">
        <v>42</v>
      </c>
      <c r="R750" s="26" t="s">
        <v>43</v>
      </c>
      <c r="S750" s="26"/>
      <c r="T750" s="26"/>
      <c r="U750" s="26"/>
      <c r="V750" s="26"/>
      <c r="W750" s="26"/>
      <c r="X750" s="26"/>
    </row>
    <row r="751" spans="1:24" s="29" customFormat="1">
      <c r="A751" s="35" t="s">
        <v>31</v>
      </c>
      <c r="B751" s="35" t="s">
        <v>3065</v>
      </c>
      <c r="C751" s="35" t="s">
        <v>3066</v>
      </c>
      <c r="D751" s="35">
        <f t="shared" si="11"/>
        <v>-1</v>
      </c>
      <c r="E751" s="35" t="s">
        <v>34</v>
      </c>
      <c r="F751" s="35" t="s">
        <v>2993</v>
      </c>
      <c r="G751" s="35" t="s">
        <v>3067</v>
      </c>
      <c r="H751" s="35" t="s">
        <v>37</v>
      </c>
      <c r="I751" s="35" t="s">
        <v>38</v>
      </c>
      <c r="J751" s="35" t="s">
        <v>3068</v>
      </c>
      <c r="K751" s="35" t="s">
        <v>3069</v>
      </c>
      <c r="L751" s="35">
        <v>0</v>
      </c>
      <c r="M751" s="35">
        <v>0</v>
      </c>
      <c r="N751" s="35">
        <v>0</v>
      </c>
      <c r="O751" s="35">
        <v>5283961.54</v>
      </c>
      <c r="P751" s="35" t="s">
        <v>41</v>
      </c>
      <c r="Q751" s="35" t="s">
        <v>42</v>
      </c>
      <c r="R751" s="26"/>
      <c r="S751" s="26"/>
      <c r="T751" s="26"/>
      <c r="U751" s="26"/>
      <c r="V751" s="26"/>
      <c r="W751" s="35" t="s">
        <v>43</v>
      </c>
      <c r="X751" s="26" t="s">
        <v>1029</v>
      </c>
    </row>
    <row r="752" spans="1:24" s="29" customFormat="1">
      <c r="A752" s="35" t="s">
        <v>31</v>
      </c>
      <c r="B752" s="35" t="s">
        <v>3070</v>
      </c>
      <c r="C752" s="35" t="s">
        <v>3071</v>
      </c>
      <c r="D752" s="35">
        <f t="shared" si="11"/>
        <v>-1</v>
      </c>
      <c r="E752" s="35" t="s">
        <v>34</v>
      </c>
      <c r="F752" s="35" t="s">
        <v>2993</v>
      </c>
      <c r="G752" s="35" t="s">
        <v>3072</v>
      </c>
      <c r="H752" s="35" t="s">
        <v>37</v>
      </c>
      <c r="I752" s="35" t="s">
        <v>38</v>
      </c>
      <c r="J752" s="35" t="s">
        <v>3073</v>
      </c>
      <c r="K752" s="35" t="s">
        <v>3074</v>
      </c>
      <c r="L752" s="35">
        <v>502673.5</v>
      </c>
      <c r="M752" s="35">
        <v>0</v>
      </c>
      <c r="N752" s="35">
        <v>0</v>
      </c>
      <c r="O752" s="35">
        <v>10038423.5</v>
      </c>
      <c r="P752" s="35" t="s">
        <v>41</v>
      </c>
      <c r="Q752" s="35" t="s">
        <v>42</v>
      </c>
      <c r="R752" s="26"/>
      <c r="S752" s="26"/>
      <c r="T752" s="26"/>
      <c r="U752" s="26"/>
      <c r="V752" s="26" t="s">
        <v>43</v>
      </c>
      <c r="W752" s="35" t="s">
        <v>43</v>
      </c>
      <c r="X752" s="26" t="s">
        <v>501</v>
      </c>
    </row>
    <row r="753" spans="1:24" s="29" customFormat="1">
      <c r="A753" s="35" t="s">
        <v>31</v>
      </c>
      <c r="B753" s="35" t="s">
        <v>3075</v>
      </c>
      <c r="C753" s="35" t="s">
        <v>3076</v>
      </c>
      <c r="D753" s="35">
        <f t="shared" si="11"/>
        <v>-1</v>
      </c>
      <c r="E753" s="35" t="s">
        <v>34</v>
      </c>
      <c r="F753" s="35" t="s">
        <v>2993</v>
      </c>
      <c r="G753" s="35" t="s">
        <v>3077</v>
      </c>
      <c r="H753" s="35" t="s">
        <v>37</v>
      </c>
      <c r="I753" s="35" t="s">
        <v>38</v>
      </c>
      <c r="J753" s="35" t="s">
        <v>3078</v>
      </c>
      <c r="K753" s="35" t="s">
        <v>3079</v>
      </c>
      <c r="L753" s="35">
        <v>331711.5</v>
      </c>
      <c r="M753" s="35">
        <v>0</v>
      </c>
      <c r="N753" s="35">
        <v>0</v>
      </c>
      <c r="O753" s="35">
        <v>2191411.5</v>
      </c>
      <c r="P753" s="35" t="s">
        <v>41</v>
      </c>
      <c r="Q753" s="35" t="s">
        <v>42</v>
      </c>
      <c r="R753" s="26"/>
      <c r="S753" s="26"/>
      <c r="T753" s="26"/>
      <c r="U753" s="26"/>
      <c r="V753" s="26"/>
      <c r="W753" s="35" t="s">
        <v>43</v>
      </c>
      <c r="X753" s="26" t="s">
        <v>898</v>
      </c>
    </row>
    <row r="754" spans="1:24" s="29" customFormat="1">
      <c r="A754" s="35" t="s">
        <v>31</v>
      </c>
      <c r="B754" s="35" t="s">
        <v>3080</v>
      </c>
      <c r="C754" s="35" t="s">
        <v>3081</v>
      </c>
      <c r="D754" s="35">
        <f t="shared" si="11"/>
        <v>-1</v>
      </c>
      <c r="E754" s="35" t="s">
        <v>34</v>
      </c>
      <c r="F754" s="35" t="s">
        <v>2993</v>
      </c>
      <c r="G754" s="35" t="s">
        <v>3082</v>
      </c>
      <c r="H754" s="35" t="s">
        <v>37</v>
      </c>
      <c r="I754" s="35" t="s">
        <v>38</v>
      </c>
      <c r="J754" s="35" t="s">
        <v>3083</v>
      </c>
      <c r="K754" s="35" t="s">
        <v>3084</v>
      </c>
      <c r="L754" s="35">
        <v>62020.75</v>
      </c>
      <c r="M754" s="35">
        <v>0</v>
      </c>
      <c r="N754" s="35">
        <v>0</v>
      </c>
      <c r="O754" s="35">
        <v>388445.75</v>
      </c>
      <c r="P754" s="35" t="s">
        <v>41</v>
      </c>
      <c r="Q754" s="35" t="s">
        <v>42</v>
      </c>
      <c r="R754" s="26"/>
      <c r="S754" s="26"/>
      <c r="T754" s="26"/>
      <c r="U754" s="26"/>
      <c r="V754" s="26"/>
      <c r="W754" s="35" t="s">
        <v>43</v>
      </c>
      <c r="X754" s="26" t="s">
        <v>3085</v>
      </c>
    </row>
    <row r="755" spans="1:24" s="29" customFormat="1">
      <c r="A755" s="32" t="s">
        <v>31</v>
      </c>
      <c r="B755" s="32" t="s">
        <v>3086</v>
      </c>
      <c r="C755" s="32" t="s">
        <v>3087</v>
      </c>
      <c r="D755" s="32">
        <f t="shared" si="11"/>
        <v>-1</v>
      </c>
      <c r="E755" s="32" t="s">
        <v>34</v>
      </c>
      <c r="F755" s="32" t="s">
        <v>2993</v>
      </c>
      <c r="G755" s="32" t="s">
        <v>3088</v>
      </c>
      <c r="H755" s="32" t="s">
        <v>37</v>
      </c>
      <c r="I755" s="32" t="s">
        <v>38</v>
      </c>
      <c r="J755" s="32" t="s">
        <v>1869</v>
      </c>
      <c r="K755" s="32" t="s">
        <v>1870</v>
      </c>
      <c r="L755" s="32">
        <v>26030</v>
      </c>
      <c r="M755" s="32">
        <v>0</v>
      </c>
      <c r="N755" s="32">
        <v>0</v>
      </c>
      <c r="O755" s="32">
        <v>167305</v>
      </c>
      <c r="P755" s="32" t="s">
        <v>41</v>
      </c>
      <c r="Q755" s="32" t="s">
        <v>42</v>
      </c>
      <c r="R755" s="26" t="s">
        <v>43</v>
      </c>
      <c r="S755" s="26"/>
      <c r="T755" s="26"/>
      <c r="U755" s="26"/>
      <c r="V755" s="26"/>
      <c r="W755" s="26"/>
      <c r="X755" s="26"/>
    </row>
    <row r="756" spans="1:24" s="29" customFormat="1">
      <c r="A756" s="26" t="s">
        <v>31</v>
      </c>
      <c r="B756" s="26" t="s">
        <v>3089</v>
      </c>
      <c r="C756" s="26" t="s">
        <v>3090</v>
      </c>
      <c r="D756" s="26">
        <f t="shared" si="11"/>
        <v>-1</v>
      </c>
      <c r="E756" s="26" t="s">
        <v>34</v>
      </c>
      <c r="F756" s="26" t="s">
        <v>2993</v>
      </c>
      <c r="G756" s="26" t="s">
        <v>3091</v>
      </c>
      <c r="H756" s="26" t="s">
        <v>37</v>
      </c>
      <c r="I756" s="26" t="s">
        <v>38</v>
      </c>
      <c r="J756" s="26" t="s">
        <v>3092</v>
      </c>
      <c r="K756" s="26" t="s">
        <v>3093</v>
      </c>
      <c r="L756" s="26">
        <v>35571.42</v>
      </c>
      <c r="M756" s="26">
        <v>0</v>
      </c>
      <c r="N756" s="26">
        <v>0</v>
      </c>
      <c r="O756" s="26">
        <v>222789.42</v>
      </c>
      <c r="P756" s="26" t="s">
        <v>41</v>
      </c>
      <c r="Q756" s="26" t="s">
        <v>42</v>
      </c>
      <c r="R756" s="26"/>
      <c r="S756" s="26"/>
      <c r="T756" s="26"/>
      <c r="U756" s="26"/>
      <c r="V756" s="26" t="s">
        <v>43</v>
      </c>
      <c r="W756" s="26"/>
      <c r="X756" s="26"/>
    </row>
    <row r="757" spans="1:24" s="29" customFormat="1">
      <c r="A757" s="34" t="s">
        <v>31</v>
      </c>
      <c r="B757" s="34" t="s">
        <v>3094</v>
      </c>
      <c r="C757" s="34" t="s">
        <v>3095</v>
      </c>
      <c r="D757" s="34">
        <f t="shared" si="11"/>
        <v>-1</v>
      </c>
      <c r="E757" s="34" t="s">
        <v>34</v>
      </c>
      <c r="F757" s="34" t="s">
        <v>2993</v>
      </c>
      <c r="G757" s="34" t="s">
        <v>3096</v>
      </c>
      <c r="H757" s="34" t="s">
        <v>37</v>
      </c>
      <c r="I757" s="34" t="s">
        <v>38</v>
      </c>
      <c r="J757" s="34" t="s">
        <v>91</v>
      </c>
      <c r="K757" s="34" t="s">
        <v>92</v>
      </c>
      <c r="L757" s="34">
        <v>78070.81</v>
      </c>
      <c r="M757" s="34">
        <v>0</v>
      </c>
      <c r="N757" s="34">
        <v>0</v>
      </c>
      <c r="O757" s="34">
        <v>488969.81</v>
      </c>
      <c r="P757" s="34" t="s">
        <v>41</v>
      </c>
      <c r="Q757" s="34" t="s">
        <v>42</v>
      </c>
      <c r="R757" s="26"/>
      <c r="S757" s="26"/>
      <c r="T757" s="26" t="s">
        <v>43</v>
      </c>
      <c r="U757" s="26"/>
      <c r="V757" s="26"/>
      <c r="W757" s="26"/>
      <c r="X757" s="26"/>
    </row>
    <row r="758" spans="1:24" s="29" customFormat="1">
      <c r="A758" s="34" t="s">
        <v>31</v>
      </c>
      <c r="B758" s="34" t="s">
        <v>3097</v>
      </c>
      <c r="C758" s="34" t="s">
        <v>3098</v>
      </c>
      <c r="D758" s="34">
        <f t="shared" si="11"/>
        <v>-1</v>
      </c>
      <c r="E758" s="34" t="s">
        <v>34</v>
      </c>
      <c r="F758" s="34" t="s">
        <v>2993</v>
      </c>
      <c r="G758" s="34" t="s">
        <v>3099</v>
      </c>
      <c r="H758" s="34" t="s">
        <v>37</v>
      </c>
      <c r="I758" s="34" t="s">
        <v>38</v>
      </c>
      <c r="J758" s="34" t="s">
        <v>3100</v>
      </c>
      <c r="K758" s="34" t="s">
        <v>3101</v>
      </c>
      <c r="L758" s="34">
        <v>34431.040000000001</v>
      </c>
      <c r="M758" s="34">
        <v>0</v>
      </c>
      <c r="N758" s="34">
        <v>0</v>
      </c>
      <c r="O758" s="34">
        <v>215647.04</v>
      </c>
      <c r="P758" s="34" t="s">
        <v>41</v>
      </c>
      <c r="Q758" s="34" t="s">
        <v>42</v>
      </c>
      <c r="R758" s="26"/>
      <c r="S758" s="26"/>
      <c r="T758" s="26" t="s">
        <v>43</v>
      </c>
      <c r="U758" s="26"/>
      <c r="V758" s="26"/>
      <c r="W758" s="26"/>
      <c r="X758" s="26"/>
    </row>
    <row r="759" spans="1:24" s="29" customFormat="1">
      <c r="A759" s="35" t="s">
        <v>31</v>
      </c>
      <c r="B759" s="35" t="s">
        <v>3102</v>
      </c>
      <c r="C759" s="35" t="s">
        <v>3103</v>
      </c>
      <c r="D759" s="35">
        <f t="shared" si="11"/>
        <v>-1</v>
      </c>
      <c r="E759" s="35" t="s">
        <v>34</v>
      </c>
      <c r="F759" s="35" t="s">
        <v>2993</v>
      </c>
      <c r="G759" s="35" t="s">
        <v>3099</v>
      </c>
      <c r="H759" s="35" t="s">
        <v>37</v>
      </c>
      <c r="I759" s="35" t="s">
        <v>38</v>
      </c>
      <c r="J759" s="35" t="s">
        <v>3104</v>
      </c>
      <c r="K759" s="35" t="s">
        <v>3105</v>
      </c>
      <c r="L759" s="35">
        <v>36717.99</v>
      </c>
      <c r="M759" s="35">
        <v>0</v>
      </c>
      <c r="N759" s="35">
        <v>0</v>
      </c>
      <c r="O759" s="35">
        <v>342338.99</v>
      </c>
      <c r="P759" s="35" t="s">
        <v>41</v>
      </c>
      <c r="Q759" s="35" t="s">
        <v>42</v>
      </c>
      <c r="R759" s="26"/>
      <c r="S759" s="26"/>
      <c r="T759" s="26"/>
      <c r="U759" s="26"/>
      <c r="V759" s="26"/>
      <c r="W759" s="35" t="s">
        <v>43</v>
      </c>
      <c r="X759" s="26" t="s">
        <v>501</v>
      </c>
    </row>
    <row r="760" spans="1:24" s="29" customFormat="1">
      <c r="A760" s="26" t="s">
        <v>31</v>
      </c>
      <c r="B760" s="26" t="s">
        <v>3106</v>
      </c>
      <c r="C760" s="26" t="s">
        <v>3107</v>
      </c>
      <c r="D760" s="26">
        <f t="shared" si="11"/>
        <v>-1</v>
      </c>
      <c r="E760" s="26" t="s">
        <v>34</v>
      </c>
      <c r="F760" s="26" t="s">
        <v>2993</v>
      </c>
      <c r="G760" s="26" t="s">
        <v>3108</v>
      </c>
      <c r="H760" s="26" t="s">
        <v>37</v>
      </c>
      <c r="I760" s="26" t="s">
        <v>38</v>
      </c>
      <c r="J760" s="26" t="s">
        <v>3109</v>
      </c>
      <c r="K760" s="26" t="s">
        <v>3110</v>
      </c>
      <c r="L760" s="26">
        <v>74100</v>
      </c>
      <c r="M760" s="26">
        <v>0</v>
      </c>
      <c r="N760" s="26">
        <v>0</v>
      </c>
      <c r="O760" s="26">
        <v>464100</v>
      </c>
      <c r="P760" s="26" t="s">
        <v>41</v>
      </c>
      <c r="Q760" s="26" t="s">
        <v>42</v>
      </c>
      <c r="R760" s="26"/>
      <c r="S760" s="26"/>
      <c r="T760" s="26"/>
      <c r="U760" s="26"/>
      <c r="V760" s="26" t="s">
        <v>43</v>
      </c>
      <c r="W760" s="26"/>
      <c r="X760" s="26"/>
    </row>
    <row r="761" spans="1:24" s="29" customFormat="1">
      <c r="A761" s="33" t="s">
        <v>31</v>
      </c>
      <c r="B761" s="33" t="s">
        <v>3111</v>
      </c>
      <c r="C761" s="33" t="s">
        <v>3112</v>
      </c>
      <c r="D761" s="33">
        <f t="shared" si="11"/>
        <v>-1</v>
      </c>
      <c r="E761" s="33" t="s">
        <v>34</v>
      </c>
      <c r="F761" s="33" t="s">
        <v>2993</v>
      </c>
      <c r="G761" s="33" t="s">
        <v>3099</v>
      </c>
      <c r="H761" s="33" t="s">
        <v>37</v>
      </c>
      <c r="I761" s="33" t="s">
        <v>38</v>
      </c>
      <c r="J761" s="33" t="s">
        <v>2055</v>
      </c>
      <c r="K761" s="33" t="s">
        <v>2056</v>
      </c>
      <c r="L761" s="33">
        <v>221350</v>
      </c>
      <c r="M761" s="33">
        <v>0</v>
      </c>
      <c r="N761" s="33">
        <v>0</v>
      </c>
      <c r="O761" s="33">
        <v>1386350</v>
      </c>
      <c r="P761" s="33" t="s">
        <v>41</v>
      </c>
      <c r="Q761" s="33" t="s">
        <v>42</v>
      </c>
      <c r="R761" s="26"/>
      <c r="S761" s="26" t="s">
        <v>43</v>
      </c>
      <c r="T761" s="26"/>
      <c r="U761" s="26"/>
      <c r="V761" s="26"/>
      <c r="W761" s="26"/>
      <c r="X761" s="26"/>
    </row>
    <row r="762" spans="1:24" s="29" customFormat="1">
      <c r="A762" s="34" t="s">
        <v>31</v>
      </c>
      <c r="B762" s="34" t="s">
        <v>3113</v>
      </c>
      <c r="C762" s="34" t="s">
        <v>3114</v>
      </c>
      <c r="D762" s="34">
        <f t="shared" si="11"/>
        <v>-1</v>
      </c>
      <c r="E762" s="34" t="s">
        <v>34</v>
      </c>
      <c r="F762" s="34" t="s">
        <v>2993</v>
      </c>
      <c r="G762" s="34" t="s">
        <v>3115</v>
      </c>
      <c r="H762" s="34" t="s">
        <v>37</v>
      </c>
      <c r="I762" s="34" t="s">
        <v>38</v>
      </c>
      <c r="J762" s="34" t="s">
        <v>3116</v>
      </c>
      <c r="K762" s="34" t="s">
        <v>3117</v>
      </c>
      <c r="L762" s="34">
        <v>51091</v>
      </c>
      <c r="M762" s="34">
        <v>0</v>
      </c>
      <c r="N762" s="34">
        <v>0</v>
      </c>
      <c r="O762" s="34">
        <v>319991</v>
      </c>
      <c r="P762" s="34" t="s">
        <v>41</v>
      </c>
      <c r="Q762" s="34" t="s">
        <v>42</v>
      </c>
      <c r="R762" s="26"/>
      <c r="S762" s="26"/>
      <c r="T762" s="26" t="s">
        <v>43</v>
      </c>
      <c r="U762" s="26"/>
      <c r="V762" s="26"/>
      <c r="W762" s="26"/>
      <c r="X762" s="26"/>
    </row>
    <row r="763" spans="1:24" s="29" customFormat="1">
      <c r="A763" s="32" t="s">
        <v>31</v>
      </c>
      <c r="B763" s="32" t="s">
        <v>3118</v>
      </c>
      <c r="C763" s="32" t="s">
        <v>3119</v>
      </c>
      <c r="D763" s="32">
        <f t="shared" si="11"/>
        <v>-1</v>
      </c>
      <c r="E763" s="32" t="s">
        <v>34</v>
      </c>
      <c r="F763" s="32" t="s">
        <v>2993</v>
      </c>
      <c r="G763" s="32" t="s">
        <v>3108</v>
      </c>
      <c r="H763" s="32" t="s">
        <v>37</v>
      </c>
      <c r="I763" s="32" t="s">
        <v>38</v>
      </c>
      <c r="J763" s="32" t="s">
        <v>3120</v>
      </c>
      <c r="K763" s="32" t="s">
        <v>3121</v>
      </c>
      <c r="L763" s="32">
        <v>83220</v>
      </c>
      <c r="M763" s="32">
        <v>0</v>
      </c>
      <c r="N763" s="32">
        <v>0</v>
      </c>
      <c r="O763" s="32">
        <v>521220</v>
      </c>
      <c r="P763" s="32" t="s">
        <v>41</v>
      </c>
      <c r="Q763" s="32" t="s">
        <v>42</v>
      </c>
      <c r="R763" s="26" t="s">
        <v>43</v>
      </c>
      <c r="S763" s="26"/>
      <c r="T763" s="26"/>
      <c r="U763" s="26"/>
      <c r="V763" s="26"/>
      <c r="W763" s="26"/>
      <c r="X763" s="26"/>
    </row>
    <row r="764" spans="1:24" s="29" customFormat="1">
      <c r="A764" s="34" t="s">
        <v>31</v>
      </c>
      <c r="B764" s="34" t="s">
        <v>3122</v>
      </c>
      <c r="C764" s="34" t="s">
        <v>3123</v>
      </c>
      <c r="D764" s="34">
        <f t="shared" si="11"/>
        <v>-1</v>
      </c>
      <c r="E764" s="34" t="s">
        <v>34</v>
      </c>
      <c r="F764" s="34" t="s">
        <v>2993</v>
      </c>
      <c r="G764" s="34" t="s">
        <v>3124</v>
      </c>
      <c r="H764" s="34" t="s">
        <v>37</v>
      </c>
      <c r="I764" s="34" t="s">
        <v>38</v>
      </c>
      <c r="J764" s="34" t="s">
        <v>707</v>
      </c>
      <c r="K764" s="34" t="s">
        <v>708</v>
      </c>
      <c r="L764" s="34">
        <v>879320</v>
      </c>
      <c r="M764" s="34">
        <v>0</v>
      </c>
      <c r="N764" s="34">
        <v>0</v>
      </c>
      <c r="O764" s="34">
        <v>5507320</v>
      </c>
      <c r="P764" s="34" t="s">
        <v>41</v>
      </c>
      <c r="Q764" s="34" t="s">
        <v>42</v>
      </c>
      <c r="R764" s="26"/>
      <c r="S764" s="26"/>
      <c r="T764" s="26" t="s">
        <v>43</v>
      </c>
      <c r="U764" s="26"/>
      <c r="V764" s="26"/>
      <c r="W764" s="26"/>
      <c r="X764" s="26"/>
    </row>
    <row r="765" spans="1:24" s="29" customFormat="1">
      <c r="A765" s="34" t="s">
        <v>31</v>
      </c>
      <c r="B765" s="34" t="s">
        <v>3125</v>
      </c>
      <c r="C765" s="34" t="s">
        <v>3126</v>
      </c>
      <c r="D765" s="34">
        <f t="shared" si="11"/>
        <v>-1</v>
      </c>
      <c r="E765" s="34" t="s">
        <v>34</v>
      </c>
      <c r="F765" s="34" t="s">
        <v>2993</v>
      </c>
      <c r="G765" s="34" t="s">
        <v>3127</v>
      </c>
      <c r="H765" s="34" t="s">
        <v>37</v>
      </c>
      <c r="I765" s="34" t="s">
        <v>38</v>
      </c>
      <c r="J765" s="34" t="s">
        <v>707</v>
      </c>
      <c r="K765" s="34" t="s">
        <v>708</v>
      </c>
      <c r="L765" s="34">
        <v>879320</v>
      </c>
      <c r="M765" s="34">
        <v>0</v>
      </c>
      <c r="N765" s="34">
        <v>0</v>
      </c>
      <c r="O765" s="34">
        <v>5507320</v>
      </c>
      <c r="P765" s="34" t="s">
        <v>41</v>
      </c>
      <c r="Q765" s="34" t="s">
        <v>42</v>
      </c>
      <c r="R765" s="26"/>
      <c r="S765" s="26"/>
      <c r="T765" s="26" t="s">
        <v>43</v>
      </c>
      <c r="U765" s="26"/>
      <c r="V765" s="26"/>
      <c r="W765" s="26"/>
      <c r="X765" s="26"/>
    </row>
    <row r="766" spans="1:24" s="29" customFormat="1">
      <c r="A766" s="34" t="s">
        <v>31</v>
      </c>
      <c r="B766" s="34" t="s">
        <v>3128</v>
      </c>
      <c r="C766" s="34" t="s">
        <v>3129</v>
      </c>
      <c r="D766" s="34">
        <f t="shared" si="11"/>
        <v>-1</v>
      </c>
      <c r="E766" s="34" t="s">
        <v>34</v>
      </c>
      <c r="F766" s="34" t="s">
        <v>2993</v>
      </c>
      <c r="G766" s="34" t="s">
        <v>3127</v>
      </c>
      <c r="H766" s="34" t="s">
        <v>37</v>
      </c>
      <c r="I766" s="34" t="s">
        <v>38</v>
      </c>
      <c r="J766" s="34" t="s">
        <v>707</v>
      </c>
      <c r="K766" s="34" t="s">
        <v>708</v>
      </c>
      <c r="L766" s="34">
        <v>879320</v>
      </c>
      <c r="M766" s="34">
        <v>0</v>
      </c>
      <c r="N766" s="34">
        <v>0</v>
      </c>
      <c r="O766" s="34">
        <v>5507320</v>
      </c>
      <c r="P766" s="34" t="s">
        <v>41</v>
      </c>
      <c r="Q766" s="34" t="s">
        <v>42</v>
      </c>
      <c r="R766" s="26"/>
      <c r="S766" s="26"/>
      <c r="T766" s="26" t="s">
        <v>43</v>
      </c>
      <c r="U766" s="26"/>
      <c r="V766" s="26"/>
      <c r="W766" s="26"/>
      <c r="X766" s="26"/>
    </row>
    <row r="767" spans="1:24" s="29" customFormat="1">
      <c r="A767" s="35" t="s">
        <v>31</v>
      </c>
      <c r="B767" s="35" t="s">
        <v>3130</v>
      </c>
      <c r="C767" s="35" t="s">
        <v>3131</v>
      </c>
      <c r="D767" s="35">
        <f t="shared" si="11"/>
        <v>-1</v>
      </c>
      <c r="E767" s="35" t="s">
        <v>34</v>
      </c>
      <c r="F767" s="35" t="s">
        <v>2993</v>
      </c>
      <c r="G767" s="35" t="s">
        <v>3132</v>
      </c>
      <c r="H767" s="35" t="s">
        <v>37</v>
      </c>
      <c r="I767" s="35" t="s">
        <v>38</v>
      </c>
      <c r="J767" s="35" t="s">
        <v>2756</v>
      </c>
      <c r="K767" s="35" t="s">
        <v>2757</v>
      </c>
      <c r="L767" s="35">
        <v>773740.8</v>
      </c>
      <c r="M767" s="35">
        <v>0</v>
      </c>
      <c r="N767" s="35">
        <v>0</v>
      </c>
      <c r="O767" s="35">
        <v>4846060.8</v>
      </c>
      <c r="P767" s="35" t="s">
        <v>41</v>
      </c>
      <c r="Q767" s="35" t="s">
        <v>42</v>
      </c>
      <c r="R767" s="26"/>
      <c r="S767" s="26"/>
      <c r="T767" s="26"/>
      <c r="U767" s="26"/>
      <c r="V767" s="26"/>
      <c r="W767" s="35" t="s">
        <v>43</v>
      </c>
      <c r="X767" s="28" t="s">
        <v>1144</v>
      </c>
    </row>
    <row r="768" spans="1:24" s="29" customFormat="1">
      <c r="A768" s="33" t="s">
        <v>31</v>
      </c>
      <c r="B768" s="33" t="s">
        <v>3133</v>
      </c>
      <c r="C768" s="33" t="s">
        <v>3134</v>
      </c>
      <c r="D768" s="33">
        <f t="shared" si="11"/>
        <v>-1</v>
      </c>
      <c r="E768" s="33" t="s">
        <v>34</v>
      </c>
      <c r="F768" s="33" t="s">
        <v>2993</v>
      </c>
      <c r="G768" s="33" t="s">
        <v>3135</v>
      </c>
      <c r="H768" s="33" t="s">
        <v>37</v>
      </c>
      <c r="I768" s="33" t="s">
        <v>38</v>
      </c>
      <c r="J768" s="33" t="s">
        <v>1722</v>
      </c>
      <c r="K768" s="33" t="s">
        <v>1723</v>
      </c>
      <c r="L768" s="33">
        <v>5662</v>
      </c>
      <c r="M768" s="33">
        <v>0</v>
      </c>
      <c r="N768" s="33">
        <v>0</v>
      </c>
      <c r="O768" s="33">
        <v>35462</v>
      </c>
      <c r="P768" s="33" t="s">
        <v>41</v>
      </c>
      <c r="Q768" s="33" t="s">
        <v>42</v>
      </c>
      <c r="R768" s="26"/>
      <c r="S768" s="26" t="s">
        <v>43</v>
      </c>
      <c r="T768" s="26"/>
      <c r="U768" s="26"/>
      <c r="V768" s="26"/>
      <c r="W768" s="26"/>
      <c r="X768" s="26"/>
    </row>
    <row r="769" spans="1:24" s="29" customFormat="1">
      <c r="A769" s="33" t="s">
        <v>31</v>
      </c>
      <c r="B769" s="33" t="s">
        <v>3136</v>
      </c>
      <c r="C769" s="33" t="s">
        <v>3137</v>
      </c>
      <c r="D769" s="33">
        <f t="shared" si="11"/>
        <v>-1</v>
      </c>
      <c r="E769" s="33" t="s">
        <v>34</v>
      </c>
      <c r="F769" s="33" t="s">
        <v>2993</v>
      </c>
      <c r="G769" s="33" t="s">
        <v>3138</v>
      </c>
      <c r="H769" s="33" t="s">
        <v>37</v>
      </c>
      <c r="I769" s="33" t="s">
        <v>38</v>
      </c>
      <c r="J769" s="33" t="s">
        <v>494</v>
      </c>
      <c r="K769" s="33" t="s">
        <v>495</v>
      </c>
      <c r="L769" s="33">
        <v>17071.5</v>
      </c>
      <c r="M769" s="33">
        <v>0</v>
      </c>
      <c r="N769" s="33">
        <v>0</v>
      </c>
      <c r="O769" s="33">
        <v>106921.5</v>
      </c>
      <c r="P769" s="33" t="s">
        <v>41</v>
      </c>
      <c r="Q769" s="33" t="s">
        <v>42</v>
      </c>
      <c r="R769" s="26"/>
      <c r="S769" s="26" t="s">
        <v>43</v>
      </c>
      <c r="T769" s="26"/>
      <c r="U769" s="26"/>
      <c r="V769" s="26"/>
      <c r="W769" s="26"/>
      <c r="X769" s="26"/>
    </row>
    <row r="770" spans="1:24" s="29" customFormat="1">
      <c r="A770" s="34" t="s">
        <v>31</v>
      </c>
      <c r="B770" s="34" t="s">
        <v>3139</v>
      </c>
      <c r="C770" s="34" t="s">
        <v>3140</v>
      </c>
      <c r="D770" s="34">
        <f t="shared" si="11"/>
        <v>-1</v>
      </c>
      <c r="E770" s="34" t="s">
        <v>34</v>
      </c>
      <c r="F770" s="34" t="s">
        <v>2993</v>
      </c>
      <c r="G770" s="34" t="s">
        <v>3141</v>
      </c>
      <c r="H770" s="34" t="s">
        <v>37</v>
      </c>
      <c r="I770" s="34" t="s">
        <v>38</v>
      </c>
      <c r="J770" s="34" t="s">
        <v>974</v>
      </c>
      <c r="K770" s="34" t="s">
        <v>975</v>
      </c>
      <c r="L770" s="34">
        <v>231078</v>
      </c>
      <c r="M770" s="34">
        <v>0</v>
      </c>
      <c r="N770" s="34">
        <v>0</v>
      </c>
      <c r="O770" s="34">
        <v>1447278</v>
      </c>
      <c r="P770" s="34" t="s">
        <v>41</v>
      </c>
      <c r="Q770" s="34" t="s">
        <v>42</v>
      </c>
      <c r="R770" s="26"/>
      <c r="S770" s="26"/>
      <c r="T770" s="26" t="s">
        <v>43</v>
      </c>
      <c r="U770" s="26"/>
      <c r="V770" s="26"/>
      <c r="W770" s="26"/>
      <c r="X770" s="26"/>
    </row>
    <row r="771" spans="1:24" s="29" customFormat="1">
      <c r="A771" s="26" t="s">
        <v>31</v>
      </c>
      <c r="B771" s="26" t="s">
        <v>3142</v>
      </c>
      <c r="C771" s="26" t="s">
        <v>3143</v>
      </c>
      <c r="D771" s="26">
        <f t="shared" si="11"/>
        <v>-1</v>
      </c>
      <c r="E771" s="26" t="s">
        <v>34</v>
      </c>
      <c r="F771" s="26" t="s">
        <v>2993</v>
      </c>
      <c r="G771" s="26" t="s">
        <v>3144</v>
      </c>
      <c r="H771" s="26" t="s">
        <v>37</v>
      </c>
      <c r="I771" s="26" t="s">
        <v>38</v>
      </c>
      <c r="J771" s="26" t="s">
        <v>3145</v>
      </c>
      <c r="K771" s="26" t="s">
        <v>3146</v>
      </c>
      <c r="L771" s="26">
        <v>3800</v>
      </c>
      <c r="M771" s="26">
        <v>0</v>
      </c>
      <c r="N771" s="26">
        <v>0</v>
      </c>
      <c r="O771" s="26">
        <v>23800</v>
      </c>
      <c r="P771" s="26" t="s">
        <v>41</v>
      </c>
      <c r="Q771" s="26" t="s">
        <v>42</v>
      </c>
      <c r="R771" s="26"/>
      <c r="S771" s="26"/>
      <c r="T771" s="26"/>
      <c r="U771" s="26"/>
      <c r="V771" s="26" t="s">
        <v>43</v>
      </c>
      <c r="W771" s="26"/>
      <c r="X771" s="26"/>
    </row>
    <row r="772" spans="1:24" s="29" customFormat="1">
      <c r="A772" s="26" t="s">
        <v>31</v>
      </c>
      <c r="B772" s="26" t="s">
        <v>3147</v>
      </c>
      <c r="C772" s="26" t="s">
        <v>3148</v>
      </c>
      <c r="D772" s="26">
        <f t="shared" si="11"/>
        <v>-1</v>
      </c>
      <c r="E772" s="26" t="s">
        <v>34</v>
      </c>
      <c r="F772" s="26" t="s">
        <v>2993</v>
      </c>
      <c r="G772" s="26" t="s">
        <v>3149</v>
      </c>
      <c r="H772" s="26" t="s">
        <v>37</v>
      </c>
      <c r="I772" s="26" t="s">
        <v>38</v>
      </c>
      <c r="J772" s="26" t="s">
        <v>3145</v>
      </c>
      <c r="K772" s="26" t="s">
        <v>3146</v>
      </c>
      <c r="L772" s="26">
        <v>140109.79999999999</v>
      </c>
      <c r="M772" s="26">
        <v>0</v>
      </c>
      <c r="N772" s="26">
        <v>0</v>
      </c>
      <c r="O772" s="26">
        <v>877529.8</v>
      </c>
      <c r="P772" s="26" t="s">
        <v>41</v>
      </c>
      <c r="Q772" s="26" t="s">
        <v>42</v>
      </c>
      <c r="R772" s="26"/>
      <c r="S772" s="26"/>
      <c r="T772" s="26"/>
      <c r="U772" s="26"/>
      <c r="V772" s="26" t="s">
        <v>43</v>
      </c>
      <c r="W772" s="26"/>
      <c r="X772" s="26"/>
    </row>
    <row r="773" spans="1:24" s="29" customFormat="1">
      <c r="A773" s="33" t="s">
        <v>31</v>
      </c>
      <c r="B773" s="33" t="s">
        <v>3150</v>
      </c>
      <c r="C773" s="33" t="s">
        <v>3151</v>
      </c>
      <c r="D773" s="33">
        <f t="shared" si="11"/>
        <v>-1</v>
      </c>
      <c r="E773" s="33" t="s">
        <v>34</v>
      </c>
      <c r="F773" s="33" t="s">
        <v>2993</v>
      </c>
      <c r="G773" s="33" t="s">
        <v>3152</v>
      </c>
      <c r="H773" s="33" t="s">
        <v>37</v>
      </c>
      <c r="I773" s="33" t="s">
        <v>38</v>
      </c>
      <c r="J773" s="33" t="s">
        <v>494</v>
      </c>
      <c r="K773" s="33" t="s">
        <v>495</v>
      </c>
      <c r="L773" s="33">
        <v>18620</v>
      </c>
      <c r="M773" s="33">
        <v>0</v>
      </c>
      <c r="N773" s="33">
        <v>0</v>
      </c>
      <c r="O773" s="33">
        <v>116620</v>
      </c>
      <c r="P773" s="33" t="s">
        <v>41</v>
      </c>
      <c r="Q773" s="33" t="s">
        <v>42</v>
      </c>
      <c r="R773" s="26"/>
      <c r="S773" s="26" t="s">
        <v>43</v>
      </c>
      <c r="T773" s="26"/>
      <c r="U773" s="26"/>
      <c r="V773" s="26"/>
      <c r="W773" s="26"/>
      <c r="X773" s="26"/>
    </row>
    <row r="774" spans="1:24" s="29" customFormat="1">
      <c r="A774" s="26" t="s">
        <v>31</v>
      </c>
      <c r="B774" s="26" t="s">
        <v>3153</v>
      </c>
      <c r="C774" s="26" t="s">
        <v>3154</v>
      </c>
      <c r="D774" s="26">
        <f t="shared" si="11"/>
        <v>-1</v>
      </c>
      <c r="E774" s="26" t="s">
        <v>34</v>
      </c>
      <c r="F774" s="26" t="s">
        <v>2993</v>
      </c>
      <c r="G774" s="26" t="s">
        <v>3155</v>
      </c>
      <c r="H774" s="26" t="s">
        <v>37</v>
      </c>
      <c r="I774" s="26" t="s">
        <v>38</v>
      </c>
      <c r="J774" s="26" t="s">
        <v>729</v>
      </c>
      <c r="K774" s="26" t="s">
        <v>730</v>
      </c>
      <c r="L774" s="26">
        <v>62681</v>
      </c>
      <c r="M774" s="26">
        <v>0</v>
      </c>
      <c r="N774" s="26">
        <v>0</v>
      </c>
      <c r="O774" s="26">
        <v>392581</v>
      </c>
      <c r="P774" s="26" t="s">
        <v>41</v>
      </c>
      <c r="Q774" s="26" t="s">
        <v>42</v>
      </c>
      <c r="R774" s="26"/>
      <c r="S774" s="26"/>
      <c r="T774" s="26"/>
      <c r="U774" s="26"/>
      <c r="V774" s="26" t="s">
        <v>43</v>
      </c>
      <c r="W774" s="26"/>
      <c r="X774" s="26"/>
    </row>
    <row r="775" spans="1:24" s="29" customFormat="1">
      <c r="A775" s="35" t="s">
        <v>31</v>
      </c>
      <c r="B775" s="35" t="s">
        <v>3156</v>
      </c>
      <c r="C775" s="35" t="s">
        <v>3157</v>
      </c>
      <c r="D775" s="35">
        <f t="shared" si="11"/>
        <v>-1</v>
      </c>
      <c r="E775" s="35" t="s">
        <v>34</v>
      </c>
      <c r="F775" s="35" t="s">
        <v>2993</v>
      </c>
      <c r="G775" s="35" t="s">
        <v>3158</v>
      </c>
      <c r="H775" s="35" t="s">
        <v>37</v>
      </c>
      <c r="I775" s="35" t="s">
        <v>38</v>
      </c>
      <c r="J775" s="35" t="s">
        <v>3159</v>
      </c>
      <c r="K775" s="35" t="s">
        <v>3160</v>
      </c>
      <c r="L775" s="35">
        <v>2639670</v>
      </c>
      <c r="M775" s="35">
        <v>0</v>
      </c>
      <c r="N775" s="35">
        <v>0</v>
      </c>
      <c r="O775" s="35">
        <v>16532670</v>
      </c>
      <c r="P775" s="35" t="s">
        <v>41</v>
      </c>
      <c r="Q775" s="35" t="s">
        <v>42</v>
      </c>
      <c r="R775" s="26"/>
      <c r="S775" s="26"/>
      <c r="T775" s="26"/>
      <c r="U775" s="26"/>
      <c r="V775" s="26"/>
      <c r="W775" s="35" t="s">
        <v>43</v>
      </c>
      <c r="X775" s="26" t="s">
        <v>1377</v>
      </c>
    </row>
    <row r="776" spans="1:24" s="29" customFormat="1">
      <c r="A776" s="34" t="s">
        <v>31</v>
      </c>
      <c r="B776" s="34" t="s">
        <v>3161</v>
      </c>
      <c r="C776" s="34" t="s">
        <v>3162</v>
      </c>
      <c r="D776" s="34">
        <f t="shared" si="11"/>
        <v>-1</v>
      </c>
      <c r="E776" s="34" t="s">
        <v>34</v>
      </c>
      <c r="F776" s="34" t="s">
        <v>2993</v>
      </c>
      <c r="G776" s="34" t="s">
        <v>3163</v>
      </c>
      <c r="H776" s="34" t="s">
        <v>37</v>
      </c>
      <c r="I776" s="34" t="s">
        <v>38</v>
      </c>
      <c r="J776" s="34" t="s">
        <v>3164</v>
      </c>
      <c r="K776" s="34" t="s">
        <v>3165</v>
      </c>
      <c r="L776" s="34">
        <v>135660</v>
      </c>
      <c r="M776" s="34">
        <v>0</v>
      </c>
      <c r="N776" s="34">
        <v>0</v>
      </c>
      <c r="O776" s="34">
        <v>849660</v>
      </c>
      <c r="P776" s="34" t="s">
        <v>41</v>
      </c>
      <c r="Q776" s="34" t="s">
        <v>42</v>
      </c>
      <c r="R776" s="26"/>
      <c r="S776" s="26"/>
      <c r="T776" s="26" t="s">
        <v>43</v>
      </c>
      <c r="U776" s="26"/>
      <c r="V776" s="26"/>
      <c r="W776" s="26"/>
      <c r="X776" s="26"/>
    </row>
    <row r="777" spans="1:24" s="29" customFormat="1">
      <c r="A777" s="35" t="s">
        <v>31</v>
      </c>
      <c r="B777" s="35" t="s">
        <v>3166</v>
      </c>
      <c r="C777" s="35" t="s">
        <v>3167</v>
      </c>
      <c r="D777" s="35">
        <f t="shared" si="11"/>
        <v>-1</v>
      </c>
      <c r="E777" s="35" t="s">
        <v>34</v>
      </c>
      <c r="F777" s="35" t="s">
        <v>2993</v>
      </c>
      <c r="G777" s="35" t="s">
        <v>3168</v>
      </c>
      <c r="H777" s="35" t="s">
        <v>37</v>
      </c>
      <c r="I777" s="35" t="s">
        <v>38</v>
      </c>
      <c r="J777" s="35" t="s">
        <v>1666</v>
      </c>
      <c r="K777" s="35" t="s">
        <v>1667</v>
      </c>
      <c r="L777" s="35">
        <v>0</v>
      </c>
      <c r="M777" s="35">
        <v>0</v>
      </c>
      <c r="N777" s="35">
        <v>0</v>
      </c>
      <c r="O777" s="35">
        <v>1720000</v>
      </c>
      <c r="P777" s="35" t="s">
        <v>41</v>
      </c>
      <c r="Q777" s="35" t="s">
        <v>42</v>
      </c>
      <c r="R777" s="26"/>
      <c r="S777" s="26"/>
      <c r="T777" s="26"/>
      <c r="U777" s="26"/>
      <c r="V777" s="26"/>
      <c r="W777" s="35" t="s">
        <v>43</v>
      </c>
      <c r="X777" s="26" t="s">
        <v>1388</v>
      </c>
    </row>
    <row r="778" spans="1:24" s="29" customFormat="1">
      <c r="A778" s="34" t="s">
        <v>31</v>
      </c>
      <c r="B778" s="34" t="s">
        <v>3169</v>
      </c>
      <c r="C778" s="34" t="s">
        <v>3170</v>
      </c>
      <c r="D778" s="34">
        <f t="shared" si="11"/>
        <v>-1</v>
      </c>
      <c r="E778" s="34" t="s">
        <v>34</v>
      </c>
      <c r="F778" s="34" t="s">
        <v>2993</v>
      </c>
      <c r="G778" s="34" t="s">
        <v>3171</v>
      </c>
      <c r="H778" s="34" t="s">
        <v>37</v>
      </c>
      <c r="I778" s="34" t="s">
        <v>38</v>
      </c>
      <c r="J778" s="34" t="s">
        <v>3172</v>
      </c>
      <c r="K778" s="34" t="s">
        <v>3173</v>
      </c>
      <c r="L778" s="34">
        <v>380000</v>
      </c>
      <c r="M778" s="34">
        <v>0</v>
      </c>
      <c r="N778" s="34">
        <v>0</v>
      </c>
      <c r="O778" s="34">
        <v>2380000</v>
      </c>
      <c r="P778" s="34" t="s">
        <v>41</v>
      </c>
      <c r="Q778" s="34" t="s">
        <v>42</v>
      </c>
      <c r="R778" s="26"/>
      <c r="S778" s="26"/>
      <c r="T778" s="26" t="s">
        <v>43</v>
      </c>
      <c r="U778" s="26"/>
      <c r="V778" s="26"/>
      <c r="W778" s="26"/>
      <c r="X778" s="26"/>
    </row>
    <row r="779" spans="1:24" s="29" customFormat="1">
      <c r="A779" s="34" t="s">
        <v>31</v>
      </c>
      <c r="B779" s="34" t="s">
        <v>3174</v>
      </c>
      <c r="C779" s="34" t="s">
        <v>3175</v>
      </c>
      <c r="D779" s="34">
        <f t="shared" si="11"/>
        <v>-1</v>
      </c>
      <c r="E779" s="34" t="s">
        <v>34</v>
      </c>
      <c r="F779" s="34" t="s">
        <v>2993</v>
      </c>
      <c r="G779" s="34" t="s">
        <v>3176</v>
      </c>
      <c r="H779" s="34" t="s">
        <v>37</v>
      </c>
      <c r="I779" s="34" t="s">
        <v>38</v>
      </c>
      <c r="J779" s="34" t="s">
        <v>530</v>
      </c>
      <c r="K779" s="34" t="s">
        <v>531</v>
      </c>
      <c r="L779" s="34">
        <v>128820</v>
      </c>
      <c r="M779" s="34">
        <v>0</v>
      </c>
      <c r="N779" s="34">
        <v>0</v>
      </c>
      <c r="O779" s="34">
        <v>806820</v>
      </c>
      <c r="P779" s="34" t="s">
        <v>41</v>
      </c>
      <c r="Q779" s="34" t="s">
        <v>42</v>
      </c>
      <c r="R779" s="26"/>
      <c r="S779" s="26"/>
      <c r="T779" s="26" t="s">
        <v>43</v>
      </c>
      <c r="U779" s="26"/>
      <c r="V779" s="26"/>
      <c r="W779" s="26"/>
      <c r="X779" s="26"/>
    </row>
    <row r="780" spans="1:24" s="29" customFormat="1">
      <c r="A780" s="26" t="s">
        <v>31</v>
      </c>
      <c r="B780" s="26" t="s">
        <v>3177</v>
      </c>
      <c r="C780" s="26" t="s">
        <v>3178</v>
      </c>
      <c r="D780" s="26">
        <f t="shared" si="11"/>
        <v>-1</v>
      </c>
      <c r="E780" s="26" t="s">
        <v>34</v>
      </c>
      <c r="F780" s="26" t="s">
        <v>2993</v>
      </c>
      <c r="G780" s="26" t="s">
        <v>3179</v>
      </c>
      <c r="H780" s="26" t="s">
        <v>37</v>
      </c>
      <c r="I780" s="26" t="s">
        <v>38</v>
      </c>
      <c r="J780" s="26" t="s">
        <v>1766</v>
      </c>
      <c r="K780" s="26" t="s">
        <v>1767</v>
      </c>
      <c r="L780" s="26">
        <v>193528.68</v>
      </c>
      <c r="M780" s="26">
        <v>0</v>
      </c>
      <c r="N780" s="26">
        <v>0</v>
      </c>
      <c r="O780" s="26">
        <v>1212100.68</v>
      </c>
      <c r="P780" s="26" t="s">
        <v>41</v>
      </c>
      <c r="Q780" s="26" t="s">
        <v>42</v>
      </c>
      <c r="R780" s="26"/>
      <c r="S780" s="26"/>
      <c r="T780" s="26"/>
      <c r="U780" s="26"/>
      <c r="V780" s="26" t="s">
        <v>43</v>
      </c>
      <c r="W780" s="26"/>
      <c r="X780" s="26"/>
    </row>
    <row r="781" spans="1:24" s="29" customFormat="1">
      <c r="A781" s="35" t="s">
        <v>31</v>
      </c>
      <c r="B781" s="35" t="s">
        <v>3180</v>
      </c>
      <c r="C781" s="35" t="s">
        <v>3181</v>
      </c>
      <c r="D781" s="35">
        <f t="shared" ref="D781:D844" si="12">C781-C782</f>
        <v>-1</v>
      </c>
      <c r="E781" s="35" t="s">
        <v>34</v>
      </c>
      <c r="F781" s="35" t="s">
        <v>2993</v>
      </c>
      <c r="G781" s="35" t="s">
        <v>3182</v>
      </c>
      <c r="H781" s="35" t="s">
        <v>37</v>
      </c>
      <c r="I781" s="35" t="s">
        <v>38</v>
      </c>
      <c r="J781" s="35" t="s">
        <v>3183</v>
      </c>
      <c r="K781" s="35" t="s">
        <v>3184</v>
      </c>
      <c r="L781" s="35">
        <v>79230</v>
      </c>
      <c r="M781" s="35">
        <v>0</v>
      </c>
      <c r="N781" s="35">
        <v>0</v>
      </c>
      <c r="O781" s="35">
        <v>496230</v>
      </c>
      <c r="P781" s="35" t="s">
        <v>41</v>
      </c>
      <c r="Q781" s="35" t="s">
        <v>42</v>
      </c>
      <c r="R781" s="26"/>
      <c r="S781" s="26"/>
      <c r="T781" s="26"/>
      <c r="U781" s="26"/>
      <c r="V781" s="26"/>
      <c r="W781" s="35" t="s">
        <v>43</v>
      </c>
      <c r="X781" s="26" t="s">
        <v>920</v>
      </c>
    </row>
    <row r="782" spans="1:24" s="29" customFormat="1">
      <c r="A782" s="26" t="s">
        <v>31</v>
      </c>
      <c r="B782" s="26" t="s">
        <v>3185</v>
      </c>
      <c r="C782" s="26" t="s">
        <v>3186</v>
      </c>
      <c r="D782" s="26">
        <f t="shared" si="12"/>
        <v>-1</v>
      </c>
      <c r="E782" s="26" t="s">
        <v>34</v>
      </c>
      <c r="F782" s="26" t="s">
        <v>2993</v>
      </c>
      <c r="G782" s="26" t="s">
        <v>3187</v>
      </c>
      <c r="H782" s="26" t="s">
        <v>37</v>
      </c>
      <c r="I782" s="26" t="s">
        <v>38</v>
      </c>
      <c r="J782" s="26" t="s">
        <v>1619</v>
      </c>
      <c r="K782" s="26" t="s">
        <v>1620</v>
      </c>
      <c r="L782" s="26">
        <v>253650</v>
      </c>
      <c r="M782" s="26">
        <v>0</v>
      </c>
      <c r="N782" s="26">
        <v>0</v>
      </c>
      <c r="O782" s="26">
        <v>1588650</v>
      </c>
      <c r="P782" s="26" t="s">
        <v>41</v>
      </c>
      <c r="Q782" s="26" t="s">
        <v>42</v>
      </c>
      <c r="R782" s="26"/>
      <c r="S782" s="26"/>
      <c r="T782" s="26"/>
      <c r="U782" s="26"/>
      <c r="V782" s="26" t="s">
        <v>43</v>
      </c>
      <c r="W782" s="26"/>
      <c r="X782" s="26"/>
    </row>
    <row r="783" spans="1:24" s="29" customFormat="1">
      <c r="A783" s="26" t="s">
        <v>31</v>
      </c>
      <c r="B783" s="26" t="s">
        <v>3188</v>
      </c>
      <c r="C783" s="26" t="s">
        <v>3189</v>
      </c>
      <c r="D783" s="26">
        <f t="shared" si="12"/>
        <v>-1</v>
      </c>
      <c r="E783" s="26" t="s">
        <v>34</v>
      </c>
      <c r="F783" s="26" t="s">
        <v>2993</v>
      </c>
      <c r="G783" s="26" t="s">
        <v>3190</v>
      </c>
      <c r="H783" s="26" t="s">
        <v>37</v>
      </c>
      <c r="I783" s="26" t="s">
        <v>38</v>
      </c>
      <c r="J783" s="26" t="s">
        <v>3191</v>
      </c>
      <c r="K783" s="26" t="s">
        <v>3192</v>
      </c>
      <c r="L783" s="26">
        <v>788689.24</v>
      </c>
      <c r="M783" s="26">
        <v>0</v>
      </c>
      <c r="N783" s="26">
        <v>0</v>
      </c>
      <c r="O783" s="26">
        <v>4939685.24</v>
      </c>
      <c r="P783" s="26" t="s">
        <v>41</v>
      </c>
      <c r="Q783" s="26" t="s">
        <v>42</v>
      </c>
      <c r="R783" s="26"/>
      <c r="S783" s="26"/>
      <c r="T783" s="26"/>
      <c r="U783" s="26"/>
      <c r="V783" s="26" t="s">
        <v>43</v>
      </c>
      <c r="W783" s="26"/>
      <c r="X783" s="26"/>
    </row>
    <row r="784" spans="1:24" s="29" customFormat="1">
      <c r="A784" s="35" t="s">
        <v>31</v>
      </c>
      <c r="B784" s="35" t="s">
        <v>3193</v>
      </c>
      <c r="C784" s="35" t="s">
        <v>3194</v>
      </c>
      <c r="D784" s="35">
        <f t="shared" si="12"/>
        <v>-1</v>
      </c>
      <c r="E784" s="35" t="s">
        <v>34</v>
      </c>
      <c r="F784" s="35" t="s">
        <v>2993</v>
      </c>
      <c r="G784" s="35" t="s">
        <v>3195</v>
      </c>
      <c r="H784" s="35" t="s">
        <v>37</v>
      </c>
      <c r="I784" s="35" t="s">
        <v>38</v>
      </c>
      <c r="J784" s="35" t="s">
        <v>3196</v>
      </c>
      <c r="K784" s="35" t="s">
        <v>3197</v>
      </c>
      <c r="L784" s="35">
        <v>44016.5</v>
      </c>
      <c r="M784" s="35">
        <v>0</v>
      </c>
      <c r="N784" s="35">
        <v>0</v>
      </c>
      <c r="O784" s="35">
        <v>821866.5</v>
      </c>
      <c r="P784" s="35" t="s">
        <v>41</v>
      </c>
      <c r="Q784" s="35" t="s">
        <v>42</v>
      </c>
      <c r="R784" s="26"/>
      <c r="S784" s="26"/>
      <c r="T784" s="26"/>
      <c r="U784" s="26"/>
      <c r="V784" s="26"/>
      <c r="W784" s="35" t="s">
        <v>43</v>
      </c>
      <c r="X784" s="26" t="s">
        <v>1388</v>
      </c>
    </row>
    <row r="785" spans="1:24" s="29" customFormat="1">
      <c r="A785" s="26" t="s">
        <v>31</v>
      </c>
      <c r="B785" s="26" t="s">
        <v>3198</v>
      </c>
      <c r="C785" s="26" t="s">
        <v>3199</v>
      </c>
      <c r="D785" s="26">
        <f t="shared" si="12"/>
        <v>-1</v>
      </c>
      <c r="E785" s="26" t="s">
        <v>34</v>
      </c>
      <c r="F785" s="26" t="s">
        <v>2993</v>
      </c>
      <c r="G785" s="26" t="s">
        <v>3200</v>
      </c>
      <c r="H785" s="26" t="s">
        <v>37</v>
      </c>
      <c r="I785" s="26" t="s">
        <v>38</v>
      </c>
      <c r="J785" s="26" t="s">
        <v>1698</v>
      </c>
      <c r="K785" s="26" t="s">
        <v>1699</v>
      </c>
      <c r="L785" s="26">
        <v>191900</v>
      </c>
      <c r="M785" s="26">
        <v>0</v>
      </c>
      <c r="N785" s="26">
        <v>0</v>
      </c>
      <c r="O785" s="26">
        <v>1201900</v>
      </c>
      <c r="P785" s="26" t="s">
        <v>41</v>
      </c>
      <c r="Q785" s="26" t="s">
        <v>42</v>
      </c>
      <c r="R785" s="26"/>
      <c r="S785" s="26"/>
      <c r="T785" s="26"/>
      <c r="U785" s="26"/>
      <c r="V785" s="26" t="s">
        <v>43</v>
      </c>
      <c r="W785" s="26"/>
      <c r="X785" s="26"/>
    </row>
    <row r="786" spans="1:24" s="29" customFormat="1">
      <c r="A786" s="32" t="s">
        <v>31</v>
      </c>
      <c r="B786" s="32" t="s">
        <v>3201</v>
      </c>
      <c r="C786" s="32" t="s">
        <v>3202</v>
      </c>
      <c r="D786" s="32">
        <f t="shared" si="12"/>
        <v>-1</v>
      </c>
      <c r="E786" s="32" t="s">
        <v>34</v>
      </c>
      <c r="F786" s="32" t="s">
        <v>2993</v>
      </c>
      <c r="G786" s="32" t="s">
        <v>3200</v>
      </c>
      <c r="H786" s="32" t="s">
        <v>37</v>
      </c>
      <c r="I786" s="32" t="s">
        <v>38</v>
      </c>
      <c r="J786" s="32" t="s">
        <v>1982</v>
      </c>
      <c r="K786" s="32" t="s">
        <v>1983</v>
      </c>
      <c r="L786" s="32">
        <v>500650</v>
      </c>
      <c r="M786" s="32">
        <v>0</v>
      </c>
      <c r="N786" s="32">
        <v>0</v>
      </c>
      <c r="O786" s="32">
        <v>3135650</v>
      </c>
      <c r="P786" s="32" t="s">
        <v>41</v>
      </c>
      <c r="Q786" s="32" t="s">
        <v>42</v>
      </c>
      <c r="R786" s="26" t="s">
        <v>43</v>
      </c>
      <c r="S786" s="26"/>
      <c r="T786" s="26"/>
      <c r="U786" s="26"/>
      <c r="V786" s="26"/>
      <c r="W786" s="26"/>
      <c r="X786" s="26"/>
    </row>
    <row r="787" spans="1:24" s="29" customFormat="1">
      <c r="A787" s="26" t="s">
        <v>31</v>
      </c>
      <c r="B787" s="26" t="s">
        <v>3203</v>
      </c>
      <c r="C787" s="26" t="s">
        <v>3204</v>
      </c>
      <c r="D787" s="26">
        <f t="shared" si="12"/>
        <v>-1</v>
      </c>
      <c r="E787" s="26" t="s">
        <v>34</v>
      </c>
      <c r="F787" s="26" t="s">
        <v>2993</v>
      </c>
      <c r="G787" s="26" t="s">
        <v>3205</v>
      </c>
      <c r="H787" s="26" t="s">
        <v>37</v>
      </c>
      <c r="I787" s="26" t="s">
        <v>38</v>
      </c>
      <c r="J787" s="26" t="s">
        <v>3206</v>
      </c>
      <c r="K787" s="26" t="s">
        <v>3207</v>
      </c>
      <c r="L787" s="26">
        <v>29006.73</v>
      </c>
      <c r="M787" s="26">
        <v>0</v>
      </c>
      <c r="N787" s="26">
        <v>0</v>
      </c>
      <c r="O787" s="26">
        <v>181673.73</v>
      </c>
      <c r="P787" s="26" t="s">
        <v>41</v>
      </c>
      <c r="Q787" s="26" t="s">
        <v>42</v>
      </c>
      <c r="R787" s="26"/>
      <c r="S787" s="26"/>
      <c r="T787" s="26"/>
      <c r="U787" s="26"/>
      <c r="V787" s="26" t="s">
        <v>43</v>
      </c>
      <c r="W787" s="26"/>
      <c r="X787" s="26"/>
    </row>
    <row r="788" spans="1:24" s="29" customFormat="1">
      <c r="A788" s="26" t="s">
        <v>31</v>
      </c>
      <c r="B788" s="26" t="s">
        <v>3208</v>
      </c>
      <c r="C788" s="26" t="s">
        <v>3209</v>
      </c>
      <c r="D788" s="26">
        <f t="shared" si="12"/>
        <v>-1</v>
      </c>
      <c r="E788" s="26" t="s">
        <v>34</v>
      </c>
      <c r="F788" s="26" t="s">
        <v>2993</v>
      </c>
      <c r="G788" s="26" t="s">
        <v>3210</v>
      </c>
      <c r="H788" s="26" t="s">
        <v>37</v>
      </c>
      <c r="I788" s="26" t="s">
        <v>38</v>
      </c>
      <c r="J788" s="26" t="s">
        <v>3206</v>
      </c>
      <c r="K788" s="26" t="s">
        <v>3207</v>
      </c>
      <c r="L788" s="26">
        <v>9444.52</v>
      </c>
      <c r="M788" s="26">
        <v>0</v>
      </c>
      <c r="N788" s="26">
        <v>0</v>
      </c>
      <c r="O788" s="26">
        <v>59152.52</v>
      </c>
      <c r="P788" s="26" t="s">
        <v>41</v>
      </c>
      <c r="Q788" s="26" t="s">
        <v>42</v>
      </c>
      <c r="R788" s="26"/>
      <c r="S788" s="26"/>
      <c r="T788" s="26"/>
      <c r="U788" s="26"/>
      <c r="V788" s="26" t="s">
        <v>43</v>
      </c>
      <c r="W788" s="26"/>
      <c r="X788" s="26"/>
    </row>
    <row r="789" spans="1:24" s="29" customFormat="1">
      <c r="A789" s="35" t="s">
        <v>31</v>
      </c>
      <c r="B789" s="35" t="s">
        <v>3211</v>
      </c>
      <c r="C789" s="35" t="s">
        <v>3212</v>
      </c>
      <c r="D789" s="35">
        <f t="shared" si="12"/>
        <v>-1</v>
      </c>
      <c r="E789" s="35" t="s">
        <v>34</v>
      </c>
      <c r="F789" s="35" t="s">
        <v>2993</v>
      </c>
      <c r="G789" s="35" t="s">
        <v>3213</v>
      </c>
      <c r="H789" s="35" t="s">
        <v>37</v>
      </c>
      <c r="I789" s="35" t="s">
        <v>38</v>
      </c>
      <c r="J789" s="35" t="s">
        <v>3206</v>
      </c>
      <c r="K789" s="35" t="s">
        <v>3207</v>
      </c>
      <c r="L789" s="35">
        <v>11107.02</v>
      </c>
      <c r="M789" s="35">
        <v>0</v>
      </c>
      <c r="N789" s="35">
        <v>0</v>
      </c>
      <c r="O789" s="35">
        <v>69565.02</v>
      </c>
      <c r="P789" s="35" t="s">
        <v>41</v>
      </c>
      <c r="Q789" s="35" t="s">
        <v>42</v>
      </c>
      <c r="R789" s="26"/>
      <c r="S789" s="26"/>
      <c r="T789" s="26"/>
      <c r="U789" s="26"/>
      <c r="V789" s="26"/>
      <c r="W789" s="35" t="s">
        <v>43</v>
      </c>
      <c r="X789" s="26" t="s">
        <v>1388</v>
      </c>
    </row>
    <row r="790" spans="1:24" s="29" customFormat="1">
      <c r="A790" s="26" t="s">
        <v>31</v>
      </c>
      <c r="B790" s="26" t="s">
        <v>3214</v>
      </c>
      <c r="C790" s="26" t="s">
        <v>3215</v>
      </c>
      <c r="D790" s="26">
        <f t="shared" si="12"/>
        <v>-1</v>
      </c>
      <c r="E790" s="26" t="s">
        <v>34</v>
      </c>
      <c r="F790" s="26" t="s">
        <v>2993</v>
      </c>
      <c r="G790" s="26" t="s">
        <v>3216</v>
      </c>
      <c r="H790" s="26" t="s">
        <v>37</v>
      </c>
      <c r="I790" s="26" t="s">
        <v>38</v>
      </c>
      <c r="J790" s="26" t="s">
        <v>3217</v>
      </c>
      <c r="K790" s="26" t="s">
        <v>3218</v>
      </c>
      <c r="L790" s="26">
        <v>65083.55</v>
      </c>
      <c r="M790" s="26">
        <v>0</v>
      </c>
      <c r="N790" s="26">
        <v>0</v>
      </c>
      <c r="O790" s="26">
        <v>407628.55</v>
      </c>
      <c r="P790" s="26" t="s">
        <v>41</v>
      </c>
      <c r="Q790" s="26" t="s">
        <v>42</v>
      </c>
      <c r="R790" s="26"/>
      <c r="S790" s="26"/>
      <c r="T790" s="26"/>
      <c r="U790" s="26"/>
      <c r="V790" s="26" t="s">
        <v>43</v>
      </c>
      <c r="W790" s="26"/>
      <c r="X790" s="26"/>
    </row>
    <row r="791" spans="1:24" s="29" customFormat="1">
      <c r="A791" s="35" t="s">
        <v>31</v>
      </c>
      <c r="B791" s="35" t="s">
        <v>3219</v>
      </c>
      <c r="C791" s="35" t="s">
        <v>3220</v>
      </c>
      <c r="D791" s="35">
        <f t="shared" si="12"/>
        <v>-1</v>
      </c>
      <c r="E791" s="35" t="s">
        <v>34</v>
      </c>
      <c r="F791" s="35" t="s">
        <v>2993</v>
      </c>
      <c r="G791" s="35" t="s">
        <v>3221</v>
      </c>
      <c r="H791" s="35" t="s">
        <v>37</v>
      </c>
      <c r="I791" s="35" t="s">
        <v>38</v>
      </c>
      <c r="J791" s="35" t="s">
        <v>896</v>
      </c>
      <c r="K791" s="35" t="s">
        <v>897</v>
      </c>
      <c r="L791" s="35">
        <v>297312</v>
      </c>
      <c r="M791" s="35">
        <v>0</v>
      </c>
      <c r="N791" s="35">
        <v>0</v>
      </c>
      <c r="O791" s="35">
        <v>1862112</v>
      </c>
      <c r="P791" s="35" t="s">
        <v>41</v>
      </c>
      <c r="Q791" s="35" t="s">
        <v>42</v>
      </c>
      <c r="R791" s="26"/>
      <c r="S791" s="26"/>
      <c r="T791" s="26"/>
      <c r="U791" s="26"/>
      <c r="V791" s="26"/>
      <c r="W791" s="35" t="s">
        <v>43</v>
      </c>
      <c r="X791" s="26" t="s">
        <v>898</v>
      </c>
    </row>
    <row r="792" spans="1:24" s="29" customFormat="1">
      <c r="A792" s="35" t="s">
        <v>31</v>
      </c>
      <c r="B792" s="35" t="s">
        <v>3222</v>
      </c>
      <c r="C792" s="35" t="s">
        <v>3223</v>
      </c>
      <c r="D792" s="35">
        <f t="shared" si="12"/>
        <v>-1</v>
      </c>
      <c r="E792" s="35" t="s">
        <v>34</v>
      </c>
      <c r="F792" s="35" t="s">
        <v>2993</v>
      </c>
      <c r="G792" s="35" t="s">
        <v>3224</v>
      </c>
      <c r="H792" s="35" t="s">
        <v>37</v>
      </c>
      <c r="I792" s="35" t="s">
        <v>38</v>
      </c>
      <c r="J792" s="35" t="s">
        <v>896</v>
      </c>
      <c r="K792" s="35" t="s">
        <v>897</v>
      </c>
      <c r="L792" s="35">
        <v>113580.1</v>
      </c>
      <c r="M792" s="35">
        <v>0</v>
      </c>
      <c r="N792" s="35">
        <v>0</v>
      </c>
      <c r="O792" s="35">
        <v>711370.1</v>
      </c>
      <c r="P792" s="35" t="s">
        <v>41</v>
      </c>
      <c r="Q792" s="35" t="s">
        <v>42</v>
      </c>
      <c r="R792" s="26"/>
      <c r="S792" s="26"/>
      <c r="T792" s="26"/>
      <c r="U792" s="26"/>
      <c r="V792" s="26"/>
      <c r="W792" s="35" t="s">
        <v>43</v>
      </c>
      <c r="X792" s="26" t="s">
        <v>3225</v>
      </c>
    </row>
    <row r="793" spans="1:24" s="29" customFormat="1">
      <c r="A793" s="26" t="s">
        <v>31</v>
      </c>
      <c r="B793" s="26" t="s">
        <v>3226</v>
      </c>
      <c r="C793" s="26" t="s">
        <v>3227</v>
      </c>
      <c r="D793" s="26">
        <f t="shared" si="12"/>
        <v>-1</v>
      </c>
      <c r="E793" s="26" t="s">
        <v>34</v>
      </c>
      <c r="F793" s="26" t="s">
        <v>2993</v>
      </c>
      <c r="G793" s="26" t="s">
        <v>3228</v>
      </c>
      <c r="H793" s="26" t="s">
        <v>37</v>
      </c>
      <c r="I793" s="26" t="s">
        <v>38</v>
      </c>
      <c r="J793" s="26" t="s">
        <v>3229</v>
      </c>
      <c r="K793" s="26" t="s">
        <v>3230</v>
      </c>
      <c r="L793" s="26">
        <v>44688</v>
      </c>
      <c r="M793" s="26">
        <v>0</v>
      </c>
      <c r="N793" s="26">
        <v>0</v>
      </c>
      <c r="O793" s="26">
        <v>279888</v>
      </c>
      <c r="P793" s="26" t="s">
        <v>41</v>
      </c>
      <c r="Q793" s="26" t="s">
        <v>42</v>
      </c>
      <c r="R793" s="26"/>
      <c r="S793" s="26"/>
      <c r="T793" s="26"/>
      <c r="U793" s="26"/>
      <c r="V793" s="26" t="s">
        <v>43</v>
      </c>
      <c r="W793" s="26"/>
      <c r="X793" s="26"/>
    </row>
    <row r="794" spans="1:24" s="29" customFormat="1">
      <c r="A794" s="26" t="s">
        <v>31</v>
      </c>
      <c r="B794" s="26" t="s">
        <v>3231</v>
      </c>
      <c r="C794" s="26" t="s">
        <v>3232</v>
      </c>
      <c r="D794" s="26">
        <f t="shared" si="12"/>
        <v>-1</v>
      </c>
      <c r="E794" s="26" t="s">
        <v>34</v>
      </c>
      <c r="F794" s="26" t="s">
        <v>2993</v>
      </c>
      <c r="G794" s="26" t="s">
        <v>3233</v>
      </c>
      <c r="H794" s="26" t="s">
        <v>37</v>
      </c>
      <c r="I794" s="26" t="s">
        <v>38</v>
      </c>
      <c r="J794" s="26" t="s">
        <v>494</v>
      </c>
      <c r="K794" s="26" t="s">
        <v>495</v>
      </c>
      <c r="L794" s="26">
        <v>13300</v>
      </c>
      <c r="M794" s="26">
        <v>0</v>
      </c>
      <c r="N794" s="26">
        <v>0</v>
      </c>
      <c r="O794" s="26">
        <v>83300</v>
      </c>
      <c r="P794" s="26" t="s">
        <v>41</v>
      </c>
      <c r="Q794" s="26" t="s">
        <v>42</v>
      </c>
      <c r="R794" s="26"/>
      <c r="S794" s="26"/>
      <c r="T794" s="26"/>
      <c r="U794" s="26"/>
      <c r="V794" s="26" t="s">
        <v>43</v>
      </c>
      <c r="W794" s="26"/>
      <c r="X794" s="26"/>
    </row>
    <row r="795" spans="1:24" s="29" customFormat="1">
      <c r="A795" s="26" t="s">
        <v>31</v>
      </c>
      <c r="B795" s="26" t="s">
        <v>3234</v>
      </c>
      <c r="C795" s="26" t="s">
        <v>3235</v>
      </c>
      <c r="D795" s="26">
        <f t="shared" si="12"/>
        <v>-1</v>
      </c>
      <c r="E795" s="26" t="s">
        <v>34</v>
      </c>
      <c r="F795" s="26" t="s">
        <v>2993</v>
      </c>
      <c r="G795" s="26" t="s">
        <v>3236</v>
      </c>
      <c r="H795" s="26" t="s">
        <v>37</v>
      </c>
      <c r="I795" s="26" t="s">
        <v>38</v>
      </c>
      <c r="J795" s="26" t="s">
        <v>3237</v>
      </c>
      <c r="K795" s="26" t="s">
        <v>3238</v>
      </c>
      <c r="L795" s="26">
        <v>1288200</v>
      </c>
      <c r="M795" s="26">
        <v>0</v>
      </c>
      <c r="N795" s="26">
        <v>0</v>
      </c>
      <c r="O795" s="26">
        <v>8068200</v>
      </c>
      <c r="P795" s="26" t="s">
        <v>41</v>
      </c>
      <c r="Q795" s="26" t="s">
        <v>42</v>
      </c>
      <c r="R795" s="26"/>
      <c r="S795" s="26"/>
      <c r="T795" s="26"/>
      <c r="U795" s="26"/>
      <c r="V795" s="26" t="s">
        <v>43</v>
      </c>
      <c r="W795" s="26"/>
      <c r="X795" s="26"/>
    </row>
    <row r="796" spans="1:24" s="29" customFormat="1">
      <c r="A796" s="33" t="s">
        <v>31</v>
      </c>
      <c r="B796" s="33" t="s">
        <v>3239</v>
      </c>
      <c r="C796" s="33" t="s">
        <v>3240</v>
      </c>
      <c r="D796" s="33">
        <f t="shared" si="12"/>
        <v>-1</v>
      </c>
      <c r="E796" s="33" t="s">
        <v>34</v>
      </c>
      <c r="F796" s="33" t="s">
        <v>2993</v>
      </c>
      <c r="G796" s="33" t="s">
        <v>3241</v>
      </c>
      <c r="H796" s="33" t="s">
        <v>37</v>
      </c>
      <c r="I796" s="33" t="s">
        <v>38</v>
      </c>
      <c r="J796" s="33" t="s">
        <v>3242</v>
      </c>
      <c r="K796" s="33" t="s">
        <v>3243</v>
      </c>
      <c r="L796" s="33">
        <v>21975.21</v>
      </c>
      <c r="M796" s="33">
        <v>0</v>
      </c>
      <c r="N796" s="33">
        <v>0</v>
      </c>
      <c r="O796" s="33">
        <v>137634.21</v>
      </c>
      <c r="P796" s="33" t="s">
        <v>41</v>
      </c>
      <c r="Q796" s="33" t="s">
        <v>42</v>
      </c>
      <c r="R796" s="26"/>
      <c r="S796" s="26" t="s">
        <v>43</v>
      </c>
      <c r="T796" s="26"/>
      <c r="U796" s="26"/>
      <c r="V796" s="26"/>
      <c r="W796" s="26"/>
      <c r="X796" s="26"/>
    </row>
    <row r="797" spans="1:24" s="29" customFormat="1">
      <c r="A797" s="26" t="s">
        <v>31</v>
      </c>
      <c r="B797" s="26" t="s">
        <v>3244</v>
      </c>
      <c r="C797" s="26" t="s">
        <v>3245</v>
      </c>
      <c r="D797" s="26">
        <f t="shared" si="12"/>
        <v>-1</v>
      </c>
      <c r="E797" s="26" t="s">
        <v>34</v>
      </c>
      <c r="F797" s="26" t="s">
        <v>2993</v>
      </c>
      <c r="G797" s="26" t="s">
        <v>3246</v>
      </c>
      <c r="H797" s="26" t="s">
        <v>37</v>
      </c>
      <c r="I797" s="26" t="s">
        <v>38</v>
      </c>
      <c r="J797" s="26" t="s">
        <v>3247</v>
      </c>
      <c r="K797" s="26" t="s">
        <v>3248</v>
      </c>
      <c r="L797" s="26">
        <v>556358.1</v>
      </c>
      <c r="M797" s="26">
        <v>0</v>
      </c>
      <c r="N797" s="26">
        <v>0</v>
      </c>
      <c r="O797" s="26">
        <v>4231628.0999999996</v>
      </c>
      <c r="P797" s="26" t="s">
        <v>41</v>
      </c>
      <c r="Q797" s="26" t="s">
        <v>42</v>
      </c>
      <c r="R797" s="26"/>
      <c r="S797" s="26"/>
      <c r="T797" s="26"/>
      <c r="U797" s="26"/>
      <c r="V797" s="26" t="s">
        <v>43</v>
      </c>
      <c r="W797" s="26"/>
      <c r="X797" s="26"/>
    </row>
    <row r="798" spans="1:24" s="29" customFormat="1">
      <c r="A798" s="26" t="s">
        <v>31</v>
      </c>
      <c r="B798" s="26" t="s">
        <v>3249</v>
      </c>
      <c r="C798" s="26" t="s">
        <v>3250</v>
      </c>
      <c r="D798" s="26">
        <f t="shared" si="12"/>
        <v>-1</v>
      </c>
      <c r="E798" s="26" t="s">
        <v>34</v>
      </c>
      <c r="F798" s="26" t="s">
        <v>2993</v>
      </c>
      <c r="G798" s="26" t="s">
        <v>3251</v>
      </c>
      <c r="H798" s="26" t="s">
        <v>37</v>
      </c>
      <c r="I798" s="26" t="s">
        <v>38</v>
      </c>
      <c r="J798" s="26" t="s">
        <v>2114</v>
      </c>
      <c r="K798" s="26" t="s">
        <v>3252</v>
      </c>
      <c r="L798" s="26">
        <v>198994.1</v>
      </c>
      <c r="M798" s="26">
        <v>0</v>
      </c>
      <c r="N798" s="26">
        <v>0</v>
      </c>
      <c r="O798" s="26">
        <v>1426584.1</v>
      </c>
      <c r="P798" s="26" t="s">
        <v>41</v>
      </c>
      <c r="Q798" s="26" t="s">
        <v>42</v>
      </c>
      <c r="R798" s="26"/>
      <c r="S798" s="26"/>
      <c r="T798" s="26"/>
      <c r="U798" s="26"/>
      <c r="V798" s="26" t="s">
        <v>43</v>
      </c>
      <c r="W798" s="26"/>
      <c r="X798" s="26"/>
    </row>
    <row r="799" spans="1:24" s="29" customFormat="1">
      <c r="A799" s="26" t="s">
        <v>31</v>
      </c>
      <c r="B799" s="26" t="s">
        <v>3253</v>
      </c>
      <c r="C799" s="26" t="s">
        <v>3254</v>
      </c>
      <c r="D799" s="26">
        <f t="shared" si="12"/>
        <v>-1</v>
      </c>
      <c r="E799" s="26" t="s">
        <v>34</v>
      </c>
      <c r="F799" s="26" t="s">
        <v>2993</v>
      </c>
      <c r="G799" s="26" t="s">
        <v>3255</v>
      </c>
      <c r="H799" s="26" t="s">
        <v>37</v>
      </c>
      <c r="I799" s="26" t="s">
        <v>38</v>
      </c>
      <c r="J799" s="26" t="s">
        <v>2841</v>
      </c>
      <c r="K799" s="26" t="s">
        <v>2842</v>
      </c>
      <c r="L799" s="26">
        <v>85308.1</v>
      </c>
      <c r="M799" s="26">
        <v>0</v>
      </c>
      <c r="N799" s="26">
        <v>0</v>
      </c>
      <c r="O799" s="26">
        <v>534298.1</v>
      </c>
      <c r="P799" s="26" t="s">
        <v>41</v>
      </c>
      <c r="Q799" s="26" t="s">
        <v>42</v>
      </c>
      <c r="R799" s="26"/>
      <c r="S799" s="26"/>
      <c r="T799" s="26"/>
      <c r="U799" s="26"/>
      <c r="V799" s="26" t="s">
        <v>43</v>
      </c>
      <c r="W799" s="26"/>
      <c r="X799" s="26"/>
    </row>
    <row r="800" spans="1:24" s="29" customFormat="1">
      <c r="A800" s="35" t="s">
        <v>31</v>
      </c>
      <c r="B800" s="35" t="s">
        <v>3256</v>
      </c>
      <c r="C800" s="35" t="s">
        <v>3257</v>
      </c>
      <c r="D800" s="35">
        <f t="shared" si="12"/>
        <v>-1</v>
      </c>
      <c r="E800" s="35" t="s">
        <v>34</v>
      </c>
      <c r="F800" s="35" t="s">
        <v>2993</v>
      </c>
      <c r="G800" s="35" t="s">
        <v>3258</v>
      </c>
      <c r="H800" s="35" t="s">
        <v>37</v>
      </c>
      <c r="I800" s="35" t="s">
        <v>38</v>
      </c>
      <c r="J800" s="35" t="s">
        <v>2841</v>
      </c>
      <c r="K800" s="35" t="s">
        <v>2842</v>
      </c>
      <c r="L800" s="35">
        <v>85308.1</v>
      </c>
      <c r="M800" s="35">
        <v>0</v>
      </c>
      <c r="N800" s="35">
        <v>0</v>
      </c>
      <c r="O800" s="35">
        <v>534298.1</v>
      </c>
      <c r="P800" s="35" t="s">
        <v>41</v>
      </c>
      <c r="Q800" s="35" t="s">
        <v>42</v>
      </c>
      <c r="R800" s="26"/>
      <c r="S800" s="26"/>
      <c r="T800" s="26"/>
      <c r="U800" s="26"/>
      <c r="V800" s="26"/>
      <c r="W800" s="35" t="s">
        <v>43</v>
      </c>
      <c r="X800" s="26" t="s">
        <v>898</v>
      </c>
    </row>
    <row r="801" spans="1:24" s="29" customFormat="1">
      <c r="A801" s="32" t="s">
        <v>31</v>
      </c>
      <c r="B801" s="32" t="s">
        <v>3259</v>
      </c>
      <c r="C801" s="32" t="s">
        <v>3260</v>
      </c>
      <c r="D801" s="32">
        <f t="shared" si="12"/>
        <v>-1</v>
      </c>
      <c r="E801" s="32" t="s">
        <v>34</v>
      </c>
      <c r="F801" s="32" t="s">
        <v>2993</v>
      </c>
      <c r="G801" s="32" t="s">
        <v>3261</v>
      </c>
      <c r="H801" s="32" t="s">
        <v>37</v>
      </c>
      <c r="I801" s="32" t="s">
        <v>38</v>
      </c>
      <c r="J801" s="32" t="s">
        <v>1481</v>
      </c>
      <c r="K801" s="32" t="s">
        <v>1482</v>
      </c>
      <c r="L801" s="32">
        <v>85576.57</v>
      </c>
      <c r="M801" s="32">
        <v>0</v>
      </c>
      <c r="N801" s="32">
        <v>0</v>
      </c>
      <c r="O801" s="32">
        <v>535979.56999999995</v>
      </c>
      <c r="P801" s="32" t="s">
        <v>41</v>
      </c>
      <c r="Q801" s="32" t="s">
        <v>42</v>
      </c>
      <c r="R801" s="26" t="s">
        <v>43</v>
      </c>
      <c r="S801" s="26"/>
      <c r="T801" s="26"/>
      <c r="U801" s="26"/>
      <c r="V801" s="26"/>
      <c r="W801" s="26"/>
      <c r="X801" s="26"/>
    </row>
    <row r="802" spans="1:24" s="29" customFormat="1">
      <c r="A802" s="31" t="s">
        <v>31</v>
      </c>
      <c r="B802" s="31" t="s">
        <v>3262</v>
      </c>
      <c r="C802" s="31" t="s">
        <v>3263</v>
      </c>
      <c r="D802" s="31">
        <f t="shared" si="12"/>
        <v>-1</v>
      </c>
      <c r="E802" s="31" t="s">
        <v>34</v>
      </c>
      <c r="F802" s="31" t="s">
        <v>2993</v>
      </c>
      <c r="G802" s="31" t="s">
        <v>3264</v>
      </c>
      <c r="H802" s="31" t="s">
        <v>37</v>
      </c>
      <c r="I802" s="31" t="s">
        <v>38</v>
      </c>
      <c r="J802" s="31" t="s">
        <v>3265</v>
      </c>
      <c r="K802" s="31" t="s">
        <v>3266</v>
      </c>
      <c r="L802" s="31">
        <v>109758.65</v>
      </c>
      <c r="M802" s="31">
        <v>0</v>
      </c>
      <c r="N802" s="31">
        <v>0</v>
      </c>
      <c r="O802" s="31">
        <v>1197041.6499999999</v>
      </c>
      <c r="P802" s="31" t="s">
        <v>41</v>
      </c>
      <c r="Q802" s="31" t="s">
        <v>42</v>
      </c>
      <c r="R802" s="26"/>
      <c r="S802" s="26"/>
      <c r="T802" s="26"/>
      <c r="U802" s="31" t="s">
        <v>43</v>
      </c>
      <c r="V802" s="26"/>
      <c r="W802" s="26"/>
      <c r="X802" s="26"/>
    </row>
    <row r="803" spans="1:24" s="29" customFormat="1">
      <c r="A803" s="26" t="s">
        <v>31</v>
      </c>
      <c r="B803" s="26" t="s">
        <v>3267</v>
      </c>
      <c r="C803" s="26" t="s">
        <v>3268</v>
      </c>
      <c r="D803" s="26">
        <f t="shared" si="12"/>
        <v>-1</v>
      </c>
      <c r="E803" s="26" t="s">
        <v>34</v>
      </c>
      <c r="F803" s="26" t="s">
        <v>2993</v>
      </c>
      <c r="G803" s="26" t="s">
        <v>3269</v>
      </c>
      <c r="H803" s="26" t="s">
        <v>37</v>
      </c>
      <c r="I803" s="26" t="s">
        <v>38</v>
      </c>
      <c r="J803" s="26" t="s">
        <v>3270</v>
      </c>
      <c r="K803" s="26" t="s">
        <v>3271</v>
      </c>
      <c r="L803" s="26">
        <v>189810</v>
      </c>
      <c r="M803" s="26">
        <v>0</v>
      </c>
      <c r="N803" s="26">
        <v>0</v>
      </c>
      <c r="O803" s="26">
        <v>1188810</v>
      </c>
      <c r="P803" s="26" t="s">
        <v>41</v>
      </c>
      <c r="Q803" s="26" t="s">
        <v>42</v>
      </c>
      <c r="R803" s="26"/>
      <c r="S803" s="26"/>
      <c r="T803" s="26"/>
      <c r="U803" s="26"/>
      <c r="V803" s="26" t="s">
        <v>43</v>
      </c>
      <c r="W803" s="26"/>
      <c r="X803" s="26"/>
    </row>
    <row r="804" spans="1:24" s="29" customFormat="1">
      <c r="A804" s="35" t="s">
        <v>31</v>
      </c>
      <c r="B804" s="35" t="s">
        <v>3272</v>
      </c>
      <c r="C804" s="35" t="s">
        <v>3273</v>
      </c>
      <c r="D804" s="35">
        <f t="shared" si="12"/>
        <v>-1</v>
      </c>
      <c r="E804" s="35" t="s">
        <v>34</v>
      </c>
      <c r="F804" s="35" t="s">
        <v>2993</v>
      </c>
      <c r="G804" s="35" t="s">
        <v>3274</v>
      </c>
      <c r="H804" s="35" t="s">
        <v>37</v>
      </c>
      <c r="I804" s="35" t="s">
        <v>38</v>
      </c>
      <c r="J804" s="35" t="s">
        <v>3275</v>
      </c>
      <c r="K804" s="35" t="s">
        <v>3276</v>
      </c>
      <c r="L804" s="35">
        <v>7220</v>
      </c>
      <c r="M804" s="35">
        <v>0</v>
      </c>
      <c r="N804" s="35">
        <v>0</v>
      </c>
      <c r="O804" s="35">
        <v>45220</v>
      </c>
      <c r="P804" s="35" t="s">
        <v>41</v>
      </c>
      <c r="Q804" s="35" t="s">
        <v>42</v>
      </c>
      <c r="R804" s="26"/>
      <c r="S804" s="26"/>
      <c r="T804" s="26"/>
      <c r="U804" s="26"/>
      <c r="V804" s="26"/>
      <c r="W804" s="35" t="s">
        <v>43</v>
      </c>
      <c r="X804" s="26" t="s">
        <v>647</v>
      </c>
    </row>
    <row r="805" spans="1:24" s="29" customFormat="1">
      <c r="A805" s="26" t="s">
        <v>31</v>
      </c>
      <c r="B805" s="26" t="s">
        <v>3277</v>
      </c>
      <c r="C805" s="26" t="s">
        <v>3278</v>
      </c>
      <c r="D805" s="26">
        <f t="shared" si="12"/>
        <v>-1</v>
      </c>
      <c r="E805" s="26" t="s">
        <v>34</v>
      </c>
      <c r="F805" s="26" t="s">
        <v>2993</v>
      </c>
      <c r="G805" s="26" t="s">
        <v>3279</v>
      </c>
      <c r="H805" s="26" t="s">
        <v>37</v>
      </c>
      <c r="I805" s="26" t="s">
        <v>38</v>
      </c>
      <c r="J805" s="26" t="s">
        <v>3280</v>
      </c>
      <c r="K805" s="26" t="s">
        <v>3281</v>
      </c>
      <c r="L805" s="26">
        <v>1321640</v>
      </c>
      <c r="M805" s="26">
        <v>0</v>
      </c>
      <c r="N805" s="26">
        <v>0</v>
      </c>
      <c r="O805" s="26">
        <v>8277640</v>
      </c>
      <c r="P805" s="26" t="s">
        <v>41</v>
      </c>
      <c r="Q805" s="26" t="s">
        <v>42</v>
      </c>
      <c r="R805" s="26"/>
      <c r="S805" s="26"/>
      <c r="T805" s="26"/>
      <c r="U805" s="26"/>
      <c r="V805" s="26" t="s">
        <v>43</v>
      </c>
      <c r="W805" s="26"/>
      <c r="X805" s="26"/>
    </row>
    <row r="806" spans="1:24" s="29" customFormat="1">
      <c r="A806" s="26" t="s">
        <v>31</v>
      </c>
      <c r="B806" s="26" t="s">
        <v>3282</v>
      </c>
      <c r="C806" s="26" t="s">
        <v>3283</v>
      </c>
      <c r="D806" s="26">
        <f t="shared" si="12"/>
        <v>-1</v>
      </c>
      <c r="E806" s="26" t="s">
        <v>34</v>
      </c>
      <c r="F806" s="26" t="s">
        <v>2993</v>
      </c>
      <c r="G806" s="26" t="s">
        <v>3284</v>
      </c>
      <c r="H806" s="26" t="s">
        <v>37</v>
      </c>
      <c r="I806" s="26" t="s">
        <v>38</v>
      </c>
      <c r="J806" s="26" t="s">
        <v>3280</v>
      </c>
      <c r="K806" s="26" t="s">
        <v>3281</v>
      </c>
      <c r="L806" s="26">
        <v>670700</v>
      </c>
      <c r="M806" s="26">
        <v>0</v>
      </c>
      <c r="N806" s="26">
        <v>0</v>
      </c>
      <c r="O806" s="26">
        <v>4200700</v>
      </c>
      <c r="P806" s="26" t="s">
        <v>41</v>
      </c>
      <c r="Q806" s="26" t="s">
        <v>42</v>
      </c>
      <c r="R806" s="26"/>
      <c r="S806" s="26"/>
      <c r="T806" s="26"/>
      <c r="U806" s="26"/>
      <c r="V806" s="26" t="s">
        <v>43</v>
      </c>
      <c r="W806" s="26"/>
      <c r="X806" s="26"/>
    </row>
    <row r="807" spans="1:24" s="29" customFormat="1">
      <c r="A807" s="32" t="s">
        <v>31</v>
      </c>
      <c r="B807" s="32" t="s">
        <v>3285</v>
      </c>
      <c r="C807" s="32" t="s">
        <v>3286</v>
      </c>
      <c r="D807" s="32">
        <f t="shared" si="12"/>
        <v>-1</v>
      </c>
      <c r="E807" s="32" t="s">
        <v>34</v>
      </c>
      <c r="F807" s="32" t="s">
        <v>2993</v>
      </c>
      <c r="G807" s="32" t="s">
        <v>3287</v>
      </c>
      <c r="H807" s="32" t="s">
        <v>37</v>
      </c>
      <c r="I807" s="32" t="s">
        <v>38</v>
      </c>
      <c r="J807" s="32" t="s">
        <v>3288</v>
      </c>
      <c r="K807" s="32" t="s">
        <v>3289</v>
      </c>
      <c r="L807" s="32">
        <v>11970</v>
      </c>
      <c r="M807" s="32">
        <v>0</v>
      </c>
      <c r="N807" s="32">
        <v>0</v>
      </c>
      <c r="O807" s="32">
        <v>74970</v>
      </c>
      <c r="P807" s="32" t="s">
        <v>41</v>
      </c>
      <c r="Q807" s="32" t="s">
        <v>42</v>
      </c>
      <c r="R807" s="26" t="s">
        <v>43</v>
      </c>
      <c r="S807" s="26"/>
      <c r="T807" s="26"/>
      <c r="U807" s="26"/>
      <c r="V807" s="26"/>
      <c r="W807" s="26"/>
      <c r="X807" s="26"/>
    </row>
    <row r="808" spans="1:24" s="29" customFormat="1">
      <c r="A808" s="32" t="s">
        <v>31</v>
      </c>
      <c r="B808" s="32" t="s">
        <v>3290</v>
      </c>
      <c r="C808" s="32" t="s">
        <v>3291</v>
      </c>
      <c r="D808" s="32">
        <f t="shared" si="12"/>
        <v>-1</v>
      </c>
      <c r="E808" s="32" t="s">
        <v>34</v>
      </c>
      <c r="F808" s="32" t="s">
        <v>2993</v>
      </c>
      <c r="G808" s="32" t="s">
        <v>3292</v>
      </c>
      <c r="H808" s="32" t="s">
        <v>37</v>
      </c>
      <c r="I808" s="32" t="s">
        <v>38</v>
      </c>
      <c r="J808" s="32" t="s">
        <v>3288</v>
      </c>
      <c r="K808" s="32" t="s">
        <v>3289</v>
      </c>
      <c r="L808" s="32">
        <v>45790</v>
      </c>
      <c r="M808" s="32">
        <v>0</v>
      </c>
      <c r="N808" s="32">
        <v>0</v>
      </c>
      <c r="O808" s="32">
        <v>286790</v>
      </c>
      <c r="P808" s="32" t="s">
        <v>41</v>
      </c>
      <c r="Q808" s="32" t="s">
        <v>42</v>
      </c>
      <c r="R808" s="26" t="s">
        <v>43</v>
      </c>
      <c r="S808" s="26"/>
      <c r="T808" s="26"/>
      <c r="U808" s="26"/>
      <c r="V808" s="26"/>
      <c r="W808" s="26"/>
      <c r="X808" s="26"/>
    </row>
    <row r="809" spans="1:24" s="29" customFormat="1">
      <c r="A809" s="26" t="s">
        <v>31</v>
      </c>
      <c r="B809" s="26" t="s">
        <v>3293</v>
      </c>
      <c r="C809" s="26" t="s">
        <v>3294</v>
      </c>
      <c r="D809" s="26">
        <f t="shared" si="12"/>
        <v>-1</v>
      </c>
      <c r="E809" s="26" t="s">
        <v>34</v>
      </c>
      <c r="F809" s="26" t="s">
        <v>2993</v>
      </c>
      <c r="G809" s="26" t="s">
        <v>3295</v>
      </c>
      <c r="H809" s="26" t="s">
        <v>37</v>
      </c>
      <c r="I809" s="26" t="s">
        <v>38</v>
      </c>
      <c r="J809" s="26" t="s">
        <v>3296</v>
      </c>
      <c r="K809" s="26" t="s">
        <v>3297</v>
      </c>
      <c r="L809" s="26">
        <v>584440</v>
      </c>
      <c r="M809" s="26">
        <v>0</v>
      </c>
      <c r="N809" s="26">
        <v>0</v>
      </c>
      <c r="O809" s="26">
        <v>3660440</v>
      </c>
      <c r="P809" s="26" t="s">
        <v>41</v>
      </c>
      <c r="Q809" s="26" t="s">
        <v>42</v>
      </c>
      <c r="R809" s="26"/>
      <c r="S809" s="26"/>
      <c r="T809" s="26"/>
      <c r="U809" s="26"/>
      <c r="V809" s="26" t="s">
        <v>43</v>
      </c>
      <c r="W809" s="26"/>
      <c r="X809" s="26"/>
    </row>
    <row r="810" spans="1:24" s="29" customFormat="1">
      <c r="A810" s="26" t="s">
        <v>31</v>
      </c>
      <c r="B810" s="26" t="s">
        <v>3298</v>
      </c>
      <c r="C810" s="26" t="s">
        <v>3299</v>
      </c>
      <c r="D810" s="26">
        <f t="shared" si="12"/>
        <v>-1</v>
      </c>
      <c r="E810" s="26" t="s">
        <v>34</v>
      </c>
      <c r="F810" s="26" t="s">
        <v>2993</v>
      </c>
      <c r="G810" s="26" t="s">
        <v>3300</v>
      </c>
      <c r="H810" s="26" t="s">
        <v>37</v>
      </c>
      <c r="I810" s="26" t="s">
        <v>38</v>
      </c>
      <c r="J810" s="26" t="s">
        <v>3296</v>
      </c>
      <c r="K810" s="26" t="s">
        <v>3297</v>
      </c>
      <c r="L810" s="26">
        <v>120364.5</v>
      </c>
      <c r="M810" s="26">
        <v>0</v>
      </c>
      <c r="N810" s="26">
        <v>0</v>
      </c>
      <c r="O810" s="26">
        <v>877614.5</v>
      </c>
      <c r="P810" s="26" t="s">
        <v>41</v>
      </c>
      <c r="Q810" s="26" t="s">
        <v>42</v>
      </c>
      <c r="R810" s="26"/>
      <c r="S810" s="26"/>
      <c r="T810" s="26"/>
      <c r="U810" s="26"/>
      <c r="V810" s="26" t="s">
        <v>43</v>
      </c>
      <c r="W810" s="26"/>
      <c r="X810" s="26"/>
    </row>
    <row r="811" spans="1:24" s="29" customFormat="1">
      <c r="A811" s="32" t="s">
        <v>31</v>
      </c>
      <c r="B811" s="32" t="s">
        <v>3301</v>
      </c>
      <c r="C811" s="32" t="s">
        <v>3302</v>
      </c>
      <c r="D811" s="32">
        <f t="shared" si="12"/>
        <v>-1</v>
      </c>
      <c r="E811" s="32" t="s">
        <v>34</v>
      </c>
      <c r="F811" s="32" t="s">
        <v>2993</v>
      </c>
      <c r="G811" s="32" t="s">
        <v>3303</v>
      </c>
      <c r="H811" s="32" t="s">
        <v>37</v>
      </c>
      <c r="I811" s="32" t="s">
        <v>38</v>
      </c>
      <c r="J811" s="32" t="s">
        <v>3304</v>
      </c>
      <c r="K811" s="32" t="s">
        <v>3305</v>
      </c>
      <c r="L811" s="32">
        <v>66279.789999999994</v>
      </c>
      <c r="M811" s="32">
        <v>0</v>
      </c>
      <c r="N811" s="32">
        <v>0</v>
      </c>
      <c r="O811" s="32">
        <v>415120.79</v>
      </c>
      <c r="P811" s="32" t="s">
        <v>41</v>
      </c>
      <c r="Q811" s="32" t="s">
        <v>42</v>
      </c>
      <c r="R811" s="26" t="s">
        <v>43</v>
      </c>
      <c r="S811" s="26"/>
      <c r="T811" s="26"/>
      <c r="U811" s="26"/>
      <c r="V811" s="26"/>
      <c r="W811" s="26"/>
      <c r="X811" s="26"/>
    </row>
    <row r="812" spans="1:24" s="29" customFormat="1">
      <c r="A812" s="32" t="s">
        <v>31</v>
      </c>
      <c r="B812" s="32" t="s">
        <v>3306</v>
      </c>
      <c r="C812" s="32" t="s">
        <v>3307</v>
      </c>
      <c r="D812" s="32">
        <f t="shared" si="12"/>
        <v>-1</v>
      </c>
      <c r="E812" s="32" t="s">
        <v>34</v>
      </c>
      <c r="F812" s="32" t="s">
        <v>2993</v>
      </c>
      <c r="G812" s="32" t="s">
        <v>3308</v>
      </c>
      <c r="H812" s="32" t="s">
        <v>37</v>
      </c>
      <c r="I812" s="32" t="s">
        <v>38</v>
      </c>
      <c r="J812" s="32" t="s">
        <v>3304</v>
      </c>
      <c r="K812" s="32" t="s">
        <v>3305</v>
      </c>
      <c r="L812" s="32">
        <v>102447.22</v>
      </c>
      <c r="M812" s="32">
        <v>0</v>
      </c>
      <c r="N812" s="32">
        <v>0</v>
      </c>
      <c r="O812" s="32">
        <v>666144.22</v>
      </c>
      <c r="P812" s="32" t="s">
        <v>41</v>
      </c>
      <c r="Q812" s="32" t="s">
        <v>42</v>
      </c>
      <c r="R812" s="26" t="s">
        <v>43</v>
      </c>
      <c r="S812" s="26"/>
      <c r="T812" s="26"/>
      <c r="U812" s="26"/>
      <c r="V812" s="26"/>
      <c r="W812" s="26"/>
      <c r="X812" s="26"/>
    </row>
    <row r="813" spans="1:24" s="29" customFormat="1">
      <c r="A813" s="26" t="s">
        <v>31</v>
      </c>
      <c r="B813" s="26" t="s">
        <v>3309</v>
      </c>
      <c r="C813" s="26" t="s">
        <v>3310</v>
      </c>
      <c r="D813" s="26">
        <f t="shared" si="12"/>
        <v>-1</v>
      </c>
      <c r="E813" s="26" t="s">
        <v>34</v>
      </c>
      <c r="F813" s="26" t="s">
        <v>2993</v>
      </c>
      <c r="G813" s="26" t="s">
        <v>3311</v>
      </c>
      <c r="H813" s="26" t="s">
        <v>37</v>
      </c>
      <c r="I813" s="26" t="s">
        <v>38</v>
      </c>
      <c r="J813" s="26" t="s">
        <v>3304</v>
      </c>
      <c r="K813" s="26" t="s">
        <v>3305</v>
      </c>
      <c r="L813" s="26">
        <v>93898</v>
      </c>
      <c r="M813" s="26">
        <v>0</v>
      </c>
      <c r="N813" s="26">
        <v>0</v>
      </c>
      <c r="O813" s="26">
        <v>596498</v>
      </c>
      <c r="P813" s="26" t="s">
        <v>41</v>
      </c>
      <c r="Q813" s="26" t="s">
        <v>42</v>
      </c>
      <c r="R813" s="26"/>
      <c r="S813" s="26"/>
      <c r="T813" s="26"/>
      <c r="U813" s="26"/>
      <c r="V813" s="26" t="s">
        <v>43</v>
      </c>
      <c r="W813" s="26"/>
      <c r="X813" s="26"/>
    </row>
    <row r="814" spans="1:24" s="29" customFormat="1">
      <c r="A814" s="26" t="s">
        <v>31</v>
      </c>
      <c r="B814" s="26" t="s">
        <v>3312</v>
      </c>
      <c r="C814" s="26" t="s">
        <v>3313</v>
      </c>
      <c r="D814" s="26">
        <f t="shared" si="12"/>
        <v>-1</v>
      </c>
      <c r="E814" s="26" t="s">
        <v>34</v>
      </c>
      <c r="F814" s="26" t="s">
        <v>2993</v>
      </c>
      <c r="G814" s="26" t="s">
        <v>3314</v>
      </c>
      <c r="H814" s="26" t="s">
        <v>37</v>
      </c>
      <c r="I814" s="26" t="s">
        <v>38</v>
      </c>
      <c r="J814" s="26" t="s">
        <v>3315</v>
      </c>
      <c r="K814" s="26" t="s">
        <v>3316</v>
      </c>
      <c r="L814" s="26">
        <v>1054452.69</v>
      </c>
      <c r="M814" s="26">
        <v>0</v>
      </c>
      <c r="N814" s="26">
        <v>0</v>
      </c>
      <c r="O814" s="26">
        <v>6604203.6900000004</v>
      </c>
      <c r="P814" s="26" t="s">
        <v>41</v>
      </c>
      <c r="Q814" s="26" t="s">
        <v>42</v>
      </c>
      <c r="R814" s="26"/>
      <c r="S814" s="26"/>
      <c r="T814" s="26"/>
      <c r="U814" s="26"/>
      <c r="V814" s="26" t="s">
        <v>43</v>
      </c>
      <c r="W814" s="26"/>
      <c r="X814" s="26"/>
    </row>
    <row r="815" spans="1:24" s="29" customFormat="1">
      <c r="A815" s="26" t="s">
        <v>31</v>
      </c>
      <c r="B815" s="26" t="s">
        <v>3317</v>
      </c>
      <c r="C815" s="26" t="s">
        <v>3318</v>
      </c>
      <c r="D815" s="26">
        <f t="shared" si="12"/>
        <v>-1</v>
      </c>
      <c r="E815" s="26" t="s">
        <v>34</v>
      </c>
      <c r="F815" s="26" t="s">
        <v>2993</v>
      </c>
      <c r="G815" s="26" t="s">
        <v>3319</v>
      </c>
      <c r="H815" s="26" t="s">
        <v>37</v>
      </c>
      <c r="I815" s="26" t="s">
        <v>38</v>
      </c>
      <c r="J815" s="26" t="s">
        <v>3320</v>
      </c>
      <c r="K815" s="26" t="s">
        <v>3321</v>
      </c>
      <c r="L815" s="26">
        <v>22800</v>
      </c>
      <c r="M815" s="26">
        <v>0</v>
      </c>
      <c r="N815" s="26">
        <v>0</v>
      </c>
      <c r="O815" s="26">
        <v>142800</v>
      </c>
      <c r="P815" s="26" t="s">
        <v>41</v>
      </c>
      <c r="Q815" s="26" t="s">
        <v>42</v>
      </c>
      <c r="R815" s="26"/>
      <c r="S815" s="26"/>
      <c r="T815" s="26"/>
      <c r="U815" s="26"/>
      <c r="V815" s="26" t="s">
        <v>43</v>
      </c>
      <c r="W815" s="26"/>
      <c r="X815" s="26"/>
    </row>
    <row r="816" spans="1:24" s="29" customFormat="1">
      <c r="A816" s="34" t="s">
        <v>31</v>
      </c>
      <c r="B816" s="34" t="s">
        <v>3322</v>
      </c>
      <c r="C816" s="34" t="s">
        <v>3323</v>
      </c>
      <c r="D816" s="34">
        <f t="shared" si="12"/>
        <v>-1</v>
      </c>
      <c r="E816" s="34" t="s">
        <v>34</v>
      </c>
      <c r="F816" s="34" t="s">
        <v>2993</v>
      </c>
      <c r="G816" s="34" t="s">
        <v>3324</v>
      </c>
      <c r="H816" s="34" t="s">
        <v>37</v>
      </c>
      <c r="I816" s="34" t="s">
        <v>38</v>
      </c>
      <c r="J816" s="34" t="s">
        <v>3320</v>
      </c>
      <c r="K816" s="34" t="s">
        <v>3321</v>
      </c>
      <c r="L816" s="34">
        <v>0</v>
      </c>
      <c r="M816" s="34">
        <v>0</v>
      </c>
      <c r="N816" s="34">
        <v>0</v>
      </c>
      <c r="O816" s="34">
        <v>850000</v>
      </c>
      <c r="P816" s="34" t="s">
        <v>41</v>
      </c>
      <c r="Q816" s="34" t="s">
        <v>42</v>
      </c>
      <c r="R816" s="26"/>
      <c r="S816" s="26"/>
      <c r="T816" s="26" t="s">
        <v>43</v>
      </c>
      <c r="U816" s="26"/>
      <c r="V816" s="26"/>
      <c r="W816" s="26"/>
      <c r="X816" s="26"/>
    </row>
    <row r="817" spans="1:24" s="29" customFormat="1">
      <c r="A817" s="26" t="s">
        <v>31</v>
      </c>
      <c r="B817" s="26" t="s">
        <v>3325</v>
      </c>
      <c r="C817" s="26" t="s">
        <v>3326</v>
      </c>
      <c r="D817" s="26">
        <f t="shared" si="12"/>
        <v>-1</v>
      </c>
      <c r="E817" s="26" t="s">
        <v>34</v>
      </c>
      <c r="F817" s="26" t="s">
        <v>2993</v>
      </c>
      <c r="G817" s="26" t="s">
        <v>3327</v>
      </c>
      <c r="H817" s="26" t="s">
        <v>37</v>
      </c>
      <c r="I817" s="26" t="s">
        <v>38</v>
      </c>
      <c r="J817" s="26" t="s">
        <v>3320</v>
      </c>
      <c r="K817" s="26" t="s">
        <v>3321</v>
      </c>
      <c r="L817" s="26">
        <v>0</v>
      </c>
      <c r="M817" s="26">
        <v>0</v>
      </c>
      <c r="N817" s="26">
        <v>0</v>
      </c>
      <c r="O817" s="26">
        <v>965000</v>
      </c>
      <c r="P817" s="26" t="s">
        <v>41</v>
      </c>
      <c r="Q817" s="26" t="s">
        <v>42</v>
      </c>
      <c r="R817" s="26"/>
      <c r="S817" s="26"/>
      <c r="T817" s="26"/>
      <c r="U817" s="26"/>
      <c r="V817" s="26" t="s">
        <v>43</v>
      </c>
      <c r="W817" s="26"/>
      <c r="X817" s="26"/>
    </row>
    <row r="818" spans="1:24" s="29" customFormat="1">
      <c r="A818" s="32" t="s">
        <v>31</v>
      </c>
      <c r="B818" s="32" t="s">
        <v>3328</v>
      </c>
      <c r="C818" s="32" t="s">
        <v>3329</v>
      </c>
      <c r="D818" s="32">
        <f t="shared" si="12"/>
        <v>-1</v>
      </c>
      <c r="E818" s="32" t="s">
        <v>34</v>
      </c>
      <c r="F818" s="32" t="s">
        <v>2993</v>
      </c>
      <c r="G818" s="32" t="s">
        <v>3330</v>
      </c>
      <c r="H818" s="32" t="s">
        <v>37</v>
      </c>
      <c r="I818" s="32" t="s">
        <v>38</v>
      </c>
      <c r="J818" s="32" t="s">
        <v>3331</v>
      </c>
      <c r="K818" s="32" t="s">
        <v>3332</v>
      </c>
      <c r="L818" s="32">
        <v>218101</v>
      </c>
      <c r="M818" s="32">
        <v>0</v>
      </c>
      <c r="N818" s="32">
        <v>0</v>
      </c>
      <c r="O818" s="32">
        <v>1366001</v>
      </c>
      <c r="P818" s="32" t="s">
        <v>41</v>
      </c>
      <c r="Q818" s="32" t="s">
        <v>42</v>
      </c>
      <c r="R818" s="26" t="s">
        <v>43</v>
      </c>
      <c r="S818" s="26"/>
      <c r="T818" s="26"/>
      <c r="U818" s="26"/>
      <c r="V818" s="26"/>
      <c r="W818" s="26"/>
      <c r="X818" s="26"/>
    </row>
    <row r="819" spans="1:24" s="29" customFormat="1">
      <c r="A819" s="34" t="s">
        <v>31</v>
      </c>
      <c r="B819" s="34" t="s">
        <v>3333</v>
      </c>
      <c r="C819" s="34" t="s">
        <v>3334</v>
      </c>
      <c r="D819" s="34">
        <f t="shared" si="12"/>
        <v>-1</v>
      </c>
      <c r="E819" s="34" t="s">
        <v>34</v>
      </c>
      <c r="F819" s="34" t="s">
        <v>2993</v>
      </c>
      <c r="G819" s="34" t="s">
        <v>3335</v>
      </c>
      <c r="H819" s="34" t="s">
        <v>37</v>
      </c>
      <c r="I819" s="34" t="s">
        <v>38</v>
      </c>
      <c r="J819" s="34" t="s">
        <v>3336</v>
      </c>
      <c r="K819" s="34" t="s">
        <v>3337</v>
      </c>
      <c r="L819" s="34">
        <v>54539.5</v>
      </c>
      <c r="M819" s="34">
        <v>0</v>
      </c>
      <c r="N819" s="34">
        <v>0</v>
      </c>
      <c r="O819" s="34">
        <v>341589.5</v>
      </c>
      <c r="P819" s="34" t="s">
        <v>41</v>
      </c>
      <c r="Q819" s="34" t="s">
        <v>42</v>
      </c>
      <c r="R819" s="26"/>
      <c r="S819" s="26"/>
      <c r="T819" s="26" t="s">
        <v>43</v>
      </c>
      <c r="U819" s="26"/>
      <c r="V819" s="26"/>
      <c r="W819" s="26"/>
      <c r="X819" s="26"/>
    </row>
    <row r="820" spans="1:24" s="29" customFormat="1">
      <c r="A820" s="31" t="s">
        <v>31</v>
      </c>
      <c r="B820" s="31" t="s">
        <v>3338</v>
      </c>
      <c r="C820" s="31" t="s">
        <v>3339</v>
      </c>
      <c r="D820" s="31">
        <f t="shared" si="12"/>
        <v>-1</v>
      </c>
      <c r="E820" s="31" t="s">
        <v>34</v>
      </c>
      <c r="F820" s="31" t="s">
        <v>2993</v>
      </c>
      <c r="G820" s="31" t="s">
        <v>3335</v>
      </c>
      <c r="H820" s="31" t="s">
        <v>37</v>
      </c>
      <c r="I820" s="31" t="s">
        <v>38</v>
      </c>
      <c r="J820" s="31" t="s">
        <v>2430</v>
      </c>
      <c r="K820" s="31" t="s">
        <v>2431</v>
      </c>
      <c r="L820" s="31">
        <v>513000</v>
      </c>
      <c r="M820" s="31">
        <v>0</v>
      </c>
      <c r="N820" s="31">
        <v>0</v>
      </c>
      <c r="O820" s="31">
        <v>3213000</v>
      </c>
      <c r="P820" s="31" t="s">
        <v>41</v>
      </c>
      <c r="Q820" s="31" t="s">
        <v>42</v>
      </c>
      <c r="R820" s="26"/>
      <c r="S820" s="26"/>
      <c r="T820" s="26"/>
      <c r="U820" s="31" t="s">
        <v>43</v>
      </c>
      <c r="V820" s="26"/>
      <c r="W820" s="26"/>
      <c r="X820" s="26"/>
    </row>
    <row r="821" spans="1:24" s="29" customFormat="1">
      <c r="A821" s="32" t="s">
        <v>31</v>
      </c>
      <c r="B821" s="32" t="s">
        <v>3340</v>
      </c>
      <c r="C821" s="32" t="s">
        <v>3341</v>
      </c>
      <c r="D821" s="32">
        <f t="shared" si="12"/>
        <v>-1</v>
      </c>
      <c r="E821" s="32" t="s">
        <v>34</v>
      </c>
      <c r="F821" s="32" t="s">
        <v>2993</v>
      </c>
      <c r="G821" s="32" t="s">
        <v>3342</v>
      </c>
      <c r="H821" s="32" t="s">
        <v>37</v>
      </c>
      <c r="I821" s="32" t="s">
        <v>38</v>
      </c>
      <c r="J821" s="32" t="s">
        <v>194</v>
      </c>
      <c r="K821" s="32" t="s">
        <v>195</v>
      </c>
      <c r="L821" s="32">
        <v>85467.13</v>
      </c>
      <c r="M821" s="32">
        <v>0</v>
      </c>
      <c r="N821" s="32">
        <v>0</v>
      </c>
      <c r="O821" s="32">
        <v>535294.13</v>
      </c>
      <c r="P821" s="32" t="s">
        <v>41</v>
      </c>
      <c r="Q821" s="32" t="s">
        <v>42</v>
      </c>
      <c r="R821" s="26" t="s">
        <v>43</v>
      </c>
      <c r="S821" s="26"/>
      <c r="T821" s="26"/>
      <c r="U821" s="26"/>
      <c r="V821" s="26"/>
      <c r="W821" s="26"/>
      <c r="X821" s="26"/>
    </row>
    <row r="822" spans="1:24" s="29" customFormat="1">
      <c r="A822" s="31" t="s">
        <v>31</v>
      </c>
      <c r="B822" s="31" t="s">
        <v>3343</v>
      </c>
      <c r="C822" s="31" t="s">
        <v>3344</v>
      </c>
      <c r="D822" s="31">
        <f t="shared" si="12"/>
        <v>-1</v>
      </c>
      <c r="E822" s="31" t="s">
        <v>34</v>
      </c>
      <c r="F822" s="31" t="s">
        <v>2993</v>
      </c>
      <c r="G822" s="31" t="s">
        <v>3345</v>
      </c>
      <c r="H822" s="31" t="s">
        <v>37</v>
      </c>
      <c r="I822" s="31" t="s">
        <v>38</v>
      </c>
      <c r="J822" s="31" t="s">
        <v>2430</v>
      </c>
      <c r="K822" s="31" t="s">
        <v>2431</v>
      </c>
      <c r="L822" s="31">
        <v>0</v>
      </c>
      <c r="M822" s="31">
        <v>0</v>
      </c>
      <c r="N822" s="31">
        <v>0</v>
      </c>
      <c r="O822" s="31">
        <v>2600000</v>
      </c>
      <c r="P822" s="31" t="s">
        <v>41</v>
      </c>
      <c r="Q822" s="31" t="s">
        <v>42</v>
      </c>
      <c r="R822" s="26"/>
      <c r="S822" s="26"/>
      <c r="T822" s="26"/>
      <c r="U822" s="31" t="s">
        <v>43</v>
      </c>
      <c r="V822" s="26"/>
      <c r="W822" s="26"/>
      <c r="X822" s="26"/>
    </row>
    <row r="823" spans="1:24" s="29" customFormat="1">
      <c r="A823" s="34" t="s">
        <v>31</v>
      </c>
      <c r="B823" s="34" t="s">
        <v>3346</v>
      </c>
      <c r="C823" s="34" t="s">
        <v>3347</v>
      </c>
      <c r="D823" s="34">
        <f t="shared" si="12"/>
        <v>-1</v>
      </c>
      <c r="E823" s="34" t="s">
        <v>34</v>
      </c>
      <c r="F823" s="34" t="s">
        <v>2993</v>
      </c>
      <c r="G823" s="34" t="s">
        <v>3348</v>
      </c>
      <c r="H823" s="34" t="s">
        <v>37</v>
      </c>
      <c r="I823" s="34" t="s">
        <v>38</v>
      </c>
      <c r="J823" s="34" t="s">
        <v>383</v>
      </c>
      <c r="K823" s="34" t="s">
        <v>384</v>
      </c>
      <c r="L823" s="34">
        <v>873810</v>
      </c>
      <c r="M823" s="34">
        <v>0</v>
      </c>
      <c r="N823" s="34">
        <v>0</v>
      </c>
      <c r="O823" s="34">
        <v>5472810</v>
      </c>
      <c r="P823" s="34" t="s">
        <v>41</v>
      </c>
      <c r="Q823" s="34" t="s">
        <v>42</v>
      </c>
      <c r="R823" s="26"/>
      <c r="S823" s="26"/>
      <c r="T823" s="26" t="s">
        <v>43</v>
      </c>
      <c r="U823" s="26"/>
      <c r="V823" s="26"/>
      <c r="W823" s="26"/>
      <c r="X823" s="26"/>
    </row>
    <row r="824" spans="1:24" s="29" customFormat="1">
      <c r="A824" s="34" t="s">
        <v>31</v>
      </c>
      <c r="B824" s="34" t="s">
        <v>3349</v>
      </c>
      <c r="C824" s="34" t="s">
        <v>3350</v>
      </c>
      <c r="D824" s="34">
        <f t="shared" si="12"/>
        <v>-1</v>
      </c>
      <c r="E824" s="34" t="s">
        <v>34</v>
      </c>
      <c r="F824" s="34" t="s">
        <v>2993</v>
      </c>
      <c r="G824" s="34" t="s">
        <v>3351</v>
      </c>
      <c r="H824" s="34" t="s">
        <v>37</v>
      </c>
      <c r="I824" s="34" t="s">
        <v>38</v>
      </c>
      <c r="J824" s="34" t="s">
        <v>383</v>
      </c>
      <c r="K824" s="34" t="s">
        <v>384</v>
      </c>
      <c r="L824" s="34">
        <v>64030</v>
      </c>
      <c r="M824" s="34">
        <v>0</v>
      </c>
      <c r="N824" s="34">
        <v>0</v>
      </c>
      <c r="O824" s="34">
        <v>401030</v>
      </c>
      <c r="P824" s="34" t="s">
        <v>41</v>
      </c>
      <c r="Q824" s="34" t="s">
        <v>42</v>
      </c>
      <c r="R824" s="26"/>
      <c r="S824" s="26"/>
      <c r="T824" s="26" t="s">
        <v>43</v>
      </c>
      <c r="U824" s="26"/>
      <c r="V824" s="26"/>
      <c r="W824" s="26"/>
      <c r="X824" s="26"/>
    </row>
    <row r="825" spans="1:24" s="29" customFormat="1">
      <c r="A825" s="26" t="s">
        <v>31</v>
      </c>
      <c r="B825" s="26" t="s">
        <v>3352</v>
      </c>
      <c r="C825" s="26" t="s">
        <v>3353</v>
      </c>
      <c r="D825" s="26">
        <f t="shared" si="12"/>
        <v>-1</v>
      </c>
      <c r="E825" s="26" t="s">
        <v>34</v>
      </c>
      <c r="F825" s="26" t="s">
        <v>2993</v>
      </c>
      <c r="G825" s="26" t="s">
        <v>3354</v>
      </c>
      <c r="H825" s="26" t="s">
        <v>37</v>
      </c>
      <c r="I825" s="26" t="s">
        <v>38</v>
      </c>
      <c r="J825" s="26" t="s">
        <v>3355</v>
      </c>
      <c r="K825" s="26" t="s">
        <v>3356</v>
      </c>
      <c r="L825" s="26">
        <v>134900</v>
      </c>
      <c r="M825" s="26">
        <v>0</v>
      </c>
      <c r="N825" s="26">
        <v>0</v>
      </c>
      <c r="O825" s="26">
        <v>844900</v>
      </c>
      <c r="P825" s="26" t="s">
        <v>41</v>
      </c>
      <c r="Q825" s="26" t="s">
        <v>42</v>
      </c>
      <c r="R825" s="26"/>
      <c r="S825" s="26"/>
      <c r="T825" s="26"/>
      <c r="U825" s="26"/>
      <c r="V825" s="26" t="s">
        <v>43</v>
      </c>
      <c r="W825" s="26"/>
      <c r="X825" s="26"/>
    </row>
    <row r="826" spans="1:24" s="29" customFormat="1">
      <c r="A826" s="26" t="s">
        <v>31</v>
      </c>
      <c r="B826" s="26" t="s">
        <v>3357</v>
      </c>
      <c r="C826" s="26" t="s">
        <v>3358</v>
      </c>
      <c r="D826" s="26">
        <f t="shared" si="12"/>
        <v>-1</v>
      </c>
      <c r="E826" s="26" t="s">
        <v>34</v>
      </c>
      <c r="F826" s="26" t="s">
        <v>2993</v>
      </c>
      <c r="G826" s="26" t="s">
        <v>3359</v>
      </c>
      <c r="H826" s="26" t="s">
        <v>37</v>
      </c>
      <c r="I826" s="26" t="s">
        <v>38</v>
      </c>
      <c r="J826" s="26" t="s">
        <v>471</v>
      </c>
      <c r="K826" s="26" t="s">
        <v>472</v>
      </c>
      <c r="L826" s="26">
        <v>444524</v>
      </c>
      <c r="M826" s="26">
        <v>0</v>
      </c>
      <c r="N826" s="26">
        <v>0</v>
      </c>
      <c r="O826" s="26">
        <v>2784124</v>
      </c>
      <c r="P826" s="26" t="s">
        <v>41</v>
      </c>
      <c r="Q826" s="26" t="s">
        <v>42</v>
      </c>
      <c r="R826" s="26"/>
      <c r="S826" s="26"/>
      <c r="T826" s="26"/>
      <c r="U826" s="26"/>
      <c r="V826" s="26" t="s">
        <v>43</v>
      </c>
      <c r="W826" s="26"/>
      <c r="X826" s="26"/>
    </row>
    <row r="827" spans="1:24" s="29" customFormat="1">
      <c r="A827" s="32" t="s">
        <v>31</v>
      </c>
      <c r="B827" s="32" t="s">
        <v>3360</v>
      </c>
      <c r="C827" s="32" t="s">
        <v>3361</v>
      </c>
      <c r="D827" s="32">
        <f t="shared" si="12"/>
        <v>-1</v>
      </c>
      <c r="E827" s="32" t="s">
        <v>34</v>
      </c>
      <c r="F827" s="32" t="s">
        <v>2993</v>
      </c>
      <c r="G827" s="32" t="s">
        <v>3362</v>
      </c>
      <c r="H827" s="32" t="s">
        <v>37</v>
      </c>
      <c r="I827" s="32" t="s">
        <v>38</v>
      </c>
      <c r="J827" s="32" t="s">
        <v>2611</v>
      </c>
      <c r="K827" s="32" t="s">
        <v>2612</v>
      </c>
      <c r="L827" s="32">
        <v>429134</v>
      </c>
      <c r="M827" s="32">
        <v>0</v>
      </c>
      <c r="N827" s="32">
        <v>0</v>
      </c>
      <c r="O827" s="32">
        <v>2687734</v>
      </c>
      <c r="P827" s="32" t="s">
        <v>41</v>
      </c>
      <c r="Q827" s="32" t="s">
        <v>42</v>
      </c>
      <c r="R827" s="26" t="s">
        <v>43</v>
      </c>
      <c r="S827" s="26"/>
      <c r="T827" s="26"/>
      <c r="U827" s="26"/>
      <c r="V827" s="26"/>
      <c r="W827" s="26"/>
      <c r="X827" s="26"/>
    </row>
    <row r="828" spans="1:24" s="29" customFormat="1">
      <c r="A828" s="34" t="s">
        <v>31</v>
      </c>
      <c r="B828" s="34" t="s">
        <v>3363</v>
      </c>
      <c r="C828" s="34" t="s">
        <v>3364</v>
      </c>
      <c r="D828" s="34">
        <f t="shared" si="12"/>
        <v>-1</v>
      </c>
      <c r="E828" s="34" t="s">
        <v>34</v>
      </c>
      <c r="F828" s="34" t="s">
        <v>2993</v>
      </c>
      <c r="G828" s="34" t="s">
        <v>3365</v>
      </c>
      <c r="H828" s="34" t="s">
        <v>37</v>
      </c>
      <c r="I828" s="34" t="s">
        <v>38</v>
      </c>
      <c r="J828" s="34" t="s">
        <v>69</v>
      </c>
      <c r="K828" s="34" t="s">
        <v>70</v>
      </c>
      <c r="L828" s="34">
        <v>648969.51</v>
      </c>
      <c r="M828" s="34">
        <v>0</v>
      </c>
      <c r="N828" s="34">
        <v>0</v>
      </c>
      <c r="O828" s="34">
        <v>4064598.51</v>
      </c>
      <c r="P828" s="34" t="s">
        <v>41</v>
      </c>
      <c r="Q828" s="34" t="s">
        <v>42</v>
      </c>
      <c r="R828" s="26"/>
      <c r="S828" s="26"/>
      <c r="T828" s="26" t="s">
        <v>43</v>
      </c>
      <c r="U828" s="26"/>
      <c r="V828" s="26"/>
      <c r="W828" s="26"/>
      <c r="X828" s="26"/>
    </row>
    <row r="829" spans="1:24" s="29" customFormat="1">
      <c r="A829" s="32" t="s">
        <v>31</v>
      </c>
      <c r="B829" s="32" t="s">
        <v>3366</v>
      </c>
      <c r="C829" s="32" t="s">
        <v>3367</v>
      </c>
      <c r="D829" s="32">
        <f t="shared" si="12"/>
        <v>-1</v>
      </c>
      <c r="E829" s="32" t="s">
        <v>34</v>
      </c>
      <c r="F829" s="32" t="s">
        <v>2993</v>
      </c>
      <c r="G829" s="32" t="s">
        <v>3368</v>
      </c>
      <c r="H829" s="32" t="s">
        <v>37</v>
      </c>
      <c r="I829" s="32" t="s">
        <v>38</v>
      </c>
      <c r="J829" s="32" t="s">
        <v>2202</v>
      </c>
      <c r="K829" s="32" t="s">
        <v>2203</v>
      </c>
      <c r="L829" s="32">
        <v>97850</v>
      </c>
      <c r="M829" s="32">
        <v>0</v>
      </c>
      <c r="N829" s="32">
        <v>0</v>
      </c>
      <c r="O829" s="32">
        <v>3937850</v>
      </c>
      <c r="P829" s="32" t="s">
        <v>41</v>
      </c>
      <c r="Q829" s="32" t="s">
        <v>42</v>
      </c>
      <c r="R829" s="26" t="s">
        <v>43</v>
      </c>
      <c r="S829" s="26"/>
      <c r="T829" s="26"/>
      <c r="U829" s="26"/>
      <c r="V829" s="26"/>
      <c r="W829" s="26"/>
      <c r="X829" s="26"/>
    </row>
    <row r="830" spans="1:24" s="29" customFormat="1">
      <c r="A830" s="26" t="s">
        <v>31</v>
      </c>
      <c r="B830" s="26" t="s">
        <v>3369</v>
      </c>
      <c r="C830" s="26" t="s">
        <v>3370</v>
      </c>
      <c r="D830" s="26">
        <f t="shared" si="12"/>
        <v>-1</v>
      </c>
      <c r="E830" s="26" t="s">
        <v>34</v>
      </c>
      <c r="F830" s="26" t="s">
        <v>2993</v>
      </c>
      <c r="G830" s="26" t="s">
        <v>3371</v>
      </c>
      <c r="H830" s="26" t="s">
        <v>37</v>
      </c>
      <c r="I830" s="26" t="s">
        <v>38</v>
      </c>
      <c r="J830" s="26" t="s">
        <v>3372</v>
      </c>
      <c r="K830" s="26" t="s">
        <v>3373</v>
      </c>
      <c r="L830" s="26">
        <v>20710</v>
      </c>
      <c r="M830" s="26">
        <v>0</v>
      </c>
      <c r="N830" s="26">
        <v>0</v>
      </c>
      <c r="O830" s="26">
        <v>129710</v>
      </c>
      <c r="P830" s="26" t="s">
        <v>41</v>
      </c>
      <c r="Q830" s="26" t="s">
        <v>42</v>
      </c>
      <c r="R830" s="26"/>
      <c r="S830" s="26"/>
      <c r="T830" s="26"/>
      <c r="U830" s="26"/>
      <c r="V830" s="26" t="s">
        <v>43</v>
      </c>
      <c r="W830" s="26"/>
      <c r="X830" s="26"/>
    </row>
    <row r="831" spans="1:24" s="29" customFormat="1">
      <c r="A831" s="26" t="s">
        <v>31</v>
      </c>
      <c r="B831" s="26" t="s">
        <v>3374</v>
      </c>
      <c r="C831" s="26" t="s">
        <v>3375</v>
      </c>
      <c r="D831" s="26">
        <f t="shared" si="12"/>
        <v>-1</v>
      </c>
      <c r="E831" s="26" t="s">
        <v>34</v>
      </c>
      <c r="F831" s="26" t="s">
        <v>2993</v>
      </c>
      <c r="G831" s="26" t="s">
        <v>3376</v>
      </c>
      <c r="H831" s="26" t="s">
        <v>37</v>
      </c>
      <c r="I831" s="26" t="s">
        <v>38</v>
      </c>
      <c r="J831" s="26" t="s">
        <v>3377</v>
      </c>
      <c r="K831" s="26" t="s">
        <v>3378</v>
      </c>
      <c r="L831" s="26">
        <v>190000</v>
      </c>
      <c r="M831" s="26">
        <v>0</v>
      </c>
      <c r="N831" s="26">
        <v>0</v>
      </c>
      <c r="O831" s="26">
        <v>1190000</v>
      </c>
      <c r="P831" s="26" t="s">
        <v>41</v>
      </c>
      <c r="Q831" s="26" t="s">
        <v>42</v>
      </c>
      <c r="R831" s="26"/>
      <c r="S831" s="26"/>
      <c r="T831" s="26"/>
      <c r="U831" s="26"/>
      <c r="V831" s="26" t="s">
        <v>43</v>
      </c>
      <c r="W831" s="26"/>
      <c r="X831" s="26"/>
    </row>
    <row r="832" spans="1:24" s="29" customFormat="1">
      <c r="A832" s="34" t="s">
        <v>31</v>
      </c>
      <c r="B832" s="34" t="s">
        <v>3379</v>
      </c>
      <c r="C832" s="34" t="s">
        <v>3380</v>
      </c>
      <c r="D832" s="34">
        <f t="shared" si="12"/>
        <v>-1</v>
      </c>
      <c r="E832" s="34" t="s">
        <v>34</v>
      </c>
      <c r="F832" s="34" t="s">
        <v>2993</v>
      </c>
      <c r="G832" s="34" t="s">
        <v>3381</v>
      </c>
      <c r="H832" s="34" t="s">
        <v>37</v>
      </c>
      <c r="I832" s="34" t="s">
        <v>38</v>
      </c>
      <c r="J832" s="34" t="s">
        <v>3164</v>
      </c>
      <c r="K832" s="34" t="s">
        <v>3165</v>
      </c>
      <c r="L832" s="34">
        <v>1997280</v>
      </c>
      <c r="M832" s="34">
        <v>0</v>
      </c>
      <c r="N832" s="34">
        <v>0</v>
      </c>
      <c r="O832" s="34">
        <v>12509280</v>
      </c>
      <c r="P832" s="34" t="s">
        <v>41</v>
      </c>
      <c r="Q832" s="34" t="s">
        <v>42</v>
      </c>
      <c r="R832" s="26"/>
      <c r="S832" s="26"/>
      <c r="T832" s="26" t="s">
        <v>43</v>
      </c>
      <c r="U832" s="26"/>
      <c r="V832" s="26"/>
      <c r="W832" s="26"/>
      <c r="X832" s="26"/>
    </row>
    <row r="833" spans="1:24" s="29" customFormat="1">
      <c r="A833" s="32" t="s">
        <v>31</v>
      </c>
      <c r="B833" s="32" t="s">
        <v>3382</v>
      </c>
      <c r="C833" s="32" t="s">
        <v>3383</v>
      </c>
      <c r="D833" s="32">
        <f t="shared" si="12"/>
        <v>-1</v>
      </c>
      <c r="E833" s="32" t="s">
        <v>34</v>
      </c>
      <c r="F833" s="32" t="s">
        <v>2993</v>
      </c>
      <c r="G833" s="32" t="s">
        <v>3384</v>
      </c>
      <c r="H833" s="32" t="s">
        <v>37</v>
      </c>
      <c r="I833" s="32" t="s">
        <v>38</v>
      </c>
      <c r="J833" s="32" t="s">
        <v>974</v>
      </c>
      <c r="K833" s="32" t="s">
        <v>975</v>
      </c>
      <c r="L833" s="32">
        <v>32300</v>
      </c>
      <c r="M833" s="32">
        <v>0</v>
      </c>
      <c r="N833" s="32">
        <v>0</v>
      </c>
      <c r="O833" s="32">
        <v>202300</v>
      </c>
      <c r="P833" s="32" t="s">
        <v>41</v>
      </c>
      <c r="Q833" s="32" t="s">
        <v>42</v>
      </c>
      <c r="R833" s="26" t="s">
        <v>43</v>
      </c>
      <c r="S833" s="26"/>
      <c r="T833" s="26"/>
      <c r="U833" s="26"/>
      <c r="V833" s="26"/>
      <c r="W833" s="26"/>
      <c r="X833" s="26"/>
    </row>
    <row r="834" spans="1:24" s="29" customFormat="1">
      <c r="A834" s="32" t="s">
        <v>31</v>
      </c>
      <c r="B834" s="32" t="s">
        <v>3385</v>
      </c>
      <c r="C834" s="32" t="s">
        <v>3386</v>
      </c>
      <c r="D834" s="32">
        <f t="shared" si="12"/>
        <v>-1</v>
      </c>
      <c r="E834" s="32" t="s">
        <v>34</v>
      </c>
      <c r="F834" s="32" t="s">
        <v>2993</v>
      </c>
      <c r="G834" s="32" t="s">
        <v>3384</v>
      </c>
      <c r="H834" s="32" t="s">
        <v>37</v>
      </c>
      <c r="I834" s="32" t="s">
        <v>38</v>
      </c>
      <c r="J834" s="32" t="s">
        <v>3387</v>
      </c>
      <c r="K834" s="32" t="s">
        <v>3388</v>
      </c>
      <c r="L834" s="32">
        <v>69920</v>
      </c>
      <c r="M834" s="32">
        <v>0</v>
      </c>
      <c r="N834" s="32">
        <v>0</v>
      </c>
      <c r="O834" s="32">
        <v>437920</v>
      </c>
      <c r="P834" s="32" t="s">
        <v>41</v>
      </c>
      <c r="Q834" s="32" t="s">
        <v>42</v>
      </c>
      <c r="R834" s="26" t="s">
        <v>43</v>
      </c>
      <c r="S834" s="26"/>
      <c r="T834" s="26"/>
      <c r="U834" s="26"/>
      <c r="V834" s="26"/>
      <c r="W834" s="26"/>
      <c r="X834" s="26"/>
    </row>
    <row r="835" spans="1:24" s="29" customFormat="1">
      <c r="A835" s="26" t="s">
        <v>31</v>
      </c>
      <c r="B835" s="26" t="s">
        <v>3389</v>
      </c>
      <c r="C835" s="26" t="s">
        <v>3390</v>
      </c>
      <c r="D835" s="26">
        <f t="shared" si="12"/>
        <v>-1</v>
      </c>
      <c r="E835" s="26" t="s">
        <v>34</v>
      </c>
      <c r="F835" s="26" t="s">
        <v>2993</v>
      </c>
      <c r="G835" s="26" t="s">
        <v>3391</v>
      </c>
      <c r="H835" s="26" t="s">
        <v>37</v>
      </c>
      <c r="I835" s="26" t="s">
        <v>38</v>
      </c>
      <c r="J835" s="26" t="s">
        <v>3392</v>
      </c>
      <c r="K835" s="26" t="s">
        <v>3393</v>
      </c>
      <c r="L835" s="26">
        <v>62700</v>
      </c>
      <c r="M835" s="26">
        <v>0</v>
      </c>
      <c r="N835" s="26">
        <v>0</v>
      </c>
      <c r="O835" s="26">
        <v>392700</v>
      </c>
      <c r="P835" s="26" t="s">
        <v>41</v>
      </c>
      <c r="Q835" s="26" t="s">
        <v>42</v>
      </c>
      <c r="R835" s="26"/>
      <c r="S835" s="26"/>
      <c r="T835" s="26"/>
      <c r="U835" s="26"/>
      <c r="V835" s="26" t="s">
        <v>43</v>
      </c>
      <c r="W835" s="26"/>
      <c r="X835" s="26"/>
    </row>
    <row r="836" spans="1:24" s="29" customFormat="1">
      <c r="A836" s="34" t="s">
        <v>31</v>
      </c>
      <c r="B836" s="34" t="s">
        <v>3394</v>
      </c>
      <c r="C836" s="34" t="s">
        <v>3395</v>
      </c>
      <c r="D836" s="34">
        <f t="shared" si="12"/>
        <v>-1</v>
      </c>
      <c r="E836" s="34" t="s">
        <v>34</v>
      </c>
      <c r="F836" s="34" t="s">
        <v>2993</v>
      </c>
      <c r="G836" s="34" t="s">
        <v>3396</v>
      </c>
      <c r="H836" s="34" t="s">
        <v>37</v>
      </c>
      <c r="I836" s="34" t="s">
        <v>38</v>
      </c>
      <c r="J836" s="34" t="s">
        <v>2600</v>
      </c>
      <c r="K836" s="34" t="s">
        <v>2601</v>
      </c>
      <c r="L836" s="34">
        <v>128176.9</v>
      </c>
      <c r="M836" s="34">
        <v>0</v>
      </c>
      <c r="N836" s="34">
        <v>0</v>
      </c>
      <c r="O836" s="34">
        <v>1036886.9</v>
      </c>
      <c r="P836" s="34" t="s">
        <v>41</v>
      </c>
      <c r="Q836" s="34" t="s">
        <v>42</v>
      </c>
      <c r="R836" s="26"/>
      <c r="S836" s="26"/>
      <c r="T836" s="26" t="s">
        <v>43</v>
      </c>
      <c r="U836" s="26"/>
      <c r="V836" s="26"/>
      <c r="W836" s="26"/>
      <c r="X836" s="26"/>
    </row>
    <row r="837" spans="1:24" s="29" customFormat="1">
      <c r="A837" s="34" t="s">
        <v>31</v>
      </c>
      <c r="B837" s="34" t="s">
        <v>3397</v>
      </c>
      <c r="C837" s="34" t="s">
        <v>3398</v>
      </c>
      <c r="D837" s="34">
        <f t="shared" si="12"/>
        <v>-1</v>
      </c>
      <c r="E837" s="34" t="s">
        <v>34</v>
      </c>
      <c r="F837" s="34" t="s">
        <v>2993</v>
      </c>
      <c r="G837" s="34" t="s">
        <v>3399</v>
      </c>
      <c r="H837" s="34" t="s">
        <v>37</v>
      </c>
      <c r="I837" s="34" t="s">
        <v>38</v>
      </c>
      <c r="J837" s="34" t="s">
        <v>2600</v>
      </c>
      <c r="K837" s="34" t="s">
        <v>2601</v>
      </c>
      <c r="L837" s="34">
        <v>12160</v>
      </c>
      <c r="M837" s="34">
        <v>0</v>
      </c>
      <c r="N837" s="34">
        <v>0</v>
      </c>
      <c r="O837" s="34">
        <v>76160</v>
      </c>
      <c r="P837" s="34" t="s">
        <v>41</v>
      </c>
      <c r="Q837" s="34" t="s">
        <v>42</v>
      </c>
      <c r="R837" s="26"/>
      <c r="S837" s="26"/>
      <c r="T837" s="26" t="s">
        <v>43</v>
      </c>
      <c r="U837" s="26"/>
      <c r="V837" s="26"/>
      <c r="W837" s="26"/>
      <c r="X837" s="26"/>
    </row>
    <row r="838" spans="1:24" s="29" customFormat="1">
      <c r="A838" s="26" t="s">
        <v>31</v>
      </c>
      <c r="B838" s="26" t="s">
        <v>3400</v>
      </c>
      <c r="C838" s="26" t="s">
        <v>3401</v>
      </c>
      <c r="D838" s="26">
        <f t="shared" si="12"/>
        <v>-1</v>
      </c>
      <c r="E838" s="26" t="s">
        <v>34</v>
      </c>
      <c r="F838" s="26" t="s">
        <v>2993</v>
      </c>
      <c r="G838" s="26" t="s">
        <v>3402</v>
      </c>
      <c r="H838" s="26" t="s">
        <v>37</v>
      </c>
      <c r="I838" s="26" t="s">
        <v>38</v>
      </c>
      <c r="J838" s="26" t="s">
        <v>2624</v>
      </c>
      <c r="K838" s="26" t="s">
        <v>2625</v>
      </c>
      <c r="L838" s="26">
        <v>62700</v>
      </c>
      <c r="M838" s="26">
        <v>0</v>
      </c>
      <c r="N838" s="26">
        <v>0</v>
      </c>
      <c r="O838" s="26">
        <v>392700</v>
      </c>
      <c r="P838" s="26" t="s">
        <v>41</v>
      </c>
      <c r="Q838" s="26" t="s">
        <v>42</v>
      </c>
      <c r="R838" s="26"/>
      <c r="S838" s="26"/>
      <c r="T838" s="26"/>
      <c r="U838" s="26"/>
      <c r="V838" s="26" t="s">
        <v>43</v>
      </c>
      <c r="W838" s="26"/>
      <c r="X838" s="26"/>
    </row>
    <row r="839" spans="1:24" s="29" customFormat="1">
      <c r="A839" s="32" t="s">
        <v>31</v>
      </c>
      <c r="B839" s="32" t="s">
        <v>3403</v>
      </c>
      <c r="C839" s="32" t="s">
        <v>3404</v>
      </c>
      <c r="D839" s="32">
        <f t="shared" si="12"/>
        <v>-1</v>
      </c>
      <c r="E839" s="32" t="s">
        <v>34</v>
      </c>
      <c r="F839" s="32" t="s">
        <v>2993</v>
      </c>
      <c r="G839" s="32" t="s">
        <v>3405</v>
      </c>
      <c r="H839" s="32" t="s">
        <v>37</v>
      </c>
      <c r="I839" s="32" t="s">
        <v>38</v>
      </c>
      <c r="J839" s="32" t="s">
        <v>3406</v>
      </c>
      <c r="K839" s="32" t="s">
        <v>3407</v>
      </c>
      <c r="L839" s="32">
        <v>61750</v>
      </c>
      <c r="M839" s="32">
        <v>0</v>
      </c>
      <c r="N839" s="32">
        <v>0</v>
      </c>
      <c r="O839" s="32">
        <v>386750</v>
      </c>
      <c r="P839" s="32" t="s">
        <v>41</v>
      </c>
      <c r="Q839" s="32" t="s">
        <v>42</v>
      </c>
      <c r="R839" s="26" t="s">
        <v>43</v>
      </c>
      <c r="S839" s="26"/>
      <c r="T839" s="26"/>
      <c r="U839" s="26"/>
      <c r="V839" s="26"/>
      <c r="W839" s="26"/>
      <c r="X839" s="26"/>
    </row>
    <row r="840" spans="1:24" s="29" customFormat="1">
      <c r="A840" s="32" t="s">
        <v>31</v>
      </c>
      <c r="B840" s="32" t="s">
        <v>3408</v>
      </c>
      <c r="C840" s="32" t="s">
        <v>3409</v>
      </c>
      <c r="D840" s="32">
        <f t="shared" si="12"/>
        <v>-1</v>
      </c>
      <c r="E840" s="32" t="s">
        <v>34</v>
      </c>
      <c r="F840" s="32" t="s">
        <v>2993</v>
      </c>
      <c r="G840" s="32" t="s">
        <v>3410</v>
      </c>
      <c r="H840" s="32" t="s">
        <v>37</v>
      </c>
      <c r="I840" s="32" t="s">
        <v>38</v>
      </c>
      <c r="J840" s="32" t="s">
        <v>2135</v>
      </c>
      <c r="K840" s="32" t="s">
        <v>2136</v>
      </c>
      <c r="L840" s="32">
        <v>73409.16</v>
      </c>
      <c r="M840" s="32">
        <v>0</v>
      </c>
      <c r="N840" s="32">
        <v>0</v>
      </c>
      <c r="O840" s="32">
        <v>459773.16</v>
      </c>
      <c r="P840" s="32" t="s">
        <v>41</v>
      </c>
      <c r="Q840" s="32" t="s">
        <v>42</v>
      </c>
      <c r="R840" s="26" t="s">
        <v>43</v>
      </c>
      <c r="S840" s="26"/>
      <c r="T840" s="26"/>
      <c r="U840" s="26"/>
      <c r="V840" s="26"/>
      <c r="W840" s="26"/>
      <c r="X840" s="26"/>
    </row>
    <row r="841" spans="1:24" s="29" customFormat="1">
      <c r="A841" s="33" t="s">
        <v>31</v>
      </c>
      <c r="B841" s="33" t="s">
        <v>3411</v>
      </c>
      <c r="C841" s="33" t="s">
        <v>3412</v>
      </c>
      <c r="D841" s="33">
        <f t="shared" si="12"/>
        <v>-1</v>
      </c>
      <c r="E841" s="33" t="s">
        <v>34</v>
      </c>
      <c r="F841" s="33" t="s">
        <v>2993</v>
      </c>
      <c r="G841" s="33" t="s">
        <v>3413</v>
      </c>
      <c r="H841" s="33" t="s">
        <v>37</v>
      </c>
      <c r="I841" s="33" t="s">
        <v>38</v>
      </c>
      <c r="J841" s="33" t="s">
        <v>3414</v>
      </c>
      <c r="K841" s="33" t="s">
        <v>3415</v>
      </c>
      <c r="L841" s="33">
        <v>0</v>
      </c>
      <c r="M841" s="33">
        <v>0</v>
      </c>
      <c r="N841" s="33">
        <v>0</v>
      </c>
      <c r="O841" s="33">
        <v>26455350</v>
      </c>
      <c r="P841" s="33" t="s">
        <v>41</v>
      </c>
      <c r="Q841" s="33" t="s">
        <v>42</v>
      </c>
      <c r="R841" s="26"/>
      <c r="S841" s="26" t="s">
        <v>43</v>
      </c>
      <c r="T841" s="26"/>
      <c r="U841" s="26"/>
      <c r="V841" s="26"/>
      <c r="W841" s="26"/>
      <c r="X841" s="26"/>
    </row>
    <row r="842" spans="1:24" s="29" customFormat="1">
      <c r="A842" s="32" t="s">
        <v>31</v>
      </c>
      <c r="B842" s="32" t="s">
        <v>3416</v>
      </c>
      <c r="C842" s="32" t="s">
        <v>3417</v>
      </c>
      <c r="D842" s="32">
        <f t="shared" si="12"/>
        <v>-1</v>
      </c>
      <c r="E842" s="32" t="s">
        <v>34</v>
      </c>
      <c r="F842" s="32" t="s">
        <v>2993</v>
      </c>
      <c r="G842" s="32" t="s">
        <v>3418</v>
      </c>
      <c r="H842" s="32" t="s">
        <v>37</v>
      </c>
      <c r="I842" s="32" t="s">
        <v>38</v>
      </c>
      <c r="J842" s="32" t="s">
        <v>155</v>
      </c>
      <c r="K842" s="32" t="s">
        <v>156</v>
      </c>
      <c r="L842" s="32">
        <v>0</v>
      </c>
      <c r="M842" s="32">
        <v>0</v>
      </c>
      <c r="N842" s="32">
        <v>0</v>
      </c>
      <c r="O842" s="32">
        <v>33749311</v>
      </c>
      <c r="P842" s="32" t="s">
        <v>41</v>
      </c>
      <c r="Q842" s="32" t="s">
        <v>42</v>
      </c>
      <c r="R842" s="26" t="s">
        <v>43</v>
      </c>
      <c r="S842" s="26"/>
      <c r="T842" s="26"/>
      <c r="U842" s="26"/>
      <c r="V842" s="26"/>
      <c r="W842" s="26"/>
      <c r="X842" s="26"/>
    </row>
    <row r="843" spans="1:24" s="29" customFormat="1">
      <c r="A843" s="33" t="s">
        <v>31</v>
      </c>
      <c r="B843" s="33" t="s">
        <v>3419</v>
      </c>
      <c r="C843" s="33" t="s">
        <v>3420</v>
      </c>
      <c r="D843" s="33">
        <f t="shared" si="12"/>
        <v>-1</v>
      </c>
      <c r="E843" s="33" t="s">
        <v>34</v>
      </c>
      <c r="F843" s="33" t="s">
        <v>2993</v>
      </c>
      <c r="G843" s="33" t="s">
        <v>3421</v>
      </c>
      <c r="H843" s="33" t="s">
        <v>37</v>
      </c>
      <c r="I843" s="33" t="s">
        <v>38</v>
      </c>
      <c r="J843" s="33" t="s">
        <v>3422</v>
      </c>
      <c r="K843" s="33" t="s">
        <v>3423</v>
      </c>
      <c r="L843" s="33">
        <v>99164.4</v>
      </c>
      <c r="M843" s="33">
        <v>0</v>
      </c>
      <c r="N843" s="33">
        <v>0</v>
      </c>
      <c r="O843" s="33">
        <v>736324.4</v>
      </c>
      <c r="P843" s="33" t="s">
        <v>41</v>
      </c>
      <c r="Q843" s="33" t="s">
        <v>42</v>
      </c>
      <c r="R843" s="26"/>
      <c r="S843" s="26" t="s">
        <v>43</v>
      </c>
      <c r="T843" s="26"/>
      <c r="U843" s="26"/>
      <c r="V843" s="26"/>
      <c r="W843" s="26"/>
      <c r="X843" s="26"/>
    </row>
    <row r="844" spans="1:24" s="29" customFormat="1">
      <c r="A844" s="32" t="s">
        <v>31</v>
      </c>
      <c r="B844" s="32" t="s">
        <v>3424</v>
      </c>
      <c r="C844" s="32" t="s">
        <v>3425</v>
      </c>
      <c r="D844" s="32">
        <f t="shared" si="12"/>
        <v>-1</v>
      </c>
      <c r="E844" s="32" t="s">
        <v>34</v>
      </c>
      <c r="F844" s="32" t="s">
        <v>3426</v>
      </c>
      <c r="G844" s="32" t="s">
        <v>3427</v>
      </c>
      <c r="H844" s="32" t="s">
        <v>37</v>
      </c>
      <c r="I844" s="32" t="s">
        <v>38</v>
      </c>
      <c r="J844" s="32" t="s">
        <v>471</v>
      </c>
      <c r="K844" s="32" t="s">
        <v>472</v>
      </c>
      <c r="L844" s="32">
        <v>463609.5</v>
      </c>
      <c r="M844" s="32">
        <v>0</v>
      </c>
      <c r="N844" s="32">
        <v>0</v>
      </c>
      <c r="O844" s="32">
        <v>2903659.5</v>
      </c>
      <c r="P844" s="32" t="s">
        <v>41</v>
      </c>
      <c r="Q844" s="32" t="s">
        <v>42</v>
      </c>
      <c r="R844" s="26" t="s">
        <v>43</v>
      </c>
      <c r="S844" s="26"/>
      <c r="T844" s="26"/>
      <c r="U844" s="26"/>
      <c r="V844" s="26"/>
      <c r="W844" s="26"/>
      <c r="X844" s="26"/>
    </row>
    <row r="845" spans="1:24" s="29" customFormat="1">
      <c r="A845" s="31" t="s">
        <v>31</v>
      </c>
      <c r="B845" s="31" t="s">
        <v>3428</v>
      </c>
      <c r="C845" s="31">
        <v>106491</v>
      </c>
      <c r="D845" s="31">
        <f t="shared" ref="D845:D908" si="13">C845-C846</f>
        <v>-1</v>
      </c>
      <c r="E845" s="31" t="s">
        <v>34</v>
      </c>
      <c r="F845" s="31" t="s">
        <v>3426</v>
      </c>
      <c r="G845" s="31" t="s">
        <v>3429</v>
      </c>
      <c r="H845" s="31" t="s">
        <v>37</v>
      </c>
      <c r="I845" s="31" t="s">
        <v>38</v>
      </c>
      <c r="J845" s="31" t="s">
        <v>1629</v>
      </c>
      <c r="K845" s="31" t="s">
        <v>1630</v>
      </c>
      <c r="L845" s="31">
        <v>19055332.18</v>
      </c>
      <c r="M845" s="31">
        <v>0</v>
      </c>
      <c r="N845" s="31">
        <v>0</v>
      </c>
      <c r="O845" s="31">
        <v>119346554.18000001</v>
      </c>
      <c r="P845" s="31" t="s">
        <v>41</v>
      </c>
      <c r="Q845" s="31" t="s">
        <v>42</v>
      </c>
      <c r="R845" s="26"/>
      <c r="S845" s="26"/>
      <c r="T845" s="26"/>
      <c r="U845" s="26" t="s">
        <v>43</v>
      </c>
      <c r="V845" s="26"/>
      <c r="W845" s="26"/>
      <c r="X845" s="26"/>
    </row>
    <row r="846" spans="1:24" s="29" customFormat="1">
      <c r="A846" s="34" t="s">
        <v>31</v>
      </c>
      <c r="B846" s="34" t="s">
        <v>3430</v>
      </c>
      <c r="C846" s="34" t="s">
        <v>3431</v>
      </c>
      <c r="D846" s="34">
        <f t="shared" si="13"/>
        <v>-1</v>
      </c>
      <c r="E846" s="34" t="s">
        <v>34</v>
      </c>
      <c r="F846" s="34" t="s">
        <v>3426</v>
      </c>
      <c r="G846" s="34" t="s">
        <v>3432</v>
      </c>
      <c r="H846" s="34" t="s">
        <v>37</v>
      </c>
      <c r="I846" s="34" t="s">
        <v>38</v>
      </c>
      <c r="J846" s="34" t="s">
        <v>3433</v>
      </c>
      <c r="K846" s="34" t="s">
        <v>3434</v>
      </c>
      <c r="L846" s="34">
        <v>210962.7</v>
      </c>
      <c r="M846" s="34">
        <v>0</v>
      </c>
      <c r="N846" s="34">
        <v>0</v>
      </c>
      <c r="O846" s="34">
        <v>1327548.7</v>
      </c>
      <c r="P846" s="34" t="s">
        <v>41</v>
      </c>
      <c r="Q846" s="34" t="s">
        <v>42</v>
      </c>
      <c r="R846" s="26"/>
      <c r="S846" s="26"/>
      <c r="T846" s="26" t="s">
        <v>43</v>
      </c>
      <c r="U846" s="26"/>
      <c r="V846" s="26"/>
      <c r="W846" s="26"/>
      <c r="X846" s="26"/>
    </row>
    <row r="847" spans="1:24" s="29" customFormat="1">
      <c r="A847" s="32" t="s">
        <v>31</v>
      </c>
      <c r="B847" s="32" t="s">
        <v>3435</v>
      </c>
      <c r="C847" s="32" t="s">
        <v>3436</v>
      </c>
      <c r="D847" s="32">
        <f t="shared" si="13"/>
        <v>-1</v>
      </c>
      <c r="E847" s="32" t="s">
        <v>34</v>
      </c>
      <c r="F847" s="32" t="s">
        <v>3426</v>
      </c>
      <c r="G847" s="32" t="s">
        <v>3437</v>
      </c>
      <c r="H847" s="32" t="s">
        <v>37</v>
      </c>
      <c r="I847" s="32" t="s">
        <v>38</v>
      </c>
      <c r="J847" s="32" t="s">
        <v>1629</v>
      </c>
      <c r="K847" s="32" t="s">
        <v>1630</v>
      </c>
      <c r="L847" s="32">
        <v>10467366</v>
      </c>
      <c r="M847" s="32">
        <v>0</v>
      </c>
      <c r="N847" s="32">
        <v>0</v>
      </c>
      <c r="O847" s="32">
        <v>110758588</v>
      </c>
      <c r="P847" s="32" t="s">
        <v>41</v>
      </c>
      <c r="Q847" s="32" t="s">
        <v>42</v>
      </c>
      <c r="R847" s="26" t="s">
        <v>43</v>
      </c>
      <c r="S847" s="26"/>
      <c r="T847" s="26"/>
      <c r="U847" s="26"/>
      <c r="V847" s="26"/>
      <c r="W847" s="26"/>
      <c r="X847" s="26"/>
    </row>
    <row r="848" spans="1:24" s="29" customFormat="1">
      <c r="A848" s="26" t="s">
        <v>31</v>
      </c>
      <c r="B848" s="26" t="s">
        <v>3438</v>
      </c>
      <c r="C848" s="26" t="s">
        <v>3439</v>
      </c>
      <c r="D848" s="26">
        <f t="shared" si="13"/>
        <v>-1</v>
      </c>
      <c r="E848" s="26" t="s">
        <v>34</v>
      </c>
      <c r="F848" s="26" t="s">
        <v>3426</v>
      </c>
      <c r="G848" s="26" t="s">
        <v>3440</v>
      </c>
      <c r="H848" s="26" t="s">
        <v>37</v>
      </c>
      <c r="I848" s="26" t="s">
        <v>38</v>
      </c>
      <c r="J848" s="26" t="s">
        <v>3441</v>
      </c>
      <c r="K848" s="26" t="s">
        <v>3442</v>
      </c>
      <c r="L848" s="26">
        <v>164868.12</v>
      </c>
      <c r="M848" s="26">
        <v>0</v>
      </c>
      <c r="N848" s="26">
        <v>0</v>
      </c>
      <c r="O848" s="26">
        <v>1136654.1200000001</v>
      </c>
      <c r="P848" s="26" t="s">
        <v>41</v>
      </c>
      <c r="Q848" s="26" t="s">
        <v>42</v>
      </c>
      <c r="R848" s="26"/>
      <c r="S848" s="26"/>
      <c r="T848" s="26"/>
      <c r="U848" s="26"/>
      <c r="V848" s="26" t="s">
        <v>43</v>
      </c>
      <c r="W848" s="26"/>
      <c r="X848" s="26"/>
    </row>
    <row r="849" spans="1:24" s="29" customFormat="1">
      <c r="A849" s="26" t="s">
        <v>31</v>
      </c>
      <c r="B849" s="26" t="s">
        <v>3443</v>
      </c>
      <c r="C849" s="26" t="s">
        <v>3444</v>
      </c>
      <c r="D849" s="26">
        <f t="shared" si="13"/>
        <v>-1</v>
      </c>
      <c r="E849" s="26" t="s">
        <v>34</v>
      </c>
      <c r="F849" s="26" t="s">
        <v>3426</v>
      </c>
      <c r="G849" s="26" t="s">
        <v>3445</v>
      </c>
      <c r="H849" s="26" t="s">
        <v>37</v>
      </c>
      <c r="I849" s="26" t="s">
        <v>38</v>
      </c>
      <c r="J849" s="26" t="s">
        <v>3446</v>
      </c>
      <c r="K849" s="26" t="s">
        <v>3447</v>
      </c>
      <c r="L849" s="26">
        <v>29374</v>
      </c>
      <c r="M849" s="26">
        <v>0</v>
      </c>
      <c r="N849" s="26">
        <v>0</v>
      </c>
      <c r="O849" s="26">
        <v>183974</v>
      </c>
      <c r="P849" s="26" t="s">
        <v>41</v>
      </c>
      <c r="Q849" s="26" t="s">
        <v>42</v>
      </c>
      <c r="R849" s="26"/>
      <c r="S849" s="26"/>
      <c r="T849" s="26"/>
      <c r="U849" s="26"/>
      <c r="V849" s="26" t="s">
        <v>43</v>
      </c>
      <c r="W849" s="26"/>
      <c r="X849" s="26"/>
    </row>
    <row r="850" spans="1:24" s="29" customFormat="1">
      <c r="A850" s="35" t="s">
        <v>31</v>
      </c>
      <c r="B850" s="35" t="s">
        <v>3448</v>
      </c>
      <c r="C850" s="35" t="s">
        <v>3449</v>
      </c>
      <c r="D850" s="35">
        <f t="shared" si="13"/>
        <v>-1</v>
      </c>
      <c r="E850" s="35" t="s">
        <v>34</v>
      </c>
      <c r="F850" s="35" t="s">
        <v>3426</v>
      </c>
      <c r="G850" s="35" t="s">
        <v>3450</v>
      </c>
      <c r="H850" s="35" t="s">
        <v>37</v>
      </c>
      <c r="I850" s="35" t="s">
        <v>38</v>
      </c>
      <c r="J850" s="35" t="s">
        <v>3451</v>
      </c>
      <c r="K850" s="35" t="s">
        <v>3452</v>
      </c>
      <c r="L850" s="35">
        <v>27844.5</v>
      </c>
      <c r="M850" s="35">
        <v>0</v>
      </c>
      <c r="N850" s="35">
        <v>0</v>
      </c>
      <c r="O850" s="35">
        <v>180544.5</v>
      </c>
      <c r="P850" s="35" t="s">
        <v>41</v>
      </c>
      <c r="Q850" s="35" t="s">
        <v>42</v>
      </c>
      <c r="R850" s="26"/>
      <c r="S850" s="26"/>
      <c r="T850" s="26"/>
      <c r="U850" s="26"/>
      <c r="V850" s="26"/>
      <c r="W850" s="35" t="s">
        <v>43</v>
      </c>
      <c r="X850" s="26" t="s">
        <v>1377</v>
      </c>
    </row>
    <row r="851" spans="1:24" s="29" customFormat="1">
      <c r="A851" s="35" t="s">
        <v>31</v>
      </c>
      <c r="B851" s="35" t="s">
        <v>3453</v>
      </c>
      <c r="C851" s="35" t="s">
        <v>3454</v>
      </c>
      <c r="D851" s="35">
        <f t="shared" si="13"/>
        <v>-1</v>
      </c>
      <c r="E851" s="35" t="s">
        <v>34</v>
      </c>
      <c r="F851" s="35" t="s">
        <v>3426</v>
      </c>
      <c r="G851" s="35" t="s">
        <v>3455</v>
      </c>
      <c r="H851" s="35" t="s">
        <v>37</v>
      </c>
      <c r="I851" s="35" t="s">
        <v>38</v>
      </c>
      <c r="J851" s="35" t="s">
        <v>3451</v>
      </c>
      <c r="K851" s="35" t="s">
        <v>3452</v>
      </c>
      <c r="L851" s="35">
        <v>23012.42</v>
      </c>
      <c r="M851" s="35">
        <v>0</v>
      </c>
      <c r="N851" s="35">
        <v>0</v>
      </c>
      <c r="O851" s="35">
        <v>144130.42000000001</v>
      </c>
      <c r="P851" s="35" t="s">
        <v>41</v>
      </c>
      <c r="Q851" s="35" t="s">
        <v>42</v>
      </c>
      <c r="R851" s="26"/>
      <c r="S851" s="26"/>
      <c r="T851" s="26"/>
      <c r="U851" s="26"/>
      <c r="V851" s="26"/>
      <c r="W851" s="35" t="s">
        <v>43</v>
      </c>
      <c r="X851" s="26" t="s">
        <v>1377</v>
      </c>
    </row>
    <row r="852" spans="1:24" s="29" customFormat="1">
      <c r="A852" s="32" t="s">
        <v>31</v>
      </c>
      <c r="B852" s="32" t="s">
        <v>3456</v>
      </c>
      <c r="C852" s="32" t="s">
        <v>3457</v>
      </c>
      <c r="D852" s="32">
        <f t="shared" si="13"/>
        <v>-1</v>
      </c>
      <c r="E852" s="32" t="s">
        <v>34</v>
      </c>
      <c r="F852" s="32" t="s">
        <v>3426</v>
      </c>
      <c r="G852" s="32" t="s">
        <v>3458</v>
      </c>
      <c r="H852" s="32" t="s">
        <v>37</v>
      </c>
      <c r="I852" s="32" t="s">
        <v>38</v>
      </c>
      <c r="J852" s="32" t="s">
        <v>3459</v>
      </c>
      <c r="K852" s="32" t="s">
        <v>3460</v>
      </c>
      <c r="L852" s="32">
        <v>57815.1</v>
      </c>
      <c r="M852" s="32">
        <v>0</v>
      </c>
      <c r="N852" s="32">
        <v>0</v>
      </c>
      <c r="O852" s="32">
        <v>379205.1</v>
      </c>
      <c r="P852" s="32" t="s">
        <v>41</v>
      </c>
      <c r="Q852" s="32" t="s">
        <v>42</v>
      </c>
      <c r="R852" s="26" t="s">
        <v>43</v>
      </c>
      <c r="S852" s="26"/>
      <c r="T852" s="26"/>
      <c r="U852" s="26"/>
      <c r="V852" s="26"/>
      <c r="W852" s="26"/>
      <c r="X852" s="26"/>
    </row>
    <row r="853" spans="1:24" s="29" customFormat="1">
      <c r="A853" s="26" t="s">
        <v>31</v>
      </c>
      <c r="B853" s="26" t="s">
        <v>3461</v>
      </c>
      <c r="C853" s="26" t="s">
        <v>3462</v>
      </c>
      <c r="D853" s="26">
        <f t="shared" si="13"/>
        <v>-1</v>
      </c>
      <c r="E853" s="26" t="s">
        <v>34</v>
      </c>
      <c r="F853" s="26" t="s">
        <v>3426</v>
      </c>
      <c r="G853" s="26" t="s">
        <v>3463</v>
      </c>
      <c r="H853" s="26" t="s">
        <v>37</v>
      </c>
      <c r="I853" s="26" t="s">
        <v>38</v>
      </c>
      <c r="J853" s="26" t="s">
        <v>3464</v>
      </c>
      <c r="K853" s="26" t="s">
        <v>3465</v>
      </c>
      <c r="L853" s="26">
        <v>74100</v>
      </c>
      <c r="M853" s="26">
        <v>0</v>
      </c>
      <c r="N853" s="26">
        <v>0</v>
      </c>
      <c r="O853" s="26">
        <v>464100</v>
      </c>
      <c r="P853" s="26" t="s">
        <v>41</v>
      </c>
      <c r="Q853" s="26" t="s">
        <v>42</v>
      </c>
      <c r="R853" s="26"/>
      <c r="S853" s="26"/>
      <c r="T853" s="26"/>
      <c r="U853" s="26"/>
      <c r="V853" s="26" t="s">
        <v>43</v>
      </c>
      <c r="W853" s="26"/>
      <c r="X853" s="26"/>
    </row>
    <row r="854" spans="1:24" s="29" customFormat="1">
      <c r="A854" s="34" t="s">
        <v>31</v>
      </c>
      <c r="B854" s="34" t="s">
        <v>3466</v>
      </c>
      <c r="C854" s="34" t="s">
        <v>3467</v>
      </c>
      <c r="D854" s="34">
        <f t="shared" si="13"/>
        <v>-1</v>
      </c>
      <c r="E854" s="34" t="s">
        <v>34</v>
      </c>
      <c r="F854" s="34" t="s">
        <v>3426</v>
      </c>
      <c r="G854" s="34" t="s">
        <v>3468</v>
      </c>
      <c r="H854" s="34" t="s">
        <v>37</v>
      </c>
      <c r="I854" s="34" t="s">
        <v>38</v>
      </c>
      <c r="J854" s="34" t="s">
        <v>1584</v>
      </c>
      <c r="K854" s="34" t="s">
        <v>1585</v>
      </c>
      <c r="L854" s="34">
        <v>682100</v>
      </c>
      <c r="M854" s="34">
        <v>0</v>
      </c>
      <c r="N854" s="34">
        <v>0</v>
      </c>
      <c r="O854" s="34">
        <v>4272100</v>
      </c>
      <c r="P854" s="34" t="s">
        <v>41</v>
      </c>
      <c r="Q854" s="34" t="s">
        <v>42</v>
      </c>
      <c r="R854" s="26"/>
      <c r="S854" s="26"/>
      <c r="T854" s="26" t="s">
        <v>43</v>
      </c>
      <c r="U854" s="26"/>
      <c r="V854" s="26"/>
      <c r="W854" s="26"/>
      <c r="X854" s="26"/>
    </row>
    <row r="855" spans="1:24" s="29" customFormat="1">
      <c r="A855" s="26" t="s">
        <v>31</v>
      </c>
      <c r="B855" s="26" t="s">
        <v>3469</v>
      </c>
      <c r="C855" s="26" t="s">
        <v>3470</v>
      </c>
      <c r="D855" s="26">
        <f t="shared" si="13"/>
        <v>-1</v>
      </c>
      <c r="E855" s="26" t="s">
        <v>34</v>
      </c>
      <c r="F855" s="26" t="s">
        <v>3426</v>
      </c>
      <c r="G855" s="26" t="s">
        <v>3471</v>
      </c>
      <c r="H855" s="26" t="s">
        <v>37</v>
      </c>
      <c r="I855" s="26" t="s">
        <v>38</v>
      </c>
      <c r="J855" s="26" t="s">
        <v>2318</v>
      </c>
      <c r="K855" s="26" t="s">
        <v>2319</v>
      </c>
      <c r="L855" s="26">
        <v>2508950</v>
      </c>
      <c r="M855" s="26">
        <v>0</v>
      </c>
      <c r="N855" s="26">
        <v>0</v>
      </c>
      <c r="O855" s="26">
        <v>15713950</v>
      </c>
      <c r="P855" s="26" t="s">
        <v>41</v>
      </c>
      <c r="Q855" s="26" t="s">
        <v>42</v>
      </c>
      <c r="R855" s="26"/>
      <c r="S855" s="26"/>
      <c r="T855" s="26"/>
      <c r="U855" s="26"/>
      <c r="V855" s="26" t="s">
        <v>43</v>
      </c>
      <c r="W855" s="26"/>
      <c r="X855" s="26"/>
    </row>
    <row r="856" spans="1:24" s="29" customFormat="1">
      <c r="A856" s="35" t="s">
        <v>31</v>
      </c>
      <c r="B856" s="35" t="s">
        <v>3472</v>
      </c>
      <c r="C856" s="35" t="s">
        <v>3473</v>
      </c>
      <c r="D856" s="35">
        <f t="shared" si="13"/>
        <v>-1</v>
      </c>
      <c r="E856" s="35" t="s">
        <v>34</v>
      </c>
      <c r="F856" s="35" t="s">
        <v>3426</v>
      </c>
      <c r="G856" s="35" t="s">
        <v>3474</v>
      </c>
      <c r="H856" s="35" t="s">
        <v>37</v>
      </c>
      <c r="I856" s="35" t="s">
        <v>38</v>
      </c>
      <c r="J856" s="35" t="s">
        <v>2756</v>
      </c>
      <c r="K856" s="35" t="s">
        <v>2757</v>
      </c>
      <c r="L856" s="35">
        <v>48735</v>
      </c>
      <c r="M856" s="35">
        <v>0</v>
      </c>
      <c r="N856" s="35">
        <v>0</v>
      </c>
      <c r="O856" s="35">
        <v>305235</v>
      </c>
      <c r="P856" s="35" t="s">
        <v>41</v>
      </c>
      <c r="Q856" s="35" t="s">
        <v>42</v>
      </c>
      <c r="R856" s="26"/>
      <c r="S856" s="26"/>
      <c r="T856" s="26"/>
      <c r="U856" s="26"/>
      <c r="V856" s="26"/>
      <c r="W856" s="35" t="s">
        <v>43</v>
      </c>
      <c r="X856" s="26" t="s">
        <v>1144</v>
      </c>
    </row>
    <row r="857" spans="1:24" s="29" customFormat="1">
      <c r="A857" s="32" t="s">
        <v>31</v>
      </c>
      <c r="B857" s="32" t="s">
        <v>3475</v>
      </c>
      <c r="C857" s="32" t="s">
        <v>3476</v>
      </c>
      <c r="D857" s="32">
        <f t="shared" si="13"/>
        <v>-1</v>
      </c>
      <c r="E857" s="32" t="s">
        <v>34</v>
      </c>
      <c r="F857" s="32" t="s">
        <v>3426</v>
      </c>
      <c r="G857" s="32" t="s">
        <v>3477</v>
      </c>
      <c r="H857" s="32" t="s">
        <v>37</v>
      </c>
      <c r="I857" s="32" t="s">
        <v>38</v>
      </c>
      <c r="J857" s="32" t="s">
        <v>1481</v>
      </c>
      <c r="K857" s="32" t="s">
        <v>1482</v>
      </c>
      <c r="L857" s="32">
        <v>763420</v>
      </c>
      <c r="M857" s="32">
        <v>0</v>
      </c>
      <c r="N857" s="32">
        <v>0</v>
      </c>
      <c r="O857" s="32">
        <v>4781420</v>
      </c>
      <c r="P857" s="32" t="s">
        <v>41</v>
      </c>
      <c r="Q857" s="32" t="s">
        <v>42</v>
      </c>
      <c r="R857" s="26" t="s">
        <v>43</v>
      </c>
      <c r="S857" s="26"/>
      <c r="T857" s="26"/>
      <c r="U857" s="26"/>
      <c r="V857" s="26"/>
      <c r="W857" s="26"/>
      <c r="X857" s="26"/>
    </row>
    <row r="858" spans="1:24" s="29" customFormat="1">
      <c r="A858" s="26" t="s">
        <v>31</v>
      </c>
      <c r="B858" s="26" t="s">
        <v>3478</v>
      </c>
      <c r="C858" s="26" t="s">
        <v>3479</v>
      </c>
      <c r="D858" s="26">
        <f t="shared" si="13"/>
        <v>-1</v>
      </c>
      <c r="E858" s="26" t="s">
        <v>34</v>
      </c>
      <c r="F858" s="26" t="s">
        <v>3426</v>
      </c>
      <c r="G858" s="26" t="s">
        <v>3480</v>
      </c>
      <c r="H858" s="26" t="s">
        <v>37</v>
      </c>
      <c r="I858" s="26" t="s">
        <v>38</v>
      </c>
      <c r="J858" s="26" t="s">
        <v>3481</v>
      </c>
      <c r="K858" s="26" t="s">
        <v>3482</v>
      </c>
      <c r="L858" s="26">
        <v>65931.899999999994</v>
      </c>
      <c r="M858" s="26">
        <v>0</v>
      </c>
      <c r="N858" s="26">
        <v>0</v>
      </c>
      <c r="O858" s="26">
        <v>412941.9</v>
      </c>
      <c r="P858" s="26" t="s">
        <v>41</v>
      </c>
      <c r="Q858" s="26" t="s">
        <v>42</v>
      </c>
      <c r="R858" s="26"/>
      <c r="S858" s="26"/>
      <c r="T858" s="26"/>
      <c r="U858" s="26"/>
      <c r="V858" s="26" t="s">
        <v>43</v>
      </c>
      <c r="W858" s="26"/>
      <c r="X858" s="26"/>
    </row>
    <row r="859" spans="1:24" s="29" customFormat="1">
      <c r="A859" s="35" t="s">
        <v>31</v>
      </c>
      <c r="B859" s="35" t="s">
        <v>3483</v>
      </c>
      <c r="C859" s="35" t="s">
        <v>3484</v>
      </c>
      <c r="D859" s="35">
        <f t="shared" si="13"/>
        <v>-1</v>
      </c>
      <c r="E859" s="35" t="s">
        <v>34</v>
      </c>
      <c r="F859" s="35" t="s">
        <v>3426</v>
      </c>
      <c r="G859" s="35" t="s">
        <v>3485</v>
      </c>
      <c r="H859" s="35" t="s">
        <v>37</v>
      </c>
      <c r="I859" s="35" t="s">
        <v>38</v>
      </c>
      <c r="J859" s="35" t="s">
        <v>3206</v>
      </c>
      <c r="K859" s="35" t="s">
        <v>3207</v>
      </c>
      <c r="L859" s="35">
        <v>6068.6</v>
      </c>
      <c r="M859" s="35">
        <v>0</v>
      </c>
      <c r="N859" s="35">
        <v>0</v>
      </c>
      <c r="O859" s="35">
        <v>38008.6</v>
      </c>
      <c r="P859" s="35" t="s">
        <v>41</v>
      </c>
      <c r="Q859" s="35" t="s">
        <v>42</v>
      </c>
      <c r="R859" s="26"/>
      <c r="S859" s="26"/>
      <c r="T859" s="26"/>
      <c r="U859" s="26"/>
      <c r="V859" s="26"/>
      <c r="W859" s="35" t="s">
        <v>43</v>
      </c>
      <c r="X859" s="26" t="s">
        <v>3486</v>
      </c>
    </row>
    <row r="860" spans="1:24" s="29" customFormat="1">
      <c r="A860" s="35" t="s">
        <v>31</v>
      </c>
      <c r="B860" s="35" t="s">
        <v>3487</v>
      </c>
      <c r="C860" s="35" t="s">
        <v>3488</v>
      </c>
      <c r="D860" s="35">
        <f t="shared" si="13"/>
        <v>-1</v>
      </c>
      <c r="E860" s="35" t="s">
        <v>34</v>
      </c>
      <c r="F860" s="35" t="s">
        <v>3426</v>
      </c>
      <c r="G860" s="35" t="s">
        <v>3489</v>
      </c>
      <c r="H860" s="35" t="s">
        <v>37</v>
      </c>
      <c r="I860" s="35" t="s">
        <v>38</v>
      </c>
      <c r="J860" s="35" t="s">
        <v>3206</v>
      </c>
      <c r="K860" s="35" t="s">
        <v>3207</v>
      </c>
      <c r="L860" s="35">
        <v>45994.06</v>
      </c>
      <c r="M860" s="35">
        <v>0</v>
      </c>
      <c r="N860" s="35">
        <v>0</v>
      </c>
      <c r="O860" s="35">
        <v>288068.06</v>
      </c>
      <c r="P860" s="35" t="s">
        <v>41</v>
      </c>
      <c r="Q860" s="35" t="s">
        <v>42</v>
      </c>
      <c r="R860" s="26"/>
      <c r="S860" s="26"/>
      <c r="T860" s="26"/>
      <c r="U860" s="26"/>
      <c r="V860" s="26"/>
      <c r="W860" s="35" t="s">
        <v>43</v>
      </c>
      <c r="X860" s="26" t="s">
        <v>3490</v>
      </c>
    </row>
    <row r="861" spans="1:24" s="29" customFormat="1">
      <c r="A861" s="32" t="s">
        <v>31</v>
      </c>
      <c r="B861" s="32" t="s">
        <v>3491</v>
      </c>
      <c r="C861" s="32" t="s">
        <v>3492</v>
      </c>
      <c r="D861" s="32">
        <f t="shared" si="13"/>
        <v>-1</v>
      </c>
      <c r="E861" s="32" t="s">
        <v>34</v>
      </c>
      <c r="F861" s="32" t="s">
        <v>3426</v>
      </c>
      <c r="G861" s="32" t="s">
        <v>3493</v>
      </c>
      <c r="H861" s="32" t="s">
        <v>37</v>
      </c>
      <c r="I861" s="32" t="s">
        <v>38</v>
      </c>
      <c r="J861" s="32" t="s">
        <v>865</v>
      </c>
      <c r="K861" s="32" t="s">
        <v>866</v>
      </c>
      <c r="L861" s="32">
        <v>662150</v>
      </c>
      <c r="M861" s="32">
        <v>0</v>
      </c>
      <c r="N861" s="32">
        <v>0</v>
      </c>
      <c r="O861" s="32">
        <v>4147150</v>
      </c>
      <c r="P861" s="32" t="s">
        <v>41</v>
      </c>
      <c r="Q861" s="32" t="s">
        <v>42</v>
      </c>
      <c r="R861" s="26" t="s">
        <v>43</v>
      </c>
      <c r="S861" s="26"/>
      <c r="T861" s="26"/>
      <c r="U861" s="26"/>
      <c r="V861" s="26"/>
      <c r="W861" s="26"/>
      <c r="X861" s="26"/>
    </row>
    <row r="862" spans="1:24" s="29" customFormat="1">
      <c r="A862" s="34" t="s">
        <v>31</v>
      </c>
      <c r="B862" s="34" t="s">
        <v>3494</v>
      </c>
      <c r="C862" s="34" t="s">
        <v>3495</v>
      </c>
      <c r="D862" s="34">
        <f t="shared" si="13"/>
        <v>-1</v>
      </c>
      <c r="E862" s="34" t="s">
        <v>34</v>
      </c>
      <c r="F862" s="34" t="s">
        <v>3426</v>
      </c>
      <c r="G862" s="34" t="s">
        <v>3496</v>
      </c>
      <c r="H862" s="34" t="s">
        <v>37</v>
      </c>
      <c r="I862" s="34" t="s">
        <v>38</v>
      </c>
      <c r="J862" s="34" t="s">
        <v>3497</v>
      </c>
      <c r="K862" s="34" t="s">
        <v>3498</v>
      </c>
      <c r="L862" s="34">
        <v>1349950</v>
      </c>
      <c r="M862" s="34">
        <v>0</v>
      </c>
      <c r="N862" s="34">
        <v>0</v>
      </c>
      <c r="O862" s="34">
        <v>8454950</v>
      </c>
      <c r="P862" s="34" t="s">
        <v>41</v>
      </c>
      <c r="Q862" s="34" t="s">
        <v>42</v>
      </c>
      <c r="R862" s="26"/>
      <c r="S862" s="26"/>
      <c r="T862" s="26" t="s">
        <v>43</v>
      </c>
      <c r="U862" s="26"/>
      <c r="V862" s="26"/>
      <c r="W862" s="26"/>
      <c r="X862" s="26"/>
    </row>
    <row r="863" spans="1:24" s="29" customFormat="1">
      <c r="A863" s="33" t="s">
        <v>31</v>
      </c>
      <c r="B863" s="33" t="s">
        <v>3499</v>
      </c>
      <c r="C863" s="33" t="s">
        <v>3500</v>
      </c>
      <c r="D863" s="33">
        <f t="shared" si="13"/>
        <v>-1</v>
      </c>
      <c r="E863" s="33" t="s">
        <v>34</v>
      </c>
      <c r="F863" s="33" t="s">
        <v>3426</v>
      </c>
      <c r="G863" s="33" t="s">
        <v>3501</v>
      </c>
      <c r="H863" s="33" t="s">
        <v>37</v>
      </c>
      <c r="I863" s="33" t="s">
        <v>38</v>
      </c>
      <c r="J863" s="33" t="s">
        <v>890</v>
      </c>
      <c r="K863" s="33" t="s">
        <v>891</v>
      </c>
      <c r="L863" s="33">
        <v>83809</v>
      </c>
      <c r="M863" s="33">
        <v>0</v>
      </c>
      <c r="N863" s="33">
        <v>0</v>
      </c>
      <c r="O863" s="33">
        <v>524909</v>
      </c>
      <c r="P863" s="33" t="s">
        <v>41</v>
      </c>
      <c r="Q863" s="33" t="s">
        <v>42</v>
      </c>
      <c r="R863" s="26"/>
      <c r="S863" s="26" t="s">
        <v>43</v>
      </c>
      <c r="T863" s="26"/>
      <c r="U863" s="26"/>
      <c r="V863" s="26"/>
      <c r="W863" s="26"/>
      <c r="X863" s="26"/>
    </row>
    <row r="864" spans="1:24" s="29" customFormat="1">
      <c r="A864" s="26" t="s">
        <v>31</v>
      </c>
      <c r="B864" s="26" t="s">
        <v>3502</v>
      </c>
      <c r="C864" s="26" t="s">
        <v>3503</v>
      </c>
      <c r="D864" s="26">
        <f t="shared" si="13"/>
        <v>-1</v>
      </c>
      <c r="E864" s="26" t="s">
        <v>34</v>
      </c>
      <c r="F864" s="26" t="s">
        <v>3426</v>
      </c>
      <c r="G864" s="26" t="s">
        <v>3504</v>
      </c>
      <c r="H864" s="26" t="s">
        <v>37</v>
      </c>
      <c r="I864" s="26" t="s">
        <v>38</v>
      </c>
      <c r="J864" s="26" t="s">
        <v>3505</v>
      </c>
      <c r="K864" s="26" t="s">
        <v>3506</v>
      </c>
      <c r="L864" s="26">
        <v>782940.22</v>
      </c>
      <c r="M864" s="26">
        <v>0</v>
      </c>
      <c r="N864" s="26">
        <v>0</v>
      </c>
      <c r="O864" s="26">
        <v>4903678.22</v>
      </c>
      <c r="P864" s="26" t="s">
        <v>41</v>
      </c>
      <c r="Q864" s="26" t="s">
        <v>42</v>
      </c>
      <c r="R864" s="26"/>
      <c r="S864" s="26"/>
      <c r="T864" s="26"/>
      <c r="U864" s="26"/>
      <c r="V864" s="26" t="s">
        <v>43</v>
      </c>
      <c r="W864" s="26"/>
      <c r="X864" s="26"/>
    </row>
    <row r="865" spans="1:24" s="29" customFormat="1">
      <c r="A865" s="35" t="s">
        <v>31</v>
      </c>
      <c r="B865" s="35" t="s">
        <v>3507</v>
      </c>
      <c r="C865" s="35" t="s">
        <v>3508</v>
      </c>
      <c r="D865" s="35">
        <f t="shared" si="13"/>
        <v>-1</v>
      </c>
      <c r="E865" s="35" t="s">
        <v>34</v>
      </c>
      <c r="F865" s="35" t="s">
        <v>3426</v>
      </c>
      <c r="G865" s="35" t="s">
        <v>3509</v>
      </c>
      <c r="H865" s="35" t="s">
        <v>37</v>
      </c>
      <c r="I865" s="35" t="s">
        <v>38</v>
      </c>
      <c r="J865" s="35" t="s">
        <v>3510</v>
      </c>
      <c r="K865" s="35" t="s">
        <v>3511</v>
      </c>
      <c r="L865" s="35">
        <v>10192620.300000001</v>
      </c>
      <c r="M865" s="35">
        <v>0</v>
      </c>
      <c r="N865" s="35">
        <v>0</v>
      </c>
      <c r="O865" s="35">
        <v>63837990.299999997</v>
      </c>
      <c r="P865" s="35" t="s">
        <v>41</v>
      </c>
      <c r="Q865" s="35" t="s">
        <v>42</v>
      </c>
      <c r="R865" s="26"/>
      <c r="S865" s="26"/>
      <c r="T865" s="26"/>
      <c r="U865" s="26"/>
      <c r="V865" s="26"/>
      <c r="W865" s="35" t="s">
        <v>43</v>
      </c>
      <c r="X865" s="26" t="s">
        <v>3490</v>
      </c>
    </row>
    <row r="866" spans="1:24" s="29" customFormat="1">
      <c r="A866" s="32" t="s">
        <v>31</v>
      </c>
      <c r="B866" s="32" t="s">
        <v>3512</v>
      </c>
      <c r="C866" s="32" t="s">
        <v>3513</v>
      </c>
      <c r="D866" s="32">
        <f t="shared" si="13"/>
        <v>-1</v>
      </c>
      <c r="E866" s="32" t="s">
        <v>34</v>
      </c>
      <c r="F866" s="32" t="s">
        <v>3426</v>
      </c>
      <c r="G866" s="32" t="s">
        <v>3514</v>
      </c>
      <c r="H866" s="32" t="s">
        <v>37</v>
      </c>
      <c r="I866" s="32" t="s">
        <v>38</v>
      </c>
      <c r="J866" s="32" t="s">
        <v>3515</v>
      </c>
      <c r="K866" s="32" t="s">
        <v>3516</v>
      </c>
      <c r="L866" s="32">
        <v>662888.91</v>
      </c>
      <c r="M866" s="32">
        <v>0</v>
      </c>
      <c r="N866" s="32">
        <v>0</v>
      </c>
      <c r="O866" s="32">
        <v>4151777.91</v>
      </c>
      <c r="P866" s="32" t="s">
        <v>41</v>
      </c>
      <c r="Q866" s="32" t="s">
        <v>42</v>
      </c>
      <c r="R866" s="26" t="s">
        <v>43</v>
      </c>
      <c r="S866" s="26"/>
      <c r="T866" s="26"/>
      <c r="U866" s="26"/>
      <c r="V866" s="26"/>
      <c r="W866" s="26"/>
      <c r="X866" s="26"/>
    </row>
    <row r="867" spans="1:24" s="29" customFormat="1">
      <c r="A867" s="32" t="s">
        <v>31</v>
      </c>
      <c r="B867" s="32" t="s">
        <v>3517</v>
      </c>
      <c r="C867" s="32" t="s">
        <v>3518</v>
      </c>
      <c r="D867" s="32">
        <f t="shared" si="13"/>
        <v>-1</v>
      </c>
      <c r="E867" s="32" t="s">
        <v>34</v>
      </c>
      <c r="F867" s="32" t="s">
        <v>3426</v>
      </c>
      <c r="G867" s="32" t="s">
        <v>3519</v>
      </c>
      <c r="H867" s="32" t="s">
        <v>37</v>
      </c>
      <c r="I867" s="32" t="s">
        <v>38</v>
      </c>
      <c r="J867" s="32" t="s">
        <v>3515</v>
      </c>
      <c r="K867" s="32" t="s">
        <v>3516</v>
      </c>
      <c r="L867" s="32">
        <v>1580808.74</v>
      </c>
      <c r="M867" s="32">
        <v>0</v>
      </c>
      <c r="N867" s="32">
        <v>0</v>
      </c>
      <c r="O867" s="32">
        <v>9900854.7400000002</v>
      </c>
      <c r="P867" s="32" t="s">
        <v>41</v>
      </c>
      <c r="Q867" s="32" t="s">
        <v>42</v>
      </c>
      <c r="R867" s="26" t="s">
        <v>43</v>
      </c>
      <c r="S867" s="26"/>
      <c r="T867" s="26"/>
      <c r="U867" s="26"/>
      <c r="V867" s="26"/>
      <c r="W867" s="26"/>
      <c r="X867" s="26"/>
    </row>
    <row r="868" spans="1:24" s="29" customFormat="1">
      <c r="A868" s="33" t="s">
        <v>31</v>
      </c>
      <c r="B868" s="33" t="s">
        <v>3520</v>
      </c>
      <c r="C868" s="33" t="s">
        <v>3521</v>
      </c>
      <c r="D868" s="33">
        <f t="shared" si="13"/>
        <v>-1</v>
      </c>
      <c r="E868" s="33" t="s">
        <v>34</v>
      </c>
      <c r="F868" s="33" t="s">
        <v>3426</v>
      </c>
      <c r="G868" s="33" t="s">
        <v>3522</v>
      </c>
      <c r="H868" s="33" t="s">
        <v>37</v>
      </c>
      <c r="I868" s="33" t="s">
        <v>38</v>
      </c>
      <c r="J868" s="33" t="s">
        <v>3515</v>
      </c>
      <c r="K868" s="33" t="s">
        <v>3516</v>
      </c>
      <c r="L868" s="33">
        <v>60661.11</v>
      </c>
      <c r="M868" s="33">
        <v>0</v>
      </c>
      <c r="N868" s="33">
        <v>0</v>
      </c>
      <c r="O868" s="33">
        <v>379930.11</v>
      </c>
      <c r="P868" s="33" t="s">
        <v>41</v>
      </c>
      <c r="Q868" s="33" t="s">
        <v>42</v>
      </c>
      <c r="R868" s="26"/>
      <c r="S868" s="26" t="s">
        <v>43</v>
      </c>
      <c r="T868" s="26"/>
      <c r="U868" s="26"/>
      <c r="V868" s="26"/>
      <c r="W868" s="26"/>
      <c r="X868" s="26"/>
    </row>
    <row r="869" spans="1:24" s="29" customFormat="1">
      <c r="A869" s="26" t="s">
        <v>31</v>
      </c>
      <c r="B869" s="26" t="s">
        <v>3523</v>
      </c>
      <c r="C869" s="26" t="s">
        <v>3524</v>
      </c>
      <c r="D869" s="26">
        <f t="shared" si="13"/>
        <v>-1</v>
      </c>
      <c r="E869" s="26" t="s">
        <v>34</v>
      </c>
      <c r="F869" s="26" t="s">
        <v>3426</v>
      </c>
      <c r="G869" s="26" t="s">
        <v>3525</v>
      </c>
      <c r="H869" s="26" t="s">
        <v>37</v>
      </c>
      <c r="I869" s="26" t="s">
        <v>38</v>
      </c>
      <c r="J869" s="26" t="s">
        <v>3526</v>
      </c>
      <c r="K869" s="26" t="s">
        <v>3527</v>
      </c>
      <c r="L869" s="26">
        <v>266459.8</v>
      </c>
      <c r="M869" s="26">
        <v>0</v>
      </c>
      <c r="N869" s="26">
        <v>0</v>
      </c>
      <c r="O869" s="26">
        <v>1668879.8</v>
      </c>
      <c r="P869" s="26" t="s">
        <v>41</v>
      </c>
      <c r="Q869" s="26" t="s">
        <v>42</v>
      </c>
      <c r="R869" s="26"/>
      <c r="S869" s="26"/>
      <c r="T869" s="26"/>
      <c r="U869" s="26"/>
      <c r="V869" s="26" t="s">
        <v>43</v>
      </c>
      <c r="W869" s="26"/>
      <c r="X869" s="26"/>
    </row>
    <row r="870" spans="1:24" s="29" customFormat="1">
      <c r="A870" s="26" t="s">
        <v>31</v>
      </c>
      <c r="B870" s="26" t="s">
        <v>3528</v>
      </c>
      <c r="C870" s="26" t="s">
        <v>3529</v>
      </c>
      <c r="D870" s="26">
        <f t="shared" si="13"/>
        <v>-1</v>
      </c>
      <c r="E870" s="26" t="s">
        <v>34</v>
      </c>
      <c r="F870" s="26" t="s">
        <v>3426</v>
      </c>
      <c r="G870" s="26" t="s">
        <v>3530</v>
      </c>
      <c r="H870" s="26" t="s">
        <v>37</v>
      </c>
      <c r="I870" s="26" t="s">
        <v>38</v>
      </c>
      <c r="J870" s="26" t="s">
        <v>3531</v>
      </c>
      <c r="K870" s="26" t="s">
        <v>3532</v>
      </c>
      <c r="L870" s="26">
        <v>138443.5</v>
      </c>
      <c r="M870" s="26">
        <v>0</v>
      </c>
      <c r="N870" s="26">
        <v>0</v>
      </c>
      <c r="O870" s="26">
        <v>867093.5</v>
      </c>
      <c r="P870" s="26" t="s">
        <v>41</v>
      </c>
      <c r="Q870" s="26" t="s">
        <v>42</v>
      </c>
      <c r="R870" s="26"/>
      <c r="S870" s="26"/>
      <c r="T870" s="26"/>
      <c r="U870" s="26"/>
      <c r="V870" s="26" t="s">
        <v>43</v>
      </c>
      <c r="W870" s="26"/>
      <c r="X870" s="26"/>
    </row>
    <row r="871" spans="1:24" s="29" customFormat="1">
      <c r="A871" s="26" t="s">
        <v>31</v>
      </c>
      <c r="B871" s="26" t="s">
        <v>3533</v>
      </c>
      <c r="C871" s="26" t="s">
        <v>3534</v>
      </c>
      <c r="D871" s="26">
        <f t="shared" si="13"/>
        <v>-1</v>
      </c>
      <c r="E871" s="26" t="s">
        <v>34</v>
      </c>
      <c r="F871" s="26" t="s">
        <v>3426</v>
      </c>
      <c r="G871" s="26" t="s">
        <v>3535</v>
      </c>
      <c r="H871" s="26" t="s">
        <v>37</v>
      </c>
      <c r="I871" s="26" t="s">
        <v>38</v>
      </c>
      <c r="J871" s="26" t="s">
        <v>3536</v>
      </c>
      <c r="K871" s="26" t="s">
        <v>3537</v>
      </c>
      <c r="L871" s="26">
        <v>80896.11</v>
      </c>
      <c r="M871" s="26">
        <v>0</v>
      </c>
      <c r="N871" s="26">
        <v>0</v>
      </c>
      <c r="O871" s="26">
        <v>506665.11</v>
      </c>
      <c r="P871" s="26" t="s">
        <v>41</v>
      </c>
      <c r="Q871" s="26" t="s">
        <v>42</v>
      </c>
      <c r="R871" s="26"/>
      <c r="S871" s="26"/>
      <c r="T871" s="26"/>
      <c r="U871" s="26"/>
      <c r="V871" s="26" t="s">
        <v>43</v>
      </c>
      <c r="W871" s="26"/>
      <c r="X871" s="26"/>
    </row>
    <row r="872" spans="1:24" s="29" customFormat="1">
      <c r="A872" s="26" t="s">
        <v>31</v>
      </c>
      <c r="B872" s="26" t="s">
        <v>3538</v>
      </c>
      <c r="C872" s="26" t="s">
        <v>3539</v>
      </c>
      <c r="D872" s="26">
        <f t="shared" si="13"/>
        <v>-1</v>
      </c>
      <c r="E872" s="26" t="s">
        <v>34</v>
      </c>
      <c r="F872" s="26" t="s">
        <v>3426</v>
      </c>
      <c r="G872" s="26" t="s">
        <v>3540</v>
      </c>
      <c r="H872" s="26" t="s">
        <v>37</v>
      </c>
      <c r="I872" s="26" t="s">
        <v>38</v>
      </c>
      <c r="J872" s="26" t="s">
        <v>3541</v>
      </c>
      <c r="K872" s="26" t="s">
        <v>3542</v>
      </c>
      <c r="L872" s="26">
        <v>169013.55</v>
      </c>
      <c r="M872" s="26">
        <v>0</v>
      </c>
      <c r="N872" s="26">
        <v>0</v>
      </c>
      <c r="O872" s="26">
        <v>1058558.55</v>
      </c>
      <c r="P872" s="26" t="s">
        <v>41</v>
      </c>
      <c r="Q872" s="26" t="s">
        <v>42</v>
      </c>
      <c r="R872" s="26"/>
      <c r="S872" s="26"/>
      <c r="T872" s="26"/>
      <c r="U872" s="26"/>
      <c r="V872" s="26" t="s">
        <v>43</v>
      </c>
      <c r="W872" s="26"/>
      <c r="X872" s="26"/>
    </row>
    <row r="873" spans="1:24" s="29" customFormat="1">
      <c r="A873" s="34" t="s">
        <v>31</v>
      </c>
      <c r="B873" s="34" t="s">
        <v>3543</v>
      </c>
      <c r="C873" s="34" t="s">
        <v>3544</v>
      </c>
      <c r="D873" s="34">
        <f t="shared" si="13"/>
        <v>-1</v>
      </c>
      <c r="E873" s="34" t="s">
        <v>34</v>
      </c>
      <c r="F873" s="34" t="s">
        <v>3426</v>
      </c>
      <c r="G873" s="34" t="s">
        <v>3545</v>
      </c>
      <c r="H873" s="34" t="s">
        <v>37</v>
      </c>
      <c r="I873" s="34" t="s">
        <v>38</v>
      </c>
      <c r="J873" s="34" t="s">
        <v>3546</v>
      </c>
      <c r="K873" s="34" t="s">
        <v>3547</v>
      </c>
      <c r="L873" s="34">
        <v>26653.200000000001</v>
      </c>
      <c r="M873" s="34">
        <v>0</v>
      </c>
      <c r="N873" s="34">
        <v>0</v>
      </c>
      <c r="O873" s="34">
        <v>166933.20000000001</v>
      </c>
      <c r="P873" s="34" t="s">
        <v>41</v>
      </c>
      <c r="Q873" s="34" t="s">
        <v>42</v>
      </c>
      <c r="R873" s="26"/>
      <c r="S873" s="26"/>
      <c r="T873" s="26" t="s">
        <v>43</v>
      </c>
      <c r="U873" s="26"/>
      <c r="V873" s="26"/>
      <c r="W873" s="26"/>
      <c r="X873" s="26"/>
    </row>
    <row r="874" spans="1:24" s="29" customFormat="1">
      <c r="A874" s="26" t="s">
        <v>31</v>
      </c>
      <c r="B874" s="26" t="s">
        <v>3548</v>
      </c>
      <c r="C874" s="26" t="s">
        <v>3549</v>
      </c>
      <c r="D874" s="26">
        <f t="shared" si="13"/>
        <v>-1</v>
      </c>
      <c r="E874" s="26" t="s">
        <v>34</v>
      </c>
      <c r="F874" s="26" t="s">
        <v>3426</v>
      </c>
      <c r="G874" s="26" t="s">
        <v>3550</v>
      </c>
      <c r="H874" s="26" t="s">
        <v>37</v>
      </c>
      <c r="I874" s="26" t="s">
        <v>38</v>
      </c>
      <c r="J874" s="26" t="s">
        <v>3551</v>
      </c>
      <c r="K874" s="26" t="s">
        <v>3552</v>
      </c>
      <c r="L874" s="26">
        <v>74670</v>
      </c>
      <c r="M874" s="26">
        <v>0</v>
      </c>
      <c r="N874" s="26">
        <v>0</v>
      </c>
      <c r="O874" s="26">
        <v>467670</v>
      </c>
      <c r="P874" s="26" t="s">
        <v>41</v>
      </c>
      <c r="Q874" s="26" t="s">
        <v>42</v>
      </c>
      <c r="R874" s="26"/>
      <c r="S874" s="26"/>
      <c r="T874" s="26"/>
      <c r="U874" s="26"/>
      <c r="V874" s="26" t="s">
        <v>43</v>
      </c>
      <c r="W874" s="26"/>
      <c r="X874" s="26"/>
    </row>
    <row r="875" spans="1:24" s="29" customFormat="1">
      <c r="A875" s="26" t="s">
        <v>31</v>
      </c>
      <c r="B875" s="26" t="s">
        <v>3553</v>
      </c>
      <c r="C875" s="26" t="s">
        <v>3554</v>
      </c>
      <c r="D875" s="26">
        <f t="shared" si="13"/>
        <v>-1</v>
      </c>
      <c r="E875" s="26" t="s">
        <v>34</v>
      </c>
      <c r="F875" s="26" t="s">
        <v>3426</v>
      </c>
      <c r="G875" s="26" t="s">
        <v>3555</v>
      </c>
      <c r="H875" s="26" t="s">
        <v>37</v>
      </c>
      <c r="I875" s="26" t="s">
        <v>38</v>
      </c>
      <c r="J875" s="26" t="s">
        <v>3551</v>
      </c>
      <c r="K875" s="26" t="s">
        <v>3552</v>
      </c>
      <c r="L875" s="26">
        <v>72833.460000000006</v>
      </c>
      <c r="M875" s="26">
        <v>0</v>
      </c>
      <c r="N875" s="26">
        <v>0</v>
      </c>
      <c r="O875" s="26">
        <v>456167.46</v>
      </c>
      <c r="P875" s="26" t="s">
        <v>41</v>
      </c>
      <c r="Q875" s="26" t="s">
        <v>42</v>
      </c>
      <c r="R875" s="26"/>
      <c r="S875" s="26"/>
      <c r="T875" s="26"/>
      <c r="U875" s="26"/>
      <c r="V875" s="26" t="s">
        <v>43</v>
      </c>
      <c r="W875" s="26"/>
      <c r="X875" s="26"/>
    </row>
    <row r="876" spans="1:24" s="29" customFormat="1">
      <c r="A876" s="34" t="s">
        <v>31</v>
      </c>
      <c r="B876" s="34" t="s">
        <v>3556</v>
      </c>
      <c r="C876" s="34" t="s">
        <v>3557</v>
      </c>
      <c r="D876" s="34">
        <f t="shared" si="13"/>
        <v>-1</v>
      </c>
      <c r="E876" s="34" t="s">
        <v>34</v>
      </c>
      <c r="F876" s="34" t="s">
        <v>3426</v>
      </c>
      <c r="G876" s="34" t="s">
        <v>3558</v>
      </c>
      <c r="H876" s="34" t="s">
        <v>37</v>
      </c>
      <c r="I876" s="34" t="s">
        <v>38</v>
      </c>
      <c r="J876" s="34" t="s">
        <v>3559</v>
      </c>
      <c r="K876" s="34" t="s">
        <v>3560</v>
      </c>
      <c r="L876" s="34">
        <v>13870</v>
      </c>
      <c r="M876" s="34">
        <v>0</v>
      </c>
      <c r="N876" s="34">
        <v>0</v>
      </c>
      <c r="O876" s="34">
        <v>86870</v>
      </c>
      <c r="P876" s="34" t="s">
        <v>41</v>
      </c>
      <c r="Q876" s="34" t="s">
        <v>42</v>
      </c>
      <c r="R876" s="26"/>
      <c r="S876" s="26"/>
      <c r="T876" s="26" t="s">
        <v>43</v>
      </c>
      <c r="U876" s="26"/>
      <c r="V876" s="26"/>
      <c r="W876" s="26"/>
      <c r="X876" s="26"/>
    </row>
    <row r="877" spans="1:24" s="29" customFormat="1">
      <c r="A877" s="26" t="s">
        <v>31</v>
      </c>
      <c r="B877" s="26" t="s">
        <v>3561</v>
      </c>
      <c r="C877" s="26" t="s">
        <v>3562</v>
      </c>
      <c r="D877" s="26">
        <f t="shared" si="13"/>
        <v>-1</v>
      </c>
      <c r="E877" s="26" t="s">
        <v>34</v>
      </c>
      <c r="F877" s="26" t="s">
        <v>3426</v>
      </c>
      <c r="G877" s="26" t="s">
        <v>3563</v>
      </c>
      <c r="H877" s="26" t="s">
        <v>37</v>
      </c>
      <c r="I877" s="26" t="s">
        <v>38</v>
      </c>
      <c r="J877" s="26" t="s">
        <v>3564</v>
      </c>
      <c r="K877" s="26" t="s">
        <v>3565</v>
      </c>
      <c r="L877" s="26">
        <v>134900</v>
      </c>
      <c r="M877" s="26">
        <v>0</v>
      </c>
      <c r="N877" s="26">
        <v>0</v>
      </c>
      <c r="O877" s="26">
        <v>844900</v>
      </c>
      <c r="P877" s="26" t="s">
        <v>41</v>
      </c>
      <c r="Q877" s="26" t="s">
        <v>42</v>
      </c>
      <c r="R877" s="26"/>
      <c r="S877" s="26"/>
      <c r="T877" s="26"/>
      <c r="U877" s="26"/>
      <c r="V877" s="26" t="s">
        <v>43</v>
      </c>
      <c r="W877" s="26"/>
      <c r="X877" s="26"/>
    </row>
    <row r="878" spans="1:24" s="29" customFormat="1">
      <c r="A878" s="35" t="s">
        <v>31</v>
      </c>
      <c r="B878" s="35" t="s">
        <v>3566</v>
      </c>
      <c r="C878" s="35" t="s">
        <v>3567</v>
      </c>
      <c r="D878" s="35">
        <f t="shared" si="13"/>
        <v>-1</v>
      </c>
      <c r="E878" s="35" t="s">
        <v>34</v>
      </c>
      <c r="F878" s="35" t="s">
        <v>3426</v>
      </c>
      <c r="G878" s="35" t="s">
        <v>3568</v>
      </c>
      <c r="H878" s="35" t="s">
        <v>37</v>
      </c>
      <c r="I878" s="35" t="s">
        <v>38</v>
      </c>
      <c r="J878" s="35" t="s">
        <v>2756</v>
      </c>
      <c r="K878" s="35" t="s">
        <v>2757</v>
      </c>
      <c r="L878" s="35">
        <v>247000</v>
      </c>
      <c r="M878" s="35">
        <v>0</v>
      </c>
      <c r="N878" s="35">
        <v>0</v>
      </c>
      <c r="O878" s="35">
        <v>1547000</v>
      </c>
      <c r="P878" s="35" t="s">
        <v>41</v>
      </c>
      <c r="Q878" s="35" t="s">
        <v>42</v>
      </c>
      <c r="R878" s="26"/>
      <c r="S878" s="26"/>
      <c r="T878" s="26"/>
      <c r="U878" s="26"/>
      <c r="V878" s="26"/>
      <c r="W878" s="35" t="s">
        <v>43</v>
      </c>
      <c r="X878" s="26" t="s">
        <v>1384</v>
      </c>
    </row>
    <row r="879" spans="1:24" s="29" customFormat="1">
      <c r="A879" s="32" t="s">
        <v>31</v>
      </c>
      <c r="B879" s="32" t="s">
        <v>3569</v>
      </c>
      <c r="C879" s="32" t="s">
        <v>3570</v>
      </c>
      <c r="D879" s="32">
        <f t="shared" si="13"/>
        <v>-1</v>
      </c>
      <c r="E879" s="32" t="s">
        <v>34</v>
      </c>
      <c r="F879" s="32" t="s">
        <v>3426</v>
      </c>
      <c r="G879" s="32" t="s">
        <v>3571</v>
      </c>
      <c r="H879" s="32" t="s">
        <v>37</v>
      </c>
      <c r="I879" s="32" t="s">
        <v>38</v>
      </c>
      <c r="J879" s="32" t="s">
        <v>764</v>
      </c>
      <c r="K879" s="32" t="s">
        <v>765</v>
      </c>
      <c r="L879" s="32">
        <v>14327.9</v>
      </c>
      <c r="M879" s="32">
        <v>0</v>
      </c>
      <c r="N879" s="32">
        <v>0</v>
      </c>
      <c r="O879" s="32">
        <v>89737.9</v>
      </c>
      <c r="P879" s="32" t="s">
        <v>41</v>
      </c>
      <c r="Q879" s="32" t="s">
        <v>42</v>
      </c>
      <c r="R879" s="26" t="s">
        <v>43</v>
      </c>
      <c r="S879" s="26"/>
      <c r="T879" s="26"/>
      <c r="U879" s="26"/>
      <c r="V879" s="26"/>
      <c r="W879" s="26"/>
      <c r="X879" s="26"/>
    </row>
    <row r="880" spans="1:24" s="29" customFormat="1">
      <c r="A880" s="34" t="s">
        <v>31</v>
      </c>
      <c r="B880" s="34" t="s">
        <v>3572</v>
      </c>
      <c r="C880" s="34" t="s">
        <v>3573</v>
      </c>
      <c r="D880" s="34">
        <f t="shared" si="13"/>
        <v>-1</v>
      </c>
      <c r="E880" s="34" t="s">
        <v>34</v>
      </c>
      <c r="F880" s="34" t="s">
        <v>3426</v>
      </c>
      <c r="G880" s="34" t="s">
        <v>3574</v>
      </c>
      <c r="H880" s="34" t="s">
        <v>37</v>
      </c>
      <c r="I880" s="34" t="s">
        <v>38</v>
      </c>
      <c r="J880" s="34" t="s">
        <v>764</v>
      </c>
      <c r="K880" s="34" t="s">
        <v>765</v>
      </c>
      <c r="L880" s="34">
        <v>24073</v>
      </c>
      <c r="M880" s="34">
        <v>0</v>
      </c>
      <c r="N880" s="34">
        <v>0</v>
      </c>
      <c r="O880" s="34">
        <v>150773</v>
      </c>
      <c r="P880" s="34" t="s">
        <v>41</v>
      </c>
      <c r="Q880" s="34" t="s">
        <v>42</v>
      </c>
      <c r="R880" s="26"/>
      <c r="S880" s="26"/>
      <c r="T880" s="26" t="s">
        <v>43</v>
      </c>
      <c r="U880" s="26"/>
      <c r="V880" s="26"/>
      <c r="W880" s="26"/>
      <c r="X880" s="26"/>
    </row>
    <row r="881" spans="1:24" s="29" customFormat="1">
      <c r="A881" s="32" t="s">
        <v>31</v>
      </c>
      <c r="B881" s="32" t="s">
        <v>3575</v>
      </c>
      <c r="C881" s="32" t="s">
        <v>3576</v>
      </c>
      <c r="D881" s="32">
        <f t="shared" si="13"/>
        <v>-1</v>
      </c>
      <c r="E881" s="32" t="s">
        <v>34</v>
      </c>
      <c r="F881" s="32" t="s">
        <v>3426</v>
      </c>
      <c r="G881" s="32" t="s">
        <v>3577</v>
      </c>
      <c r="H881" s="32" t="s">
        <v>37</v>
      </c>
      <c r="I881" s="32" t="s">
        <v>38</v>
      </c>
      <c r="J881" s="32" t="s">
        <v>194</v>
      </c>
      <c r="K881" s="32" t="s">
        <v>195</v>
      </c>
      <c r="L881" s="32">
        <v>1824247.95</v>
      </c>
      <c r="M881" s="32">
        <v>0</v>
      </c>
      <c r="N881" s="32">
        <v>0</v>
      </c>
      <c r="O881" s="32">
        <v>11425552.949999999</v>
      </c>
      <c r="P881" s="32" t="s">
        <v>41</v>
      </c>
      <c r="Q881" s="32" t="s">
        <v>42</v>
      </c>
      <c r="R881" s="26" t="s">
        <v>43</v>
      </c>
      <c r="S881" s="26"/>
      <c r="T881" s="26"/>
      <c r="U881" s="26"/>
      <c r="V881" s="26"/>
      <c r="W881" s="26"/>
      <c r="X881" s="26"/>
    </row>
    <row r="882" spans="1:24" s="29" customFormat="1">
      <c r="A882" s="35" t="s">
        <v>31</v>
      </c>
      <c r="B882" s="35" t="s">
        <v>3578</v>
      </c>
      <c r="C882" s="35" t="s">
        <v>3579</v>
      </c>
      <c r="D882" s="35">
        <f t="shared" si="13"/>
        <v>-1</v>
      </c>
      <c r="E882" s="35" t="s">
        <v>34</v>
      </c>
      <c r="F882" s="35" t="s">
        <v>3426</v>
      </c>
      <c r="G882" s="35" t="s">
        <v>3580</v>
      </c>
      <c r="H882" s="35" t="s">
        <v>37</v>
      </c>
      <c r="I882" s="35" t="s">
        <v>38</v>
      </c>
      <c r="J882" s="35" t="s">
        <v>3581</v>
      </c>
      <c r="K882" s="35" t="s">
        <v>3582</v>
      </c>
      <c r="L882" s="35">
        <v>200640</v>
      </c>
      <c r="M882" s="35">
        <v>0</v>
      </c>
      <c r="N882" s="35">
        <v>0</v>
      </c>
      <c r="O882" s="35">
        <v>1256640</v>
      </c>
      <c r="P882" s="35" t="s">
        <v>41</v>
      </c>
      <c r="Q882" s="35" t="s">
        <v>42</v>
      </c>
      <c r="R882" s="26"/>
      <c r="S882" s="26"/>
      <c r="T882" s="26"/>
      <c r="U882" s="26"/>
      <c r="V882" s="26"/>
      <c r="W882" s="35" t="s">
        <v>43</v>
      </c>
      <c r="X882" s="26" t="s">
        <v>1388</v>
      </c>
    </row>
    <row r="883" spans="1:24" s="29" customFormat="1">
      <c r="A883" s="32" t="s">
        <v>31</v>
      </c>
      <c r="B883" s="32" t="s">
        <v>3583</v>
      </c>
      <c r="C883" s="32" t="s">
        <v>3584</v>
      </c>
      <c r="D883" s="32">
        <f t="shared" si="13"/>
        <v>-1</v>
      </c>
      <c r="E883" s="32" t="s">
        <v>34</v>
      </c>
      <c r="F883" s="32" t="s">
        <v>3426</v>
      </c>
      <c r="G883" s="32" t="s">
        <v>3585</v>
      </c>
      <c r="H883" s="32" t="s">
        <v>37</v>
      </c>
      <c r="I883" s="32" t="s">
        <v>38</v>
      </c>
      <c r="J883" s="32" t="s">
        <v>1406</v>
      </c>
      <c r="K883" s="32" t="s">
        <v>1407</v>
      </c>
      <c r="L883" s="32">
        <v>213180</v>
      </c>
      <c r="M883" s="32">
        <v>0</v>
      </c>
      <c r="N883" s="32">
        <v>0</v>
      </c>
      <c r="O883" s="32">
        <v>1335180</v>
      </c>
      <c r="P883" s="32" t="s">
        <v>41</v>
      </c>
      <c r="Q883" s="32" t="s">
        <v>42</v>
      </c>
      <c r="R883" s="26" t="s">
        <v>43</v>
      </c>
      <c r="S883" s="26"/>
      <c r="T883" s="26"/>
      <c r="U883" s="26"/>
      <c r="V883" s="26"/>
      <c r="W883" s="26"/>
      <c r="X883" s="26"/>
    </row>
    <row r="884" spans="1:24" s="29" customFormat="1">
      <c r="A884" s="26" t="s">
        <v>31</v>
      </c>
      <c r="B884" s="26" t="s">
        <v>3586</v>
      </c>
      <c r="C884" s="26" t="s">
        <v>3587</v>
      </c>
      <c r="D884" s="26">
        <f t="shared" si="13"/>
        <v>-1</v>
      </c>
      <c r="E884" s="26" t="s">
        <v>34</v>
      </c>
      <c r="F884" s="26" t="s">
        <v>3426</v>
      </c>
      <c r="G884" s="26" t="s">
        <v>3588</v>
      </c>
      <c r="H884" s="26" t="s">
        <v>37</v>
      </c>
      <c r="I884" s="26" t="s">
        <v>38</v>
      </c>
      <c r="J884" s="26" t="s">
        <v>3589</v>
      </c>
      <c r="K884" s="26" t="s">
        <v>3590</v>
      </c>
      <c r="L884" s="26">
        <v>3446513.55</v>
      </c>
      <c r="M884" s="26">
        <v>0</v>
      </c>
      <c r="N884" s="26">
        <v>0</v>
      </c>
      <c r="O884" s="26">
        <v>21586058.550000001</v>
      </c>
      <c r="P884" s="26" t="s">
        <v>41</v>
      </c>
      <c r="Q884" s="26" t="s">
        <v>42</v>
      </c>
      <c r="R884" s="26"/>
      <c r="S884" s="26"/>
      <c r="T884" s="26"/>
      <c r="U884" s="26"/>
      <c r="V884" s="26" t="s">
        <v>43</v>
      </c>
      <c r="W884" s="26"/>
      <c r="X884" s="26"/>
    </row>
    <row r="885" spans="1:24" s="29" customFormat="1">
      <c r="A885" s="34" t="s">
        <v>31</v>
      </c>
      <c r="B885" s="34" t="s">
        <v>3591</v>
      </c>
      <c r="C885" s="34" t="s">
        <v>3592</v>
      </c>
      <c r="D885" s="34">
        <f t="shared" si="13"/>
        <v>-1</v>
      </c>
      <c r="E885" s="34" t="s">
        <v>34</v>
      </c>
      <c r="F885" s="34" t="s">
        <v>3426</v>
      </c>
      <c r="G885" s="34" t="s">
        <v>3593</v>
      </c>
      <c r="H885" s="34" t="s">
        <v>37</v>
      </c>
      <c r="I885" s="34" t="s">
        <v>38</v>
      </c>
      <c r="J885" s="34" t="s">
        <v>3594</v>
      </c>
      <c r="K885" s="34" t="s">
        <v>3595</v>
      </c>
      <c r="L885" s="34">
        <v>128250</v>
      </c>
      <c r="M885" s="34">
        <v>0</v>
      </c>
      <c r="N885" s="34">
        <v>0</v>
      </c>
      <c r="O885" s="34">
        <v>803250</v>
      </c>
      <c r="P885" s="34" t="s">
        <v>41</v>
      </c>
      <c r="Q885" s="34" t="s">
        <v>42</v>
      </c>
      <c r="R885" s="26"/>
      <c r="S885" s="26"/>
      <c r="T885" s="26" t="s">
        <v>43</v>
      </c>
      <c r="U885" s="26"/>
      <c r="V885" s="26"/>
      <c r="W885" s="26"/>
      <c r="X885" s="26"/>
    </row>
    <row r="886" spans="1:24" s="29" customFormat="1">
      <c r="A886" s="26" t="s">
        <v>31</v>
      </c>
      <c r="B886" s="26" t="s">
        <v>3596</v>
      </c>
      <c r="C886" s="26" t="s">
        <v>3597</v>
      </c>
      <c r="D886" s="26">
        <f t="shared" si="13"/>
        <v>-1</v>
      </c>
      <c r="E886" s="26" t="s">
        <v>34</v>
      </c>
      <c r="F886" s="26" t="s">
        <v>3426</v>
      </c>
      <c r="G886" s="26" t="s">
        <v>3598</v>
      </c>
      <c r="H886" s="26" t="s">
        <v>37</v>
      </c>
      <c r="I886" s="26" t="s">
        <v>38</v>
      </c>
      <c r="J886" s="26" t="s">
        <v>471</v>
      </c>
      <c r="K886" s="26" t="s">
        <v>472</v>
      </c>
      <c r="L886" s="26">
        <v>363358.09</v>
      </c>
      <c r="M886" s="26">
        <v>0</v>
      </c>
      <c r="N886" s="26">
        <v>0</v>
      </c>
      <c r="O886" s="26">
        <v>2275769.09</v>
      </c>
      <c r="P886" s="26" t="s">
        <v>41</v>
      </c>
      <c r="Q886" s="26" t="s">
        <v>42</v>
      </c>
      <c r="R886" s="26"/>
      <c r="S886" s="26"/>
      <c r="T886" s="26"/>
      <c r="U886" s="26"/>
      <c r="V886" s="26" t="s">
        <v>43</v>
      </c>
      <c r="W886" s="26"/>
      <c r="X886" s="26"/>
    </row>
    <row r="887" spans="1:24" s="29" customFormat="1">
      <c r="A887" s="26" t="s">
        <v>31</v>
      </c>
      <c r="B887" s="26" t="s">
        <v>3599</v>
      </c>
      <c r="C887" s="26" t="s">
        <v>3600</v>
      </c>
      <c r="D887" s="26">
        <f t="shared" si="13"/>
        <v>-1</v>
      </c>
      <c r="E887" s="26" t="s">
        <v>34</v>
      </c>
      <c r="F887" s="26" t="s">
        <v>3426</v>
      </c>
      <c r="G887" s="26" t="s">
        <v>3601</v>
      </c>
      <c r="H887" s="26" t="s">
        <v>37</v>
      </c>
      <c r="I887" s="26" t="s">
        <v>38</v>
      </c>
      <c r="J887" s="26" t="s">
        <v>471</v>
      </c>
      <c r="K887" s="26" t="s">
        <v>472</v>
      </c>
      <c r="L887" s="26">
        <v>380628.71</v>
      </c>
      <c r="M887" s="26">
        <v>0</v>
      </c>
      <c r="N887" s="26">
        <v>0</v>
      </c>
      <c r="O887" s="26">
        <v>2420437.71</v>
      </c>
      <c r="P887" s="26" t="s">
        <v>41</v>
      </c>
      <c r="Q887" s="26" t="s">
        <v>42</v>
      </c>
      <c r="R887" s="26"/>
      <c r="S887" s="26"/>
      <c r="T887" s="26"/>
      <c r="U887" s="26"/>
      <c r="V887" s="26" t="s">
        <v>43</v>
      </c>
      <c r="W887" s="26"/>
      <c r="X887" s="26"/>
    </row>
    <row r="888" spans="1:24" s="29" customFormat="1">
      <c r="A888" s="32" t="s">
        <v>31</v>
      </c>
      <c r="B888" s="32" t="s">
        <v>3602</v>
      </c>
      <c r="C888" s="32" t="s">
        <v>3603</v>
      </c>
      <c r="D888" s="32">
        <f t="shared" si="13"/>
        <v>-1</v>
      </c>
      <c r="E888" s="32" t="s">
        <v>34</v>
      </c>
      <c r="F888" s="32" t="s">
        <v>3426</v>
      </c>
      <c r="G888" s="32" t="s">
        <v>3604</v>
      </c>
      <c r="H888" s="32" t="s">
        <v>37</v>
      </c>
      <c r="I888" s="32" t="s">
        <v>38</v>
      </c>
      <c r="J888" s="32" t="s">
        <v>3605</v>
      </c>
      <c r="K888" s="32" t="s">
        <v>3606</v>
      </c>
      <c r="L888" s="32">
        <v>51300</v>
      </c>
      <c r="M888" s="32">
        <v>0</v>
      </c>
      <c r="N888" s="32">
        <v>0</v>
      </c>
      <c r="O888" s="32">
        <v>321300</v>
      </c>
      <c r="P888" s="32" t="s">
        <v>41</v>
      </c>
      <c r="Q888" s="32" t="s">
        <v>42</v>
      </c>
      <c r="R888" s="26" t="s">
        <v>43</v>
      </c>
      <c r="S888" s="26"/>
      <c r="T888" s="26"/>
      <c r="U888" s="26"/>
      <c r="V888" s="26"/>
      <c r="W888" s="26"/>
      <c r="X888" s="26"/>
    </row>
    <row r="889" spans="1:24" s="29" customFormat="1">
      <c r="A889" s="34" t="s">
        <v>31</v>
      </c>
      <c r="B889" s="34" t="s">
        <v>3607</v>
      </c>
      <c r="C889" s="34" t="s">
        <v>3608</v>
      </c>
      <c r="D889" s="34">
        <f t="shared" si="13"/>
        <v>-1</v>
      </c>
      <c r="E889" s="34" t="s">
        <v>34</v>
      </c>
      <c r="F889" s="34" t="s">
        <v>3426</v>
      </c>
      <c r="G889" s="34" t="s">
        <v>3609</v>
      </c>
      <c r="H889" s="34" t="s">
        <v>37</v>
      </c>
      <c r="I889" s="34" t="s">
        <v>38</v>
      </c>
      <c r="J889" s="34" t="s">
        <v>69</v>
      </c>
      <c r="K889" s="34" t="s">
        <v>70</v>
      </c>
      <c r="L889" s="34">
        <v>648969.51</v>
      </c>
      <c r="M889" s="34">
        <v>0</v>
      </c>
      <c r="N889" s="34">
        <v>0</v>
      </c>
      <c r="O889" s="34">
        <v>4064598.51</v>
      </c>
      <c r="P889" s="34" t="s">
        <v>41</v>
      </c>
      <c r="Q889" s="34" t="s">
        <v>42</v>
      </c>
      <c r="R889" s="26"/>
      <c r="S889" s="26"/>
      <c r="T889" s="26" t="s">
        <v>43</v>
      </c>
      <c r="U889" s="26"/>
      <c r="V889" s="26"/>
      <c r="W889" s="26"/>
      <c r="X889" s="26"/>
    </row>
    <row r="890" spans="1:24" s="29" customFormat="1">
      <c r="A890" s="34" t="s">
        <v>31</v>
      </c>
      <c r="B890" s="34" t="s">
        <v>3610</v>
      </c>
      <c r="C890" s="34" t="s">
        <v>3611</v>
      </c>
      <c r="D890" s="34">
        <f t="shared" si="13"/>
        <v>-1</v>
      </c>
      <c r="E890" s="34" t="s">
        <v>34</v>
      </c>
      <c r="F890" s="34" t="s">
        <v>3426</v>
      </c>
      <c r="G890" s="34" t="s">
        <v>3612</v>
      </c>
      <c r="H890" s="34" t="s">
        <v>37</v>
      </c>
      <c r="I890" s="34" t="s">
        <v>38</v>
      </c>
      <c r="J890" s="34" t="s">
        <v>69</v>
      </c>
      <c r="K890" s="34" t="s">
        <v>70</v>
      </c>
      <c r="L890" s="34">
        <v>648969.51</v>
      </c>
      <c r="M890" s="34">
        <v>0</v>
      </c>
      <c r="N890" s="34">
        <v>0</v>
      </c>
      <c r="O890" s="34">
        <v>4064598.51</v>
      </c>
      <c r="P890" s="34" t="s">
        <v>41</v>
      </c>
      <c r="Q890" s="34" t="s">
        <v>42</v>
      </c>
      <c r="R890" s="26"/>
      <c r="S890" s="26"/>
      <c r="T890" s="26" t="s">
        <v>43</v>
      </c>
      <c r="U890" s="26"/>
      <c r="V890" s="26"/>
      <c r="W890" s="26"/>
      <c r="X890" s="26"/>
    </row>
    <row r="891" spans="1:24" s="29" customFormat="1">
      <c r="A891" s="34" t="s">
        <v>31</v>
      </c>
      <c r="B891" s="34" t="s">
        <v>3613</v>
      </c>
      <c r="C891" s="34" t="s">
        <v>3614</v>
      </c>
      <c r="D891" s="34">
        <f t="shared" si="13"/>
        <v>-1</v>
      </c>
      <c r="E891" s="34" t="s">
        <v>34</v>
      </c>
      <c r="F891" s="34" t="s">
        <v>3426</v>
      </c>
      <c r="G891" s="34" t="s">
        <v>3615</v>
      </c>
      <c r="H891" s="34" t="s">
        <v>37</v>
      </c>
      <c r="I891" s="34" t="s">
        <v>38</v>
      </c>
      <c r="J891" s="34" t="s">
        <v>69</v>
      </c>
      <c r="K891" s="34" t="s">
        <v>70</v>
      </c>
      <c r="L891" s="34">
        <v>27142.639999999999</v>
      </c>
      <c r="M891" s="34">
        <v>0</v>
      </c>
      <c r="N891" s="34">
        <v>0</v>
      </c>
      <c r="O891" s="34">
        <v>169998.64</v>
      </c>
      <c r="P891" s="34" t="s">
        <v>41</v>
      </c>
      <c r="Q891" s="34" t="s">
        <v>42</v>
      </c>
      <c r="R891" s="26"/>
      <c r="S891" s="26"/>
      <c r="T891" s="26" t="s">
        <v>43</v>
      </c>
      <c r="U891" s="26"/>
      <c r="V891" s="26"/>
      <c r="W891" s="26"/>
      <c r="X891" s="26"/>
    </row>
    <row r="892" spans="1:24" s="29" customFormat="1">
      <c r="A892" s="35" t="s">
        <v>31</v>
      </c>
      <c r="B892" s="35" t="s">
        <v>3616</v>
      </c>
      <c r="C892" s="35" t="s">
        <v>3617</v>
      </c>
      <c r="D892" s="35">
        <f t="shared" si="13"/>
        <v>-1</v>
      </c>
      <c r="E892" s="35" t="s">
        <v>34</v>
      </c>
      <c r="F892" s="35" t="s">
        <v>3426</v>
      </c>
      <c r="G892" s="35" t="s">
        <v>3618</v>
      </c>
      <c r="H892" s="35" t="s">
        <v>37</v>
      </c>
      <c r="I892" s="35" t="s">
        <v>38</v>
      </c>
      <c r="J892" s="35" t="s">
        <v>3619</v>
      </c>
      <c r="K892" s="35" t="s">
        <v>3620</v>
      </c>
      <c r="L892" s="35">
        <v>2977300</v>
      </c>
      <c r="M892" s="35">
        <v>0</v>
      </c>
      <c r="N892" s="35">
        <v>0</v>
      </c>
      <c r="O892" s="35">
        <v>18647300</v>
      </c>
      <c r="P892" s="35" t="s">
        <v>41</v>
      </c>
      <c r="Q892" s="35" t="s">
        <v>42</v>
      </c>
      <c r="R892" s="26"/>
      <c r="S892" s="26"/>
      <c r="T892" s="26"/>
      <c r="U892" s="26"/>
      <c r="V892" s="26"/>
      <c r="W892" s="35" t="s">
        <v>43</v>
      </c>
      <c r="X892" s="26" t="s">
        <v>920</v>
      </c>
    </row>
    <row r="893" spans="1:24" s="29" customFormat="1">
      <c r="A893" s="26" t="s">
        <v>31</v>
      </c>
      <c r="B893" s="26" t="s">
        <v>3621</v>
      </c>
      <c r="C893" s="26" t="s">
        <v>3622</v>
      </c>
      <c r="D893" s="26">
        <f t="shared" si="13"/>
        <v>-1</v>
      </c>
      <c r="E893" s="26" t="s">
        <v>34</v>
      </c>
      <c r="F893" s="26" t="s">
        <v>3426</v>
      </c>
      <c r="G893" s="26" t="s">
        <v>3623</v>
      </c>
      <c r="H893" s="26" t="s">
        <v>37</v>
      </c>
      <c r="I893" s="26" t="s">
        <v>38</v>
      </c>
      <c r="J893" s="26" t="s">
        <v>3624</v>
      </c>
      <c r="K893" s="26" t="s">
        <v>3625</v>
      </c>
      <c r="L893" s="26">
        <v>903406.68</v>
      </c>
      <c r="M893" s="26">
        <v>0</v>
      </c>
      <c r="N893" s="26">
        <v>0</v>
      </c>
      <c r="O893" s="26">
        <v>5658178.6799999997</v>
      </c>
      <c r="P893" s="26" t="s">
        <v>41</v>
      </c>
      <c r="Q893" s="26" t="s">
        <v>42</v>
      </c>
      <c r="R893" s="26"/>
      <c r="S893" s="26"/>
      <c r="T893" s="26"/>
      <c r="U893" s="26"/>
      <c r="V893" s="26" t="s">
        <v>43</v>
      </c>
      <c r="W893" s="26"/>
      <c r="X893" s="26"/>
    </row>
    <row r="894" spans="1:24" s="29" customFormat="1">
      <c r="A894" s="34" t="s">
        <v>31</v>
      </c>
      <c r="B894" s="34" t="s">
        <v>3626</v>
      </c>
      <c r="C894" s="34" t="s">
        <v>3627</v>
      </c>
      <c r="D894" s="34">
        <f t="shared" si="13"/>
        <v>-1</v>
      </c>
      <c r="E894" s="34" t="s">
        <v>34</v>
      </c>
      <c r="F894" s="34" t="s">
        <v>3426</v>
      </c>
      <c r="G894" s="34" t="s">
        <v>3628</v>
      </c>
      <c r="H894" s="34" t="s">
        <v>37</v>
      </c>
      <c r="I894" s="34" t="s">
        <v>38</v>
      </c>
      <c r="J894" s="34" t="s">
        <v>499</v>
      </c>
      <c r="K894" s="34" t="s">
        <v>500</v>
      </c>
      <c r="L894" s="34">
        <v>712500</v>
      </c>
      <c r="M894" s="34">
        <v>0</v>
      </c>
      <c r="N894" s="34">
        <v>0</v>
      </c>
      <c r="O894" s="34">
        <v>4462500</v>
      </c>
      <c r="P894" s="34" t="s">
        <v>41</v>
      </c>
      <c r="Q894" s="34" t="s">
        <v>42</v>
      </c>
      <c r="R894" s="26"/>
      <c r="S894" s="26"/>
      <c r="T894" s="26" t="s">
        <v>43</v>
      </c>
      <c r="U894" s="26"/>
      <c r="V894" s="26"/>
      <c r="W894" s="26"/>
      <c r="X894" s="26"/>
    </row>
    <row r="895" spans="1:24" s="29" customFormat="1">
      <c r="A895" s="26" t="s">
        <v>31</v>
      </c>
      <c r="B895" s="26" t="s">
        <v>3629</v>
      </c>
      <c r="C895" s="26" t="s">
        <v>3630</v>
      </c>
      <c r="D895" s="26">
        <f t="shared" si="13"/>
        <v>-1</v>
      </c>
      <c r="E895" s="26" t="s">
        <v>34</v>
      </c>
      <c r="F895" s="26" t="s">
        <v>3426</v>
      </c>
      <c r="G895" s="26" t="s">
        <v>3631</v>
      </c>
      <c r="H895" s="26" t="s">
        <v>37</v>
      </c>
      <c r="I895" s="26" t="s">
        <v>38</v>
      </c>
      <c r="J895" s="26" t="s">
        <v>3632</v>
      </c>
      <c r="K895" s="26" t="s">
        <v>3633</v>
      </c>
      <c r="L895" s="26">
        <v>141897.13</v>
      </c>
      <c r="M895" s="26">
        <v>0</v>
      </c>
      <c r="N895" s="26">
        <v>0</v>
      </c>
      <c r="O895" s="26">
        <v>888724.13</v>
      </c>
      <c r="P895" s="26" t="s">
        <v>41</v>
      </c>
      <c r="Q895" s="26" t="s">
        <v>42</v>
      </c>
      <c r="R895" s="26"/>
      <c r="S895" s="26"/>
      <c r="T895" s="26"/>
      <c r="U895" s="26"/>
      <c r="V895" s="26" t="s">
        <v>43</v>
      </c>
      <c r="W895" s="26"/>
      <c r="X895" s="26"/>
    </row>
    <row r="896" spans="1:24" s="29" customFormat="1">
      <c r="A896" s="34" t="s">
        <v>31</v>
      </c>
      <c r="B896" s="34" t="s">
        <v>3634</v>
      </c>
      <c r="C896" s="34" t="s">
        <v>3635</v>
      </c>
      <c r="D896" s="34">
        <f t="shared" si="13"/>
        <v>-1</v>
      </c>
      <c r="E896" s="34" t="s">
        <v>34</v>
      </c>
      <c r="F896" s="34" t="s">
        <v>3426</v>
      </c>
      <c r="G896" s="34" t="s">
        <v>3636</v>
      </c>
      <c r="H896" s="34" t="s">
        <v>37</v>
      </c>
      <c r="I896" s="34" t="s">
        <v>38</v>
      </c>
      <c r="J896" s="34" t="s">
        <v>939</v>
      </c>
      <c r="K896" s="34" t="s">
        <v>940</v>
      </c>
      <c r="L896" s="34">
        <v>1059820</v>
      </c>
      <c r="M896" s="34">
        <v>0</v>
      </c>
      <c r="N896" s="34">
        <v>0</v>
      </c>
      <c r="O896" s="34">
        <v>6637820</v>
      </c>
      <c r="P896" s="34" t="s">
        <v>41</v>
      </c>
      <c r="Q896" s="34" t="s">
        <v>42</v>
      </c>
      <c r="R896" s="26"/>
      <c r="S896" s="26"/>
      <c r="T896" s="26" t="s">
        <v>43</v>
      </c>
      <c r="U896" s="26"/>
      <c r="V896" s="26"/>
      <c r="W896" s="26"/>
      <c r="X896" s="26"/>
    </row>
    <row r="897" spans="1:24" s="29" customFormat="1">
      <c r="A897" s="34" t="s">
        <v>31</v>
      </c>
      <c r="B897" s="34" t="s">
        <v>3637</v>
      </c>
      <c r="C897" s="34" t="s">
        <v>3638</v>
      </c>
      <c r="D897" s="34">
        <f t="shared" si="13"/>
        <v>-1</v>
      </c>
      <c r="E897" s="34" t="s">
        <v>34</v>
      </c>
      <c r="F897" s="34" t="s">
        <v>3426</v>
      </c>
      <c r="G897" s="34" t="s">
        <v>3631</v>
      </c>
      <c r="H897" s="34" t="s">
        <v>37</v>
      </c>
      <c r="I897" s="34" t="s">
        <v>38</v>
      </c>
      <c r="J897" s="34" t="s">
        <v>3639</v>
      </c>
      <c r="K897" s="34" t="s">
        <v>3640</v>
      </c>
      <c r="L897" s="34">
        <v>152912</v>
      </c>
      <c r="M897" s="34">
        <v>0</v>
      </c>
      <c r="N897" s="34">
        <v>0</v>
      </c>
      <c r="O897" s="34">
        <v>967312</v>
      </c>
      <c r="P897" s="34" t="s">
        <v>41</v>
      </c>
      <c r="Q897" s="34" t="s">
        <v>42</v>
      </c>
      <c r="R897" s="26"/>
      <c r="S897" s="26"/>
      <c r="T897" s="26" t="s">
        <v>43</v>
      </c>
      <c r="U897" s="26"/>
      <c r="V897" s="26"/>
      <c r="W897" s="26"/>
      <c r="X897" s="26"/>
    </row>
    <row r="898" spans="1:24" s="29" customFormat="1">
      <c r="A898" s="26" t="s">
        <v>31</v>
      </c>
      <c r="B898" s="26" t="s">
        <v>3641</v>
      </c>
      <c r="C898" s="26" t="s">
        <v>3642</v>
      </c>
      <c r="D898" s="26">
        <f t="shared" si="13"/>
        <v>-1</v>
      </c>
      <c r="E898" s="26" t="s">
        <v>34</v>
      </c>
      <c r="F898" s="26" t="s">
        <v>3426</v>
      </c>
      <c r="G898" s="26" t="s">
        <v>3636</v>
      </c>
      <c r="H898" s="26" t="s">
        <v>37</v>
      </c>
      <c r="I898" s="26" t="s">
        <v>38</v>
      </c>
      <c r="J898" s="26" t="s">
        <v>1419</v>
      </c>
      <c r="K898" s="26" t="s">
        <v>1420</v>
      </c>
      <c r="L898" s="26">
        <v>41800</v>
      </c>
      <c r="M898" s="26">
        <v>0</v>
      </c>
      <c r="N898" s="26">
        <v>0</v>
      </c>
      <c r="O898" s="26">
        <v>261800</v>
      </c>
      <c r="P898" s="26" t="s">
        <v>41</v>
      </c>
      <c r="Q898" s="26" t="s">
        <v>42</v>
      </c>
      <c r="R898" s="26"/>
      <c r="S898" s="26"/>
      <c r="T898" s="26"/>
      <c r="U898" s="26"/>
      <c r="V898" s="26" t="s">
        <v>43</v>
      </c>
      <c r="W898" s="26"/>
      <c r="X898" s="26"/>
    </row>
    <row r="899" spans="1:24" s="29" customFormat="1">
      <c r="A899" s="35" t="s">
        <v>31</v>
      </c>
      <c r="B899" s="35" t="s">
        <v>3643</v>
      </c>
      <c r="C899" s="35" t="s">
        <v>3644</v>
      </c>
      <c r="D899" s="35">
        <f t="shared" si="13"/>
        <v>-1</v>
      </c>
      <c r="E899" s="35" t="s">
        <v>34</v>
      </c>
      <c r="F899" s="35" t="s">
        <v>3426</v>
      </c>
      <c r="G899" s="35" t="s">
        <v>3645</v>
      </c>
      <c r="H899" s="35" t="s">
        <v>37</v>
      </c>
      <c r="I899" s="35" t="s">
        <v>38</v>
      </c>
      <c r="J899" s="35" t="s">
        <v>1372</v>
      </c>
      <c r="K899" s="35" t="s">
        <v>1373</v>
      </c>
      <c r="L899" s="35">
        <v>0</v>
      </c>
      <c r="M899" s="35">
        <v>0</v>
      </c>
      <c r="N899" s="35">
        <v>0</v>
      </c>
      <c r="O899" s="35">
        <v>973052</v>
      </c>
      <c r="P899" s="35" t="s">
        <v>41</v>
      </c>
      <c r="Q899" s="35" t="s">
        <v>42</v>
      </c>
      <c r="R899" s="26"/>
      <c r="S899" s="26"/>
      <c r="T899" s="26"/>
      <c r="U899" s="26"/>
      <c r="V899" s="26"/>
      <c r="W899" s="35" t="s">
        <v>43</v>
      </c>
      <c r="X899" s="26" t="s">
        <v>1388</v>
      </c>
    </row>
    <row r="900" spans="1:24" s="29" customFormat="1">
      <c r="A900" s="35" t="s">
        <v>31</v>
      </c>
      <c r="B900" s="35" t="s">
        <v>3646</v>
      </c>
      <c r="C900" s="35" t="s">
        <v>3647</v>
      </c>
      <c r="D900" s="35">
        <f t="shared" si="13"/>
        <v>-1</v>
      </c>
      <c r="E900" s="35" t="s">
        <v>34</v>
      </c>
      <c r="F900" s="35" t="s">
        <v>3426</v>
      </c>
      <c r="G900" s="35" t="s">
        <v>3648</v>
      </c>
      <c r="H900" s="35" t="s">
        <v>37</v>
      </c>
      <c r="I900" s="35" t="s">
        <v>38</v>
      </c>
      <c r="J900" s="35" t="s">
        <v>2803</v>
      </c>
      <c r="K900" s="35" t="s">
        <v>2804</v>
      </c>
      <c r="L900" s="35">
        <v>2674679.4</v>
      </c>
      <c r="M900" s="35">
        <v>0</v>
      </c>
      <c r="N900" s="35">
        <v>0</v>
      </c>
      <c r="O900" s="35">
        <v>16751939.4</v>
      </c>
      <c r="P900" s="35" t="s">
        <v>41</v>
      </c>
      <c r="Q900" s="35" t="s">
        <v>42</v>
      </c>
      <c r="R900" s="26"/>
      <c r="S900" s="26"/>
      <c r="T900" s="26"/>
      <c r="U900" s="26"/>
      <c r="V900" s="26"/>
      <c r="W900" s="35" t="s">
        <v>43</v>
      </c>
      <c r="X900" s="26" t="s">
        <v>1029</v>
      </c>
    </row>
    <row r="901" spans="1:24" s="29" customFormat="1">
      <c r="A901" s="35" t="s">
        <v>31</v>
      </c>
      <c r="B901" s="35" t="s">
        <v>3649</v>
      </c>
      <c r="C901" s="35" t="s">
        <v>3650</v>
      </c>
      <c r="D901" s="35">
        <f t="shared" si="13"/>
        <v>-1</v>
      </c>
      <c r="E901" s="35" t="s">
        <v>34</v>
      </c>
      <c r="F901" s="35" t="s">
        <v>3426</v>
      </c>
      <c r="G901" s="35" t="s">
        <v>3651</v>
      </c>
      <c r="H901" s="35" t="s">
        <v>37</v>
      </c>
      <c r="I901" s="35" t="s">
        <v>38</v>
      </c>
      <c r="J901" s="35" t="s">
        <v>2803</v>
      </c>
      <c r="K901" s="35" t="s">
        <v>2804</v>
      </c>
      <c r="L901" s="35">
        <v>49400</v>
      </c>
      <c r="M901" s="35">
        <v>0</v>
      </c>
      <c r="N901" s="35">
        <v>0</v>
      </c>
      <c r="O901" s="35">
        <v>309400</v>
      </c>
      <c r="P901" s="35" t="s">
        <v>41</v>
      </c>
      <c r="Q901" s="35" t="s">
        <v>42</v>
      </c>
      <c r="R901" s="26"/>
      <c r="S901" s="26"/>
      <c r="T901" s="26"/>
      <c r="U901" s="26"/>
      <c r="V901" s="26"/>
      <c r="W901" s="35" t="s">
        <v>43</v>
      </c>
      <c r="X901" s="26" t="s">
        <v>1029</v>
      </c>
    </row>
    <row r="902" spans="1:24" s="29" customFormat="1">
      <c r="A902" s="34" t="s">
        <v>31</v>
      </c>
      <c r="B902" s="34" t="s">
        <v>3652</v>
      </c>
      <c r="C902" s="34" t="s">
        <v>3653</v>
      </c>
      <c r="D902" s="34">
        <f t="shared" si="13"/>
        <v>-1</v>
      </c>
      <c r="E902" s="34" t="s">
        <v>34</v>
      </c>
      <c r="F902" s="34" t="s">
        <v>3426</v>
      </c>
      <c r="G902" s="34" t="s">
        <v>3654</v>
      </c>
      <c r="H902" s="34" t="s">
        <v>37</v>
      </c>
      <c r="I902" s="34" t="s">
        <v>38</v>
      </c>
      <c r="J902" s="34" t="s">
        <v>3655</v>
      </c>
      <c r="K902" s="34" t="s">
        <v>3656</v>
      </c>
      <c r="L902" s="34">
        <v>85500</v>
      </c>
      <c r="M902" s="34">
        <v>0</v>
      </c>
      <c r="N902" s="34">
        <v>0</v>
      </c>
      <c r="O902" s="34">
        <v>535500</v>
      </c>
      <c r="P902" s="34" t="s">
        <v>41</v>
      </c>
      <c r="Q902" s="34" t="s">
        <v>42</v>
      </c>
      <c r="R902" s="26"/>
      <c r="S902" s="26"/>
      <c r="T902" s="26" t="s">
        <v>43</v>
      </c>
      <c r="U902" s="26"/>
      <c r="V902" s="26"/>
      <c r="W902" s="26"/>
      <c r="X902" s="26"/>
    </row>
    <row r="903" spans="1:24" s="29" customFormat="1">
      <c r="A903" s="32" t="s">
        <v>31</v>
      </c>
      <c r="B903" s="32" t="s">
        <v>3657</v>
      </c>
      <c r="C903" s="32" t="s">
        <v>3658</v>
      </c>
      <c r="D903" s="32">
        <f t="shared" si="13"/>
        <v>-1</v>
      </c>
      <c r="E903" s="32" t="s">
        <v>34</v>
      </c>
      <c r="F903" s="32" t="s">
        <v>3426</v>
      </c>
      <c r="G903" s="32" t="s">
        <v>3659</v>
      </c>
      <c r="H903" s="32" t="s">
        <v>37</v>
      </c>
      <c r="I903" s="32" t="s">
        <v>38</v>
      </c>
      <c r="J903" s="32" t="s">
        <v>656</v>
      </c>
      <c r="K903" s="32" t="s">
        <v>657</v>
      </c>
      <c r="L903" s="32">
        <v>6249227.2999999998</v>
      </c>
      <c r="M903" s="32">
        <v>0</v>
      </c>
      <c r="N903" s="32">
        <v>0</v>
      </c>
      <c r="O903" s="32">
        <v>39139897.299999997</v>
      </c>
      <c r="P903" s="32" t="s">
        <v>41</v>
      </c>
      <c r="Q903" s="32" t="s">
        <v>42</v>
      </c>
      <c r="R903" s="26" t="s">
        <v>43</v>
      </c>
      <c r="S903" s="26"/>
      <c r="T903" s="26"/>
      <c r="U903" s="26"/>
      <c r="V903" s="26"/>
      <c r="W903" s="26"/>
      <c r="X903" s="26"/>
    </row>
    <row r="904" spans="1:24" s="29" customFormat="1">
      <c r="A904" s="26" t="s">
        <v>31</v>
      </c>
      <c r="B904" s="26" t="s">
        <v>3660</v>
      </c>
      <c r="C904" s="26" t="s">
        <v>3661</v>
      </c>
      <c r="D904" s="26">
        <f t="shared" si="13"/>
        <v>-1</v>
      </c>
      <c r="E904" s="26" t="s">
        <v>34</v>
      </c>
      <c r="F904" s="26" t="s">
        <v>3426</v>
      </c>
      <c r="G904" s="26" t="s">
        <v>3662</v>
      </c>
      <c r="H904" s="26" t="s">
        <v>37</v>
      </c>
      <c r="I904" s="26" t="s">
        <v>38</v>
      </c>
      <c r="J904" s="26" t="s">
        <v>471</v>
      </c>
      <c r="K904" s="26" t="s">
        <v>472</v>
      </c>
      <c r="L904" s="26">
        <v>12268.87</v>
      </c>
      <c r="M904" s="26">
        <v>0</v>
      </c>
      <c r="N904" s="26">
        <v>0</v>
      </c>
      <c r="O904" s="26">
        <v>76841.87</v>
      </c>
      <c r="P904" s="26" t="s">
        <v>41</v>
      </c>
      <c r="Q904" s="26" t="s">
        <v>42</v>
      </c>
      <c r="R904" s="26"/>
      <c r="S904" s="26"/>
      <c r="T904" s="26"/>
      <c r="U904" s="26"/>
      <c r="V904" s="26" t="s">
        <v>43</v>
      </c>
      <c r="W904" s="26"/>
      <c r="X904" s="26"/>
    </row>
    <row r="905" spans="1:24" s="29" customFormat="1">
      <c r="A905" s="35" t="s">
        <v>31</v>
      </c>
      <c r="B905" s="35" t="s">
        <v>3663</v>
      </c>
      <c r="C905" s="35" t="s">
        <v>3664</v>
      </c>
      <c r="D905" s="35">
        <f t="shared" si="13"/>
        <v>-1</v>
      </c>
      <c r="E905" s="35" t="s">
        <v>34</v>
      </c>
      <c r="F905" s="35" t="s">
        <v>3426</v>
      </c>
      <c r="G905" s="35" t="s">
        <v>3665</v>
      </c>
      <c r="H905" s="35" t="s">
        <v>37</v>
      </c>
      <c r="I905" s="35" t="s">
        <v>38</v>
      </c>
      <c r="J905" s="35" t="s">
        <v>3666</v>
      </c>
      <c r="K905" s="35" t="s">
        <v>3667</v>
      </c>
      <c r="L905" s="35">
        <v>83609.69</v>
      </c>
      <c r="M905" s="35">
        <v>0</v>
      </c>
      <c r="N905" s="35">
        <v>0</v>
      </c>
      <c r="O905" s="35">
        <v>523660.69</v>
      </c>
      <c r="P905" s="35" t="s">
        <v>41</v>
      </c>
      <c r="Q905" s="35" t="s">
        <v>42</v>
      </c>
      <c r="R905" s="26"/>
      <c r="S905" s="26"/>
      <c r="T905" s="26"/>
      <c r="U905" s="26"/>
      <c r="V905" s="26"/>
      <c r="W905" s="35" t="s">
        <v>43</v>
      </c>
      <c r="X905" s="26" t="s">
        <v>501</v>
      </c>
    </row>
    <row r="906" spans="1:24" s="29" customFormat="1">
      <c r="A906" s="32" t="s">
        <v>31</v>
      </c>
      <c r="B906" s="32" t="s">
        <v>3668</v>
      </c>
      <c r="C906" s="32" t="s">
        <v>3669</v>
      </c>
      <c r="D906" s="32">
        <f t="shared" si="13"/>
        <v>-1</v>
      </c>
      <c r="E906" s="32" t="s">
        <v>34</v>
      </c>
      <c r="F906" s="32" t="s">
        <v>3426</v>
      </c>
      <c r="G906" s="32" t="s">
        <v>3665</v>
      </c>
      <c r="H906" s="32" t="s">
        <v>37</v>
      </c>
      <c r="I906" s="32" t="s">
        <v>38</v>
      </c>
      <c r="J906" s="32" t="s">
        <v>764</v>
      </c>
      <c r="K906" s="32" t="s">
        <v>765</v>
      </c>
      <c r="L906" s="32">
        <v>122437.9</v>
      </c>
      <c r="M906" s="32">
        <v>0</v>
      </c>
      <c r="N906" s="32">
        <v>0</v>
      </c>
      <c r="O906" s="32">
        <v>785697.9</v>
      </c>
      <c r="P906" s="32" t="s">
        <v>41</v>
      </c>
      <c r="Q906" s="32" t="s">
        <v>42</v>
      </c>
      <c r="R906" s="26" t="s">
        <v>43</v>
      </c>
      <c r="S906" s="26"/>
      <c r="T906" s="26"/>
      <c r="U906" s="26"/>
      <c r="V906" s="26"/>
      <c r="W906" s="26"/>
      <c r="X906" s="26"/>
    </row>
    <row r="907" spans="1:24" s="29" customFormat="1">
      <c r="A907" s="26" t="s">
        <v>31</v>
      </c>
      <c r="B907" s="26" t="s">
        <v>3670</v>
      </c>
      <c r="C907" s="26" t="s">
        <v>3671</v>
      </c>
      <c r="D907" s="26">
        <f t="shared" si="13"/>
        <v>-1</v>
      </c>
      <c r="E907" s="26" t="s">
        <v>34</v>
      </c>
      <c r="F907" s="26" t="s">
        <v>3426</v>
      </c>
      <c r="G907" s="26" t="s">
        <v>3672</v>
      </c>
      <c r="H907" s="26" t="s">
        <v>37</v>
      </c>
      <c r="I907" s="26" t="s">
        <v>38</v>
      </c>
      <c r="J907" s="26" t="s">
        <v>3673</v>
      </c>
      <c r="K907" s="26" t="s">
        <v>3674</v>
      </c>
      <c r="L907" s="26">
        <v>81280.100000000006</v>
      </c>
      <c r="M907" s="26">
        <v>0</v>
      </c>
      <c r="N907" s="26">
        <v>0</v>
      </c>
      <c r="O907" s="26">
        <v>535320.1</v>
      </c>
      <c r="P907" s="26" t="s">
        <v>41</v>
      </c>
      <c r="Q907" s="26" t="s">
        <v>42</v>
      </c>
      <c r="R907" s="26"/>
      <c r="S907" s="26"/>
      <c r="T907" s="26"/>
      <c r="U907" s="26"/>
      <c r="V907" s="26" t="s">
        <v>43</v>
      </c>
      <c r="W907" s="26"/>
      <c r="X907" s="26"/>
    </row>
    <row r="908" spans="1:24" s="29" customFormat="1">
      <c r="A908" s="26" t="s">
        <v>31</v>
      </c>
      <c r="B908" s="26" t="s">
        <v>3675</v>
      </c>
      <c r="C908" s="26" t="s">
        <v>3676</v>
      </c>
      <c r="D908" s="26">
        <f t="shared" si="13"/>
        <v>-1</v>
      </c>
      <c r="E908" s="26" t="s">
        <v>34</v>
      </c>
      <c r="F908" s="26" t="s">
        <v>3426</v>
      </c>
      <c r="G908" s="26" t="s">
        <v>3677</v>
      </c>
      <c r="H908" s="26" t="s">
        <v>37</v>
      </c>
      <c r="I908" s="26" t="s">
        <v>38</v>
      </c>
      <c r="J908" s="26" t="s">
        <v>3678</v>
      </c>
      <c r="K908" s="26" t="s">
        <v>3679</v>
      </c>
      <c r="L908" s="26">
        <v>229485.04</v>
      </c>
      <c r="M908" s="26">
        <v>0</v>
      </c>
      <c r="N908" s="26">
        <v>0</v>
      </c>
      <c r="O908" s="26">
        <v>1437301.04</v>
      </c>
      <c r="P908" s="26" t="s">
        <v>41</v>
      </c>
      <c r="Q908" s="26" t="s">
        <v>42</v>
      </c>
      <c r="R908" s="26"/>
      <c r="S908" s="26"/>
      <c r="T908" s="26"/>
      <c r="U908" s="26"/>
      <c r="V908" s="26" t="s">
        <v>43</v>
      </c>
      <c r="W908" s="26"/>
      <c r="X908" s="26"/>
    </row>
    <row r="909" spans="1:24" s="29" customFormat="1">
      <c r="A909" s="32" t="s">
        <v>31</v>
      </c>
      <c r="B909" s="32" t="s">
        <v>3680</v>
      </c>
      <c r="C909" s="32" t="s">
        <v>3681</v>
      </c>
      <c r="D909" s="32">
        <f t="shared" ref="D909:D972" si="14">C909-C910</f>
        <v>-1</v>
      </c>
      <c r="E909" s="32" t="s">
        <v>34</v>
      </c>
      <c r="F909" s="32" t="s">
        <v>3426</v>
      </c>
      <c r="G909" s="32" t="s">
        <v>3682</v>
      </c>
      <c r="H909" s="32" t="s">
        <v>37</v>
      </c>
      <c r="I909" s="32" t="s">
        <v>38</v>
      </c>
      <c r="J909" s="32" t="s">
        <v>3683</v>
      </c>
      <c r="K909" s="32" t="s">
        <v>3684</v>
      </c>
      <c r="L909" s="32">
        <v>1742110</v>
      </c>
      <c r="M909" s="32">
        <v>0</v>
      </c>
      <c r="N909" s="32">
        <v>0</v>
      </c>
      <c r="O909" s="32">
        <v>10911110</v>
      </c>
      <c r="P909" s="32" t="s">
        <v>41</v>
      </c>
      <c r="Q909" s="32" t="s">
        <v>42</v>
      </c>
      <c r="R909" s="26" t="s">
        <v>43</v>
      </c>
      <c r="S909" s="26"/>
      <c r="T909" s="26"/>
      <c r="U909" s="26"/>
      <c r="V909" s="26"/>
      <c r="W909" s="26"/>
      <c r="X909" s="26"/>
    </row>
    <row r="910" spans="1:24" s="29" customFormat="1">
      <c r="A910" s="31" t="s">
        <v>31</v>
      </c>
      <c r="B910" s="31" t="s">
        <v>3685</v>
      </c>
      <c r="C910" s="31" t="s">
        <v>3686</v>
      </c>
      <c r="D910" s="31">
        <f t="shared" si="14"/>
        <v>-1</v>
      </c>
      <c r="E910" s="31" t="s">
        <v>34</v>
      </c>
      <c r="F910" s="31" t="s">
        <v>3426</v>
      </c>
      <c r="G910" s="31" t="s">
        <v>3687</v>
      </c>
      <c r="H910" s="31" t="s">
        <v>37</v>
      </c>
      <c r="I910" s="31" t="s">
        <v>38</v>
      </c>
      <c r="J910" s="31" t="s">
        <v>3688</v>
      </c>
      <c r="K910" s="31" t="s">
        <v>3689</v>
      </c>
      <c r="L910" s="31">
        <v>27550</v>
      </c>
      <c r="M910" s="31">
        <v>0</v>
      </c>
      <c r="N910" s="31">
        <v>0</v>
      </c>
      <c r="O910" s="31">
        <v>172550</v>
      </c>
      <c r="P910" s="31" t="s">
        <v>41</v>
      </c>
      <c r="Q910" s="31" t="s">
        <v>42</v>
      </c>
      <c r="R910" s="26"/>
      <c r="S910" s="26"/>
      <c r="T910" s="26"/>
      <c r="U910" s="31" t="s">
        <v>43</v>
      </c>
      <c r="V910" s="26"/>
      <c r="W910" s="26"/>
      <c r="X910" s="26"/>
    </row>
    <row r="911" spans="1:24" s="29" customFormat="1">
      <c r="A911" s="34" t="s">
        <v>31</v>
      </c>
      <c r="B911" s="34" t="s">
        <v>3690</v>
      </c>
      <c r="C911" s="34" t="s">
        <v>3691</v>
      </c>
      <c r="D911" s="34">
        <f t="shared" si="14"/>
        <v>-1</v>
      </c>
      <c r="E911" s="34" t="s">
        <v>34</v>
      </c>
      <c r="F911" s="34" t="s">
        <v>3426</v>
      </c>
      <c r="G911" s="34" t="s">
        <v>3692</v>
      </c>
      <c r="H911" s="34" t="s">
        <v>37</v>
      </c>
      <c r="I911" s="34" t="s">
        <v>38</v>
      </c>
      <c r="J911" s="34" t="s">
        <v>1326</v>
      </c>
      <c r="K911" s="34" t="s">
        <v>1327</v>
      </c>
      <c r="L911" s="34">
        <v>187530</v>
      </c>
      <c r="M911" s="34">
        <v>0</v>
      </c>
      <c r="N911" s="34">
        <v>0</v>
      </c>
      <c r="O911" s="34">
        <v>1174530</v>
      </c>
      <c r="P911" s="34" t="s">
        <v>41</v>
      </c>
      <c r="Q911" s="34" t="s">
        <v>42</v>
      </c>
      <c r="R911" s="26"/>
      <c r="S911" s="26"/>
      <c r="T911" s="26" t="s">
        <v>43</v>
      </c>
      <c r="U911" s="26"/>
      <c r="V911" s="26"/>
      <c r="W911" s="26"/>
      <c r="X911" s="26"/>
    </row>
    <row r="912" spans="1:24" s="29" customFormat="1">
      <c r="A912" s="32" t="s">
        <v>31</v>
      </c>
      <c r="B912" s="32" t="s">
        <v>3693</v>
      </c>
      <c r="C912" s="32" t="s">
        <v>3694</v>
      </c>
      <c r="D912" s="32">
        <f t="shared" si="14"/>
        <v>-1</v>
      </c>
      <c r="E912" s="32" t="s">
        <v>34</v>
      </c>
      <c r="F912" s="32" t="s">
        <v>3426</v>
      </c>
      <c r="G912" s="32" t="s">
        <v>3695</v>
      </c>
      <c r="H912" s="32" t="s">
        <v>37</v>
      </c>
      <c r="I912" s="32" t="s">
        <v>38</v>
      </c>
      <c r="J912" s="32" t="s">
        <v>3696</v>
      </c>
      <c r="K912" s="32" t="s">
        <v>3697</v>
      </c>
      <c r="L912" s="32">
        <v>33250</v>
      </c>
      <c r="M912" s="32">
        <v>0</v>
      </c>
      <c r="N912" s="32">
        <v>0</v>
      </c>
      <c r="O912" s="32">
        <v>208250</v>
      </c>
      <c r="P912" s="32" t="s">
        <v>41</v>
      </c>
      <c r="Q912" s="32" t="s">
        <v>42</v>
      </c>
      <c r="R912" s="26" t="s">
        <v>43</v>
      </c>
      <c r="S912" s="26"/>
      <c r="T912" s="26"/>
      <c r="U912" s="26"/>
      <c r="V912" s="26"/>
      <c r="W912" s="26"/>
      <c r="X912" s="26"/>
    </row>
    <row r="913" spans="1:24" s="29" customFormat="1">
      <c r="A913" s="26" t="s">
        <v>31</v>
      </c>
      <c r="B913" s="26" t="s">
        <v>3698</v>
      </c>
      <c r="C913" s="26" t="s">
        <v>3699</v>
      </c>
      <c r="D913" s="26">
        <f t="shared" si="14"/>
        <v>-1</v>
      </c>
      <c r="E913" s="26" t="s">
        <v>34</v>
      </c>
      <c r="F913" s="26" t="s">
        <v>3426</v>
      </c>
      <c r="G913" s="26" t="s">
        <v>3700</v>
      </c>
      <c r="H913" s="26" t="s">
        <v>37</v>
      </c>
      <c r="I913" s="26" t="s">
        <v>38</v>
      </c>
      <c r="J913" s="26" t="s">
        <v>1988</v>
      </c>
      <c r="K913" s="26" t="s">
        <v>1989</v>
      </c>
      <c r="L913" s="26">
        <v>79800</v>
      </c>
      <c r="M913" s="26">
        <v>0</v>
      </c>
      <c r="N913" s="26">
        <v>0</v>
      </c>
      <c r="O913" s="26">
        <v>499800</v>
      </c>
      <c r="P913" s="26" t="s">
        <v>41</v>
      </c>
      <c r="Q913" s="26" t="s">
        <v>42</v>
      </c>
      <c r="R913" s="26"/>
      <c r="S913" s="26"/>
      <c r="T913" s="26"/>
      <c r="U913" s="26"/>
      <c r="V913" s="26" t="s">
        <v>43</v>
      </c>
      <c r="W913" s="26"/>
      <c r="X913" s="26"/>
    </row>
    <row r="914" spans="1:24" s="29" customFormat="1">
      <c r="A914" s="31" t="s">
        <v>31</v>
      </c>
      <c r="B914" s="31" t="s">
        <v>3701</v>
      </c>
      <c r="C914" s="31" t="s">
        <v>3702</v>
      </c>
      <c r="D914" s="31">
        <f t="shared" si="14"/>
        <v>-1</v>
      </c>
      <c r="E914" s="31" t="s">
        <v>34</v>
      </c>
      <c r="F914" s="31" t="s">
        <v>3426</v>
      </c>
      <c r="G914" s="31" t="s">
        <v>3703</v>
      </c>
      <c r="H914" s="31" t="s">
        <v>37</v>
      </c>
      <c r="I914" s="31" t="s">
        <v>38</v>
      </c>
      <c r="J914" s="31" t="s">
        <v>3688</v>
      </c>
      <c r="K914" s="31" t="s">
        <v>3689</v>
      </c>
      <c r="L914" s="31">
        <v>110200</v>
      </c>
      <c r="M914" s="31">
        <v>0</v>
      </c>
      <c r="N914" s="31">
        <v>0</v>
      </c>
      <c r="O914" s="31">
        <v>690200</v>
      </c>
      <c r="P914" s="31" t="s">
        <v>41</v>
      </c>
      <c r="Q914" s="31" t="s">
        <v>42</v>
      </c>
      <c r="R914" s="26"/>
      <c r="S914" s="26"/>
      <c r="T914" s="26"/>
      <c r="U914" s="31" t="s">
        <v>43</v>
      </c>
      <c r="V914" s="26"/>
      <c r="W914" s="26"/>
      <c r="X914" s="26"/>
    </row>
    <row r="915" spans="1:24" s="29" customFormat="1">
      <c r="A915" s="26" t="s">
        <v>31</v>
      </c>
      <c r="B915" s="26" t="s">
        <v>3704</v>
      </c>
      <c r="C915" s="26" t="s">
        <v>3705</v>
      </c>
      <c r="D915" s="26">
        <f t="shared" si="14"/>
        <v>-1</v>
      </c>
      <c r="E915" s="26" t="s">
        <v>34</v>
      </c>
      <c r="F915" s="26" t="s">
        <v>3426</v>
      </c>
      <c r="G915" s="26" t="s">
        <v>3706</v>
      </c>
      <c r="H915" s="26" t="s">
        <v>37</v>
      </c>
      <c r="I915" s="26" t="s">
        <v>38</v>
      </c>
      <c r="J915" s="26" t="s">
        <v>1977</v>
      </c>
      <c r="K915" s="26" t="s">
        <v>1978</v>
      </c>
      <c r="L915" s="26">
        <v>74651</v>
      </c>
      <c r="M915" s="26">
        <v>0</v>
      </c>
      <c r="N915" s="26">
        <v>0</v>
      </c>
      <c r="O915" s="26">
        <v>467551</v>
      </c>
      <c r="P915" s="26" t="s">
        <v>41</v>
      </c>
      <c r="Q915" s="26" t="s">
        <v>42</v>
      </c>
      <c r="R915" s="26"/>
      <c r="S915" s="26"/>
      <c r="T915" s="26"/>
      <c r="U915" s="26"/>
      <c r="V915" s="26" t="s">
        <v>43</v>
      </c>
      <c r="W915" s="26"/>
      <c r="X915" s="26"/>
    </row>
    <row r="916" spans="1:24" s="29" customFormat="1">
      <c r="A916" s="26" t="s">
        <v>31</v>
      </c>
      <c r="B916" s="26" t="s">
        <v>3707</v>
      </c>
      <c r="C916" s="26" t="s">
        <v>3708</v>
      </c>
      <c r="D916" s="26">
        <f t="shared" si="14"/>
        <v>-1</v>
      </c>
      <c r="E916" s="26" t="s">
        <v>34</v>
      </c>
      <c r="F916" s="26" t="s">
        <v>3426</v>
      </c>
      <c r="G916" s="26" t="s">
        <v>3709</v>
      </c>
      <c r="H916" s="26" t="s">
        <v>37</v>
      </c>
      <c r="I916" s="26" t="s">
        <v>38</v>
      </c>
      <c r="J916" s="26" t="s">
        <v>1183</v>
      </c>
      <c r="K916" s="26" t="s">
        <v>1184</v>
      </c>
      <c r="L916" s="26">
        <v>166896.5</v>
      </c>
      <c r="M916" s="26">
        <v>0</v>
      </c>
      <c r="N916" s="26">
        <v>0</v>
      </c>
      <c r="O916" s="26">
        <v>1109846.5</v>
      </c>
      <c r="P916" s="26" t="s">
        <v>41</v>
      </c>
      <c r="Q916" s="26" t="s">
        <v>42</v>
      </c>
      <c r="R916" s="26"/>
      <c r="S916" s="26"/>
      <c r="T916" s="26"/>
      <c r="U916" s="26"/>
      <c r="V916" s="26" t="s">
        <v>43</v>
      </c>
      <c r="W916" s="26"/>
      <c r="X916" s="26"/>
    </row>
    <row r="917" spans="1:24" s="29" customFormat="1">
      <c r="A917" s="31" t="s">
        <v>31</v>
      </c>
      <c r="B917" s="31" t="s">
        <v>3710</v>
      </c>
      <c r="C917" s="31" t="s">
        <v>3711</v>
      </c>
      <c r="D917" s="31">
        <f t="shared" si="14"/>
        <v>-1</v>
      </c>
      <c r="E917" s="31" t="s">
        <v>34</v>
      </c>
      <c r="F917" s="31" t="s">
        <v>3426</v>
      </c>
      <c r="G917" s="31" t="s">
        <v>3712</v>
      </c>
      <c r="H917" s="31" t="s">
        <v>37</v>
      </c>
      <c r="I917" s="31" t="s">
        <v>38</v>
      </c>
      <c r="J917" s="31" t="s">
        <v>2590</v>
      </c>
      <c r="K917" s="31" t="s">
        <v>2591</v>
      </c>
      <c r="L917" s="31">
        <v>1795190.3</v>
      </c>
      <c r="M917" s="31">
        <v>0</v>
      </c>
      <c r="N917" s="31">
        <v>0</v>
      </c>
      <c r="O917" s="31">
        <v>11243560.300000001</v>
      </c>
      <c r="P917" s="31" t="s">
        <v>41</v>
      </c>
      <c r="Q917" s="31" t="s">
        <v>42</v>
      </c>
      <c r="R917" s="26"/>
      <c r="S917" s="26"/>
      <c r="T917" s="26"/>
      <c r="U917" s="26" t="s">
        <v>43</v>
      </c>
      <c r="V917" s="26"/>
      <c r="W917" s="26"/>
      <c r="X917" s="26"/>
    </row>
    <row r="918" spans="1:24" s="29" customFormat="1">
      <c r="A918" s="26" t="s">
        <v>31</v>
      </c>
      <c r="B918" s="26" t="s">
        <v>3713</v>
      </c>
      <c r="C918" s="26" t="s">
        <v>3714</v>
      </c>
      <c r="D918" s="26">
        <f t="shared" si="14"/>
        <v>-1</v>
      </c>
      <c r="E918" s="26" t="s">
        <v>34</v>
      </c>
      <c r="F918" s="26" t="s">
        <v>3426</v>
      </c>
      <c r="G918" s="26" t="s">
        <v>3715</v>
      </c>
      <c r="H918" s="26" t="s">
        <v>37</v>
      </c>
      <c r="I918" s="26" t="s">
        <v>38</v>
      </c>
      <c r="J918" s="26" t="s">
        <v>2563</v>
      </c>
      <c r="K918" s="26" t="s">
        <v>2564</v>
      </c>
      <c r="L918" s="26">
        <v>144020</v>
      </c>
      <c r="M918" s="26">
        <v>0</v>
      </c>
      <c r="N918" s="26">
        <v>0</v>
      </c>
      <c r="O918" s="26">
        <v>902020</v>
      </c>
      <c r="P918" s="26" t="s">
        <v>41</v>
      </c>
      <c r="Q918" s="26" t="s">
        <v>42</v>
      </c>
      <c r="R918" s="26"/>
      <c r="S918" s="26"/>
      <c r="T918" s="26"/>
      <c r="U918" s="26"/>
      <c r="V918" s="26" t="s">
        <v>43</v>
      </c>
      <c r="W918" s="26"/>
      <c r="X918" s="26"/>
    </row>
    <row r="919" spans="1:24" s="29" customFormat="1">
      <c r="A919" s="32" t="s">
        <v>31</v>
      </c>
      <c r="B919" s="32" t="s">
        <v>3716</v>
      </c>
      <c r="C919" s="32" t="s">
        <v>3717</v>
      </c>
      <c r="D919" s="32">
        <f t="shared" si="14"/>
        <v>-1</v>
      </c>
      <c r="E919" s="32" t="s">
        <v>34</v>
      </c>
      <c r="F919" s="32" t="s">
        <v>3426</v>
      </c>
      <c r="G919" s="32" t="s">
        <v>3718</v>
      </c>
      <c r="H919" s="32" t="s">
        <v>37</v>
      </c>
      <c r="I919" s="32" t="s">
        <v>38</v>
      </c>
      <c r="J919" s="32" t="s">
        <v>3719</v>
      </c>
      <c r="K919" s="32" t="s">
        <v>3720</v>
      </c>
      <c r="L919" s="32">
        <v>5760657.9000000004</v>
      </c>
      <c r="M919" s="32">
        <v>0</v>
      </c>
      <c r="N919" s="32">
        <v>0</v>
      </c>
      <c r="O919" s="32">
        <v>36079910</v>
      </c>
      <c r="P919" s="32" t="s">
        <v>41</v>
      </c>
      <c r="Q919" s="32" t="s">
        <v>42</v>
      </c>
      <c r="R919" s="26" t="s">
        <v>43</v>
      </c>
      <c r="S919" s="26"/>
      <c r="T919" s="26"/>
      <c r="U919" s="26"/>
      <c r="V919" s="26"/>
      <c r="W919" s="26"/>
      <c r="X919" s="26"/>
    </row>
    <row r="920" spans="1:24" s="29" customFormat="1">
      <c r="A920" s="34" t="s">
        <v>31</v>
      </c>
      <c r="B920" s="34" t="s">
        <v>3721</v>
      </c>
      <c r="C920" s="34" t="s">
        <v>3722</v>
      </c>
      <c r="D920" s="34">
        <f t="shared" si="14"/>
        <v>-1</v>
      </c>
      <c r="E920" s="34" t="s">
        <v>34</v>
      </c>
      <c r="F920" s="34" t="s">
        <v>3426</v>
      </c>
      <c r="G920" s="34" t="s">
        <v>3723</v>
      </c>
      <c r="H920" s="34" t="s">
        <v>37</v>
      </c>
      <c r="I920" s="34" t="s">
        <v>38</v>
      </c>
      <c r="J920" s="34" t="s">
        <v>2459</v>
      </c>
      <c r="K920" s="34" t="s">
        <v>2460</v>
      </c>
      <c r="L920" s="34">
        <v>84550</v>
      </c>
      <c r="M920" s="34">
        <v>0</v>
      </c>
      <c r="N920" s="34">
        <v>0</v>
      </c>
      <c r="O920" s="34">
        <v>529550</v>
      </c>
      <c r="P920" s="34" t="s">
        <v>41</v>
      </c>
      <c r="Q920" s="34" t="s">
        <v>42</v>
      </c>
      <c r="R920" s="26"/>
      <c r="S920" s="26"/>
      <c r="T920" s="26" t="s">
        <v>43</v>
      </c>
      <c r="U920" s="26"/>
      <c r="V920" s="26"/>
      <c r="W920" s="26"/>
      <c r="X920" s="26"/>
    </row>
    <row r="921" spans="1:24" s="29" customFormat="1">
      <c r="A921" s="26" t="s">
        <v>31</v>
      </c>
      <c r="B921" s="26" t="s">
        <v>3724</v>
      </c>
      <c r="C921" s="26" t="s">
        <v>3725</v>
      </c>
      <c r="D921" s="26">
        <f t="shared" si="14"/>
        <v>-1</v>
      </c>
      <c r="E921" s="26" t="s">
        <v>34</v>
      </c>
      <c r="F921" s="26" t="s">
        <v>3426</v>
      </c>
      <c r="G921" s="26" t="s">
        <v>3726</v>
      </c>
      <c r="H921" s="26" t="s">
        <v>37</v>
      </c>
      <c r="I921" s="26" t="s">
        <v>38</v>
      </c>
      <c r="J921" s="26" t="s">
        <v>2459</v>
      </c>
      <c r="K921" s="26" t="s">
        <v>2460</v>
      </c>
      <c r="L921" s="26">
        <v>28297.84</v>
      </c>
      <c r="M921" s="26">
        <v>0</v>
      </c>
      <c r="N921" s="26">
        <v>0</v>
      </c>
      <c r="O921" s="26">
        <v>177233.84</v>
      </c>
      <c r="P921" s="26" t="s">
        <v>41</v>
      </c>
      <c r="Q921" s="26" t="s">
        <v>42</v>
      </c>
      <c r="R921" s="26"/>
      <c r="S921" s="26"/>
      <c r="T921" s="26"/>
      <c r="U921" s="26"/>
      <c r="V921" s="26" t="s">
        <v>43</v>
      </c>
      <c r="W921" s="26"/>
      <c r="X921" s="26"/>
    </row>
    <row r="922" spans="1:24" s="29" customFormat="1">
      <c r="A922" s="34" t="s">
        <v>31</v>
      </c>
      <c r="B922" s="34" t="s">
        <v>3727</v>
      </c>
      <c r="C922" s="34" t="s">
        <v>3728</v>
      </c>
      <c r="D922" s="34">
        <f t="shared" si="14"/>
        <v>-1</v>
      </c>
      <c r="E922" s="34" t="s">
        <v>34</v>
      </c>
      <c r="F922" s="34" t="s">
        <v>3426</v>
      </c>
      <c r="G922" s="34" t="s">
        <v>3729</v>
      </c>
      <c r="H922" s="34" t="s">
        <v>37</v>
      </c>
      <c r="I922" s="34" t="s">
        <v>38</v>
      </c>
      <c r="J922" s="34" t="s">
        <v>1674</v>
      </c>
      <c r="K922" s="34" t="s">
        <v>1675</v>
      </c>
      <c r="L922" s="34">
        <v>0</v>
      </c>
      <c r="M922" s="34">
        <v>0</v>
      </c>
      <c r="N922" s="34">
        <v>0</v>
      </c>
      <c r="O922" s="34">
        <v>780000</v>
      </c>
      <c r="P922" s="34" t="s">
        <v>41</v>
      </c>
      <c r="Q922" s="34" t="s">
        <v>42</v>
      </c>
      <c r="R922" s="26"/>
      <c r="S922" s="26"/>
      <c r="T922" s="26" t="s">
        <v>43</v>
      </c>
      <c r="U922" s="26"/>
      <c r="V922" s="26"/>
      <c r="W922" s="26"/>
      <c r="X922" s="26"/>
    </row>
    <row r="923" spans="1:24" s="29" customFormat="1">
      <c r="A923" s="26" t="s">
        <v>31</v>
      </c>
      <c r="B923" s="26" t="s">
        <v>3730</v>
      </c>
      <c r="C923" s="26" t="s">
        <v>3731</v>
      </c>
      <c r="D923" s="26">
        <f t="shared" si="14"/>
        <v>-1</v>
      </c>
      <c r="E923" s="26" t="s">
        <v>34</v>
      </c>
      <c r="F923" s="26" t="s">
        <v>3426</v>
      </c>
      <c r="G923" s="26" t="s">
        <v>3732</v>
      </c>
      <c r="H923" s="26" t="s">
        <v>37</v>
      </c>
      <c r="I923" s="26" t="s">
        <v>38</v>
      </c>
      <c r="J923" s="26" t="s">
        <v>3733</v>
      </c>
      <c r="K923" s="26" t="s">
        <v>3734</v>
      </c>
      <c r="L923" s="26">
        <v>0</v>
      </c>
      <c r="M923" s="26">
        <v>0</v>
      </c>
      <c r="N923" s="26">
        <v>0</v>
      </c>
      <c r="O923" s="26">
        <v>3920000</v>
      </c>
      <c r="P923" s="26" t="s">
        <v>41</v>
      </c>
      <c r="Q923" s="26" t="s">
        <v>42</v>
      </c>
      <c r="R923" s="26"/>
      <c r="S923" s="26"/>
      <c r="T923" s="26"/>
      <c r="U923" s="26"/>
      <c r="V923" s="26" t="s">
        <v>43</v>
      </c>
      <c r="W923" s="26"/>
      <c r="X923" s="26"/>
    </row>
    <row r="924" spans="1:24" s="29" customFormat="1">
      <c r="A924" s="33" t="s">
        <v>31</v>
      </c>
      <c r="B924" s="33" t="s">
        <v>3735</v>
      </c>
      <c r="C924" s="33" t="s">
        <v>3736</v>
      </c>
      <c r="D924" s="33">
        <f t="shared" si="14"/>
        <v>-1</v>
      </c>
      <c r="E924" s="33" t="s">
        <v>34</v>
      </c>
      <c r="F924" s="33" t="s">
        <v>3426</v>
      </c>
      <c r="G924" s="33" t="s">
        <v>3737</v>
      </c>
      <c r="H924" s="33" t="s">
        <v>37</v>
      </c>
      <c r="I924" s="33" t="s">
        <v>38</v>
      </c>
      <c r="J924" s="33" t="s">
        <v>3738</v>
      </c>
      <c r="K924" s="33" t="s">
        <v>3739</v>
      </c>
      <c r="L924" s="33">
        <v>79610</v>
      </c>
      <c r="M924" s="33">
        <v>0</v>
      </c>
      <c r="N924" s="33">
        <v>0</v>
      </c>
      <c r="O924" s="33">
        <v>498610</v>
      </c>
      <c r="P924" s="33" t="s">
        <v>41</v>
      </c>
      <c r="Q924" s="33" t="s">
        <v>42</v>
      </c>
      <c r="R924" s="26"/>
      <c r="S924" s="26" t="s">
        <v>43</v>
      </c>
      <c r="T924" s="26"/>
      <c r="U924" s="26"/>
      <c r="V924" s="26"/>
      <c r="W924" s="26"/>
      <c r="X924" s="26"/>
    </row>
    <row r="925" spans="1:24" s="29" customFormat="1">
      <c r="A925" s="26" t="s">
        <v>31</v>
      </c>
      <c r="B925" s="26" t="s">
        <v>3740</v>
      </c>
      <c r="C925" s="26" t="s">
        <v>3741</v>
      </c>
      <c r="D925" s="26">
        <f t="shared" si="14"/>
        <v>-1</v>
      </c>
      <c r="E925" s="26" t="s">
        <v>34</v>
      </c>
      <c r="F925" s="26" t="s">
        <v>3426</v>
      </c>
      <c r="G925" s="26" t="s">
        <v>3742</v>
      </c>
      <c r="H925" s="26" t="s">
        <v>37</v>
      </c>
      <c r="I925" s="26" t="s">
        <v>38</v>
      </c>
      <c r="J925" s="26" t="s">
        <v>3743</v>
      </c>
      <c r="K925" s="26" t="s">
        <v>3744</v>
      </c>
      <c r="L925" s="26">
        <v>941569.51</v>
      </c>
      <c r="M925" s="26">
        <v>0</v>
      </c>
      <c r="N925" s="26">
        <v>0</v>
      </c>
      <c r="O925" s="26">
        <v>5897198.5099999998</v>
      </c>
      <c r="P925" s="26" t="s">
        <v>41</v>
      </c>
      <c r="Q925" s="26" t="s">
        <v>42</v>
      </c>
      <c r="R925" s="26"/>
      <c r="S925" s="26"/>
      <c r="T925" s="26"/>
      <c r="U925" s="26"/>
      <c r="V925" s="26" t="s">
        <v>43</v>
      </c>
      <c r="W925" s="26"/>
      <c r="X925" s="26"/>
    </row>
    <row r="926" spans="1:24" s="29" customFormat="1">
      <c r="A926" s="35" t="s">
        <v>31</v>
      </c>
      <c r="B926" s="35" t="s">
        <v>3745</v>
      </c>
      <c r="C926" s="35" t="s">
        <v>3746</v>
      </c>
      <c r="D926" s="35">
        <f t="shared" si="14"/>
        <v>-1</v>
      </c>
      <c r="E926" s="35" t="s">
        <v>34</v>
      </c>
      <c r="F926" s="35" t="s">
        <v>3426</v>
      </c>
      <c r="G926" s="35" t="s">
        <v>3747</v>
      </c>
      <c r="H926" s="35" t="s">
        <v>37</v>
      </c>
      <c r="I926" s="35" t="s">
        <v>38</v>
      </c>
      <c r="J926" s="35" t="s">
        <v>3748</v>
      </c>
      <c r="K926" s="35" t="s">
        <v>3749</v>
      </c>
      <c r="L926" s="35">
        <v>2594070</v>
      </c>
      <c r="M926" s="35">
        <v>0</v>
      </c>
      <c r="N926" s="35">
        <v>0</v>
      </c>
      <c r="O926" s="35">
        <v>16247070</v>
      </c>
      <c r="P926" s="35" t="s">
        <v>41</v>
      </c>
      <c r="Q926" s="35" t="s">
        <v>42</v>
      </c>
      <c r="R926" s="26"/>
      <c r="S926" s="26"/>
      <c r="T926" s="26"/>
      <c r="U926" s="26"/>
      <c r="V926" s="26"/>
      <c r="W926" s="35" t="s">
        <v>43</v>
      </c>
      <c r="X926" s="26" t="s">
        <v>1377</v>
      </c>
    </row>
    <row r="927" spans="1:24" s="29" customFormat="1">
      <c r="A927" s="26" t="s">
        <v>31</v>
      </c>
      <c r="B927" s="26" t="s">
        <v>3750</v>
      </c>
      <c r="C927" s="26" t="s">
        <v>3751</v>
      </c>
      <c r="D927" s="26">
        <f t="shared" si="14"/>
        <v>-1</v>
      </c>
      <c r="E927" s="26" t="s">
        <v>34</v>
      </c>
      <c r="F927" s="26" t="s">
        <v>3426</v>
      </c>
      <c r="G927" s="26" t="s">
        <v>3752</v>
      </c>
      <c r="H927" s="26" t="s">
        <v>37</v>
      </c>
      <c r="I927" s="26" t="s">
        <v>38</v>
      </c>
      <c r="J927" s="26" t="s">
        <v>2017</v>
      </c>
      <c r="K927" s="26" t="s">
        <v>2018</v>
      </c>
      <c r="L927" s="26">
        <v>186977.29</v>
      </c>
      <c r="M927" s="26">
        <v>0</v>
      </c>
      <c r="N927" s="26">
        <v>0</v>
      </c>
      <c r="O927" s="26">
        <v>1171068.29</v>
      </c>
      <c r="P927" s="26" t="s">
        <v>41</v>
      </c>
      <c r="Q927" s="26" t="s">
        <v>42</v>
      </c>
      <c r="R927" s="26"/>
      <c r="S927" s="26"/>
      <c r="T927" s="26"/>
      <c r="U927" s="26"/>
      <c r="V927" s="26" t="s">
        <v>43</v>
      </c>
      <c r="W927" s="26"/>
      <c r="X927" s="26"/>
    </row>
    <row r="928" spans="1:24" s="29" customFormat="1">
      <c r="A928" s="35" t="s">
        <v>31</v>
      </c>
      <c r="B928" s="35" t="s">
        <v>3753</v>
      </c>
      <c r="C928" s="35" t="s">
        <v>3754</v>
      </c>
      <c r="D928" s="35">
        <f t="shared" si="14"/>
        <v>-1</v>
      </c>
      <c r="E928" s="35" t="s">
        <v>34</v>
      </c>
      <c r="F928" s="35" t="s">
        <v>3426</v>
      </c>
      <c r="G928" s="35" t="s">
        <v>3755</v>
      </c>
      <c r="H928" s="35" t="s">
        <v>37</v>
      </c>
      <c r="I928" s="35" t="s">
        <v>38</v>
      </c>
      <c r="J928" s="35" t="s">
        <v>1610</v>
      </c>
      <c r="K928" s="35" t="s">
        <v>1611</v>
      </c>
      <c r="L928" s="35">
        <v>325470</v>
      </c>
      <c r="M928" s="35">
        <v>0</v>
      </c>
      <c r="N928" s="35">
        <v>0</v>
      </c>
      <c r="O928" s="35">
        <v>2038470</v>
      </c>
      <c r="P928" s="35" t="s">
        <v>41</v>
      </c>
      <c r="Q928" s="35" t="s">
        <v>42</v>
      </c>
      <c r="R928" s="26"/>
      <c r="S928" s="26"/>
      <c r="T928" s="26"/>
      <c r="U928" s="26"/>
      <c r="V928" s="26"/>
      <c r="W928" s="35" t="s">
        <v>43</v>
      </c>
      <c r="X928" s="26" t="s">
        <v>1439</v>
      </c>
    </row>
    <row r="929" spans="1:24" s="29" customFormat="1">
      <c r="A929" s="32" t="s">
        <v>31</v>
      </c>
      <c r="B929" s="32" t="s">
        <v>3756</v>
      </c>
      <c r="C929" s="32" t="s">
        <v>3757</v>
      </c>
      <c r="D929" s="32">
        <f t="shared" si="14"/>
        <v>-1</v>
      </c>
      <c r="E929" s="32" t="s">
        <v>34</v>
      </c>
      <c r="F929" s="32" t="s">
        <v>3426</v>
      </c>
      <c r="G929" s="32" t="s">
        <v>3758</v>
      </c>
      <c r="H929" s="32" t="s">
        <v>37</v>
      </c>
      <c r="I929" s="32" t="s">
        <v>38</v>
      </c>
      <c r="J929" s="32" t="s">
        <v>1466</v>
      </c>
      <c r="K929" s="32" t="s">
        <v>1467</v>
      </c>
      <c r="L929" s="32">
        <v>185942.74</v>
      </c>
      <c r="M929" s="32">
        <v>0</v>
      </c>
      <c r="N929" s="32">
        <v>0</v>
      </c>
      <c r="O929" s="32">
        <v>1164588.74</v>
      </c>
      <c r="P929" s="32" t="s">
        <v>41</v>
      </c>
      <c r="Q929" s="32" t="s">
        <v>42</v>
      </c>
      <c r="R929" s="26" t="s">
        <v>43</v>
      </c>
      <c r="S929" s="26"/>
      <c r="T929" s="26"/>
      <c r="U929" s="26"/>
      <c r="V929" s="26"/>
      <c r="W929" s="26"/>
      <c r="X929" s="26"/>
    </row>
    <row r="930" spans="1:24" s="29" customFormat="1">
      <c r="A930" s="32" t="s">
        <v>31</v>
      </c>
      <c r="B930" s="32" t="s">
        <v>3759</v>
      </c>
      <c r="C930" s="32" t="s">
        <v>3760</v>
      </c>
      <c r="D930" s="32">
        <f t="shared" si="14"/>
        <v>-1</v>
      </c>
      <c r="E930" s="32" t="s">
        <v>34</v>
      </c>
      <c r="F930" s="32" t="s">
        <v>3426</v>
      </c>
      <c r="G930" s="32" t="s">
        <v>3761</v>
      </c>
      <c r="H930" s="32" t="s">
        <v>37</v>
      </c>
      <c r="I930" s="32" t="s">
        <v>38</v>
      </c>
      <c r="J930" s="32" t="s">
        <v>1924</v>
      </c>
      <c r="K930" s="32" t="s">
        <v>1925</v>
      </c>
      <c r="L930" s="32">
        <v>303620</v>
      </c>
      <c r="M930" s="32">
        <v>0</v>
      </c>
      <c r="N930" s="32">
        <v>0</v>
      </c>
      <c r="O930" s="32">
        <v>1901620</v>
      </c>
      <c r="P930" s="32" t="s">
        <v>41</v>
      </c>
      <c r="Q930" s="32" t="s">
        <v>42</v>
      </c>
      <c r="R930" s="26" t="s">
        <v>43</v>
      </c>
      <c r="S930" s="26"/>
      <c r="T930" s="26"/>
      <c r="U930" s="26"/>
      <c r="V930" s="26"/>
      <c r="W930" s="26"/>
      <c r="X930" s="26"/>
    </row>
    <row r="931" spans="1:24" s="29" customFormat="1">
      <c r="A931" s="34" t="s">
        <v>31</v>
      </c>
      <c r="B931" s="34" t="s">
        <v>3762</v>
      </c>
      <c r="C931" s="34" t="s">
        <v>3763</v>
      </c>
      <c r="D931" s="34">
        <f t="shared" si="14"/>
        <v>-1</v>
      </c>
      <c r="E931" s="34" t="s">
        <v>34</v>
      </c>
      <c r="F931" s="34" t="s">
        <v>3426</v>
      </c>
      <c r="G931" s="34" t="s">
        <v>3764</v>
      </c>
      <c r="H931" s="34" t="s">
        <v>37</v>
      </c>
      <c r="I931" s="34" t="s">
        <v>38</v>
      </c>
      <c r="J931" s="34" t="s">
        <v>1584</v>
      </c>
      <c r="K931" s="34" t="s">
        <v>1585</v>
      </c>
      <c r="L931" s="34">
        <v>294215</v>
      </c>
      <c r="M931" s="34">
        <v>0</v>
      </c>
      <c r="N931" s="34">
        <v>0</v>
      </c>
      <c r="O931" s="34">
        <v>1842715</v>
      </c>
      <c r="P931" s="34" t="s">
        <v>41</v>
      </c>
      <c r="Q931" s="34" t="s">
        <v>42</v>
      </c>
      <c r="R931" s="26"/>
      <c r="S931" s="26"/>
      <c r="T931" s="26" t="s">
        <v>43</v>
      </c>
      <c r="U931" s="26"/>
      <c r="V931" s="26"/>
      <c r="W931" s="26"/>
      <c r="X931" s="26"/>
    </row>
    <row r="932" spans="1:24" s="29" customFormat="1">
      <c r="A932" s="26" t="s">
        <v>31</v>
      </c>
      <c r="B932" s="26" t="s">
        <v>3765</v>
      </c>
      <c r="C932" s="26" t="s">
        <v>3766</v>
      </c>
      <c r="D932" s="26">
        <f t="shared" si="14"/>
        <v>-1</v>
      </c>
      <c r="E932" s="26" t="s">
        <v>34</v>
      </c>
      <c r="F932" s="26" t="s">
        <v>3426</v>
      </c>
      <c r="G932" s="26" t="s">
        <v>3767</v>
      </c>
      <c r="H932" s="26" t="s">
        <v>37</v>
      </c>
      <c r="I932" s="26" t="s">
        <v>38</v>
      </c>
      <c r="J932" s="26" t="s">
        <v>2590</v>
      </c>
      <c r="K932" s="26" t="s">
        <v>2591</v>
      </c>
      <c r="L932" s="26">
        <v>5385570.9000000004</v>
      </c>
      <c r="M932" s="26">
        <v>0</v>
      </c>
      <c r="N932" s="26">
        <v>0</v>
      </c>
      <c r="O932" s="26">
        <v>33730680.899999999</v>
      </c>
      <c r="P932" s="26" t="s">
        <v>41</v>
      </c>
      <c r="Q932" s="26" t="s">
        <v>42</v>
      </c>
      <c r="R932" s="26"/>
      <c r="S932" s="26"/>
      <c r="T932" s="26"/>
      <c r="U932" s="26"/>
      <c r="V932" s="26" t="s">
        <v>43</v>
      </c>
      <c r="W932" s="26"/>
      <c r="X932" s="26"/>
    </row>
    <row r="933" spans="1:24" s="29" customFormat="1">
      <c r="A933" s="34" t="s">
        <v>31</v>
      </c>
      <c r="B933" s="34" t="s">
        <v>3768</v>
      </c>
      <c r="C933" s="34" t="s">
        <v>3769</v>
      </c>
      <c r="D933" s="34">
        <f t="shared" si="14"/>
        <v>-1</v>
      </c>
      <c r="E933" s="34" t="s">
        <v>34</v>
      </c>
      <c r="F933" s="34" t="s">
        <v>3426</v>
      </c>
      <c r="G933" s="34" t="s">
        <v>3770</v>
      </c>
      <c r="H933" s="34" t="s">
        <v>37</v>
      </c>
      <c r="I933" s="34" t="s">
        <v>38</v>
      </c>
      <c r="J933" s="34" t="s">
        <v>915</v>
      </c>
      <c r="K933" s="34" t="s">
        <v>916</v>
      </c>
      <c r="L933" s="34">
        <v>922640</v>
      </c>
      <c r="M933" s="34">
        <v>0</v>
      </c>
      <c r="N933" s="34">
        <v>0</v>
      </c>
      <c r="O933" s="34">
        <v>5778640</v>
      </c>
      <c r="P933" s="34" t="s">
        <v>41</v>
      </c>
      <c r="Q933" s="34" t="s">
        <v>42</v>
      </c>
      <c r="R933" s="26"/>
      <c r="S933" s="26"/>
      <c r="T933" s="26" t="s">
        <v>43</v>
      </c>
      <c r="U933" s="26"/>
      <c r="V933" s="26"/>
      <c r="W933" s="26"/>
      <c r="X933" s="26"/>
    </row>
    <row r="934" spans="1:24" s="29" customFormat="1">
      <c r="A934" s="34" t="s">
        <v>31</v>
      </c>
      <c r="B934" s="34" t="s">
        <v>3771</v>
      </c>
      <c r="C934" s="34" t="s">
        <v>3772</v>
      </c>
      <c r="D934" s="34">
        <f t="shared" si="14"/>
        <v>-1</v>
      </c>
      <c r="E934" s="34" t="s">
        <v>34</v>
      </c>
      <c r="F934" s="34" t="s">
        <v>3426</v>
      </c>
      <c r="G934" s="34" t="s">
        <v>3773</v>
      </c>
      <c r="H934" s="34" t="s">
        <v>37</v>
      </c>
      <c r="I934" s="34" t="s">
        <v>38</v>
      </c>
      <c r="J934" s="34" t="s">
        <v>626</v>
      </c>
      <c r="K934" s="34" t="s">
        <v>627</v>
      </c>
      <c r="L934" s="34">
        <v>2528909.5</v>
      </c>
      <c r="M934" s="34">
        <v>0</v>
      </c>
      <c r="N934" s="34">
        <v>0</v>
      </c>
      <c r="O934" s="34">
        <v>15838959.5</v>
      </c>
      <c r="P934" s="34" t="s">
        <v>41</v>
      </c>
      <c r="Q934" s="34" t="s">
        <v>42</v>
      </c>
      <c r="R934" s="26"/>
      <c r="S934" s="26"/>
      <c r="T934" s="26" t="s">
        <v>43</v>
      </c>
      <c r="U934" s="26"/>
      <c r="V934" s="26"/>
      <c r="W934" s="26"/>
      <c r="X934" s="26"/>
    </row>
    <row r="935" spans="1:24" s="29" customFormat="1">
      <c r="A935" s="34" t="s">
        <v>31</v>
      </c>
      <c r="B935" s="34" t="s">
        <v>3774</v>
      </c>
      <c r="C935" s="34" t="s">
        <v>3775</v>
      </c>
      <c r="D935" s="34">
        <f t="shared" si="14"/>
        <v>-1</v>
      </c>
      <c r="E935" s="34" t="s">
        <v>34</v>
      </c>
      <c r="F935" s="34" t="s">
        <v>3426</v>
      </c>
      <c r="G935" s="34" t="s">
        <v>3776</v>
      </c>
      <c r="H935" s="34" t="s">
        <v>37</v>
      </c>
      <c r="I935" s="34" t="s">
        <v>38</v>
      </c>
      <c r="J935" s="34" t="s">
        <v>2459</v>
      </c>
      <c r="K935" s="34" t="s">
        <v>2460</v>
      </c>
      <c r="L935" s="34">
        <v>140685.5</v>
      </c>
      <c r="M935" s="34">
        <v>0</v>
      </c>
      <c r="N935" s="34">
        <v>0</v>
      </c>
      <c r="O935" s="34">
        <v>881135.5</v>
      </c>
      <c r="P935" s="34" t="s">
        <v>41</v>
      </c>
      <c r="Q935" s="34" t="s">
        <v>42</v>
      </c>
      <c r="R935" s="26"/>
      <c r="S935" s="26"/>
      <c r="T935" s="26" t="s">
        <v>43</v>
      </c>
      <c r="U935" s="26"/>
      <c r="V935" s="26"/>
      <c r="W935" s="26"/>
      <c r="X935" s="26"/>
    </row>
    <row r="936" spans="1:24" s="29" customFormat="1">
      <c r="A936" s="26" t="s">
        <v>31</v>
      </c>
      <c r="B936" s="26" t="s">
        <v>3777</v>
      </c>
      <c r="C936" s="26" t="s">
        <v>3778</v>
      </c>
      <c r="D936" s="26">
        <f t="shared" si="14"/>
        <v>-1</v>
      </c>
      <c r="E936" s="26" t="s">
        <v>34</v>
      </c>
      <c r="F936" s="26" t="s">
        <v>3426</v>
      </c>
      <c r="G936" s="26" t="s">
        <v>3779</v>
      </c>
      <c r="H936" s="26" t="s">
        <v>37</v>
      </c>
      <c r="I936" s="26" t="s">
        <v>38</v>
      </c>
      <c r="J936" s="26" t="s">
        <v>3372</v>
      </c>
      <c r="K936" s="26" t="s">
        <v>3373</v>
      </c>
      <c r="L936" s="26">
        <v>819652.4</v>
      </c>
      <c r="M936" s="26">
        <v>0</v>
      </c>
      <c r="N936" s="26">
        <v>0</v>
      </c>
      <c r="O936" s="26">
        <v>5638612.4000000004</v>
      </c>
      <c r="P936" s="26" t="s">
        <v>41</v>
      </c>
      <c r="Q936" s="26" t="s">
        <v>42</v>
      </c>
      <c r="R936" s="26"/>
      <c r="S936" s="26"/>
      <c r="T936" s="26"/>
      <c r="U936" s="26"/>
      <c r="V936" s="26" t="s">
        <v>43</v>
      </c>
      <c r="W936" s="26"/>
      <c r="X936" s="26"/>
    </row>
    <row r="937" spans="1:24" s="29" customFormat="1">
      <c r="A937" s="34" t="s">
        <v>31</v>
      </c>
      <c r="B937" s="34" t="s">
        <v>3780</v>
      </c>
      <c r="C937" s="34" t="s">
        <v>3781</v>
      </c>
      <c r="D937" s="34">
        <f t="shared" si="14"/>
        <v>-1</v>
      </c>
      <c r="E937" s="34" t="s">
        <v>34</v>
      </c>
      <c r="F937" s="34" t="s">
        <v>3426</v>
      </c>
      <c r="G937" s="34" t="s">
        <v>3782</v>
      </c>
      <c r="H937" s="34" t="s">
        <v>37</v>
      </c>
      <c r="I937" s="34" t="s">
        <v>38</v>
      </c>
      <c r="J937" s="34" t="s">
        <v>1647</v>
      </c>
      <c r="K937" s="34" t="s">
        <v>1648</v>
      </c>
      <c r="L937" s="34">
        <v>369075</v>
      </c>
      <c r="M937" s="34">
        <v>0</v>
      </c>
      <c r="N937" s="34">
        <v>0</v>
      </c>
      <c r="O937" s="34">
        <v>2311575</v>
      </c>
      <c r="P937" s="34" t="s">
        <v>41</v>
      </c>
      <c r="Q937" s="34" t="s">
        <v>42</v>
      </c>
      <c r="R937" s="26"/>
      <c r="S937" s="26"/>
      <c r="T937" s="26" t="s">
        <v>43</v>
      </c>
      <c r="U937" s="26"/>
      <c r="V937" s="26"/>
      <c r="W937" s="26"/>
      <c r="X937" s="26"/>
    </row>
    <row r="938" spans="1:24" s="29" customFormat="1">
      <c r="A938" s="26" t="s">
        <v>31</v>
      </c>
      <c r="B938" s="26" t="s">
        <v>3783</v>
      </c>
      <c r="C938" s="26" t="s">
        <v>3784</v>
      </c>
      <c r="D938" s="26">
        <f t="shared" si="14"/>
        <v>-1</v>
      </c>
      <c r="E938" s="26" t="s">
        <v>34</v>
      </c>
      <c r="F938" s="26" t="s">
        <v>3426</v>
      </c>
      <c r="G938" s="26" t="s">
        <v>3785</v>
      </c>
      <c r="H938" s="26" t="s">
        <v>37</v>
      </c>
      <c r="I938" s="26" t="s">
        <v>38</v>
      </c>
      <c r="J938" s="26" t="s">
        <v>3786</v>
      </c>
      <c r="K938" s="26" t="s">
        <v>3787</v>
      </c>
      <c r="L938" s="26">
        <v>0</v>
      </c>
      <c r="M938" s="26">
        <v>0</v>
      </c>
      <c r="N938" s="26">
        <v>0</v>
      </c>
      <c r="O938" s="26">
        <v>1675751.35</v>
      </c>
      <c r="P938" s="26" t="s">
        <v>41</v>
      </c>
      <c r="Q938" s="26" t="s">
        <v>42</v>
      </c>
      <c r="R938" s="26"/>
      <c r="S938" s="26"/>
      <c r="T938" s="26"/>
      <c r="U938" s="26"/>
      <c r="V938" s="26" t="s">
        <v>43</v>
      </c>
      <c r="W938" s="26"/>
      <c r="X938" s="26"/>
    </row>
    <row r="939" spans="1:24" s="29" customFormat="1">
      <c r="A939" s="26" t="s">
        <v>31</v>
      </c>
      <c r="B939" s="26" t="s">
        <v>3788</v>
      </c>
      <c r="C939" s="26" t="s">
        <v>3789</v>
      </c>
      <c r="D939" s="26">
        <f t="shared" si="14"/>
        <v>-1</v>
      </c>
      <c r="E939" s="26" t="s">
        <v>34</v>
      </c>
      <c r="F939" s="26" t="s">
        <v>3426</v>
      </c>
      <c r="G939" s="26" t="s">
        <v>3790</v>
      </c>
      <c r="H939" s="26" t="s">
        <v>37</v>
      </c>
      <c r="I939" s="26" t="s">
        <v>38</v>
      </c>
      <c r="J939" s="26" t="s">
        <v>3791</v>
      </c>
      <c r="K939" s="26" t="s">
        <v>3792</v>
      </c>
      <c r="L939" s="26">
        <v>0</v>
      </c>
      <c r="M939" s="26">
        <v>0</v>
      </c>
      <c r="N939" s="26">
        <v>0</v>
      </c>
      <c r="O939" s="26">
        <v>1675751.35</v>
      </c>
      <c r="P939" s="26" t="s">
        <v>41</v>
      </c>
      <c r="Q939" s="26" t="s">
        <v>42</v>
      </c>
      <c r="R939" s="26"/>
      <c r="S939" s="26"/>
      <c r="T939" s="26"/>
      <c r="U939" s="26"/>
      <c r="V939" s="26" t="s">
        <v>43</v>
      </c>
      <c r="W939" s="26"/>
      <c r="X939" s="26"/>
    </row>
    <row r="940" spans="1:24" s="29" customFormat="1">
      <c r="A940" s="26" t="s">
        <v>31</v>
      </c>
      <c r="B940" s="26" t="s">
        <v>3793</v>
      </c>
      <c r="C940" s="26" t="s">
        <v>3794</v>
      </c>
      <c r="D940" s="26">
        <f t="shared" si="14"/>
        <v>-1</v>
      </c>
      <c r="E940" s="26" t="s">
        <v>34</v>
      </c>
      <c r="F940" s="26" t="s">
        <v>3426</v>
      </c>
      <c r="G940" s="26" t="s">
        <v>3795</v>
      </c>
      <c r="H940" s="26" t="s">
        <v>37</v>
      </c>
      <c r="I940" s="26" t="s">
        <v>38</v>
      </c>
      <c r="J940" s="26" t="s">
        <v>3796</v>
      </c>
      <c r="K940" s="26" t="s">
        <v>3797</v>
      </c>
      <c r="L940" s="26">
        <v>0</v>
      </c>
      <c r="M940" s="26">
        <v>0</v>
      </c>
      <c r="N940" s="26">
        <v>0</v>
      </c>
      <c r="O940" s="26">
        <v>2010901.62</v>
      </c>
      <c r="P940" s="26" t="s">
        <v>41</v>
      </c>
      <c r="Q940" s="26" t="s">
        <v>42</v>
      </c>
      <c r="R940" s="26"/>
      <c r="S940" s="26"/>
      <c r="T940" s="26"/>
      <c r="U940" s="26"/>
      <c r="V940" s="26" t="s">
        <v>43</v>
      </c>
      <c r="W940" s="26"/>
      <c r="X940" s="26"/>
    </row>
    <row r="941" spans="1:24" s="29" customFormat="1">
      <c r="A941" s="26" t="s">
        <v>31</v>
      </c>
      <c r="B941" s="26" t="s">
        <v>3798</v>
      </c>
      <c r="C941" s="26" t="s">
        <v>3799</v>
      </c>
      <c r="D941" s="26">
        <f t="shared" si="14"/>
        <v>-1</v>
      </c>
      <c r="E941" s="26" t="s">
        <v>34</v>
      </c>
      <c r="F941" s="26" t="s">
        <v>3426</v>
      </c>
      <c r="G941" s="26" t="s">
        <v>3800</v>
      </c>
      <c r="H941" s="26" t="s">
        <v>37</v>
      </c>
      <c r="I941" s="26" t="s">
        <v>38</v>
      </c>
      <c r="J941" s="26" t="s">
        <v>3801</v>
      </c>
      <c r="K941" s="26" t="s">
        <v>3802</v>
      </c>
      <c r="L941" s="26">
        <v>0</v>
      </c>
      <c r="M941" s="26">
        <v>0</v>
      </c>
      <c r="N941" s="26">
        <v>0</v>
      </c>
      <c r="O941" s="26">
        <v>2010901.62</v>
      </c>
      <c r="P941" s="26" t="s">
        <v>41</v>
      </c>
      <c r="Q941" s="26" t="s">
        <v>42</v>
      </c>
      <c r="R941" s="26"/>
      <c r="S941" s="26"/>
      <c r="T941" s="26"/>
      <c r="U941" s="26"/>
      <c r="V941" s="26" t="s">
        <v>43</v>
      </c>
      <c r="W941" s="26"/>
      <c r="X941" s="26"/>
    </row>
    <row r="942" spans="1:24" s="29" customFormat="1">
      <c r="A942" s="26" t="s">
        <v>31</v>
      </c>
      <c r="B942" s="26" t="s">
        <v>3803</v>
      </c>
      <c r="C942" s="26" t="s">
        <v>3804</v>
      </c>
      <c r="D942" s="26">
        <f t="shared" si="14"/>
        <v>-1</v>
      </c>
      <c r="E942" s="26" t="s">
        <v>34</v>
      </c>
      <c r="F942" s="26" t="s">
        <v>3426</v>
      </c>
      <c r="G942" s="26" t="s">
        <v>3805</v>
      </c>
      <c r="H942" s="26" t="s">
        <v>37</v>
      </c>
      <c r="I942" s="26" t="s">
        <v>38</v>
      </c>
      <c r="J942" s="26" t="s">
        <v>2959</v>
      </c>
      <c r="K942" s="26" t="s">
        <v>2960</v>
      </c>
      <c r="L942" s="26">
        <v>9612599.6999999993</v>
      </c>
      <c r="M942" s="26">
        <v>0</v>
      </c>
      <c r="N942" s="26">
        <v>0</v>
      </c>
      <c r="O942" s="26">
        <v>60205229.700000003</v>
      </c>
      <c r="P942" s="26" t="s">
        <v>41</v>
      </c>
      <c r="Q942" s="26" t="s">
        <v>42</v>
      </c>
      <c r="R942" s="26"/>
      <c r="S942" s="26"/>
      <c r="T942" s="26"/>
      <c r="U942" s="26"/>
      <c r="V942" s="26" t="s">
        <v>43</v>
      </c>
      <c r="W942" s="26"/>
      <c r="X942" s="26"/>
    </row>
    <row r="943" spans="1:24" s="29" customFormat="1">
      <c r="A943" s="26" t="s">
        <v>31</v>
      </c>
      <c r="B943" s="26" t="s">
        <v>3806</v>
      </c>
      <c r="C943" s="26" t="s">
        <v>3807</v>
      </c>
      <c r="D943" s="26">
        <f t="shared" si="14"/>
        <v>-1</v>
      </c>
      <c r="E943" s="26" t="s">
        <v>34</v>
      </c>
      <c r="F943" s="26" t="s">
        <v>3426</v>
      </c>
      <c r="G943" s="26" t="s">
        <v>3808</v>
      </c>
      <c r="H943" s="26" t="s">
        <v>37</v>
      </c>
      <c r="I943" s="26" t="s">
        <v>38</v>
      </c>
      <c r="J943" s="26" t="s">
        <v>2959</v>
      </c>
      <c r="K943" s="26" t="s">
        <v>2960</v>
      </c>
      <c r="L943" s="26">
        <v>1281679.96</v>
      </c>
      <c r="M943" s="26">
        <v>0</v>
      </c>
      <c r="N943" s="26">
        <v>0</v>
      </c>
      <c r="O943" s="26">
        <v>8027363.96</v>
      </c>
      <c r="P943" s="26" t="s">
        <v>41</v>
      </c>
      <c r="Q943" s="26" t="s">
        <v>42</v>
      </c>
      <c r="R943" s="26"/>
      <c r="S943" s="26"/>
      <c r="T943" s="26"/>
      <c r="U943" s="26"/>
      <c r="V943" s="26" t="s">
        <v>43</v>
      </c>
      <c r="W943" s="26"/>
      <c r="X943" s="26"/>
    </row>
    <row r="944" spans="1:24" s="29" customFormat="1">
      <c r="A944" s="26" t="s">
        <v>31</v>
      </c>
      <c r="B944" s="26" t="s">
        <v>3809</v>
      </c>
      <c r="C944" s="26" t="s">
        <v>3810</v>
      </c>
      <c r="D944" s="26">
        <f t="shared" si="14"/>
        <v>-1</v>
      </c>
      <c r="E944" s="26" t="s">
        <v>34</v>
      </c>
      <c r="F944" s="26" t="s">
        <v>3426</v>
      </c>
      <c r="G944" s="26" t="s">
        <v>3811</v>
      </c>
      <c r="H944" s="26" t="s">
        <v>37</v>
      </c>
      <c r="I944" s="26" t="s">
        <v>38</v>
      </c>
      <c r="J944" s="26" t="s">
        <v>3812</v>
      </c>
      <c r="K944" s="26" t="s">
        <v>3813</v>
      </c>
      <c r="L944" s="26">
        <v>19000</v>
      </c>
      <c r="M944" s="26">
        <v>0</v>
      </c>
      <c r="N944" s="26">
        <v>0</v>
      </c>
      <c r="O944" s="26">
        <v>119000</v>
      </c>
      <c r="P944" s="26" t="s">
        <v>41</v>
      </c>
      <c r="Q944" s="26" t="s">
        <v>42</v>
      </c>
      <c r="R944" s="26"/>
      <c r="S944" s="26"/>
      <c r="T944" s="26"/>
      <c r="U944" s="26"/>
      <c r="V944" s="26" t="s">
        <v>43</v>
      </c>
      <c r="W944" s="26"/>
      <c r="X944" s="26"/>
    </row>
    <row r="945" spans="1:24" s="29" customFormat="1">
      <c r="A945" s="34" t="s">
        <v>31</v>
      </c>
      <c r="B945" s="34" t="s">
        <v>3814</v>
      </c>
      <c r="C945" s="34" t="s">
        <v>3815</v>
      </c>
      <c r="D945" s="34">
        <f t="shared" si="14"/>
        <v>-1</v>
      </c>
      <c r="E945" s="34" t="s">
        <v>34</v>
      </c>
      <c r="F945" s="34" t="s">
        <v>3426</v>
      </c>
      <c r="G945" s="34" t="s">
        <v>3816</v>
      </c>
      <c r="H945" s="34" t="s">
        <v>37</v>
      </c>
      <c r="I945" s="34" t="s">
        <v>38</v>
      </c>
      <c r="J945" s="34" t="s">
        <v>707</v>
      </c>
      <c r="K945" s="34" t="s">
        <v>708</v>
      </c>
      <c r="L945" s="34">
        <v>157047.37</v>
      </c>
      <c r="M945" s="34">
        <v>0</v>
      </c>
      <c r="N945" s="34">
        <v>0</v>
      </c>
      <c r="O945" s="34">
        <v>1159834.3700000001</v>
      </c>
      <c r="P945" s="34" t="s">
        <v>41</v>
      </c>
      <c r="Q945" s="34" t="s">
        <v>42</v>
      </c>
      <c r="R945" s="26"/>
      <c r="S945" s="26"/>
      <c r="T945" s="26" t="s">
        <v>43</v>
      </c>
      <c r="U945" s="26"/>
      <c r="V945" s="26"/>
      <c r="W945" s="26"/>
      <c r="X945" s="26"/>
    </row>
    <row r="946" spans="1:24" s="29" customFormat="1">
      <c r="A946" s="34" t="s">
        <v>31</v>
      </c>
      <c r="B946" s="34" t="s">
        <v>3817</v>
      </c>
      <c r="C946" s="34" t="s">
        <v>3818</v>
      </c>
      <c r="D946" s="34">
        <f t="shared" si="14"/>
        <v>-1</v>
      </c>
      <c r="E946" s="34" t="s">
        <v>34</v>
      </c>
      <c r="F946" s="34" t="s">
        <v>3426</v>
      </c>
      <c r="G946" s="34" t="s">
        <v>3819</v>
      </c>
      <c r="H946" s="34" t="s">
        <v>37</v>
      </c>
      <c r="I946" s="34" t="s">
        <v>38</v>
      </c>
      <c r="J946" s="34" t="s">
        <v>3820</v>
      </c>
      <c r="K946" s="34" t="s">
        <v>3821</v>
      </c>
      <c r="L946" s="34">
        <v>46369.5</v>
      </c>
      <c r="M946" s="34">
        <v>0</v>
      </c>
      <c r="N946" s="34">
        <v>0</v>
      </c>
      <c r="O946" s="34">
        <v>290419.5</v>
      </c>
      <c r="P946" s="34" t="s">
        <v>41</v>
      </c>
      <c r="Q946" s="34" t="s">
        <v>42</v>
      </c>
      <c r="R946" s="26"/>
      <c r="S946" s="26"/>
      <c r="T946" s="26" t="s">
        <v>43</v>
      </c>
      <c r="U946" s="26"/>
      <c r="V946" s="26"/>
      <c r="W946" s="26"/>
      <c r="X946" s="26"/>
    </row>
    <row r="947" spans="1:24" s="29" customFormat="1">
      <c r="A947" s="26" t="s">
        <v>31</v>
      </c>
      <c r="B947" s="26" t="s">
        <v>3822</v>
      </c>
      <c r="C947" s="26" t="s">
        <v>3823</v>
      </c>
      <c r="D947" s="26">
        <f t="shared" si="14"/>
        <v>-1</v>
      </c>
      <c r="E947" s="26" t="s">
        <v>34</v>
      </c>
      <c r="F947" s="26" t="s">
        <v>3426</v>
      </c>
      <c r="G947" s="26" t="s">
        <v>3824</v>
      </c>
      <c r="H947" s="26" t="s">
        <v>37</v>
      </c>
      <c r="I947" s="26" t="s">
        <v>38</v>
      </c>
      <c r="J947" s="26" t="s">
        <v>3733</v>
      </c>
      <c r="K947" s="26" t="s">
        <v>3734</v>
      </c>
      <c r="L947" s="26">
        <v>361950</v>
      </c>
      <c r="M947" s="26">
        <v>0</v>
      </c>
      <c r="N947" s="26">
        <v>0</v>
      </c>
      <c r="O947" s="26">
        <v>2266950</v>
      </c>
      <c r="P947" s="26" t="s">
        <v>41</v>
      </c>
      <c r="Q947" s="26" t="s">
        <v>42</v>
      </c>
      <c r="R947" s="26"/>
      <c r="S947" s="26"/>
      <c r="T947" s="26"/>
      <c r="U947" s="26"/>
      <c r="V947" s="26" t="s">
        <v>43</v>
      </c>
      <c r="W947" s="26"/>
      <c r="X947" s="26"/>
    </row>
    <row r="948" spans="1:24" s="29" customFormat="1">
      <c r="A948" s="26" t="s">
        <v>31</v>
      </c>
      <c r="B948" s="26" t="s">
        <v>3825</v>
      </c>
      <c r="C948" s="26" t="s">
        <v>3826</v>
      </c>
      <c r="D948" s="26">
        <f t="shared" si="14"/>
        <v>-1</v>
      </c>
      <c r="E948" s="26" t="s">
        <v>34</v>
      </c>
      <c r="F948" s="26" t="s">
        <v>3426</v>
      </c>
      <c r="G948" s="26" t="s">
        <v>3827</v>
      </c>
      <c r="H948" s="26" t="s">
        <v>37</v>
      </c>
      <c r="I948" s="26" t="s">
        <v>38</v>
      </c>
      <c r="J948" s="26" t="s">
        <v>3828</v>
      </c>
      <c r="K948" s="26" t="s">
        <v>3829</v>
      </c>
      <c r="L948" s="26">
        <v>57000</v>
      </c>
      <c r="M948" s="26">
        <v>0</v>
      </c>
      <c r="N948" s="26">
        <v>0</v>
      </c>
      <c r="O948" s="26">
        <v>357000</v>
      </c>
      <c r="P948" s="26" t="s">
        <v>41</v>
      </c>
      <c r="Q948" s="26" t="s">
        <v>42</v>
      </c>
      <c r="R948" s="26"/>
      <c r="S948" s="26"/>
      <c r="T948" s="26"/>
      <c r="U948" s="26"/>
      <c r="V948" s="26" t="s">
        <v>43</v>
      </c>
      <c r="W948" s="26"/>
      <c r="X948" s="26"/>
    </row>
    <row r="949" spans="1:24" s="29" customFormat="1">
      <c r="A949" s="32" t="s">
        <v>31</v>
      </c>
      <c r="B949" s="32" t="s">
        <v>3830</v>
      </c>
      <c r="C949" s="32" t="s">
        <v>3831</v>
      </c>
      <c r="D949" s="32">
        <f t="shared" si="14"/>
        <v>-1</v>
      </c>
      <c r="E949" s="32" t="s">
        <v>34</v>
      </c>
      <c r="F949" s="32" t="s">
        <v>3426</v>
      </c>
      <c r="G949" s="32" t="s">
        <v>3832</v>
      </c>
      <c r="H949" s="32" t="s">
        <v>37</v>
      </c>
      <c r="I949" s="32" t="s">
        <v>38</v>
      </c>
      <c r="J949" s="32" t="s">
        <v>2498</v>
      </c>
      <c r="K949" s="32" t="s">
        <v>2499</v>
      </c>
      <c r="L949" s="32">
        <v>13281</v>
      </c>
      <c r="M949" s="32">
        <v>0</v>
      </c>
      <c r="N949" s="32">
        <v>0</v>
      </c>
      <c r="O949" s="32">
        <v>83181</v>
      </c>
      <c r="P949" s="32" t="s">
        <v>41</v>
      </c>
      <c r="Q949" s="32" t="s">
        <v>42</v>
      </c>
      <c r="R949" s="26" t="s">
        <v>43</v>
      </c>
      <c r="S949" s="26"/>
      <c r="T949" s="26"/>
      <c r="U949" s="26"/>
      <c r="V949" s="26"/>
      <c r="W949" s="26"/>
      <c r="X949" s="26"/>
    </row>
    <row r="950" spans="1:24" s="29" customFormat="1">
      <c r="A950" s="32" t="s">
        <v>31</v>
      </c>
      <c r="B950" s="32" t="s">
        <v>3833</v>
      </c>
      <c r="C950" s="32" t="s">
        <v>3834</v>
      </c>
      <c r="D950" s="32">
        <f t="shared" si="14"/>
        <v>-1</v>
      </c>
      <c r="E950" s="32" t="s">
        <v>34</v>
      </c>
      <c r="F950" s="32" t="s">
        <v>3426</v>
      </c>
      <c r="G950" s="32" t="s">
        <v>3835</v>
      </c>
      <c r="H950" s="32" t="s">
        <v>37</v>
      </c>
      <c r="I950" s="32" t="s">
        <v>38</v>
      </c>
      <c r="J950" s="32" t="s">
        <v>3738</v>
      </c>
      <c r="K950" s="32" t="s">
        <v>3739</v>
      </c>
      <c r="L950" s="32">
        <v>1297837.75</v>
      </c>
      <c r="M950" s="32">
        <v>0</v>
      </c>
      <c r="N950" s="32">
        <v>0</v>
      </c>
      <c r="O950" s="32">
        <v>8128562.75</v>
      </c>
      <c r="P950" s="32" t="s">
        <v>41</v>
      </c>
      <c r="Q950" s="32" t="s">
        <v>42</v>
      </c>
      <c r="R950" s="26" t="s">
        <v>43</v>
      </c>
      <c r="S950" s="26"/>
      <c r="T950" s="26"/>
      <c r="U950" s="26"/>
      <c r="V950" s="26"/>
      <c r="W950" s="26"/>
      <c r="X950" s="26"/>
    </row>
    <row r="951" spans="1:24" s="29" customFormat="1">
      <c r="A951" s="35" t="s">
        <v>31</v>
      </c>
      <c r="B951" s="35" t="s">
        <v>3836</v>
      </c>
      <c r="C951" s="35" t="s">
        <v>3837</v>
      </c>
      <c r="D951" s="35">
        <f t="shared" si="14"/>
        <v>-1</v>
      </c>
      <c r="E951" s="35" t="s">
        <v>34</v>
      </c>
      <c r="F951" s="35" t="s">
        <v>3426</v>
      </c>
      <c r="G951" s="35" t="s">
        <v>3838</v>
      </c>
      <c r="H951" s="35" t="s">
        <v>37</v>
      </c>
      <c r="I951" s="35" t="s">
        <v>38</v>
      </c>
      <c r="J951" s="35" t="s">
        <v>626</v>
      </c>
      <c r="K951" s="35" t="s">
        <v>627</v>
      </c>
      <c r="L951" s="35">
        <v>0</v>
      </c>
      <c r="M951" s="35">
        <v>0</v>
      </c>
      <c r="N951" s="35">
        <v>0</v>
      </c>
      <c r="O951" s="35">
        <v>946600</v>
      </c>
      <c r="P951" s="35" t="s">
        <v>41</v>
      </c>
      <c r="Q951" s="35" t="s">
        <v>42</v>
      </c>
      <c r="R951" s="26"/>
      <c r="S951" s="26"/>
      <c r="T951" s="26"/>
      <c r="U951" s="26"/>
      <c r="V951" s="26"/>
      <c r="W951" s="35" t="s">
        <v>43</v>
      </c>
      <c r="X951" s="26" t="s">
        <v>1439</v>
      </c>
    </row>
    <row r="952" spans="1:24" s="29" customFormat="1">
      <c r="A952" s="35" t="s">
        <v>31</v>
      </c>
      <c r="B952" s="35" t="s">
        <v>3839</v>
      </c>
      <c r="C952" s="35" t="s">
        <v>3840</v>
      </c>
      <c r="D952" s="35">
        <f t="shared" si="14"/>
        <v>-1</v>
      </c>
      <c r="E952" s="35" t="s">
        <v>34</v>
      </c>
      <c r="F952" s="35" t="s">
        <v>3426</v>
      </c>
      <c r="G952" s="35" t="s">
        <v>3841</v>
      </c>
      <c r="H952" s="35" t="s">
        <v>37</v>
      </c>
      <c r="I952" s="35" t="s">
        <v>38</v>
      </c>
      <c r="J952" s="35" t="s">
        <v>3842</v>
      </c>
      <c r="K952" s="35" t="s">
        <v>3843</v>
      </c>
      <c r="L952" s="35">
        <v>266000</v>
      </c>
      <c r="M952" s="35">
        <v>0</v>
      </c>
      <c r="N952" s="35">
        <v>0</v>
      </c>
      <c r="O952" s="35">
        <v>1666000</v>
      </c>
      <c r="P952" s="35" t="s">
        <v>41</v>
      </c>
      <c r="Q952" s="35" t="s">
        <v>42</v>
      </c>
      <c r="R952" s="26"/>
      <c r="S952" s="26"/>
      <c r="T952" s="26"/>
      <c r="U952" s="26"/>
      <c r="V952" s="26"/>
      <c r="W952" s="35" t="s">
        <v>43</v>
      </c>
      <c r="X952" s="26" t="s">
        <v>1388</v>
      </c>
    </row>
    <row r="953" spans="1:24" s="29" customFormat="1">
      <c r="A953" s="32" t="s">
        <v>31</v>
      </c>
      <c r="B953" s="32" t="s">
        <v>3844</v>
      </c>
      <c r="C953" s="32" t="s">
        <v>3845</v>
      </c>
      <c r="D953" s="32">
        <f t="shared" si="14"/>
        <v>-1</v>
      </c>
      <c r="E953" s="32" t="s">
        <v>34</v>
      </c>
      <c r="F953" s="32" t="s">
        <v>3426</v>
      </c>
      <c r="G953" s="32" t="s">
        <v>3846</v>
      </c>
      <c r="H953" s="32" t="s">
        <v>37</v>
      </c>
      <c r="I953" s="32" t="s">
        <v>38</v>
      </c>
      <c r="J953" s="32" t="s">
        <v>3847</v>
      </c>
      <c r="K953" s="32" t="s">
        <v>3848</v>
      </c>
      <c r="L953" s="32">
        <v>6554430</v>
      </c>
      <c r="M953" s="32">
        <v>0</v>
      </c>
      <c r="N953" s="32">
        <v>0</v>
      </c>
      <c r="O953" s="32">
        <v>41051430</v>
      </c>
      <c r="P953" s="32" t="s">
        <v>41</v>
      </c>
      <c r="Q953" s="32" t="s">
        <v>42</v>
      </c>
      <c r="R953" s="26" t="s">
        <v>43</v>
      </c>
      <c r="S953" s="26"/>
      <c r="T953" s="26"/>
      <c r="U953" s="26"/>
      <c r="V953" s="26"/>
      <c r="W953" s="26"/>
      <c r="X953" s="26"/>
    </row>
    <row r="954" spans="1:24" s="29" customFormat="1">
      <c r="A954" s="34" t="s">
        <v>31</v>
      </c>
      <c r="B954" s="34" t="s">
        <v>3849</v>
      </c>
      <c r="C954" s="34" t="s">
        <v>3850</v>
      </c>
      <c r="D954" s="34">
        <f t="shared" si="14"/>
        <v>-1</v>
      </c>
      <c r="E954" s="34" t="s">
        <v>34</v>
      </c>
      <c r="F954" s="34" t="s">
        <v>3851</v>
      </c>
      <c r="G954" s="34" t="s">
        <v>3852</v>
      </c>
      <c r="H954" s="34" t="s">
        <v>37</v>
      </c>
      <c r="I954" s="34" t="s">
        <v>38</v>
      </c>
      <c r="J954" s="34" t="s">
        <v>1326</v>
      </c>
      <c r="K954" s="34" t="s">
        <v>1327</v>
      </c>
      <c r="L954" s="34">
        <v>1753320</v>
      </c>
      <c r="M954" s="34">
        <v>0</v>
      </c>
      <c r="N954" s="34">
        <v>0</v>
      </c>
      <c r="O954" s="34">
        <v>10981320</v>
      </c>
      <c r="P954" s="34" t="s">
        <v>41</v>
      </c>
      <c r="Q954" s="34" t="s">
        <v>42</v>
      </c>
      <c r="R954" s="26"/>
      <c r="S954" s="26"/>
      <c r="T954" s="26" t="s">
        <v>43</v>
      </c>
      <c r="U954" s="26"/>
      <c r="V954" s="26"/>
      <c r="W954" s="26"/>
      <c r="X954" s="26"/>
    </row>
    <row r="955" spans="1:24" s="29" customFormat="1">
      <c r="A955" s="26" t="s">
        <v>31</v>
      </c>
      <c r="B955" s="26" t="s">
        <v>3853</v>
      </c>
      <c r="C955" s="26" t="s">
        <v>3854</v>
      </c>
      <c r="D955" s="26">
        <f t="shared" si="14"/>
        <v>-1</v>
      </c>
      <c r="E955" s="26" t="s">
        <v>34</v>
      </c>
      <c r="F955" s="26" t="s">
        <v>3851</v>
      </c>
      <c r="G955" s="26" t="s">
        <v>3855</v>
      </c>
      <c r="H955" s="26" t="s">
        <v>37</v>
      </c>
      <c r="I955" s="26" t="s">
        <v>38</v>
      </c>
      <c r="J955" s="26" t="s">
        <v>3856</v>
      </c>
      <c r="K955" s="26" t="s">
        <v>3857</v>
      </c>
      <c r="L955" s="26">
        <v>50826.9</v>
      </c>
      <c r="M955" s="26">
        <v>0</v>
      </c>
      <c r="N955" s="26">
        <v>0</v>
      </c>
      <c r="O955" s="26">
        <v>318336.90000000002</v>
      </c>
      <c r="P955" s="26" t="s">
        <v>41</v>
      </c>
      <c r="Q955" s="26" t="s">
        <v>42</v>
      </c>
      <c r="R955" s="26"/>
      <c r="S955" s="26"/>
      <c r="T955" s="26"/>
      <c r="U955" s="26"/>
      <c r="V955" s="26" t="s">
        <v>43</v>
      </c>
      <c r="W955" s="26"/>
      <c r="X955" s="26"/>
    </row>
    <row r="956" spans="1:24" s="29" customFormat="1">
      <c r="A956" s="35" t="s">
        <v>31</v>
      </c>
      <c r="B956" s="35" t="s">
        <v>3858</v>
      </c>
      <c r="C956" s="35" t="s">
        <v>3859</v>
      </c>
      <c r="D956" s="35">
        <f t="shared" si="14"/>
        <v>-1</v>
      </c>
      <c r="E956" s="35" t="s">
        <v>34</v>
      </c>
      <c r="F956" s="35" t="s">
        <v>3851</v>
      </c>
      <c r="G956" s="35" t="s">
        <v>3860</v>
      </c>
      <c r="H956" s="35" t="s">
        <v>37</v>
      </c>
      <c r="I956" s="35" t="s">
        <v>38</v>
      </c>
      <c r="J956" s="35" t="s">
        <v>3861</v>
      </c>
      <c r="K956" s="35" t="s">
        <v>3862</v>
      </c>
      <c r="L956" s="35">
        <v>57000</v>
      </c>
      <c r="M956" s="35">
        <v>0</v>
      </c>
      <c r="N956" s="35">
        <v>0</v>
      </c>
      <c r="O956" s="35">
        <v>357000</v>
      </c>
      <c r="P956" s="35" t="s">
        <v>41</v>
      </c>
      <c r="Q956" s="35" t="s">
        <v>42</v>
      </c>
      <c r="R956" s="26"/>
      <c r="S956" s="26"/>
      <c r="T956" s="26"/>
      <c r="U956" s="26"/>
      <c r="V956" s="26"/>
      <c r="W956" s="35" t="s">
        <v>43</v>
      </c>
      <c r="X956" s="26" t="s">
        <v>1384</v>
      </c>
    </row>
    <row r="957" spans="1:24" s="29" customFormat="1">
      <c r="A957" s="26" t="s">
        <v>31</v>
      </c>
      <c r="B957" s="26" t="s">
        <v>3863</v>
      </c>
      <c r="C957" s="26" t="s">
        <v>3864</v>
      </c>
      <c r="D957" s="26">
        <f t="shared" si="14"/>
        <v>-1</v>
      </c>
      <c r="E957" s="26" t="s">
        <v>34</v>
      </c>
      <c r="F957" s="26" t="s">
        <v>3851</v>
      </c>
      <c r="G957" s="26" t="s">
        <v>3865</v>
      </c>
      <c r="H957" s="26" t="s">
        <v>37</v>
      </c>
      <c r="I957" s="26" t="s">
        <v>38</v>
      </c>
      <c r="J957" s="26" t="s">
        <v>3866</v>
      </c>
      <c r="K957" s="26" t="s">
        <v>3867</v>
      </c>
      <c r="L957" s="26">
        <v>735521.54</v>
      </c>
      <c r="M957" s="26">
        <v>0</v>
      </c>
      <c r="N957" s="26">
        <v>0</v>
      </c>
      <c r="O957" s="26">
        <v>4606687.54</v>
      </c>
      <c r="P957" s="26" t="s">
        <v>41</v>
      </c>
      <c r="Q957" s="26" t="s">
        <v>42</v>
      </c>
      <c r="R957" s="26"/>
      <c r="S957" s="26"/>
      <c r="T957" s="26"/>
      <c r="U957" s="26"/>
      <c r="V957" s="26" t="s">
        <v>43</v>
      </c>
      <c r="W957" s="26"/>
      <c r="X957" s="26"/>
    </row>
    <row r="958" spans="1:24" s="29" customFormat="1">
      <c r="A958" s="26" t="s">
        <v>31</v>
      </c>
      <c r="B958" s="26" t="s">
        <v>3868</v>
      </c>
      <c r="C958" s="26" t="s">
        <v>3869</v>
      </c>
      <c r="D958" s="26">
        <f t="shared" si="14"/>
        <v>-1</v>
      </c>
      <c r="E958" s="26" t="s">
        <v>34</v>
      </c>
      <c r="F958" s="26" t="s">
        <v>3851</v>
      </c>
      <c r="G958" s="26" t="s">
        <v>3870</v>
      </c>
      <c r="H958" s="26" t="s">
        <v>37</v>
      </c>
      <c r="I958" s="26" t="s">
        <v>38</v>
      </c>
      <c r="J958" s="26" t="s">
        <v>3871</v>
      </c>
      <c r="K958" s="26" t="s">
        <v>3872</v>
      </c>
      <c r="L958" s="26">
        <v>795583.75</v>
      </c>
      <c r="M958" s="26">
        <v>0</v>
      </c>
      <c r="N958" s="26">
        <v>0</v>
      </c>
      <c r="O958" s="26">
        <v>5647108.75</v>
      </c>
      <c r="P958" s="26" t="s">
        <v>41</v>
      </c>
      <c r="Q958" s="26" t="s">
        <v>42</v>
      </c>
      <c r="R958" s="26"/>
      <c r="S958" s="26"/>
      <c r="T958" s="26"/>
      <c r="U958" s="26"/>
      <c r="V958" s="26" t="s">
        <v>43</v>
      </c>
      <c r="W958" s="26"/>
      <c r="X958" s="26"/>
    </row>
    <row r="959" spans="1:24" s="29" customFormat="1">
      <c r="A959" s="26" t="s">
        <v>31</v>
      </c>
      <c r="B959" s="26" t="s">
        <v>3873</v>
      </c>
      <c r="C959" s="26" t="s">
        <v>3874</v>
      </c>
      <c r="D959" s="26">
        <f t="shared" si="14"/>
        <v>-1</v>
      </c>
      <c r="E959" s="26" t="s">
        <v>34</v>
      </c>
      <c r="F959" s="26" t="s">
        <v>3851</v>
      </c>
      <c r="G959" s="26" t="s">
        <v>3875</v>
      </c>
      <c r="H959" s="26" t="s">
        <v>37</v>
      </c>
      <c r="I959" s="26" t="s">
        <v>38</v>
      </c>
      <c r="J959" s="26" t="s">
        <v>3217</v>
      </c>
      <c r="K959" s="26" t="s">
        <v>3218</v>
      </c>
      <c r="L959" s="26">
        <v>8953.75</v>
      </c>
      <c r="M959" s="26">
        <v>0</v>
      </c>
      <c r="N959" s="26">
        <v>0</v>
      </c>
      <c r="O959" s="26">
        <v>71078.75</v>
      </c>
      <c r="P959" s="26" t="s">
        <v>41</v>
      </c>
      <c r="Q959" s="26" t="s">
        <v>42</v>
      </c>
      <c r="R959" s="26"/>
      <c r="S959" s="26"/>
      <c r="T959" s="26"/>
      <c r="U959" s="26"/>
      <c r="V959" s="26" t="s">
        <v>43</v>
      </c>
      <c r="W959" s="26"/>
      <c r="X959" s="26"/>
    </row>
    <row r="960" spans="1:24" s="29" customFormat="1">
      <c r="A960" s="26" t="s">
        <v>31</v>
      </c>
      <c r="B960" s="26" t="s">
        <v>3876</v>
      </c>
      <c r="C960" s="26" t="s">
        <v>3877</v>
      </c>
      <c r="D960" s="26">
        <f t="shared" si="14"/>
        <v>-1</v>
      </c>
      <c r="E960" s="26" t="s">
        <v>34</v>
      </c>
      <c r="F960" s="26" t="s">
        <v>3851</v>
      </c>
      <c r="G960" s="26" t="s">
        <v>3878</v>
      </c>
      <c r="H960" s="26" t="s">
        <v>37</v>
      </c>
      <c r="I960" s="26" t="s">
        <v>38</v>
      </c>
      <c r="J960" s="26" t="s">
        <v>3879</v>
      </c>
      <c r="K960" s="26" t="s">
        <v>3880</v>
      </c>
      <c r="L960" s="26">
        <v>52250</v>
      </c>
      <c r="M960" s="26">
        <v>0</v>
      </c>
      <c r="N960" s="26">
        <v>0</v>
      </c>
      <c r="O960" s="26">
        <v>327250</v>
      </c>
      <c r="P960" s="26" t="s">
        <v>41</v>
      </c>
      <c r="Q960" s="26" t="s">
        <v>42</v>
      </c>
      <c r="R960" s="26"/>
      <c r="S960" s="26"/>
      <c r="T960" s="26"/>
      <c r="U960" s="26"/>
      <c r="V960" s="26" t="s">
        <v>43</v>
      </c>
      <c r="W960" s="26"/>
      <c r="X960" s="26"/>
    </row>
    <row r="961" spans="1:24" s="29" customFormat="1">
      <c r="A961" s="35" t="s">
        <v>31</v>
      </c>
      <c r="B961" s="35" t="s">
        <v>3881</v>
      </c>
      <c r="C961" s="35" t="s">
        <v>3882</v>
      </c>
      <c r="D961" s="35">
        <f t="shared" si="14"/>
        <v>-1</v>
      </c>
      <c r="E961" s="35" t="s">
        <v>34</v>
      </c>
      <c r="F961" s="35" t="s">
        <v>3851</v>
      </c>
      <c r="G961" s="35" t="s">
        <v>3883</v>
      </c>
      <c r="H961" s="35" t="s">
        <v>37</v>
      </c>
      <c r="I961" s="35" t="s">
        <v>38</v>
      </c>
      <c r="J961" s="35" t="s">
        <v>3884</v>
      </c>
      <c r="K961" s="35" t="s">
        <v>3885</v>
      </c>
      <c r="L961" s="35">
        <v>112007.66</v>
      </c>
      <c r="M961" s="35">
        <v>0</v>
      </c>
      <c r="N961" s="35">
        <v>0</v>
      </c>
      <c r="O961" s="35">
        <v>701521.66</v>
      </c>
      <c r="P961" s="35" t="s">
        <v>41</v>
      </c>
      <c r="Q961" s="35" t="s">
        <v>42</v>
      </c>
      <c r="R961" s="26"/>
      <c r="S961" s="26"/>
      <c r="T961" s="26"/>
      <c r="U961" s="26"/>
      <c r="V961" s="26"/>
      <c r="W961" s="35" t="s">
        <v>43</v>
      </c>
      <c r="X961" s="26" t="s">
        <v>3886</v>
      </c>
    </row>
    <row r="962" spans="1:24" s="29" customFormat="1">
      <c r="A962" s="26" t="s">
        <v>31</v>
      </c>
      <c r="B962" s="26" t="s">
        <v>3887</v>
      </c>
      <c r="C962" s="26" t="s">
        <v>3888</v>
      </c>
      <c r="D962" s="26">
        <f t="shared" si="14"/>
        <v>-1</v>
      </c>
      <c r="E962" s="26" t="s">
        <v>34</v>
      </c>
      <c r="F962" s="26" t="s">
        <v>3851</v>
      </c>
      <c r="G962" s="26" t="s">
        <v>3889</v>
      </c>
      <c r="H962" s="26" t="s">
        <v>37</v>
      </c>
      <c r="I962" s="26" t="s">
        <v>38</v>
      </c>
      <c r="J962" s="26" t="s">
        <v>3890</v>
      </c>
      <c r="K962" s="26" t="s">
        <v>3891</v>
      </c>
      <c r="L962" s="26">
        <v>78337.41</v>
      </c>
      <c r="M962" s="26">
        <v>0</v>
      </c>
      <c r="N962" s="26">
        <v>0</v>
      </c>
      <c r="O962" s="26">
        <v>576912.41</v>
      </c>
      <c r="P962" s="26" t="s">
        <v>41</v>
      </c>
      <c r="Q962" s="26" t="s">
        <v>42</v>
      </c>
      <c r="R962" s="26"/>
      <c r="S962" s="26"/>
      <c r="T962" s="26"/>
      <c r="U962" s="26"/>
      <c r="V962" s="26" t="s">
        <v>43</v>
      </c>
      <c r="W962" s="26"/>
      <c r="X962" s="26"/>
    </row>
    <row r="963" spans="1:24" s="29" customFormat="1">
      <c r="A963" s="35" t="s">
        <v>31</v>
      </c>
      <c r="B963" s="35" t="s">
        <v>3892</v>
      </c>
      <c r="C963" s="35" t="s">
        <v>3893</v>
      </c>
      <c r="D963" s="35">
        <f t="shared" si="14"/>
        <v>-1</v>
      </c>
      <c r="E963" s="35" t="s">
        <v>34</v>
      </c>
      <c r="F963" s="35" t="s">
        <v>3851</v>
      </c>
      <c r="G963" s="35" t="s">
        <v>3894</v>
      </c>
      <c r="H963" s="35" t="s">
        <v>37</v>
      </c>
      <c r="I963" s="35" t="s">
        <v>38</v>
      </c>
      <c r="J963" s="35" t="s">
        <v>3895</v>
      </c>
      <c r="K963" s="35" t="s">
        <v>3896</v>
      </c>
      <c r="L963" s="35">
        <v>66815.97</v>
      </c>
      <c r="M963" s="35">
        <v>0</v>
      </c>
      <c r="N963" s="35">
        <v>0</v>
      </c>
      <c r="O963" s="35">
        <v>418478.97</v>
      </c>
      <c r="P963" s="35" t="s">
        <v>41</v>
      </c>
      <c r="Q963" s="35" t="s">
        <v>42</v>
      </c>
      <c r="R963" s="26"/>
      <c r="S963" s="26"/>
      <c r="T963" s="26"/>
      <c r="U963" s="26"/>
      <c r="V963" s="26"/>
      <c r="W963" s="35" t="s">
        <v>43</v>
      </c>
      <c r="X963" s="26" t="s">
        <v>1388</v>
      </c>
    </row>
    <row r="964" spans="1:24" s="29" customFormat="1">
      <c r="A964" s="32" t="s">
        <v>31</v>
      </c>
      <c r="B964" s="32" t="s">
        <v>3897</v>
      </c>
      <c r="C964" s="32" t="s">
        <v>3898</v>
      </c>
      <c r="D964" s="32">
        <f t="shared" si="14"/>
        <v>-1</v>
      </c>
      <c r="E964" s="32" t="s">
        <v>34</v>
      </c>
      <c r="F964" s="32" t="s">
        <v>3851</v>
      </c>
      <c r="G964" s="32" t="s">
        <v>3899</v>
      </c>
      <c r="H964" s="32" t="s">
        <v>37</v>
      </c>
      <c r="I964" s="32" t="s">
        <v>38</v>
      </c>
      <c r="J964" s="32" t="s">
        <v>764</v>
      </c>
      <c r="K964" s="32" t="s">
        <v>765</v>
      </c>
      <c r="L964" s="32">
        <v>27075</v>
      </c>
      <c r="M964" s="32">
        <v>0</v>
      </c>
      <c r="N964" s="32">
        <v>0</v>
      </c>
      <c r="O964" s="32">
        <v>169575</v>
      </c>
      <c r="P964" s="32" t="s">
        <v>41</v>
      </c>
      <c r="Q964" s="32" t="s">
        <v>42</v>
      </c>
      <c r="R964" s="26" t="s">
        <v>43</v>
      </c>
      <c r="S964" s="26"/>
      <c r="T964" s="26"/>
      <c r="U964" s="26"/>
      <c r="V964" s="26"/>
      <c r="W964" s="26"/>
      <c r="X964" s="26"/>
    </row>
    <row r="965" spans="1:24" s="29" customFormat="1">
      <c r="A965" s="35" t="s">
        <v>31</v>
      </c>
      <c r="B965" s="35" t="s">
        <v>3900</v>
      </c>
      <c r="C965" s="35" t="s">
        <v>3901</v>
      </c>
      <c r="D965" s="35">
        <f t="shared" si="14"/>
        <v>-1</v>
      </c>
      <c r="E965" s="35" t="s">
        <v>34</v>
      </c>
      <c r="F965" s="35" t="s">
        <v>3851</v>
      </c>
      <c r="G965" s="35" t="s">
        <v>3902</v>
      </c>
      <c r="H965" s="35" t="s">
        <v>37</v>
      </c>
      <c r="I965" s="35" t="s">
        <v>38</v>
      </c>
      <c r="J965" s="35" t="s">
        <v>3903</v>
      </c>
      <c r="K965" s="35" t="s">
        <v>3904</v>
      </c>
      <c r="L965" s="35">
        <v>23678.98</v>
      </c>
      <c r="M965" s="35">
        <v>0</v>
      </c>
      <c r="N965" s="35">
        <v>0</v>
      </c>
      <c r="O965" s="35">
        <v>168420.98</v>
      </c>
      <c r="P965" s="35" t="s">
        <v>41</v>
      </c>
      <c r="Q965" s="35" t="s">
        <v>42</v>
      </c>
      <c r="R965" s="26"/>
      <c r="S965" s="26"/>
      <c r="T965" s="26"/>
      <c r="U965" s="26"/>
      <c r="V965" s="26"/>
      <c r="W965" s="35" t="s">
        <v>43</v>
      </c>
      <c r="X965" s="26" t="s">
        <v>1384</v>
      </c>
    </row>
    <row r="966" spans="1:24" s="29" customFormat="1">
      <c r="A966" s="26" t="s">
        <v>31</v>
      </c>
      <c r="B966" s="26" t="s">
        <v>3905</v>
      </c>
      <c r="C966" s="26" t="s">
        <v>3906</v>
      </c>
      <c r="D966" s="26">
        <f t="shared" si="14"/>
        <v>-1</v>
      </c>
      <c r="E966" s="26" t="s">
        <v>34</v>
      </c>
      <c r="F966" s="26" t="s">
        <v>3851</v>
      </c>
      <c r="G966" s="26" t="s">
        <v>3907</v>
      </c>
      <c r="H966" s="26" t="s">
        <v>37</v>
      </c>
      <c r="I966" s="26" t="s">
        <v>38</v>
      </c>
      <c r="J966" s="26" t="s">
        <v>3908</v>
      </c>
      <c r="K966" s="26" t="s">
        <v>3909</v>
      </c>
      <c r="L966" s="26">
        <v>183920</v>
      </c>
      <c r="M966" s="26">
        <v>0</v>
      </c>
      <c r="N966" s="26">
        <v>0</v>
      </c>
      <c r="O966" s="26">
        <v>1151920</v>
      </c>
      <c r="P966" s="26" t="s">
        <v>41</v>
      </c>
      <c r="Q966" s="26" t="s">
        <v>42</v>
      </c>
      <c r="R966" s="26"/>
      <c r="S966" s="26"/>
      <c r="T966" s="26"/>
      <c r="U966" s="26"/>
      <c r="V966" s="26" t="s">
        <v>43</v>
      </c>
      <c r="W966" s="26"/>
      <c r="X966" s="26"/>
    </row>
    <row r="967" spans="1:24" s="29" customFormat="1">
      <c r="A967" s="26" t="s">
        <v>31</v>
      </c>
      <c r="B967" s="26" t="s">
        <v>3910</v>
      </c>
      <c r="C967" s="26" t="s">
        <v>3911</v>
      </c>
      <c r="D967" s="26">
        <f t="shared" si="14"/>
        <v>-1</v>
      </c>
      <c r="E967" s="26" t="s">
        <v>34</v>
      </c>
      <c r="F967" s="26" t="s">
        <v>3851</v>
      </c>
      <c r="G967" s="26" t="s">
        <v>3912</v>
      </c>
      <c r="H967" s="26" t="s">
        <v>37</v>
      </c>
      <c r="I967" s="26" t="s">
        <v>38</v>
      </c>
      <c r="J967" s="26" t="s">
        <v>3908</v>
      </c>
      <c r="K967" s="26" t="s">
        <v>3909</v>
      </c>
      <c r="L967" s="26">
        <v>13222.1</v>
      </c>
      <c r="M967" s="26">
        <v>0</v>
      </c>
      <c r="N967" s="26">
        <v>0</v>
      </c>
      <c r="O967" s="26">
        <v>90132.1</v>
      </c>
      <c r="P967" s="26" t="s">
        <v>41</v>
      </c>
      <c r="Q967" s="26" t="s">
        <v>42</v>
      </c>
      <c r="R967" s="26"/>
      <c r="S967" s="26"/>
      <c r="T967" s="26"/>
      <c r="U967" s="26"/>
      <c r="V967" s="26" t="s">
        <v>43</v>
      </c>
      <c r="W967" s="26"/>
      <c r="X967" s="26"/>
    </row>
    <row r="968" spans="1:24" s="29" customFormat="1">
      <c r="A968" s="33" t="s">
        <v>31</v>
      </c>
      <c r="B968" s="33" t="s">
        <v>3913</v>
      </c>
      <c r="C968" s="33" t="s">
        <v>3914</v>
      </c>
      <c r="D968" s="33">
        <f t="shared" si="14"/>
        <v>-1</v>
      </c>
      <c r="E968" s="33" t="s">
        <v>34</v>
      </c>
      <c r="F968" s="33" t="s">
        <v>3851</v>
      </c>
      <c r="G968" s="33" t="s">
        <v>3915</v>
      </c>
      <c r="H968" s="33" t="s">
        <v>37</v>
      </c>
      <c r="I968" s="33" t="s">
        <v>38</v>
      </c>
      <c r="J968" s="33" t="s">
        <v>890</v>
      </c>
      <c r="K968" s="33" t="s">
        <v>891</v>
      </c>
      <c r="L968" s="33">
        <v>566072.69999999995</v>
      </c>
      <c r="M968" s="33">
        <v>0</v>
      </c>
      <c r="N968" s="33">
        <v>0</v>
      </c>
      <c r="O968" s="33">
        <v>3594402.7</v>
      </c>
      <c r="P968" s="33" t="s">
        <v>41</v>
      </c>
      <c r="Q968" s="33" t="s">
        <v>42</v>
      </c>
      <c r="R968" s="26"/>
      <c r="S968" s="26" t="s">
        <v>43</v>
      </c>
      <c r="T968" s="26"/>
      <c r="U968" s="26"/>
      <c r="V968" s="26"/>
      <c r="W968" s="26"/>
      <c r="X968" s="26"/>
    </row>
    <row r="969" spans="1:24" s="29" customFormat="1">
      <c r="A969" s="34" t="s">
        <v>31</v>
      </c>
      <c r="B969" s="34" t="s">
        <v>3916</v>
      </c>
      <c r="C969" s="34" t="s">
        <v>3917</v>
      </c>
      <c r="D969" s="34">
        <f t="shared" si="14"/>
        <v>-1</v>
      </c>
      <c r="E969" s="34" t="s">
        <v>34</v>
      </c>
      <c r="F969" s="34" t="s">
        <v>3851</v>
      </c>
      <c r="G969" s="34" t="s">
        <v>3918</v>
      </c>
      <c r="H969" s="34" t="s">
        <v>37</v>
      </c>
      <c r="I969" s="34" t="s">
        <v>38</v>
      </c>
      <c r="J969" s="34" t="s">
        <v>3919</v>
      </c>
      <c r="K969" s="34" t="s">
        <v>3920</v>
      </c>
      <c r="L969" s="34">
        <v>120846.27</v>
      </c>
      <c r="M969" s="34">
        <v>0</v>
      </c>
      <c r="N969" s="34">
        <v>0</v>
      </c>
      <c r="O969" s="34">
        <v>756879.27</v>
      </c>
      <c r="P969" s="34" t="s">
        <v>41</v>
      </c>
      <c r="Q969" s="34" t="s">
        <v>42</v>
      </c>
      <c r="R969" s="26"/>
      <c r="S969" s="26"/>
      <c r="T969" s="26" t="s">
        <v>43</v>
      </c>
      <c r="U969" s="26"/>
      <c r="V969" s="26"/>
      <c r="W969" s="26"/>
      <c r="X969" s="26"/>
    </row>
    <row r="970" spans="1:24" s="29" customFormat="1">
      <c r="A970" s="26" t="s">
        <v>31</v>
      </c>
      <c r="B970" s="26" t="s">
        <v>3921</v>
      </c>
      <c r="C970" s="26" t="s">
        <v>3922</v>
      </c>
      <c r="D970" s="26">
        <f t="shared" si="14"/>
        <v>-1</v>
      </c>
      <c r="E970" s="26" t="s">
        <v>34</v>
      </c>
      <c r="F970" s="26" t="s">
        <v>3851</v>
      </c>
      <c r="G970" s="26" t="s">
        <v>3923</v>
      </c>
      <c r="H970" s="26" t="s">
        <v>37</v>
      </c>
      <c r="I970" s="26" t="s">
        <v>38</v>
      </c>
      <c r="J970" s="26" t="s">
        <v>2202</v>
      </c>
      <c r="K970" s="26" t="s">
        <v>2203</v>
      </c>
      <c r="L970" s="26">
        <v>39140</v>
      </c>
      <c r="M970" s="26">
        <v>0</v>
      </c>
      <c r="N970" s="26">
        <v>0</v>
      </c>
      <c r="O970" s="26">
        <v>1575140</v>
      </c>
      <c r="P970" s="26" t="s">
        <v>41</v>
      </c>
      <c r="Q970" s="26" t="s">
        <v>42</v>
      </c>
      <c r="R970" s="26"/>
      <c r="S970" s="26"/>
      <c r="T970" s="26"/>
      <c r="U970" s="26"/>
      <c r="V970" s="26" t="s">
        <v>43</v>
      </c>
      <c r="W970" s="26"/>
      <c r="X970" s="26"/>
    </row>
    <row r="971" spans="1:24" s="29" customFormat="1">
      <c r="A971" s="26" t="s">
        <v>31</v>
      </c>
      <c r="B971" s="26" t="s">
        <v>3924</v>
      </c>
      <c r="C971" s="26" t="s">
        <v>3925</v>
      </c>
      <c r="D971" s="26">
        <f t="shared" si="14"/>
        <v>-1</v>
      </c>
      <c r="E971" s="26" t="s">
        <v>34</v>
      </c>
      <c r="F971" s="26" t="s">
        <v>3851</v>
      </c>
      <c r="G971" s="26" t="s">
        <v>3926</v>
      </c>
      <c r="H971" s="26" t="s">
        <v>37</v>
      </c>
      <c r="I971" s="26" t="s">
        <v>38</v>
      </c>
      <c r="J971" s="26" t="s">
        <v>2202</v>
      </c>
      <c r="K971" s="26" t="s">
        <v>2203</v>
      </c>
      <c r="L971" s="26">
        <v>39140</v>
      </c>
      <c r="M971" s="26">
        <v>0</v>
      </c>
      <c r="N971" s="26">
        <v>0</v>
      </c>
      <c r="O971" s="26">
        <v>1575140</v>
      </c>
      <c r="P971" s="26" t="s">
        <v>41</v>
      </c>
      <c r="Q971" s="26" t="s">
        <v>42</v>
      </c>
      <c r="R971" s="26"/>
      <c r="S971" s="26"/>
      <c r="T971" s="26"/>
      <c r="U971" s="26"/>
      <c r="V971" s="26" t="s">
        <v>43</v>
      </c>
      <c r="W971" s="26"/>
      <c r="X971" s="26"/>
    </row>
    <row r="972" spans="1:24" s="29" customFormat="1">
      <c r="A972" s="32" t="s">
        <v>43</v>
      </c>
      <c r="B972" s="32" t="s">
        <v>3927</v>
      </c>
      <c r="C972" s="32" t="s">
        <v>3928</v>
      </c>
      <c r="D972" s="32">
        <f t="shared" si="14"/>
        <v>-1</v>
      </c>
      <c r="E972" s="32" t="s">
        <v>34</v>
      </c>
      <c r="F972" s="32" t="s">
        <v>3851</v>
      </c>
      <c r="G972" s="32" t="s">
        <v>3929</v>
      </c>
      <c r="H972" s="32" t="s">
        <v>37</v>
      </c>
      <c r="I972" s="32" t="s">
        <v>38</v>
      </c>
      <c r="J972" s="32" t="s">
        <v>2202</v>
      </c>
      <c r="K972" s="32" t="s">
        <v>2203</v>
      </c>
      <c r="L972" s="32">
        <v>12920</v>
      </c>
      <c r="M972" s="32">
        <v>0</v>
      </c>
      <c r="N972" s="32">
        <v>0</v>
      </c>
      <c r="O972" s="32">
        <v>80920</v>
      </c>
      <c r="P972" s="32" t="s">
        <v>41</v>
      </c>
      <c r="Q972" s="32" t="s">
        <v>42</v>
      </c>
      <c r="R972" s="26" t="s">
        <v>43</v>
      </c>
      <c r="S972" s="26"/>
      <c r="T972" s="26"/>
      <c r="U972" s="26"/>
      <c r="V972" s="26"/>
      <c r="W972" s="26"/>
      <c r="X972" s="26"/>
    </row>
    <row r="973" spans="1:24" s="29" customFormat="1">
      <c r="A973" s="33" t="s">
        <v>31</v>
      </c>
      <c r="B973" s="33" t="s">
        <v>3930</v>
      </c>
      <c r="C973" s="33" t="s">
        <v>3931</v>
      </c>
      <c r="D973" s="33">
        <f t="shared" ref="D973:D1036" si="15">C973-C974</f>
        <v>-1</v>
      </c>
      <c r="E973" s="33" t="s">
        <v>34</v>
      </c>
      <c r="F973" s="33" t="s">
        <v>3851</v>
      </c>
      <c r="G973" s="33" t="s">
        <v>3932</v>
      </c>
      <c r="H973" s="33" t="s">
        <v>37</v>
      </c>
      <c r="I973" s="33" t="s">
        <v>38</v>
      </c>
      <c r="J973" s="33" t="s">
        <v>1864</v>
      </c>
      <c r="K973" s="33" t="s">
        <v>1865</v>
      </c>
      <c r="L973" s="33">
        <v>0</v>
      </c>
      <c r="M973" s="33">
        <v>0</v>
      </c>
      <c r="N973" s="33">
        <v>0</v>
      </c>
      <c r="O973" s="33">
        <v>6420000</v>
      </c>
      <c r="P973" s="33" t="s">
        <v>41</v>
      </c>
      <c r="Q973" s="33" t="s">
        <v>42</v>
      </c>
      <c r="R973" s="26"/>
      <c r="S973" s="26" t="s">
        <v>43</v>
      </c>
      <c r="T973" s="26"/>
      <c r="U973" s="26"/>
      <c r="V973" s="26"/>
      <c r="W973" s="26"/>
      <c r="X973" s="26"/>
    </row>
    <row r="974" spans="1:24" s="29" customFormat="1">
      <c r="A974" s="32" t="s">
        <v>31</v>
      </c>
      <c r="B974" s="32" t="s">
        <v>3933</v>
      </c>
      <c r="C974" s="32" t="s">
        <v>3934</v>
      </c>
      <c r="D974" s="32">
        <f t="shared" si="15"/>
        <v>-1</v>
      </c>
      <c r="E974" s="32" t="s">
        <v>34</v>
      </c>
      <c r="F974" s="32" t="s">
        <v>3851</v>
      </c>
      <c r="G974" s="32" t="s">
        <v>3935</v>
      </c>
      <c r="H974" s="32" t="s">
        <v>37</v>
      </c>
      <c r="I974" s="32" t="s">
        <v>38</v>
      </c>
      <c r="J974" s="32" t="s">
        <v>764</v>
      </c>
      <c r="K974" s="32" t="s">
        <v>765</v>
      </c>
      <c r="L974" s="32">
        <v>45600</v>
      </c>
      <c r="M974" s="32">
        <v>0</v>
      </c>
      <c r="N974" s="32">
        <v>0</v>
      </c>
      <c r="O974" s="32">
        <v>285600</v>
      </c>
      <c r="P974" s="32" t="s">
        <v>41</v>
      </c>
      <c r="Q974" s="32" t="s">
        <v>42</v>
      </c>
      <c r="R974" s="26" t="s">
        <v>43</v>
      </c>
      <c r="S974" s="26"/>
      <c r="T974" s="26"/>
      <c r="U974" s="26"/>
      <c r="V974" s="26"/>
      <c r="W974" s="26"/>
      <c r="X974" s="26"/>
    </row>
    <row r="975" spans="1:24" s="29" customFormat="1">
      <c r="A975" s="34" t="s">
        <v>31</v>
      </c>
      <c r="B975" s="34" t="s">
        <v>3936</v>
      </c>
      <c r="C975" s="34" t="s">
        <v>3937</v>
      </c>
      <c r="D975" s="34">
        <f t="shared" si="15"/>
        <v>-1</v>
      </c>
      <c r="E975" s="34" t="s">
        <v>34</v>
      </c>
      <c r="F975" s="34" t="s">
        <v>3851</v>
      </c>
      <c r="G975" s="34" t="s">
        <v>3938</v>
      </c>
      <c r="H975" s="34" t="s">
        <v>37</v>
      </c>
      <c r="I975" s="34" t="s">
        <v>38</v>
      </c>
      <c r="J975" s="34" t="s">
        <v>3939</v>
      </c>
      <c r="K975" s="34" t="s">
        <v>3940</v>
      </c>
      <c r="L975" s="34">
        <v>1365269.7</v>
      </c>
      <c r="M975" s="34">
        <v>0</v>
      </c>
      <c r="N975" s="34">
        <v>0</v>
      </c>
      <c r="O975" s="34">
        <v>8550899.6999999993</v>
      </c>
      <c r="P975" s="34" t="s">
        <v>41</v>
      </c>
      <c r="Q975" s="34" t="s">
        <v>42</v>
      </c>
      <c r="R975" s="26"/>
      <c r="S975" s="26"/>
      <c r="T975" s="26" t="s">
        <v>43</v>
      </c>
      <c r="U975" s="26"/>
      <c r="V975" s="26"/>
      <c r="W975" s="26"/>
      <c r="X975" s="26"/>
    </row>
    <row r="976" spans="1:24" s="29" customFormat="1">
      <c r="A976" s="34" t="s">
        <v>31</v>
      </c>
      <c r="B976" s="34" t="s">
        <v>3941</v>
      </c>
      <c r="C976" s="34" t="s">
        <v>3942</v>
      </c>
      <c r="D976" s="34">
        <f t="shared" si="15"/>
        <v>-1</v>
      </c>
      <c r="E976" s="34" t="s">
        <v>34</v>
      </c>
      <c r="F976" s="34" t="s">
        <v>3851</v>
      </c>
      <c r="G976" s="34" t="s">
        <v>3943</v>
      </c>
      <c r="H976" s="34" t="s">
        <v>37</v>
      </c>
      <c r="I976" s="34" t="s">
        <v>38</v>
      </c>
      <c r="J976" s="34" t="s">
        <v>3944</v>
      </c>
      <c r="K976" s="34" t="s">
        <v>3945</v>
      </c>
      <c r="L976" s="34">
        <v>0</v>
      </c>
      <c r="M976" s="34">
        <v>0</v>
      </c>
      <c r="N976" s="34">
        <v>0</v>
      </c>
      <c r="O976" s="34">
        <v>21928032</v>
      </c>
      <c r="P976" s="34" t="s">
        <v>41</v>
      </c>
      <c r="Q976" s="34" t="s">
        <v>42</v>
      </c>
      <c r="R976" s="26"/>
      <c r="S976" s="26"/>
      <c r="T976" s="26" t="s">
        <v>43</v>
      </c>
      <c r="U976" s="26"/>
      <c r="V976" s="26"/>
      <c r="W976" s="26"/>
      <c r="X976" s="26"/>
    </row>
    <row r="977" spans="1:24" s="29" customFormat="1">
      <c r="A977" s="26" t="s">
        <v>31</v>
      </c>
      <c r="B977" s="26" t="s">
        <v>3946</v>
      </c>
      <c r="C977" s="26" t="s">
        <v>3947</v>
      </c>
      <c r="D977" s="26">
        <f t="shared" si="15"/>
        <v>-1</v>
      </c>
      <c r="E977" s="26" t="s">
        <v>34</v>
      </c>
      <c r="F977" s="26" t="s">
        <v>3851</v>
      </c>
      <c r="G977" s="26" t="s">
        <v>3948</v>
      </c>
      <c r="H977" s="26" t="s">
        <v>37</v>
      </c>
      <c r="I977" s="26" t="s">
        <v>38</v>
      </c>
      <c r="J977" s="26" t="s">
        <v>3820</v>
      </c>
      <c r="K977" s="26" t="s">
        <v>3821</v>
      </c>
      <c r="L977" s="26">
        <v>987173.5</v>
      </c>
      <c r="M977" s="26">
        <v>0</v>
      </c>
      <c r="N977" s="26">
        <v>0</v>
      </c>
      <c r="O977" s="26">
        <v>6182823.5</v>
      </c>
      <c r="P977" s="26" t="s">
        <v>41</v>
      </c>
      <c r="Q977" s="26" t="s">
        <v>42</v>
      </c>
      <c r="R977" s="26"/>
      <c r="S977" s="26"/>
      <c r="T977" s="26"/>
      <c r="U977" s="26"/>
      <c r="V977" s="26" t="s">
        <v>43</v>
      </c>
      <c r="W977" s="26"/>
      <c r="X977" s="26"/>
    </row>
    <row r="978" spans="1:24" s="29" customFormat="1">
      <c r="A978" s="33" t="s">
        <v>31</v>
      </c>
      <c r="B978" s="33" t="s">
        <v>3949</v>
      </c>
      <c r="C978" s="33" t="s">
        <v>3950</v>
      </c>
      <c r="D978" s="33">
        <f t="shared" si="15"/>
        <v>-1</v>
      </c>
      <c r="E978" s="33" t="s">
        <v>34</v>
      </c>
      <c r="F978" s="33" t="s">
        <v>3851</v>
      </c>
      <c r="G978" s="33" t="s">
        <v>3951</v>
      </c>
      <c r="H978" s="33" t="s">
        <v>37</v>
      </c>
      <c r="I978" s="33" t="s">
        <v>38</v>
      </c>
      <c r="J978" s="33" t="s">
        <v>3952</v>
      </c>
      <c r="K978" s="33" t="s">
        <v>3953</v>
      </c>
      <c r="L978" s="33">
        <v>186139.2</v>
      </c>
      <c r="M978" s="33">
        <v>0</v>
      </c>
      <c r="N978" s="33">
        <v>0</v>
      </c>
      <c r="O978" s="33">
        <v>1165819.2</v>
      </c>
      <c r="P978" s="33" t="s">
        <v>41</v>
      </c>
      <c r="Q978" s="33" t="s">
        <v>42</v>
      </c>
      <c r="R978" s="26"/>
      <c r="S978" s="26" t="s">
        <v>43</v>
      </c>
      <c r="T978" s="26"/>
      <c r="U978" s="26"/>
      <c r="V978" s="26"/>
      <c r="W978" s="26"/>
      <c r="X978" s="26"/>
    </row>
    <row r="979" spans="1:24" s="29" customFormat="1">
      <c r="A979" s="32" t="s">
        <v>31</v>
      </c>
      <c r="B979" s="32" t="s">
        <v>3954</v>
      </c>
      <c r="C979" s="32" t="s">
        <v>3955</v>
      </c>
      <c r="D979" s="32">
        <f t="shared" si="15"/>
        <v>-1</v>
      </c>
      <c r="E979" s="32" t="s">
        <v>34</v>
      </c>
      <c r="F979" s="32" t="s">
        <v>3851</v>
      </c>
      <c r="G979" s="32" t="s">
        <v>3956</v>
      </c>
      <c r="H979" s="32" t="s">
        <v>37</v>
      </c>
      <c r="I979" s="32" t="s">
        <v>38</v>
      </c>
      <c r="J979" s="32" t="s">
        <v>3957</v>
      </c>
      <c r="K979" s="32" t="s">
        <v>3958</v>
      </c>
      <c r="L979" s="32">
        <v>196270</v>
      </c>
      <c r="M979" s="32">
        <v>0</v>
      </c>
      <c r="N979" s="32">
        <v>0</v>
      </c>
      <c r="O979" s="32">
        <v>1229270</v>
      </c>
      <c r="P979" s="32" t="s">
        <v>41</v>
      </c>
      <c r="Q979" s="32" t="s">
        <v>42</v>
      </c>
      <c r="R979" s="26" t="s">
        <v>43</v>
      </c>
      <c r="S979" s="26"/>
      <c r="T979" s="26"/>
      <c r="U979" s="26"/>
      <c r="V979" s="26"/>
      <c r="W979" s="26"/>
      <c r="X979" s="26"/>
    </row>
    <row r="980" spans="1:24" s="29" customFormat="1">
      <c r="A980" s="35" t="s">
        <v>31</v>
      </c>
      <c r="B980" s="35" t="s">
        <v>3959</v>
      </c>
      <c r="C980" s="35" t="s">
        <v>3960</v>
      </c>
      <c r="D980" s="35">
        <f t="shared" si="15"/>
        <v>-1</v>
      </c>
      <c r="E980" s="35" t="s">
        <v>34</v>
      </c>
      <c r="F980" s="35" t="s">
        <v>3851</v>
      </c>
      <c r="G980" s="35" t="s">
        <v>3961</v>
      </c>
      <c r="H980" s="35" t="s">
        <v>37</v>
      </c>
      <c r="I980" s="35" t="s">
        <v>38</v>
      </c>
      <c r="J980" s="35" t="s">
        <v>1461</v>
      </c>
      <c r="K980" s="35" t="s">
        <v>1462</v>
      </c>
      <c r="L980" s="35">
        <v>132620</v>
      </c>
      <c r="M980" s="35">
        <v>0</v>
      </c>
      <c r="N980" s="35">
        <v>0</v>
      </c>
      <c r="O980" s="35">
        <v>830620</v>
      </c>
      <c r="P980" s="35" t="s">
        <v>41</v>
      </c>
      <c r="Q980" s="35" t="s">
        <v>42</v>
      </c>
      <c r="R980" s="26"/>
      <c r="S980" s="26"/>
      <c r="T980" s="26"/>
      <c r="U980" s="26"/>
      <c r="V980" s="26"/>
      <c r="W980" s="35" t="s">
        <v>43</v>
      </c>
      <c r="X980" s="26" t="s">
        <v>1388</v>
      </c>
    </row>
    <row r="981" spans="1:24" s="29" customFormat="1">
      <c r="A981" s="34" t="s">
        <v>31</v>
      </c>
      <c r="B981" s="34" t="s">
        <v>3962</v>
      </c>
      <c r="C981" s="34" t="s">
        <v>3963</v>
      </c>
      <c r="D981" s="34">
        <f t="shared" si="15"/>
        <v>-1</v>
      </c>
      <c r="E981" s="34" t="s">
        <v>34</v>
      </c>
      <c r="F981" s="34" t="s">
        <v>3851</v>
      </c>
      <c r="G981" s="34" t="s">
        <v>3964</v>
      </c>
      <c r="H981" s="34" t="s">
        <v>37</v>
      </c>
      <c r="I981" s="34" t="s">
        <v>38</v>
      </c>
      <c r="J981" s="34" t="s">
        <v>3965</v>
      </c>
      <c r="K981" s="34" t="s">
        <v>3966</v>
      </c>
      <c r="L981" s="34">
        <v>190000</v>
      </c>
      <c r="M981" s="34">
        <v>0</v>
      </c>
      <c r="N981" s="34">
        <v>0</v>
      </c>
      <c r="O981" s="34">
        <v>1190000</v>
      </c>
      <c r="P981" s="34" t="s">
        <v>41</v>
      </c>
      <c r="Q981" s="34" t="s">
        <v>42</v>
      </c>
      <c r="R981" s="26"/>
      <c r="S981" s="26"/>
      <c r="T981" s="26" t="s">
        <v>43</v>
      </c>
      <c r="U981" s="26"/>
      <c r="V981" s="26"/>
      <c r="W981" s="26"/>
      <c r="X981" s="26"/>
    </row>
    <row r="982" spans="1:24" s="29" customFormat="1">
      <c r="A982" s="33" t="s">
        <v>31</v>
      </c>
      <c r="B982" s="33" t="s">
        <v>3967</v>
      </c>
      <c r="C982" s="33" t="s">
        <v>3968</v>
      </c>
      <c r="D982" s="33">
        <f t="shared" si="15"/>
        <v>-1</v>
      </c>
      <c r="E982" s="33" t="s">
        <v>34</v>
      </c>
      <c r="F982" s="33" t="s">
        <v>3851</v>
      </c>
      <c r="G982" s="33" t="s">
        <v>3969</v>
      </c>
      <c r="H982" s="33" t="s">
        <v>37</v>
      </c>
      <c r="I982" s="33" t="s">
        <v>38</v>
      </c>
      <c r="J982" s="33" t="s">
        <v>3970</v>
      </c>
      <c r="K982" s="33" t="s">
        <v>3971</v>
      </c>
      <c r="L982" s="33">
        <v>36100</v>
      </c>
      <c r="M982" s="33">
        <v>0</v>
      </c>
      <c r="N982" s="33">
        <v>0</v>
      </c>
      <c r="O982" s="33">
        <v>226100</v>
      </c>
      <c r="P982" s="33" t="s">
        <v>41</v>
      </c>
      <c r="Q982" s="33" t="s">
        <v>42</v>
      </c>
      <c r="R982" s="26"/>
      <c r="S982" s="26" t="s">
        <v>43</v>
      </c>
      <c r="T982" s="26"/>
      <c r="U982" s="26"/>
      <c r="V982" s="26"/>
      <c r="W982" s="26"/>
      <c r="X982" s="26"/>
    </row>
    <row r="983" spans="1:24" s="29" customFormat="1">
      <c r="A983" s="34" t="s">
        <v>31</v>
      </c>
      <c r="B983" s="34" t="s">
        <v>3972</v>
      </c>
      <c r="C983" s="34" t="s">
        <v>3973</v>
      </c>
      <c r="D983" s="34">
        <f t="shared" si="15"/>
        <v>-1</v>
      </c>
      <c r="E983" s="34" t="s">
        <v>34</v>
      </c>
      <c r="F983" s="34" t="s">
        <v>3851</v>
      </c>
      <c r="G983" s="34" t="s">
        <v>3974</v>
      </c>
      <c r="H983" s="34" t="s">
        <v>37</v>
      </c>
      <c r="I983" s="34" t="s">
        <v>38</v>
      </c>
      <c r="J983" s="34" t="s">
        <v>52</v>
      </c>
      <c r="K983" s="34" t="s">
        <v>53</v>
      </c>
      <c r="L983" s="34">
        <v>41230</v>
      </c>
      <c r="M983" s="34">
        <v>0</v>
      </c>
      <c r="N983" s="34">
        <v>0</v>
      </c>
      <c r="O983" s="34">
        <v>258230</v>
      </c>
      <c r="P983" s="34" t="s">
        <v>41</v>
      </c>
      <c r="Q983" s="34" t="s">
        <v>42</v>
      </c>
      <c r="R983" s="26"/>
      <c r="S983" s="26"/>
      <c r="T983" s="26" t="s">
        <v>43</v>
      </c>
      <c r="U983" s="26"/>
      <c r="V983" s="26"/>
      <c r="W983" s="26"/>
      <c r="X983" s="26"/>
    </row>
    <row r="984" spans="1:24" s="29" customFormat="1">
      <c r="A984" s="34" t="s">
        <v>31</v>
      </c>
      <c r="B984" s="34" t="s">
        <v>3975</v>
      </c>
      <c r="C984" s="34" t="s">
        <v>3976</v>
      </c>
      <c r="D984" s="34">
        <f t="shared" si="15"/>
        <v>-1</v>
      </c>
      <c r="E984" s="34" t="s">
        <v>34</v>
      </c>
      <c r="F984" s="34" t="s">
        <v>3851</v>
      </c>
      <c r="G984" s="34" t="s">
        <v>3977</v>
      </c>
      <c r="H984" s="34" t="s">
        <v>37</v>
      </c>
      <c r="I984" s="34" t="s">
        <v>38</v>
      </c>
      <c r="J984" s="34" t="s">
        <v>3978</v>
      </c>
      <c r="K984" s="34" t="s">
        <v>3979</v>
      </c>
      <c r="L984" s="34">
        <v>384270.06</v>
      </c>
      <c r="M984" s="34">
        <v>0</v>
      </c>
      <c r="N984" s="34">
        <v>0</v>
      </c>
      <c r="O984" s="34">
        <v>2406744.06</v>
      </c>
      <c r="P984" s="34" t="s">
        <v>41</v>
      </c>
      <c r="Q984" s="34" t="s">
        <v>42</v>
      </c>
      <c r="R984" s="26"/>
      <c r="S984" s="26"/>
      <c r="T984" s="26" t="s">
        <v>43</v>
      </c>
      <c r="U984" s="26"/>
      <c r="V984" s="26"/>
      <c r="W984" s="26"/>
      <c r="X984" s="26"/>
    </row>
    <row r="985" spans="1:24" s="29" customFormat="1">
      <c r="A985" s="34" t="s">
        <v>31</v>
      </c>
      <c r="B985" s="34" t="s">
        <v>3980</v>
      </c>
      <c r="C985" s="34" t="s">
        <v>3981</v>
      </c>
      <c r="D985" s="34">
        <f t="shared" si="15"/>
        <v>-1</v>
      </c>
      <c r="E985" s="34" t="s">
        <v>34</v>
      </c>
      <c r="F985" s="34" t="s">
        <v>3851</v>
      </c>
      <c r="G985" s="34" t="s">
        <v>3982</v>
      </c>
      <c r="H985" s="34" t="s">
        <v>37</v>
      </c>
      <c r="I985" s="34" t="s">
        <v>38</v>
      </c>
      <c r="J985" s="34" t="s">
        <v>96</v>
      </c>
      <c r="K985" s="34" t="s">
        <v>97</v>
      </c>
      <c r="L985" s="34">
        <v>161086.75</v>
      </c>
      <c r="M985" s="34">
        <v>0</v>
      </c>
      <c r="N985" s="34">
        <v>0</v>
      </c>
      <c r="O985" s="34">
        <v>1008911.75</v>
      </c>
      <c r="P985" s="34" t="s">
        <v>41</v>
      </c>
      <c r="Q985" s="34" t="s">
        <v>42</v>
      </c>
      <c r="R985" s="26"/>
      <c r="S985" s="26"/>
      <c r="T985" s="26" t="s">
        <v>43</v>
      </c>
      <c r="U985" s="26"/>
      <c r="V985" s="26"/>
      <c r="W985" s="26"/>
      <c r="X985" s="26"/>
    </row>
    <row r="986" spans="1:24" s="29" customFormat="1">
      <c r="A986" s="32" t="s">
        <v>31</v>
      </c>
      <c r="B986" s="32" t="s">
        <v>3983</v>
      </c>
      <c r="C986" s="32" t="s">
        <v>3984</v>
      </c>
      <c r="D986" s="32">
        <f t="shared" si="15"/>
        <v>-1</v>
      </c>
      <c r="E986" s="32" t="s">
        <v>34</v>
      </c>
      <c r="F986" s="32" t="s">
        <v>3851</v>
      </c>
      <c r="G986" s="32" t="s">
        <v>3985</v>
      </c>
      <c r="H986" s="32" t="s">
        <v>37</v>
      </c>
      <c r="I986" s="32" t="s">
        <v>38</v>
      </c>
      <c r="J986" s="32" t="s">
        <v>2503</v>
      </c>
      <c r="K986" s="32" t="s">
        <v>2504</v>
      </c>
      <c r="L986" s="32">
        <v>161086.75</v>
      </c>
      <c r="M986" s="32">
        <v>0</v>
      </c>
      <c r="N986" s="32">
        <v>0</v>
      </c>
      <c r="O986" s="32">
        <v>1008911.75</v>
      </c>
      <c r="P986" s="32" t="s">
        <v>41</v>
      </c>
      <c r="Q986" s="32" t="s">
        <v>42</v>
      </c>
      <c r="R986" s="26" t="s">
        <v>43</v>
      </c>
      <c r="S986" s="26"/>
      <c r="T986" s="26"/>
      <c r="U986" s="26"/>
      <c r="V986" s="26"/>
      <c r="W986" s="26"/>
      <c r="X986" s="26"/>
    </row>
    <row r="987" spans="1:24" s="29" customFormat="1">
      <c r="A987" s="34" t="s">
        <v>31</v>
      </c>
      <c r="B987" s="34" t="s">
        <v>3986</v>
      </c>
      <c r="C987" s="34" t="s">
        <v>3987</v>
      </c>
      <c r="D987" s="34">
        <f t="shared" si="15"/>
        <v>-1</v>
      </c>
      <c r="E987" s="34" t="s">
        <v>34</v>
      </c>
      <c r="F987" s="34" t="s">
        <v>3851</v>
      </c>
      <c r="G987" s="34" t="s">
        <v>3988</v>
      </c>
      <c r="H987" s="34" t="s">
        <v>37</v>
      </c>
      <c r="I987" s="34" t="s">
        <v>38</v>
      </c>
      <c r="J987" s="34" t="s">
        <v>3100</v>
      </c>
      <c r="K987" s="34" t="s">
        <v>3101</v>
      </c>
      <c r="L987" s="34">
        <v>8809.35</v>
      </c>
      <c r="M987" s="34">
        <v>0</v>
      </c>
      <c r="N987" s="34">
        <v>0</v>
      </c>
      <c r="O987" s="34">
        <v>55174.35</v>
      </c>
      <c r="P987" s="34" t="s">
        <v>41</v>
      </c>
      <c r="Q987" s="34" t="s">
        <v>42</v>
      </c>
      <c r="R987" s="26"/>
      <c r="S987" s="26"/>
      <c r="T987" s="26" t="s">
        <v>43</v>
      </c>
      <c r="U987" s="26"/>
      <c r="V987" s="26"/>
      <c r="W987" s="26"/>
      <c r="X987" s="26"/>
    </row>
    <row r="988" spans="1:24" s="29" customFormat="1">
      <c r="A988" s="26" t="s">
        <v>31</v>
      </c>
      <c r="B988" s="26" t="s">
        <v>3989</v>
      </c>
      <c r="C988" s="26" t="s">
        <v>3990</v>
      </c>
      <c r="D988" s="26">
        <f t="shared" si="15"/>
        <v>-1</v>
      </c>
      <c r="E988" s="26" t="s">
        <v>34</v>
      </c>
      <c r="F988" s="26" t="s">
        <v>3851</v>
      </c>
      <c r="G988" s="26" t="s">
        <v>3991</v>
      </c>
      <c r="H988" s="26" t="s">
        <v>37</v>
      </c>
      <c r="I988" s="26" t="s">
        <v>38</v>
      </c>
      <c r="J988" s="26" t="s">
        <v>1766</v>
      </c>
      <c r="K988" s="26" t="s">
        <v>1767</v>
      </c>
      <c r="L988" s="26">
        <v>0</v>
      </c>
      <c r="M988" s="26">
        <v>0</v>
      </c>
      <c r="N988" s="26">
        <v>0</v>
      </c>
      <c r="O988" s="26">
        <v>791099</v>
      </c>
      <c r="P988" s="26" t="s">
        <v>41</v>
      </c>
      <c r="Q988" s="26" t="s">
        <v>42</v>
      </c>
      <c r="R988" s="26"/>
      <c r="S988" s="26"/>
      <c r="T988" s="26"/>
      <c r="U988" s="26"/>
      <c r="V988" s="26" t="s">
        <v>43</v>
      </c>
      <c r="W988" s="26"/>
      <c r="X988" s="26"/>
    </row>
    <row r="989" spans="1:24" s="29" customFormat="1">
      <c r="A989" s="34" t="s">
        <v>31</v>
      </c>
      <c r="B989" s="34" t="s">
        <v>3992</v>
      </c>
      <c r="C989" s="34" t="s">
        <v>3993</v>
      </c>
      <c r="D989" s="34">
        <f t="shared" si="15"/>
        <v>-1</v>
      </c>
      <c r="E989" s="34" t="s">
        <v>34</v>
      </c>
      <c r="F989" s="34" t="s">
        <v>3851</v>
      </c>
      <c r="G989" s="34" t="s">
        <v>3994</v>
      </c>
      <c r="H989" s="34" t="s">
        <v>37</v>
      </c>
      <c r="I989" s="34" t="s">
        <v>38</v>
      </c>
      <c r="J989" s="34" t="s">
        <v>669</v>
      </c>
      <c r="K989" s="34" t="s">
        <v>670</v>
      </c>
      <c r="L989" s="34">
        <v>2764946.12</v>
      </c>
      <c r="M989" s="34">
        <v>0</v>
      </c>
      <c r="N989" s="34">
        <v>0</v>
      </c>
      <c r="O989" s="34">
        <v>17317294.120000001</v>
      </c>
      <c r="P989" s="34" t="s">
        <v>41</v>
      </c>
      <c r="Q989" s="34" t="s">
        <v>42</v>
      </c>
      <c r="R989" s="26"/>
      <c r="S989" s="26"/>
      <c r="T989" s="26" t="s">
        <v>628</v>
      </c>
      <c r="U989" s="26"/>
      <c r="V989" s="26"/>
      <c r="W989" s="26"/>
      <c r="X989" s="26"/>
    </row>
    <row r="990" spans="1:24" s="29" customFormat="1">
      <c r="A990" s="26" t="s">
        <v>31</v>
      </c>
      <c r="B990" s="26" t="s">
        <v>3995</v>
      </c>
      <c r="C990" s="26" t="s">
        <v>3996</v>
      </c>
      <c r="D990" s="26">
        <f t="shared" si="15"/>
        <v>-1</v>
      </c>
      <c r="E990" s="26" t="s">
        <v>34</v>
      </c>
      <c r="F990" s="26" t="s">
        <v>3851</v>
      </c>
      <c r="G990" s="26" t="s">
        <v>3997</v>
      </c>
      <c r="H990" s="26" t="s">
        <v>37</v>
      </c>
      <c r="I990" s="26" t="s">
        <v>38</v>
      </c>
      <c r="J990" s="26" t="s">
        <v>3812</v>
      </c>
      <c r="K990" s="26" t="s">
        <v>3813</v>
      </c>
      <c r="L990" s="26">
        <v>114095</v>
      </c>
      <c r="M990" s="26">
        <v>0</v>
      </c>
      <c r="N990" s="26">
        <v>0</v>
      </c>
      <c r="O990" s="26">
        <v>714595</v>
      </c>
      <c r="P990" s="26" t="s">
        <v>41</v>
      </c>
      <c r="Q990" s="26" t="s">
        <v>42</v>
      </c>
      <c r="R990" s="26"/>
      <c r="S990" s="26"/>
      <c r="T990" s="26"/>
      <c r="U990" s="26"/>
      <c r="V990" s="26" t="s">
        <v>43</v>
      </c>
      <c r="W990" s="26"/>
      <c r="X990" s="26"/>
    </row>
    <row r="991" spans="1:24" s="29" customFormat="1">
      <c r="A991" s="35" t="s">
        <v>31</v>
      </c>
      <c r="B991" s="35" t="s">
        <v>3998</v>
      </c>
      <c r="C991" s="35" t="s">
        <v>3999</v>
      </c>
      <c r="D991" s="35">
        <f t="shared" si="15"/>
        <v>-1</v>
      </c>
      <c r="E991" s="35" t="s">
        <v>34</v>
      </c>
      <c r="F991" s="35" t="s">
        <v>3851</v>
      </c>
      <c r="G991" s="35" t="s">
        <v>4000</v>
      </c>
      <c r="H991" s="35" t="s">
        <v>37</v>
      </c>
      <c r="I991" s="35" t="s">
        <v>38</v>
      </c>
      <c r="J991" s="35" t="s">
        <v>1461</v>
      </c>
      <c r="K991" s="35" t="s">
        <v>1462</v>
      </c>
      <c r="L991" s="35">
        <v>132620</v>
      </c>
      <c r="M991" s="35">
        <v>0</v>
      </c>
      <c r="N991" s="35">
        <v>0</v>
      </c>
      <c r="O991" s="35">
        <v>830620</v>
      </c>
      <c r="P991" s="35" t="s">
        <v>41</v>
      </c>
      <c r="Q991" s="35" t="s">
        <v>42</v>
      </c>
      <c r="R991" s="26"/>
      <c r="S991" s="26"/>
      <c r="T991" s="26"/>
      <c r="U991" s="26"/>
      <c r="V991" s="26"/>
      <c r="W991" s="35" t="s">
        <v>43</v>
      </c>
      <c r="X991" s="26" t="s">
        <v>1388</v>
      </c>
    </row>
    <row r="992" spans="1:24" s="29" customFormat="1">
      <c r="A992" s="32" t="s">
        <v>31</v>
      </c>
      <c r="B992" s="32" t="s">
        <v>4001</v>
      </c>
      <c r="C992" s="32" t="s">
        <v>4002</v>
      </c>
      <c r="D992" s="32">
        <f t="shared" si="15"/>
        <v>-1</v>
      </c>
      <c r="E992" s="32" t="s">
        <v>34</v>
      </c>
      <c r="F992" s="32" t="s">
        <v>3851</v>
      </c>
      <c r="G992" s="32" t="s">
        <v>4003</v>
      </c>
      <c r="H992" s="32" t="s">
        <v>37</v>
      </c>
      <c r="I992" s="32" t="s">
        <v>38</v>
      </c>
      <c r="J992" s="32" t="s">
        <v>2611</v>
      </c>
      <c r="K992" s="32" t="s">
        <v>2612</v>
      </c>
      <c r="L992" s="32">
        <v>261250</v>
      </c>
      <c r="M992" s="32">
        <v>0</v>
      </c>
      <c r="N992" s="32">
        <v>0</v>
      </c>
      <c r="O992" s="32">
        <v>1636250</v>
      </c>
      <c r="P992" s="32" t="s">
        <v>41</v>
      </c>
      <c r="Q992" s="32" t="s">
        <v>42</v>
      </c>
      <c r="R992" s="26" t="s">
        <v>43</v>
      </c>
      <c r="S992" s="26"/>
      <c r="T992" s="26"/>
      <c r="U992" s="26"/>
      <c r="V992" s="26"/>
      <c r="W992" s="26"/>
      <c r="X992" s="26"/>
    </row>
    <row r="993" spans="1:24" s="29" customFormat="1">
      <c r="A993" s="32" t="s">
        <v>31</v>
      </c>
      <c r="B993" s="32" t="s">
        <v>4004</v>
      </c>
      <c r="C993" s="32" t="s">
        <v>4005</v>
      </c>
      <c r="D993" s="32">
        <f t="shared" si="15"/>
        <v>-1</v>
      </c>
      <c r="E993" s="32" t="s">
        <v>34</v>
      </c>
      <c r="F993" s="32" t="s">
        <v>3851</v>
      </c>
      <c r="G993" s="32" t="s">
        <v>4006</v>
      </c>
      <c r="H993" s="32" t="s">
        <v>37</v>
      </c>
      <c r="I993" s="32" t="s">
        <v>38</v>
      </c>
      <c r="J993" s="32" t="s">
        <v>4007</v>
      </c>
      <c r="K993" s="32" t="s">
        <v>4008</v>
      </c>
      <c r="L993" s="32">
        <v>2348562.4500000002</v>
      </c>
      <c r="M993" s="32">
        <v>0</v>
      </c>
      <c r="N993" s="32">
        <v>0</v>
      </c>
      <c r="O993" s="32">
        <v>14709417.449999999</v>
      </c>
      <c r="P993" s="32" t="s">
        <v>41</v>
      </c>
      <c r="Q993" s="32" t="s">
        <v>42</v>
      </c>
      <c r="R993" s="26" t="s">
        <v>43</v>
      </c>
      <c r="S993" s="26"/>
      <c r="T993" s="26"/>
      <c r="U993" s="26"/>
      <c r="V993" s="26"/>
      <c r="W993" s="26"/>
      <c r="X993" s="26"/>
    </row>
    <row r="994" spans="1:24" s="29" customFormat="1">
      <c r="A994" s="34" t="s">
        <v>31</v>
      </c>
      <c r="B994" s="34" t="s">
        <v>4009</v>
      </c>
      <c r="C994" s="34" t="s">
        <v>4010</v>
      </c>
      <c r="D994" s="34">
        <f t="shared" si="15"/>
        <v>-1</v>
      </c>
      <c r="E994" s="34" t="s">
        <v>34</v>
      </c>
      <c r="F994" s="34" t="s">
        <v>3851</v>
      </c>
      <c r="G994" s="34" t="s">
        <v>4011</v>
      </c>
      <c r="H994" s="34" t="s">
        <v>37</v>
      </c>
      <c r="I994" s="34" t="s">
        <v>38</v>
      </c>
      <c r="J994" s="34" t="s">
        <v>600</v>
      </c>
      <c r="K994" s="34" t="s">
        <v>601</v>
      </c>
      <c r="L994" s="34">
        <v>0</v>
      </c>
      <c r="M994" s="34">
        <v>0</v>
      </c>
      <c r="N994" s="34">
        <v>0</v>
      </c>
      <c r="O994" s="34">
        <v>1222400</v>
      </c>
      <c r="P994" s="34" t="s">
        <v>41</v>
      </c>
      <c r="Q994" s="34" t="s">
        <v>42</v>
      </c>
      <c r="R994" s="26"/>
      <c r="S994" s="26"/>
      <c r="T994" s="26" t="s">
        <v>43</v>
      </c>
      <c r="U994" s="26"/>
      <c r="V994" s="26"/>
      <c r="W994" s="26"/>
      <c r="X994" s="26"/>
    </row>
    <row r="995" spans="1:24" s="29" customFormat="1">
      <c r="A995" s="26" t="s">
        <v>31</v>
      </c>
      <c r="B995" s="26" t="s">
        <v>4012</v>
      </c>
      <c r="C995" s="26" t="s">
        <v>4013</v>
      </c>
      <c r="D995" s="26">
        <f t="shared" si="15"/>
        <v>-1</v>
      </c>
      <c r="E995" s="26" t="s">
        <v>34</v>
      </c>
      <c r="F995" s="26" t="s">
        <v>3851</v>
      </c>
      <c r="G995" s="26" t="s">
        <v>4014</v>
      </c>
      <c r="H995" s="26" t="s">
        <v>37</v>
      </c>
      <c r="I995" s="26" t="s">
        <v>38</v>
      </c>
      <c r="J995" s="26" t="s">
        <v>2352</v>
      </c>
      <c r="K995" s="26" t="s">
        <v>2353</v>
      </c>
      <c r="L995" s="26">
        <v>3701469.8</v>
      </c>
      <c r="M995" s="26">
        <v>0</v>
      </c>
      <c r="N995" s="26">
        <v>0</v>
      </c>
      <c r="O995" s="26">
        <v>23182889.800000001</v>
      </c>
      <c r="P995" s="26" t="s">
        <v>41</v>
      </c>
      <c r="Q995" s="26" t="s">
        <v>42</v>
      </c>
      <c r="R995" s="26"/>
      <c r="S995" s="26"/>
      <c r="T995" s="26"/>
      <c r="U995" s="26"/>
      <c r="V995" s="26" t="s">
        <v>43</v>
      </c>
      <c r="W995" s="26"/>
      <c r="X995" s="26"/>
    </row>
    <row r="996" spans="1:24" s="29" customFormat="1">
      <c r="A996" s="32" t="s">
        <v>31</v>
      </c>
      <c r="B996" s="32" t="s">
        <v>4015</v>
      </c>
      <c r="C996" s="32" t="s">
        <v>4016</v>
      </c>
      <c r="D996" s="32">
        <f t="shared" si="15"/>
        <v>-1</v>
      </c>
      <c r="E996" s="32" t="s">
        <v>34</v>
      </c>
      <c r="F996" s="32" t="s">
        <v>3851</v>
      </c>
      <c r="G996" s="32" t="s">
        <v>4017</v>
      </c>
      <c r="H996" s="32" t="s">
        <v>37</v>
      </c>
      <c r="I996" s="32" t="s">
        <v>38</v>
      </c>
      <c r="J996" s="32" t="s">
        <v>581</v>
      </c>
      <c r="K996" s="32" t="s">
        <v>582</v>
      </c>
      <c r="L996" s="32">
        <v>2434555.5</v>
      </c>
      <c r="M996" s="32">
        <v>0</v>
      </c>
      <c r="N996" s="32">
        <v>0</v>
      </c>
      <c r="O996" s="32">
        <v>15248005.5</v>
      </c>
      <c r="P996" s="32" t="s">
        <v>41</v>
      </c>
      <c r="Q996" s="32" t="s">
        <v>42</v>
      </c>
      <c r="R996" s="26" t="s">
        <v>43</v>
      </c>
      <c r="S996" s="26"/>
      <c r="T996" s="26"/>
      <c r="U996" s="26"/>
      <c r="V996" s="26"/>
      <c r="W996" s="26"/>
      <c r="X996" s="26"/>
    </row>
    <row r="997" spans="1:24" s="29" customFormat="1">
      <c r="A997" s="34" t="s">
        <v>31</v>
      </c>
      <c r="B997" s="34" t="s">
        <v>4018</v>
      </c>
      <c r="C997" s="34" t="s">
        <v>4019</v>
      </c>
      <c r="D997" s="34">
        <f t="shared" si="15"/>
        <v>-1</v>
      </c>
      <c r="E997" s="34" t="s">
        <v>34</v>
      </c>
      <c r="F997" s="34" t="s">
        <v>3851</v>
      </c>
      <c r="G997" s="34" t="s">
        <v>4020</v>
      </c>
      <c r="H997" s="34" t="s">
        <v>37</v>
      </c>
      <c r="I997" s="34" t="s">
        <v>38</v>
      </c>
      <c r="J997" s="34" t="s">
        <v>600</v>
      </c>
      <c r="K997" s="34" t="s">
        <v>601</v>
      </c>
      <c r="L997" s="34">
        <v>1391940</v>
      </c>
      <c r="M997" s="34">
        <v>0</v>
      </c>
      <c r="N997" s="34">
        <v>0</v>
      </c>
      <c r="O997" s="34">
        <v>8717940</v>
      </c>
      <c r="P997" s="34" t="s">
        <v>41</v>
      </c>
      <c r="Q997" s="34" t="s">
        <v>42</v>
      </c>
      <c r="R997" s="26"/>
      <c r="S997" s="26"/>
      <c r="T997" s="26" t="s">
        <v>43</v>
      </c>
      <c r="U997" s="26"/>
      <c r="V997" s="26"/>
      <c r="W997" s="26"/>
      <c r="X997" s="26"/>
    </row>
    <row r="998" spans="1:24" s="29" customFormat="1">
      <c r="A998" s="34" t="s">
        <v>31</v>
      </c>
      <c r="B998" s="34" t="s">
        <v>4021</v>
      </c>
      <c r="C998" s="34" t="s">
        <v>4022</v>
      </c>
      <c r="D998" s="34">
        <f t="shared" si="15"/>
        <v>-1</v>
      </c>
      <c r="E998" s="34" t="s">
        <v>34</v>
      </c>
      <c r="F998" s="34" t="s">
        <v>3851</v>
      </c>
      <c r="G998" s="34" t="s">
        <v>4023</v>
      </c>
      <c r="H998" s="34" t="s">
        <v>37</v>
      </c>
      <c r="I998" s="34" t="s">
        <v>38</v>
      </c>
      <c r="J998" s="34" t="s">
        <v>1027</v>
      </c>
      <c r="K998" s="34" t="s">
        <v>1028</v>
      </c>
      <c r="L998" s="34">
        <v>11400</v>
      </c>
      <c r="M998" s="34">
        <v>0</v>
      </c>
      <c r="N998" s="34">
        <v>0</v>
      </c>
      <c r="O998" s="34">
        <v>71400</v>
      </c>
      <c r="P998" s="34" t="s">
        <v>41</v>
      </c>
      <c r="Q998" s="34" t="s">
        <v>42</v>
      </c>
      <c r="R998" s="26"/>
      <c r="S998" s="26"/>
      <c r="T998" s="26" t="s">
        <v>43</v>
      </c>
      <c r="U998" s="26"/>
      <c r="V998" s="26"/>
      <c r="W998" s="26"/>
      <c r="X998" s="26"/>
    </row>
    <row r="999" spans="1:24" s="29" customFormat="1">
      <c r="A999" s="32" t="s">
        <v>31</v>
      </c>
      <c r="B999" s="32" t="s">
        <v>4024</v>
      </c>
      <c r="C999" s="32" t="s">
        <v>4025</v>
      </c>
      <c r="D999" s="32">
        <f t="shared" si="15"/>
        <v>-1</v>
      </c>
      <c r="E999" s="32" t="s">
        <v>34</v>
      </c>
      <c r="F999" s="32" t="s">
        <v>3851</v>
      </c>
      <c r="G999" s="32" t="s">
        <v>4026</v>
      </c>
      <c r="H999" s="32" t="s">
        <v>37</v>
      </c>
      <c r="I999" s="32" t="s">
        <v>38</v>
      </c>
      <c r="J999" s="32" t="s">
        <v>2761</v>
      </c>
      <c r="K999" s="32" t="s">
        <v>2762</v>
      </c>
      <c r="L999" s="32">
        <v>662625</v>
      </c>
      <c r="M999" s="32">
        <v>0</v>
      </c>
      <c r="N999" s="32">
        <v>0</v>
      </c>
      <c r="O999" s="32">
        <v>4150125</v>
      </c>
      <c r="P999" s="32" t="s">
        <v>41</v>
      </c>
      <c r="Q999" s="32" t="s">
        <v>42</v>
      </c>
      <c r="R999" s="26" t="s">
        <v>43</v>
      </c>
      <c r="S999" s="26"/>
      <c r="T999" s="26"/>
      <c r="U999" s="26"/>
      <c r="V999" s="26"/>
      <c r="W999" s="26"/>
      <c r="X999" s="26"/>
    </row>
    <row r="1000" spans="1:24" s="29" customFormat="1">
      <c r="A1000" s="26" t="s">
        <v>31</v>
      </c>
      <c r="B1000" s="26" t="s">
        <v>4027</v>
      </c>
      <c r="C1000" s="26" t="s">
        <v>4028</v>
      </c>
      <c r="D1000" s="26">
        <f t="shared" si="15"/>
        <v>-1</v>
      </c>
      <c r="E1000" s="26" t="s">
        <v>34</v>
      </c>
      <c r="F1000" s="26" t="s">
        <v>3851</v>
      </c>
      <c r="G1000" s="26" t="s">
        <v>4029</v>
      </c>
      <c r="H1000" s="26" t="s">
        <v>37</v>
      </c>
      <c r="I1000" s="26" t="s">
        <v>38</v>
      </c>
      <c r="J1000" s="26" t="s">
        <v>1709</v>
      </c>
      <c r="K1000" s="26" t="s">
        <v>1710</v>
      </c>
      <c r="L1000" s="26">
        <v>17147.5</v>
      </c>
      <c r="M1000" s="26">
        <v>0</v>
      </c>
      <c r="N1000" s="26">
        <v>0</v>
      </c>
      <c r="O1000" s="26">
        <v>107397.5</v>
      </c>
      <c r="P1000" s="26" t="s">
        <v>41</v>
      </c>
      <c r="Q1000" s="26" t="s">
        <v>42</v>
      </c>
      <c r="R1000" s="26"/>
      <c r="S1000" s="26"/>
      <c r="T1000" s="26"/>
      <c r="U1000" s="26"/>
      <c r="V1000" s="26" t="s">
        <v>43</v>
      </c>
      <c r="W1000" s="26"/>
      <c r="X1000" s="26"/>
    </row>
    <row r="1001" spans="1:24" s="29" customFormat="1">
      <c r="A1001" s="32" t="s">
        <v>31</v>
      </c>
      <c r="B1001" s="32" t="s">
        <v>4030</v>
      </c>
      <c r="C1001" s="32" t="s">
        <v>4031</v>
      </c>
      <c r="D1001" s="32">
        <f t="shared" si="15"/>
        <v>-1</v>
      </c>
      <c r="E1001" s="32" t="s">
        <v>34</v>
      </c>
      <c r="F1001" s="32" t="s">
        <v>3851</v>
      </c>
      <c r="G1001" s="32" t="s">
        <v>4032</v>
      </c>
      <c r="H1001" s="32" t="s">
        <v>37</v>
      </c>
      <c r="I1001" s="32" t="s">
        <v>38</v>
      </c>
      <c r="J1001" s="32" t="s">
        <v>1982</v>
      </c>
      <c r="K1001" s="32" t="s">
        <v>1983</v>
      </c>
      <c r="L1001" s="32">
        <v>71250</v>
      </c>
      <c r="M1001" s="32">
        <v>0</v>
      </c>
      <c r="N1001" s="32">
        <v>0</v>
      </c>
      <c r="O1001" s="32">
        <v>446250</v>
      </c>
      <c r="P1001" s="32" t="s">
        <v>41</v>
      </c>
      <c r="Q1001" s="32" t="s">
        <v>42</v>
      </c>
      <c r="R1001" s="26" t="s">
        <v>43</v>
      </c>
      <c r="S1001" s="26"/>
      <c r="T1001" s="26"/>
      <c r="U1001" s="26"/>
      <c r="V1001" s="26"/>
      <c r="W1001" s="26"/>
      <c r="X1001" s="26"/>
    </row>
    <row r="1002" spans="1:24" s="29" customFormat="1">
      <c r="A1002" s="32" t="s">
        <v>31</v>
      </c>
      <c r="B1002" s="32" t="s">
        <v>4033</v>
      </c>
      <c r="C1002" s="32" t="s">
        <v>4034</v>
      </c>
      <c r="D1002" s="32">
        <f t="shared" si="15"/>
        <v>-1</v>
      </c>
      <c r="E1002" s="32" t="s">
        <v>34</v>
      </c>
      <c r="F1002" s="32" t="s">
        <v>3851</v>
      </c>
      <c r="G1002" s="32" t="s">
        <v>4035</v>
      </c>
      <c r="H1002" s="32" t="s">
        <v>37</v>
      </c>
      <c r="I1002" s="32" t="s">
        <v>38</v>
      </c>
      <c r="J1002" s="32" t="s">
        <v>4036</v>
      </c>
      <c r="K1002" s="32" t="s">
        <v>4037</v>
      </c>
      <c r="L1002" s="32">
        <v>18832.23</v>
      </c>
      <c r="M1002" s="32">
        <v>0</v>
      </c>
      <c r="N1002" s="32">
        <v>0</v>
      </c>
      <c r="O1002" s="32">
        <v>126349.23</v>
      </c>
      <c r="P1002" s="32" t="s">
        <v>41</v>
      </c>
      <c r="Q1002" s="32" t="s">
        <v>42</v>
      </c>
      <c r="R1002" s="26" t="s">
        <v>43</v>
      </c>
      <c r="S1002" s="26"/>
      <c r="T1002" s="26"/>
      <c r="U1002" s="26"/>
      <c r="V1002" s="26"/>
      <c r="W1002" s="26"/>
      <c r="X1002" s="26"/>
    </row>
    <row r="1003" spans="1:24" s="29" customFormat="1">
      <c r="A1003" s="32" t="s">
        <v>31</v>
      </c>
      <c r="B1003" s="32" t="s">
        <v>4038</v>
      </c>
      <c r="C1003" s="32" t="s">
        <v>4039</v>
      </c>
      <c r="D1003" s="32">
        <f t="shared" si="15"/>
        <v>-1</v>
      </c>
      <c r="E1003" s="32" t="s">
        <v>34</v>
      </c>
      <c r="F1003" s="32" t="s">
        <v>3851</v>
      </c>
      <c r="G1003" s="32" t="s">
        <v>4040</v>
      </c>
      <c r="H1003" s="32" t="s">
        <v>37</v>
      </c>
      <c r="I1003" s="32" t="s">
        <v>38</v>
      </c>
      <c r="J1003" s="32" t="s">
        <v>764</v>
      </c>
      <c r="K1003" s="32" t="s">
        <v>765</v>
      </c>
      <c r="L1003" s="32">
        <v>82709.66</v>
      </c>
      <c r="M1003" s="32">
        <v>0</v>
      </c>
      <c r="N1003" s="32">
        <v>0</v>
      </c>
      <c r="O1003" s="32">
        <v>518023.66</v>
      </c>
      <c r="P1003" s="32" t="s">
        <v>41</v>
      </c>
      <c r="Q1003" s="32" t="s">
        <v>42</v>
      </c>
      <c r="R1003" s="26" t="s">
        <v>43</v>
      </c>
      <c r="S1003" s="26"/>
      <c r="T1003" s="26"/>
      <c r="U1003" s="26"/>
      <c r="V1003" s="26"/>
      <c r="W1003" s="26"/>
      <c r="X1003" s="26"/>
    </row>
    <row r="1004" spans="1:24" s="29" customFormat="1">
      <c r="A1004" s="26" t="s">
        <v>31</v>
      </c>
      <c r="B1004" s="26" t="s">
        <v>4041</v>
      </c>
      <c r="C1004" s="26" t="s">
        <v>4042</v>
      </c>
      <c r="D1004" s="26">
        <f t="shared" si="15"/>
        <v>-1</v>
      </c>
      <c r="E1004" s="26" t="s">
        <v>34</v>
      </c>
      <c r="F1004" s="26" t="s">
        <v>3851</v>
      </c>
      <c r="G1004" s="26" t="s">
        <v>4043</v>
      </c>
      <c r="H1004" s="26" t="s">
        <v>37</v>
      </c>
      <c r="I1004" s="26" t="s">
        <v>38</v>
      </c>
      <c r="J1004" s="26" t="s">
        <v>4044</v>
      </c>
      <c r="K1004" s="26" t="s">
        <v>4045</v>
      </c>
      <c r="L1004" s="26">
        <v>42302.080000000002</v>
      </c>
      <c r="M1004" s="26">
        <v>0</v>
      </c>
      <c r="N1004" s="26">
        <v>0</v>
      </c>
      <c r="O1004" s="26">
        <v>396714.08</v>
      </c>
      <c r="P1004" s="26" t="s">
        <v>41</v>
      </c>
      <c r="Q1004" s="26" t="s">
        <v>42</v>
      </c>
      <c r="R1004" s="26"/>
      <c r="S1004" s="26"/>
      <c r="T1004" s="26"/>
      <c r="U1004" s="26"/>
      <c r="V1004" s="26" t="s">
        <v>43</v>
      </c>
      <c r="W1004" s="26"/>
      <c r="X1004" s="26"/>
    </row>
    <row r="1005" spans="1:24" s="29" customFormat="1">
      <c r="A1005" s="32" t="s">
        <v>31</v>
      </c>
      <c r="B1005" s="32" t="s">
        <v>4046</v>
      </c>
      <c r="C1005" s="32" t="s">
        <v>4047</v>
      </c>
      <c r="D1005" s="32">
        <f t="shared" si="15"/>
        <v>-1</v>
      </c>
      <c r="E1005" s="32" t="s">
        <v>34</v>
      </c>
      <c r="F1005" s="32" t="s">
        <v>3851</v>
      </c>
      <c r="G1005" s="32" t="s">
        <v>4048</v>
      </c>
      <c r="H1005" s="32" t="s">
        <v>37</v>
      </c>
      <c r="I1005" s="32" t="s">
        <v>38</v>
      </c>
      <c r="J1005" s="32" t="s">
        <v>764</v>
      </c>
      <c r="K1005" s="32" t="s">
        <v>765</v>
      </c>
      <c r="L1005" s="32">
        <v>46863.12</v>
      </c>
      <c r="M1005" s="32">
        <v>0</v>
      </c>
      <c r="N1005" s="32">
        <v>0</v>
      </c>
      <c r="O1005" s="32">
        <v>293511.12</v>
      </c>
      <c r="P1005" s="32" t="s">
        <v>41</v>
      </c>
      <c r="Q1005" s="32" t="s">
        <v>42</v>
      </c>
      <c r="R1005" s="26" t="s">
        <v>43</v>
      </c>
      <c r="S1005" s="26"/>
      <c r="T1005" s="26"/>
      <c r="U1005" s="26"/>
      <c r="V1005" s="26"/>
      <c r="W1005" s="26"/>
      <c r="X1005" s="26"/>
    </row>
    <row r="1006" spans="1:24" s="29" customFormat="1">
      <c r="A1006" s="26" t="s">
        <v>31</v>
      </c>
      <c r="B1006" s="26" t="s">
        <v>4049</v>
      </c>
      <c r="C1006" s="26" t="s">
        <v>4050</v>
      </c>
      <c r="D1006" s="26">
        <f t="shared" si="15"/>
        <v>-1</v>
      </c>
      <c r="E1006" s="26" t="s">
        <v>34</v>
      </c>
      <c r="F1006" s="26" t="s">
        <v>3851</v>
      </c>
      <c r="G1006" s="26" t="s">
        <v>4051</v>
      </c>
      <c r="H1006" s="26" t="s">
        <v>37</v>
      </c>
      <c r="I1006" s="26" t="s">
        <v>38</v>
      </c>
      <c r="J1006" s="26" t="s">
        <v>4052</v>
      </c>
      <c r="K1006" s="26" t="s">
        <v>4053</v>
      </c>
      <c r="L1006" s="26">
        <v>113346.4</v>
      </c>
      <c r="M1006" s="26">
        <v>0</v>
      </c>
      <c r="N1006" s="26">
        <v>0</v>
      </c>
      <c r="O1006" s="26">
        <v>735406.4</v>
      </c>
      <c r="P1006" s="26" t="s">
        <v>41</v>
      </c>
      <c r="Q1006" s="26" t="s">
        <v>42</v>
      </c>
      <c r="R1006" s="26"/>
      <c r="S1006" s="26"/>
      <c r="T1006" s="26"/>
      <c r="U1006" s="26"/>
      <c r="V1006" s="26" t="s">
        <v>43</v>
      </c>
      <c r="W1006" s="26"/>
      <c r="X1006" s="26"/>
    </row>
    <row r="1007" spans="1:24" s="29" customFormat="1">
      <c r="A1007" s="34" t="s">
        <v>31</v>
      </c>
      <c r="B1007" s="34" t="s">
        <v>4054</v>
      </c>
      <c r="C1007" s="34" t="s">
        <v>4055</v>
      </c>
      <c r="D1007" s="34">
        <f t="shared" si="15"/>
        <v>-1</v>
      </c>
      <c r="E1007" s="34" t="s">
        <v>34</v>
      </c>
      <c r="F1007" s="34" t="s">
        <v>3851</v>
      </c>
      <c r="G1007" s="34" t="s">
        <v>4056</v>
      </c>
      <c r="H1007" s="34" t="s">
        <v>37</v>
      </c>
      <c r="I1007" s="34" t="s">
        <v>38</v>
      </c>
      <c r="J1007" s="34" t="s">
        <v>4057</v>
      </c>
      <c r="K1007" s="34" t="s">
        <v>4058</v>
      </c>
      <c r="L1007" s="34">
        <v>4317750</v>
      </c>
      <c r="M1007" s="34">
        <v>0</v>
      </c>
      <c r="N1007" s="34">
        <v>0</v>
      </c>
      <c r="O1007" s="34">
        <v>31587750</v>
      </c>
      <c r="P1007" s="34" t="s">
        <v>41</v>
      </c>
      <c r="Q1007" s="34" t="s">
        <v>42</v>
      </c>
      <c r="R1007" s="26"/>
      <c r="S1007" s="26"/>
      <c r="T1007" s="26" t="s">
        <v>43</v>
      </c>
      <c r="U1007" s="26"/>
      <c r="V1007" s="26"/>
      <c r="W1007" s="26"/>
      <c r="X1007" s="26"/>
    </row>
    <row r="1008" spans="1:24" s="29" customFormat="1">
      <c r="A1008" s="34" t="s">
        <v>31</v>
      </c>
      <c r="B1008" s="34" t="s">
        <v>4059</v>
      </c>
      <c r="C1008" s="34" t="s">
        <v>4060</v>
      </c>
      <c r="D1008" s="34">
        <f t="shared" si="15"/>
        <v>-1</v>
      </c>
      <c r="E1008" s="34" t="s">
        <v>34</v>
      </c>
      <c r="F1008" s="34" t="s">
        <v>3851</v>
      </c>
      <c r="G1008" s="34" t="s">
        <v>4061</v>
      </c>
      <c r="H1008" s="34" t="s">
        <v>37</v>
      </c>
      <c r="I1008" s="34" t="s">
        <v>38</v>
      </c>
      <c r="J1008" s="34" t="s">
        <v>4057</v>
      </c>
      <c r="K1008" s="34" t="s">
        <v>4058</v>
      </c>
      <c r="L1008" s="34">
        <v>2323472</v>
      </c>
      <c r="M1008" s="34">
        <v>0</v>
      </c>
      <c r="N1008" s="34">
        <v>0</v>
      </c>
      <c r="O1008" s="34">
        <v>19444772</v>
      </c>
      <c r="P1008" s="34" t="s">
        <v>41</v>
      </c>
      <c r="Q1008" s="34" t="s">
        <v>42</v>
      </c>
      <c r="R1008" s="26"/>
      <c r="S1008" s="26"/>
      <c r="T1008" s="26" t="s">
        <v>43</v>
      </c>
      <c r="U1008" s="26"/>
      <c r="V1008" s="26"/>
      <c r="W1008" s="26"/>
      <c r="X1008" s="26"/>
    </row>
    <row r="1009" spans="1:24" s="29" customFormat="1">
      <c r="A1009" s="34" t="s">
        <v>31</v>
      </c>
      <c r="B1009" s="34" t="s">
        <v>4062</v>
      </c>
      <c r="C1009" s="34" t="s">
        <v>4063</v>
      </c>
      <c r="D1009" s="34">
        <f t="shared" si="15"/>
        <v>-1</v>
      </c>
      <c r="E1009" s="34" t="s">
        <v>34</v>
      </c>
      <c r="F1009" s="34" t="s">
        <v>3851</v>
      </c>
      <c r="G1009" s="34" t="s">
        <v>4064</v>
      </c>
      <c r="H1009" s="34" t="s">
        <v>37</v>
      </c>
      <c r="I1009" s="34" t="s">
        <v>38</v>
      </c>
      <c r="J1009" s="34" t="s">
        <v>4057</v>
      </c>
      <c r="K1009" s="34" t="s">
        <v>4058</v>
      </c>
      <c r="L1009" s="34">
        <v>1186170</v>
      </c>
      <c r="M1009" s="34">
        <v>0</v>
      </c>
      <c r="N1009" s="34">
        <v>0</v>
      </c>
      <c r="O1009" s="34">
        <v>7429170</v>
      </c>
      <c r="P1009" s="34" t="s">
        <v>41</v>
      </c>
      <c r="Q1009" s="34" t="s">
        <v>42</v>
      </c>
      <c r="R1009" s="26"/>
      <c r="S1009" s="26"/>
      <c r="T1009" s="26" t="s">
        <v>43</v>
      </c>
      <c r="U1009" s="26"/>
      <c r="V1009" s="26"/>
      <c r="W1009" s="26"/>
      <c r="X1009" s="26"/>
    </row>
    <row r="1010" spans="1:24" s="29" customFormat="1">
      <c r="A1010" s="34" t="s">
        <v>31</v>
      </c>
      <c r="B1010" s="34" t="s">
        <v>4065</v>
      </c>
      <c r="C1010" s="34" t="s">
        <v>4066</v>
      </c>
      <c r="D1010" s="34">
        <f t="shared" si="15"/>
        <v>-1</v>
      </c>
      <c r="E1010" s="34" t="s">
        <v>34</v>
      </c>
      <c r="F1010" s="34" t="s">
        <v>3851</v>
      </c>
      <c r="G1010" s="34" t="s">
        <v>4067</v>
      </c>
      <c r="H1010" s="34" t="s">
        <v>37</v>
      </c>
      <c r="I1010" s="34" t="s">
        <v>38</v>
      </c>
      <c r="J1010" s="34" t="s">
        <v>4057</v>
      </c>
      <c r="K1010" s="34" t="s">
        <v>4058</v>
      </c>
      <c r="L1010" s="34">
        <v>5062512</v>
      </c>
      <c r="M1010" s="34">
        <v>0</v>
      </c>
      <c r="N1010" s="34">
        <v>0</v>
      </c>
      <c r="O1010" s="34">
        <v>31707312</v>
      </c>
      <c r="P1010" s="34" t="s">
        <v>41</v>
      </c>
      <c r="Q1010" s="34" t="s">
        <v>42</v>
      </c>
      <c r="R1010" s="26"/>
      <c r="S1010" s="26"/>
      <c r="T1010" s="26" t="s">
        <v>43</v>
      </c>
      <c r="U1010" s="26"/>
      <c r="V1010" s="26"/>
      <c r="W1010" s="26"/>
      <c r="X1010" s="26"/>
    </row>
    <row r="1011" spans="1:24" s="29" customFormat="1">
      <c r="A1011" s="35" t="s">
        <v>31</v>
      </c>
      <c r="B1011" s="35" t="s">
        <v>4068</v>
      </c>
      <c r="C1011" s="35" t="s">
        <v>4069</v>
      </c>
      <c r="D1011" s="35">
        <f t="shared" si="15"/>
        <v>-1</v>
      </c>
      <c r="E1011" s="35" t="s">
        <v>34</v>
      </c>
      <c r="F1011" s="35" t="s">
        <v>3851</v>
      </c>
      <c r="G1011" s="35" t="s">
        <v>4070</v>
      </c>
      <c r="H1011" s="35" t="s">
        <v>37</v>
      </c>
      <c r="I1011" s="35" t="s">
        <v>38</v>
      </c>
      <c r="J1011" s="35" t="s">
        <v>4071</v>
      </c>
      <c r="K1011" s="35" t="s">
        <v>4072</v>
      </c>
      <c r="L1011" s="35">
        <v>16207</v>
      </c>
      <c r="M1011" s="35">
        <v>0</v>
      </c>
      <c r="N1011" s="35">
        <v>0</v>
      </c>
      <c r="O1011" s="35">
        <v>101507</v>
      </c>
      <c r="P1011" s="35" t="s">
        <v>41</v>
      </c>
      <c r="Q1011" s="35" t="s">
        <v>42</v>
      </c>
      <c r="R1011" s="26"/>
      <c r="S1011" s="26"/>
      <c r="T1011" s="26"/>
      <c r="U1011" s="26"/>
      <c r="V1011" s="26"/>
      <c r="W1011" s="35" t="s">
        <v>43</v>
      </c>
      <c r="X1011" s="26" t="s">
        <v>501</v>
      </c>
    </row>
    <row r="1012" spans="1:24" s="29" customFormat="1">
      <c r="A1012" s="32" t="s">
        <v>31</v>
      </c>
      <c r="B1012" s="32" t="s">
        <v>4073</v>
      </c>
      <c r="C1012" s="32" t="s">
        <v>4074</v>
      </c>
      <c r="D1012" s="32">
        <f t="shared" si="15"/>
        <v>-1</v>
      </c>
      <c r="E1012" s="32" t="s">
        <v>34</v>
      </c>
      <c r="F1012" s="32" t="s">
        <v>3851</v>
      </c>
      <c r="G1012" s="32" t="s">
        <v>4075</v>
      </c>
      <c r="H1012" s="32" t="s">
        <v>37</v>
      </c>
      <c r="I1012" s="32" t="s">
        <v>38</v>
      </c>
      <c r="J1012" s="32" t="s">
        <v>184</v>
      </c>
      <c r="K1012" s="32" t="s">
        <v>185</v>
      </c>
      <c r="L1012" s="32">
        <v>818053.36</v>
      </c>
      <c r="M1012" s="32">
        <v>0</v>
      </c>
      <c r="N1012" s="32">
        <v>0</v>
      </c>
      <c r="O1012" s="32">
        <v>135980477.36000001</v>
      </c>
      <c r="P1012" s="32" t="s">
        <v>41</v>
      </c>
      <c r="Q1012" s="32" t="s">
        <v>42</v>
      </c>
      <c r="R1012" s="26" t="s">
        <v>43</v>
      </c>
      <c r="S1012" s="26"/>
      <c r="T1012" s="26"/>
      <c r="U1012" s="26"/>
      <c r="V1012" s="26"/>
      <c r="W1012" s="26"/>
      <c r="X1012" s="26"/>
    </row>
    <row r="1013" spans="1:24" s="29" customFormat="1">
      <c r="A1013" s="34" t="s">
        <v>31</v>
      </c>
      <c r="B1013" s="34" t="s">
        <v>4076</v>
      </c>
      <c r="C1013" s="34" t="s">
        <v>4077</v>
      </c>
      <c r="D1013" s="34">
        <f t="shared" si="15"/>
        <v>-1</v>
      </c>
      <c r="E1013" s="34" t="s">
        <v>34</v>
      </c>
      <c r="F1013" s="34" t="s">
        <v>3851</v>
      </c>
      <c r="G1013" s="34" t="s">
        <v>4078</v>
      </c>
      <c r="H1013" s="34" t="s">
        <v>37</v>
      </c>
      <c r="I1013" s="34" t="s">
        <v>38</v>
      </c>
      <c r="J1013" s="34" t="s">
        <v>101</v>
      </c>
      <c r="K1013" s="34" t="s">
        <v>102</v>
      </c>
      <c r="L1013" s="34">
        <v>243269.92</v>
      </c>
      <c r="M1013" s="34">
        <v>0</v>
      </c>
      <c r="N1013" s="34">
        <v>0</v>
      </c>
      <c r="O1013" s="34">
        <v>1523637.92</v>
      </c>
      <c r="P1013" s="34" t="s">
        <v>41</v>
      </c>
      <c r="Q1013" s="34" t="s">
        <v>42</v>
      </c>
      <c r="R1013" s="26"/>
      <c r="S1013" s="26"/>
      <c r="T1013" s="26" t="s">
        <v>43</v>
      </c>
      <c r="U1013" s="26"/>
      <c r="V1013" s="26"/>
      <c r="W1013" s="26"/>
      <c r="X1013" s="26"/>
    </row>
    <row r="1014" spans="1:24" s="29" customFormat="1">
      <c r="A1014" s="26" t="s">
        <v>31</v>
      </c>
      <c r="B1014" s="26" t="s">
        <v>4079</v>
      </c>
      <c r="C1014" s="26" t="s">
        <v>4080</v>
      </c>
      <c r="D1014" s="26">
        <f t="shared" si="15"/>
        <v>-1</v>
      </c>
      <c r="E1014" s="26" t="s">
        <v>34</v>
      </c>
      <c r="F1014" s="26" t="s">
        <v>3851</v>
      </c>
      <c r="G1014" s="26" t="s">
        <v>4081</v>
      </c>
      <c r="H1014" s="26" t="s">
        <v>37</v>
      </c>
      <c r="I1014" s="26" t="s">
        <v>38</v>
      </c>
      <c r="J1014" s="26" t="s">
        <v>494</v>
      </c>
      <c r="K1014" s="26" t="s">
        <v>495</v>
      </c>
      <c r="L1014" s="26">
        <v>42750</v>
      </c>
      <c r="M1014" s="26">
        <v>0</v>
      </c>
      <c r="N1014" s="26">
        <v>0</v>
      </c>
      <c r="O1014" s="26">
        <v>267750</v>
      </c>
      <c r="P1014" s="26" t="s">
        <v>41</v>
      </c>
      <c r="Q1014" s="26" t="s">
        <v>42</v>
      </c>
      <c r="R1014" s="26"/>
      <c r="S1014" s="26"/>
      <c r="T1014" s="26"/>
      <c r="U1014" s="26"/>
      <c r="V1014" s="26" t="s">
        <v>43</v>
      </c>
      <c r="W1014" s="26"/>
      <c r="X1014" s="26"/>
    </row>
    <row r="1015" spans="1:24" s="29" customFormat="1">
      <c r="A1015" s="34" t="s">
        <v>31</v>
      </c>
      <c r="B1015" s="34" t="s">
        <v>4082</v>
      </c>
      <c r="C1015" s="34" t="s">
        <v>4083</v>
      </c>
      <c r="D1015" s="34">
        <f t="shared" si="15"/>
        <v>-1</v>
      </c>
      <c r="E1015" s="34" t="s">
        <v>34</v>
      </c>
      <c r="F1015" s="34" t="s">
        <v>3851</v>
      </c>
      <c r="G1015" s="34" t="s">
        <v>4084</v>
      </c>
      <c r="H1015" s="34" t="s">
        <v>37</v>
      </c>
      <c r="I1015" s="34" t="s">
        <v>38</v>
      </c>
      <c r="J1015" s="34" t="s">
        <v>2260</v>
      </c>
      <c r="K1015" s="34" t="s">
        <v>2261</v>
      </c>
      <c r="L1015" s="34">
        <v>207299.5</v>
      </c>
      <c r="M1015" s="34">
        <v>0</v>
      </c>
      <c r="N1015" s="34">
        <v>0</v>
      </c>
      <c r="O1015" s="34">
        <v>1298349.5</v>
      </c>
      <c r="P1015" s="34" t="s">
        <v>41</v>
      </c>
      <c r="Q1015" s="34" t="s">
        <v>42</v>
      </c>
      <c r="R1015" s="26"/>
      <c r="S1015" s="26"/>
      <c r="T1015" s="26" t="s">
        <v>43</v>
      </c>
      <c r="U1015" s="26"/>
      <c r="V1015" s="26"/>
      <c r="W1015" s="26"/>
      <c r="X1015" s="26"/>
    </row>
    <row r="1016" spans="1:24" s="29" customFormat="1">
      <c r="A1016" s="34" t="s">
        <v>31</v>
      </c>
      <c r="B1016" s="34" t="s">
        <v>4085</v>
      </c>
      <c r="C1016" s="34" t="s">
        <v>4086</v>
      </c>
      <c r="D1016" s="34">
        <f t="shared" si="15"/>
        <v>-1</v>
      </c>
      <c r="E1016" s="34" t="s">
        <v>34</v>
      </c>
      <c r="F1016" s="34" t="s">
        <v>3851</v>
      </c>
      <c r="G1016" s="34" t="s">
        <v>4087</v>
      </c>
      <c r="H1016" s="34" t="s">
        <v>37</v>
      </c>
      <c r="I1016" s="34" t="s">
        <v>38</v>
      </c>
      <c r="J1016" s="34" t="s">
        <v>4057</v>
      </c>
      <c r="K1016" s="34" t="s">
        <v>4058</v>
      </c>
      <c r="L1016" s="34">
        <v>3720960</v>
      </c>
      <c r="M1016" s="34">
        <v>0</v>
      </c>
      <c r="N1016" s="34">
        <v>0</v>
      </c>
      <c r="O1016" s="34">
        <v>23304960</v>
      </c>
      <c r="P1016" s="34" t="s">
        <v>41</v>
      </c>
      <c r="Q1016" s="34" t="s">
        <v>42</v>
      </c>
      <c r="R1016" s="26"/>
      <c r="S1016" s="26"/>
      <c r="T1016" s="26" t="s">
        <v>43</v>
      </c>
      <c r="U1016" s="26"/>
      <c r="V1016" s="26"/>
      <c r="W1016" s="26"/>
      <c r="X1016" s="26"/>
    </row>
    <row r="1017" spans="1:24" s="29" customFormat="1">
      <c r="A1017" s="34" t="s">
        <v>31</v>
      </c>
      <c r="B1017" s="34" t="s">
        <v>4088</v>
      </c>
      <c r="C1017" s="34" t="s">
        <v>4089</v>
      </c>
      <c r="D1017" s="34">
        <f t="shared" si="15"/>
        <v>-1</v>
      </c>
      <c r="E1017" s="34" t="s">
        <v>34</v>
      </c>
      <c r="F1017" s="34" t="s">
        <v>3851</v>
      </c>
      <c r="G1017" s="34" t="s">
        <v>4090</v>
      </c>
      <c r="H1017" s="34" t="s">
        <v>37</v>
      </c>
      <c r="I1017" s="34" t="s">
        <v>38</v>
      </c>
      <c r="J1017" s="34" t="s">
        <v>4091</v>
      </c>
      <c r="K1017" s="34" t="s">
        <v>4092</v>
      </c>
      <c r="L1017" s="34">
        <v>508000</v>
      </c>
      <c r="M1017" s="34">
        <v>0</v>
      </c>
      <c r="N1017" s="34">
        <v>0</v>
      </c>
      <c r="O1017" s="34">
        <v>10668000</v>
      </c>
      <c r="P1017" s="34" t="s">
        <v>41</v>
      </c>
      <c r="Q1017" s="34" t="s">
        <v>42</v>
      </c>
      <c r="R1017" s="26"/>
      <c r="S1017" s="26"/>
      <c r="T1017" s="26" t="s">
        <v>43</v>
      </c>
      <c r="U1017" s="26"/>
      <c r="V1017" s="26"/>
      <c r="W1017" s="26"/>
      <c r="X1017" s="26"/>
    </row>
    <row r="1018" spans="1:24" s="29" customFormat="1">
      <c r="A1018" s="26" t="s">
        <v>31</v>
      </c>
      <c r="B1018" s="26" t="s">
        <v>4093</v>
      </c>
      <c r="C1018" s="26" t="s">
        <v>4094</v>
      </c>
      <c r="D1018" s="26">
        <f t="shared" si="15"/>
        <v>-1</v>
      </c>
      <c r="E1018" s="26" t="s">
        <v>34</v>
      </c>
      <c r="F1018" s="26" t="s">
        <v>3851</v>
      </c>
      <c r="G1018" s="26" t="s">
        <v>4095</v>
      </c>
      <c r="H1018" s="26" t="s">
        <v>37</v>
      </c>
      <c r="I1018" s="26" t="s">
        <v>38</v>
      </c>
      <c r="J1018" s="26" t="s">
        <v>471</v>
      </c>
      <c r="K1018" s="26" t="s">
        <v>472</v>
      </c>
      <c r="L1018" s="26">
        <v>425600</v>
      </c>
      <c r="M1018" s="26">
        <v>0</v>
      </c>
      <c r="N1018" s="26">
        <v>0</v>
      </c>
      <c r="O1018" s="26">
        <v>2665600</v>
      </c>
      <c r="P1018" s="26" t="s">
        <v>41</v>
      </c>
      <c r="Q1018" s="26" t="s">
        <v>42</v>
      </c>
      <c r="R1018" s="26"/>
      <c r="S1018" s="26"/>
      <c r="T1018" s="26"/>
      <c r="U1018" s="26"/>
      <c r="V1018" s="26" t="s">
        <v>43</v>
      </c>
      <c r="W1018" s="26"/>
      <c r="X1018" s="26"/>
    </row>
    <row r="1019" spans="1:24" s="29" customFormat="1">
      <c r="A1019" s="26" t="s">
        <v>31</v>
      </c>
      <c r="B1019" s="26" t="s">
        <v>4096</v>
      </c>
      <c r="C1019" s="26" t="s">
        <v>4097</v>
      </c>
      <c r="D1019" s="26">
        <f t="shared" si="15"/>
        <v>-1</v>
      </c>
      <c r="E1019" s="26" t="s">
        <v>34</v>
      </c>
      <c r="F1019" s="26" t="s">
        <v>3851</v>
      </c>
      <c r="G1019" s="26" t="s">
        <v>4098</v>
      </c>
      <c r="H1019" s="26" t="s">
        <v>37</v>
      </c>
      <c r="I1019" s="26" t="s">
        <v>38</v>
      </c>
      <c r="J1019" s="26" t="s">
        <v>471</v>
      </c>
      <c r="K1019" s="26" t="s">
        <v>472</v>
      </c>
      <c r="L1019" s="26">
        <v>71250</v>
      </c>
      <c r="M1019" s="26">
        <v>0</v>
      </c>
      <c r="N1019" s="26">
        <v>0</v>
      </c>
      <c r="O1019" s="26">
        <v>446250</v>
      </c>
      <c r="P1019" s="26" t="s">
        <v>41</v>
      </c>
      <c r="Q1019" s="26" t="s">
        <v>42</v>
      </c>
      <c r="R1019" s="26"/>
      <c r="S1019" s="26"/>
      <c r="T1019" s="26"/>
      <c r="U1019" s="26"/>
      <c r="V1019" s="26" t="s">
        <v>43</v>
      </c>
      <c r="W1019" s="26"/>
      <c r="X1019" s="26"/>
    </row>
    <row r="1020" spans="1:24" s="29" customFormat="1">
      <c r="A1020" s="26" t="s">
        <v>31</v>
      </c>
      <c r="B1020" s="26" t="s">
        <v>4099</v>
      </c>
      <c r="C1020" s="26" t="s">
        <v>4100</v>
      </c>
      <c r="D1020" s="26">
        <f t="shared" si="15"/>
        <v>-1</v>
      </c>
      <c r="E1020" s="26" t="s">
        <v>34</v>
      </c>
      <c r="F1020" s="26" t="s">
        <v>3851</v>
      </c>
      <c r="G1020" s="26" t="s">
        <v>4101</v>
      </c>
      <c r="H1020" s="26" t="s">
        <v>37</v>
      </c>
      <c r="I1020" s="26" t="s">
        <v>38</v>
      </c>
      <c r="J1020" s="26" t="s">
        <v>471</v>
      </c>
      <c r="K1020" s="26" t="s">
        <v>472</v>
      </c>
      <c r="L1020" s="26">
        <v>424080</v>
      </c>
      <c r="M1020" s="26">
        <v>0</v>
      </c>
      <c r="N1020" s="26">
        <v>0</v>
      </c>
      <c r="O1020" s="26">
        <v>2656080</v>
      </c>
      <c r="P1020" s="26" t="s">
        <v>41</v>
      </c>
      <c r="Q1020" s="26" t="s">
        <v>42</v>
      </c>
      <c r="R1020" s="26"/>
      <c r="S1020" s="26"/>
      <c r="T1020" s="26"/>
      <c r="U1020" s="26"/>
      <c r="V1020" s="26" t="s">
        <v>43</v>
      </c>
      <c r="W1020" s="26"/>
      <c r="X1020" s="26"/>
    </row>
    <row r="1021" spans="1:24" s="29" customFormat="1">
      <c r="A1021" s="26" t="s">
        <v>31</v>
      </c>
      <c r="B1021" s="26" t="s">
        <v>4102</v>
      </c>
      <c r="C1021" s="26" t="s">
        <v>4103</v>
      </c>
      <c r="D1021" s="26">
        <f t="shared" si="15"/>
        <v>-1</v>
      </c>
      <c r="E1021" s="26" t="s">
        <v>34</v>
      </c>
      <c r="F1021" s="26" t="s">
        <v>3851</v>
      </c>
      <c r="G1021" s="26" t="s">
        <v>4104</v>
      </c>
      <c r="H1021" s="26" t="s">
        <v>37</v>
      </c>
      <c r="I1021" s="26" t="s">
        <v>38</v>
      </c>
      <c r="J1021" s="26" t="s">
        <v>632</v>
      </c>
      <c r="K1021" s="26" t="s">
        <v>633</v>
      </c>
      <c r="L1021" s="26">
        <v>444535.4</v>
      </c>
      <c r="M1021" s="26">
        <v>0</v>
      </c>
      <c r="N1021" s="26">
        <v>0</v>
      </c>
      <c r="O1021" s="26">
        <v>2784195.4</v>
      </c>
      <c r="P1021" s="26" t="s">
        <v>41</v>
      </c>
      <c r="Q1021" s="26" t="s">
        <v>42</v>
      </c>
      <c r="R1021" s="26"/>
      <c r="S1021" s="26"/>
      <c r="T1021" s="26"/>
      <c r="U1021" s="26"/>
      <c r="V1021" s="26" t="s">
        <v>43</v>
      </c>
      <c r="W1021" s="26"/>
      <c r="X1021" s="26"/>
    </row>
    <row r="1022" spans="1:24" s="29" customFormat="1">
      <c r="A1022" s="26" t="s">
        <v>31</v>
      </c>
      <c r="B1022" s="26" t="s">
        <v>4105</v>
      </c>
      <c r="C1022" s="26" t="s">
        <v>4106</v>
      </c>
      <c r="D1022" s="26">
        <f t="shared" si="15"/>
        <v>-1</v>
      </c>
      <c r="E1022" s="26" t="s">
        <v>34</v>
      </c>
      <c r="F1022" s="26" t="s">
        <v>3851</v>
      </c>
      <c r="G1022" s="26" t="s">
        <v>4107</v>
      </c>
      <c r="H1022" s="26" t="s">
        <v>37</v>
      </c>
      <c r="I1022" s="26" t="s">
        <v>38</v>
      </c>
      <c r="J1022" s="26" t="s">
        <v>4108</v>
      </c>
      <c r="K1022" s="26" t="s">
        <v>4109</v>
      </c>
      <c r="L1022" s="26">
        <v>113250</v>
      </c>
      <c r="M1022" s="26">
        <v>0</v>
      </c>
      <c r="N1022" s="26">
        <v>0</v>
      </c>
      <c r="O1022" s="26">
        <v>1099490</v>
      </c>
      <c r="P1022" s="26" t="s">
        <v>41</v>
      </c>
      <c r="Q1022" s="26" t="s">
        <v>42</v>
      </c>
      <c r="R1022" s="26"/>
      <c r="S1022" s="26"/>
      <c r="T1022" s="26"/>
      <c r="U1022" s="26"/>
      <c r="V1022" s="26" t="s">
        <v>43</v>
      </c>
      <c r="W1022" s="26"/>
      <c r="X1022" s="26"/>
    </row>
    <row r="1023" spans="1:24" s="29" customFormat="1">
      <c r="A1023" s="34" t="s">
        <v>31</v>
      </c>
      <c r="B1023" s="34" t="s">
        <v>4110</v>
      </c>
      <c r="C1023" s="34" t="s">
        <v>4111</v>
      </c>
      <c r="D1023" s="34">
        <f t="shared" si="15"/>
        <v>-1</v>
      </c>
      <c r="E1023" s="34" t="s">
        <v>34</v>
      </c>
      <c r="F1023" s="34" t="s">
        <v>3851</v>
      </c>
      <c r="G1023" s="34" t="s">
        <v>4112</v>
      </c>
      <c r="H1023" s="34" t="s">
        <v>37</v>
      </c>
      <c r="I1023" s="34" t="s">
        <v>38</v>
      </c>
      <c r="J1023" s="34" t="s">
        <v>944</v>
      </c>
      <c r="K1023" s="34" t="s">
        <v>945</v>
      </c>
      <c r="L1023" s="34">
        <v>229985</v>
      </c>
      <c r="M1023" s="34">
        <v>0</v>
      </c>
      <c r="N1023" s="34">
        <v>0</v>
      </c>
      <c r="O1023" s="34">
        <v>1713485</v>
      </c>
      <c r="P1023" s="34" t="s">
        <v>41</v>
      </c>
      <c r="Q1023" s="34" t="s">
        <v>42</v>
      </c>
      <c r="R1023" s="26"/>
      <c r="S1023" s="26"/>
      <c r="T1023" s="26" t="s">
        <v>43</v>
      </c>
      <c r="U1023" s="26"/>
      <c r="V1023" s="26"/>
      <c r="W1023" s="26"/>
      <c r="X1023" s="26"/>
    </row>
    <row r="1024" spans="1:24" s="29" customFormat="1">
      <c r="A1024" s="32" t="s">
        <v>31</v>
      </c>
      <c r="B1024" s="32" t="s">
        <v>4113</v>
      </c>
      <c r="C1024" s="32" t="s">
        <v>4114</v>
      </c>
      <c r="D1024" s="32">
        <f t="shared" si="15"/>
        <v>-1</v>
      </c>
      <c r="E1024" s="32" t="s">
        <v>34</v>
      </c>
      <c r="F1024" s="32" t="s">
        <v>3851</v>
      </c>
      <c r="G1024" s="32" t="s">
        <v>4115</v>
      </c>
      <c r="H1024" s="32" t="s">
        <v>37</v>
      </c>
      <c r="I1024" s="32" t="s">
        <v>38</v>
      </c>
      <c r="J1024" s="32" t="s">
        <v>4116</v>
      </c>
      <c r="K1024" s="32" t="s">
        <v>4117</v>
      </c>
      <c r="L1024" s="32">
        <v>169100</v>
      </c>
      <c r="M1024" s="32">
        <v>0</v>
      </c>
      <c r="N1024" s="32">
        <v>0</v>
      </c>
      <c r="O1024" s="32">
        <v>1059100</v>
      </c>
      <c r="P1024" s="32" t="s">
        <v>41</v>
      </c>
      <c r="Q1024" s="32" t="s">
        <v>42</v>
      </c>
      <c r="R1024" s="26" t="s">
        <v>43</v>
      </c>
      <c r="S1024" s="26"/>
      <c r="T1024" s="26"/>
      <c r="U1024" s="26"/>
      <c r="V1024" s="26"/>
      <c r="W1024" s="26"/>
      <c r="X1024" s="26"/>
    </row>
    <row r="1025" spans="1:24" s="29" customFormat="1">
      <c r="A1025" s="34" t="s">
        <v>31</v>
      </c>
      <c r="B1025" s="34" t="s">
        <v>4118</v>
      </c>
      <c r="C1025" s="34" t="s">
        <v>4119</v>
      </c>
      <c r="D1025" s="34">
        <f t="shared" si="15"/>
        <v>-1</v>
      </c>
      <c r="E1025" s="34" t="s">
        <v>34</v>
      </c>
      <c r="F1025" s="34" t="s">
        <v>3851</v>
      </c>
      <c r="G1025" s="34" t="s">
        <v>4120</v>
      </c>
      <c r="H1025" s="34" t="s">
        <v>37</v>
      </c>
      <c r="I1025" s="34" t="s">
        <v>38</v>
      </c>
      <c r="J1025" s="34" t="s">
        <v>1326</v>
      </c>
      <c r="K1025" s="34" t="s">
        <v>1327</v>
      </c>
      <c r="L1025" s="34">
        <v>247000</v>
      </c>
      <c r="M1025" s="34">
        <v>0</v>
      </c>
      <c r="N1025" s="34">
        <v>0</v>
      </c>
      <c r="O1025" s="34">
        <v>1547000</v>
      </c>
      <c r="P1025" s="34" t="s">
        <v>41</v>
      </c>
      <c r="Q1025" s="34" t="s">
        <v>42</v>
      </c>
      <c r="R1025" s="26"/>
      <c r="S1025" s="26"/>
      <c r="T1025" s="26" t="s">
        <v>43</v>
      </c>
      <c r="U1025" s="26"/>
      <c r="V1025" s="26"/>
      <c r="W1025" s="26"/>
      <c r="X1025" s="26"/>
    </row>
    <row r="1026" spans="1:24" s="29" customFormat="1">
      <c r="A1026" s="26" t="s">
        <v>31</v>
      </c>
      <c r="B1026" s="26" t="s">
        <v>4121</v>
      </c>
      <c r="C1026" s="26" t="s">
        <v>4122</v>
      </c>
      <c r="D1026" s="26">
        <f t="shared" si="15"/>
        <v>-1</v>
      </c>
      <c r="E1026" s="26" t="s">
        <v>34</v>
      </c>
      <c r="F1026" s="26" t="s">
        <v>3851</v>
      </c>
      <c r="G1026" s="26" t="s">
        <v>4123</v>
      </c>
      <c r="H1026" s="26" t="s">
        <v>37</v>
      </c>
      <c r="I1026" s="26" t="s">
        <v>38</v>
      </c>
      <c r="J1026" s="26" t="s">
        <v>4124</v>
      </c>
      <c r="K1026" s="26" t="s">
        <v>4125</v>
      </c>
      <c r="L1026" s="26">
        <v>70041.8</v>
      </c>
      <c r="M1026" s="26">
        <v>0</v>
      </c>
      <c r="N1026" s="26">
        <v>0</v>
      </c>
      <c r="O1026" s="26">
        <v>626621.80000000005</v>
      </c>
      <c r="P1026" s="26" t="s">
        <v>41</v>
      </c>
      <c r="Q1026" s="26" t="s">
        <v>42</v>
      </c>
      <c r="R1026" s="26"/>
      <c r="S1026" s="26"/>
      <c r="T1026" s="26"/>
      <c r="U1026" s="26"/>
      <c r="V1026" s="26" t="s">
        <v>43</v>
      </c>
      <c r="W1026" s="26"/>
      <c r="X1026" s="26"/>
    </row>
    <row r="1027" spans="1:24" s="29" customFormat="1">
      <c r="A1027" s="26" t="s">
        <v>31</v>
      </c>
      <c r="B1027" s="26" t="s">
        <v>4126</v>
      </c>
      <c r="C1027" s="26" t="s">
        <v>4127</v>
      </c>
      <c r="D1027" s="26">
        <f t="shared" si="15"/>
        <v>-1</v>
      </c>
      <c r="E1027" s="26" t="s">
        <v>34</v>
      </c>
      <c r="F1027" s="26" t="s">
        <v>3851</v>
      </c>
      <c r="G1027" s="26" t="s">
        <v>4128</v>
      </c>
      <c r="H1027" s="26" t="s">
        <v>37</v>
      </c>
      <c r="I1027" s="26" t="s">
        <v>38</v>
      </c>
      <c r="J1027" s="26" t="s">
        <v>2114</v>
      </c>
      <c r="K1027" s="26" t="s">
        <v>3252</v>
      </c>
      <c r="L1027" s="26">
        <v>121533.5</v>
      </c>
      <c r="M1027" s="26">
        <v>0</v>
      </c>
      <c r="N1027" s="26">
        <v>0</v>
      </c>
      <c r="O1027" s="26">
        <v>801203.5</v>
      </c>
      <c r="P1027" s="26" t="s">
        <v>41</v>
      </c>
      <c r="Q1027" s="26" t="s">
        <v>42</v>
      </c>
      <c r="R1027" s="26"/>
      <c r="S1027" s="26"/>
      <c r="T1027" s="26"/>
      <c r="U1027" s="26"/>
      <c r="V1027" s="26" t="s">
        <v>43</v>
      </c>
      <c r="W1027" s="26"/>
      <c r="X1027" s="26"/>
    </row>
    <row r="1028" spans="1:24" s="29" customFormat="1">
      <c r="A1028" s="35" t="s">
        <v>31</v>
      </c>
      <c r="B1028" s="35" t="s">
        <v>4129</v>
      </c>
      <c r="C1028" s="35" t="s">
        <v>4130</v>
      </c>
      <c r="D1028" s="35">
        <f t="shared" si="15"/>
        <v>-1</v>
      </c>
      <c r="E1028" s="35" t="s">
        <v>34</v>
      </c>
      <c r="F1028" s="35" t="s">
        <v>3851</v>
      </c>
      <c r="G1028" s="35" t="s">
        <v>4131</v>
      </c>
      <c r="H1028" s="35" t="s">
        <v>37</v>
      </c>
      <c r="I1028" s="35" t="s">
        <v>38</v>
      </c>
      <c r="J1028" s="35" t="s">
        <v>2397</v>
      </c>
      <c r="K1028" s="35" t="s">
        <v>2398</v>
      </c>
      <c r="L1028" s="35">
        <v>110010</v>
      </c>
      <c r="M1028" s="35">
        <v>0</v>
      </c>
      <c r="N1028" s="35">
        <v>0</v>
      </c>
      <c r="O1028" s="35">
        <v>689010</v>
      </c>
      <c r="P1028" s="35" t="s">
        <v>41</v>
      </c>
      <c r="Q1028" s="35" t="s">
        <v>42</v>
      </c>
      <c r="R1028" s="26"/>
      <c r="S1028" s="26"/>
      <c r="T1028" s="26"/>
      <c r="U1028" s="26"/>
      <c r="V1028" s="26"/>
      <c r="W1028" s="35" t="s">
        <v>43</v>
      </c>
      <c r="X1028" s="26" t="s">
        <v>4132</v>
      </c>
    </row>
    <row r="1029" spans="1:24" s="29" customFormat="1">
      <c r="A1029" s="35" t="s">
        <v>31</v>
      </c>
      <c r="B1029" s="35" t="s">
        <v>4133</v>
      </c>
      <c r="C1029" s="35" t="s">
        <v>4134</v>
      </c>
      <c r="D1029" s="35">
        <f t="shared" si="15"/>
        <v>-1</v>
      </c>
      <c r="E1029" s="35" t="s">
        <v>34</v>
      </c>
      <c r="F1029" s="35" t="s">
        <v>3851</v>
      </c>
      <c r="G1029" s="35" t="s">
        <v>4135</v>
      </c>
      <c r="H1029" s="35" t="s">
        <v>37</v>
      </c>
      <c r="I1029" s="35" t="s">
        <v>38</v>
      </c>
      <c r="J1029" s="35" t="s">
        <v>2397</v>
      </c>
      <c r="K1029" s="35" t="s">
        <v>2398</v>
      </c>
      <c r="L1029" s="35">
        <v>62510</v>
      </c>
      <c r="M1029" s="35">
        <v>0</v>
      </c>
      <c r="N1029" s="35">
        <v>0</v>
      </c>
      <c r="O1029" s="35">
        <v>391510</v>
      </c>
      <c r="P1029" s="35" t="s">
        <v>41</v>
      </c>
      <c r="Q1029" s="35" t="s">
        <v>42</v>
      </c>
      <c r="R1029" s="26"/>
      <c r="S1029" s="26"/>
      <c r="T1029" s="26"/>
      <c r="U1029" s="26"/>
      <c r="V1029" s="26"/>
      <c r="W1029" s="35" t="s">
        <v>43</v>
      </c>
      <c r="X1029" s="26" t="s">
        <v>4136</v>
      </c>
    </row>
    <row r="1030" spans="1:24" s="29" customFormat="1">
      <c r="A1030" s="35" t="s">
        <v>31</v>
      </c>
      <c r="B1030" s="35" t="s">
        <v>4137</v>
      </c>
      <c r="C1030" s="35" t="s">
        <v>4138</v>
      </c>
      <c r="D1030" s="35">
        <f t="shared" si="15"/>
        <v>-1</v>
      </c>
      <c r="E1030" s="35" t="s">
        <v>34</v>
      </c>
      <c r="F1030" s="35" t="s">
        <v>3851</v>
      </c>
      <c r="G1030" s="35" t="s">
        <v>4139</v>
      </c>
      <c r="H1030" s="35" t="s">
        <v>37</v>
      </c>
      <c r="I1030" s="35" t="s">
        <v>38</v>
      </c>
      <c r="J1030" s="35" t="s">
        <v>1610</v>
      </c>
      <c r="K1030" s="35" t="s">
        <v>1611</v>
      </c>
      <c r="L1030" s="35">
        <v>44650</v>
      </c>
      <c r="M1030" s="35">
        <v>0</v>
      </c>
      <c r="N1030" s="35">
        <v>0</v>
      </c>
      <c r="O1030" s="35">
        <v>279650</v>
      </c>
      <c r="P1030" s="35" t="s">
        <v>41</v>
      </c>
      <c r="Q1030" s="35" t="s">
        <v>42</v>
      </c>
      <c r="R1030" s="26"/>
      <c r="S1030" s="26"/>
      <c r="T1030" s="26"/>
      <c r="U1030" s="26"/>
      <c r="V1030" s="26"/>
      <c r="W1030" s="35" t="s">
        <v>43</v>
      </c>
      <c r="X1030" s="26" t="s">
        <v>1388</v>
      </c>
    </row>
    <row r="1031" spans="1:24" s="29" customFormat="1">
      <c r="A1031" s="35" t="s">
        <v>31</v>
      </c>
      <c r="B1031" s="35" t="s">
        <v>4140</v>
      </c>
      <c r="C1031" s="35" t="s">
        <v>4141</v>
      </c>
      <c r="D1031" s="35">
        <f t="shared" si="15"/>
        <v>-1</v>
      </c>
      <c r="E1031" s="35" t="s">
        <v>34</v>
      </c>
      <c r="F1031" s="35" t="s">
        <v>3851</v>
      </c>
      <c r="G1031" s="35" t="s">
        <v>4142</v>
      </c>
      <c r="H1031" s="35" t="s">
        <v>37</v>
      </c>
      <c r="I1031" s="35" t="s">
        <v>38</v>
      </c>
      <c r="J1031" s="35" t="s">
        <v>4143</v>
      </c>
      <c r="K1031" s="35" t="s">
        <v>4144</v>
      </c>
      <c r="L1031" s="35">
        <v>19142.88</v>
      </c>
      <c r="M1031" s="35">
        <v>0</v>
      </c>
      <c r="N1031" s="35">
        <v>0</v>
      </c>
      <c r="O1031" s="35">
        <v>119894.88</v>
      </c>
      <c r="P1031" s="35" t="s">
        <v>41</v>
      </c>
      <c r="Q1031" s="35" t="s">
        <v>42</v>
      </c>
      <c r="R1031" s="26"/>
      <c r="S1031" s="26"/>
      <c r="T1031" s="26"/>
      <c r="U1031" s="26"/>
      <c r="V1031" s="26"/>
      <c r="W1031" s="35" t="s">
        <v>43</v>
      </c>
      <c r="X1031" s="26" t="s">
        <v>501</v>
      </c>
    </row>
    <row r="1032" spans="1:24" s="29" customFormat="1">
      <c r="A1032" s="34" t="s">
        <v>31</v>
      </c>
      <c r="B1032" s="34" t="s">
        <v>4145</v>
      </c>
      <c r="C1032" s="34" t="s">
        <v>4146</v>
      </c>
      <c r="D1032" s="34">
        <f t="shared" si="15"/>
        <v>-1</v>
      </c>
      <c r="E1032" s="34" t="s">
        <v>34</v>
      </c>
      <c r="F1032" s="34" t="s">
        <v>3851</v>
      </c>
      <c r="G1032" s="34" t="s">
        <v>4147</v>
      </c>
      <c r="H1032" s="34" t="s">
        <v>37</v>
      </c>
      <c r="I1032" s="34" t="s">
        <v>38</v>
      </c>
      <c r="J1032" s="34" t="s">
        <v>1584</v>
      </c>
      <c r="K1032" s="34" t="s">
        <v>1585</v>
      </c>
      <c r="L1032" s="34">
        <v>34105</v>
      </c>
      <c r="M1032" s="34">
        <v>0</v>
      </c>
      <c r="N1032" s="34">
        <v>0</v>
      </c>
      <c r="O1032" s="34">
        <v>213605</v>
      </c>
      <c r="P1032" s="34" t="s">
        <v>41</v>
      </c>
      <c r="Q1032" s="34" t="s">
        <v>42</v>
      </c>
      <c r="R1032" s="26"/>
      <c r="S1032" s="26"/>
      <c r="T1032" s="26" t="s">
        <v>43</v>
      </c>
      <c r="U1032" s="26"/>
      <c r="V1032" s="26"/>
      <c r="W1032" s="26"/>
      <c r="X1032" s="26"/>
    </row>
    <row r="1033" spans="1:24" s="29" customFormat="1">
      <c r="A1033" s="34" t="s">
        <v>31</v>
      </c>
      <c r="B1033" s="34" t="s">
        <v>4148</v>
      </c>
      <c r="C1033" s="34" t="s">
        <v>4149</v>
      </c>
      <c r="D1033" s="34">
        <f t="shared" si="15"/>
        <v>-1</v>
      </c>
      <c r="E1033" s="34" t="s">
        <v>34</v>
      </c>
      <c r="F1033" s="34" t="s">
        <v>3851</v>
      </c>
      <c r="G1033" s="34" t="s">
        <v>4150</v>
      </c>
      <c r="H1033" s="34" t="s">
        <v>37</v>
      </c>
      <c r="I1033" s="34" t="s">
        <v>38</v>
      </c>
      <c r="J1033" s="34" t="s">
        <v>2822</v>
      </c>
      <c r="K1033" s="34" t="s">
        <v>2823</v>
      </c>
      <c r="L1033" s="34">
        <v>125780</v>
      </c>
      <c r="M1033" s="34">
        <v>0</v>
      </c>
      <c r="N1033" s="34">
        <v>0</v>
      </c>
      <c r="O1033" s="34">
        <v>787780</v>
      </c>
      <c r="P1033" s="34" t="s">
        <v>41</v>
      </c>
      <c r="Q1033" s="34" t="s">
        <v>42</v>
      </c>
      <c r="R1033" s="26"/>
      <c r="S1033" s="26"/>
      <c r="T1033" s="26" t="s">
        <v>43</v>
      </c>
      <c r="U1033" s="26"/>
      <c r="V1033" s="26"/>
      <c r="W1033" s="26"/>
      <c r="X1033" s="26"/>
    </row>
    <row r="1034" spans="1:24" s="29" customFormat="1">
      <c r="A1034" s="34" t="s">
        <v>31</v>
      </c>
      <c r="B1034" s="34" t="s">
        <v>4151</v>
      </c>
      <c r="C1034" s="34" t="s">
        <v>4152</v>
      </c>
      <c r="D1034" s="34">
        <f t="shared" si="15"/>
        <v>-1</v>
      </c>
      <c r="E1034" s="34" t="s">
        <v>34</v>
      </c>
      <c r="F1034" s="34" t="s">
        <v>3851</v>
      </c>
      <c r="G1034" s="34" t="s">
        <v>4153</v>
      </c>
      <c r="H1034" s="34" t="s">
        <v>37</v>
      </c>
      <c r="I1034" s="34" t="s">
        <v>38</v>
      </c>
      <c r="J1034" s="34" t="s">
        <v>2822</v>
      </c>
      <c r="K1034" s="34" t="s">
        <v>2823</v>
      </c>
      <c r="L1034" s="34">
        <v>125780</v>
      </c>
      <c r="M1034" s="34">
        <v>0</v>
      </c>
      <c r="N1034" s="34">
        <v>0</v>
      </c>
      <c r="O1034" s="34">
        <v>787780</v>
      </c>
      <c r="P1034" s="34" t="s">
        <v>41</v>
      </c>
      <c r="Q1034" s="34" t="s">
        <v>42</v>
      </c>
      <c r="R1034" s="26"/>
      <c r="S1034" s="26"/>
      <c r="T1034" s="26" t="s">
        <v>43</v>
      </c>
      <c r="U1034" s="26"/>
      <c r="V1034" s="26"/>
      <c r="W1034" s="26"/>
      <c r="X1034" s="26"/>
    </row>
    <row r="1035" spans="1:24" s="29" customFormat="1">
      <c r="A1035" s="26" t="s">
        <v>31</v>
      </c>
      <c r="B1035" s="26" t="s">
        <v>4154</v>
      </c>
      <c r="C1035" s="26" t="s">
        <v>4155</v>
      </c>
      <c r="D1035" s="26">
        <f t="shared" si="15"/>
        <v>-1</v>
      </c>
      <c r="E1035" s="26" t="s">
        <v>34</v>
      </c>
      <c r="F1035" s="26" t="s">
        <v>3851</v>
      </c>
      <c r="G1035" s="26" t="s">
        <v>4156</v>
      </c>
      <c r="H1035" s="26" t="s">
        <v>37</v>
      </c>
      <c r="I1035" s="26" t="s">
        <v>38</v>
      </c>
      <c r="J1035" s="26" t="s">
        <v>4157</v>
      </c>
      <c r="K1035" s="26" t="s">
        <v>4158</v>
      </c>
      <c r="L1035" s="26">
        <v>147778.20000000001</v>
      </c>
      <c r="M1035" s="26">
        <v>0</v>
      </c>
      <c r="N1035" s="26">
        <v>0</v>
      </c>
      <c r="O1035" s="26">
        <v>925558.2</v>
      </c>
      <c r="P1035" s="26" t="s">
        <v>41</v>
      </c>
      <c r="Q1035" s="26" t="s">
        <v>42</v>
      </c>
      <c r="R1035" s="26"/>
      <c r="S1035" s="26"/>
      <c r="T1035" s="26"/>
      <c r="U1035" s="26"/>
      <c r="V1035" s="26" t="s">
        <v>43</v>
      </c>
      <c r="W1035" s="26"/>
      <c r="X1035" s="26"/>
    </row>
    <row r="1036" spans="1:24" s="29" customFormat="1">
      <c r="A1036" s="35" t="s">
        <v>31</v>
      </c>
      <c r="B1036" s="35" t="s">
        <v>4159</v>
      </c>
      <c r="C1036" s="35" t="s">
        <v>4160</v>
      </c>
      <c r="D1036" s="35">
        <f t="shared" si="15"/>
        <v>-1</v>
      </c>
      <c r="E1036" s="35" t="s">
        <v>34</v>
      </c>
      <c r="F1036" s="35" t="s">
        <v>3851</v>
      </c>
      <c r="G1036" s="35" t="s">
        <v>4161</v>
      </c>
      <c r="H1036" s="35" t="s">
        <v>37</v>
      </c>
      <c r="I1036" s="35" t="s">
        <v>38</v>
      </c>
      <c r="J1036" s="35" t="s">
        <v>311</v>
      </c>
      <c r="K1036" s="35" t="s">
        <v>312</v>
      </c>
      <c r="L1036" s="35">
        <v>386346</v>
      </c>
      <c r="M1036" s="35">
        <v>0</v>
      </c>
      <c r="N1036" s="35">
        <v>0</v>
      </c>
      <c r="O1036" s="35">
        <v>2419746</v>
      </c>
      <c r="P1036" s="35" t="s">
        <v>41</v>
      </c>
      <c r="Q1036" s="35" t="s">
        <v>42</v>
      </c>
      <c r="R1036" s="26"/>
      <c r="S1036" s="26"/>
      <c r="T1036" s="26"/>
      <c r="U1036" s="26"/>
      <c r="V1036" s="26"/>
      <c r="W1036" s="35" t="s">
        <v>43</v>
      </c>
      <c r="X1036" s="26" t="s">
        <v>4132</v>
      </c>
    </row>
    <row r="1037" spans="1:24" s="29" customFormat="1">
      <c r="A1037" s="26" t="s">
        <v>31</v>
      </c>
      <c r="B1037" s="26" t="s">
        <v>4162</v>
      </c>
      <c r="C1037" s="26" t="s">
        <v>4163</v>
      </c>
      <c r="D1037" s="26">
        <f t="shared" ref="D1037:D1100" si="16">C1037-C1038</f>
        <v>-1</v>
      </c>
      <c r="E1037" s="26" t="s">
        <v>34</v>
      </c>
      <c r="F1037" s="26" t="s">
        <v>3851</v>
      </c>
      <c r="G1037" s="26" t="s">
        <v>4164</v>
      </c>
      <c r="H1037" s="26" t="s">
        <v>37</v>
      </c>
      <c r="I1037" s="26" t="s">
        <v>38</v>
      </c>
      <c r="J1037" s="26" t="s">
        <v>4165</v>
      </c>
      <c r="K1037" s="26" t="s">
        <v>4166</v>
      </c>
      <c r="L1037" s="26">
        <v>228000</v>
      </c>
      <c r="M1037" s="26">
        <v>0</v>
      </c>
      <c r="N1037" s="26">
        <v>0</v>
      </c>
      <c r="O1037" s="26">
        <v>1428000</v>
      </c>
      <c r="P1037" s="26" t="s">
        <v>41</v>
      </c>
      <c r="Q1037" s="26" t="s">
        <v>42</v>
      </c>
      <c r="R1037" s="26"/>
      <c r="S1037" s="26"/>
      <c r="T1037" s="26"/>
      <c r="U1037" s="26"/>
      <c r="V1037" s="26" t="s">
        <v>43</v>
      </c>
      <c r="W1037" s="26"/>
      <c r="X1037" s="26"/>
    </row>
    <row r="1038" spans="1:24" s="29" customFormat="1">
      <c r="A1038" s="26" t="s">
        <v>31</v>
      </c>
      <c r="B1038" s="26" t="s">
        <v>4167</v>
      </c>
      <c r="C1038" s="26" t="s">
        <v>4168</v>
      </c>
      <c r="D1038" s="26">
        <f t="shared" si="16"/>
        <v>-1</v>
      </c>
      <c r="E1038" s="26" t="s">
        <v>34</v>
      </c>
      <c r="F1038" s="26" t="s">
        <v>3851</v>
      </c>
      <c r="G1038" s="26" t="s">
        <v>4169</v>
      </c>
      <c r="H1038" s="26" t="s">
        <v>37</v>
      </c>
      <c r="I1038" s="26" t="s">
        <v>38</v>
      </c>
      <c r="J1038" s="26" t="s">
        <v>4170</v>
      </c>
      <c r="K1038" s="26" t="s">
        <v>4171</v>
      </c>
      <c r="L1038" s="26">
        <v>256500</v>
      </c>
      <c r="M1038" s="26">
        <v>0</v>
      </c>
      <c r="N1038" s="26">
        <v>0</v>
      </c>
      <c r="O1038" s="26">
        <v>1606500</v>
      </c>
      <c r="P1038" s="26" t="s">
        <v>41</v>
      </c>
      <c r="Q1038" s="26" t="s">
        <v>42</v>
      </c>
      <c r="R1038" s="26"/>
      <c r="S1038" s="26"/>
      <c r="T1038" s="26"/>
      <c r="U1038" s="26"/>
      <c r="V1038" s="26" t="s">
        <v>43</v>
      </c>
      <c r="W1038" s="26"/>
      <c r="X1038" s="26"/>
    </row>
    <row r="1039" spans="1:24" s="29" customFormat="1">
      <c r="A1039" s="26" t="s">
        <v>31</v>
      </c>
      <c r="B1039" s="26" t="s">
        <v>4172</v>
      </c>
      <c r="C1039" s="26" t="s">
        <v>4173</v>
      </c>
      <c r="D1039" s="26">
        <f t="shared" si="16"/>
        <v>-1</v>
      </c>
      <c r="E1039" s="26" t="s">
        <v>34</v>
      </c>
      <c r="F1039" s="26" t="s">
        <v>3851</v>
      </c>
      <c r="G1039" s="26" t="s">
        <v>4174</v>
      </c>
      <c r="H1039" s="26" t="s">
        <v>37</v>
      </c>
      <c r="I1039" s="26" t="s">
        <v>38</v>
      </c>
      <c r="J1039" s="26" t="s">
        <v>4175</v>
      </c>
      <c r="K1039" s="26" t="s">
        <v>4176</v>
      </c>
      <c r="L1039" s="26">
        <v>171000</v>
      </c>
      <c r="M1039" s="26">
        <v>0</v>
      </c>
      <c r="N1039" s="26">
        <v>0</v>
      </c>
      <c r="O1039" s="26">
        <v>1071000</v>
      </c>
      <c r="P1039" s="26" t="s">
        <v>41</v>
      </c>
      <c r="Q1039" s="26" t="s">
        <v>42</v>
      </c>
      <c r="R1039" s="26"/>
      <c r="S1039" s="26"/>
      <c r="T1039" s="26"/>
      <c r="U1039" s="26"/>
      <c r="V1039" s="26" t="s">
        <v>43</v>
      </c>
      <c r="W1039" s="26"/>
      <c r="X1039" s="26"/>
    </row>
    <row r="1040" spans="1:24" s="29" customFormat="1">
      <c r="A1040" s="34" t="s">
        <v>31</v>
      </c>
      <c r="B1040" s="34" t="s">
        <v>4177</v>
      </c>
      <c r="C1040" s="34" t="s">
        <v>4178</v>
      </c>
      <c r="D1040" s="34">
        <f t="shared" si="16"/>
        <v>-1</v>
      </c>
      <c r="E1040" s="34" t="s">
        <v>34</v>
      </c>
      <c r="F1040" s="34" t="s">
        <v>3851</v>
      </c>
      <c r="G1040" s="34" t="s">
        <v>4179</v>
      </c>
      <c r="H1040" s="34" t="s">
        <v>37</v>
      </c>
      <c r="I1040" s="34" t="s">
        <v>38</v>
      </c>
      <c r="J1040" s="34" t="s">
        <v>2611</v>
      </c>
      <c r="K1040" s="34" t="s">
        <v>2612</v>
      </c>
      <c r="L1040" s="34">
        <v>223250</v>
      </c>
      <c r="M1040" s="34">
        <v>0</v>
      </c>
      <c r="N1040" s="34">
        <v>0</v>
      </c>
      <c r="O1040" s="34">
        <v>1398250</v>
      </c>
      <c r="P1040" s="34" t="s">
        <v>41</v>
      </c>
      <c r="Q1040" s="34" t="s">
        <v>42</v>
      </c>
      <c r="R1040" s="26"/>
      <c r="S1040" s="26"/>
      <c r="T1040" s="26" t="s">
        <v>43</v>
      </c>
      <c r="U1040" s="26"/>
      <c r="V1040" s="26"/>
      <c r="W1040" s="26"/>
      <c r="X1040" s="26"/>
    </row>
    <row r="1041" spans="1:24" s="29" customFormat="1">
      <c r="A1041" s="32" t="s">
        <v>31</v>
      </c>
      <c r="B1041" s="32" t="s">
        <v>4180</v>
      </c>
      <c r="C1041" s="32" t="s">
        <v>4181</v>
      </c>
      <c r="D1041" s="32">
        <f t="shared" si="16"/>
        <v>-1</v>
      </c>
      <c r="E1041" s="32" t="s">
        <v>34</v>
      </c>
      <c r="F1041" s="32" t="s">
        <v>3851</v>
      </c>
      <c r="G1041" s="32" t="s">
        <v>4182</v>
      </c>
      <c r="H1041" s="32" t="s">
        <v>37</v>
      </c>
      <c r="I1041" s="32" t="s">
        <v>38</v>
      </c>
      <c r="J1041" s="32" t="s">
        <v>69</v>
      </c>
      <c r="K1041" s="32" t="s">
        <v>70</v>
      </c>
      <c r="L1041" s="32">
        <v>41712.6</v>
      </c>
      <c r="M1041" s="32">
        <v>0</v>
      </c>
      <c r="N1041" s="32">
        <v>0</v>
      </c>
      <c r="O1041" s="32">
        <v>261252.6</v>
      </c>
      <c r="P1041" s="32" t="s">
        <v>41</v>
      </c>
      <c r="Q1041" s="32" t="s">
        <v>42</v>
      </c>
      <c r="R1041" s="26" t="s">
        <v>43</v>
      </c>
      <c r="S1041" s="26"/>
      <c r="T1041" s="26"/>
      <c r="U1041" s="26"/>
      <c r="V1041" s="26"/>
      <c r="W1041" s="26"/>
      <c r="X1041" s="26"/>
    </row>
    <row r="1042" spans="1:24" s="29" customFormat="1">
      <c r="A1042" s="34" t="s">
        <v>31</v>
      </c>
      <c r="B1042" s="34" t="s">
        <v>4183</v>
      </c>
      <c r="C1042" s="34" t="s">
        <v>4184</v>
      </c>
      <c r="D1042" s="34">
        <f t="shared" si="16"/>
        <v>-1</v>
      </c>
      <c r="E1042" s="34" t="s">
        <v>34</v>
      </c>
      <c r="F1042" s="34" t="s">
        <v>3851</v>
      </c>
      <c r="G1042" s="34" t="s">
        <v>4185</v>
      </c>
      <c r="H1042" s="34" t="s">
        <v>37</v>
      </c>
      <c r="I1042" s="34" t="s">
        <v>38</v>
      </c>
      <c r="J1042" s="34" t="s">
        <v>69</v>
      </c>
      <c r="K1042" s="34" t="s">
        <v>70</v>
      </c>
      <c r="L1042" s="34">
        <v>157194.03</v>
      </c>
      <c r="M1042" s="34">
        <v>0</v>
      </c>
      <c r="N1042" s="34">
        <v>0</v>
      </c>
      <c r="O1042" s="34">
        <v>984531.03</v>
      </c>
      <c r="P1042" s="34" t="s">
        <v>41</v>
      </c>
      <c r="Q1042" s="34" t="s">
        <v>42</v>
      </c>
      <c r="R1042" s="26"/>
      <c r="S1042" s="26"/>
      <c r="T1042" s="26" t="s">
        <v>43</v>
      </c>
      <c r="U1042" s="26"/>
      <c r="V1042" s="26"/>
      <c r="W1042" s="26"/>
      <c r="X1042" s="26"/>
    </row>
    <row r="1043" spans="1:24" s="29" customFormat="1">
      <c r="A1043" s="34" t="s">
        <v>31</v>
      </c>
      <c r="B1043" s="34" t="s">
        <v>4186</v>
      </c>
      <c r="C1043" s="34" t="s">
        <v>4187</v>
      </c>
      <c r="D1043" s="34">
        <f t="shared" si="16"/>
        <v>-1</v>
      </c>
      <c r="E1043" s="34" t="s">
        <v>34</v>
      </c>
      <c r="F1043" s="34" t="s">
        <v>3851</v>
      </c>
      <c r="G1043" s="34" t="s">
        <v>4188</v>
      </c>
      <c r="H1043" s="34" t="s">
        <v>37</v>
      </c>
      <c r="I1043" s="34" t="s">
        <v>38</v>
      </c>
      <c r="J1043" s="34" t="s">
        <v>52</v>
      </c>
      <c r="K1043" s="34" t="s">
        <v>53</v>
      </c>
      <c r="L1043" s="34">
        <v>510349.5</v>
      </c>
      <c r="M1043" s="34">
        <v>0</v>
      </c>
      <c r="N1043" s="34">
        <v>0</v>
      </c>
      <c r="O1043" s="34">
        <v>3196399.5</v>
      </c>
      <c r="P1043" s="34" t="s">
        <v>41</v>
      </c>
      <c r="Q1043" s="34" t="s">
        <v>42</v>
      </c>
      <c r="R1043" s="26"/>
      <c r="S1043" s="26"/>
      <c r="T1043" s="26" t="s">
        <v>43</v>
      </c>
      <c r="U1043" s="26"/>
      <c r="V1043" s="26"/>
      <c r="W1043" s="26"/>
      <c r="X1043" s="26"/>
    </row>
    <row r="1044" spans="1:24" s="29" customFormat="1">
      <c r="A1044" s="32" t="s">
        <v>31</v>
      </c>
      <c r="B1044" s="32" t="s">
        <v>4189</v>
      </c>
      <c r="C1044" s="32" t="s">
        <v>4190</v>
      </c>
      <c r="D1044" s="32">
        <f t="shared" si="16"/>
        <v>-1</v>
      </c>
      <c r="E1044" s="32" t="s">
        <v>34</v>
      </c>
      <c r="F1044" s="32" t="s">
        <v>3851</v>
      </c>
      <c r="G1044" s="32" t="s">
        <v>4191</v>
      </c>
      <c r="H1044" s="32" t="s">
        <v>37</v>
      </c>
      <c r="I1044" s="32" t="s">
        <v>38</v>
      </c>
      <c r="J1044" s="32" t="s">
        <v>155</v>
      </c>
      <c r="K1044" s="32" t="s">
        <v>156</v>
      </c>
      <c r="L1044" s="32">
        <v>57000</v>
      </c>
      <c r="M1044" s="32">
        <v>0</v>
      </c>
      <c r="N1044" s="32">
        <v>0</v>
      </c>
      <c r="O1044" s="32">
        <v>357000</v>
      </c>
      <c r="P1044" s="32" t="s">
        <v>41</v>
      </c>
      <c r="Q1044" s="32" t="s">
        <v>42</v>
      </c>
      <c r="R1044" s="26" t="s">
        <v>43</v>
      </c>
      <c r="S1044" s="26"/>
      <c r="T1044" s="26"/>
      <c r="U1044" s="26"/>
      <c r="V1044" s="26"/>
      <c r="W1044" s="26"/>
      <c r="X1044" s="26"/>
    </row>
    <row r="1045" spans="1:24" s="29" customFormat="1">
      <c r="A1045" s="35" t="s">
        <v>31</v>
      </c>
      <c r="B1045" s="35" t="s">
        <v>4192</v>
      </c>
      <c r="C1045" s="35" t="s">
        <v>4193</v>
      </c>
      <c r="D1045" s="35">
        <f t="shared" si="16"/>
        <v>-1</v>
      </c>
      <c r="E1045" s="35" t="s">
        <v>34</v>
      </c>
      <c r="F1045" s="35" t="s">
        <v>3851</v>
      </c>
      <c r="G1045" s="35" t="s">
        <v>4194</v>
      </c>
      <c r="H1045" s="35" t="s">
        <v>37</v>
      </c>
      <c r="I1045" s="35" t="s">
        <v>38</v>
      </c>
      <c r="J1045" s="35" t="s">
        <v>4195</v>
      </c>
      <c r="K1045" s="35" t="s">
        <v>4196</v>
      </c>
      <c r="L1045" s="35">
        <v>33250</v>
      </c>
      <c r="M1045" s="35">
        <v>0</v>
      </c>
      <c r="N1045" s="35">
        <v>0</v>
      </c>
      <c r="O1045" s="35">
        <v>208250</v>
      </c>
      <c r="P1045" s="35" t="s">
        <v>41</v>
      </c>
      <c r="Q1045" s="35" t="s">
        <v>42</v>
      </c>
      <c r="R1045" s="26"/>
      <c r="S1045" s="26"/>
      <c r="T1045" s="26"/>
      <c r="U1045" s="26"/>
      <c r="V1045" s="26"/>
      <c r="W1045" s="35" t="s">
        <v>43</v>
      </c>
      <c r="X1045" s="26" t="s">
        <v>4197</v>
      </c>
    </row>
    <row r="1046" spans="1:24" s="29" customFormat="1">
      <c r="A1046" s="32" t="s">
        <v>31</v>
      </c>
      <c r="B1046" s="32" t="s">
        <v>4198</v>
      </c>
      <c r="C1046" s="32" t="s">
        <v>4199</v>
      </c>
      <c r="D1046" s="32">
        <f t="shared" si="16"/>
        <v>-1</v>
      </c>
      <c r="E1046" s="32" t="s">
        <v>34</v>
      </c>
      <c r="F1046" s="32" t="s">
        <v>3851</v>
      </c>
      <c r="G1046" s="32" t="s">
        <v>4200</v>
      </c>
      <c r="H1046" s="32" t="s">
        <v>37</v>
      </c>
      <c r="I1046" s="32" t="s">
        <v>38</v>
      </c>
      <c r="J1046" s="32" t="s">
        <v>1461</v>
      </c>
      <c r="K1046" s="32" t="s">
        <v>1462</v>
      </c>
      <c r="L1046" s="32">
        <v>154479.5</v>
      </c>
      <c r="M1046" s="32">
        <v>0</v>
      </c>
      <c r="N1046" s="32">
        <v>0</v>
      </c>
      <c r="O1046" s="32">
        <v>967529.5</v>
      </c>
      <c r="P1046" s="32" t="s">
        <v>41</v>
      </c>
      <c r="Q1046" s="32" t="s">
        <v>42</v>
      </c>
      <c r="R1046" s="26" t="s">
        <v>43</v>
      </c>
      <c r="S1046" s="26"/>
      <c r="T1046" s="26"/>
      <c r="U1046" s="26"/>
      <c r="V1046" s="26"/>
      <c r="W1046" s="26"/>
      <c r="X1046" s="26"/>
    </row>
    <row r="1047" spans="1:24" s="29" customFormat="1">
      <c r="A1047" s="35" t="s">
        <v>31</v>
      </c>
      <c r="B1047" s="35" t="s">
        <v>4201</v>
      </c>
      <c r="C1047" s="35" t="s">
        <v>4202</v>
      </c>
      <c r="D1047" s="35">
        <f t="shared" si="16"/>
        <v>-1</v>
      </c>
      <c r="E1047" s="35" t="s">
        <v>34</v>
      </c>
      <c r="F1047" s="35" t="s">
        <v>3851</v>
      </c>
      <c r="G1047" s="35" t="s">
        <v>4203</v>
      </c>
      <c r="H1047" s="35" t="s">
        <v>37</v>
      </c>
      <c r="I1047" s="35" t="s">
        <v>38</v>
      </c>
      <c r="J1047" s="35" t="s">
        <v>4204</v>
      </c>
      <c r="K1047" s="35" t="s">
        <v>4205</v>
      </c>
      <c r="L1047" s="35">
        <v>97280</v>
      </c>
      <c r="M1047" s="35">
        <v>0</v>
      </c>
      <c r="N1047" s="35">
        <v>0</v>
      </c>
      <c r="O1047" s="35">
        <v>609280</v>
      </c>
      <c r="P1047" s="35" t="s">
        <v>41</v>
      </c>
      <c r="Q1047" s="35" t="s">
        <v>42</v>
      </c>
      <c r="R1047" s="26"/>
      <c r="S1047" s="26"/>
      <c r="T1047" s="26"/>
      <c r="U1047" s="26"/>
      <c r="V1047" s="26"/>
      <c r="W1047" s="35" t="s">
        <v>43</v>
      </c>
      <c r="X1047" s="26" t="s">
        <v>920</v>
      </c>
    </row>
    <row r="1048" spans="1:24" s="29" customFormat="1">
      <c r="A1048" s="34" t="s">
        <v>31</v>
      </c>
      <c r="B1048" s="34" t="s">
        <v>4206</v>
      </c>
      <c r="C1048" s="34" t="s">
        <v>4207</v>
      </c>
      <c r="D1048" s="34">
        <f t="shared" si="16"/>
        <v>-1</v>
      </c>
      <c r="E1048" s="34" t="s">
        <v>34</v>
      </c>
      <c r="F1048" s="34" t="s">
        <v>3851</v>
      </c>
      <c r="G1048" s="34" t="s">
        <v>4208</v>
      </c>
      <c r="H1048" s="34" t="s">
        <v>37</v>
      </c>
      <c r="I1048" s="34" t="s">
        <v>38</v>
      </c>
      <c r="J1048" s="34" t="s">
        <v>4209</v>
      </c>
      <c r="K1048" s="34" t="s">
        <v>4210</v>
      </c>
      <c r="L1048" s="34">
        <v>953629</v>
      </c>
      <c r="M1048" s="34">
        <v>0</v>
      </c>
      <c r="N1048" s="34">
        <v>0</v>
      </c>
      <c r="O1048" s="34">
        <v>5972729</v>
      </c>
      <c r="P1048" s="34" t="s">
        <v>41</v>
      </c>
      <c r="Q1048" s="34" t="s">
        <v>42</v>
      </c>
      <c r="R1048" s="26"/>
      <c r="S1048" s="26"/>
      <c r="T1048" s="26" t="s">
        <v>43</v>
      </c>
      <c r="U1048" s="26"/>
      <c r="V1048" s="26"/>
      <c r="W1048" s="26"/>
      <c r="X1048" s="26"/>
    </row>
    <row r="1049" spans="1:24" s="29" customFormat="1">
      <c r="A1049" s="34" t="s">
        <v>31</v>
      </c>
      <c r="B1049" s="34" t="s">
        <v>4211</v>
      </c>
      <c r="C1049" s="34" t="s">
        <v>4212</v>
      </c>
      <c r="D1049" s="34">
        <f t="shared" si="16"/>
        <v>-1</v>
      </c>
      <c r="E1049" s="34" t="s">
        <v>34</v>
      </c>
      <c r="F1049" s="34" t="s">
        <v>3851</v>
      </c>
      <c r="G1049" s="34" t="s">
        <v>4213</v>
      </c>
      <c r="H1049" s="34" t="s">
        <v>37</v>
      </c>
      <c r="I1049" s="34" t="s">
        <v>38</v>
      </c>
      <c r="J1049" s="34" t="s">
        <v>4214</v>
      </c>
      <c r="K1049" s="34" t="s">
        <v>4215</v>
      </c>
      <c r="L1049" s="34">
        <v>43320</v>
      </c>
      <c r="M1049" s="34">
        <v>0</v>
      </c>
      <c r="N1049" s="34">
        <v>0</v>
      </c>
      <c r="O1049" s="34">
        <v>271320</v>
      </c>
      <c r="P1049" s="34" t="s">
        <v>41</v>
      </c>
      <c r="Q1049" s="34" t="s">
        <v>42</v>
      </c>
      <c r="R1049" s="26"/>
      <c r="S1049" s="26"/>
      <c r="T1049" s="26" t="s">
        <v>43</v>
      </c>
      <c r="U1049" s="26"/>
      <c r="V1049" s="26"/>
      <c r="W1049" s="26"/>
      <c r="X1049" s="26"/>
    </row>
    <row r="1050" spans="1:24" s="29" customFormat="1">
      <c r="A1050" s="34" t="s">
        <v>31</v>
      </c>
      <c r="B1050" s="34" t="s">
        <v>4216</v>
      </c>
      <c r="C1050" s="34" t="s">
        <v>4217</v>
      </c>
      <c r="D1050" s="34">
        <f t="shared" si="16"/>
        <v>-1</v>
      </c>
      <c r="E1050" s="34" t="s">
        <v>34</v>
      </c>
      <c r="F1050" s="34" t="s">
        <v>3851</v>
      </c>
      <c r="G1050" s="34" t="s">
        <v>4218</v>
      </c>
      <c r="H1050" s="34" t="s">
        <v>37</v>
      </c>
      <c r="I1050" s="34" t="s">
        <v>38</v>
      </c>
      <c r="J1050" s="34" t="s">
        <v>4214</v>
      </c>
      <c r="K1050" s="34" t="s">
        <v>4215</v>
      </c>
      <c r="L1050" s="34">
        <v>86640</v>
      </c>
      <c r="M1050" s="34">
        <v>0</v>
      </c>
      <c r="N1050" s="34">
        <v>0</v>
      </c>
      <c r="O1050" s="34">
        <v>542640</v>
      </c>
      <c r="P1050" s="34" t="s">
        <v>41</v>
      </c>
      <c r="Q1050" s="34" t="s">
        <v>42</v>
      </c>
      <c r="R1050" s="26"/>
      <c r="S1050" s="26"/>
      <c r="T1050" s="26" t="s">
        <v>43</v>
      </c>
      <c r="U1050" s="26"/>
      <c r="V1050" s="26"/>
      <c r="W1050" s="26"/>
      <c r="X1050" s="26"/>
    </row>
    <row r="1051" spans="1:24" s="29" customFormat="1">
      <c r="A1051" s="26" t="s">
        <v>31</v>
      </c>
      <c r="B1051" s="26" t="s">
        <v>4219</v>
      </c>
      <c r="C1051" s="26" t="s">
        <v>4220</v>
      </c>
      <c r="D1051" s="26">
        <f t="shared" si="16"/>
        <v>-1</v>
      </c>
      <c r="E1051" s="26" t="s">
        <v>34</v>
      </c>
      <c r="F1051" s="26" t="s">
        <v>3851</v>
      </c>
      <c r="G1051" s="26" t="s">
        <v>4221</v>
      </c>
      <c r="H1051" s="26" t="s">
        <v>37</v>
      </c>
      <c r="I1051" s="26" t="s">
        <v>38</v>
      </c>
      <c r="J1051" s="26" t="s">
        <v>2451</v>
      </c>
      <c r="K1051" s="26" t="s">
        <v>2452</v>
      </c>
      <c r="L1051" s="26">
        <v>225653.5</v>
      </c>
      <c r="M1051" s="26">
        <v>0</v>
      </c>
      <c r="N1051" s="26">
        <v>0</v>
      </c>
      <c r="O1051" s="26">
        <v>1413303.5</v>
      </c>
      <c r="P1051" s="26" t="s">
        <v>41</v>
      </c>
      <c r="Q1051" s="26" t="s">
        <v>42</v>
      </c>
      <c r="R1051" s="26"/>
      <c r="S1051" s="26"/>
      <c r="T1051" s="26"/>
      <c r="U1051" s="26"/>
      <c r="V1051" s="26" t="s">
        <v>43</v>
      </c>
      <c r="W1051" s="26"/>
      <c r="X1051" s="26"/>
    </row>
    <row r="1052" spans="1:24" s="29" customFormat="1">
      <c r="A1052" s="32" t="s">
        <v>31</v>
      </c>
      <c r="B1052" s="32" t="s">
        <v>4222</v>
      </c>
      <c r="C1052" s="32" t="s">
        <v>4223</v>
      </c>
      <c r="D1052" s="32">
        <f t="shared" si="16"/>
        <v>-1</v>
      </c>
      <c r="E1052" s="32" t="s">
        <v>34</v>
      </c>
      <c r="F1052" s="32" t="s">
        <v>4224</v>
      </c>
      <c r="G1052" s="32" t="s">
        <v>4225</v>
      </c>
      <c r="H1052" s="32" t="s">
        <v>37</v>
      </c>
      <c r="I1052" s="32" t="s">
        <v>38</v>
      </c>
      <c r="J1052" s="32" t="s">
        <v>1629</v>
      </c>
      <c r="K1052" s="32" t="s">
        <v>1630</v>
      </c>
      <c r="L1052" s="32">
        <v>486400</v>
      </c>
      <c r="M1052" s="32">
        <v>0</v>
      </c>
      <c r="N1052" s="32">
        <v>0</v>
      </c>
      <c r="O1052" s="32">
        <v>3046400</v>
      </c>
      <c r="P1052" s="32" t="s">
        <v>41</v>
      </c>
      <c r="Q1052" s="32" t="s">
        <v>42</v>
      </c>
      <c r="R1052" s="26" t="s">
        <v>43</v>
      </c>
      <c r="S1052" s="26"/>
      <c r="T1052" s="26"/>
      <c r="U1052" s="26"/>
      <c r="V1052" s="26"/>
      <c r="W1052" s="26"/>
      <c r="X1052" s="26"/>
    </row>
    <row r="1053" spans="1:24" s="29" customFormat="1">
      <c r="A1053" s="26" t="s">
        <v>31</v>
      </c>
      <c r="B1053" s="26" t="s">
        <v>4226</v>
      </c>
      <c r="C1053" s="26" t="s">
        <v>4227</v>
      </c>
      <c r="D1053" s="26">
        <f t="shared" si="16"/>
        <v>-1</v>
      </c>
      <c r="E1053" s="26" t="s">
        <v>34</v>
      </c>
      <c r="F1053" s="26" t="s">
        <v>4224</v>
      </c>
      <c r="G1053" s="26" t="s">
        <v>4228</v>
      </c>
      <c r="H1053" s="26" t="s">
        <v>37</v>
      </c>
      <c r="I1053" s="26" t="s">
        <v>38</v>
      </c>
      <c r="J1053" s="26" t="s">
        <v>2279</v>
      </c>
      <c r="K1053" s="26" t="s">
        <v>2280</v>
      </c>
      <c r="L1053" s="26">
        <v>928298.96</v>
      </c>
      <c r="M1053" s="26">
        <v>0</v>
      </c>
      <c r="N1053" s="26">
        <v>0</v>
      </c>
      <c r="O1053" s="26">
        <v>5814082.96</v>
      </c>
      <c r="P1053" s="26" t="s">
        <v>41</v>
      </c>
      <c r="Q1053" s="26" t="s">
        <v>42</v>
      </c>
      <c r="R1053" s="26"/>
      <c r="S1053" s="26"/>
      <c r="T1053" s="26"/>
      <c r="U1053" s="26"/>
      <c r="V1053" s="26" t="s">
        <v>43</v>
      </c>
      <c r="W1053" s="26"/>
      <c r="X1053" s="26"/>
    </row>
    <row r="1054" spans="1:24" s="29" customFormat="1">
      <c r="A1054" s="26" t="s">
        <v>31</v>
      </c>
      <c r="B1054" s="26" t="s">
        <v>4229</v>
      </c>
      <c r="C1054" s="26" t="s">
        <v>4230</v>
      </c>
      <c r="D1054" s="26">
        <f t="shared" si="16"/>
        <v>-1</v>
      </c>
      <c r="E1054" s="26" t="s">
        <v>34</v>
      </c>
      <c r="F1054" s="26" t="s">
        <v>4224</v>
      </c>
      <c r="G1054" s="26" t="s">
        <v>4231</v>
      </c>
      <c r="H1054" s="26" t="s">
        <v>37</v>
      </c>
      <c r="I1054" s="26" t="s">
        <v>38</v>
      </c>
      <c r="J1054" s="26" t="s">
        <v>1014</v>
      </c>
      <c r="K1054" s="26" t="s">
        <v>1015</v>
      </c>
      <c r="L1054" s="26">
        <v>33174</v>
      </c>
      <c r="M1054" s="26">
        <v>0</v>
      </c>
      <c r="N1054" s="26">
        <v>0</v>
      </c>
      <c r="O1054" s="26">
        <v>207774</v>
      </c>
      <c r="P1054" s="26" t="s">
        <v>41</v>
      </c>
      <c r="Q1054" s="26" t="s">
        <v>42</v>
      </c>
      <c r="R1054" s="26"/>
      <c r="S1054" s="26"/>
      <c r="T1054" s="26"/>
      <c r="U1054" s="26"/>
      <c r="V1054" s="26" t="s">
        <v>43</v>
      </c>
      <c r="W1054" s="26"/>
      <c r="X1054" s="26"/>
    </row>
    <row r="1055" spans="1:24" s="29" customFormat="1">
      <c r="A1055" s="26" t="s">
        <v>31</v>
      </c>
      <c r="B1055" s="26" t="s">
        <v>4232</v>
      </c>
      <c r="C1055" s="26" t="s">
        <v>4233</v>
      </c>
      <c r="D1055" s="26">
        <f t="shared" si="16"/>
        <v>-1</v>
      </c>
      <c r="E1055" s="26" t="s">
        <v>34</v>
      </c>
      <c r="F1055" s="26" t="s">
        <v>4224</v>
      </c>
      <c r="G1055" s="26" t="s">
        <v>4234</v>
      </c>
      <c r="H1055" s="26" t="s">
        <v>37</v>
      </c>
      <c r="I1055" s="26" t="s">
        <v>38</v>
      </c>
      <c r="J1055" s="26" t="s">
        <v>3078</v>
      </c>
      <c r="K1055" s="26" t="s">
        <v>3079</v>
      </c>
      <c r="L1055" s="26">
        <v>590658.5</v>
      </c>
      <c r="M1055" s="26">
        <v>0</v>
      </c>
      <c r="N1055" s="26">
        <v>0</v>
      </c>
      <c r="O1055" s="26">
        <v>5254108.5</v>
      </c>
      <c r="P1055" s="26" t="s">
        <v>41</v>
      </c>
      <c r="Q1055" s="26" t="s">
        <v>42</v>
      </c>
      <c r="R1055" s="26"/>
      <c r="S1055" s="26"/>
      <c r="T1055" s="26"/>
      <c r="U1055" s="26"/>
      <c r="V1055" s="26" t="s">
        <v>43</v>
      </c>
      <c r="W1055" s="26"/>
      <c r="X1055" s="26"/>
    </row>
    <row r="1056" spans="1:24" s="29" customFormat="1">
      <c r="A1056" s="33" t="s">
        <v>31</v>
      </c>
      <c r="B1056" s="33" t="s">
        <v>4235</v>
      </c>
      <c r="C1056" s="33" t="s">
        <v>4236</v>
      </c>
      <c r="D1056" s="33">
        <f t="shared" si="16"/>
        <v>-1</v>
      </c>
      <c r="E1056" s="33" t="s">
        <v>34</v>
      </c>
      <c r="F1056" s="33" t="s">
        <v>4224</v>
      </c>
      <c r="G1056" s="33" t="s">
        <v>4237</v>
      </c>
      <c r="H1056" s="33" t="s">
        <v>37</v>
      </c>
      <c r="I1056" s="33" t="s">
        <v>38</v>
      </c>
      <c r="J1056" s="33" t="s">
        <v>4238</v>
      </c>
      <c r="K1056" s="33" t="s">
        <v>4239</v>
      </c>
      <c r="L1056" s="33">
        <v>79652.75</v>
      </c>
      <c r="M1056" s="33">
        <v>0</v>
      </c>
      <c r="N1056" s="33">
        <v>0</v>
      </c>
      <c r="O1056" s="33">
        <v>498877.75</v>
      </c>
      <c r="P1056" s="33" t="s">
        <v>41</v>
      </c>
      <c r="Q1056" s="33" t="s">
        <v>42</v>
      </c>
      <c r="R1056" s="26"/>
      <c r="S1056" s="26" t="s">
        <v>43</v>
      </c>
      <c r="T1056" s="26"/>
      <c r="U1056" s="26"/>
      <c r="V1056" s="26"/>
      <c r="W1056" s="26"/>
      <c r="X1056" s="26"/>
    </row>
    <row r="1057" spans="1:24" s="29" customFormat="1">
      <c r="A1057" s="32" t="s">
        <v>31</v>
      </c>
      <c r="B1057" s="32" t="s">
        <v>4240</v>
      </c>
      <c r="C1057" s="32" t="s">
        <v>4241</v>
      </c>
      <c r="D1057" s="32">
        <f t="shared" si="16"/>
        <v>-1</v>
      </c>
      <c r="E1057" s="32" t="s">
        <v>34</v>
      </c>
      <c r="F1057" s="32" t="s">
        <v>4224</v>
      </c>
      <c r="G1057" s="32" t="s">
        <v>4242</v>
      </c>
      <c r="H1057" s="32" t="s">
        <v>37</v>
      </c>
      <c r="I1057" s="32" t="s">
        <v>38</v>
      </c>
      <c r="J1057" s="32" t="s">
        <v>4243</v>
      </c>
      <c r="K1057" s="32" t="s">
        <v>4244</v>
      </c>
      <c r="L1057" s="32">
        <v>583176.5</v>
      </c>
      <c r="M1057" s="32">
        <v>0</v>
      </c>
      <c r="N1057" s="32">
        <v>0</v>
      </c>
      <c r="O1057" s="32">
        <v>3652526.5</v>
      </c>
      <c r="P1057" s="32" t="s">
        <v>41</v>
      </c>
      <c r="Q1057" s="32" t="s">
        <v>42</v>
      </c>
      <c r="R1057" s="26" t="s">
        <v>43</v>
      </c>
      <c r="S1057" s="26"/>
      <c r="T1057" s="26"/>
      <c r="U1057" s="26"/>
      <c r="V1057" s="26"/>
      <c r="W1057" s="26"/>
      <c r="X1057" s="26"/>
    </row>
    <row r="1058" spans="1:24" s="29" customFormat="1">
      <c r="A1058" s="26" t="s">
        <v>31</v>
      </c>
      <c r="B1058" s="26" t="s">
        <v>4245</v>
      </c>
      <c r="C1058" s="26" t="s">
        <v>4246</v>
      </c>
      <c r="D1058" s="26">
        <f t="shared" si="16"/>
        <v>-1</v>
      </c>
      <c r="E1058" s="26" t="s">
        <v>34</v>
      </c>
      <c r="F1058" s="26" t="s">
        <v>4224</v>
      </c>
      <c r="G1058" s="26" t="s">
        <v>4247</v>
      </c>
      <c r="H1058" s="26" t="s">
        <v>37</v>
      </c>
      <c r="I1058" s="26" t="s">
        <v>38</v>
      </c>
      <c r="J1058" s="26" t="s">
        <v>4248</v>
      </c>
      <c r="K1058" s="26" t="s">
        <v>4249</v>
      </c>
      <c r="L1058" s="26">
        <v>29564</v>
      </c>
      <c r="M1058" s="26">
        <v>0</v>
      </c>
      <c r="N1058" s="26">
        <v>0</v>
      </c>
      <c r="O1058" s="26">
        <v>185164</v>
      </c>
      <c r="P1058" s="26" t="s">
        <v>41</v>
      </c>
      <c r="Q1058" s="26" t="s">
        <v>42</v>
      </c>
      <c r="R1058" s="26"/>
      <c r="S1058" s="26"/>
      <c r="T1058" s="26"/>
      <c r="U1058" s="26"/>
      <c r="V1058" s="26" t="s">
        <v>43</v>
      </c>
      <c r="W1058" s="26"/>
      <c r="X1058" s="26"/>
    </row>
    <row r="1059" spans="1:24" s="29" customFormat="1">
      <c r="A1059" s="34" t="s">
        <v>31</v>
      </c>
      <c r="B1059" s="34" t="s">
        <v>4250</v>
      </c>
      <c r="C1059" s="34" t="s">
        <v>4251</v>
      </c>
      <c r="D1059" s="34">
        <f t="shared" si="16"/>
        <v>-1</v>
      </c>
      <c r="E1059" s="34" t="s">
        <v>34</v>
      </c>
      <c r="F1059" s="34" t="s">
        <v>4224</v>
      </c>
      <c r="G1059" s="34" t="s">
        <v>4252</v>
      </c>
      <c r="H1059" s="34" t="s">
        <v>37</v>
      </c>
      <c r="I1059" s="34" t="s">
        <v>38</v>
      </c>
      <c r="J1059" s="34" t="s">
        <v>4253</v>
      </c>
      <c r="K1059" s="34" t="s">
        <v>4254</v>
      </c>
      <c r="L1059" s="34">
        <v>764180</v>
      </c>
      <c r="M1059" s="34">
        <v>0</v>
      </c>
      <c r="N1059" s="34">
        <v>0</v>
      </c>
      <c r="O1059" s="34">
        <v>4786180</v>
      </c>
      <c r="P1059" s="34" t="s">
        <v>41</v>
      </c>
      <c r="Q1059" s="34" t="s">
        <v>42</v>
      </c>
      <c r="R1059" s="26"/>
      <c r="S1059" s="26"/>
      <c r="T1059" s="26" t="s">
        <v>43</v>
      </c>
      <c r="U1059" s="26"/>
      <c r="V1059" s="26"/>
      <c r="W1059" s="26"/>
      <c r="X1059" s="26"/>
    </row>
    <row r="1060" spans="1:24" s="29" customFormat="1">
      <c r="A1060" s="32" t="s">
        <v>31</v>
      </c>
      <c r="B1060" s="32" t="s">
        <v>4255</v>
      </c>
      <c r="C1060" s="32" t="s">
        <v>4256</v>
      </c>
      <c r="D1060" s="32">
        <f t="shared" si="16"/>
        <v>-1</v>
      </c>
      <c r="E1060" s="32" t="s">
        <v>34</v>
      </c>
      <c r="F1060" s="32" t="s">
        <v>4224</v>
      </c>
      <c r="G1060" s="32" t="s">
        <v>4257</v>
      </c>
      <c r="H1060" s="32" t="s">
        <v>37</v>
      </c>
      <c r="I1060" s="32" t="s">
        <v>38</v>
      </c>
      <c r="J1060" s="32" t="s">
        <v>3696</v>
      </c>
      <c r="K1060" s="32" t="s">
        <v>3697</v>
      </c>
      <c r="L1060" s="32">
        <v>1331</v>
      </c>
      <c r="M1060" s="32">
        <v>0</v>
      </c>
      <c r="N1060" s="32">
        <v>0</v>
      </c>
      <c r="O1060" s="32">
        <v>27951</v>
      </c>
      <c r="P1060" s="32" t="s">
        <v>41</v>
      </c>
      <c r="Q1060" s="32" t="s">
        <v>42</v>
      </c>
      <c r="R1060" s="26" t="s">
        <v>43</v>
      </c>
      <c r="S1060" s="26"/>
      <c r="T1060" s="26"/>
      <c r="U1060" s="26"/>
      <c r="V1060" s="26"/>
      <c r="W1060" s="26"/>
      <c r="X1060" s="26"/>
    </row>
    <row r="1061" spans="1:24" s="29" customFormat="1">
      <c r="A1061" s="32" t="s">
        <v>31</v>
      </c>
      <c r="B1061" s="32" t="s">
        <v>4258</v>
      </c>
      <c r="C1061" s="32" t="s">
        <v>4259</v>
      </c>
      <c r="D1061" s="32">
        <f t="shared" si="16"/>
        <v>-1</v>
      </c>
      <c r="E1061" s="32" t="s">
        <v>34</v>
      </c>
      <c r="F1061" s="32" t="s">
        <v>4224</v>
      </c>
      <c r="G1061" s="32" t="s">
        <v>4260</v>
      </c>
      <c r="H1061" s="32" t="s">
        <v>37</v>
      </c>
      <c r="I1061" s="32" t="s">
        <v>38</v>
      </c>
      <c r="J1061" s="32" t="s">
        <v>4261</v>
      </c>
      <c r="K1061" s="32" t="s">
        <v>4262</v>
      </c>
      <c r="L1061" s="32">
        <v>3993</v>
      </c>
      <c r="M1061" s="32">
        <v>0</v>
      </c>
      <c r="N1061" s="32">
        <v>0</v>
      </c>
      <c r="O1061" s="32">
        <v>83853</v>
      </c>
      <c r="P1061" s="32" t="s">
        <v>41</v>
      </c>
      <c r="Q1061" s="32" t="s">
        <v>42</v>
      </c>
      <c r="R1061" s="26" t="s">
        <v>43</v>
      </c>
      <c r="S1061" s="26"/>
      <c r="T1061" s="26"/>
      <c r="U1061" s="26"/>
      <c r="V1061" s="26"/>
      <c r="W1061" s="26"/>
      <c r="X1061" s="26"/>
    </row>
    <row r="1062" spans="1:24" s="29" customFormat="1">
      <c r="A1062" s="32" t="s">
        <v>31</v>
      </c>
      <c r="B1062" s="32" t="s">
        <v>4263</v>
      </c>
      <c r="C1062" s="32" t="s">
        <v>4264</v>
      </c>
      <c r="D1062" s="32">
        <f t="shared" si="16"/>
        <v>-1</v>
      </c>
      <c r="E1062" s="32" t="s">
        <v>34</v>
      </c>
      <c r="F1062" s="32" t="s">
        <v>4224</v>
      </c>
      <c r="G1062" s="32" t="s">
        <v>4257</v>
      </c>
      <c r="H1062" s="32" t="s">
        <v>37</v>
      </c>
      <c r="I1062" s="32" t="s">
        <v>38</v>
      </c>
      <c r="J1062" s="32" t="s">
        <v>1041</v>
      </c>
      <c r="K1062" s="32" t="s">
        <v>1042</v>
      </c>
      <c r="L1062" s="32">
        <v>5324</v>
      </c>
      <c r="M1062" s="32">
        <v>0</v>
      </c>
      <c r="N1062" s="32">
        <v>0</v>
      </c>
      <c r="O1062" s="32">
        <v>111804</v>
      </c>
      <c r="P1062" s="32" t="s">
        <v>41</v>
      </c>
      <c r="Q1062" s="32" t="s">
        <v>42</v>
      </c>
      <c r="R1062" s="26" t="s">
        <v>43</v>
      </c>
      <c r="S1062" s="26"/>
      <c r="T1062" s="26"/>
      <c r="U1062" s="26"/>
      <c r="V1062" s="26"/>
      <c r="W1062" s="26"/>
      <c r="X1062" s="26"/>
    </row>
    <row r="1063" spans="1:24" s="29" customFormat="1">
      <c r="A1063" s="32" t="s">
        <v>31</v>
      </c>
      <c r="B1063" s="32" t="s">
        <v>4265</v>
      </c>
      <c r="C1063" s="32" t="s">
        <v>4266</v>
      </c>
      <c r="D1063" s="32">
        <f t="shared" si="16"/>
        <v>-1</v>
      </c>
      <c r="E1063" s="32" t="s">
        <v>34</v>
      </c>
      <c r="F1063" s="32" t="s">
        <v>4224</v>
      </c>
      <c r="G1063" s="32" t="s">
        <v>4267</v>
      </c>
      <c r="H1063" s="32" t="s">
        <v>37</v>
      </c>
      <c r="I1063" s="32" t="s">
        <v>38</v>
      </c>
      <c r="J1063" s="32" t="s">
        <v>4268</v>
      </c>
      <c r="K1063" s="32" t="s">
        <v>4269</v>
      </c>
      <c r="L1063" s="32">
        <v>2662</v>
      </c>
      <c r="M1063" s="32">
        <v>0</v>
      </c>
      <c r="N1063" s="32">
        <v>0</v>
      </c>
      <c r="O1063" s="32">
        <v>55902</v>
      </c>
      <c r="P1063" s="32" t="s">
        <v>41</v>
      </c>
      <c r="Q1063" s="32" t="s">
        <v>42</v>
      </c>
      <c r="R1063" s="26" t="s">
        <v>43</v>
      </c>
      <c r="S1063" s="26"/>
      <c r="T1063" s="26"/>
      <c r="U1063" s="26"/>
      <c r="V1063" s="26"/>
      <c r="W1063" s="26"/>
      <c r="X1063" s="26"/>
    </row>
    <row r="1064" spans="1:24" s="29" customFormat="1">
      <c r="A1064" s="32" t="s">
        <v>31</v>
      </c>
      <c r="B1064" s="32" t="s">
        <v>4270</v>
      </c>
      <c r="C1064" s="32" t="s">
        <v>4271</v>
      </c>
      <c r="D1064" s="32">
        <f t="shared" si="16"/>
        <v>-1</v>
      </c>
      <c r="E1064" s="32" t="s">
        <v>34</v>
      </c>
      <c r="F1064" s="32" t="s">
        <v>4224</v>
      </c>
      <c r="G1064" s="32" t="s">
        <v>4267</v>
      </c>
      <c r="H1064" s="32" t="s">
        <v>37</v>
      </c>
      <c r="I1064" s="32" t="s">
        <v>38</v>
      </c>
      <c r="J1064" s="32" t="s">
        <v>769</v>
      </c>
      <c r="K1064" s="32" t="s">
        <v>770</v>
      </c>
      <c r="L1064" s="32">
        <v>76344</v>
      </c>
      <c r="M1064" s="32">
        <v>0</v>
      </c>
      <c r="N1064" s="32">
        <v>0</v>
      </c>
      <c r="O1064" s="32">
        <v>509544</v>
      </c>
      <c r="P1064" s="32" t="s">
        <v>41</v>
      </c>
      <c r="Q1064" s="32" t="s">
        <v>42</v>
      </c>
      <c r="R1064" s="26" t="s">
        <v>43</v>
      </c>
      <c r="S1064" s="26"/>
      <c r="T1064" s="26"/>
      <c r="U1064" s="26"/>
      <c r="V1064" s="26"/>
      <c r="W1064" s="26"/>
      <c r="X1064" s="26"/>
    </row>
    <row r="1065" spans="1:24" s="29" customFormat="1">
      <c r="A1065" s="32" t="s">
        <v>31</v>
      </c>
      <c r="B1065" s="32" t="s">
        <v>4272</v>
      </c>
      <c r="C1065" s="32" t="s">
        <v>4273</v>
      </c>
      <c r="D1065" s="32">
        <f t="shared" si="16"/>
        <v>-1</v>
      </c>
      <c r="E1065" s="32" t="s">
        <v>34</v>
      </c>
      <c r="F1065" s="32" t="s">
        <v>4224</v>
      </c>
      <c r="G1065" s="32" t="s">
        <v>4274</v>
      </c>
      <c r="H1065" s="32" t="s">
        <v>37</v>
      </c>
      <c r="I1065" s="32" t="s">
        <v>38</v>
      </c>
      <c r="J1065" s="32" t="s">
        <v>764</v>
      </c>
      <c r="K1065" s="32" t="s">
        <v>765</v>
      </c>
      <c r="L1065" s="32">
        <v>28500</v>
      </c>
      <c r="M1065" s="32">
        <v>0</v>
      </c>
      <c r="N1065" s="32">
        <v>0</v>
      </c>
      <c r="O1065" s="32">
        <v>178500</v>
      </c>
      <c r="P1065" s="32" t="s">
        <v>41</v>
      </c>
      <c r="Q1065" s="32" t="s">
        <v>42</v>
      </c>
      <c r="R1065" s="26" t="s">
        <v>43</v>
      </c>
      <c r="S1065" s="26"/>
      <c r="T1065" s="26"/>
      <c r="U1065" s="26"/>
      <c r="V1065" s="26"/>
      <c r="W1065" s="26"/>
      <c r="X1065" s="26"/>
    </row>
    <row r="1066" spans="1:24" s="29" customFormat="1">
      <c r="A1066" s="34" t="s">
        <v>31</v>
      </c>
      <c r="B1066" s="34" t="s">
        <v>4275</v>
      </c>
      <c r="C1066" s="34" t="s">
        <v>4276</v>
      </c>
      <c r="D1066" s="34">
        <f t="shared" si="16"/>
        <v>-1</v>
      </c>
      <c r="E1066" s="34" t="s">
        <v>34</v>
      </c>
      <c r="F1066" s="34" t="s">
        <v>4224</v>
      </c>
      <c r="G1066" s="34" t="s">
        <v>4277</v>
      </c>
      <c r="H1066" s="34" t="s">
        <v>37</v>
      </c>
      <c r="I1066" s="34" t="s">
        <v>38</v>
      </c>
      <c r="J1066" s="34" t="s">
        <v>69</v>
      </c>
      <c r="K1066" s="34" t="s">
        <v>70</v>
      </c>
      <c r="L1066" s="34">
        <v>76868.3</v>
      </c>
      <c r="M1066" s="34">
        <v>0</v>
      </c>
      <c r="N1066" s="34">
        <v>0</v>
      </c>
      <c r="O1066" s="34">
        <v>481438.3</v>
      </c>
      <c r="P1066" s="34" t="s">
        <v>41</v>
      </c>
      <c r="Q1066" s="34" t="s">
        <v>42</v>
      </c>
      <c r="R1066" s="26"/>
      <c r="S1066" s="26"/>
      <c r="T1066" s="26" t="s">
        <v>43</v>
      </c>
      <c r="U1066" s="26"/>
      <c r="V1066" s="26"/>
      <c r="W1066" s="26"/>
      <c r="X1066" s="26"/>
    </row>
    <row r="1067" spans="1:24" s="29" customFormat="1">
      <c r="A1067" s="35" t="s">
        <v>31</v>
      </c>
      <c r="B1067" s="35" t="s">
        <v>4278</v>
      </c>
      <c r="C1067" s="35" t="s">
        <v>4279</v>
      </c>
      <c r="D1067" s="35">
        <f t="shared" si="16"/>
        <v>-1</v>
      </c>
      <c r="E1067" s="35" t="s">
        <v>34</v>
      </c>
      <c r="F1067" s="35" t="s">
        <v>4224</v>
      </c>
      <c r="G1067" s="35" t="s">
        <v>4280</v>
      </c>
      <c r="H1067" s="35" t="s">
        <v>37</v>
      </c>
      <c r="I1067" s="35" t="s">
        <v>38</v>
      </c>
      <c r="J1067" s="35" t="s">
        <v>1257</v>
      </c>
      <c r="K1067" s="35" t="s">
        <v>1258</v>
      </c>
      <c r="L1067" s="35">
        <v>4768358.9400000004</v>
      </c>
      <c r="M1067" s="35">
        <v>0</v>
      </c>
      <c r="N1067" s="35">
        <v>0</v>
      </c>
      <c r="O1067" s="35">
        <v>29864984.940000001</v>
      </c>
      <c r="P1067" s="35" t="s">
        <v>41</v>
      </c>
      <c r="Q1067" s="35" t="s">
        <v>42</v>
      </c>
      <c r="R1067" s="26"/>
      <c r="S1067" s="26"/>
      <c r="T1067" s="26"/>
      <c r="U1067" s="26"/>
      <c r="V1067" s="26"/>
      <c r="W1067" s="35" t="s">
        <v>43</v>
      </c>
      <c r="X1067" s="26" t="s">
        <v>4197</v>
      </c>
    </row>
    <row r="1068" spans="1:24" s="29" customFormat="1">
      <c r="A1068" s="34" t="s">
        <v>31</v>
      </c>
      <c r="B1068" s="34" t="s">
        <v>4281</v>
      </c>
      <c r="C1068" s="34" t="s">
        <v>4282</v>
      </c>
      <c r="D1068" s="34">
        <f t="shared" si="16"/>
        <v>-1</v>
      </c>
      <c r="E1068" s="34" t="s">
        <v>34</v>
      </c>
      <c r="F1068" s="34" t="s">
        <v>4224</v>
      </c>
      <c r="G1068" s="34" t="s">
        <v>4280</v>
      </c>
      <c r="H1068" s="34" t="s">
        <v>37</v>
      </c>
      <c r="I1068" s="34" t="s">
        <v>38</v>
      </c>
      <c r="J1068" s="34" t="s">
        <v>2822</v>
      </c>
      <c r="K1068" s="34" t="s">
        <v>2823</v>
      </c>
      <c r="L1068" s="34">
        <v>156391.66</v>
      </c>
      <c r="M1068" s="34">
        <v>0</v>
      </c>
      <c r="N1068" s="34">
        <v>0</v>
      </c>
      <c r="O1068" s="34">
        <v>979505.66</v>
      </c>
      <c r="P1068" s="34" t="s">
        <v>41</v>
      </c>
      <c r="Q1068" s="34" t="s">
        <v>42</v>
      </c>
      <c r="R1068" s="26"/>
      <c r="S1068" s="26"/>
      <c r="T1068" s="26" t="s">
        <v>43</v>
      </c>
      <c r="U1068" s="26"/>
      <c r="V1068" s="26"/>
      <c r="W1068" s="26"/>
      <c r="X1068" s="26"/>
    </row>
    <row r="1069" spans="1:24" s="29" customFormat="1">
      <c r="A1069" s="26" t="s">
        <v>31</v>
      </c>
      <c r="B1069" s="26" t="s">
        <v>4283</v>
      </c>
      <c r="C1069" s="26" t="s">
        <v>4284</v>
      </c>
      <c r="D1069" s="26">
        <f t="shared" si="16"/>
        <v>-1</v>
      </c>
      <c r="E1069" s="26" t="s">
        <v>34</v>
      </c>
      <c r="F1069" s="26" t="s">
        <v>4224</v>
      </c>
      <c r="G1069" s="26" t="s">
        <v>4285</v>
      </c>
      <c r="H1069" s="26" t="s">
        <v>37</v>
      </c>
      <c r="I1069" s="26" t="s">
        <v>38</v>
      </c>
      <c r="J1069" s="26" t="s">
        <v>4286</v>
      </c>
      <c r="K1069" s="26" t="s">
        <v>4287</v>
      </c>
      <c r="L1069" s="26">
        <v>56762.5</v>
      </c>
      <c r="M1069" s="26">
        <v>0</v>
      </c>
      <c r="N1069" s="26">
        <v>0</v>
      </c>
      <c r="O1069" s="26">
        <v>355512.5</v>
      </c>
      <c r="P1069" s="26" t="s">
        <v>41</v>
      </c>
      <c r="Q1069" s="26" t="s">
        <v>42</v>
      </c>
      <c r="R1069" s="26"/>
      <c r="S1069" s="26"/>
      <c r="T1069" s="26"/>
      <c r="U1069" s="26"/>
      <c r="V1069" s="26" t="s">
        <v>43</v>
      </c>
      <c r="W1069" s="26"/>
      <c r="X1069" s="26"/>
    </row>
    <row r="1070" spans="1:24" s="29" customFormat="1">
      <c r="A1070" s="32" t="s">
        <v>31</v>
      </c>
      <c r="B1070" s="32" t="s">
        <v>4288</v>
      </c>
      <c r="C1070" s="32" t="s">
        <v>4289</v>
      </c>
      <c r="D1070" s="32">
        <f t="shared" si="16"/>
        <v>-1</v>
      </c>
      <c r="E1070" s="32" t="s">
        <v>34</v>
      </c>
      <c r="F1070" s="32" t="s">
        <v>4224</v>
      </c>
      <c r="G1070" s="32" t="s">
        <v>4290</v>
      </c>
      <c r="H1070" s="32" t="s">
        <v>37</v>
      </c>
      <c r="I1070" s="32" t="s">
        <v>38</v>
      </c>
      <c r="J1070" s="32" t="s">
        <v>184</v>
      </c>
      <c r="K1070" s="32" t="s">
        <v>185</v>
      </c>
      <c r="L1070" s="32">
        <v>3695604.5</v>
      </c>
      <c r="M1070" s="32">
        <v>0</v>
      </c>
      <c r="N1070" s="32">
        <v>0</v>
      </c>
      <c r="O1070" s="32">
        <v>43109124.5</v>
      </c>
      <c r="P1070" s="32" t="s">
        <v>41</v>
      </c>
      <c r="Q1070" s="32" t="s">
        <v>42</v>
      </c>
      <c r="R1070" s="26" t="s">
        <v>43</v>
      </c>
      <c r="S1070" s="26"/>
      <c r="T1070" s="26"/>
      <c r="U1070" s="26"/>
      <c r="V1070" s="26"/>
      <c r="W1070" s="26"/>
      <c r="X1070" s="26"/>
    </row>
    <row r="1071" spans="1:24" s="29" customFormat="1">
      <c r="A1071" s="26" t="s">
        <v>31</v>
      </c>
      <c r="B1071" s="26" t="s">
        <v>4291</v>
      </c>
      <c r="C1071" s="26" t="s">
        <v>4292</v>
      </c>
      <c r="D1071" s="26">
        <f t="shared" si="16"/>
        <v>-1</v>
      </c>
      <c r="E1071" s="26" t="s">
        <v>34</v>
      </c>
      <c r="F1071" s="26" t="s">
        <v>4224</v>
      </c>
      <c r="G1071" s="26" t="s">
        <v>4293</v>
      </c>
      <c r="H1071" s="26" t="s">
        <v>37</v>
      </c>
      <c r="I1071" s="26" t="s">
        <v>38</v>
      </c>
      <c r="J1071" s="26" t="s">
        <v>632</v>
      </c>
      <c r="K1071" s="26" t="s">
        <v>633</v>
      </c>
      <c r="L1071" s="26">
        <v>549700.69999999995</v>
      </c>
      <c r="M1071" s="26">
        <v>0</v>
      </c>
      <c r="N1071" s="26">
        <v>0</v>
      </c>
      <c r="O1071" s="26">
        <v>3912230.7</v>
      </c>
      <c r="P1071" s="26" t="s">
        <v>41</v>
      </c>
      <c r="Q1071" s="26" t="s">
        <v>42</v>
      </c>
      <c r="R1071" s="26"/>
      <c r="S1071" s="26"/>
      <c r="T1071" s="26"/>
      <c r="U1071" s="26"/>
      <c r="V1071" s="26" t="s">
        <v>43</v>
      </c>
      <c r="W1071" s="26"/>
      <c r="X1071" s="26"/>
    </row>
    <row r="1072" spans="1:24" s="29" customFormat="1">
      <c r="A1072" s="35" t="s">
        <v>31</v>
      </c>
      <c r="B1072" s="35" t="s">
        <v>4294</v>
      </c>
      <c r="C1072" s="35" t="s">
        <v>4295</v>
      </c>
      <c r="D1072" s="35">
        <f t="shared" si="16"/>
        <v>-1</v>
      </c>
      <c r="E1072" s="35" t="s">
        <v>34</v>
      </c>
      <c r="F1072" s="35" t="s">
        <v>4224</v>
      </c>
      <c r="G1072" s="35" t="s">
        <v>4296</v>
      </c>
      <c r="H1072" s="35" t="s">
        <v>37</v>
      </c>
      <c r="I1072" s="35" t="s">
        <v>38</v>
      </c>
      <c r="J1072" s="35" t="s">
        <v>4297</v>
      </c>
      <c r="K1072" s="35" t="s">
        <v>4298</v>
      </c>
      <c r="L1072" s="35">
        <v>935439.16</v>
      </c>
      <c r="M1072" s="35">
        <v>0</v>
      </c>
      <c r="N1072" s="35">
        <v>0</v>
      </c>
      <c r="O1072" s="35">
        <v>5858803.1600000001</v>
      </c>
      <c r="P1072" s="35" t="s">
        <v>41</v>
      </c>
      <c r="Q1072" s="35" t="s">
        <v>42</v>
      </c>
      <c r="R1072" s="26"/>
      <c r="S1072" s="26"/>
      <c r="T1072" s="26"/>
      <c r="U1072" s="26"/>
      <c r="V1072" s="26"/>
      <c r="W1072" s="35" t="s">
        <v>43</v>
      </c>
      <c r="X1072" s="26" t="s">
        <v>4299</v>
      </c>
    </row>
    <row r="1073" spans="1:24" s="29" customFormat="1">
      <c r="A1073" s="32" t="s">
        <v>31</v>
      </c>
      <c r="B1073" s="32" t="s">
        <v>4300</v>
      </c>
      <c r="C1073" s="32" t="s">
        <v>4301</v>
      </c>
      <c r="D1073" s="32">
        <f t="shared" si="16"/>
        <v>-1</v>
      </c>
      <c r="E1073" s="32" t="s">
        <v>34</v>
      </c>
      <c r="F1073" s="32" t="s">
        <v>4224</v>
      </c>
      <c r="G1073" s="32" t="s">
        <v>4302</v>
      </c>
      <c r="H1073" s="32" t="s">
        <v>37</v>
      </c>
      <c r="I1073" s="32" t="s">
        <v>38</v>
      </c>
      <c r="J1073" s="32" t="s">
        <v>4303</v>
      </c>
      <c r="K1073" s="32" t="s">
        <v>4304</v>
      </c>
      <c r="L1073" s="32">
        <v>247570</v>
      </c>
      <c r="M1073" s="32">
        <v>0</v>
      </c>
      <c r="N1073" s="32">
        <v>0</v>
      </c>
      <c r="O1073" s="32">
        <v>1550570</v>
      </c>
      <c r="P1073" s="32" t="s">
        <v>41</v>
      </c>
      <c r="Q1073" s="32" t="s">
        <v>42</v>
      </c>
      <c r="R1073" s="26" t="s">
        <v>43</v>
      </c>
      <c r="S1073" s="26"/>
      <c r="T1073" s="26"/>
      <c r="U1073" s="26"/>
      <c r="V1073" s="26"/>
      <c r="W1073" s="26"/>
      <c r="X1073" s="26"/>
    </row>
    <row r="1074" spans="1:24" s="29" customFormat="1">
      <c r="A1074" s="32" t="s">
        <v>31</v>
      </c>
      <c r="B1074" s="32" t="s">
        <v>4305</v>
      </c>
      <c r="C1074" s="32" t="s">
        <v>4306</v>
      </c>
      <c r="D1074" s="32">
        <f t="shared" si="16"/>
        <v>-1</v>
      </c>
      <c r="E1074" s="32" t="s">
        <v>34</v>
      </c>
      <c r="F1074" s="32" t="s">
        <v>4224</v>
      </c>
      <c r="G1074" s="32" t="s">
        <v>4307</v>
      </c>
      <c r="H1074" s="32" t="s">
        <v>37</v>
      </c>
      <c r="I1074" s="32" t="s">
        <v>38</v>
      </c>
      <c r="J1074" s="32" t="s">
        <v>4308</v>
      </c>
      <c r="K1074" s="32" t="s">
        <v>4309</v>
      </c>
      <c r="L1074" s="32">
        <v>310650</v>
      </c>
      <c r="M1074" s="32">
        <v>0</v>
      </c>
      <c r="N1074" s="32">
        <v>0</v>
      </c>
      <c r="O1074" s="32">
        <v>1945650</v>
      </c>
      <c r="P1074" s="32" t="s">
        <v>41</v>
      </c>
      <c r="Q1074" s="32" t="s">
        <v>42</v>
      </c>
      <c r="R1074" s="26" t="s">
        <v>43</v>
      </c>
      <c r="S1074" s="26"/>
      <c r="T1074" s="26"/>
      <c r="U1074" s="26"/>
      <c r="V1074" s="26"/>
      <c r="W1074" s="26"/>
      <c r="X1074" s="26"/>
    </row>
    <row r="1075" spans="1:24" s="29" customFormat="1">
      <c r="A1075" s="32" t="s">
        <v>31</v>
      </c>
      <c r="B1075" s="32" t="s">
        <v>4310</v>
      </c>
      <c r="C1075" s="32" t="s">
        <v>4311</v>
      </c>
      <c r="D1075" s="32">
        <f t="shared" si="16"/>
        <v>-1</v>
      </c>
      <c r="E1075" s="32" t="s">
        <v>34</v>
      </c>
      <c r="F1075" s="32" t="s">
        <v>4224</v>
      </c>
      <c r="G1075" s="32" t="s">
        <v>4312</v>
      </c>
      <c r="H1075" s="32" t="s">
        <v>37</v>
      </c>
      <c r="I1075" s="32" t="s">
        <v>38</v>
      </c>
      <c r="J1075" s="32" t="s">
        <v>2202</v>
      </c>
      <c r="K1075" s="32" t="s">
        <v>2203</v>
      </c>
      <c r="L1075" s="32">
        <v>496660</v>
      </c>
      <c r="M1075" s="32">
        <v>0</v>
      </c>
      <c r="N1075" s="32">
        <v>0</v>
      </c>
      <c r="O1075" s="32">
        <v>3110660</v>
      </c>
      <c r="P1075" s="32" t="s">
        <v>41</v>
      </c>
      <c r="Q1075" s="32" t="s">
        <v>42</v>
      </c>
      <c r="R1075" s="26" t="s">
        <v>43</v>
      </c>
      <c r="S1075" s="26"/>
      <c r="T1075" s="26"/>
      <c r="U1075" s="26"/>
      <c r="V1075" s="26"/>
      <c r="W1075" s="26"/>
      <c r="X1075" s="26"/>
    </row>
    <row r="1076" spans="1:24" s="29" customFormat="1">
      <c r="A1076" s="34" t="s">
        <v>31</v>
      </c>
      <c r="B1076" s="34" t="s">
        <v>4313</v>
      </c>
      <c r="C1076" s="34" t="s">
        <v>4314</v>
      </c>
      <c r="D1076" s="34">
        <f t="shared" si="16"/>
        <v>-1</v>
      </c>
      <c r="E1076" s="34" t="s">
        <v>34</v>
      </c>
      <c r="F1076" s="34" t="s">
        <v>4224</v>
      </c>
      <c r="G1076" s="34" t="s">
        <v>4315</v>
      </c>
      <c r="H1076" s="34" t="s">
        <v>37</v>
      </c>
      <c r="I1076" s="34" t="s">
        <v>38</v>
      </c>
      <c r="J1076" s="34" t="s">
        <v>1888</v>
      </c>
      <c r="K1076" s="34" t="s">
        <v>1889</v>
      </c>
      <c r="L1076" s="34">
        <v>189354</v>
      </c>
      <c r="M1076" s="34">
        <v>0</v>
      </c>
      <c r="N1076" s="34">
        <v>0</v>
      </c>
      <c r="O1076" s="34">
        <v>1185954</v>
      </c>
      <c r="P1076" s="34" t="s">
        <v>41</v>
      </c>
      <c r="Q1076" s="34" t="s">
        <v>42</v>
      </c>
      <c r="R1076" s="26"/>
      <c r="S1076" s="26"/>
      <c r="T1076" s="26" t="s">
        <v>43</v>
      </c>
      <c r="U1076" s="26"/>
      <c r="V1076" s="26"/>
      <c r="W1076" s="26"/>
      <c r="X1076" s="26"/>
    </row>
    <row r="1077" spans="1:24" s="29" customFormat="1">
      <c r="A1077" s="32" t="s">
        <v>31</v>
      </c>
      <c r="B1077" s="32" t="s">
        <v>4316</v>
      </c>
      <c r="C1077" s="32" t="s">
        <v>4317</v>
      </c>
      <c r="D1077" s="32">
        <f t="shared" si="16"/>
        <v>-1</v>
      </c>
      <c r="E1077" s="32" t="s">
        <v>34</v>
      </c>
      <c r="F1077" s="32" t="s">
        <v>4224</v>
      </c>
      <c r="G1077" s="32" t="s">
        <v>4318</v>
      </c>
      <c r="H1077" s="32" t="s">
        <v>37</v>
      </c>
      <c r="I1077" s="32" t="s">
        <v>38</v>
      </c>
      <c r="J1077" s="32" t="s">
        <v>4319</v>
      </c>
      <c r="K1077" s="32" t="s">
        <v>4320</v>
      </c>
      <c r="L1077" s="32">
        <v>142500</v>
      </c>
      <c r="M1077" s="32">
        <v>0</v>
      </c>
      <c r="N1077" s="32">
        <v>0</v>
      </c>
      <c r="O1077" s="32">
        <v>892500</v>
      </c>
      <c r="P1077" s="32" t="s">
        <v>41</v>
      </c>
      <c r="Q1077" s="32" t="s">
        <v>42</v>
      </c>
      <c r="R1077" s="26" t="s">
        <v>43</v>
      </c>
      <c r="S1077" s="26"/>
      <c r="T1077" s="26"/>
      <c r="U1077" s="26"/>
      <c r="V1077" s="26"/>
      <c r="W1077" s="26"/>
      <c r="X1077" s="26"/>
    </row>
    <row r="1078" spans="1:24" s="29" customFormat="1">
      <c r="A1078" s="34" t="s">
        <v>31</v>
      </c>
      <c r="B1078" s="34" t="s">
        <v>4321</v>
      </c>
      <c r="C1078" s="34" t="s">
        <v>4322</v>
      </c>
      <c r="D1078" s="34">
        <f t="shared" si="16"/>
        <v>-1</v>
      </c>
      <c r="E1078" s="34" t="s">
        <v>34</v>
      </c>
      <c r="F1078" s="34" t="s">
        <v>4224</v>
      </c>
      <c r="G1078" s="34" t="s">
        <v>4323</v>
      </c>
      <c r="H1078" s="34" t="s">
        <v>37</v>
      </c>
      <c r="I1078" s="34" t="s">
        <v>38</v>
      </c>
      <c r="J1078" s="34" t="s">
        <v>4324</v>
      </c>
      <c r="K1078" s="34" t="s">
        <v>4325</v>
      </c>
      <c r="L1078" s="34">
        <v>649629</v>
      </c>
      <c r="M1078" s="34">
        <v>0</v>
      </c>
      <c r="N1078" s="34">
        <v>0</v>
      </c>
      <c r="O1078" s="34">
        <v>4068729</v>
      </c>
      <c r="P1078" s="34" t="s">
        <v>41</v>
      </c>
      <c r="Q1078" s="34" t="s">
        <v>42</v>
      </c>
      <c r="R1078" s="26"/>
      <c r="S1078" s="26"/>
      <c r="T1078" s="26" t="s">
        <v>43</v>
      </c>
      <c r="U1078" s="26"/>
      <c r="V1078" s="26"/>
      <c r="W1078" s="26"/>
      <c r="X1078" s="26"/>
    </row>
    <row r="1079" spans="1:24" s="29" customFormat="1">
      <c r="A1079" s="26" t="s">
        <v>31</v>
      </c>
      <c r="B1079" s="26" t="s">
        <v>4326</v>
      </c>
      <c r="C1079" s="26" t="s">
        <v>4327</v>
      </c>
      <c r="D1079" s="26">
        <f t="shared" si="16"/>
        <v>-1</v>
      </c>
      <c r="E1079" s="26" t="s">
        <v>34</v>
      </c>
      <c r="F1079" s="26" t="s">
        <v>4224</v>
      </c>
      <c r="G1079" s="26" t="s">
        <v>4328</v>
      </c>
      <c r="H1079" s="26" t="s">
        <v>37</v>
      </c>
      <c r="I1079" s="26" t="s">
        <v>38</v>
      </c>
      <c r="J1079" s="26" t="s">
        <v>1619</v>
      </c>
      <c r="K1079" s="26" t="s">
        <v>1620</v>
      </c>
      <c r="L1079" s="26">
        <v>698820</v>
      </c>
      <c r="M1079" s="26">
        <v>0</v>
      </c>
      <c r="N1079" s="26">
        <v>0</v>
      </c>
      <c r="O1079" s="26">
        <v>4376820</v>
      </c>
      <c r="P1079" s="26" t="s">
        <v>41</v>
      </c>
      <c r="Q1079" s="26" t="s">
        <v>42</v>
      </c>
      <c r="R1079" s="26"/>
      <c r="S1079" s="26"/>
      <c r="T1079" s="26"/>
      <c r="U1079" s="26"/>
      <c r="V1079" s="26" t="s">
        <v>43</v>
      </c>
      <c r="W1079" s="26"/>
      <c r="X1079" s="26"/>
    </row>
    <row r="1080" spans="1:24" s="29" customFormat="1">
      <c r="A1080" s="26" t="s">
        <v>31</v>
      </c>
      <c r="B1080" s="26" t="s">
        <v>4329</v>
      </c>
      <c r="C1080" s="26" t="s">
        <v>4330</v>
      </c>
      <c r="D1080" s="26">
        <f t="shared" si="16"/>
        <v>-1</v>
      </c>
      <c r="E1080" s="26" t="s">
        <v>34</v>
      </c>
      <c r="F1080" s="26" t="s">
        <v>4224</v>
      </c>
      <c r="G1080" s="26" t="s">
        <v>4331</v>
      </c>
      <c r="H1080" s="26" t="s">
        <v>37</v>
      </c>
      <c r="I1080" s="26" t="s">
        <v>38</v>
      </c>
      <c r="J1080" s="26" t="s">
        <v>4332</v>
      </c>
      <c r="K1080" s="26" t="s">
        <v>4333</v>
      </c>
      <c r="L1080" s="26">
        <v>863426.5</v>
      </c>
      <c r="M1080" s="26">
        <v>0</v>
      </c>
      <c r="N1080" s="26">
        <v>0</v>
      </c>
      <c r="O1080" s="26">
        <v>5407776.5</v>
      </c>
      <c r="P1080" s="26" t="s">
        <v>41</v>
      </c>
      <c r="Q1080" s="26" t="s">
        <v>42</v>
      </c>
      <c r="R1080" s="26"/>
      <c r="S1080" s="26"/>
      <c r="T1080" s="26"/>
      <c r="U1080" s="26"/>
      <c r="V1080" s="26" t="s">
        <v>43</v>
      </c>
      <c r="W1080" s="26"/>
      <c r="X1080" s="26"/>
    </row>
    <row r="1081" spans="1:24" s="29" customFormat="1">
      <c r="A1081" s="32" t="s">
        <v>31</v>
      </c>
      <c r="B1081" s="32" t="s">
        <v>4334</v>
      </c>
      <c r="C1081" s="32" t="s">
        <v>4335</v>
      </c>
      <c r="D1081" s="32">
        <f t="shared" si="16"/>
        <v>-1</v>
      </c>
      <c r="E1081" s="32" t="s">
        <v>34</v>
      </c>
      <c r="F1081" s="32" t="s">
        <v>4224</v>
      </c>
      <c r="G1081" s="32" t="s">
        <v>4336</v>
      </c>
      <c r="H1081" s="32" t="s">
        <v>37</v>
      </c>
      <c r="I1081" s="32" t="s">
        <v>38</v>
      </c>
      <c r="J1081" s="32" t="s">
        <v>4337</v>
      </c>
      <c r="K1081" s="32" t="s">
        <v>4338</v>
      </c>
      <c r="L1081" s="32">
        <v>4845000</v>
      </c>
      <c r="M1081" s="32">
        <v>0</v>
      </c>
      <c r="N1081" s="32">
        <v>0</v>
      </c>
      <c r="O1081" s="32">
        <v>30345000</v>
      </c>
      <c r="P1081" s="32" t="s">
        <v>41</v>
      </c>
      <c r="Q1081" s="32" t="s">
        <v>42</v>
      </c>
      <c r="R1081" s="26" t="s">
        <v>43</v>
      </c>
      <c r="S1081" s="26"/>
      <c r="T1081" s="26"/>
      <c r="U1081" s="26"/>
      <c r="V1081" s="26"/>
      <c r="W1081" s="26"/>
      <c r="X1081" s="26"/>
    </row>
    <row r="1082" spans="1:24" s="29" customFormat="1">
      <c r="A1082" s="26" t="s">
        <v>31</v>
      </c>
      <c r="B1082" s="26" t="s">
        <v>4339</v>
      </c>
      <c r="C1082" s="26" t="s">
        <v>4340</v>
      </c>
      <c r="D1082" s="26">
        <f t="shared" si="16"/>
        <v>-1</v>
      </c>
      <c r="E1082" s="26" t="s">
        <v>34</v>
      </c>
      <c r="F1082" s="26" t="s">
        <v>4224</v>
      </c>
      <c r="G1082" s="26" t="s">
        <v>4341</v>
      </c>
      <c r="H1082" s="26" t="s">
        <v>37</v>
      </c>
      <c r="I1082" s="26" t="s">
        <v>38</v>
      </c>
      <c r="J1082" s="26" t="s">
        <v>4342</v>
      </c>
      <c r="K1082" s="26" t="s">
        <v>4343</v>
      </c>
      <c r="L1082" s="26">
        <v>70984</v>
      </c>
      <c r="M1082" s="26">
        <v>0</v>
      </c>
      <c r="N1082" s="26">
        <v>0</v>
      </c>
      <c r="O1082" s="26">
        <v>444584</v>
      </c>
      <c r="P1082" s="26" t="s">
        <v>41</v>
      </c>
      <c r="Q1082" s="26" t="s">
        <v>42</v>
      </c>
      <c r="R1082" s="26"/>
      <c r="S1082" s="26"/>
      <c r="T1082" s="26"/>
      <c r="U1082" s="26"/>
      <c r="V1082" s="26" t="s">
        <v>43</v>
      </c>
      <c r="W1082" s="26"/>
      <c r="X1082" s="26"/>
    </row>
    <row r="1083" spans="1:24" s="29" customFormat="1">
      <c r="A1083" s="26" t="s">
        <v>31</v>
      </c>
      <c r="B1083" s="26" t="s">
        <v>4344</v>
      </c>
      <c r="C1083" s="26" t="s">
        <v>4345</v>
      </c>
      <c r="D1083" s="26">
        <f t="shared" si="16"/>
        <v>-1</v>
      </c>
      <c r="E1083" s="26" t="s">
        <v>34</v>
      </c>
      <c r="F1083" s="26" t="s">
        <v>4224</v>
      </c>
      <c r="G1083" s="26" t="s">
        <v>4346</v>
      </c>
      <c r="H1083" s="26" t="s">
        <v>37</v>
      </c>
      <c r="I1083" s="26" t="s">
        <v>38</v>
      </c>
      <c r="J1083" s="26" t="s">
        <v>1437</v>
      </c>
      <c r="K1083" s="26" t="s">
        <v>1438</v>
      </c>
      <c r="L1083" s="26">
        <v>578345.75</v>
      </c>
      <c r="M1083" s="26">
        <v>0</v>
      </c>
      <c r="N1083" s="26">
        <v>0</v>
      </c>
      <c r="O1083" s="26">
        <v>3622270.75</v>
      </c>
      <c r="P1083" s="26" t="s">
        <v>41</v>
      </c>
      <c r="Q1083" s="26" t="s">
        <v>42</v>
      </c>
      <c r="R1083" s="26"/>
      <c r="S1083" s="26"/>
      <c r="T1083" s="26"/>
      <c r="U1083" s="26"/>
      <c r="V1083" s="26" t="s">
        <v>43</v>
      </c>
      <c r="W1083" s="26"/>
      <c r="X1083" s="26"/>
    </row>
    <row r="1084" spans="1:24" s="29" customFormat="1">
      <c r="A1084" s="32" t="s">
        <v>31</v>
      </c>
      <c r="B1084" s="32" t="s">
        <v>4347</v>
      </c>
      <c r="C1084" s="32" t="s">
        <v>4348</v>
      </c>
      <c r="D1084" s="32">
        <f t="shared" si="16"/>
        <v>-1</v>
      </c>
      <c r="E1084" s="32" t="s">
        <v>34</v>
      </c>
      <c r="F1084" s="32" t="s">
        <v>4224</v>
      </c>
      <c r="G1084" s="32" t="s">
        <v>4349</v>
      </c>
      <c r="H1084" s="32" t="s">
        <v>37</v>
      </c>
      <c r="I1084" s="32" t="s">
        <v>38</v>
      </c>
      <c r="J1084" s="32" t="s">
        <v>2415</v>
      </c>
      <c r="K1084" s="32" t="s">
        <v>2416</v>
      </c>
      <c r="L1084" s="32">
        <v>50350</v>
      </c>
      <c r="M1084" s="32">
        <v>0</v>
      </c>
      <c r="N1084" s="32">
        <v>0</v>
      </c>
      <c r="O1084" s="32">
        <v>315350</v>
      </c>
      <c r="P1084" s="32" t="s">
        <v>41</v>
      </c>
      <c r="Q1084" s="32" t="s">
        <v>42</v>
      </c>
      <c r="R1084" s="26" t="s">
        <v>43</v>
      </c>
      <c r="S1084" s="26"/>
      <c r="T1084" s="26"/>
      <c r="U1084" s="26"/>
      <c r="V1084" s="26"/>
      <c r="W1084" s="26"/>
      <c r="X1084" s="26"/>
    </row>
    <row r="1085" spans="1:24" s="29" customFormat="1">
      <c r="A1085" s="32" t="s">
        <v>31</v>
      </c>
      <c r="B1085" s="32" t="s">
        <v>4350</v>
      </c>
      <c r="C1085" s="32" t="s">
        <v>4351</v>
      </c>
      <c r="D1085" s="32">
        <f t="shared" si="16"/>
        <v>-1</v>
      </c>
      <c r="E1085" s="32" t="s">
        <v>34</v>
      </c>
      <c r="F1085" s="32" t="s">
        <v>4224</v>
      </c>
      <c r="G1085" s="32" t="s">
        <v>4352</v>
      </c>
      <c r="H1085" s="32" t="s">
        <v>37</v>
      </c>
      <c r="I1085" s="32" t="s">
        <v>38</v>
      </c>
      <c r="J1085" s="32" t="s">
        <v>184</v>
      </c>
      <c r="K1085" s="32" t="s">
        <v>185</v>
      </c>
      <c r="L1085" s="32">
        <v>7391209</v>
      </c>
      <c r="M1085" s="32">
        <v>0</v>
      </c>
      <c r="N1085" s="32">
        <v>0</v>
      </c>
      <c r="O1085" s="32">
        <v>46292309</v>
      </c>
      <c r="P1085" s="32" t="s">
        <v>41</v>
      </c>
      <c r="Q1085" s="32" t="s">
        <v>42</v>
      </c>
      <c r="R1085" s="26" t="s">
        <v>43</v>
      </c>
      <c r="S1085" s="26"/>
      <c r="T1085" s="26"/>
      <c r="U1085" s="26"/>
      <c r="V1085" s="26"/>
      <c r="W1085" s="26"/>
      <c r="X1085" s="26"/>
    </row>
    <row r="1086" spans="1:24" s="29" customFormat="1">
      <c r="A1086" s="32" t="s">
        <v>31</v>
      </c>
      <c r="B1086" s="32" t="s">
        <v>4353</v>
      </c>
      <c r="C1086" s="32" t="s">
        <v>4354</v>
      </c>
      <c r="D1086" s="32">
        <f t="shared" si="16"/>
        <v>-1</v>
      </c>
      <c r="E1086" s="32" t="s">
        <v>34</v>
      </c>
      <c r="F1086" s="32" t="s">
        <v>4224</v>
      </c>
      <c r="G1086" s="32" t="s">
        <v>4355</v>
      </c>
      <c r="H1086" s="32" t="s">
        <v>37</v>
      </c>
      <c r="I1086" s="32" t="s">
        <v>38</v>
      </c>
      <c r="J1086" s="32" t="s">
        <v>184</v>
      </c>
      <c r="K1086" s="32" t="s">
        <v>185</v>
      </c>
      <c r="L1086" s="32">
        <v>0</v>
      </c>
      <c r="M1086" s="32">
        <v>0</v>
      </c>
      <c r="N1086" s="32">
        <v>0</v>
      </c>
      <c r="O1086" s="32">
        <v>7666668</v>
      </c>
      <c r="P1086" s="32" t="s">
        <v>41</v>
      </c>
      <c r="Q1086" s="32" t="s">
        <v>42</v>
      </c>
      <c r="R1086" s="26" t="s">
        <v>43</v>
      </c>
      <c r="S1086" s="26"/>
      <c r="T1086" s="26"/>
      <c r="U1086" s="26"/>
      <c r="V1086" s="26"/>
      <c r="W1086" s="26"/>
      <c r="X1086" s="26"/>
    </row>
    <row r="1087" spans="1:24" s="29" customFormat="1">
      <c r="A1087" s="32" t="s">
        <v>31</v>
      </c>
      <c r="B1087" s="32" t="s">
        <v>4356</v>
      </c>
      <c r="C1087" s="32" t="s">
        <v>4357</v>
      </c>
      <c r="D1087" s="32">
        <f t="shared" si="16"/>
        <v>-1</v>
      </c>
      <c r="E1087" s="32" t="s">
        <v>34</v>
      </c>
      <c r="F1087" s="32" t="s">
        <v>4224</v>
      </c>
      <c r="G1087" s="32" t="s">
        <v>4358</v>
      </c>
      <c r="H1087" s="32" t="s">
        <v>37</v>
      </c>
      <c r="I1087" s="32" t="s">
        <v>38</v>
      </c>
      <c r="J1087" s="32" t="s">
        <v>184</v>
      </c>
      <c r="K1087" s="32" t="s">
        <v>185</v>
      </c>
      <c r="L1087" s="32">
        <v>0</v>
      </c>
      <c r="M1087" s="32">
        <v>0</v>
      </c>
      <c r="N1087" s="32">
        <v>0</v>
      </c>
      <c r="O1087" s="32">
        <v>15333336</v>
      </c>
      <c r="P1087" s="32" t="s">
        <v>41</v>
      </c>
      <c r="Q1087" s="32" t="s">
        <v>42</v>
      </c>
      <c r="R1087" s="26" t="s">
        <v>43</v>
      </c>
      <c r="S1087" s="26"/>
      <c r="T1087" s="26"/>
      <c r="U1087" s="26"/>
      <c r="V1087" s="26"/>
      <c r="W1087" s="26"/>
      <c r="X1087" s="26"/>
    </row>
    <row r="1088" spans="1:24" s="29" customFormat="1">
      <c r="A1088" s="26" t="s">
        <v>31</v>
      </c>
      <c r="B1088" s="26" t="s">
        <v>4359</v>
      </c>
      <c r="C1088" s="26" t="s">
        <v>4360</v>
      </c>
      <c r="D1088" s="26">
        <f t="shared" si="16"/>
        <v>-1</v>
      </c>
      <c r="E1088" s="26" t="s">
        <v>34</v>
      </c>
      <c r="F1088" s="26" t="s">
        <v>4224</v>
      </c>
      <c r="G1088" s="26" t="s">
        <v>4361</v>
      </c>
      <c r="H1088" s="26" t="s">
        <v>37</v>
      </c>
      <c r="I1088" s="26" t="s">
        <v>38</v>
      </c>
      <c r="J1088" s="26" t="s">
        <v>1437</v>
      </c>
      <c r="K1088" s="26" t="s">
        <v>1438</v>
      </c>
      <c r="L1088" s="26">
        <v>613510</v>
      </c>
      <c r="M1088" s="26">
        <v>0</v>
      </c>
      <c r="N1088" s="26">
        <v>0</v>
      </c>
      <c r="O1088" s="26">
        <v>3842510</v>
      </c>
      <c r="P1088" s="26" t="s">
        <v>41</v>
      </c>
      <c r="Q1088" s="26" t="s">
        <v>42</v>
      </c>
      <c r="R1088" s="26"/>
      <c r="S1088" s="26"/>
      <c r="T1088" s="26"/>
      <c r="U1088" s="26"/>
      <c r="V1088" s="26" t="s">
        <v>43</v>
      </c>
      <c r="W1088" s="26"/>
      <c r="X1088" s="26"/>
    </row>
    <row r="1089" spans="1:24" s="29" customFormat="1">
      <c r="A1089" s="31" t="s">
        <v>31</v>
      </c>
      <c r="B1089" s="31" t="s">
        <v>4362</v>
      </c>
      <c r="C1089" s="31" t="s">
        <v>4363</v>
      </c>
      <c r="D1089" s="31">
        <f t="shared" si="16"/>
        <v>-1</v>
      </c>
      <c r="E1089" s="31" t="s">
        <v>34</v>
      </c>
      <c r="F1089" s="31" t="s">
        <v>4224</v>
      </c>
      <c r="G1089" s="31" t="s">
        <v>4364</v>
      </c>
      <c r="H1089" s="31" t="s">
        <v>37</v>
      </c>
      <c r="I1089" s="31" t="s">
        <v>38</v>
      </c>
      <c r="J1089" s="31" t="s">
        <v>1977</v>
      </c>
      <c r="K1089" s="31" t="s">
        <v>1978</v>
      </c>
      <c r="L1089" s="31">
        <v>1932043.5</v>
      </c>
      <c r="M1089" s="31">
        <v>0</v>
      </c>
      <c r="N1089" s="31">
        <v>0</v>
      </c>
      <c r="O1089" s="31">
        <v>12100693.5</v>
      </c>
      <c r="P1089" s="31" t="s">
        <v>41</v>
      </c>
      <c r="Q1089" s="31" t="s">
        <v>42</v>
      </c>
      <c r="R1089" s="26"/>
      <c r="S1089" s="26"/>
      <c r="T1089" s="26"/>
      <c r="U1089" s="26" t="s">
        <v>43</v>
      </c>
      <c r="V1089" s="26"/>
      <c r="W1089" s="26"/>
      <c r="X1089" s="26"/>
    </row>
    <row r="1090" spans="1:24" s="29" customFormat="1">
      <c r="A1090" s="26" t="s">
        <v>31</v>
      </c>
      <c r="B1090" s="26" t="s">
        <v>4365</v>
      </c>
      <c r="C1090" s="26" t="s">
        <v>4366</v>
      </c>
      <c r="D1090" s="26">
        <f t="shared" si="16"/>
        <v>-1</v>
      </c>
      <c r="E1090" s="26" t="s">
        <v>34</v>
      </c>
      <c r="F1090" s="26" t="s">
        <v>4224</v>
      </c>
      <c r="G1090" s="26" t="s">
        <v>4367</v>
      </c>
      <c r="H1090" s="26" t="s">
        <v>37</v>
      </c>
      <c r="I1090" s="26" t="s">
        <v>38</v>
      </c>
      <c r="J1090" s="26" t="s">
        <v>4368</v>
      </c>
      <c r="K1090" s="26" t="s">
        <v>4369</v>
      </c>
      <c r="L1090" s="26">
        <v>2695474.71</v>
      </c>
      <c r="M1090" s="26">
        <v>0</v>
      </c>
      <c r="N1090" s="26">
        <v>0</v>
      </c>
      <c r="O1090" s="26">
        <v>16882183.710000001</v>
      </c>
      <c r="P1090" s="26" t="s">
        <v>41</v>
      </c>
      <c r="Q1090" s="26" t="s">
        <v>42</v>
      </c>
      <c r="R1090" s="26"/>
      <c r="S1090" s="26"/>
      <c r="T1090" s="26"/>
      <c r="U1090" s="26"/>
      <c r="V1090" s="26" t="s">
        <v>43</v>
      </c>
      <c r="W1090" s="26"/>
      <c r="X1090" s="26"/>
    </row>
    <row r="1091" spans="1:24" s="29" customFormat="1">
      <c r="A1091" s="34" t="s">
        <v>31</v>
      </c>
      <c r="B1091" s="34" t="s">
        <v>4370</v>
      </c>
      <c r="C1091" s="34" t="s">
        <v>4371</v>
      </c>
      <c r="D1091" s="34">
        <f t="shared" si="16"/>
        <v>-1</v>
      </c>
      <c r="E1091" s="34" t="s">
        <v>34</v>
      </c>
      <c r="F1091" s="34" t="s">
        <v>4224</v>
      </c>
      <c r="G1091" s="34" t="s">
        <v>4372</v>
      </c>
      <c r="H1091" s="34" t="s">
        <v>37</v>
      </c>
      <c r="I1091" s="34" t="s">
        <v>38</v>
      </c>
      <c r="J1091" s="34" t="s">
        <v>1351</v>
      </c>
      <c r="K1091" s="34" t="s">
        <v>1352</v>
      </c>
      <c r="L1091" s="34">
        <v>68400</v>
      </c>
      <c r="M1091" s="34">
        <v>0</v>
      </c>
      <c r="N1091" s="34">
        <v>0</v>
      </c>
      <c r="O1091" s="34">
        <v>428400</v>
      </c>
      <c r="P1091" s="34" t="s">
        <v>41</v>
      </c>
      <c r="Q1091" s="34" t="s">
        <v>42</v>
      </c>
      <c r="R1091" s="26"/>
      <c r="S1091" s="26"/>
      <c r="T1091" s="26" t="s">
        <v>43</v>
      </c>
      <c r="U1091" s="26"/>
      <c r="V1091" s="26"/>
      <c r="W1091" s="26"/>
      <c r="X1091" s="26"/>
    </row>
    <row r="1092" spans="1:24" s="29" customFormat="1">
      <c r="A1092" s="26" t="s">
        <v>31</v>
      </c>
      <c r="B1092" s="26" t="s">
        <v>4373</v>
      </c>
      <c r="C1092" s="26" t="s">
        <v>4374</v>
      </c>
      <c r="D1092" s="26">
        <f t="shared" si="16"/>
        <v>-1</v>
      </c>
      <c r="E1092" s="26" t="s">
        <v>34</v>
      </c>
      <c r="F1092" s="26" t="s">
        <v>4224</v>
      </c>
      <c r="G1092" s="26" t="s">
        <v>4367</v>
      </c>
      <c r="H1092" s="26" t="s">
        <v>37</v>
      </c>
      <c r="I1092" s="26" t="s">
        <v>38</v>
      </c>
      <c r="J1092" s="26" t="s">
        <v>4375</v>
      </c>
      <c r="K1092" s="26" t="s">
        <v>4376</v>
      </c>
      <c r="L1092" s="26">
        <v>20675</v>
      </c>
      <c r="M1092" s="26">
        <v>0</v>
      </c>
      <c r="N1092" s="26">
        <v>0</v>
      </c>
      <c r="O1092" s="26">
        <v>154175</v>
      </c>
      <c r="P1092" s="26" t="s">
        <v>41</v>
      </c>
      <c r="Q1092" s="26" t="s">
        <v>42</v>
      </c>
      <c r="R1092" s="26"/>
      <c r="S1092" s="26"/>
      <c r="T1092" s="26"/>
      <c r="U1092" s="26"/>
      <c r="V1092" s="26" t="s">
        <v>43</v>
      </c>
      <c r="W1092" s="26"/>
      <c r="X1092" s="26"/>
    </row>
    <row r="1093" spans="1:24" s="29" customFormat="1">
      <c r="A1093" s="26" t="s">
        <v>31</v>
      </c>
      <c r="B1093" s="26" t="s">
        <v>4377</v>
      </c>
      <c r="C1093" s="26" t="s">
        <v>4378</v>
      </c>
      <c r="D1093" s="26">
        <f t="shared" si="16"/>
        <v>-1</v>
      </c>
      <c r="E1093" s="26" t="s">
        <v>34</v>
      </c>
      <c r="F1093" s="26" t="s">
        <v>4224</v>
      </c>
      <c r="G1093" s="26" t="s">
        <v>4379</v>
      </c>
      <c r="H1093" s="26" t="s">
        <v>37</v>
      </c>
      <c r="I1093" s="26" t="s">
        <v>38</v>
      </c>
      <c r="J1093" s="26" t="s">
        <v>4380</v>
      </c>
      <c r="K1093" s="26" t="s">
        <v>4381</v>
      </c>
      <c r="L1093" s="26">
        <v>149622.29999999999</v>
      </c>
      <c r="M1093" s="26">
        <v>0</v>
      </c>
      <c r="N1093" s="26">
        <v>0</v>
      </c>
      <c r="O1093" s="26">
        <v>943452.3</v>
      </c>
      <c r="P1093" s="26" t="s">
        <v>41</v>
      </c>
      <c r="Q1093" s="26" t="s">
        <v>42</v>
      </c>
      <c r="R1093" s="26"/>
      <c r="S1093" s="26"/>
      <c r="T1093" s="26"/>
      <c r="U1093" s="26"/>
      <c r="V1093" s="26" t="s">
        <v>43</v>
      </c>
      <c r="W1093" s="26"/>
      <c r="X1093" s="26"/>
    </row>
    <row r="1094" spans="1:24" s="29" customFormat="1">
      <c r="A1094" s="32" t="s">
        <v>31</v>
      </c>
      <c r="B1094" s="32" t="s">
        <v>4382</v>
      </c>
      <c r="C1094" s="32" t="s">
        <v>4383</v>
      </c>
      <c r="D1094" s="32">
        <f t="shared" si="16"/>
        <v>-1</v>
      </c>
      <c r="E1094" s="32" t="s">
        <v>34</v>
      </c>
      <c r="F1094" s="32" t="s">
        <v>4224</v>
      </c>
      <c r="G1094" s="32" t="s">
        <v>4384</v>
      </c>
      <c r="H1094" s="32" t="s">
        <v>37</v>
      </c>
      <c r="I1094" s="32" t="s">
        <v>38</v>
      </c>
      <c r="J1094" s="32" t="s">
        <v>1056</v>
      </c>
      <c r="K1094" s="32" t="s">
        <v>1057</v>
      </c>
      <c r="L1094" s="32">
        <v>30945.3</v>
      </c>
      <c r="M1094" s="32">
        <v>0</v>
      </c>
      <c r="N1094" s="32">
        <v>0</v>
      </c>
      <c r="O1094" s="32">
        <v>193815.3</v>
      </c>
      <c r="P1094" s="32" t="s">
        <v>41</v>
      </c>
      <c r="Q1094" s="32" t="s">
        <v>42</v>
      </c>
      <c r="R1094" s="26" t="s">
        <v>43</v>
      </c>
      <c r="S1094" s="26"/>
      <c r="T1094" s="26"/>
      <c r="U1094" s="26"/>
      <c r="V1094" s="26"/>
      <c r="W1094" s="26"/>
      <c r="X1094" s="26"/>
    </row>
    <row r="1095" spans="1:24" s="29" customFormat="1">
      <c r="A1095" s="26" t="s">
        <v>31</v>
      </c>
      <c r="B1095" s="26" t="s">
        <v>4385</v>
      </c>
      <c r="C1095" s="26" t="s">
        <v>4386</v>
      </c>
      <c r="D1095" s="26">
        <f t="shared" si="16"/>
        <v>-1</v>
      </c>
      <c r="E1095" s="26" t="s">
        <v>34</v>
      </c>
      <c r="F1095" s="26" t="s">
        <v>4224</v>
      </c>
      <c r="G1095" s="26" t="s">
        <v>4387</v>
      </c>
      <c r="H1095" s="26" t="s">
        <v>37</v>
      </c>
      <c r="I1095" s="26" t="s">
        <v>38</v>
      </c>
      <c r="J1095" s="26" t="s">
        <v>4388</v>
      </c>
      <c r="K1095" s="26" t="s">
        <v>4389</v>
      </c>
      <c r="L1095" s="26">
        <v>95541.119999999995</v>
      </c>
      <c r="M1095" s="26">
        <v>0</v>
      </c>
      <c r="N1095" s="26">
        <v>0</v>
      </c>
      <c r="O1095" s="26">
        <v>598389.12</v>
      </c>
      <c r="P1095" s="26" t="s">
        <v>41</v>
      </c>
      <c r="Q1095" s="26" t="s">
        <v>42</v>
      </c>
      <c r="R1095" s="26"/>
      <c r="S1095" s="26"/>
      <c r="T1095" s="26"/>
      <c r="U1095" s="26"/>
      <c r="V1095" s="26" t="s">
        <v>43</v>
      </c>
      <c r="W1095" s="26"/>
      <c r="X1095" s="26"/>
    </row>
    <row r="1096" spans="1:24" s="29" customFormat="1">
      <c r="A1096" s="26" t="s">
        <v>31</v>
      </c>
      <c r="B1096" s="26" t="s">
        <v>4390</v>
      </c>
      <c r="C1096" s="26" t="s">
        <v>4391</v>
      </c>
      <c r="D1096" s="26">
        <f t="shared" si="16"/>
        <v>-1</v>
      </c>
      <c r="E1096" s="26" t="s">
        <v>34</v>
      </c>
      <c r="F1096" s="26" t="s">
        <v>4224</v>
      </c>
      <c r="G1096" s="26" t="s">
        <v>4392</v>
      </c>
      <c r="H1096" s="26" t="s">
        <v>37</v>
      </c>
      <c r="I1096" s="26" t="s">
        <v>38</v>
      </c>
      <c r="J1096" s="26" t="s">
        <v>4388</v>
      </c>
      <c r="K1096" s="26" t="s">
        <v>4389</v>
      </c>
      <c r="L1096" s="26">
        <v>45600</v>
      </c>
      <c r="M1096" s="26">
        <v>0</v>
      </c>
      <c r="N1096" s="26">
        <v>0</v>
      </c>
      <c r="O1096" s="26">
        <v>285600</v>
      </c>
      <c r="P1096" s="26" t="s">
        <v>41</v>
      </c>
      <c r="Q1096" s="26" t="s">
        <v>42</v>
      </c>
      <c r="R1096" s="26"/>
      <c r="S1096" s="26"/>
      <c r="T1096" s="26"/>
      <c r="U1096" s="26"/>
      <c r="V1096" s="26" t="s">
        <v>43</v>
      </c>
      <c r="W1096" s="26"/>
      <c r="X1096" s="26"/>
    </row>
    <row r="1097" spans="1:24">
      <c r="A1097" s="26" t="s">
        <v>31</v>
      </c>
      <c r="B1097" s="26" t="s">
        <v>4393</v>
      </c>
      <c r="C1097" s="26" t="s">
        <v>4394</v>
      </c>
      <c r="D1097" s="26">
        <f t="shared" si="16"/>
        <v>-1</v>
      </c>
      <c r="E1097" s="26" t="s">
        <v>34</v>
      </c>
      <c r="F1097" s="26" t="s">
        <v>4224</v>
      </c>
      <c r="G1097" s="26" t="s">
        <v>4395</v>
      </c>
      <c r="H1097" s="26" t="s">
        <v>37</v>
      </c>
      <c r="I1097" s="26" t="s">
        <v>38</v>
      </c>
      <c r="J1097" s="26" t="s">
        <v>2302</v>
      </c>
      <c r="K1097" s="26" t="s">
        <v>2303</v>
      </c>
      <c r="L1097" s="26">
        <v>986951.2</v>
      </c>
      <c r="M1097" s="26">
        <v>0</v>
      </c>
      <c r="N1097" s="26">
        <v>0</v>
      </c>
      <c r="O1097" s="26">
        <v>6181431.2000000002</v>
      </c>
      <c r="P1097" s="26" t="s">
        <v>41</v>
      </c>
      <c r="Q1097" s="26" t="s">
        <v>42</v>
      </c>
      <c r="R1097" s="26"/>
      <c r="S1097" s="26"/>
      <c r="T1097" s="26"/>
      <c r="U1097" s="26"/>
      <c r="V1097" s="26"/>
      <c r="W1097" s="26"/>
      <c r="X1097" s="26"/>
    </row>
    <row r="1098" spans="1:24">
      <c r="A1098" s="26" t="s">
        <v>31</v>
      </c>
      <c r="B1098" s="26" t="s">
        <v>4396</v>
      </c>
      <c r="C1098" s="26" t="s">
        <v>4397</v>
      </c>
      <c r="D1098" s="26">
        <f t="shared" si="16"/>
        <v>-1</v>
      </c>
      <c r="E1098" s="26" t="s">
        <v>34</v>
      </c>
      <c r="F1098" s="26" t="s">
        <v>4224</v>
      </c>
      <c r="G1098" s="26" t="s">
        <v>4398</v>
      </c>
      <c r="H1098" s="26" t="s">
        <v>37</v>
      </c>
      <c r="I1098" s="26" t="s">
        <v>38</v>
      </c>
      <c r="J1098" s="26" t="s">
        <v>964</v>
      </c>
      <c r="K1098" s="26" t="s">
        <v>965</v>
      </c>
      <c r="L1098" s="26">
        <v>902042.29</v>
      </c>
      <c r="M1098" s="26">
        <v>0</v>
      </c>
      <c r="N1098" s="26">
        <v>0</v>
      </c>
      <c r="O1098" s="26">
        <v>5649633.29</v>
      </c>
      <c r="P1098" s="26" t="s">
        <v>41</v>
      </c>
      <c r="Q1098" s="26" t="s">
        <v>42</v>
      </c>
      <c r="R1098" s="26"/>
      <c r="S1098" s="26"/>
      <c r="T1098" s="26"/>
      <c r="U1098" s="26"/>
      <c r="V1098" s="26"/>
      <c r="W1098" s="26"/>
      <c r="X1098" s="26"/>
    </row>
    <row r="1099" spans="1:24">
      <c r="A1099" s="32" t="s">
        <v>31</v>
      </c>
      <c r="B1099" s="32" t="s">
        <v>4399</v>
      </c>
      <c r="C1099" s="32" t="s">
        <v>4400</v>
      </c>
      <c r="D1099" s="32">
        <f t="shared" si="16"/>
        <v>-1</v>
      </c>
      <c r="E1099" s="32" t="s">
        <v>34</v>
      </c>
      <c r="F1099" s="32" t="s">
        <v>4224</v>
      </c>
      <c r="G1099" s="32" t="s">
        <v>4401</v>
      </c>
      <c r="H1099" s="32" t="s">
        <v>37</v>
      </c>
      <c r="I1099" s="32" t="s">
        <v>38</v>
      </c>
      <c r="J1099" s="32" t="s">
        <v>4402</v>
      </c>
      <c r="K1099" s="32" t="s">
        <v>4403</v>
      </c>
      <c r="L1099" s="32">
        <v>25099722</v>
      </c>
      <c r="M1099" s="32">
        <v>0</v>
      </c>
      <c r="N1099" s="32">
        <v>0</v>
      </c>
      <c r="O1099" s="32">
        <v>157203522</v>
      </c>
      <c r="P1099" s="32" t="s">
        <v>41</v>
      </c>
      <c r="Q1099" s="32" t="s">
        <v>42</v>
      </c>
      <c r="R1099" s="26" t="s">
        <v>43</v>
      </c>
      <c r="S1099" s="26"/>
      <c r="T1099" s="26"/>
      <c r="U1099" s="26"/>
      <c r="V1099" s="26"/>
      <c r="W1099" s="26"/>
      <c r="X1099" s="26"/>
    </row>
    <row r="1100" spans="1:24">
      <c r="A1100" s="32" t="s">
        <v>31</v>
      </c>
      <c r="B1100" s="32" t="s">
        <v>4404</v>
      </c>
      <c r="C1100" s="32" t="s">
        <v>4405</v>
      </c>
      <c r="D1100" s="32">
        <f t="shared" si="16"/>
        <v>-1</v>
      </c>
      <c r="E1100" s="32" t="s">
        <v>34</v>
      </c>
      <c r="F1100" s="32" t="s">
        <v>4224</v>
      </c>
      <c r="G1100" s="32" t="s">
        <v>4406</v>
      </c>
      <c r="H1100" s="32" t="s">
        <v>37</v>
      </c>
      <c r="I1100" s="32" t="s">
        <v>38</v>
      </c>
      <c r="J1100" s="32" t="s">
        <v>2066</v>
      </c>
      <c r="K1100" s="32" t="s">
        <v>2067</v>
      </c>
      <c r="L1100" s="32">
        <v>38380</v>
      </c>
      <c r="M1100" s="32">
        <v>0</v>
      </c>
      <c r="N1100" s="32">
        <v>0</v>
      </c>
      <c r="O1100" s="32">
        <v>240380</v>
      </c>
      <c r="P1100" s="32" t="s">
        <v>41</v>
      </c>
      <c r="Q1100" s="32" t="s">
        <v>42</v>
      </c>
      <c r="R1100" s="26" t="s">
        <v>43</v>
      </c>
      <c r="S1100" s="26"/>
      <c r="T1100" s="26"/>
      <c r="U1100" s="26"/>
      <c r="V1100" s="26"/>
      <c r="W1100" s="26"/>
      <c r="X1100" s="26"/>
    </row>
    <row r="1101" spans="1:24">
      <c r="A1101" s="32" t="s">
        <v>31</v>
      </c>
      <c r="B1101" s="32" t="s">
        <v>4407</v>
      </c>
      <c r="C1101" s="32" t="s">
        <v>4408</v>
      </c>
      <c r="D1101" s="32">
        <f t="shared" ref="D1101:D1164" si="17">C1101-C1102</f>
        <v>-1</v>
      </c>
      <c r="E1101" s="32" t="s">
        <v>34</v>
      </c>
      <c r="F1101" s="32" t="s">
        <v>4224</v>
      </c>
      <c r="G1101" s="32" t="s">
        <v>4409</v>
      </c>
      <c r="H1101" s="32" t="s">
        <v>37</v>
      </c>
      <c r="I1101" s="32" t="s">
        <v>38</v>
      </c>
      <c r="J1101" s="32" t="s">
        <v>184</v>
      </c>
      <c r="K1101" s="32" t="s">
        <v>185</v>
      </c>
      <c r="L1101" s="32">
        <v>0</v>
      </c>
      <c r="M1101" s="32">
        <v>0</v>
      </c>
      <c r="N1101" s="32">
        <v>0</v>
      </c>
      <c r="O1101" s="32">
        <v>1916667</v>
      </c>
      <c r="P1101" s="32" t="s">
        <v>41</v>
      </c>
      <c r="Q1101" s="32" t="s">
        <v>42</v>
      </c>
      <c r="R1101" s="26" t="s">
        <v>43</v>
      </c>
      <c r="S1101" s="26"/>
      <c r="T1101" s="26"/>
      <c r="U1101" s="26"/>
      <c r="V1101" s="26"/>
      <c r="W1101" s="26"/>
      <c r="X1101" s="26"/>
    </row>
    <row r="1102" spans="1:24">
      <c r="A1102" s="32" t="s">
        <v>31</v>
      </c>
      <c r="B1102" s="32" t="s">
        <v>4410</v>
      </c>
      <c r="C1102" s="32" t="s">
        <v>4411</v>
      </c>
      <c r="D1102" s="32">
        <f t="shared" si="17"/>
        <v>-1</v>
      </c>
      <c r="E1102" s="32" t="s">
        <v>34</v>
      </c>
      <c r="F1102" s="32" t="s">
        <v>4224</v>
      </c>
      <c r="G1102" s="32" t="s">
        <v>4412</v>
      </c>
      <c r="H1102" s="32" t="s">
        <v>37</v>
      </c>
      <c r="I1102" s="32" t="s">
        <v>38</v>
      </c>
      <c r="J1102" s="32" t="s">
        <v>184</v>
      </c>
      <c r="K1102" s="32" t="s">
        <v>185</v>
      </c>
      <c r="L1102" s="32">
        <v>0</v>
      </c>
      <c r="M1102" s="32">
        <v>0</v>
      </c>
      <c r="N1102" s="32">
        <v>0</v>
      </c>
      <c r="O1102" s="32">
        <v>19166670</v>
      </c>
      <c r="P1102" s="32" t="s">
        <v>41</v>
      </c>
      <c r="Q1102" s="32" t="s">
        <v>42</v>
      </c>
      <c r="R1102" s="26" t="s">
        <v>43</v>
      </c>
      <c r="S1102" s="26"/>
      <c r="T1102" s="26"/>
      <c r="U1102" s="26"/>
      <c r="V1102" s="26"/>
      <c r="W1102" s="26"/>
      <c r="X1102" s="26"/>
    </row>
    <row r="1103" spans="1:24">
      <c r="A1103" s="32" t="s">
        <v>31</v>
      </c>
      <c r="B1103" s="32" t="s">
        <v>4413</v>
      </c>
      <c r="C1103" s="32" t="s">
        <v>4414</v>
      </c>
      <c r="D1103" s="32">
        <f t="shared" si="17"/>
        <v>-1</v>
      </c>
      <c r="E1103" s="32" t="s">
        <v>34</v>
      </c>
      <c r="F1103" s="32" t="s">
        <v>4224</v>
      </c>
      <c r="G1103" s="32" t="s">
        <v>4415</v>
      </c>
      <c r="H1103" s="32" t="s">
        <v>37</v>
      </c>
      <c r="I1103" s="32" t="s">
        <v>38</v>
      </c>
      <c r="J1103" s="32" t="s">
        <v>184</v>
      </c>
      <c r="K1103" s="32" t="s">
        <v>185</v>
      </c>
      <c r="L1103" s="32">
        <v>739120.9</v>
      </c>
      <c r="M1103" s="32">
        <v>0</v>
      </c>
      <c r="N1103" s="32">
        <v>0</v>
      </c>
      <c r="O1103" s="32">
        <v>8462564.9000000004</v>
      </c>
      <c r="P1103" s="32" t="s">
        <v>41</v>
      </c>
      <c r="Q1103" s="32" t="s">
        <v>42</v>
      </c>
      <c r="R1103" s="26" t="s">
        <v>43</v>
      </c>
      <c r="S1103" s="26"/>
      <c r="T1103" s="26"/>
      <c r="U1103" s="26"/>
      <c r="V1103" s="26"/>
      <c r="W1103" s="26"/>
      <c r="X1103" s="26"/>
    </row>
    <row r="1104" spans="1:24">
      <c r="A1104" s="32" t="s">
        <v>31</v>
      </c>
      <c r="B1104" s="32" t="s">
        <v>4416</v>
      </c>
      <c r="C1104" s="32" t="s">
        <v>4417</v>
      </c>
      <c r="D1104" s="32">
        <f t="shared" si="17"/>
        <v>-1</v>
      </c>
      <c r="E1104" s="32" t="s">
        <v>34</v>
      </c>
      <c r="F1104" s="32" t="s">
        <v>4224</v>
      </c>
      <c r="G1104" s="32" t="s">
        <v>4418</v>
      </c>
      <c r="H1104" s="32" t="s">
        <v>37</v>
      </c>
      <c r="I1104" s="32" t="s">
        <v>38</v>
      </c>
      <c r="J1104" s="32" t="s">
        <v>184</v>
      </c>
      <c r="K1104" s="32" t="s">
        <v>185</v>
      </c>
      <c r="L1104" s="32">
        <v>0</v>
      </c>
      <c r="M1104" s="32">
        <v>0</v>
      </c>
      <c r="N1104" s="32">
        <v>0</v>
      </c>
      <c r="O1104" s="32">
        <v>9583335</v>
      </c>
      <c r="P1104" s="32" t="s">
        <v>41</v>
      </c>
      <c r="Q1104" s="32" t="s">
        <v>42</v>
      </c>
      <c r="R1104" s="26" t="s">
        <v>43</v>
      </c>
      <c r="S1104" s="26"/>
      <c r="T1104" s="26"/>
      <c r="U1104" s="26"/>
      <c r="V1104" s="26"/>
      <c r="W1104" s="26"/>
      <c r="X1104" s="26"/>
    </row>
    <row r="1105" spans="1:24">
      <c r="A1105" s="34" t="s">
        <v>31</v>
      </c>
      <c r="B1105" s="34" t="s">
        <v>4419</v>
      </c>
      <c r="C1105" s="34" t="s">
        <v>4420</v>
      </c>
      <c r="D1105" s="34">
        <f t="shared" si="17"/>
        <v>-1</v>
      </c>
      <c r="E1105" s="34" t="s">
        <v>34</v>
      </c>
      <c r="F1105" s="34" t="s">
        <v>4224</v>
      </c>
      <c r="G1105" s="34" t="s">
        <v>4421</v>
      </c>
      <c r="H1105" s="34" t="s">
        <v>37</v>
      </c>
      <c r="I1105" s="34" t="s">
        <v>38</v>
      </c>
      <c r="J1105" s="34" t="s">
        <v>4091</v>
      </c>
      <c r="K1105" s="34" t="s">
        <v>4092</v>
      </c>
      <c r="L1105" s="34">
        <v>25104.13</v>
      </c>
      <c r="M1105" s="34">
        <v>0</v>
      </c>
      <c r="N1105" s="34">
        <v>0</v>
      </c>
      <c r="O1105" s="34">
        <v>157231.13</v>
      </c>
      <c r="P1105" s="34" t="s">
        <v>41</v>
      </c>
      <c r="Q1105" s="34" t="s">
        <v>42</v>
      </c>
      <c r="R1105" s="26"/>
      <c r="S1105" s="26"/>
      <c r="T1105" s="26" t="s">
        <v>43</v>
      </c>
      <c r="U1105" s="26"/>
      <c r="V1105" s="26"/>
      <c r="W1105" s="26"/>
      <c r="X1105" s="26"/>
    </row>
    <row r="1106" spans="1:24">
      <c r="A1106" s="32" t="s">
        <v>31</v>
      </c>
      <c r="B1106" s="32" t="s">
        <v>4422</v>
      </c>
      <c r="C1106" s="32" t="s">
        <v>4423</v>
      </c>
      <c r="D1106" s="32">
        <f t="shared" si="17"/>
        <v>-1</v>
      </c>
      <c r="E1106" s="32" t="s">
        <v>34</v>
      </c>
      <c r="F1106" s="32" t="s">
        <v>4224</v>
      </c>
      <c r="G1106" s="32" t="s">
        <v>4424</v>
      </c>
      <c r="H1106" s="32" t="s">
        <v>37</v>
      </c>
      <c r="I1106" s="32" t="s">
        <v>38</v>
      </c>
      <c r="J1106" s="32" t="s">
        <v>4425</v>
      </c>
      <c r="K1106" s="32" t="s">
        <v>4426</v>
      </c>
      <c r="L1106" s="32">
        <v>496850</v>
      </c>
      <c r="M1106" s="32">
        <v>0</v>
      </c>
      <c r="N1106" s="32">
        <v>0</v>
      </c>
      <c r="O1106" s="32">
        <v>3111850</v>
      </c>
      <c r="P1106" s="32" t="s">
        <v>41</v>
      </c>
      <c r="Q1106" s="32" t="s">
        <v>42</v>
      </c>
      <c r="R1106" s="26" t="s">
        <v>43</v>
      </c>
      <c r="S1106" s="26"/>
      <c r="T1106" s="26"/>
      <c r="U1106" s="26"/>
      <c r="V1106" s="26"/>
      <c r="W1106" s="26"/>
      <c r="X1106" s="26"/>
    </row>
    <row r="1107" spans="1:24">
      <c r="A1107" s="26" t="s">
        <v>31</v>
      </c>
      <c r="B1107" s="26" t="s">
        <v>4427</v>
      </c>
      <c r="C1107" s="26" t="s">
        <v>4428</v>
      </c>
      <c r="D1107" s="26">
        <f t="shared" si="17"/>
        <v>-1</v>
      </c>
      <c r="E1107" s="26" t="s">
        <v>34</v>
      </c>
      <c r="F1107" s="26" t="s">
        <v>4224</v>
      </c>
      <c r="G1107" s="26" t="s">
        <v>4429</v>
      </c>
      <c r="H1107" s="26" t="s">
        <v>37</v>
      </c>
      <c r="I1107" s="26" t="s">
        <v>38</v>
      </c>
      <c r="J1107" s="26" t="s">
        <v>1929</v>
      </c>
      <c r="K1107" s="26" t="s">
        <v>1930</v>
      </c>
      <c r="L1107" s="26">
        <v>119335.2</v>
      </c>
      <c r="M1107" s="26">
        <v>0</v>
      </c>
      <c r="N1107" s="26">
        <v>0</v>
      </c>
      <c r="O1107" s="26">
        <v>747415.2</v>
      </c>
      <c r="P1107" s="26" t="s">
        <v>41</v>
      </c>
      <c r="Q1107" s="26" t="s">
        <v>42</v>
      </c>
      <c r="R1107" s="26"/>
      <c r="S1107" s="26"/>
      <c r="T1107" s="26"/>
      <c r="U1107" s="26"/>
      <c r="V1107" s="26"/>
      <c r="W1107" s="26"/>
      <c r="X1107" s="26"/>
    </row>
    <row r="1108" spans="1:24">
      <c r="A1108" s="33" t="s">
        <v>31</v>
      </c>
      <c r="B1108" s="33" t="s">
        <v>4430</v>
      </c>
      <c r="C1108" s="33" t="s">
        <v>4431</v>
      </c>
      <c r="D1108" s="33">
        <f t="shared" si="17"/>
        <v>-1</v>
      </c>
      <c r="E1108" s="33" t="s">
        <v>34</v>
      </c>
      <c r="F1108" s="33" t="s">
        <v>4224</v>
      </c>
      <c r="G1108" s="33" t="s">
        <v>4432</v>
      </c>
      <c r="H1108" s="33" t="s">
        <v>37</v>
      </c>
      <c r="I1108" s="33" t="s">
        <v>38</v>
      </c>
      <c r="J1108" s="33" t="s">
        <v>2055</v>
      </c>
      <c r="K1108" s="33" t="s">
        <v>2056</v>
      </c>
      <c r="L1108" s="33">
        <v>57000</v>
      </c>
      <c r="M1108" s="33">
        <v>0</v>
      </c>
      <c r="N1108" s="33">
        <v>0</v>
      </c>
      <c r="O1108" s="33">
        <v>357000</v>
      </c>
      <c r="P1108" s="33" t="s">
        <v>41</v>
      </c>
      <c r="Q1108" s="33" t="s">
        <v>42</v>
      </c>
      <c r="R1108" s="26"/>
      <c r="S1108" s="26" t="s">
        <v>43</v>
      </c>
      <c r="T1108" s="26"/>
      <c r="U1108" s="26"/>
      <c r="V1108" s="26"/>
      <c r="W1108" s="26"/>
      <c r="X1108" s="26"/>
    </row>
    <row r="1109" spans="1:24">
      <c r="A1109" s="26" t="s">
        <v>31</v>
      </c>
      <c r="B1109" s="26" t="s">
        <v>4433</v>
      </c>
      <c r="C1109" s="26" t="s">
        <v>4434</v>
      </c>
      <c r="D1109" s="26">
        <f t="shared" si="17"/>
        <v>-1</v>
      </c>
      <c r="E1109" s="26" t="s">
        <v>34</v>
      </c>
      <c r="F1109" s="26" t="s">
        <v>4224</v>
      </c>
      <c r="G1109" s="26" t="s">
        <v>4435</v>
      </c>
      <c r="H1109" s="26" t="s">
        <v>37</v>
      </c>
      <c r="I1109" s="26" t="s">
        <v>38</v>
      </c>
      <c r="J1109" s="26" t="s">
        <v>4436</v>
      </c>
      <c r="K1109" s="26" t="s">
        <v>4437</v>
      </c>
      <c r="L1109" s="26">
        <v>4157200</v>
      </c>
      <c r="M1109" s="26">
        <v>0</v>
      </c>
      <c r="N1109" s="26">
        <v>0</v>
      </c>
      <c r="O1109" s="26">
        <v>29787200</v>
      </c>
      <c r="P1109" s="26" t="s">
        <v>41</v>
      </c>
      <c r="Q1109" s="26" t="s">
        <v>42</v>
      </c>
      <c r="R1109" s="26"/>
      <c r="S1109" s="26"/>
      <c r="T1109" s="26"/>
      <c r="U1109" s="26"/>
      <c r="V1109" s="26" t="s">
        <v>43</v>
      </c>
      <c r="W1109" s="26"/>
      <c r="X1109" s="26"/>
    </row>
    <row r="1110" spans="1:24">
      <c r="A1110" s="26" t="s">
        <v>31</v>
      </c>
      <c r="B1110" s="26" t="s">
        <v>4438</v>
      </c>
      <c r="C1110" s="26" t="s">
        <v>4439</v>
      </c>
      <c r="D1110" s="26">
        <f t="shared" si="17"/>
        <v>-1</v>
      </c>
      <c r="E1110" s="26" t="s">
        <v>34</v>
      </c>
      <c r="F1110" s="26" t="s">
        <v>4224</v>
      </c>
      <c r="G1110" s="26" t="s">
        <v>4440</v>
      </c>
      <c r="H1110" s="26" t="s">
        <v>37</v>
      </c>
      <c r="I1110" s="26" t="s">
        <v>38</v>
      </c>
      <c r="J1110" s="26" t="s">
        <v>4436</v>
      </c>
      <c r="K1110" s="26" t="s">
        <v>4437</v>
      </c>
      <c r="L1110" s="26">
        <v>1482000</v>
      </c>
      <c r="M1110" s="26">
        <v>0</v>
      </c>
      <c r="N1110" s="26">
        <v>0</v>
      </c>
      <c r="O1110" s="26">
        <v>9282000</v>
      </c>
      <c r="P1110" s="26" t="s">
        <v>41</v>
      </c>
      <c r="Q1110" s="26" t="s">
        <v>42</v>
      </c>
      <c r="R1110" s="26"/>
      <c r="S1110" s="26"/>
      <c r="T1110" s="26"/>
      <c r="U1110" s="26"/>
      <c r="V1110" s="26" t="s">
        <v>43</v>
      </c>
      <c r="W1110" s="26"/>
      <c r="X1110" s="26"/>
    </row>
    <row r="1111" spans="1:24">
      <c r="A1111" s="26" t="s">
        <v>31</v>
      </c>
      <c r="B1111" s="26" t="s">
        <v>4441</v>
      </c>
      <c r="C1111" s="26" t="s">
        <v>4442</v>
      </c>
      <c r="D1111" s="26">
        <f t="shared" si="17"/>
        <v>-1</v>
      </c>
      <c r="E1111" s="26" t="s">
        <v>34</v>
      </c>
      <c r="F1111" s="26" t="s">
        <v>4224</v>
      </c>
      <c r="G1111" s="26" t="s">
        <v>4443</v>
      </c>
      <c r="H1111" s="26" t="s">
        <v>37</v>
      </c>
      <c r="I1111" s="26" t="s">
        <v>38</v>
      </c>
      <c r="J1111" s="26" t="s">
        <v>4436</v>
      </c>
      <c r="K1111" s="26" t="s">
        <v>4437</v>
      </c>
      <c r="L1111" s="26">
        <v>3230000</v>
      </c>
      <c r="M1111" s="26">
        <v>0</v>
      </c>
      <c r="N1111" s="26">
        <v>0</v>
      </c>
      <c r="O1111" s="26">
        <v>20230000</v>
      </c>
      <c r="P1111" s="26" t="s">
        <v>41</v>
      </c>
      <c r="Q1111" s="26" t="s">
        <v>42</v>
      </c>
      <c r="R1111" s="26"/>
      <c r="S1111" s="26"/>
      <c r="T1111" s="26"/>
      <c r="U1111" s="26"/>
      <c r="V1111" s="26" t="s">
        <v>43</v>
      </c>
      <c r="W1111" s="26"/>
      <c r="X1111" s="26"/>
    </row>
    <row r="1112" spans="1:24">
      <c r="A1112" s="26" t="s">
        <v>31</v>
      </c>
      <c r="B1112" s="26" t="s">
        <v>4444</v>
      </c>
      <c r="C1112" s="26" t="s">
        <v>4445</v>
      </c>
      <c r="D1112" s="26">
        <f t="shared" si="17"/>
        <v>-1</v>
      </c>
      <c r="E1112" s="26" t="s">
        <v>34</v>
      </c>
      <c r="F1112" s="26" t="s">
        <v>4224</v>
      </c>
      <c r="G1112" s="26" t="s">
        <v>4446</v>
      </c>
      <c r="H1112" s="26" t="s">
        <v>37</v>
      </c>
      <c r="I1112" s="26" t="s">
        <v>38</v>
      </c>
      <c r="J1112" s="26" t="s">
        <v>1977</v>
      </c>
      <c r="K1112" s="26" t="s">
        <v>1978</v>
      </c>
      <c r="L1112" s="26">
        <v>1942351</v>
      </c>
      <c r="M1112" s="26">
        <v>0</v>
      </c>
      <c r="N1112" s="26">
        <v>0</v>
      </c>
      <c r="O1112" s="26">
        <v>12165251</v>
      </c>
      <c r="P1112" s="26" t="s">
        <v>41</v>
      </c>
      <c r="Q1112" s="26" t="s">
        <v>42</v>
      </c>
      <c r="R1112" s="26"/>
      <c r="S1112" s="26"/>
      <c r="T1112" s="26"/>
      <c r="U1112" s="26"/>
      <c r="V1112" s="26" t="s">
        <v>43</v>
      </c>
      <c r="W1112" s="26"/>
      <c r="X1112" s="26"/>
    </row>
    <row r="1113" spans="1:24">
      <c r="A1113" s="32" t="s">
        <v>31</v>
      </c>
      <c r="B1113" s="32" t="s">
        <v>4447</v>
      </c>
      <c r="C1113" s="32" t="s">
        <v>4448</v>
      </c>
      <c r="D1113" s="32">
        <f t="shared" si="17"/>
        <v>-1</v>
      </c>
      <c r="E1113" s="32" t="s">
        <v>34</v>
      </c>
      <c r="F1113" s="32" t="s">
        <v>4224</v>
      </c>
      <c r="G1113" s="32" t="s">
        <v>4449</v>
      </c>
      <c r="H1113" s="32" t="s">
        <v>37</v>
      </c>
      <c r="I1113" s="32" t="s">
        <v>38</v>
      </c>
      <c r="J1113" s="32" t="s">
        <v>764</v>
      </c>
      <c r="K1113" s="32" t="s">
        <v>765</v>
      </c>
      <c r="L1113" s="32">
        <v>12564.7</v>
      </c>
      <c r="M1113" s="32">
        <v>0</v>
      </c>
      <c r="N1113" s="32">
        <v>0</v>
      </c>
      <c r="O1113" s="32">
        <v>78694.7</v>
      </c>
      <c r="P1113" s="32" t="s">
        <v>41</v>
      </c>
      <c r="Q1113" s="32" t="s">
        <v>42</v>
      </c>
      <c r="R1113" s="26" t="s">
        <v>43</v>
      </c>
      <c r="S1113" s="26"/>
      <c r="T1113" s="26"/>
      <c r="U1113" s="26"/>
      <c r="V1113" s="26"/>
      <c r="W1113" s="26"/>
      <c r="X1113" s="26"/>
    </row>
    <row r="1114" spans="1:24">
      <c r="A1114" s="34" t="s">
        <v>31</v>
      </c>
      <c r="B1114" s="34" t="s">
        <v>4450</v>
      </c>
      <c r="C1114" s="34" t="s">
        <v>4451</v>
      </c>
      <c r="D1114" s="34">
        <f t="shared" si="17"/>
        <v>-1</v>
      </c>
      <c r="E1114" s="34" t="s">
        <v>34</v>
      </c>
      <c r="F1114" s="34" t="s">
        <v>4224</v>
      </c>
      <c r="G1114" s="34" t="s">
        <v>4452</v>
      </c>
      <c r="H1114" s="34" t="s">
        <v>37</v>
      </c>
      <c r="I1114" s="34" t="s">
        <v>38</v>
      </c>
      <c r="J1114" s="34" t="s">
        <v>764</v>
      </c>
      <c r="K1114" s="34" t="s">
        <v>765</v>
      </c>
      <c r="L1114" s="34">
        <v>66279.41</v>
      </c>
      <c r="M1114" s="34">
        <v>0</v>
      </c>
      <c r="N1114" s="34">
        <v>0</v>
      </c>
      <c r="O1114" s="34">
        <v>415118.41</v>
      </c>
      <c r="P1114" s="34" t="s">
        <v>41</v>
      </c>
      <c r="Q1114" s="34" t="s">
        <v>42</v>
      </c>
      <c r="R1114" s="26"/>
      <c r="S1114" s="26"/>
      <c r="T1114" s="26" t="s">
        <v>43</v>
      </c>
      <c r="U1114" s="26"/>
      <c r="V1114" s="26"/>
      <c r="W1114" s="26"/>
      <c r="X1114" s="26"/>
    </row>
    <row r="1115" spans="1:24">
      <c r="A1115" s="26" t="s">
        <v>31</v>
      </c>
      <c r="B1115" s="26" t="s">
        <v>4453</v>
      </c>
      <c r="C1115" s="26" t="s">
        <v>4454</v>
      </c>
      <c r="D1115" s="26">
        <f t="shared" si="17"/>
        <v>-1</v>
      </c>
      <c r="E1115" s="26" t="s">
        <v>34</v>
      </c>
      <c r="F1115" s="26" t="s">
        <v>4224</v>
      </c>
      <c r="G1115" s="26" t="s">
        <v>4455</v>
      </c>
      <c r="H1115" s="26" t="s">
        <v>37</v>
      </c>
      <c r="I1115" s="26" t="s">
        <v>38</v>
      </c>
      <c r="J1115" s="26" t="s">
        <v>616</v>
      </c>
      <c r="K1115" s="26" t="s">
        <v>617</v>
      </c>
      <c r="L1115" s="26">
        <v>142500</v>
      </c>
      <c r="M1115" s="26">
        <v>0</v>
      </c>
      <c r="N1115" s="26">
        <v>0</v>
      </c>
      <c r="O1115" s="26">
        <v>892500</v>
      </c>
      <c r="P1115" s="26" t="s">
        <v>41</v>
      </c>
      <c r="Q1115" s="26" t="s">
        <v>42</v>
      </c>
      <c r="R1115" s="26"/>
      <c r="S1115" s="26"/>
      <c r="T1115" s="26"/>
      <c r="U1115" s="26"/>
      <c r="V1115" s="26" t="s">
        <v>43</v>
      </c>
      <c r="W1115" s="26"/>
      <c r="X1115" s="26"/>
    </row>
    <row r="1116" spans="1:24">
      <c r="A1116" s="26" t="s">
        <v>31</v>
      </c>
      <c r="B1116" s="26" t="s">
        <v>4456</v>
      </c>
      <c r="C1116" s="26" t="s">
        <v>4457</v>
      </c>
      <c r="D1116" s="26">
        <f t="shared" si="17"/>
        <v>-1</v>
      </c>
      <c r="E1116" s="26" t="s">
        <v>34</v>
      </c>
      <c r="F1116" s="26" t="s">
        <v>4224</v>
      </c>
      <c r="G1116" s="26" t="s">
        <v>4458</v>
      </c>
      <c r="H1116" s="26" t="s">
        <v>37</v>
      </c>
      <c r="I1116" s="26" t="s">
        <v>38</v>
      </c>
      <c r="J1116" s="26" t="s">
        <v>3632</v>
      </c>
      <c r="K1116" s="26" t="s">
        <v>3633</v>
      </c>
      <c r="L1116" s="26">
        <v>28500</v>
      </c>
      <c r="M1116" s="26">
        <v>0</v>
      </c>
      <c r="N1116" s="26">
        <v>0</v>
      </c>
      <c r="O1116" s="26">
        <v>178500</v>
      </c>
      <c r="P1116" s="26" t="s">
        <v>41</v>
      </c>
      <c r="Q1116" s="26" t="s">
        <v>42</v>
      </c>
      <c r="R1116" s="26"/>
      <c r="S1116" s="26"/>
      <c r="T1116" s="26"/>
      <c r="U1116" s="26"/>
      <c r="V1116" s="26" t="s">
        <v>43</v>
      </c>
      <c r="W1116" s="26"/>
      <c r="X1116" s="26"/>
    </row>
    <row r="1117" spans="1:24">
      <c r="A1117" s="26" t="s">
        <v>31</v>
      </c>
      <c r="B1117" s="26" t="s">
        <v>4459</v>
      </c>
      <c r="C1117" s="26" t="s">
        <v>4460</v>
      </c>
      <c r="D1117" s="26">
        <f t="shared" si="17"/>
        <v>-1</v>
      </c>
      <c r="E1117" s="26" t="s">
        <v>34</v>
      </c>
      <c r="F1117" s="26" t="s">
        <v>4224</v>
      </c>
      <c r="G1117" s="26" t="s">
        <v>4461</v>
      </c>
      <c r="H1117" s="26" t="s">
        <v>37</v>
      </c>
      <c r="I1117" s="26" t="s">
        <v>38</v>
      </c>
      <c r="J1117" s="26" t="s">
        <v>4462</v>
      </c>
      <c r="K1117" s="26" t="s">
        <v>4463</v>
      </c>
      <c r="L1117" s="26">
        <v>35340</v>
      </c>
      <c r="M1117" s="26">
        <v>0</v>
      </c>
      <c r="N1117" s="26">
        <v>0</v>
      </c>
      <c r="O1117" s="26">
        <v>221340</v>
      </c>
      <c r="P1117" s="26" t="s">
        <v>41</v>
      </c>
      <c r="Q1117" s="26" t="s">
        <v>42</v>
      </c>
      <c r="R1117" s="26"/>
      <c r="S1117" s="26"/>
      <c r="T1117" s="26"/>
      <c r="U1117" s="26"/>
      <c r="V1117" s="26" t="s">
        <v>43</v>
      </c>
      <c r="W1117" s="26"/>
      <c r="X1117" s="26"/>
    </row>
    <row r="1118" spans="1:24">
      <c r="A1118" s="26" t="s">
        <v>31</v>
      </c>
      <c r="B1118" s="26" t="s">
        <v>4464</v>
      </c>
      <c r="C1118" s="26" t="s">
        <v>4465</v>
      </c>
      <c r="D1118" s="26">
        <f t="shared" si="17"/>
        <v>-1</v>
      </c>
      <c r="E1118" s="26" t="s">
        <v>34</v>
      </c>
      <c r="F1118" s="26" t="s">
        <v>4224</v>
      </c>
      <c r="G1118" s="26" t="s">
        <v>4466</v>
      </c>
      <c r="H1118" s="26" t="s">
        <v>37</v>
      </c>
      <c r="I1118" s="26" t="s">
        <v>38</v>
      </c>
      <c r="J1118" s="26" t="s">
        <v>1698</v>
      </c>
      <c r="K1118" s="26" t="s">
        <v>1699</v>
      </c>
      <c r="L1118" s="26">
        <v>21538.59</v>
      </c>
      <c r="M1118" s="26">
        <v>0</v>
      </c>
      <c r="N1118" s="26">
        <v>0</v>
      </c>
      <c r="O1118" s="26">
        <v>134899.59</v>
      </c>
      <c r="P1118" s="26" t="s">
        <v>41</v>
      </c>
      <c r="Q1118" s="26" t="s">
        <v>42</v>
      </c>
      <c r="R1118" s="26"/>
      <c r="S1118" s="26"/>
      <c r="T1118" s="26"/>
      <c r="U1118" s="26"/>
      <c r="V1118" s="26" t="s">
        <v>43</v>
      </c>
      <c r="W1118" s="26"/>
      <c r="X1118" s="26"/>
    </row>
    <row r="1119" spans="1:24">
      <c r="A1119" s="26" t="s">
        <v>31</v>
      </c>
      <c r="B1119" s="26" t="s">
        <v>4467</v>
      </c>
      <c r="C1119" s="26" t="s">
        <v>4468</v>
      </c>
      <c r="D1119" s="26">
        <f t="shared" si="17"/>
        <v>-1</v>
      </c>
      <c r="E1119" s="26" t="s">
        <v>34</v>
      </c>
      <c r="F1119" s="26" t="s">
        <v>4224</v>
      </c>
      <c r="G1119" s="26" t="s">
        <v>4469</v>
      </c>
      <c r="H1119" s="26" t="s">
        <v>37</v>
      </c>
      <c r="I1119" s="26" t="s">
        <v>38</v>
      </c>
      <c r="J1119" s="26" t="s">
        <v>4470</v>
      </c>
      <c r="K1119" s="26" t="s">
        <v>4471</v>
      </c>
      <c r="L1119" s="26">
        <v>0</v>
      </c>
      <c r="M1119" s="26">
        <v>0</v>
      </c>
      <c r="N1119" s="26">
        <v>0</v>
      </c>
      <c r="O1119" s="26">
        <v>639000</v>
      </c>
      <c r="P1119" s="26" t="s">
        <v>41</v>
      </c>
      <c r="Q1119" s="26" t="s">
        <v>42</v>
      </c>
      <c r="R1119" s="26"/>
      <c r="S1119" s="26"/>
      <c r="T1119" s="26"/>
      <c r="U1119" s="26"/>
      <c r="V1119" s="26" t="s">
        <v>43</v>
      </c>
      <c r="W1119" s="26"/>
      <c r="X1119" s="26"/>
    </row>
    <row r="1120" spans="1:24">
      <c r="A1120" s="26" t="s">
        <v>31</v>
      </c>
      <c r="B1120" s="26" t="s">
        <v>4472</v>
      </c>
      <c r="C1120" s="26" t="s">
        <v>4473</v>
      </c>
      <c r="D1120" s="26">
        <f t="shared" si="17"/>
        <v>-1</v>
      </c>
      <c r="E1120" s="26" t="s">
        <v>34</v>
      </c>
      <c r="F1120" s="26" t="s">
        <v>4224</v>
      </c>
      <c r="G1120" s="26" t="s">
        <v>4474</v>
      </c>
      <c r="H1120" s="26" t="s">
        <v>37</v>
      </c>
      <c r="I1120" s="26" t="s">
        <v>38</v>
      </c>
      <c r="J1120" s="26" t="s">
        <v>4475</v>
      </c>
      <c r="K1120" s="26" t="s">
        <v>4476</v>
      </c>
      <c r="L1120" s="26">
        <v>0</v>
      </c>
      <c r="M1120" s="26">
        <v>0</v>
      </c>
      <c r="N1120" s="26">
        <v>0</v>
      </c>
      <c r="O1120" s="26">
        <v>639000</v>
      </c>
      <c r="P1120" s="26" t="s">
        <v>41</v>
      </c>
      <c r="Q1120" s="26" t="s">
        <v>42</v>
      </c>
      <c r="R1120" s="26"/>
      <c r="S1120" s="26"/>
      <c r="T1120" s="26"/>
      <c r="U1120" s="26"/>
      <c r="V1120" s="26" t="s">
        <v>43</v>
      </c>
      <c r="W1120" s="26"/>
      <c r="X1120" s="26"/>
    </row>
    <row r="1121" spans="1:24">
      <c r="A1121" s="26" t="s">
        <v>31</v>
      </c>
      <c r="B1121" s="26" t="s">
        <v>4477</v>
      </c>
      <c r="C1121" s="26" t="s">
        <v>4478</v>
      </c>
      <c r="D1121" s="26">
        <f t="shared" si="17"/>
        <v>-1</v>
      </c>
      <c r="E1121" s="26" t="s">
        <v>34</v>
      </c>
      <c r="F1121" s="26" t="s">
        <v>4224</v>
      </c>
      <c r="G1121" s="26" t="s">
        <v>4479</v>
      </c>
      <c r="H1121" s="26" t="s">
        <v>37</v>
      </c>
      <c r="I1121" s="26" t="s">
        <v>38</v>
      </c>
      <c r="J1121" s="26" t="s">
        <v>2451</v>
      </c>
      <c r="K1121" s="26" t="s">
        <v>2452</v>
      </c>
      <c r="L1121" s="26">
        <v>35218.78</v>
      </c>
      <c r="M1121" s="26">
        <v>0</v>
      </c>
      <c r="N1121" s="26">
        <v>0</v>
      </c>
      <c r="O1121" s="26">
        <v>220580.78</v>
      </c>
      <c r="P1121" s="26" t="s">
        <v>41</v>
      </c>
      <c r="Q1121" s="26" t="s">
        <v>42</v>
      </c>
      <c r="R1121" s="26"/>
      <c r="S1121" s="26"/>
      <c r="T1121" s="26"/>
      <c r="U1121" s="26"/>
      <c r="V1121" s="26" t="s">
        <v>43</v>
      </c>
      <c r="W1121" s="26"/>
      <c r="X1121" s="26"/>
    </row>
    <row r="1122" spans="1:24">
      <c r="A1122" s="26" t="s">
        <v>31</v>
      </c>
      <c r="B1122" s="26" t="s">
        <v>4480</v>
      </c>
      <c r="C1122" s="26" t="s">
        <v>4481</v>
      </c>
      <c r="D1122" s="26">
        <f t="shared" si="17"/>
        <v>-1</v>
      </c>
      <c r="E1122" s="26" t="s">
        <v>34</v>
      </c>
      <c r="F1122" s="26" t="s">
        <v>4224</v>
      </c>
      <c r="G1122" s="26" t="s">
        <v>4482</v>
      </c>
      <c r="H1122" s="26" t="s">
        <v>37</v>
      </c>
      <c r="I1122" s="26" t="s">
        <v>38</v>
      </c>
      <c r="J1122" s="26" t="s">
        <v>4483</v>
      </c>
      <c r="K1122" s="26" t="s">
        <v>4484</v>
      </c>
      <c r="L1122" s="26">
        <v>0</v>
      </c>
      <c r="M1122" s="26">
        <v>0</v>
      </c>
      <c r="N1122" s="26">
        <v>0</v>
      </c>
      <c r="O1122" s="26">
        <v>1278000</v>
      </c>
      <c r="P1122" s="26" t="s">
        <v>41</v>
      </c>
      <c r="Q1122" s="26" t="s">
        <v>42</v>
      </c>
      <c r="R1122" s="26"/>
      <c r="S1122" s="26"/>
      <c r="T1122" s="26"/>
      <c r="U1122" s="26"/>
      <c r="V1122" s="26" t="s">
        <v>43</v>
      </c>
      <c r="W1122" s="26"/>
      <c r="X1122" s="26"/>
    </row>
    <row r="1123" spans="1:24">
      <c r="A1123" s="26" t="s">
        <v>31</v>
      </c>
      <c r="B1123" s="26" t="s">
        <v>4485</v>
      </c>
      <c r="C1123" s="26" t="s">
        <v>4486</v>
      </c>
      <c r="D1123" s="26">
        <f t="shared" si="17"/>
        <v>-1</v>
      </c>
      <c r="E1123" s="26" t="s">
        <v>34</v>
      </c>
      <c r="F1123" s="26" t="s">
        <v>4224</v>
      </c>
      <c r="G1123" s="26" t="s">
        <v>4487</v>
      </c>
      <c r="H1123" s="26" t="s">
        <v>37</v>
      </c>
      <c r="I1123" s="26" t="s">
        <v>38</v>
      </c>
      <c r="J1123" s="26" t="s">
        <v>4488</v>
      </c>
      <c r="K1123" s="26" t="s">
        <v>4489</v>
      </c>
      <c r="L1123" s="26">
        <v>0</v>
      </c>
      <c r="M1123" s="26">
        <v>0</v>
      </c>
      <c r="N1123" s="26">
        <v>0</v>
      </c>
      <c r="O1123" s="26">
        <v>1278000</v>
      </c>
      <c r="P1123" s="26" t="s">
        <v>41</v>
      </c>
      <c r="Q1123" s="26" t="s">
        <v>42</v>
      </c>
      <c r="R1123" s="26"/>
      <c r="S1123" s="26"/>
      <c r="T1123" s="26"/>
      <c r="U1123" s="26"/>
      <c r="V1123" s="26" t="s">
        <v>43</v>
      </c>
      <c r="W1123" s="26"/>
      <c r="X1123" s="26"/>
    </row>
    <row r="1124" spans="1:24">
      <c r="A1124" s="26" t="s">
        <v>31</v>
      </c>
      <c r="B1124" s="26" t="s">
        <v>4490</v>
      </c>
      <c r="C1124" s="26" t="s">
        <v>4491</v>
      </c>
      <c r="D1124" s="26">
        <f t="shared" si="17"/>
        <v>-1</v>
      </c>
      <c r="E1124" s="26" t="s">
        <v>34</v>
      </c>
      <c r="F1124" s="26" t="s">
        <v>4224</v>
      </c>
      <c r="G1124" s="26" t="s">
        <v>4492</v>
      </c>
      <c r="H1124" s="26" t="s">
        <v>37</v>
      </c>
      <c r="I1124" s="26" t="s">
        <v>38</v>
      </c>
      <c r="J1124" s="26" t="s">
        <v>2913</v>
      </c>
      <c r="K1124" s="26" t="s">
        <v>2914</v>
      </c>
      <c r="L1124" s="26">
        <v>0</v>
      </c>
      <c r="M1124" s="26">
        <v>0</v>
      </c>
      <c r="N1124" s="26">
        <v>0</v>
      </c>
      <c r="O1124" s="26">
        <v>639000</v>
      </c>
      <c r="P1124" s="26" t="s">
        <v>41</v>
      </c>
      <c r="Q1124" s="26" t="s">
        <v>42</v>
      </c>
      <c r="R1124" s="26"/>
      <c r="S1124" s="26"/>
      <c r="T1124" s="26"/>
      <c r="U1124" s="26"/>
      <c r="V1124" s="26" t="s">
        <v>43</v>
      </c>
      <c r="W1124" s="26"/>
      <c r="X1124" s="26"/>
    </row>
    <row r="1125" spans="1:24">
      <c r="A1125" s="26" t="s">
        <v>31</v>
      </c>
      <c r="B1125" s="26" t="s">
        <v>4493</v>
      </c>
      <c r="C1125" s="26" t="s">
        <v>4494</v>
      </c>
      <c r="D1125" s="26">
        <f t="shared" si="17"/>
        <v>-1</v>
      </c>
      <c r="E1125" s="26" t="s">
        <v>34</v>
      </c>
      <c r="F1125" s="26" t="s">
        <v>4224</v>
      </c>
      <c r="G1125" s="26" t="s">
        <v>4495</v>
      </c>
      <c r="H1125" s="26" t="s">
        <v>37</v>
      </c>
      <c r="I1125" s="26" t="s">
        <v>38</v>
      </c>
      <c r="J1125" s="26" t="s">
        <v>4496</v>
      </c>
      <c r="K1125" s="26" t="s">
        <v>4497</v>
      </c>
      <c r="L1125" s="26">
        <v>0</v>
      </c>
      <c r="M1125" s="26">
        <v>0</v>
      </c>
      <c r="N1125" s="26">
        <v>0</v>
      </c>
      <c r="O1125" s="26">
        <v>639000</v>
      </c>
      <c r="P1125" s="26" t="s">
        <v>41</v>
      </c>
      <c r="Q1125" s="26" t="s">
        <v>42</v>
      </c>
      <c r="R1125" s="26"/>
      <c r="S1125" s="26"/>
      <c r="T1125" s="26"/>
      <c r="U1125" s="26"/>
      <c r="V1125" s="26" t="s">
        <v>43</v>
      </c>
      <c r="W1125" s="26"/>
      <c r="X1125" s="26"/>
    </row>
    <row r="1126" spans="1:24">
      <c r="A1126" s="26" t="s">
        <v>31</v>
      </c>
      <c r="B1126" s="26" t="s">
        <v>4498</v>
      </c>
      <c r="C1126" s="26" t="s">
        <v>4499</v>
      </c>
      <c r="D1126" s="26">
        <f t="shared" si="17"/>
        <v>-1</v>
      </c>
      <c r="E1126" s="26" t="s">
        <v>34</v>
      </c>
      <c r="F1126" s="26" t="s">
        <v>4224</v>
      </c>
      <c r="G1126" s="26" t="s">
        <v>4500</v>
      </c>
      <c r="H1126" s="26" t="s">
        <v>37</v>
      </c>
      <c r="I1126" s="26" t="s">
        <v>38</v>
      </c>
      <c r="J1126" s="26" t="s">
        <v>4501</v>
      </c>
      <c r="K1126" s="26" t="s">
        <v>4502</v>
      </c>
      <c r="L1126" s="26">
        <v>0</v>
      </c>
      <c r="M1126" s="26">
        <v>0</v>
      </c>
      <c r="N1126" s="26">
        <v>0</v>
      </c>
      <c r="O1126" s="26">
        <v>639000</v>
      </c>
      <c r="P1126" s="26" t="s">
        <v>41</v>
      </c>
      <c r="Q1126" s="26" t="s">
        <v>42</v>
      </c>
      <c r="R1126" s="26"/>
      <c r="S1126" s="26"/>
      <c r="T1126" s="26"/>
      <c r="U1126" s="26"/>
      <c r="V1126" s="26" t="s">
        <v>43</v>
      </c>
      <c r="W1126" s="26"/>
      <c r="X1126" s="26"/>
    </row>
    <row r="1127" spans="1:24">
      <c r="A1127" s="26" t="s">
        <v>31</v>
      </c>
      <c r="B1127" s="26" t="s">
        <v>4503</v>
      </c>
      <c r="C1127" s="26" t="s">
        <v>4504</v>
      </c>
      <c r="D1127" s="26">
        <f t="shared" si="17"/>
        <v>-1</v>
      </c>
      <c r="E1127" s="26" t="s">
        <v>34</v>
      </c>
      <c r="F1127" s="26" t="s">
        <v>4224</v>
      </c>
      <c r="G1127" s="26" t="s">
        <v>4505</v>
      </c>
      <c r="H1127" s="26" t="s">
        <v>37</v>
      </c>
      <c r="I1127" s="26" t="s">
        <v>38</v>
      </c>
      <c r="J1127" s="26" t="s">
        <v>4506</v>
      </c>
      <c r="K1127" s="26" t="s">
        <v>4507</v>
      </c>
      <c r="L1127" s="26">
        <v>0</v>
      </c>
      <c r="M1127" s="26">
        <v>0</v>
      </c>
      <c r="N1127" s="26">
        <v>0</v>
      </c>
      <c r="O1127" s="26">
        <v>5751000</v>
      </c>
      <c r="P1127" s="26" t="s">
        <v>41</v>
      </c>
      <c r="Q1127" s="26" t="s">
        <v>42</v>
      </c>
      <c r="R1127" s="26"/>
      <c r="S1127" s="26"/>
      <c r="T1127" s="26"/>
      <c r="U1127" s="26"/>
      <c r="V1127" s="26" t="s">
        <v>43</v>
      </c>
      <c r="W1127" s="26"/>
      <c r="X1127" s="26"/>
    </row>
    <row r="1128" spans="1:24">
      <c r="A1128" s="26" t="s">
        <v>31</v>
      </c>
      <c r="B1128" s="26" t="s">
        <v>4508</v>
      </c>
      <c r="C1128" s="26" t="s">
        <v>4509</v>
      </c>
      <c r="D1128" s="26">
        <f t="shared" si="17"/>
        <v>-1</v>
      </c>
      <c r="E1128" s="26" t="s">
        <v>34</v>
      </c>
      <c r="F1128" s="26" t="s">
        <v>4224</v>
      </c>
      <c r="G1128" s="26" t="s">
        <v>4510</v>
      </c>
      <c r="H1128" s="26" t="s">
        <v>37</v>
      </c>
      <c r="I1128" s="26" t="s">
        <v>38</v>
      </c>
      <c r="J1128" s="26" t="s">
        <v>4506</v>
      </c>
      <c r="K1128" s="26" t="s">
        <v>4507</v>
      </c>
      <c r="L1128" s="26">
        <v>0</v>
      </c>
      <c r="M1128" s="26">
        <v>0</v>
      </c>
      <c r="N1128" s="26">
        <v>0</v>
      </c>
      <c r="O1128" s="26">
        <v>1278000</v>
      </c>
      <c r="P1128" s="26" t="s">
        <v>41</v>
      </c>
      <c r="Q1128" s="26" t="s">
        <v>42</v>
      </c>
      <c r="R1128" s="26"/>
      <c r="S1128" s="26"/>
      <c r="T1128" s="26"/>
      <c r="U1128" s="26"/>
      <c r="V1128" s="26" t="s">
        <v>43</v>
      </c>
      <c r="W1128" s="26"/>
      <c r="X1128" s="26"/>
    </row>
    <row r="1129" spans="1:24">
      <c r="A1129" s="35" t="s">
        <v>31</v>
      </c>
      <c r="B1129" s="35" t="s">
        <v>4511</v>
      </c>
      <c r="C1129" s="35" t="s">
        <v>4512</v>
      </c>
      <c r="D1129" s="35">
        <f t="shared" si="17"/>
        <v>-1</v>
      </c>
      <c r="E1129" s="35" t="s">
        <v>34</v>
      </c>
      <c r="F1129" s="35" t="s">
        <v>4224</v>
      </c>
      <c r="G1129" s="35" t="s">
        <v>4513</v>
      </c>
      <c r="H1129" s="35" t="s">
        <v>37</v>
      </c>
      <c r="I1129" s="35" t="s">
        <v>38</v>
      </c>
      <c r="J1129" s="35" t="s">
        <v>4514</v>
      </c>
      <c r="K1129" s="35" t="s">
        <v>4515</v>
      </c>
      <c r="L1129" s="35">
        <v>62586</v>
      </c>
      <c r="M1129" s="35">
        <v>0</v>
      </c>
      <c r="N1129" s="35">
        <v>0</v>
      </c>
      <c r="O1129" s="35">
        <v>391986</v>
      </c>
      <c r="P1129" s="35" t="s">
        <v>41</v>
      </c>
      <c r="Q1129" s="35" t="s">
        <v>42</v>
      </c>
      <c r="R1129" s="26"/>
      <c r="S1129" s="26"/>
      <c r="T1129" s="26"/>
      <c r="U1129" s="26"/>
      <c r="V1129" s="26"/>
      <c r="W1129" s="35" t="s">
        <v>43</v>
      </c>
      <c r="X1129" s="26" t="s">
        <v>4516</v>
      </c>
    </row>
    <row r="1130" spans="1:24">
      <c r="A1130" s="34" t="s">
        <v>31</v>
      </c>
      <c r="B1130" s="34" t="s">
        <v>4517</v>
      </c>
      <c r="C1130" s="34" t="s">
        <v>4518</v>
      </c>
      <c r="D1130" s="34">
        <f t="shared" si="17"/>
        <v>-1</v>
      </c>
      <c r="E1130" s="34" t="s">
        <v>34</v>
      </c>
      <c r="F1130" s="34" t="s">
        <v>4224</v>
      </c>
      <c r="G1130" s="34" t="s">
        <v>4519</v>
      </c>
      <c r="H1130" s="34" t="s">
        <v>37</v>
      </c>
      <c r="I1130" s="34" t="s">
        <v>38</v>
      </c>
      <c r="J1130" s="34" t="s">
        <v>600</v>
      </c>
      <c r="K1130" s="34" t="s">
        <v>601</v>
      </c>
      <c r="L1130" s="34">
        <v>46740</v>
      </c>
      <c r="M1130" s="34">
        <v>0</v>
      </c>
      <c r="N1130" s="34">
        <v>0</v>
      </c>
      <c r="O1130" s="34">
        <v>292740</v>
      </c>
      <c r="P1130" s="34" t="s">
        <v>41</v>
      </c>
      <c r="Q1130" s="34" t="s">
        <v>42</v>
      </c>
      <c r="R1130" s="26"/>
      <c r="S1130" s="26"/>
      <c r="T1130" s="26" t="s">
        <v>43</v>
      </c>
      <c r="U1130" s="26"/>
      <c r="V1130" s="26"/>
      <c r="W1130" s="26"/>
      <c r="X1130" s="26"/>
    </row>
    <row r="1131" spans="1:24">
      <c r="A1131" s="32" t="s">
        <v>31</v>
      </c>
      <c r="B1131" s="32" t="s">
        <v>4520</v>
      </c>
      <c r="C1131" s="32" t="s">
        <v>4521</v>
      </c>
      <c r="D1131" s="32">
        <f t="shared" si="17"/>
        <v>-1</v>
      </c>
      <c r="E1131" s="32" t="s">
        <v>34</v>
      </c>
      <c r="F1131" s="32" t="s">
        <v>4224</v>
      </c>
      <c r="G1131" s="32" t="s">
        <v>4522</v>
      </c>
      <c r="H1131" s="32" t="s">
        <v>37</v>
      </c>
      <c r="I1131" s="32" t="s">
        <v>38</v>
      </c>
      <c r="J1131" s="32" t="s">
        <v>581</v>
      </c>
      <c r="K1131" s="32" t="s">
        <v>582</v>
      </c>
      <c r="L1131" s="32">
        <v>33630</v>
      </c>
      <c r="M1131" s="32">
        <v>0</v>
      </c>
      <c r="N1131" s="32">
        <v>0</v>
      </c>
      <c r="O1131" s="32">
        <v>210630</v>
      </c>
      <c r="P1131" s="32" t="s">
        <v>41</v>
      </c>
      <c r="Q1131" s="32" t="s">
        <v>42</v>
      </c>
      <c r="R1131" s="26" t="s">
        <v>43</v>
      </c>
      <c r="S1131" s="26"/>
      <c r="T1131" s="26"/>
      <c r="U1131" s="26"/>
      <c r="V1131" s="26"/>
      <c r="W1131" s="26"/>
      <c r="X1131" s="26"/>
    </row>
    <row r="1132" spans="1:24">
      <c r="A1132" s="32" t="s">
        <v>31</v>
      </c>
      <c r="B1132" s="32" t="s">
        <v>4523</v>
      </c>
      <c r="C1132" s="32" t="s">
        <v>4524</v>
      </c>
      <c r="D1132" s="32">
        <f t="shared" si="17"/>
        <v>-1</v>
      </c>
      <c r="E1132" s="32" t="s">
        <v>34</v>
      </c>
      <c r="F1132" s="32" t="s">
        <v>4224</v>
      </c>
      <c r="G1132" s="32" t="s">
        <v>4525</v>
      </c>
      <c r="H1132" s="32" t="s">
        <v>37</v>
      </c>
      <c r="I1132" s="32" t="s">
        <v>38</v>
      </c>
      <c r="J1132" s="32" t="s">
        <v>581</v>
      </c>
      <c r="K1132" s="32" t="s">
        <v>582</v>
      </c>
      <c r="L1132" s="32">
        <v>193904.5</v>
      </c>
      <c r="M1132" s="32">
        <v>0</v>
      </c>
      <c r="N1132" s="32">
        <v>0</v>
      </c>
      <c r="O1132" s="32">
        <v>1214454.5</v>
      </c>
      <c r="P1132" s="32" t="s">
        <v>41</v>
      </c>
      <c r="Q1132" s="32" t="s">
        <v>42</v>
      </c>
      <c r="R1132" s="26" t="s">
        <v>43</v>
      </c>
      <c r="S1132" s="26"/>
      <c r="T1132" s="26"/>
      <c r="U1132" s="26"/>
      <c r="V1132" s="26"/>
      <c r="W1132" s="26"/>
      <c r="X1132" s="26"/>
    </row>
    <row r="1133" spans="1:24">
      <c r="A1133" s="34" t="s">
        <v>31</v>
      </c>
      <c r="B1133" s="34" t="s">
        <v>4526</v>
      </c>
      <c r="C1133" s="34" t="s">
        <v>4527</v>
      </c>
      <c r="D1133" s="34">
        <f t="shared" si="17"/>
        <v>-1</v>
      </c>
      <c r="E1133" s="34" t="s">
        <v>34</v>
      </c>
      <c r="F1133" s="34" t="s">
        <v>4224</v>
      </c>
      <c r="G1133" s="34" t="s">
        <v>4528</v>
      </c>
      <c r="H1133" s="34" t="s">
        <v>37</v>
      </c>
      <c r="I1133" s="34" t="s">
        <v>38</v>
      </c>
      <c r="J1133" s="34" t="s">
        <v>69</v>
      </c>
      <c r="K1133" s="34" t="s">
        <v>70</v>
      </c>
      <c r="L1133" s="34">
        <v>679094.01</v>
      </c>
      <c r="M1133" s="34">
        <v>0</v>
      </c>
      <c r="N1133" s="34">
        <v>0</v>
      </c>
      <c r="O1133" s="34">
        <v>4253273.01</v>
      </c>
      <c r="P1133" s="34" t="s">
        <v>41</v>
      </c>
      <c r="Q1133" s="34" t="s">
        <v>42</v>
      </c>
      <c r="R1133" s="26"/>
      <c r="S1133" s="26"/>
      <c r="T1133" s="26" t="s">
        <v>43</v>
      </c>
      <c r="U1133" s="26"/>
      <c r="V1133" s="26"/>
      <c r="W1133" s="26"/>
      <c r="X1133" s="26"/>
    </row>
    <row r="1134" spans="1:24">
      <c r="A1134" s="26" t="s">
        <v>31</v>
      </c>
      <c r="B1134" s="26" t="s">
        <v>4529</v>
      </c>
      <c r="C1134" s="26" t="s">
        <v>4530</v>
      </c>
      <c r="D1134" s="26">
        <f t="shared" si="17"/>
        <v>-1</v>
      </c>
      <c r="E1134" s="26" t="s">
        <v>34</v>
      </c>
      <c r="F1134" s="26" t="s">
        <v>4224</v>
      </c>
      <c r="G1134" s="26" t="s">
        <v>4525</v>
      </c>
      <c r="H1134" s="26" t="s">
        <v>37</v>
      </c>
      <c r="I1134" s="26" t="s">
        <v>38</v>
      </c>
      <c r="J1134" s="26" t="s">
        <v>4531</v>
      </c>
      <c r="K1134" s="26" t="s">
        <v>4532</v>
      </c>
      <c r="L1134" s="26">
        <v>305662.5</v>
      </c>
      <c r="M1134" s="26">
        <v>0</v>
      </c>
      <c r="N1134" s="26">
        <v>0</v>
      </c>
      <c r="O1134" s="26">
        <v>1914412.5</v>
      </c>
      <c r="P1134" s="26" t="s">
        <v>41</v>
      </c>
      <c r="Q1134" s="26" t="s">
        <v>42</v>
      </c>
      <c r="R1134" s="26"/>
      <c r="S1134" s="26"/>
      <c r="T1134" s="26"/>
      <c r="U1134" s="26"/>
      <c r="V1134" s="26" t="s">
        <v>43</v>
      </c>
      <c r="W1134" s="26"/>
      <c r="X1134" s="26"/>
    </row>
    <row r="1135" spans="1:24">
      <c r="A1135" s="32" t="s">
        <v>31</v>
      </c>
      <c r="B1135" s="32" t="s">
        <v>4533</v>
      </c>
      <c r="C1135" s="32" t="s">
        <v>4534</v>
      </c>
      <c r="D1135" s="32">
        <f t="shared" si="17"/>
        <v>-1</v>
      </c>
      <c r="E1135" s="32" t="s">
        <v>34</v>
      </c>
      <c r="F1135" s="32" t="s">
        <v>4224</v>
      </c>
      <c r="G1135" s="32" t="s">
        <v>4535</v>
      </c>
      <c r="H1135" s="32" t="s">
        <v>37</v>
      </c>
      <c r="I1135" s="32" t="s">
        <v>38</v>
      </c>
      <c r="J1135" s="32" t="s">
        <v>184</v>
      </c>
      <c r="K1135" s="32" t="s">
        <v>185</v>
      </c>
      <c r="L1135" s="32">
        <v>0</v>
      </c>
      <c r="M1135" s="32">
        <v>0</v>
      </c>
      <c r="N1135" s="32">
        <v>0</v>
      </c>
      <c r="O1135" s="32">
        <v>32714220</v>
      </c>
      <c r="P1135" s="32" t="s">
        <v>41</v>
      </c>
      <c r="Q1135" s="32" t="s">
        <v>42</v>
      </c>
      <c r="R1135" s="26" t="s">
        <v>43</v>
      </c>
      <c r="S1135" s="26"/>
      <c r="T1135" s="26"/>
      <c r="U1135" s="26"/>
      <c r="V1135" s="26"/>
      <c r="W1135" s="26"/>
      <c r="X1135" s="26"/>
    </row>
    <row r="1136" spans="1:24">
      <c r="A1136" s="34" t="s">
        <v>31</v>
      </c>
      <c r="B1136" s="34" t="s">
        <v>4536</v>
      </c>
      <c r="C1136" s="34" t="s">
        <v>4537</v>
      </c>
      <c r="D1136" s="34">
        <f t="shared" si="17"/>
        <v>-1</v>
      </c>
      <c r="E1136" s="34" t="s">
        <v>34</v>
      </c>
      <c r="F1136" s="34" t="s">
        <v>4224</v>
      </c>
      <c r="G1136" s="34" t="s">
        <v>4538</v>
      </c>
      <c r="H1136" s="34" t="s">
        <v>37</v>
      </c>
      <c r="I1136" s="34" t="s">
        <v>38</v>
      </c>
      <c r="J1136" s="34" t="s">
        <v>2822</v>
      </c>
      <c r="K1136" s="34" t="s">
        <v>2823</v>
      </c>
      <c r="L1136" s="34">
        <v>273637.81</v>
      </c>
      <c r="M1136" s="34">
        <v>0</v>
      </c>
      <c r="N1136" s="34">
        <v>0</v>
      </c>
      <c r="O1136" s="34">
        <v>1713836.81</v>
      </c>
      <c r="P1136" s="34" t="s">
        <v>41</v>
      </c>
      <c r="Q1136" s="34" t="s">
        <v>42</v>
      </c>
      <c r="R1136" s="26"/>
      <c r="S1136" s="26"/>
      <c r="T1136" s="26" t="s">
        <v>43</v>
      </c>
      <c r="U1136" s="26"/>
      <c r="V1136" s="26"/>
      <c r="W1136" s="26"/>
      <c r="X1136" s="26"/>
    </row>
    <row r="1137" spans="1:24">
      <c r="A1137" s="32" t="s">
        <v>31</v>
      </c>
      <c r="B1137" s="32" t="s">
        <v>4539</v>
      </c>
      <c r="C1137" s="32" t="s">
        <v>4540</v>
      </c>
      <c r="D1137" s="32">
        <f t="shared" si="17"/>
        <v>-1</v>
      </c>
      <c r="E1137" s="32" t="s">
        <v>34</v>
      </c>
      <c r="F1137" s="32" t="s">
        <v>4224</v>
      </c>
      <c r="G1137" s="32" t="s">
        <v>4541</v>
      </c>
      <c r="H1137" s="32" t="s">
        <v>37</v>
      </c>
      <c r="I1137" s="32" t="s">
        <v>38</v>
      </c>
      <c r="J1137" s="32" t="s">
        <v>4542</v>
      </c>
      <c r="K1137" s="32" t="s">
        <v>4543</v>
      </c>
      <c r="L1137" s="32">
        <v>128250</v>
      </c>
      <c r="M1137" s="32">
        <v>0</v>
      </c>
      <c r="N1137" s="32">
        <v>0</v>
      </c>
      <c r="O1137" s="32">
        <v>803250</v>
      </c>
      <c r="P1137" s="32" t="s">
        <v>41</v>
      </c>
      <c r="Q1137" s="32" t="s">
        <v>42</v>
      </c>
      <c r="R1137" s="26" t="s">
        <v>43</v>
      </c>
      <c r="S1137" s="26"/>
      <c r="T1137" s="26"/>
      <c r="U1137" s="26"/>
      <c r="V1137" s="26"/>
      <c r="W1137" s="26"/>
      <c r="X1137" s="26"/>
    </row>
    <row r="1138" spans="1:24">
      <c r="A1138" s="26" t="s">
        <v>31</v>
      </c>
      <c r="B1138" s="26" t="s">
        <v>4544</v>
      </c>
      <c r="C1138" s="26" t="s">
        <v>4545</v>
      </c>
      <c r="D1138" s="26">
        <f t="shared" si="17"/>
        <v>-1</v>
      </c>
      <c r="E1138" s="26" t="s">
        <v>34</v>
      </c>
      <c r="F1138" s="26" t="s">
        <v>4224</v>
      </c>
      <c r="G1138" s="26" t="s">
        <v>4546</v>
      </c>
      <c r="H1138" s="26" t="s">
        <v>37</v>
      </c>
      <c r="I1138" s="26" t="s">
        <v>38</v>
      </c>
      <c r="J1138" s="26" t="s">
        <v>4547</v>
      </c>
      <c r="K1138" s="26" t="s">
        <v>4548</v>
      </c>
      <c r="L1138" s="26">
        <v>67925</v>
      </c>
      <c r="M1138" s="26">
        <v>0</v>
      </c>
      <c r="N1138" s="26">
        <v>0</v>
      </c>
      <c r="O1138" s="26">
        <v>425425</v>
      </c>
      <c r="P1138" s="26" t="s">
        <v>41</v>
      </c>
      <c r="Q1138" s="26" t="s">
        <v>42</v>
      </c>
      <c r="R1138" s="26"/>
      <c r="S1138" s="26"/>
      <c r="T1138" s="26"/>
      <c r="U1138" s="26"/>
      <c r="V1138" s="26" t="s">
        <v>43</v>
      </c>
      <c r="W1138" s="26"/>
      <c r="X1138" s="26"/>
    </row>
    <row r="1139" spans="1:24">
      <c r="A1139" s="32" t="s">
        <v>31</v>
      </c>
      <c r="B1139" s="32" t="s">
        <v>4549</v>
      </c>
      <c r="C1139" s="32" t="s">
        <v>4550</v>
      </c>
      <c r="D1139" s="32">
        <f t="shared" si="17"/>
        <v>-1</v>
      </c>
      <c r="E1139" s="32" t="s">
        <v>34</v>
      </c>
      <c r="F1139" s="32" t="s">
        <v>4224</v>
      </c>
      <c r="G1139" s="32" t="s">
        <v>4551</v>
      </c>
      <c r="H1139" s="32" t="s">
        <v>37</v>
      </c>
      <c r="I1139" s="32" t="s">
        <v>38</v>
      </c>
      <c r="J1139" s="32" t="s">
        <v>2202</v>
      </c>
      <c r="K1139" s="32" t="s">
        <v>2203</v>
      </c>
      <c r="L1139" s="32">
        <v>39140</v>
      </c>
      <c r="M1139" s="32">
        <v>0</v>
      </c>
      <c r="N1139" s="32">
        <v>0</v>
      </c>
      <c r="O1139" s="32">
        <v>1575140</v>
      </c>
      <c r="P1139" s="32" t="s">
        <v>41</v>
      </c>
      <c r="Q1139" s="32" t="s">
        <v>42</v>
      </c>
      <c r="R1139" s="26" t="s">
        <v>43</v>
      </c>
      <c r="S1139" s="26"/>
      <c r="T1139" s="26"/>
      <c r="U1139" s="26"/>
      <c r="V1139" s="26"/>
      <c r="W1139" s="26"/>
      <c r="X1139" s="26"/>
    </row>
    <row r="1140" spans="1:24">
      <c r="A1140" s="35" t="s">
        <v>31</v>
      </c>
      <c r="B1140" s="35" t="s">
        <v>4552</v>
      </c>
      <c r="C1140" s="35" t="s">
        <v>4553</v>
      </c>
      <c r="D1140" s="35">
        <f t="shared" si="17"/>
        <v>-1</v>
      </c>
      <c r="E1140" s="35" t="s">
        <v>34</v>
      </c>
      <c r="F1140" s="35" t="s">
        <v>4224</v>
      </c>
      <c r="G1140" s="35" t="s">
        <v>4554</v>
      </c>
      <c r="H1140" s="35" t="s">
        <v>37</v>
      </c>
      <c r="I1140" s="35" t="s">
        <v>38</v>
      </c>
      <c r="J1140" s="35" t="s">
        <v>499</v>
      </c>
      <c r="K1140" s="35" t="s">
        <v>500</v>
      </c>
      <c r="L1140" s="35">
        <v>112100</v>
      </c>
      <c r="M1140" s="35">
        <v>0</v>
      </c>
      <c r="N1140" s="35">
        <v>0</v>
      </c>
      <c r="O1140" s="35">
        <v>702100</v>
      </c>
      <c r="P1140" s="35" t="s">
        <v>41</v>
      </c>
      <c r="Q1140" s="35" t="s">
        <v>42</v>
      </c>
      <c r="R1140" s="26"/>
      <c r="S1140" s="26"/>
      <c r="T1140" s="26"/>
      <c r="U1140" s="26"/>
      <c r="V1140" s="26"/>
      <c r="W1140" s="35" t="s">
        <v>43</v>
      </c>
      <c r="X1140" s="26" t="s">
        <v>4516</v>
      </c>
    </row>
    <row r="1141" spans="1:24">
      <c r="A1141" s="32" t="s">
        <v>31</v>
      </c>
      <c r="B1141" s="32" t="s">
        <v>4555</v>
      </c>
      <c r="C1141" s="32" t="s">
        <v>4556</v>
      </c>
      <c r="D1141" s="32">
        <f t="shared" si="17"/>
        <v>-1</v>
      </c>
      <c r="E1141" s="32" t="s">
        <v>34</v>
      </c>
      <c r="F1141" s="32" t="s">
        <v>4224</v>
      </c>
      <c r="G1141" s="32" t="s">
        <v>4557</v>
      </c>
      <c r="H1141" s="32" t="s">
        <v>37</v>
      </c>
      <c r="I1141" s="32" t="s">
        <v>38</v>
      </c>
      <c r="J1141" s="32" t="s">
        <v>322</v>
      </c>
      <c r="K1141" s="32" t="s">
        <v>323</v>
      </c>
      <c r="L1141" s="32">
        <v>2048200</v>
      </c>
      <c r="M1141" s="32">
        <v>0</v>
      </c>
      <c r="N1141" s="32">
        <v>0</v>
      </c>
      <c r="O1141" s="32">
        <v>12828200</v>
      </c>
      <c r="P1141" s="32" t="s">
        <v>41</v>
      </c>
      <c r="Q1141" s="32" t="s">
        <v>42</v>
      </c>
      <c r="R1141" s="26" t="s">
        <v>43</v>
      </c>
      <c r="S1141" s="26"/>
      <c r="T1141" s="26"/>
      <c r="U1141" s="26"/>
      <c r="V1141" s="26"/>
      <c r="W1141" s="26"/>
      <c r="X1141" s="26"/>
    </row>
    <row r="1142" spans="1:24">
      <c r="A1142" s="26" t="s">
        <v>31</v>
      </c>
      <c r="B1142" s="26" t="s">
        <v>4558</v>
      </c>
      <c r="C1142" s="26" t="s">
        <v>4559</v>
      </c>
      <c r="D1142" s="26">
        <f t="shared" si="17"/>
        <v>-1</v>
      </c>
      <c r="E1142" s="26" t="s">
        <v>34</v>
      </c>
      <c r="F1142" s="26" t="s">
        <v>4560</v>
      </c>
      <c r="G1142" s="26" t="s">
        <v>4561</v>
      </c>
      <c r="H1142" s="26" t="s">
        <v>37</v>
      </c>
      <c r="I1142" s="26" t="s">
        <v>38</v>
      </c>
      <c r="J1142" s="26" t="s">
        <v>471</v>
      </c>
      <c r="K1142" s="26" t="s">
        <v>472</v>
      </c>
      <c r="L1142" s="26">
        <v>63992.95</v>
      </c>
      <c r="M1142" s="26">
        <v>0</v>
      </c>
      <c r="N1142" s="26">
        <v>0</v>
      </c>
      <c r="O1142" s="26">
        <v>449421.95</v>
      </c>
      <c r="P1142" s="26" t="s">
        <v>41</v>
      </c>
      <c r="Q1142" s="26" t="s">
        <v>42</v>
      </c>
      <c r="R1142" s="26"/>
      <c r="S1142" s="26"/>
      <c r="T1142" s="26"/>
      <c r="U1142" s="26"/>
      <c r="V1142" s="26" t="s">
        <v>43</v>
      </c>
      <c r="W1142" s="26"/>
      <c r="X1142" s="26"/>
    </row>
    <row r="1143" spans="1:24">
      <c r="A1143" s="26" t="s">
        <v>31</v>
      </c>
      <c r="B1143" s="26" t="s">
        <v>4562</v>
      </c>
      <c r="C1143" s="26" t="s">
        <v>4563</v>
      </c>
      <c r="D1143" s="26">
        <f t="shared" si="17"/>
        <v>-1</v>
      </c>
      <c r="E1143" s="26" t="s">
        <v>34</v>
      </c>
      <c r="F1143" s="26" t="s">
        <v>4560</v>
      </c>
      <c r="G1143" s="26" t="s">
        <v>4564</v>
      </c>
      <c r="H1143" s="26" t="s">
        <v>37</v>
      </c>
      <c r="I1143" s="26" t="s">
        <v>38</v>
      </c>
      <c r="J1143" s="26" t="s">
        <v>471</v>
      </c>
      <c r="K1143" s="26" t="s">
        <v>472</v>
      </c>
      <c r="L1143" s="26">
        <v>57120.08</v>
      </c>
      <c r="M1143" s="26">
        <v>0</v>
      </c>
      <c r="N1143" s="26">
        <v>0</v>
      </c>
      <c r="O1143" s="26">
        <v>357752.08</v>
      </c>
      <c r="P1143" s="26" t="s">
        <v>41</v>
      </c>
      <c r="Q1143" s="26" t="s">
        <v>42</v>
      </c>
      <c r="R1143" s="26"/>
      <c r="S1143" s="26"/>
      <c r="T1143" s="26"/>
      <c r="U1143" s="26"/>
      <c r="V1143" s="26" t="s">
        <v>43</v>
      </c>
      <c r="W1143" s="26"/>
      <c r="X1143" s="26"/>
    </row>
    <row r="1144" spans="1:24">
      <c r="A1144" s="26" t="s">
        <v>31</v>
      </c>
      <c r="B1144" s="26" t="s">
        <v>4565</v>
      </c>
      <c r="C1144" s="26" t="s">
        <v>4566</v>
      </c>
      <c r="D1144" s="26">
        <f t="shared" si="17"/>
        <v>0</v>
      </c>
      <c r="E1144" s="26" t="s">
        <v>34</v>
      </c>
      <c r="F1144" s="26" t="s">
        <v>4560</v>
      </c>
      <c r="G1144" s="26" t="s">
        <v>4567</v>
      </c>
      <c r="H1144" s="26" t="s">
        <v>37</v>
      </c>
      <c r="I1144" s="26" t="s">
        <v>38</v>
      </c>
      <c r="J1144" s="26" t="s">
        <v>1674</v>
      </c>
      <c r="K1144" s="26" t="s">
        <v>1675</v>
      </c>
      <c r="L1144" s="26">
        <v>9369850</v>
      </c>
      <c r="M1144" s="26">
        <v>0</v>
      </c>
      <c r="N1144" s="26">
        <v>0</v>
      </c>
      <c r="O1144" s="26">
        <v>58684850</v>
      </c>
      <c r="P1144" s="26" t="s">
        <v>41</v>
      </c>
      <c r="Q1144" s="26" t="s">
        <v>42</v>
      </c>
      <c r="R1144" s="26"/>
      <c r="S1144" s="26"/>
      <c r="T1144" s="26"/>
      <c r="U1144" s="26"/>
      <c r="V1144" s="26" t="s">
        <v>43</v>
      </c>
      <c r="W1144" s="26"/>
      <c r="X1144" s="26"/>
    </row>
    <row r="1145" spans="1:24">
      <c r="A1145" s="26" t="s">
        <v>31</v>
      </c>
      <c r="B1145" s="26" t="s">
        <v>4565</v>
      </c>
      <c r="C1145" s="26" t="s">
        <v>4566</v>
      </c>
      <c r="D1145" s="26">
        <f t="shared" si="17"/>
        <v>-1</v>
      </c>
      <c r="E1145" s="26" t="s">
        <v>34</v>
      </c>
      <c r="F1145" s="26" t="s">
        <v>4560</v>
      </c>
      <c r="G1145" s="26" t="s">
        <v>4567</v>
      </c>
      <c r="H1145" s="26" t="s">
        <v>37</v>
      </c>
      <c r="I1145" s="26" t="s">
        <v>38</v>
      </c>
      <c r="J1145" s="26" t="s">
        <v>1674</v>
      </c>
      <c r="K1145" s="26" t="s">
        <v>1675</v>
      </c>
      <c r="L1145" s="26">
        <v>9369850</v>
      </c>
      <c r="M1145" s="26">
        <v>0</v>
      </c>
      <c r="N1145" s="26">
        <v>0</v>
      </c>
      <c r="O1145" s="26">
        <v>58684850</v>
      </c>
      <c r="P1145" s="26" t="s">
        <v>41</v>
      </c>
      <c r="Q1145" s="26" t="s">
        <v>42</v>
      </c>
      <c r="R1145" s="26"/>
      <c r="S1145" s="26"/>
      <c r="T1145" s="26"/>
      <c r="U1145" s="26"/>
      <c r="V1145" s="26" t="s">
        <v>43</v>
      </c>
      <c r="W1145" s="26"/>
      <c r="X1145" s="26"/>
    </row>
    <row r="1146" spans="1:24">
      <c r="A1146" s="34" t="s">
        <v>31</v>
      </c>
      <c r="B1146" s="34" t="s">
        <v>4568</v>
      </c>
      <c r="C1146" s="34" t="s">
        <v>4569</v>
      </c>
      <c r="D1146" s="34">
        <f t="shared" si="17"/>
        <v>-1</v>
      </c>
      <c r="E1146" s="34" t="s">
        <v>34</v>
      </c>
      <c r="F1146" s="34" t="s">
        <v>4560</v>
      </c>
      <c r="G1146" s="34" t="s">
        <v>4570</v>
      </c>
      <c r="H1146" s="34" t="s">
        <v>37</v>
      </c>
      <c r="I1146" s="34" t="s">
        <v>38</v>
      </c>
      <c r="J1146" s="34" t="s">
        <v>4571</v>
      </c>
      <c r="K1146" s="34" t="s">
        <v>4572</v>
      </c>
      <c r="L1146" s="34">
        <v>1495300</v>
      </c>
      <c r="M1146" s="34">
        <v>0</v>
      </c>
      <c r="N1146" s="34">
        <v>0</v>
      </c>
      <c r="O1146" s="34">
        <v>9365300</v>
      </c>
      <c r="P1146" s="34" t="s">
        <v>41</v>
      </c>
      <c r="Q1146" s="34" t="s">
        <v>42</v>
      </c>
      <c r="R1146" s="26"/>
      <c r="S1146" s="26"/>
      <c r="T1146" s="26" t="s">
        <v>43</v>
      </c>
      <c r="U1146" s="26"/>
      <c r="V1146" s="26"/>
      <c r="W1146" s="26"/>
      <c r="X1146" s="26"/>
    </row>
    <row r="1147" spans="1:24">
      <c r="A1147" s="32" t="s">
        <v>31</v>
      </c>
      <c r="B1147" s="32" t="s">
        <v>4573</v>
      </c>
      <c r="C1147" s="32" t="s">
        <v>4574</v>
      </c>
      <c r="D1147" s="32">
        <f t="shared" si="17"/>
        <v>-1</v>
      </c>
      <c r="E1147" s="32" t="s">
        <v>34</v>
      </c>
      <c r="F1147" s="32" t="s">
        <v>4560</v>
      </c>
      <c r="G1147" s="32" t="s">
        <v>4575</v>
      </c>
      <c r="H1147" s="32" t="s">
        <v>37</v>
      </c>
      <c r="I1147" s="32" t="s">
        <v>38</v>
      </c>
      <c r="J1147" s="32" t="s">
        <v>155</v>
      </c>
      <c r="K1147" s="32" t="s">
        <v>156</v>
      </c>
      <c r="L1147" s="32">
        <v>71516</v>
      </c>
      <c r="M1147" s="32">
        <v>0</v>
      </c>
      <c r="N1147" s="32">
        <v>0</v>
      </c>
      <c r="O1147" s="32">
        <v>447916</v>
      </c>
      <c r="P1147" s="32" t="s">
        <v>41</v>
      </c>
      <c r="Q1147" s="32" t="s">
        <v>42</v>
      </c>
      <c r="R1147" s="26" t="s">
        <v>43</v>
      </c>
      <c r="S1147" s="26"/>
      <c r="T1147" s="26"/>
      <c r="U1147" s="26"/>
      <c r="V1147" s="26"/>
      <c r="W1147" s="26"/>
      <c r="X1147" s="26"/>
    </row>
    <row r="1148" spans="1:24">
      <c r="A1148" s="26" t="s">
        <v>31</v>
      </c>
      <c r="B1148" s="26" t="s">
        <v>4576</v>
      </c>
      <c r="C1148" s="26" t="s">
        <v>4577</v>
      </c>
      <c r="D1148" s="26">
        <f t="shared" si="17"/>
        <v>-1</v>
      </c>
      <c r="E1148" s="26" t="s">
        <v>34</v>
      </c>
      <c r="F1148" s="26" t="s">
        <v>4560</v>
      </c>
      <c r="G1148" s="26" t="s">
        <v>4578</v>
      </c>
      <c r="H1148" s="26" t="s">
        <v>37</v>
      </c>
      <c r="I1148" s="26" t="s">
        <v>38</v>
      </c>
      <c r="J1148" s="26" t="s">
        <v>4579</v>
      </c>
      <c r="K1148" s="26" t="s">
        <v>4580</v>
      </c>
      <c r="L1148" s="26">
        <v>111764.65</v>
      </c>
      <c r="M1148" s="26">
        <v>0</v>
      </c>
      <c r="N1148" s="26">
        <v>0</v>
      </c>
      <c r="O1148" s="26">
        <v>699999.65</v>
      </c>
      <c r="P1148" s="26" t="s">
        <v>41</v>
      </c>
      <c r="Q1148" s="26" t="s">
        <v>42</v>
      </c>
      <c r="R1148" s="26"/>
      <c r="S1148" s="26"/>
      <c r="T1148" s="26"/>
      <c r="U1148" s="26"/>
      <c r="V1148" s="26" t="s">
        <v>43</v>
      </c>
      <c r="W1148" s="26"/>
      <c r="X1148" s="26"/>
    </row>
    <row r="1149" spans="1:24">
      <c r="A1149" s="26" t="s">
        <v>31</v>
      </c>
      <c r="B1149" s="26" t="s">
        <v>4581</v>
      </c>
      <c r="C1149" s="26" t="s">
        <v>4582</v>
      </c>
      <c r="D1149" s="26">
        <f t="shared" si="17"/>
        <v>-1</v>
      </c>
      <c r="E1149" s="26" t="s">
        <v>34</v>
      </c>
      <c r="F1149" s="26" t="s">
        <v>4560</v>
      </c>
      <c r="G1149" s="26" t="s">
        <v>4583</v>
      </c>
      <c r="H1149" s="26" t="s">
        <v>37</v>
      </c>
      <c r="I1149" s="26" t="s">
        <v>38</v>
      </c>
      <c r="J1149" s="26" t="s">
        <v>2279</v>
      </c>
      <c r="K1149" s="26" t="s">
        <v>2280</v>
      </c>
      <c r="L1149" s="26">
        <v>305900</v>
      </c>
      <c r="M1149" s="26">
        <v>0</v>
      </c>
      <c r="N1149" s="26">
        <v>0</v>
      </c>
      <c r="O1149" s="26">
        <v>1915900</v>
      </c>
      <c r="P1149" s="26" t="s">
        <v>41</v>
      </c>
      <c r="Q1149" s="26" t="s">
        <v>42</v>
      </c>
      <c r="R1149" s="26"/>
      <c r="S1149" s="26"/>
      <c r="T1149" s="26"/>
      <c r="U1149" s="26"/>
      <c r="V1149" s="26" t="s">
        <v>43</v>
      </c>
      <c r="W1149" s="26"/>
      <c r="X1149" s="26"/>
    </row>
    <row r="1150" spans="1:24">
      <c r="A1150" s="34" t="s">
        <v>31</v>
      </c>
      <c r="B1150" s="34" t="s">
        <v>4584</v>
      </c>
      <c r="C1150" s="34" t="s">
        <v>4585</v>
      </c>
      <c r="D1150" s="34">
        <f t="shared" si="17"/>
        <v>-1</v>
      </c>
      <c r="E1150" s="34" t="s">
        <v>34</v>
      </c>
      <c r="F1150" s="34" t="s">
        <v>4560</v>
      </c>
      <c r="G1150" s="34" t="s">
        <v>4586</v>
      </c>
      <c r="H1150" s="34" t="s">
        <v>37</v>
      </c>
      <c r="I1150" s="34" t="s">
        <v>38</v>
      </c>
      <c r="J1150" s="34" t="s">
        <v>2252</v>
      </c>
      <c r="K1150" s="34" t="s">
        <v>2253</v>
      </c>
      <c r="L1150" s="34">
        <v>220780</v>
      </c>
      <c r="M1150" s="34">
        <v>0</v>
      </c>
      <c r="N1150" s="34">
        <v>0</v>
      </c>
      <c r="O1150" s="34">
        <v>1382780</v>
      </c>
      <c r="P1150" s="34" t="s">
        <v>41</v>
      </c>
      <c r="Q1150" s="34" t="s">
        <v>42</v>
      </c>
      <c r="R1150" s="26"/>
      <c r="S1150" s="26"/>
      <c r="T1150" s="26" t="s">
        <v>43</v>
      </c>
      <c r="U1150" s="26"/>
      <c r="V1150" s="26"/>
      <c r="W1150" s="26"/>
      <c r="X1150" s="26"/>
    </row>
    <row r="1151" spans="1:24">
      <c r="A1151" s="26" t="s">
        <v>31</v>
      </c>
      <c r="B1151" s="26" t="s">
        <v>4587</v>
      </c>
      <c r="C1151" s="26" t="s">
        <v>4588</v>
      </c>
      <c r="D1151" s="26">
        <f t="shared" si="17"/>
        <v>-1</v>
      </c>
      <c r="E1151" s="26" t="s">
        <v>34</v>
      </c>
      <c r="F1151" s="26" t="s">
        <v>4560</v>
      </c>
      <c r="G1151" s="26" t="s">
        <v>4589</v>
      </c>
      <c r="H1151" s="26" t="s">
        <v>37</v>
      </c>
      <c r="I1151" s="26" t="s">
        <v>38</v>
      </c>
      <c r="J1151" s="26" t="s">
        <v>4590</v>
      </c>
      <c r="K1151" s="26" t="s">
        <v>4591</v>
      </c>
      <c r="L1151" s="26">
        <v>1097820</v>
      </c>
      <c r="M1151" s="26">
        <v>0</v>
      </c>
      <c r="N1151" s="26">
        <v>0</v>
      </c>
      <c r="O1151" s="26">
        <v>6875820</v>
      </c>
      <c r="P1151" s="26" t="s">
        <v>41</v>
      </c>
      <c r="Q1151" s="26" t="s">
        <v>42</v>
      </c>
      <c r="R1151" s="26"/>
      <c r="S1151" s="26"/>
      <c r="T1151" s="26"/>
      <c r="U1151" s="26"/>
      <c r="V1151" s="26" t="s">
        <v>43</v>
      </c>
      <c r="W1151" s="26"/>
      <c r="X1151" s="26"/>
    </row>
    <row r="1152" spans="1:24">
      <c r="A1152" s="26" t="s">
        <v>31</v>
      </c>
      <c r="B1152" s="26" t="s">
        <v>4592</v>
      </c>
      <c r="C1152" s="26" t="s">
        <v>4593</v>
      </c>
      <c r="D1152" s="26">
        <f t="shared" si="17"/>
        <v>-1</v>
      </c>
      <c r="E1152" s="26" t="s">
        <v>34</v>
      </c>
      <c r="F1152" s="26" t="s">
        <v>4560</v>
      </c>
      <c r="G1152" s="26" t="s">
        <v>4594</v>
      </c>
      <c r="H1152" s="26" t="s">
        <v>37</v>
      </c>
      <c r="I1152" s="26" t="s">
        <v>38</v>
      </c>
      <c r="J1152" s="26" t="s">
        <v>4595</v>
      </c>
      <c r="K1152" s="26" t="s">
        <v>4596</v>
      </c>
      <c r="L1152" s="26">
        <v>9500</v>
      </c>
      <c r="M1152" s="26">
        <v>0</v>
      </c>
      <c r="N1152" s="26">
        <v>0</v>
      </c>
      <c r="O1152" s="26">
        <v>59500</v>
      </c>
      <c r="P1152" s="26" t="s">
        <v>41</v>
      </c>
      <c r="Q1152" s="26" t="s">
        <v>42</v>
      </c>
      <c r="R1152" s="26"/>
      <c r="S1152" s="26"/>
      <c r="T1152" s="26"/>
      <c r="U1152" s="26"/>
      <c r="V1152" s="26" t="s">
        <v>43</v>
      </c>
      <c r="W1152" s="26"/>
      <c r="X1152" s="26"/>
    </row>
    <row r="1153" spans="1:24">
      <c r="A1153" s="35" t="s">
        <v>31</v>
      </c>
      <c r="B1153" s="35" t="s">
        <v>4597</v>
      </c>
      <c r="C1153" s="35" t="s">
        <v>4598</v>
      </c>
      <c r="D1153" s="35">
        <f t="shared" si="17"/>
        <v>-1</v>
      </c>
      <c r="E1153" s="35" t="s">
        <v>34</v>
      </c>
      <c r="F1153" s="35" t="s">
        <v>4560</v>
      </c>
      <c r="G1153" s="35" t="s">
        <v>4599</v>
      </c>
      <c r="H1153" s="35" t="s">
        <v>37</v>
      </c>
      <c r="I1153" s="35" t="s">
        <v>38</v>
      </c>
      <c r="J1153" s="35" t="s">
        <v>1623</v>
      </c>
      <c r="K1153" s="35" t="s">
        <v>1624</v>
      </c>
      <c r="L1153" s="35">
        <v>6181.65</v>
      </c>
      <c r="M1153" s="35">
        <v>0</v>
      </c>
      <c r="N1153" s="35">
        <v>0</v>
      </c>
      <c r="O1153" s="35">
        <v>38716.65</v>
      </c>
      <c r="P1153" s="35" t="s">
        <v>41</v>
      </c>
      <c r="Q1153" s="35" t="s">
        <v>42</v>
      </c>
      <c r="R1153" s="26"/>
      <c r="S1153" s="26"/>
      <c r="T1153" s="26"/>
      <c r="U1153" s="26"/>
      <c r="V1153" s="26"/>
      <c r="W1153" s="35" t="s">
        <v>43</v>
      </c>
      <c r="X1153" s="26" t="s">
        <v>4516</v>
      </c>
    </row>
    <row r="1154" spans="1:24">
      <c r="A1154" s="35" t="s">
        <v>31</v>
      </c>
      <c r="B1154" s="35" t="s">
        <v>4600</v>
      </c>
      <c r="C1154" s="35" t="s">
        <v>4601</v>
      </c>
      <c r="D1154" s="35">
        <f t="shared" si="17"/>
        <v>-1</v>
      </c>
      <c r="E1154" s="35" t="s">
        <v>34</v>
      </c>
      <c r="F1154" s="35" t="s">
        <v>4560</v>
      </c>
      <c r="G1154" s="35" t="s">
        <v>4602</v>
      </c>
      <c r="H1154" s="35" t="s">
        <v>37</v>
      </c>
      <c r="I1154" s="35" t="s">
        <v>38</v>
      </c>
      <c r="J1154" s="35" t="s">
        <v>3594</v>
      </c>
      <c r="K1154" s="35" t="s">
        <v>3595</v>
      </c>
      <c r="L1154" s="35">
        <v>881980</v>
      </c>
      <c r="M1154" s="35">
        <v>0</v>
      </c>
      <c r="N1154" s="35">
        <v>0</v>
      </c>
      <c r="O1154" s="35">
        <v>5523980</v>
      </c>
      <c r="P1154" s="35" t="s">
        <v>41</v>
      </c>
      <c r="Q1154" s="35" t="s">
        <v>42</v>
      </c>
      <c r="R1154" s="26"/>
      <c r="S1154" s="26"/>
      <c r="T1154" s="26"/>
      <c r="U1154" s="26"/>
      <c r="V1154" s="26"/>
      <c r="W1154" s="35" t="s">
        <v>43</v>
      </c>
      <c r="X1154" s="26" t="s">
        <v>4516</v>
      </c>
    </row>
    <row r="1155" spans="1:24">
      <c r="A1155" s="34" t="s">
        <v>31</v>
      </c>
      <c r="B1155" s="34" t="s">
        <v>4603</v>
      </c>
      <c r="C1155" s="34" t="s">
        <v>4604</v>
      </c>
      <c r="D1155" s="34">
        <f t="shared" si="17"/>
        <v>-1</v>
      </c>
      <c r="E1155" s="34" t="s">
        <v>34</v>
      </c>
      <c r="F1155" s="34" t="s">
        <v>4560</v>
      </c>
      <c r="G1155" s="34" t="s">
        <v>4605</v>
      </c>
      <c r="H1155" s="34" t="s">
        <v>37</v>
      </c>
      <c r="I1155" s="34" t="s">
        <v>38</v>
      </c>
      <c r="J1155" s="34" t="s">
        <v>4606</v>
      </c>
      <c r="K1155" s="34" t="s">
        <v>4607</v>
      </c>
      <c r="L1155" s="34">
        <v>223400.1</v>
      </c>
      <c r="M1155" s="34">
        <v>0</v>
      </c>
      <c r="N1155" s="34">
        <v>0</v>
      </c>
      <c r="O1155" s="34">
        <v>1399190.1</v>
      </c>
      <c r="P1155" s="34" t="s">
        <v>41</v>
      </c>
      <c r="Q1155" s="34" t="s">
        <v>42</v>
      </c>
      <c r="R1155" s="26"/>
      <c r="S1155" s="26"/>
      <c r="T1155" s="26" t="s">
        <v>43</v>
      </c>
      <c r="U1155" s="26"/>
      <c r="V1155" s="26"/>
      <c r="W1155" s="26"/>
      <c r="X1155" s="26"/>
    </row>
    <row r="1156" spans="1:24">
      <c r="A1156" s="31" t="s">
        <v>31</v>
      </c>
      <c r="B1156" s="31" t="s">
        <v>4608</v>
      </c>
      <c r="C1156" s="31" t="s">
        <v>4609</v>
      </c>
      <c r="D1156" s="31">
        <f t="shared" si="17"/>
        <v>-1</v>
      </c>
      <c r="E1156" s="31" t="s">
        <v>34</v>
      </c>
      <c r="F1156" s="31" t="s">
        <v>4560</v>
      </c>
      <c r="G1156" s="31" t="s">
        <v>4610</v>
      </c>
      <c r="H1156" s="31" t="s">
        <v>37</v>
      </c>
      <c r="I1156" s="31" t="s">
        <v>38</v>
      </c>
      <c r="J1156" s="31" t="s">
        <v>4611</v>
      </c>
      <c r="K1156" s="31" t="s">
        <v>4612</v>
      </c>
      <c r="L1156" s="31">
        <v>191749.9</v>
      </c>
      <c r="M1156" s="31">
        <v>0</v>
      </c>
      <c r="N1156" s="31">
        <v>0</v>
      </c>
      <c r="O1156" s="31">
        <v>1200959.8999999999</v>
      </c>
      <c r="P1156" s="31" t="s">
        <v>41</v>
      </c>
      <c r="Q1156" s="31" t="s">
        <v>42</v>
      </c>
      <c r="R1156" s="26"/>
      <c r="S1156" s="26"/>
      <c r="T1156" s="26"/>
      <c r="U1156" s="31" t="s">
        <v>43</v>
      </c>
      <c r="V1156" s="26"/>
      <c r="W1156" s="26"/>
      <c r="X1156" s="26"/>
    </row>
    <row r="1157" spans="1:24">
      <c r="A1157" s="26" t="s">
        <v>31</v>
      </c>
      <c r="B1157" s="26" t="s">
        <v>4613</v>
      </c>
      <c r="C1157" s="26" t="s">
        <v>4614</v>
      </c>
      <c r="D1157" s="26">
        <f t="shared" si="17"/>
        <v>-1</v>
      </c>
      <c r="E1157" s="26" t="s">
        <v>34</v>
      </c>
      <c r="F1157" s="26" t="s">
        <v>4560</v>
      </c>
      <c r="G1157" s="26" t="s">
        <v>4615</v>
      </c>
      <c r="H1157" s="26" t="s">
        <v>37</v>
      </c>
      <c r="I1157" s="26" t="s">
        <v>38</v>
      </c>
      <c r="J1157" s="26" t="s">
        <v>4616</v>
      </c>
      <c r="K1157" s="26" t="s">
        <v>4617</v>
      </c>
      <c r="L1157" s="26">
        <v>930167.89</v>
      </c>
      <c r="M1157" s="26">
        <v>0</v>
      </c>
      <c r="N1157" s="26">
        <v>0</v>
      </c>
      <c r="O1157" s="26">
        <v>6014840.8899999997</v>
      </c>
      <c r="P1157" s="26" t="s">
        <v>41</v>
      </c>
      <c r="Q1157" s="26" t="s">
        <v>42</v>
      </c>
      <c r="R1157" s="26"/>
      <c r="S1157" s="26"/>
      <c r="T1157" s="26"/>
      <c r="U1157" s="26"/>
      <c r="V1157" s="26" t="s">
        <v>43</v>
      </c>
      <c r="W1157" s="26"/>
      <c r="X1157" s="26"/>
    </row>
    <row r="1158" spans="1:24">
      <c r="A1158" s="34" t="s">
        <v>31</v>
      </c>
      <c r="B1158" s="34" t="s">
        <v>4618</v>
      </c>
      <c r="C1158" s="34" t="s">
        <v>4619</v>
      </c>
      <c r="D1158" s="34">
        <f t="shared" si="17"/>
        <v>-1</v>
      </c>
      <c r="E1158" s="34" t="s">
        <v>34</v>
      </c>
      <c r="F1158" s="34" t="s">
        <v>4560</v>
      </c>
      <c r="G1158" s="34" t="s">
        <v>4620</v>
      </c>
      <c r="H1158" s="34" t="s">
        <v>37</v>
      </c>
      <c r="I1158" s="34" t="s">
        <v>38</v>
      </c>
      <c r="J1158" s="34" t="s">
        <v>4621</v>
      </c>
      <c r="K1158" s="34" t="s">
        <v>4622</v>
      </c>
      <c r="L1158" s="34">
        <v>10280.9</v>
      </c>
      <c r="M1158" s="34">
        <v>0</v>
      </c>
      <c r="N1158" s="34">
        <v>0</v>
      </c>
      <c r="O1158" s="34">
        <v>64390.9</v>
      </c>
      <c r="P1158" s="34" t="s">
        <v>41</v>
      </c>
      <c r="Q1158" s="34" t="s">
        <v>42</v>
      </c>
      <c r="R1158" s="26"/>
      <c r="S1158" s="26"/>
      <c r="T1158" s="26" t="s">
        <v>43</v>
      </c>
      <c r="U1158" s="26"/>
      <c r="V1158" s="26"/>
      <c r="W1158" s="26"/>
      <c r="X1158" s="26"/>
    </row>
    <row r="1159" spans="1:24">
      <c r="A1159" s="34" t="s">
        <v>31</v>
      </c>
      <c r="B1159" s="34" t="s">
        <v>4623</v>
      </c>
      <c r="C1159" s="34" t="s">
        <v>4624</v>
      </c>
      <c r="D1159" s="34">
        <f t="shared" si="17"/>
        <v>-1</v>
      </c>
      <c r="E1159" s="34" t="s">
        <v>34</v>
      </c>
      <c r="F1159" s="34" t="s">
        <v>4560</v>
      </c>
      <c r="G1159" s="34" t="s">
        <v>4625</v>
      </c>
      <c r="H1159" s="34" t="s">
        <v>37</v>
      </c>
      <c r="I1159" s="34" t="s">
        <v>38</v>
      </c>
      <c r="J1159" s="34" t="s">
        <v>4621</v>
      </c>
      <c r="K1159" s="34" t="s">
        <v>4622</v>
      </c>
      <c r="L1159" s="34">
        <v>13355.1</v>
      </c>
      <c r="M1159" s="34">
        <v>0</v>
      </c>
      <c r="N1159" s="34">
        <v>0</v>
      </c>
      <c r="O1159" s="34">
        <v>163369.1</v>
      </c>
      <c r="P1159" s="34" t="s">
        <v>41</v>
      </c>
      <c r="Q1159" s="34" t="s">
        <v>42</v>
      </c>
      <c r="R1159" s="26"/>
      <c r="S1159" s="26"/>
      <c r="T1159" s="26" t="s">
        <v>43</v>
      </c>
      <c r="U1159" s="26"/>
      <c r="V1159" s="26"/>
      <c r="W1159" s="26"/>
      <c r="X1159" s="26"/>
    </row>
    <row r="1160" spans="1:24">
      <c r="A1160" s="34" t="s">
        <v>31</v>
      </c>
      <c r="B1160" s="34" t="s">
        <v>4626</v>
      </c>
      <c r="C1160" s="34" t="s">
        <v>4627</v>
      </c>
      <c r="D1160" s="34">
        <f t="shared" si="17"/>
        <v>-1</v>
      </c>
      <c r="E1160" s="34" t="s">
        <v>34</v>
      </c>
      <c r="F1160" s="34" t="s">
        <v>4560</v>
      </c>
      <c r="G1160" s="34" t="s">
        <v>4628</v>
      </c>
      <c r="H1160" s="34" t="s">
        <v>37</v>
      </c>
      <c r="I1160" s="34" t="s">
        <v>38</v>
      </c>
      <c r="J1160" s="34" t="s">
        <v>4621</v>
      </c>
      <c r="K1160" s="34" t="s">
        <v>4622</v>
      </c>
      <c r="L1160" s="34">
        <v>127361.09</v>
      </c>
      <c r="M1160" s="34">
        <v>0</v>
      </c>
      <c r="N1160" s="34">
        <v>0</v>
      </c>
      <c r="O1160" s="34">
        <v>856666.09</v>
      </c>
      <c r="P1160" s="34" t="s">
        <v>41</v>
      </c>
      <c r="Q1160" s="34" t="s">
        <v>42</v>
      </c>
      <c r="R1160" s="26"/>
      <c r="S1160" s="26"/>
      <c r="T1160" s="26" t="s">
        <v>43</v>
      </c>
      <c r="U1160" s="26"/>
      <c r="V1160" s="26"/>
      <c r="W1160" s="26"/>
      <c r="X1160" s="26"/>
    </row>
    <row r="1161" spans="1:24">
      <c r="A1161" s="34" t="s">
        <v>31</v>
      </c>
      <c r="B1161" s="34" t="s">
        <v>4629</v>
      </c>
      <c r="C1161" s="34" t="s">
        <v>4630</v>
      </c>
      <c r="D1161" s="34">
        <f t="shared" si="17"/>
        <v>-1</v>
      </c>
      <c r="E1161" s="34" t="s">
        <v>34</v>
      </c>
      <c r="F1161" s="34" t="s">
        <v>4560</v>
      </c>
      <c r="G1161" s="34" t="s">
        <v>4631</v>
      </c>
      <c r="H1161" s="34" t="s">
        <v>37</v>
      </c>
      <c r="I1161" s="34" t="s">
        <v>38</v>
      </c>
      <c r="J1161" s="34" t="s">
        <v>4621</v>
      </c>
      <c r="K1161" s="34" t="s">
        <v>4622</v>
      </c>
      <c r="L1161" s="34">
        <v>84013.06</v>
      </c>
      <c r="M1161" s="34">
        <v>0</v>
      </c>
      <c r="N1161" s="34">
        <v>0</v>
      </c>
      <c r="O1161" s="34">
        <v>526187.06000000006</v>
      </c>
      <c r="P1161" s="34" t="s">
        <v>41</v>
      </c>
      <c r="Q1161" s="34" t="s">
        <v>42</v>
      </c>
      <c r="R1161" s="26"/>
      <c r="S1161" s="26"/>
      <c r="T1161" s="26" t="s">
        <v>43</v>
      </c>
      <c r="U1161" s="26"/>
      <c r="V1161" s="26"/>
      <c r="W1161" s="26"/>
      <c r="X1161" s="26"/>
    </row>
    <row r="1162" spans="1:24">
      <c r="A1162" s="34" t="s">
        <v>31</v>
      </c>
      <c r="B1162" s="34" t="s">
        <v>4632</v>
      </c>
      <c r="C1162" s="34" t="s">
        <v>4633</v>
      </c>
      <c r="D1162" s="34">
        <f t="shared" si="17"/>
        <v>-1</v>
      </c>
      <c r="E1162" s="34" t="s">
        <v>34</v>
      </c>
      <c r="F1162" s="34" t="s">
        <v>4560</v>
      </c>
      <c r="G1162" s="34" t="s">
        <v>4631</v>
      </c>
      <c r="H1162" s="34" t="s">
        <v>37</v>
      </c>
      <c r="I1162" s="34" t="s">
        <v>38</v>
      </c>
      <c r="J1162" s="34" t="s">
        <v>4634</v>
      </c>
      <c r="K1162" s="34" t="s">
        <v>4635</v>
      </c>
      <c r="L1162" s="34">
        <v>9363.2000000000007</v>
      </c>
      <c r="M1162" s="34">
        <v>0</v>
      </c>
      <c r="N1162" s="34">
        <v>0</v>
      </c>
      <c r="O1162" s="34">
        <v>58643.199999999997</v>
      </c>
      <c r="P1162" s="34" t="s">
        <v>41</v>
      </c>
      <c r="Q1162" s="34" t="s">
        <v>42</v>
      </c>
      <c r="R1162" s="26"/>
      <c r="S1162" s="26"/>
      <c r="T1162" s="26" t="s">
        <v>43</v>
      </c>
      <c r="U1162" s="26"/>
      <c r="V1162" s="26"/>
      <c r="W1162" s="26"/>
      <c r="X1162" s="26"/>
    </row>
    <row r="1163" spans="1:24">
      <c r="A1163" s="33" t="s">
        <v>31</v>
      </c>
      <c r="B1163" s="33" t="s">
        <v>4636</v>
      </c>
      <c r="C1163" s="33" t="s">
        <v>4637</v>
      </c>
      <c r="D1163" s="33">
        <f t="shared" si="17"/>
        <v>-1</v>
      </c>
      <c r="E1163" s="33" t="s">
        <v>34</v>
      </c>
      <c r="F1163" s="33" t="s">
        <v>4560</v>
      </c>
      <c r="G1163" s="33" t="s">
        <v>4638</v>
      </c>
      <c r="H1163" s="33" t="s">
        <v>37</v>
      </c>
      <c r="I1163" s="33" t="s">
        <v>38</v>
      </c>
      <c r="J1163" s="33" t="s">
        <v>4639</v>
      </c>
      <c r="K1163" s="33" t="s">
        <v>4640</v>
      </c>
      <c r="L1163" s="33">
        <v>26511.65</v>
      </c>
      <c r="M1163" s="33">
        <v>0</v>
      </c>
      <c r="N1163" s="33">
        <v>0</v>
      </c>
      <c r="O1163" s="33">
        <v>166046.65</v>
      </c>
      <c r="P1163" s="33" t="s">
        <v>41</v>
      </c>
      <c r="Q1163" s="33" t="s">
        <v>42</v>
      </c>
      <c r="R1163" s="26"/>
      <c r="S1163" s="26" t="s">
        <v>43</v>
      </c>
      <c r="T1163" s="26"/>
      <c r="U1163" s="26"/>
      <c r="V1163" s="26"/>
      <c r="W1163" s="26"/>
      <c r="X1163" s="26"/>
    </row>
    <row r="1164" spans="1:24">
      <c r="A1164" s="32" t="s">
        <v>31</v>
      </c>
      <c r="B1164" s="32" t="s">
        <v>4641</v>
      </c>
      <c r="C1164" s="32" t="s">
        <v>4642</v>
      </c>
      <c r="D1164" s="32">
        <f t="shared" si="17"/>
        <v>-1</v>
      </c>
      <c r="E1164" s="32" t="s">
        <v>34</v>
      </c>
      <c r="F1164" s="32" t="s">
        <v>4560</v>
      </c>
      <c r="G1164" s="32" t="s">
        <v>4638</v>
      </c>
      <c r="H1164" s="32" t="s">
        <v>37</v>
      </c>
      <c r="I1164" s="32" t="s">
        <v>38</v>
      </c>
      <c r="J1164" s="32" t="s">
        <v>4091</v>
      </c>
      <c r="K1164" s="32" t="s">
        <v>4092</v>
      </c>
      <c r="L1164" s="32">
        <v>331326.94</v>
      </c>
      <c r="M1164" s="32">
        <v>0</v>
      </c>
      <c r="N1164" s="32">
        <v>0</v>
      </c>
      <c r="O1164" s="32">
        <v>2075152.94</v>
      </c>
      <c r="P1164" s="32" t="s">
        <v>41</v>
      </c>
      <c r="Q1164" s="32" t="s">
        <v>42</v>
      </c>
      <c r="R1164" s="26" t="s">
        <v>43</v>
      </c>
      <c r="S1164" s="26"/>
      <c r="T1164" s="26"/>
      <c r="U1164" s="26"/>
      <c r="V1164" s="26"/>
      <c r="W1164" s="26"/>
      <c r="X1164" s="26"/>
    </row>
    <row r="1165" spans="1:24">
      <c r="A1165" s="26" t="s">
        <v>31</v>
      </c>
      <c r="B1165" s="26" t="s">
        <v>4643</v>
      </c>
      <c r="C1165" s="26" t="s">
        <v>4644</v>
      </c>
      <c r="D1165" s="26">
        <f t="shared" ref="D1165:D1228" si="18">C1165-C1166</f>
        <v>-1</v>
      </c>
      <c r="E1165" s="26" t="s">
        <v>34</v>
      </c>
      <c r="F1165" s="26" t="s">
        <v>4560</v>
      </c>
      <c r="G1165" s="26" t="s">
        <v>4645</v>
      </c>
      <c r="H1165" s="26" t="s">
        <v>37</v>
      </c>
      <c r="I1165" s="26" t="s">
        <v>38</v>
      </c>
      <c r="J1165" s="26" t="s">
        <v>4646</v>
      </c>
      <c r="K1165" s="26" t="s">
        <v>4647</v>
      </c>
      <c r="L1165" s="26">
        <v>161363.20000000001</v>
      </c>
      <c r="M1165" s="26">
        <v>0</v>
      </c>
      <c r="N1165" s="26">
        <v>0</v>
      </c>
      <c r="O1165" s="26">
        <v>1010643.2</v>
      </c>
      <c r="P1165" s="26" t="s">
        <v>41</v>
      </c>
      <c r="Q1165" s="26" t="s">
        <v>42</v>
      </c>
      <c r="R1165" s="26"/>
      <c r="S1165" s="26"/>
      <c r="T1165" s="26"/>
      <c r="U1165" s="26"/>
      <c r="V1165" s="26" t="s">
        <v>43</v>
      </c>
      <c r="W1165" s="26"/>
      <c r="X1165" s="26"/>
    </row>
    <row r="1166" spans="1:24">
      <c r="A1166" s="32" t="s">
        <v>31</v>
      </c>
      <c r="B1166" s="32" t="s">
        <v>4648</v>
      </c>
      <c r="C1166" s="32" t="s">
        <v>4649</v>
      </c>
      <c r="D1166" s="32">
        <f t="shared" si="18"/>
        <v>-1</v>
      </c>
      <c r="E1166" s="32" t="s">
        <v>34</v>
      </c>
      <c r="F1166" s="32" t="s">
        <v>4560</v>
      </c>
      <c r="G1166" s="32" t="s">
        <v>4650</v>
      </c>
      <c r="H1166" s="32" t="s">
        <v>37</v>
      </c>
      <c r="I1166" s="32" t="s">
        <v>38</v>
      </c>
      <c r="J1166" s="32" t="s">
        <v>4651</v>
      </c>
      <c r="K1166" s="32" t="s">
        <v>4652</v>
      </c>
      <c r="L1166" s="32">
        <v>126160</v>
      </c>
      <c r="M1166" s="32">
        <v>0</v>
      </c>
      <c r="N1166" s="32">
        <v>0</v>
      </c>
      <c r="O1166" s="32">
        <v>790160</v>
      </c>
      <c r="P1166" s="32" t="s">
        <v>41</v>
      </c>
      <c r="Q1166" s="32" t="s">
        <v>42</v>
      </c>
      <c r="R1166" s="26" t="s">
        <v>43</v>
      </c>
      <c r="S1166" s="26"/>
      <c r="T1166" s="26"/>
      <c r="U1166" s="26"/>
      <c r="V1166" s="26"/>
      <c r="W1166" s="26"/>
      <c r="X1166" s="26"/>
    </row>
    <row r="1167" spans="1:24">
      <c r="A1167" s="34" t="s">
        <v>31</v>
      </c>
      <c r="B1167" s="34" t="s">
        <v>4653</v>
      </c>
      <c r="C1167" s="34" t="s">
        <v>4654</v>
      </c>
      <c r="D1167" s="34">
        <f t="shared" si="18"/>
        <v>-1</v>
      </c>
      <c r="E1167" s="34" t="s">
        <v>34</v>
      </c>
      <c r="F1167" s="34" t="s">
        <v>4560</v>
      </c>
      <c r="G1167" s="34" t="s">
        <v>4655</v>
      </c>
      <c r="H1167" s="34" t="s">
        <v>37</v>
      </c>
      <c r="I1167" s="34" t="s">
        <v>38</v>
      </c>
      <c r="J1167" s="34" t="s">
        <v>4571</v>
      </c>
      <c r="K1167" s="34" t="s">
        <v>4572</v>
      </c>
      <c r="L1167" s="34">
        <v>4018500</v>
      </c>
      <c r="M1167" s="34">
        <v>0</v>
      </c>
      <c r="N1167" s="34">
        <v>0</v>
      </c>
      <c r="O1167" s="34">
        <v>25168500</v>
      </c>
      <c r="P1167" s="34" t="s">
        <v>41</v>
      </c>
      <c r="Q1167" s="34" t="s">
        <v>42</v>
      </c>
      <c r="R1167" s="26"/>
      <c r="S1167" s="26"/>
      <c r="T1167" s="26" t="s">
        <v>43</v>
      </c>
      <c r="U1167" s="26"/>
      <c r="V1167" s="26"/>
      <c r="W1167" s="26"/>
      <c r="X1167" s="26"/>
    </row>
    <row r="1168" spans="1:24">
      <c r="A1168" s="34" t="s">
        <v>31</v>
      </c>
      <c r="B1168" s="34" t="s">
        <v>4656</v>
      </c>
      <c r="C1168" s="34" t="s">
        <v>4657</v>
      </c>
      <c r="D1168" s="34">
        <f t="shared" si="18"/>
        <v>-1</v>
      </c>
      <c r="E1168" s="34" t="s">
        <v>34</v>
      </c>
      <c r="F1168" s="34" t="s">
        <v>4560</v>
      </c>
      <c r="G1168" s="34" t="s">
        <v>4658</v>
      </c>
      <c r="H1168" s="34" t="s">
        <v>37</v>
      </c>
      <c r="I1168" s="34" t="s">
        <v>38</v>
      </c>
      <c r="J1168" s="34" t="s">
        <v>1027</v>
      </c>
      <c r="K1168" s="34" t="s">
        <v>1028</v>
      </c>
      <c r="L1168" s="34">
        <v>2907000</v>
      </c>
      <c r="M1168" s="34">
        <v>0</v>
      </c>
      <c r="N1168" s="34">
        <v>0</v>
      </c>
      <c r="O1168" s="34">
        <v>18207000</v>
      </c>
      <c r="P1168" s="34" t="s">
        <v>41</v>
      </c>
      <c r="Q1168" s="34" t="s">
        <v>42</v>
      </c>
      <c r="R1168" s="26"/>
      <c r="S1168" s="26"/>
      <c r="T1168" s="26" t="s">
        <v>628</v>
      </c>
      <c r="U1168" s="26"/>
      <c r="V1168" s="26"/>
      <c r="W1168" s="26"/>
      <c r="X1168" s="26"/>
    </row>
    <row r="1169" spans="1:24">
      <c r="A1169" s="35" t="s">
        <v>31</v>
      </c>
      <c r="B1169" s="35" t="s">
        <v>4659</v>
      </c>
      <c r="C1169" s="35" t="s">
        <v>4660</v>
      </c>
      <c r="D1169" s="35">
        <f t="shared" si="18"/>
        <v>-1</v>
      </c>
      <c r="E1169" s="35" t="s">
        <v>34</v>
      </c>
      <c r="F1169" s="35" t="s">
        <v>4560</v>
      </c>
      <c r="G1169" s="35" t="s">
        <v>4661</v>
      </c>
      <c r="H1169" s="35" t="s">
        <v>37</v>
      </c>
      <c r="I1169" s="35" t="s">
        <v>38</v>
      </c>
      <c r="J1169" s="35" t="s">
        <v>4662</v>
      </c>
      <c r="K1169" s="35" t="s">
        <v>4663</v>
      </c>
      <c r="L1169" s="35">
        <v>35625</v>
      </c>
      <c r="M1169" s="35">
        <v>0</v>
      </c>
      <c r="N1169" s="35">
        <v>0</v>
      </c>
      <c r="O1169" s="35">
        <v>223125</v>
      </c>
      <c r="P1169" s="35" t="s">
        <v>41</v>
      </c>
      <c r="Q1169" s="35" t="s">
        <v>42</v>
      </c>
      <c r="R1169" s="26"/>
      <c r="S1169" s="26"/>
      <c r="T1169" s="26"/>
      <c r="U1169" s="26"/>
      <c r="V1169" s="26"/>
      <c r="W1169" s="35" t="s">
        <v>43</v>
      </c>
      <c r="X1169" s="26" t="s">
        <v>4516</v>
      </c>
    </row>
    <row r="1170" spans="1:24">
      <c r="A1170" s="35" t="s">
        <v>31</v>
      </c>
      <c r="B1170" s="35" t="s">
        <v>4664</v>
      </c>
      <c r="C1170" s="35" t="s">
        <v>4665</v>
      </c>
      <c r="D1170" s="35">
        <f t="shared" si="18"/>
        <v>-1</v>
      </c>
      <c r="E1170" s="35" t="s">
        <v>34</v>
      </c>
      <c r="F1170" s="35" t="s">
        <v>4560</v>
      </c>
      <c r="G1170" s="35" t="s">
        <v>4666</v>
      </c>
      <c r="H1170" s="35" t="s">
        <v>37</v>
      </c>
      <c r="I1170" s="35" t="s">
        <v>38</v>
      </c>
      <c r="J1170" s="35" t="s">
        <v>1142</v>
      </c>
      <c r="K1170" s="35" t="s">
        <v>1143</v>
      </c>
      <c r="L1170" s="35">
        <v>777145.6</v>
      </c>
      <c r="M1170" s="35">
        <v>0</v>
      </c>
      <c r="N1170" s="35">
        <v>0</v>
      </c>
      <c r="O1170" s="35">
        <v>4867385.5999999996</v>
      </c>
      <c r="P1170" s="35" t="s">
        <v>41</v>
      </c>
      <c r="Q1170" s="35" t="s">
        <v>42</v>
      </c>
      <c r="R1170" s="26"/>
      <c r="S1170" s="26"/>
      <c r="T1170" s="26"/>
      <c r="U1170" s="26"/>
      <c r="V1170" s="26"/>
      <c r="W1170" s="35" t="s">
        <v>43</v>
      </c>
      <c r="X1170" s="26" t="s">
        <v>4516</v>
      </c>
    </row>
    <row r="1171" spans="1:24">
      <c r="A1171" s="35" t="s">
        <v>31</v>
      </c>
      <c r="B1171" s="35" t="s">
        <v>4667</v>
      </c>
      <c r="C1171" s="35" t="s">
        <v>4668</v>
      </c>
      <c r="D1171" s="35">
        <f t="shared" si="18"/>
        <v>-1</v>
      </c>
      <c r="E1171" s="35" t="s">
        <v>34</v>
      </c>
      <c r="F1171" s="35" t="s">
        <v>4560</v>
      </c>
      <c r="G1171" s="35" t="s">
        <v>4669</v>
      </c>
      <c r="H1171" s="35" t="s">
        <v>37</v>
      </c>
      <c r="I1171" s="35" t="s">
        <v>38</v>
      </c>
      <c r="J1171" s="35" t="s">
        <v>1142</v>
      </c>
      <c r="K1171" s="35" t="s">
        <v>1143</v>
      </c>
      <c r="L1171" s="35">
        <v>5336340</v>
      </c>
      <c r="M1171" s="35">
        <v>0</v>
      </c>
      <c r="N1171" s="35">
        <v>0</v>
      </c>
      <c r="O1171" s="35">
        <v>33422340</v>
      </c>
      <c r="P1171" s="35" t="s">
        <v>41</v>
      </c>
      <c r="Q1171" s="35" t="s">
        <v>42</v>
      </c>
      <c r="R1171" s="26"/>
      <c r="S1171" s="26"/>
      <c r="T1171" s="26"/>
      <c r="U1171" s="26"/>
      <c r="V1171" s="26"/>
      <c r="W1171" s="35" t="s">
        <v>43</v>
      </c>
      <c r="X1171" s="26" t="s">
        <v>4516</v>
      </c>
    </row>
    <row r="1172" spans="1:24">
      <c r="A1172" s="35" t="s">
        <v>31</v>
      </c>
      <c r="B1172" s="35" t="s">
        <v>4670</v>
      </c>
      <c r="C1172" s="35" t="s">
        <v>4671</v>
      </c>
      <c r="D1172" s="35">
        <f t="shared" si="18"/>
        <v>-1</v>
      </c>
      <c r="E1172" s="35" t="s">
        <v>34</v>
      </c>
      <c r="F1172" s="35" t="s">
        <v>4560</v>
      </c>
      <c r="G1172" s="35" t="s">
        <v>4669</v>
      </c>
      <c r="H1172" s="35" t="s">
        <v>37</v>
      </c>
      <c r="I1172" s="35" t="s">
        <v>38</v>
      </c>
      <c r="J1172" s="35" t="s">
        <v>1142</v>
      </c>
      <c r="K1172" s="35" t="s">
        <v>1143</v>
      </c>
      <c r="L1172" s="35">
        <v>742140</v>
      </c>
      <c r="M1172" s="35">
        <v>0</v>
      </c>
      <c r="N1172" s="35">
        <v>0</v>
      </c>
      <c r="O1172" s="35">
        <v>4648140</v>
      </c>
      <c r="P1172" s="35" t="s">
        <v>41</v>
      </c>
      <c r="Q1172" s="35" t="s">
        <v>42</v>
      </c>
      <c r="R1172" s="26"/>
      <c r="S1172" s="26"/>
      <c r="T1172" s="26"/>
      <c r="U1172" s="26"/>
      <c r="V1172" s="26"/>
      <c r="W1172" s="35" t="s">
        <v>43</v>
      </c>
      <c r="X1172" s="26" t="s">
        <v>4516</v>
      </c>
    </row>
    <row r="1173" spans="1:24">
      <c r="A1173" s="26" t="s">
        <v>31</v>
      </c>
      <c r="B1173" s="26" t="s">
        <v>4672</v>
      </c>
      <c r="C1173" s="26" t="s">
        <v>4673</v>
      </c>
      <c r="D1173" s="26">
        <f t="shared" si="18"/>
        <v>-1</v>
      </c>
      <c r="E1173" s="26" t="s">
        <v>34</v>
      </c>
      <c r="F1173" s="26" t="s">
        <v>4560</v>
      </c>
      <c r="G1173" s="26" t="s">
        <v>4669</v>
      </c>
      <c r="H1173" s="26" t="s">
        <v>37</v>
      </c>
      <c r="I1173" s="26" t="s">
        <v>38</v>
      </c>
      <c r="J1173" s="26" t="s">
        <v>1142</v>
      </c>
      <c r="K1173" s="26" t="s">
        <v>1143</v>
      </c>
      <c r="L1173" s="26">
        <v>28405</v>
      </c>
      <c r="M1173" s="26">
        <v>0</v>
      </c>
      <c r="N1173" s="26">
        <v>0</v>
      </c>
      <c r="O1173" s="26">
        <v>1063224</v>
      </c>
      <c r="P1173" s="26" t="s">
        <v>41</v>
      </c>
      <c r="Q1173" s="26" t="s">
        <v>42</v>
      </c>
      <c r="R1173" s="26"/>
      <c r="S1173" s="26"/>
      <c r="T1173" s="26"/>
      <c r="U1173" s="26"/>
      <c r="V1173" s="26" t="s">
        <v>43</v>
      </c>
      <c r="W1173" s="26"/>
      <c r="X1173" s="26"/>
    </row>
    <row r="1174" spans="1:24">
      <c r="A1174" s="26" t="s">
        <v>31</v>
      </c>
      <c r="B1174" s="26" t="s">
        <v>4674</v>
      </c>
      <c r="C1174" s="26" t="s">
        <v>4675</v>
      </c>
      <c r="D1174" s="26">
        <f t="shared" si="18"/>
        <v>-1</v>
      </c>
      <c r="E1174" s="26" t="s">
        <v>34</v>
      </c>
      <c r="F1174" s="26" t="s">
        <v>4560</v>
      </c>
      <c r="G1174" s="26" t="s">
        <v>4676</v>
      </c>
      <c r="H1174" s="26" t="s">
        <v>37</v>
      </c>
      <c r="I1174" s="26" t="s">
        <v>38</v>
      </c>
      <c r="J1174" s="26" t="s">
        <v>1977</v>
      </c>
      <c r="K1174" s="26" t="s">
        <v>1978</v>
      </c>
      <c r="L1174" s="26">
        <v>103854</v>
      </c>
      <c r="M1174" s="26">
        <v>0</v>
      </c>
      <c r="N1174" s="26">
        <v>0</v>
      </c>
      <c r="O1174" s="26">
        <v>650454</v>
      </c>
      <c r="P1174" s="26" t="s">
        <v>41</v>
      </c>
      <c r="Q1174" s="26" t="s">
        <v>42</v>
      </c>
      <c r="R1174" s="26"/>
      <c r="S1174" s="26"/>
      <c r="T1174" s="26"/>
      <c r="U1174" s="26"/>
      <c r="V1174" s="26" t="s">
        <v>43</v>
      </c>
      <c r="W1174" s="26"/>
      <c r="X1174" s="26"/>
    </row>
    <row r="1175" spans="1:24">
      <c r="A1175" s="26" t="s">
        <v>31</v>
      </c>
      <c r="B1175" s="26" t="s">
        <v>4677</v>
      </c>
      <c r="C1175" s="26" t="s">
        <v>4678</v>
      </c>
      <c r="D1175" s="26">
        <f t="shared" si="18"/>
        <v>-1</v>
      </c>
      <c r="E1175" s="26" t="s">
        <v>34</v>
      </c>
      <c r="F1175" s="26" t="s">
        <v>4560</v>
      </c>
      <c r="G1175" s="26" t="s">
        <v>4679</v>
      </c>
      <c r="H1175" s="26" t="s">
        <v>37</v>
      </c>
      <c r="I1175" s="26" t="s">
        <v>38</v>
      </c>
      <c r="J1175" s="26" t="s">
        <v>4680</v>
      </c>
      <c r="K1175" s="26" t="s">
        <v>4681</v>
      </c>
      <c r="L1175" s="26">
        <v>0</v>
      </c>
      <c r="M1175" s="26">
        <v>0</v>
      </c>
      <c r="N1175" s="26">
        <v>0</v>
      </c>
      <c r="O1175" s="26">
        <v>1816020</v>
      </c>
      <c r="P1175" s="26" t="s">
        <v>41</v>
      </c>
      <c r="Q1175" s="26" t="s">
        <v>42</v>
      </c>
      <c r="R1175" s="26"/>
      <c r="S1175" s="26"/>
      <c r="T1175" s="26"/>
      <c r="U1175" s="26"/>
      <c r="V1175" s="26" t="s">
        <v>43</v>
      </c>
      <c r="W1175" s="26"/>
      <c r="X1175" s="26"/>
    </row>
    <row r="1176" spans="1:24">
      <c r="A1176" s="26" t="s">
        <v>31</v>
      </c>
      <c r="B1176" s="26" t="s">
        <v>4682</v>
      </c>
      <c r="C1176" s="26" t="s">
        <v>4683</v>
      </c>
      <c r="D1176" s="26">
        <f t="shared" si="18"/>
        <v>-1</v>
      </c>
      <c r="E1176" s="26" t="s">
        <v>34</v>
      </c>
      <c r="F1176" s="26" t="s">
        <v>4560</v>
      </c>
      <c r="G1176" s="26" t="s">
        <v>4679</v>
      </c>
      <c r="H1176" s="26" t="s">
        <v>37</v>
      </c>
      <c r="I1176" s="26" t="s">
        <v>38</v>
      </c>
      <c r="J1176" s="26" t="s">
        <v>471</v>
      </c>
      <c r="K1176" s="26" t="s">
        <v>472</v>
      </c>
      <c r="L1176" s="26">
        <v>4218000</v>
      </c>
      <c r="M1176" s="26">
        <v>0</v>
      </c>
      <c r="N1176" s="26">
        <v>0</v>
      </c>
      <c r="O1176" s="26">
        <v>26418000</v>
      </c>
      <c r="P1176" s="26" t="s">
        <v>41</v>
      </c>
      <c r="Q1176" s="26" t="s">
        <v>42</v>
      </c>
      <c r="R1176" s="26"/>
      <c r="S1176" s="26"/>
      <c r="T1176" s="26"/>
      <c r="U1176" s="26"/>
      <c r="V1176" s="26" t="s">
        <v>43</v>
      </c>
      <c r="W1176" s="26"/>
      <c r="X1176" s="26"/>
    </row>
    <row r="1177" spans="1:24">
      <c r="A1177" s="32" t="s">
        <v>31</v>
      </c>
      <c r="B1177" s="32" t="s">
        <v>4684</v>
      </c>
      <c r="C1177" s="32" t="s">
        <v>4685</v>
      </c>
      <c r="D1177" s="32">
        <f t="shared" si="18"/>
        <v>-1</v>
      </c>
      <c r="E1177" s="32" t="s">
        <v>34</v>
      </c>
      <c r="F1177" s="32" t="s">
        <v>4560</v>
      </c>
      <c r="G1177" s="32" t="s">
        <v>4686</v>
      </c>
      <c r="H1177" s="32" t="s">
        <v>37</v>
      </c>
      <c r="I1177" s="32" t="s">
        <v>38</v>
      </c>
      <c r="J1177" s="32" t="s">
        <v>3406</v>
      </c>
      <c r="K1177" s="32" t="s">
        <v>3407</v>
      </c>
      <c r="L1177" s="32">
        <v>925300</v>
      </c>
      <c r="M1177" s="32">
        <v>0</v>
      </c>
      <c r="N1177" s="32">
        <v>0</v>
      </c>
      <c r="O1177" s="32">
        <v>5795300</v>
      </c>
      <c r="P1177" s="32" t="s">
        <v>41</v>
      </c>
      <c r="Q1177" s="32" t="s">
        <v>42</v>
      </c>
      <c r="R1177" s="26" t="s">
        <v>43</v>
      </c>
      <c r="S1177" s="26"/>
      <c r="T1177" s="26"/>
      <c r="U1177" s="26"/>
      <c r="V1177" s="26"/>
      <c r="W1177" s="26"/>
      <c r="X1177" s="26"/>
    </row>
    <row r="1178" spans="1:24">
      <c r="A1178" s="32" t="s">
        <v>31</v>
      </c>
      <c r="B1178" s="32" t="s">
        <v>4687</v>
      </c>
      <c r="C1178" s="32" t="s">
        <v>4688</v>
      </c>
      <c r="D1178" s="32">
        <f t="shared" si="18"/>
        <v>-1</v>
      </c>
      <c r="E1178" s="32" t="s">
        <v>34</v>
      </c>
      <c r="F1178" s="32" t="s">
        <v>4560</v>
      </c>
      <c r="G1178" s="32" t="s">
        <v>4689</v>
      </c>
      <c r="H1178" s="32" t="s">
        <v>37</v>
      </c>
      <c r="I1178" s="32" t="s">
        <v>38</v>
      </c>
      <c r="J1178" s="32" t="s">
        <v>3406</v>
      </c>
      <c r="K1178" s="32" t="s">
        <v>3407</v>
      </c>
      <c r="L1178" s="32">
        <v>136040</v>
      </c>
      <c r="M1178" s="32">
        <v>0</v>
      </c>
      <c r="N1178" s="32">
        <v>0</v>
      </c>
      <c r="O1178" s="32">
        <v>852040</v>
      </c>
      <c r="P1178" s="32" t="s">
        <v>41</v>
      </c>
      <c r="Q1178" s="32" t="s">
        <v>42</v>
      </c>
      <c r="R1178" s="26" t="s">
        <v>43</v>
      </c>
      <c r="S1178" s="26"/>
      <c r="T1178" s="26"/>
      <c r="U1178" s="26"/>
      <c r="V1178" s="26"/>
      <c r="W1178" s="26"/>
      <c r="X1178" s="26"/>
    </row>
    <row r="1179" spans="1:24">
      <c r="A1179" s="26" t="s">
        <v>31</v>
      </c>
      <c r="B1179" s="26" t="s">
        <v>4690</v>
      </c>
      <c r="C1179" s="26" t="s">
        <v>4691</v>
      </c>
      <c r="D1179" s="26">
        <f t="shared" si="18"/>
        <v>-1</v>
      </c>
      <c r="E1179" s="26" t="s">
        <v>34</v>
      </c>
      <c r="F1179" s="26" t="s">
        <v>4560</v>
      </c>
      <c r="G1179" s="26" t="s">
        <v>4692</v>
      </c>
      <c r="H1179" s="26" t="s">
        <v>37</v>
      </c>
      <c r="I1179" s="26" t="s">
        <v>38</v>
      </c>
      <c r="J1179" s="26" t="s">
        <v>959</v>
      </c>
      <c r="K1179" s="26" t="s">
        <v>4693</v>
      </c>
      <c r="L1179" s="26">
        <v>1696681</v>
      </c>
      <c r="M1179" s="26">
        <v>0</v>
      </c>
      <c r="N1179" s="26">
        <v>0</v>
      </c>
      <c r="O1179" s="26">
        <v>10626581</v>
      </c>
      <c r="P1179" s="26" t="s">
        <v>41</v>
      </c>
      <c r="Q1179" s="26" t="s">
        <v>42</v>
      </c>
      <c r="R1179" s="26"/>
      <c r="S1179" s="26"/>
      <c r="T1179" s="26"/>
      <c r="U1179" s="26"/>
      <c r="V1179" s="26" t="s">
        <v>43</v>
      </c>
      <c r="W1179" s="26"/>
      <c r="X1179" s="26"/>
    </row>
    <row r="1180" spans="1:24">
      <c r="A1180" s="26" t="s">
        <v>31</v>
      </c>
      <c r="B1180" s="26" t="s">
        <v>4694</v>
      </c>
      <c r="C1180" s="26" t="s">
        <v>4695</v>
      </c>
      <c r="D1180" s="26">
        <f t="shared" si="18"/>
        <v>-1</v>
      </c>
      <c r="E1180" s="26" t="s">
        <v>34</v>
      </c>
      <c r="F1180" s="26" t="s">
        <v>4560</v>
      </c>
      <c r="G1180" s="26" t="s">
        <v>4696</v>
      </c>
      <c r="H1180" s="26" t="s">
        <v>37</v>
      </c>
      <c r="I1180" s="26" t="s">
        <v>38</v>
      </c>
      <c r="J1180" s="26" t="s">
        <v>4697</v>
      </c>
      <c r="K1180" s="26" t="s">
        <v>4698</v>
      </c>
      <c r="L1180" s="26">
        <v>249660</v>
      </c>
      <c r="M1180" s="26">
        <v>0</v>
      </c>
      <c r="N1180" s="26">
        <v>0</v>
      </c>
      <c r="O1180" s="26">
        <v>1563660</v>
      </c>
      <c r="P1180" s="26" t="s">
        <v>41</v>
      </c>
      <c r="Q1180" s="26" t="s">
        <v>42</v>
      </c>
      <c r="R1180" s="26"/>
      <c r="S1180" s="26"/>
      <c r="T1180" s="26"/>
      <c r="U1180" s="26"/>
      <c r="V1180" s="26" t="s">
        <v>43</v>
      </c>
      <c r="W1180" s="26"/>
      <c r="X1180" s="26"/>
    </row>
    <row r="1181" spans="1:24">
      <c r="A1181" s="32" t="s">
        <v>31</v>
      </c>
      <c r="B1181" s="32" t="s">
        <v>4699</v>
      </c>
      <c r="C1181" s="32" t="s">
        <v>4700</v>
      </c>
      <c r="D1181" s="32">
        <f t="shared" si="18"/>
        <v>-1</v>
      </c>
      <c r="E1181" s="32" t="s">
        <v>34</v>
      </c>
      <c r="F1181" s="32" t="s">
        <v>4560</v>
      </c>
      <c r="G1181" s="32" t="s">
        <v>4701</v>
      </c>
      <c r="H1181" s="32" t="s">
        <v>37</v>
      </c>
      <c r="I1181" s="32" t="s">
        <v>38</v>
      </c>
      <c r="J1181" s="32" t="s">
        <v>4702</v>
      </c>
      <c r="K1181" s="32" t="s">
        <v>4703</v>
      </c>
      <c r="L1181" s="32">
        <v>1100385</v>
      </c>
      <c r="M1181" s="32">
        <v>0</v>
      </c>
      <c r="N1181" s="32">
        <v>0</v>
      </c>
      <c r="O1181" s="32">
        <v>6891885</v>
      </c>
      <c r="P1181" s="32" t="s">
        <v>41</v>
      </c>
      <c r="Q1181" s="32" t="s">
        <v>42</v>
      </c>
      <c r="R1181" s="26" t="s">
        <v>43</v>
      </c>
      <c r="S1181" s="26"/>
      <c r="T1181" s="26"/>
      <c r="U1181" s="26"/>
      <c r="V1181" s="26"/>
      <c r="W1181" s="26"/>
      <c r="X1181" s="26"/>
    </row>
    <row r="1182" spans="1:24">
      <c r="A1182" s="26" t="s">
        <v>31</v>
      </c>
      <c r="B1182" s="26" t="s">
        <v>4704</v>
      </c>
      <c r="C1182" s="26" t="s">
        <v>4705</v>
      </c>
      <c r="D1182" s="26">
        <f t="shared" si="18"/>
        <v>-1</v>
      </c>
      <c r="E1182" s="26" t="s">
        <v>34</v>
      </c>
      <c r="F1182" s="26" t="s">
        <v>4560</v>
      </c>
      <c r="G1182" s="26" t="s">
        <v>4706</v>
      </c>
      <c r="H1182" s="26" t="s">
        <v>37</v>
      </c>
      <c r="I1182" s="26" t="s">
        <v>38</v>
      </c>
      <c r="J1182" s="26" t="s">
        <v>4707</v>
      </c>
      <c r="K1182" s="26" t="s">
        <v>4708</v>
      </c>
      <c r="L1182" s="26">
        <v>171000</v>
      </c>
      <c r="M1182" s="26">
        <v>0</v>
      </c>
      <c r="N1182" s="26">
        <v>0</v>
      </c>
      <c r="O1182" s="26">
        <v>1071000</v>
      </c>
      <c r="P1182" s="26" t="s">
        <v>41</v>
      </c>
      <c r="Q1182" s="26" t="s">
        <v>42</v>
      </c>
      <c r="R1182" s="26"/>
      <c r="S1182" s="26"/>
      <c r="T1182" s="26"/>
      <c r="U1182" s="26"/>
      <c r="V1182" s="26" t="s">
        <v>43</v>
      </c>
      <c r="W1182" s="26"/>
      <c r="X1182" s="26"/>
    </row>
    <row r="1183" spans="1:24">
      <c r="A1183" s="34" t="s">
        <v>31</v>
      </c>
      <c r="B1183" s="34" t="s">
        <v>4709</v>
      </c>
      <c r="C1183" s="34" t="s">
        <v>4710</v>
      </c>
      <c r="D1183" s="34">
        <f t="shared" si="18"/>
        <v>-1</v>
      </c>
      <c r="E1183" s="34" t="s">
        <v>34</v>
      </c>
      <c r="F1183" s="34" t="s">
        <v>4560</v>
      </c>
      <c r="G1183" s="34" t="s">
        <v>4711</v>
      </c>
      <c r="H1183" s="34" t="s">
        <v>37</v>
      </c>
      <c r="I1183" s="34" t="s">
        <v>38</v>
      </c>
      <c r="J1183" s="34" t="s">
        <v>1154</v>
      </c>
      <c r="K1183" s="34" t="s">
        <v>1155</v>
      </c>
      <c r="L1183" s="34">
        <v>1683400</v>
      </c>
      <c r="M1183" s="34">
        <v>0</v>
      </c>
      <c r="N1183" s="34">
        <v>0</v>
      </c>
      <c r="O1183" s="34">
        <v>10543400</v>
      </c>
      <c r="P1183" s="34" t="s">
        <v>41</v>
      </c>
      <c r="Q1183" s="34" t="s">
        <v>42</v>
      </c>
      <c r="R1183" s="26"/>
      <c r="S1183" s="26"/>
      <c r="T1183" s="26" t="s">
        <v>43</v>
      </c>
      <c r="U1183" s="26"/>
      <c r="V1183" s="26"/>
      <c r="W1183" s="26"/>
      <c r="X1183" s="26"/>
    </row>
    <row r="1184" spans="1:24">
      <c r="A1184" s="32" t="s">
        <v>31</v>
      </c>
      <c r="B1184" s="32" t="s">
        <v>4712</v>
      </c>
      <c r="C1184" s="32" t="s">
        <v>4713</v>
      </c>
      <c r="D1184" s="32">
        <f t="shared" si="18"/>
        <v>-1</v>
      </c>
      <c r="E1184" s="32" t="s">
        <v>34</v>
      </c>
      <c r="F1184" s="32" t="s">
        <v>4560</v>
      </c>
      <c r="G1184" s="32" t="s">
        <v>4711</v>
      </c>
      <c r="H1184" s="32" t="s">
        <v>37</v>
      </c>
      <c r="I1184" s="32" t="s">
        <v>38</v>
      </c>
      <c r="J1184" s="32" t="s">
        <v>184</v>
      </c>
      <c r="K1184" s="32" t="s">
        <v>185</v>
      </c>
      <c r="L1184" s="32">
        <v>1108681.3500000001</v>
      </c>
      <c r="M1184" s="32">
        <v>0</v>
      </c>
      <c r="N1184" s="32">
        <v>0</v>
      </c>
      <c r="O1184" s="32">
        <v>6943846.3499999996</v>
      </c>
      <c r="P1184" s="32" t="s">
        <v>41</v>
      </c>
      <c r="Q1184" s="32" t="s">
        <v>42</v>
      </c>
      <c r="R1184" s="26" t="s">
        <v>43</v>
      </c>
      <c r="S1184" s="26"/>
      <c r="T1184" s="26"/>
      <c r="U1184" s="26"/>
      <c r="V1184" s="26"/>
      <c r="W1184" s="26"/>
      <c r="X1184" s="26"/>
    </row>
    <row r="1185" spans="1:24">
      <c r="A1185" s="32" t="s">
        <v>31</v>
      </c>
      <c r="B1185" s="32" t="s">
        <v>4714</v>
      </c>
      <c r="C1185" s="32" t="s">
        <v>4715</v>
      </c>
      <c r="D1185" s="32">
        <f t="shared" si="18"/>
        <v>-1</v>
      </c>
      <c r="E1185" s="32" t="s">
        <v>34</v>
      </c>
      <c r="F1185" s="32" t="s">
        <v>4560</v>
      </c>
      <c r="G1185" s="32" t="s">
        <v>4716</v>
      </c>
      <c r="H1185" s="32" t="s">
        <v>37</v>
      </c>
      <c r="I1185" s="32" t="s">
        <v>38</v>
      </c>
      <c r="J1185" s="32" t="s">
        <v>764</v>
      </c>
      <c r="K1185" s="32" t="s">
        <v>765</v>
      </c>
      <c r="L1185" s="32">
        <v>19000</v>
      </c>
      <c r="M1185" s="32">
        <v>0</v>
      </c>
      <c r="N1185" s="32">
        <v>0</v>
      </c>
      <c r="O1185" s="32">
        <v>119000</v>
      </c>
      <c r="P1185" s="32" t="s">
        <v>41</v>
      </c>
      <c r="Q1185" s="32" t="s">
        <v>42</v>
      </c>
      <c r="R1185" s="26" t="s">
        <v>43</v>
      </c>
      <c r="S1185" s="26"/>
      <c r="T1185" s="26"/>
      <c r="U1185" s="26"/>
      <c r="V1185" s="26"/>
      <c r="W1185" s="26"/>
      <c r="X1185" s="26"/>
    </row>
    <row r="1186" spans="1:24">
      <c r="A1186" s="34" t="s">
        <v>31</v>
      </c>
      <c r="B1186" s="34" t="s">
        <v>4717</v>
      </c>
      <c r="C1186" s="34" t="s">
        <v>4718</v>
      </c>
      <c r="D1186" s="34">
        <f t="shared" si="18"/>
        <v>-1</v>
      </c>
      <c r="E1186" s="34" t="s">
        <v>34</v>
      </c>
      <c r="F1186" s="34" t="s">
        <v>4560</v>
      </c>
      <c r="G1186" s="34" t="s">
        <v>4719</v>
      </c>
      <c r="H1186" s="34" t="s">
        <v>37</v>
      </c>
      <c r="I1186" s="34" t="s">
        <v>38</v>
      </c>
      <c r="J1186" s="34" t="s">
        <v>4720</v>
      </c>
      <c r="K1186" s="34" t="s">
        <v>4721</v>
      </c>
      <c r="L1186" s="34">
        <v>4200330</v>
      </c>
      <c r="M1186" s="34">
        <v>0</v>
      </c>
      <c r="N1186" s="34">
        <v>0</v>
      </c>
      <c r="O1186" s="34">
        <v>26307330</v>
      </c>
      <c r="P1186" s="34" t="s">
        <v>41</v>
      </c>
      <c r="Q1186" s="34" t="s">
        <v>42</v>
      </c>
      <c r="R1186" s="26"/>
      <c r="S1186" s="26"/>
      <c r="T1186" s="26" t="s">
        <v>43</v>
      </c>
      <c r="U1186" s="26"/>
      <c r="V1186" s="26"/>
      <c r="W1186" s="26"/>
      <c r="X1186" s="26"/>
    </row>
    <row r="1187" spans="1:24">
      <c r="A1187" s="34" t="s">
        <v>31</v>
      </c>
      <c r="B1187" s="34" t="s">
        <v>4722</v>
      </c>
      <c r="C1187" s="34" t="s">
        <v>4723</v>
      </c>
      <c r="D1187" s="34">
        <f t="shared" si="18"/>
        <v>-1</v>
      </c>
      <c r="E1187" s="34" t="s">
        <v>34</v>
      </c>
      <c r="F1187" s="34" t="s">
        <v>4560</v>
      </c>
      <c r="G1187" s="34" t="s">
        <v>4724</v>
      </c>
      <c r="H1187" s="34" t="s">
        <v>37</v>
      </c>
      <c r="I1187" s="34" t="s">
        <v>38</v>
      </c>
      <c r="J1187" s="34" t="s">
        <v>4720</v>
      </c>
      <c r="K1187" s="34" t="s">
        <v>4721</v>
      </c>
      <c r="L1187" s="34">
        <v>85481</v>
      </c>
      <c r="M1187" s="34">
        <v>0</v>
      </c>
      <c r="N1187" s="34">
        <v>0</v>
      </c>
      <c r="O1187" s="34">
        <v>535381</v>
      </c>
      <c r="P1187" s="34" t="s">
        <v>41</v>
      </c>
      <c r="Q1187" s="34" t="s">
        <v>42</v>
      </c>
      <c r="R1187" s="26"/>
      <c r="S1187" s="26"/>
      <c r="T1187" s="26" t="s">
        <v>43</v>
      </c>
      <c r="U1187" s="26"/>
      <c r="V1187" s="26"/>
      <c r="W1187" s="26"/>
      <c r="X1187" s="26"/>
    </row>
    <row r="1188" spans="1:24">
      <c r="A1188" s="35" t="s">
        <v>31</v>
      </c>
      <c r="B1188" s="35" t="s">
        <v>4725</v>
      </c>
      <c r="C1188" s="35" t="s">
        <v>4726</v>
      </c>
      <c r="D1188" s="35">
        <f t="shared" si="18"/>
        <v>-1</v>
      </c>
      <c r="E1188" s="35" t="s">
        <v>34</v>
      </c>
      <c r="F1188" s="35" t="s">
        <v>4560</v>
      </c>
      <c r="G1188" s="35" t="s">
        <v>4727</v>
      </c>
      <c r="H1188" s="35" t="s">
        <v>37</v>
      </c>
      <c r="I1188" s="35" t="s">
        <v>38</v>
      </c>
      <c r="J1188" s="35" t="s">
        <v>3196</v>
      </c>
      <c r="K1188" s="35" t="s">
        <v>3197</v>
      </c>
      <c r="L1188" s="35">
        <v>84060.75</v>
      </c>
      <c r="M1188" s="35">
        <v>0</v>
      </c>
      <c r="N1188" s="35">
        <v>0</v>
      </c>
      <c r="O1188" s="35">
        <v>534885.75</v>
      </c>
      <c r="P1188" s="35" t="s">
        <v>41</v>
      </c>
      <c r="Q1188" s="35" t="s">
        <v>42</v>
      </c>
      <c r="R1188" s="26"/>
      <c r="S1188" s="26"/>
      <c r="T1188" s="26"/>
      <c r="U1188" s="26"/>
      <c r="V1188" s="26"/>
      <c r="W1188" s="35" t="s">
        <v>43</v>
      </c>
      <c r="X1188" s="26" t="s">
        <v>4516</v>
      </c>
    </row>
    <row r="1189" spans="1:24">
      <c r="A1189" s="32" t="s">
        <v>31</v>
      </c>
      <c r="B1189" s="32" t="s">
        <v>4728</v>
      </c>
      <c r="C1189" s="32" t="s">
        <v>4729</v>
      </c>
      <c r="D1189" s="32">
        <f t="shared" si="18"/>
        <v>-1</v>
      </c>
      <c r="E1189" s="32" t="s">
        <v>34</v>
      </c>
      <c r="F1189" s="32" t="s">
        <v>4560</v>
      </c>
      <c r="G1189" s="32" t="s">
        <v>4730</v>
      </c>
      <c r="H1189" s="32" t="s">
        <v>37</v>
      </c>
      <c r="I1189" s="32" t="s">
        <v>38</v>
      </c>
      <c r="J1189" s="32" t="s">
        <v>1859</v>
      </c>
      <c r="K1189" s="32" t="s">
        <v>1860</v>
      </c>
      <c r="L1189" s="32">
        <v>4001286</v>
      </c>
      <c r="M1189" s="32">
        <v>0</v>
      </c>
      <c r="N1189" s="32">
        <v>0</v>
      </c>
      <c r="O1189" s="32">
        <v>25060686</v>
      </c>
      <c r="P1189" s="32" t="s">
        <v>41</v>
      </c>
      <c r="Q1189" s="32" t="s">
        <v>42</v>
      </c>
      <c r="R1189" s="26" t="s">
        <v>43</v>
      </c>
      <c r="S1189" s="26"/>
      <c r="T1189" s="26"/>
      <c r="U1189" s="26"/>
      <c r="V1189" s="26"/>
      <c r="W1189" s="26"/>
      <c r="X1189" s="26"/>
    </row>
    <row r="1190" spans="1:24">
      <c r="A1190" s="34" t="s">
        <v>31</v>
      </c>
      <c r="B1190" s="34" t="s">
        <v>4731</v>
      </c>
      <c r="C1190" s="34" t="s">
        <v>4732</v>
      </c>
      <c r="D1190" s="34">
        <f t="shared" si="18"/>
        <v>-1</v>
      </c>
      <c r="E1190" s="34" t="s">
        <v>34</v>
      </c>
      <c r="F1190" s="34" t="s">
        <v>4560</v>
      </c>
      <c r="G1190" s="34" t="s">
        <v>4733</v>
      </c>
      <c r="H1190" s="34" t="s">
        <v>37</v>
      </c>
      <c r="I1190" s="34" t="s">
        <v>38</v>
      </c>
      <c r="J1190" s="34" t="s">
        <v>52</v>
      </c>
      <c r="K1190" s="34" t="s">
        <v>53</v>
      </c>
      <c r="L1190" s="34">
        <v>295906.38</v>
      </c>
      <c r="M1190" s="34">
        <v>0</v>
      </c>
      <c r="N1190" s="34">
        <v>0</v>
      </c>
      <c r="O1190" s="34">
        <v>1853308.38</v>
      </c>
      <c r="P1190" s="34" t="s">
        <v>41</v>
      </c>
      <c r="Q1190" s="34" t="s">
        <v>42</v>
      </c>
      <c r="R1190" s="26"/>
      <c r="S1190" s="26"/>
      <c r="T1190" s="26" t="s">
        <v>43</v>
      </c>
      <c r="U1190" s="26"/>
      <c r="V1190" s="26"/>
      <c r="W1190" s="26"/>
      <c r="X1190" s="26"/>
    </row>
    <row r="1191" spans="1:24">
      <c r="A1191" s="32" t="s">
        <v>31</v>
      </c>
      <c r="B1191" s="32" t="s">
        <v>4734</v>
      </c>
      <c r="C1191" s="32" t="s">
        <v>4735</v>
      </c>
      <c r="D1191" s="32">
        <f t="shared" si="18"/>
        <v>-1</v>
      </c>
      <c r="E1191" s="32" t="s">
        <v>34</v>
      </c>
      <c r="F1191" s="32" t="s">
        <v>4560</v>
      </c>
      <c r="G1191" s="32" t="s">
        <v>4736</v>
      </c>
      <c r="H1191" s="32" t="s">
        <v>37</v>
      </c>
      <c r="I1191" s="32" t="s">
        <v>38</v>
      </c>
      <c r="J1191" s="32" t="s">
        <v>2498</v>
      </c>
      <c r="K1191" s="32" t="s">
        <v>2499</v>
      </c>
      <c r="L1191" s="32">
        <v>150674.56</v>
      </c>
      <c r="M1191" s="32">
        <v>0</v>
      </c>
      <c r="N1191" s="32">
        <v>0</v>
      </c>
      <c r="O1191" s="32">
        <v>943698.56</v>
      </c>
      <c r="P1191" s="32" t="s">
        <v>41</v>
      </c>
      <c r="Q1191" s="32" t="s">
        <v>42</v>
      </c>
      <c r="R1191" s="26" t="s">
        <v>43</v>
      </c>
      <c r="S1191" s="26"/>
      <c r="T1191" s="26"/>
      <c r="U1191" s="26"/>
      <c r="V1191" s="26"/>
      <c r="W1191" s="26"/>
      <c r="X1191" s="26"/>
    </row>
    <row r="1192" spans="1:24">
      <c r="A1192" s="26" t="s">
        <v>31</v>
      </c>
      <c r="B1192" s="26" t="s">
        <v>4737</v>
      </c>
      <c r="C1192" s="26" t="s">
        <v>4738</v>
      </c>
      <c r="D1192" s="26">
        <f t="shared" si="18"/>
        <v>-1</v>
      </c>
      <c r="E1192" s="26" t="s">
        <v>34</v>
      </c>
      <c r="F1192" s="26" t="s">
        <v>4560</v>
      </c>
      <c r="G1192" s="26" t="s">
        <v>4739</v>
      </c>
      <c r="H1192" s="26" t="s">
        <v>37</v>
      </c>
      <c r="I1192" s="26" t="s">
        <v>38</v>
      </c>
      <c r="J1192" s="26" t="s">
        <v>471</v>
      </c>
      <c r="K1192" s="26" t="s">
        <v>472</v>
      </c>
      <c r="L1192" s="26">
        <v>23306.54</v>
      </c>
      <c r="M1192" s="26">
        <v>0</v>
      </c>
      <c r="N1192" s="26">
        <v>0</v>
      </c>
      <c r="O1192" s="26">
        <v>145972.54</v>
      </c>
      <c r="P1192" s="26" t="s">
        <v>41</v>
      </c>
      <c r="Q1192" s="26" t="s">
        <v>42</v>
      </c>
      <c r="R1192" s="26"/>
      <c r="S1192" s="26"/>
      <c r="T1192" s="26"/>
      <c r="U1192" s="26"/>
      <c r="V1192" s="26" t="s">
        <v>43</v>
      </c>
      <c r="W1192" s="26"/>
      <c r="X1192" s="26"/>
    </row>
    <row r="1193" spans="1:24">
      <c r="A1193" s="35" t="s">
        <v>31</v>
      </c>
      <c r="B1193" s="35" t="s">
        <v>4740</v>
      </c>
      <c r="C1193" s="35" t="s">
        <v>4741</v>
      </c>
      <c r="D1193" s="35">
        <f t="shared" si="18"/>
        <v>-1</v>
      </c>
      <c r="E1193" s="35" t="s">
        <v>34</v>
      </c>
      <c r="F1193" s="35" t="s">
        <v>4560</v>
      </c>
      <c r="G1193" s="35" t="s">
        <v>4742</v>
      </c>
      <c r="H1193" s="35" t="s">
        <v>37</v>
      </c>
      <c r="I1193" s="35" t="s">
        <v>38</v>
      </c>
      <c r="J1193" s="35" t="s">
        <v>3884</v>
      </c>
      <c r="K1193" s="35" t="s">
        <v>3885</v>
      </c>
      <c r="L1193" s="35">
        <v>10504.53</v>
      </c>
      <c r="M1193" s="35">
        <v>0</v>
      </c>
      <c r="N1193" s="35">
        <v>0</v>
      </c>
      <c r="O1193" s="35">
        <v>65791.53</v>
      </c>
      <c r="P1193" s="35" t="s">
        <v>41</v>
      </c>
      <c r="Q1193" s="35" t="s">
        <v>42</v>
      </c>
      <c r="R1193" s="26"/>
      <c r="S1193" s="26"/>
      <c r="T1193" s="26"/>
      <c r="U1193" s="26"/>
      <c r="V1193" s="26"/>
      <c r="W1193" s="35" t="s">
        <v>43</v>
      </c>
      <c r="X1193" s="26" t="s">
        <v>4516</v>
      </c>
    </row>
    <row r="1194" spans="1:24">
      <c r="A1194" s="32" t="s">
        <v>31</v>
      </c>
      <c r="B1194" s="32" t="s">
        <v>4743</v>
      </c>
      <c r="C1194" s="32" t="s">
        <v>4744</v>
      </c>
      <c r="D1194" s="32">
        <f t="shared" si="18"/>
        <v>-1</v>
      </c>
      <c r="E1194" s="32" t="s">
        <v>34</v>
      </c>
      <c r="F1194" s="32" t="s">
        <v>4560</v>
      </c>
      <c r="G1194" s="32" t="s">
        <v>4745</v>
      </c>
      <c r="H1194" s="32" t="s">
        <v>37</v>
      </c>
      <c r="I1194" s="32" t="s">
        <v>38</v>
      </c>
      <c r="J1194" s="32" t="s">
        <v>3242</v>
      </c>
      <c r="K1194" s="32" t="s">
        <v>3243</v>
      </c>
      <c r="L1194" s="32">
        <v>352162.02</v>
      </c>
      <c r="M1194" s="32">
        <v>0</v>
      </c>
      <c r="N1194" s="32">
        <v>0</v>
      </c>
      <c r="O1194" s="32">
        <v>4161828.02</v>
      </c>
      <c r="P1194" s="32" t="s">
        <v>41</v>
      </c>
      <c r="Q1194" s="32" t="s">
        <v>42</v>
      </c>
      <c r="R1194" s="26" t="s">
        <v>43</v>
      </c>
      <c r="S1194" s="26"/>
      <c r="T1194" s="26"/>
      <c r="U1194" s="26"/>
      <c r="V1194" s="26"/>
      <c r="W1194" s="26"/>
      <c r="X1194" s="26"/>
    </row>
    <row r="1195" spans="1:24">
      <c r="A1195" s="34" t="s">
        <v>31</v>
      </c>
      <c r="B1195" s="34" t="s">
        <v>4746</v>
      </c>
      <c r="C1195" s="34" t="s">
        <v>4747</v>
      </c>
      <c r="D1195" s="34">
        <f t="shared" si="18"/>
        <v>-1</v>
      </c>
      <c r="E1195" s="34" t="s">
        <v>34</v>
      </c>
      <c r="F1195" s="34" t="s">
        <v>4560</v>
      </c>
      <c r="G1195" s="34" t="s">
        <v>4748</v>
      </c>
      <c r="H1195" s="34" t="s">
        <v>37</v>
      </c>
      <c r="I1195" s="34" t="s">
        <v>38</v>
      </c>
      <c r="J1195" s="34" t="s">
        <v>69</v>
      </c>
      <c r="K1195" s="34" t="s">
        <v>70</v>
      </c>
      <c r="L1195" s="34">
        <v>3232.47</v>
      </c>
      <c r="M1195" s="34">
        <v>0</v>
      </c>
      <c r="N1195" s="34">
        <v>0</v>
      </c>
      <c r="O1195" s="34">
        <v>20245.47</v>
      </c>
      <c r="P1195" s="34" t="s">
        <v>41</v>
      </c>
      <c r="Q1195" s="34" t="s">
        <v>42</v>
      </c>
      <c r="R1195" s="26"/>
      <c r="S1195" s="26"/>
      <c r="T1195" s="26" t="s">
        <v>43</v>
      </c>
      <c r="U1195" s="26"/>
      <c r="V1195" s="26"/>
      <c r="W1195" s="26"/>
      <c r="X1195" s="26"/>
    </row>
    <row r="1196" spans="1:24">
      <c r="A1196" s="26" t="s">
        <v>31</v>
      </c>
      <c r="B1196" s="26" t="s">
        <v>4749</v>
      </c>
      <c r="C1196" s="26" t="s">
        <v>4750</v>
      </c>
      <c r="D1196" s="26">
        <f t="shared" si="18"/>
        <v>-1</v>
      </c>
      <c r="E1196" s="26" t="s">
        <v>34</v>
      </c>
      <c r="F1196" s="26" t="s">
        <v>4560</v>
      </c>
      <c r="G1196" s="26" t="s">
        <v>4751</v>
      </c>
      <c r="H1196" s="26" t="s">
        <v>37</v>
      </c>
      <c r="I1196" s="26" t="s">
        <v>38</v>
      </c>
      <c r="J1196" s="26" t="s">
        <v>1808</v>
      </c>
      <c r="K1196" s="26" t="s">
        <v>1809</v>
      </c>
      <c r="L1196" s="26">
        <v>55100</v>
      </c>
      <c r="M1196" s="26">
        <v>0</v>
      </c>
      <c r="N1196" s="26">
        <v>0</v>
      </c>
      <c r="O1196" s="26">
        <v>345100</v>
      </c>
      <c r="P1196" s="26" t="s">
        <v>41</v>
      </c>
      <c r="Q1196" s="26" t="s">
        <v>42</v>
      </c>
      <c r="R1196" s="26"/>
      <c r="S1196" s="26"/>
      <c r="T1196" s="26"/>
      <c r="U1196" s="26"/>
      <c r="V1196" s="26" t="s">
        <v>43</v>
      </c>
      <c r="W1196" s="26"/>
      <c r="X1196" s="26"/>
    </row>
    <row r="1197" spans="1:24">
      <c r="A1197" s="26" t="s">
        <v>31</v>
      </c>
      <c r="B1197" s="26" t="s">
        <v>4752</v>
      </c>
      <c r="C1197" s="26" t="s">
        <v>4753</v>
      </c>
      <c r="D1197" s="26">
        <f t="shared" si="18"/>
        <v>-1</v>
      </c>
      <c r="E1197" s="26" t="s">
        <v>34</v>
      </c>
      <c r="F1197" s="26" t="s">
        <v>4560</v>
      </c>
      <c r="G1197" s="26" t="s">
        <v>4754</v>
      </c>
      <c r="H1197" s="26" t="s">
        <v>37</v>
      </c>
      <c r="I1197" s="26" t="s">
        <v>38</v>
      </c>
      <c r="J1197" s="26" t="s">
        <v>1808</v>
      </c>
      <c r="K1197" s="26" t="s">
        <v>1809</v>
      </c>
      <c r="L1197" s="26">
        <v>402420</v>
      </c>
      <c r="M1197" s="26">
        <v>0</v>
      </c>
      <c r="N1197" s="26">
        <v>0</v>
      </c>
      <c r="O1197" s="26">
        <v>2520420</v>
      </c>
      <c r="P1197" s="26" t="s">
        <v>41</v>
      </c>
      <c r="Q1197" s="26" t="s">
        <v>42</v>
      </c>
      <c r="R1197" s="26"/>
      <c r="S1197" s="26"/>
      <c r="T1197" s="26"/>
      <c r="U1197" s="26"/>
      <c r="V1197" s="26" t="s">
        <v>43</v>
      </c>
      <c r="W1197" s="26"/>
      <c r="X1197" s="26"/>
    </row>
    <row r="1198" spans="1:24">
      <c r="A1198" s="32" t="s">
        <v>31</v>
      </c>
      <c r="B1198" s="32" t="s">
        <v>4755</v>
      </c>
      <c r="C1198" s="32" t="s">
        <v>4756</v>
      </c>
      <c r="D1198" s="32">
        <f t="shared" si="18"/>
        <v>-1</v>
      </c>
      <c r="E1198" s="32" t="s">
        <v>34</v>
      </c>
      <c r="F1198" s="32" t="s">
        <v>4560</v>
      </c>
      <c r="G1198" s="32" t="s">
        <v>4757</v>
      </c>
      <c r="H1198" s="32" t="s">
        <v>37</v>
      </c>
      <c r="I1198" s="32" t="s">
        <v>38</v>
      </c>
      <c r="J1198" s="32" t="s">
        <v>4758</v>
      </c>
      <c r="K1198" s="32" t="s">
        <v>4759</v>
      </c>
      <c r="L1198" s="32">
        <v>57000</v>
      </c>
      <c r="M1198" s="32">
        <v>0</v>
      </c>
      <c r="N1198" s="32">
        <v>0</v>
      </c>
      <c r="O1198" s="32">
        <v>357000</v>
      </c>
      <c r="P1198" s="32" t="s">
        <v>41</v>
      </c>
      <c r="Q1198" s="32" t="s">
        <v>42</v>
      </c>
      <c r="R1198" s="26" t="s">
        <v>43</v>
      </c>
      <c r="S1198" s="26"/>
      <c r="T1198" s="26"/>
      <c r="U1198" s="26"/>
      <c r="V1198" s="26"/>
      <c r="W1198" s="26"/>
      <c r="X1198" s="26"/>
    </row>
    <row r="1199" spans="1:24">
      <c r="A1199" s="33" t="s">
        <v>31</v>
      </c>
      <c r="B1199" s="33" t="s">
        <v>4760</v>
      </c>
      <c r="C1199" s="33" t="s">
        <v>4761</v>
      </c>
      <c r="D1199" s="33">
        <f t="shared" si="18"/>
        <v>-1</v>
      </c>
      <c r="E1199" s="33" t="s">
        <v>34</v>
      </c>
      <c r="F1199" s="33" t="s">
        <v>4560</v>
      </c>
      <c r="G1199" s="33" t="s">
        <v>4762</v>
      </c>
      <c r="H1199" s="33" t="s">
        <v>37</v>
      </c>
      <c r="I1199" s="33" t="s">
        <v>38</v>
      </c>
      <c r="J1199" s="33" t="s">
        <v>3242</v>
      </c>
      <c r="K1199" s="33" t="s">
        <v>3243</v>
      </c>
      <c r="L1199" s="33">
        <v>398925.62</v>
      </c>
      <c r="M1199" s="33">
        <v>0</v>
      </c>
      <c r="N1199" s="33">
        <v>0</v>
      </c>
      <c r="O1199" s="33">
        <v>2498533.54</v>
      </c>
      <c r="P1199" s="33" t="s">
        <v>41</v>
      </c>
      <c r="Q1199" s="33" t="s">
        <v>42</v>
      </c>
      <c r="R1199" s="26"/>
      <c r="S1199" s="26" t="s">
        <v>43</v>
      </c>
      <c r="T1199" s="26"/>
      <c r="U1199" s="26"/>
      <c r="V1199" s="26"/>
      <c r="W1199" s="26"/>
      <c r="X1199" s="26"/>
    </row>
    <row r="1200" spans="1:24">
      <c r="A1200" s="33" t="s">
        <v>31</v>
      </c>
      <c r="B1200" s="33" t="s">
        <v>4763</v>
      </c>
      <c r="C1200" s="33" t="s">
        <v>4764</v>
      </c>
      <c r="D1200" s="33">
        <f t="shared" si="18"/>
        <v>-1</v>
      </c>
      <c r="E1200" s="33" t="s">
        <v>34</v>
      </c>
      <c r="F1200" s="33" t="s">
        <v>4560</v>
      </c>
      <c r="G1200" s="33" t="s">
        <v>4765</v>
      </c>
      <c r="H1200" s="33" t="s">
        <v>37</v>
      </c>
      <c r="I1200" s="33" t="s">
        <v>38</v>
      </c>
      <c r="J1200" s="33" t="s">
        <v>3242</v>
      </c>
      <c r="K1200" s="33" t="s">
        <v>3243</v>
      </c>
      <c r="L1200" s="33">
        <v>0</v>
      </c>
      <c r="M1200" s="33">
        <v>0</v>
      </c>
      <c r="N1200" s="33">
        <v>0</v>
      </c>
      <c r="O1200" s="33">
        <v>302600</v>
      </c>
      <c r="P1200" s="33" t="s">
        <v>41</v>
      </c>
      <c r="Q1200" s="33" t="s">
        <v>42</v>
      </c>
      <c r="R1200" s="26"/>
      <c r="S1200" s="26" t="s">
        <v>43</v>
      </c>
      <c r="T1200" s="26"/>
      <c r="U1200" s="26"/>
      <c r="V1200" s="26"/>
      <c r="W1200" s="26"/>
      <c r="X1200" s="26"/>
    </row>
    <row r="1201" spans="1:24">
      <c r="A1201" s="32" t="s">
        <v>31</v>
      </c>
      <c r="B1201" s="32" t="s">
        <v>4766</v>
      </c>
      <c r="C1201" s="32" t="s">
        <v>4767</v>
      </c>
      <c r="D1201" s="32">
        <f t="shared" si="18"/>
        <v>-1</v>
      </c>
      <c r="E1201" s="32" t="s">
        <v>34</v>
      </c>
      <c r="F1201" s="32" t="s">
        <v>4560</v>
      </c>
      <c r="G1201" s="32" t="s">
        <v>4768</v>
      </c>
      <c r="H1201" s="32" t="s">
        <v>37</v>
      </c>
      <c r="I1201" s="32" t="s">
        <v>38</v>
      </c>
      <c r="J1201" s="32" t="s">
        <v>2484</v>
      </c>
      <c r="K1201" s="32" t="s">
        <v>2485</v>
      </c>
      <c r="L1201" s="32">
        <v>46196.98</v>
      </c>
      <c r="M1201" s="32">
        <v>0</v>
      </c>
      <c r="N1201" s="32">
        <v>0</v>
      </c>
      <c r="O1201" s="32">
        <v>289338.98</v>
      </c>
      <c r="P1201" s="32" t="s">
        <v>41</v>
      </c>
      <c r="Q1201" s="32" t="s">
        <v>42</v>
      </c>
      <c r="R1201" s="26" t="s">
        <v>43</v>
      </c>
      <c r="S1201" s="26"/>
      <c r="T1201" s="26"/>
      <c r="U1201" s="26"/>
      <c r="V1201" s="26"/>
      <c r="W1201" s="26"/>
      <c r="X1201" s="26"/>
    </row>
    <row r="1202" spans="1:24">
      <c r="A1202" s="34" t="s">
        <v>31</v>
      </c>
      <c r="B1202" s="34" t="s">
        <v>4769</v>
      </c>
      <c r="C1202" s="34" t="s">
        <v>4770</v>
      </c>
      <c r="D1202" s="34">
        <f t="shared" si="18"/>
        <v>-1</v>
      </c>
      <c r="E1202" s="34" t="s">
        <v>34</v>
      </c>
      <c r="F1202" s="34" t="s">
        <v>4560</v>
      </c>
      <c r="G1202" s="34" t="s">
        <v>4771</v>
      </c>
      <c r="H1202" s="34" t="s">
        <v>37</v>
      </c>
      <c r="I1202" s="34" t="s">
        <v>38</v>
      </c>
      <c r="J1202" s="34" t="s">
        <v>4772</v>
      </c>
      <c r="K1202" s="34" t="s">
        <v>4773</v>
      </c>
      <c r="L1202" s="34">
        <v>156644.54999999999</v>
      </c>
      <c r="M1202" s="34">
        <v>0</v>
      </c>
      <c r="N1202" s="34">
        <v>0</v>
      </c>
      <c r="O1202" s="34">
        <v>981089.55</v>
      </c>
      <c r="P1202" s="34" t="s">
        <v>41</v>
      </c>
      <c r="Q1202" s="34" t="s">
        <v>42</v>
      </c>
      <c r="R1202" s="26"/>
      <c r="S1202" s="26"/>
      <c r="T1202" s="26" t="s">
        <v>43</v>
      </c>
      <c r="U1202" s="26"/>
      <c r="V1202" s="26"/>
      <c r="W1202" s="26"/>
      <c r="X1202" s="26"/>
    </row>
    <row r="1203" spans="1:24">
      <c r="A1203" s="34" t="s">
        <v>31</v>
      </c>
      <c r="B1203" s="34" t="s">
        <v>4774</v>
      </c>
      <c r="C1203" s="34" t="s">
        <v>4775</v>
      </c>
      <c r="D1203" s="34">
        <f t="shared" si="18"/>
        <v>-1</v>
      </c>
      <c r="E1203" s="34" t="s">
        <v>34</v>
      </c>
      <c r="F1203" s="34" t="s">
        <v>4560</v>
      </c>
      <c r="G1203" s="34" t="s">
        <v>4776</v>
      </c>
      <c r="H1203" s="34" t="s">
        <v>37</v>
      </c>
      <c r="I1203" s="34" t="s">
        <v>38</v>
      </c>
      <c r="J1203" s="34" t="s">
        <v>4772</v>
      </c>
      <c r="K1203" s="34" t="s">
        <v>4773</v>
      </c>
      <c r="L1203" s="34">
        <v>241606.66</v>
      </c>
      <c r="M1203" s="34">
        <v>0</v>
      </c>
      <c r="N1203" s="34">
        <v>0</v>
      </c>
      <c r="O1203" s="34">
        <v>1513220.66</v>
      </c>
      <c r="P1203" s="34" t="s">
        <v>41</v>
      </c>
      <c r="Q1203" s="34" t="s">
        <v>42</v>
      </c>
      <c r="R1203" s="26"/>
      <c r="S1203" s="26"/>
      <c r="T1203" s="26" t="s">
        <v>43</v>
      </c>
      <c r="U1203" s="26"/>
      <c r="V1203" s="26"/>
      <c r="W1203" s="26"/>
      <c r="X1203" s="26"/>
    </row>
    <row r="1204" spans="1:24">
      <c r="A1204" s="32" t="s">
        <v>31</v>
      </c>
      <c r="B1204" s="32" t="s">
        <v>4777</v>
      </c>
      <c r="C1204" s="32" t="s">
        <v>4778</v>
      </c>
      <c r="D1204" s="32">
        <f t="shared" si="18"/>
        <v>-1</v>
      </c>
      <c r="E1204" s="32" t="s">
        <v>34</v>
      </c>
      <c r="F1204" s="32" t="s">
        <v>4560</v>
      </c>
      <c r="G1204" s="32" t="s">
        <v>4779</v>
      </c>
      <c r="H1204" s="32" t="s">
        <v>37</v>
      </c>
      <c r="I1204" s="32" t="s">
        <v>38</v>
      </c>
      <c r="J1204" s="32" t="s">
        <v>4780</v>
      </c>
      <c r="K1204" s="32" t="s">
        <v>4781</v>
      </c>
      <c r="L1204" s="32">
        <v>11196206</v>
      </c>
      <c r="M1204" s="32">
        <v>0</v>
      </c>
      <c r="N1204" s="32">
        <v>0</v>
      </c>
      <c r="O1204" s="32">
        <v>70123606</v>
      </c>
      <c r="P1204" s="32" t="s">
        <v>41</v>
      </c>
      <c r="Q1204" s="32" t="s">
        <v>42</v>
      </c>
      <c r="R1204" s="26" t="s">
        <v>43</v>
      </c>
      <c r="S1204" s="26"/>
      <c r="T1204" s="26"/>
      <c r="U1204" s="26"/>
      <c r="V1204" s="26"/>
      <c r="W1204" s="26"/>
      <c r="X1204" s="26"/>
    </row>
    <row r="1205" spans="1:24">
      <c r="A1205" s="32" t="s">
        <v>31</v>
      </c>
      <c r="B1205" s="32" t="s">
        <v>4782</v>
      </c>
      <c r="C1205" s="32" t="s">
        <v>4783</v>
      </c>
      <c r="D1205" s="32">
        <f t="shared" si="18"/>
        <v>-1</v>
      </c>
      <c r="E1205" s="32" t="s">
        <v>34</v>
      </c>
      <c r="F1205" s="32" t="s">
        <v>4560</v>
      </c>
      <c r="G1205" s="32" t="s">
        <v>4784</v>
      </c>
      <c r="H1205" s="32" t="s">
        <v>37</v>
      </c>
      <c r="I1205" s="32" t="s">
        <v>38</v>
      </c>
      <c r="J1205" s="32" t="s">
        <v>4785</v>
      </c>
      <c r="K1205" s="32" t="s">
        <v>4786</v>
      </c>
      <c r="L1205" s="32">
        <v>27294133.079999998</v>
      </c>
      <c r="M1205" s="32">
        <v>0</v>
      </c>
      <c r="N1205" s="32">
        <v>0</v>
      </c>
      <c r="O1205" s="32">
        <v>170947465.08000001</v>
      </c>
      <c r="P1205" s="32" t="s">
        <v>41</v>
      </c>
      <c r="Q1205" s="32" t="s">
        <v>42</v>
      </c>
      <c r="R1205" s="26" t="s">
        <v>43</v>
      </c>
      <c r="S1205" s="26"/>
      <c r="T1205" s="26"/>
      <c r="U1205" s="26"/>
      <c r="V1205" s="26"/>
      <c r="W1205" s="26"/>
      <c r="X1205" s="26"/>
    </row>
    <row r="1206" spans="1:24">
      <c r="A1206" s="35" t="s">
        <v>31</v>
      </c>
      <c r="B1206" s="35" t="s">
        <v>4787</v>
      </c>
      <c r="C1206" s="35" t="s">
        <v>4788</v>
      </c>
      <c r="D1206" s="35">
        <f t="shared" si="18"/>
        <v>-1</v>
      </c>
      <c r="E1206" s="35" t="s">
        <v>34</v>
      </c>
      <c r="F1206" s="35" t="s">
        <v>4560</v>
      </c>
      <c r="G1206" s="35" t="s">
        <v>4789</v>
      </c>
      <c r="H1206" s="35" t="s">
        <v>37</v>
      </c>
      <c r="I1206" s="35" t="s">
        <v>38</v>
      </c>
      <c r="J1206" s="35" t="s">
        <v>1808</v>
      </c>
      <c r="K1206" s="35" t="s">
        <v>1809</v>
      </c>
      <c r="L1206" s="35">
        <v>14440</v>
      </c>
      <c r="M1206" s="35">
        <v>0</v>
      </c>
      <c r="N1206" s="35">
        <v>0</v>
      </c>
      <c r="O1206" s="35">
        <v>90440</v>
      </c>
      <c r="P1206" s="35" t="s">
        <v>41</v>
      </c>
      <c r="Q1206" s="35" t="s">
        <v>42</v>
      </c>
      <c r="R1206" s="26"/>
      <c r="S1206" s="26"/>
      <c r="T1206" s="26"/>
      <c r="U1206" s="26"/>
      <c r="V1206" s="26"/>
      <c r="W1206" s="35" t="s">
        <v>43</v>
      </c>
      <c r="X1206" s="26" t="s">
        <v>4516</v>
      </c>
    </row>
    <row r="1207" spans="1:24">
      <c r="A1207" s="26" t="s">
        <v>31</v>
      </c>
      <c r="B1207" s="26" t="s">
        <v>4790</v>
      </c>
      <c r="C1207" s="26" t="s">
        <v>4791</v>
      </c>
      <c r="D1207" s="26">
        <f t="shared" si="18"/>
        <v>-1</v>
      </c>
      <c r="E1207" s="26" t="s">
        <v>34</v>
      </c>
      <c r="F1207" s="26" t="s">
        <v>4560</v>
      </c>
      <c r="G1207" s="26" t="s">
        <v>4792</v>
      </c>
      <c r="H1207" s="26" t="s">
        <v>37</v>
      </c>
      <c r="I1207" s="26" t="s">
        <v>38</v>
      </c>
      <c r="J1207" s="26" t="s">
        <v>4547</v>
      </c>
      <c r="K1207" s="26" t="s">
        <v>4548</v>
      </c>
      <c r="L1207" s="26">
        <v>23375</v>
      </c>
      <c r="M1207" s="26">
        <v>0</v>
      </c>
      <c r="N1207" s="26">
        <v>0</v>
      </c>
      <c r="O1207" s="26">
        <v>490875</v>
      </c>
      <c r="P1207" s="26" t="s">
        <v>41</v>
      </c>
      <c r="Q1207" s="26" t="s">
        <v>42</v>
      </c>
      <c r="R1207" s="26"/>
      <c r="S1207" s="26"/>
      <c r="T1207" s="26"/>
      <c r="U1207" s="26"/>
      <c r="V1207" s="26" t="s">
        <v>43</v>
      </c>
      <c r="W1207" s="26"/>
      <c r="X1207" s="26"/>
    </row>
    <row r="1208" spans="1:24">
      <c r="A1208" s="26" t="s">
        <v>31</v>
      </c>
      <c r="B1208" s="26" t="s">
        <v>4793</v>
      </c>
      <c r="C1208" s="26" t="s">
        <v>4794</v>
      </c>
      <c r="D1208" s="26">
        <f t="shared" si="18"/>
        <v>-1</v>
      </c>
      <c r="E1208" s="26" t="s">
        <v>34</v>
      </c>
      <c r="F1208" s="26" t="s">
        <v>4560</v>
      </c>
      <c r="G1208" s="26" t="s">
        <v>4795</v>
      </c>
      <c r="H1208" s="26" t="s">
        <v>37</v>
      </c>
      <c r="I1208" s="26" t="s">
        <v>38</v>
      </c>
      <c r="J1208" s="26" t="s">
        <v>764</v>
      </c>
      <c r="K1208" s="26" t="s">
        <v>765</v>
      </c>
      <c r="L1208" s="26">
        <v>7239</v>
      </c>
      <c r="M1208" s="26">
        <v>0</v>
      </c>
      <c r="N1208" s="26">
        <v>0</v>
      </c>
      <c r="O1208" s="26">
        <v>45339</v>
      </c>
      <c r="P1208" s="26" t="s">
        <v>41</v>
      </c>
      <c r="Q1208" s="26" t="s">
        <v>42</v>
      </c>
      <c r="R1208" s="26"/>
      <c r="S1208" s="26"/>
      <c r="T1208" s="26"/>
      <c r="U1208" s="26"/>
      <c r="V1208" s="26" t="s">
        <v>43</v>
      </c>
      <c r="W1208" s="26"/>
      <c r="X1208" s="26"/>
    </row>
    <row r="1209" spans="1:24">
      <c r="A1209" s="26" t="s">
        <v>31</v>
      </c>
      <c r="B1209" s="26" t="s">
        <v>4796</v>
      </c>
      <c r="C1209" s="26" t="s">
        <v>4797</v>
      </c>
      <c r="D1209" s="26">
        <f t="shared" si="18"/>
        <v>-1</v>
      </c>
      <c r="E1209" s="26" t="s">
        <v>34</v>
      </c>
      <c r="F1209" s="26" t="s">
        <v>4560</v>
      </c>
      <c r="G1209" s="26" t="s">
        <v>4798</v>
      </c>
      <c r="H1209" s="26" t="s">
        <v>37</v>
      </c>
      <c r="I1209" s="26" t="s">
        <v>38</v>
      </c>
      <c r="J1209" s="26" t="s">
        <v>3871</v>
      </c>
      <c r="K1209" s="26" t="s">
        <v>3872</v>
      </c>
      <c r="L1209" s="26">
        <v>103815.8</v>
      </c>
      <c r="M1209" s="26">
        <v>0</v>
      </c>
      <c r="N1209" s="26">
        <v>0</v>
      </c>
      <c r="O1209" s="26">
        <v>899460.8</v>
      </c>
      <c r="P1209" s="26" t="s">
        <v>41</v>
      </c>
      <c r="Q1209" s="26" t="s">
        <v>42</v>
      </c>
      <c r="R1209" s="26"/>
      <c r="S1209" s="26"/>
      <c r="T1209" s="26"/>
      <c r="U1209" s="26"/>
      <c r="V1209" s="26" t="s">
        <v>43</v>
      </c>
      <c r="W1209" s="26"/>
      <c r="X1209" s="26"/>
    </row>
    <row r="1210" spans="1:24">
      <c r="A1210" s="35" t="s">
        <v>31</v>
      </c>
      <c r="B1210" s="35" t="s">
        <v>4799</v>
      </c>
      <c r="C1210" s="35" t="s">
        <v>4800</v>
      </c>
      <c r="D1210" s="35">
        <f t="shared" si="18"/>
        <v>-1</v>
      </c>
      <c r="E1210" s="35" t="s">
        <v>34</v>
      </c>
      <c r="F1210" s="35" t="s">
        <v>4560</v>
      </c>
      <c r="G1210" s="35" t="s">
        <v>4801</v>
      </c>
      <c r="H1210" s="35" t="s">
        <v>37</v>
      </c>
      <c r="I1210" s="35" t="s">
        <v>38</v>
      </c>
      <c r="J1210" s="35" t="s">
        <v>2151</v>
      </c>
      <c r="K1210" s="35" t="s">
        <v>2152</v>
      </c>
      <c r="L1210" s="35">
        <v>1173611</v>
      </c>
      <c r="M1210" s="35">
        <v>0</v>
      </c>
      <c r="N1210" s="35">
        <v>0</v>
      </c>
      <c r="O1210" s="35">
        <v>7350511</v>
      </c>
      <c r="P1210" s="35" t="s">
        <v>41</v>
      </c>
      <c r="Q1210" s="35" t="s">
        <v>42</v>
      </c>
      <c r="R1210" s="26"/>
      <c r="S1210" s="26"/>
      <c r="T1210" s="26"/>
      <c r="U1210" s="26"/>
      <c r="V1210" s="26"/>
      <c r="W1210" s="35" t="s">
        <v>628</v>
      </c>
      <c r="X1210" s="26" t="s">
        <v>501</v>
      </c>
    </row>
    <row r="1211" spans="1:24">
      <c r="A1211" s="32" t="s">
        <v>31</v>
      </c>
      <c r="B1211" s="32" t="s">
        <v>4802</v>
      </c>
      <c r="C1211" s="32" t="s">
        <v>4803</v>
      </c>
      <c r="D1211" s="32">
        <f t="shared" si="18"/>
        <v>-1</v>
      </c>
      <c r="E1211" s="32" t="s">
        <v>34</v>
      </c>
      <c r="F1211" s="32" t="s">
        <v>4560</v>
      </c>
      <c r="G1211" s="32" t="s">
        <v>4804</v>
      </c>
      <c r="H1211" s="32" t="s">
        <v>37</v>
      </c>
      <c r="I1211" s="32" t="s">
        <v>38</v>
      </c>
      <c r="J1211" s="32" t="s">
        <v>2484</v>
      </c>
      <c r="K1211" s="32" t="s">
        <v>2485</v>
      </c>
      <c r="L1211" s="32">
        <v>396663</v>
      </c>
      <c r="M1211" s="32">
        <v>0</v>
      </c>
      <c r="N1211" s="32">
        <v>0</v>
      </c>
      <c r="O1211" s="32">
        <v>2484363</v>
      </c>
      <c r="P1211" s="32" t="s">
        <v>41</v>
      </c>
      <c r="Q1211" s="32" t="s">
        <v>42</v>
      </c>
      <c r="R1211" s="26" t="s">
        <v>43</v>
      </c>
      <c r="S1211" s="26"/>
      <c r="T1211" s="26"/>
      <c r="U1211" s="26"/>
      <c r="V1211" s="26"/>
      <c r="W1211" s="26"/>
      <c r="X1211" s="26"/>
    </row>
    <row r="1212" spans="1:24">
      <c r="A1212" s="34" t="s">
        <v>31</v>
      </c>
      <c r="B1212" s="34" t="s">
        <v>4805</v>
      </c>
      <c r="C1212" s="34" t="s">
        <v>4806</v>
      </c>
      <c r="D1212" s="34">
        <f t="shared" si="18"/>
        <v>-1</v>
      </c>
      <c r="E1212" s="34" t="s">
        <v>34</v>
      </c>
      <c r="F1212" s="34" t="s">
        <v>4560</v>
      </c>
      <c r="G1212" s="34" t="s">
        <v>4807</v>
      </c>
      <c r="H1212" s="34" t="s">
        <v>37</v>
      </c>
      <c r="I1212" s="34" t="s">
        <v>38</v>
      </c>
      <c r="J1212" s="34" t="s">
        <v>4091</v>
      </c>
      <c r="K1212" s="34" t="s">
        <v>4092</v>
      </c>
      <c r="L1212" s="34">
        <v>9690</v>
      </c>
      <c r="M1212" s="34">
        <v>0</v>
      </c>
      <c r="N1212" s="34">
        <v>0</v>
      </c>
      <c r="O1212" s="34">
        <v>60690</v>
      </c>
      <c r="P1212" s="34" t="s">
        <v>41</v>
      </c>
      <c r="Q1212" s="34" t="s">
        <v>42</v>
      </c>
      <c r="R1212" s="26"/>
      <c r="S1212" s="26"/>
      <c r="T1212" s="26" t="s">
        <v>43</v>
      </c>
      <c r="U1212" s="26"/>
      <c r="V1212" s="26"/>
      <c r="W1212" s="26"/>
      <c r="X1212" s="26"/>
    </row>
    <row r="1213" spans="1:24">
      <c r="A1213" s="26" t="s">
        <v>31</v>
      </c>
      <c r="B1213" s="26" t="s">
        <v>4808</v>
      </c>
      <c r="C1213" s="26" t="s">
        <v>4809</v>
      </c>
      <c r="D1213" s="26">
        <f t="shared" si="18"/>
        <v>-1</v>
      </c>
      <c r="E1213" s="26" t="s">
        <v>34</v>
      </c>
      <c r="F1213" s="26" t="s">
        <v>4560</v>
      </c>
      <c r="G1213" s="26" t="s">
        <v>4810</v>
      </c>
      <c r="H1213" s="26" t="s">
        <v>37</v>
      </c>
      <c r="I1213" s="26" t="s">
        <v>38</v>
      </c>
      <c r="J1213" s="26" t="s">
        <v>4811</v>
      </c>
      <c r="K1213" s="26" t="s">
        <v>4812</v>
      </c>
      <c r="L1213" s="26">
        <v>5188653</v>
      </c>
      <c r="M1213" s="26">
        <v>0</v>
      </c>
      <c r="N1213" s="26">
        <v>0</v>
      </c>
      <c r="O1213" s="26">
        <v>32497353</v>
      </c>
      <c r="P1213" s="26" t="s">
        <v>41</v>
      </c>
      <c r="Q1213" s="26" t="s">
        <v>42</v>
      </c>
      <c r="R1213" s="26"/>
      <c r="S1213" s="26"/>
      <c r="T1213" s="26"/>
      <c r="U1213" s="26"/>
      <c r="V1213" s="26" t="s">
        <v>43</v>
      </c>
      <c r="W1213" s="26"/>
      <c r="X1213" s="26"/>
    </row>
    <row r="1214" spans="1:24">
      <c r="A1214" s="32" t="s">
        <v>31</v>
      </c>
      <c r="B1214" s="32" t="s">
        <v>4813</v>
      </c>
      <c r="C1214" s="32" t="s">
        <v>4814</v>
      </c>
      <c r="D1214" s="32">
        <f t="shared" si="18"/>
        <v>-1</v>
      </c>
      <c r="E1214" s="32" t="s">
        <v>34</v>
      </c>
      <c r="F1214" s="32" t="s">
        <v>4560</v>
      </c>
      <c r="G1214" s="32" t="s">
        <v>4815</v>
      </c>
      <c r="H1214" s="32" t="s">
        <v>37</v>
      </c>
      <c r="I1214" s="32" t="s">
        <v>38</v>
      </c>
      <c r="J1214" s="32" t="s">
        <v>69</v>
      </c>
      <c r="K1214" s="32" t="s">
        <v>70</v>
      </c>
      <c r="L1214" s="32">
        <v>33959.46</v>
      </c>
      <c r="M1214" s="32">
        <v>0</v>
      </c>
      <c r="N1214" s="32">
        <v>0</v>
      </c>
      <c r="O1214" s="32">
        <v>212693.46</v>
      </c>
      <c r="P1214" s="32" t="s">
        <v>41</v>
      </c>
      <c r="Q1214" s="32" t="s">
        <v>42</v>
      </c>
      <c r="R1214" s="26" t="s">
        <v>43</v>
      </c>
      <c r="S1214" s="26"/>
      <c r="T1214" s="26"/>
      <c r="U1214" s="26"/>
      <c r="V1214" s="26"/>
      <c r="W1214" s="26"/>
      <c r="X1214" s="26"/>
    </row>
    <row r="1215" spans="1:24">
      <c r="A1215" s="33" t="s">
        <v>31</v>
      </c>
      <c r="B1215" s="33" t="s">
        <v>4816</v>
      </c>
      <c r="C1215" s="33" t="s">
        <v>4817</v>
      </c>
      <c r="D1215" s="33">
        <f t="shared" si="18"/>
        <v>-1</v>
      </c>
      <c r="E1215" s="33" t="s">
        <v>34</v>
      </c>
      <c r="F1215" s="33" t="s">
        <v>4560</v>
      </c>
      <c r="G1215" s="33" t="s">
        <v>4818</v>
      </c>
      <c r="H1215" s="33" t="s">
        <v>37</v>
      </c>
      <c r="I1215" s="33" t="s">
        <v>38</v>
      </c>
      <c r="J1215" s="33" t="s">
        <v>3242</v>
      </c>
      <c r="K1215" s="33" t="s">
        <v>3243</v>
      </c>
      <c r="L1215" s="33">
        <v>92557.36</v>
      </c>
      <c r="M1215" s="33">
        <v>0</v>
      </c>
      <c r="N1215" s="33">
        <v>0</v>
      </c>
      <c r="O1215" s="33">
        <v>624117.36</v>
      </c>
      <c r="P1215" s="33" t="s">
        <v>41</v>
      </c>
      <c r="Q1215" s="33" t="s">
        <v>42</v>
      </c>
      <c r="R1215" s="26"/>
      <c r="S1215" s="26" t="s">
        <v>43</v>
      </c>
      <c r="T1215" s="26"/>
      <c r="U1215" s="26"/>
      <c r="V1215" s="26"/>
      <c r="W1215" s="26"/>
      <c r="X1215" s="26"/>
    </row>
    <row r="1216" spans="1:24">
      <c r="A1216" s="32" t="s">
        <v>31</v>
      </c>
      <c r="B1216" s="32" t="s">
        <v>4819</v>
      </c>
      <c r="C1216" s="32" t="s">
        <v>4820</v>
      </c>
      <c r="D1216" s="32">
        <f t="shared" si="18"/>
        <v>-1</v>
      </c>
      <c r="E1216" s="32" t="s">
        <v>34</v>
      </c>
      <c r="F1216" s="32" t="s">
        <v>4560</v>
      </c>
      <c r="G1216" s="32" t="s">
        <v>4821</v>
      </c>
      <c r="H1216" s="32" t="s">
        <v>37</v>
      </c>
      <c r="I1216" s="32" t="s">
        <v>38</v>
      </c>
      <c r="J1216" s="32" t="s">
        <v>69</v>
      </c>
      <c r="K1216" s="32" t="s">
        <v>70</v>
      </c>
      <c r="L1216" s="32">
        <v>54598.02</v>
      </c>
      <c r="M1216" s="32">
        <v>0</v>
      </c>
      <c r="N1216" s="32">
        <v>0</v>
      </c>
      <c r="O1216" s="32">
        <v>341956.02</v>
      </c>
      <c r="P1216" s="32" t="s">
        <v>41</v>
      </c>
      <c r="Q1216" s="32" t="s">
        <v>42</v>
      </c>
      <c r="R1216" s="26" t="s">
        <v>43</v>
      </c>
      <c r="S1216" s="26"/>
      <c r="T1216" s="26"/>
      <c r="U1216" s="26"/>
      <c r="V1216" s="26"/>
      <c r="W1216" s="26"/>
      <c r="X1216" s="26"/>
    </row>
    <row r="1217" spans="1:24">
      <c r="A1217" s="34" t="s">
        <v>31</v>
      </c>
      <c r="B1217" s="34" t="s">
        <v>4822</v>
      </c>
      <c r="C1217" s="34" t="s">
        <v>4823</v>
      </c>
      <c r="D1217" s="34">
        <f t="shared" si="18"/>
        <v>-1</v>
      </c>
      <c r="E1217" s="34" t="s">
        <v>34</v>
      </c>
      <c r="F1217" s="34" t="s">
        <v>4560</v>
      </c>
      <c r="G1217" s="34" t="s">
        <v>4824</v>
      </c>
      <c r="H1217" s="34" t="s">
        <v>37</v>
      </c>
      <c r="I1217" s="34" t="s">
        <v>38</v>
      </c>
      <c r="J1217" s="34" t="s">
        <v>69</v>
      </c>
      <c r="K1217" s="34" t="s">
        <v>70</v>
      </c>
      <c r="L1217" s="34">
        <v>7470.8</v>
      </c>
      <c r="M1217" s="34">
        <v>0</v>
      </c>
      <c r="N1217" s="34">
        <v>0</v>
      </c>
      <c r="O1217" s="34">
        <v>46790.8</v>
      </c>
      <c r="P1217" s="34" t="s">
        <v>41</v>
      </c>
      <c r="Q1217" s="34" t="s">
        <v>42</v>
      </c>
      <c r="R1217" s="26"/>
      <c r="S1217" s="26"/>
      <c r="T1217" s="26" t="s">
        <v>43</v>
      </c>
      <c r="U1217" s="26"/>
      <c r="V1217" s="26"/>
      <c r="W1217" s="26"/>
      <c r="X1217" s="26"/>
    </row>
    <row r="1218" spans="1:24">
      <c r="A1218" s="34" t="s">
        <v>31</v>
      </c>
      <c r="B1218" s="34" t="s">
        <v>4825</v>
      </c>
      <c r="C1218" s="34" t="s">
        <v>4826</v>
      </c>
      <c r="D1218" s="34">
        <f t="shared" si="18"/>
        <v>-1</v>
      </c>
      <c r="E1218" s="34" t="s">
        <v>34</v>
      </c>
      <c r="F1218" s="34" t="s">
        <v>4560</v>
      </c>
      <c r="G1218" s="34" t="s">
        <v>4827</v>
      </c>
      <c r="H1218" s="34" t="s">
        <v>37</v>
      </c>
      <c r="I1218" s="34" t="s">
        <v>38</v>
      </c>
      <c r="J1218" s="34" t="s">
        <v>69</v>
      </c>
      <c r="K1218" s="34" t="s">
        <v>70</v>
      </c>
      <c r="L1218" s="34">
        <v>10712.2</v>
      </c>
      <c r="M1218" s="34">
        <v>0</v>
      </c>
      <c r="N1218" s="34">
        <v>0</v>
      </c>
      <c r="O1218" s="34">
        <v>67092.2</v>
      </c>
      <c r="P1218" s="34" t="s">
        <v>41</v>
      </c>
      <c r="Q1218" s="34" t="s">
        <v>42</v>
      </c>
      <c r="R1218" s="26"/>
      <c r="S1218" s="26"/>
      <c r="T1218" s="26" t="s">
        <v>43</v>
      </c>
      <c r="U1218" s="26"/>
      <c r="V1218" s="26"/>
      <c r="W1218" s="26"/>
      <c r="X1218" s="26"/>
    </row>
    <row r="1219" spans="1:24">
      <c r="A1219" s="26" t="s">
        <v>31</v>
      </c>
      <c r="B1219" s="26" t="s">
        <v>4828</v>
      </c>
      <c r="C1219" s="26" t="s">
        <v>4829</v>
      </c>
      <c r="D1219" s="26">
        <f t="shared" si="18"/>
        <v>-1</v>
      </c>
      <c r="E1219" s="26" t="s">
        <v>34</v>
      </c>
      <c r="F1219" s="26" t="s">
        <v>4560</v>
      </c>
      <c r="G1219" s="26" t="s">
        <v>4827</v>
      </c>
      <c r="H1219" s="26" t="s">
        <v>37</v>
      </c>
      <c r="I1219" s="26" t="s">
        <v>38</v>
      </c>
      <c r="J1219" s="26" t="s">
        <v>4286</v>
      </c>
      <c r="K1219" s="26" t="s">
        <v>4287</v>
      </c>
      <c r="L1219" s="26">
        <v>69306.3</v>
      </c>
      <c r="M1219" s="26">
        <v>0</v>
      </c>
      <c r="N1219" s="26">
        <v>0</v>
      </c>
      <c r="O1219" s="26">
        <v>434076.3</v>
      </c>
      <c r="P1219" s="26" t="s">
        <v>41</v>
      </c>
      <c r="Q1219" s="26" t="s">
        <v>42</v>
      </c>
      <c r="R1219" s="26"/>
      <c r="S1219" s="26"/>
      <c r="T1219" s="26"/>
      <c r="U1219" s="26"/>
      <c r="V1219" s="26" t="s">
        <v>43</v>
      </c>
      <c r="W1219" s="26"/>
      <c r="X1219" s="26"/>
    </row>
    <row r="1220" spans="1:24">
      <c r="A1220" s="33" t="s">
        <v>31</v>
      </c>
      <c r="B1220" s="33" t="s">
        <v>4830</v>
      </c>
      <c r="C1220" s="33" t="s">
        <v>4831</v>
      </c>
      <c r="D1220" s="33">
        <f t="shared" si="18"/>
        <v>-1</v>
      </c>
      <c r="E1220" s="33" t="s">
        <v>34</v>
      </c>
      <c r="F1220" s="33" t="s">
        <v>4560</v>
      </c>
      <c r="G1220" s="33" t="s">
        <v>4832</v>
      </c>
      <c r="H1220" s="33" t="s">
        <v>37</v>
      </c>
      <c r="I1220" s="33" t="s">
        <v>38</v>
      </c>
      <c r="J1220" s="33" t="s">
        <v>1977</v>
      </c>
      <c r="K1220" s="33" t="s">
        <v>1978</v>
      </c>
      <c r="L1220" s="33">
        <v>3663827</v>
      </c>
      <c r="M1220" s="33">
        <v>0</v>
      </c>
      <c r="N1220" s="33">
        <v>0</v>
      </c>
      <c r="O1220" s="33">
        <v>22947127</v>
      </c>
      <c r="P1220" s="33" t="s">
        <v>41</v>
      </c>
      <c r="Q1220" s="33" t="s">
        <v>42</v>
      </c>
      <c r="R1220" s="26"/>
      <c r="S1220" s="26" t="s">
        <v>43</v>
      </c>
      <c r="T1220" s="26"/>
      <c r="U1220" s="26"/>
      <c r="V1220" s="26"/>
      <c r="W1220" s="26"/>
      <c r="X1220" s="26"/>
    </row>
    <row r="1221" spans="1:24">
      <c r="A1221" s="35" t="s">
        <v>31</v>
      </c>
      <c r="B1221" s="35" t="s">
        <v>4833</v>
      </c>
      <c r="C1221" s="35" t="s">
        <v>4834</v>
      </c>
      <c r="D1221" s="35">
        <f t="shared" si="18"/>
        <v>-1</v>
      </c>
      <c r="E1221" s="35" t="s">
        <v>34</v>
      </c>
      <c r="F1221" s="35" t="s">
        <v>4560</v>
      </c>
      <c r="G1221" s="35" t="s">
        <v>4835</v>
      </c>
      <c r="H1221" s="35" t="s">
        <v>37</v>
      </c>
      <c r="I1221" s="35" t="s">
        <v>38</v>
      </c>
      <c r="J1221" s="35" t="s">
        <v>4836</v>
      </c>
      <c r="K1221" s="35" t="s">
        <v>4837</v>
      </c>
      <c r="L1221" s="35">
        <v>0</v>
      </c>
      <c r="M1221" s="35">
        <v>0</v>
      </c>
      <c r="N1221" s="35">
        <v>0</v>
      </c>
      <c r="O1221" s="35">
        <v>1400000</v>
      </c>
      <c r="P1221" s="35" t="s">
        <v>41</v>
      </c>
      <c r="Q1221" s="35" t="s">
        <v>42</v>
      </c>
      <c r="R1221" s="26"/>
      <c r="S1221" s="26"/>
      <c r="T1221" s="26"/>
      <c r="U1221" s="26"/>
      <c r="V1221" s="26"/>
      <c r="W1221" s="35" t="s">
        <v>43</v>
      </c>
      <c r="X1221" s="26" t="s">
        <v>647</v>
      </c>
    </row>
    <row r="1222" spans="1:24">
      <c r="A1222" s="32" t="s">
        <v>31</v>
      </c>
      <c r="B1222" s="32" t="s">
        <v>4838</v>
      </c>
      <c r="C1222" s="32" t="s">
        <v>4839</v>
      </c>
      <c r="D1222" s="32">
        <f t="shared" si="18"/>
        <v>-1</v>
      </c>
      <c r="E1222" s="32" t="s">
        <v>34</v>
      </c>
      <c r="F1222" s="32" t="s">
        <v>4560</v>
      </c>
      <c r="G1222" s="32" t="s">
        <v>4840</v>
      </c>
      <c r="H1222" s="32" t="s">
        <v>37</v>
      </c>
      <c r="I1222" s="32" t="s">
        <v>38</v>
      </c>
      <c r="J1222" s="32" t="s">
        <v>2001</v>
      </c>
      <c r="K1222" s="32" t="s">
        <v>2002</v>
      </c>
      <c r="L1222" s="32">
        <v>93726.05</v>
      </c>
      <c r="M1222" s="32">
        <v>0</v>
      </c>
      <c r="N1222" s="32">
        <v>0</v>
      </c>
      <c r="O1222" s="32">
        <v>587021.05000000005</v>
      </c>
      <c r="P1222" s="32" t="s">
        <v>41</v>
      </c>
      <c r="Q1222" s="32" t="s">
        <v>42</v>
      </c>
      <c r="R1222" s="26" t="s">
        <v>43</v>
      </c>
      <c r="S1222" s="26"/>
      <c r="T1222" s="26"/>
      <c r="U1222" s="26"/>
      <c r="V1222" s="26"/>
      <c r="W1222" s="26"/>
      <c r="X1222" s="26"/>
    </row>
    <row r="1223" spans="1:24">
      <c r="A1223" s="34" t="s">
        <v>31</v>
      </c>
      <c r="B1223" s="34" t="s">
        <v>4841</v>
      </c>
      <c r="C1223" s="34" t="s">
        <v>4842</v>
      </c>
      <c r="D1223" s="34">
        <f t="shared" si="18"/>
        <v>-1</v>
      </c>
      <c r="E1223" s="34" t="s">
        <v>34</v>
      </c>
      <c r="F1223" s="34" t="s">
        <v>4560</v>
      </c>
      <c r="G1223" s="34" t="s">
        <v>4843</v>
      </c>
      <c r="H1223" s="34" t="s">
        <v>37</v>
      </c>
      <c r="I1223" s="34" t="s">
        <v>38</v>
      </c>
      <c r="J1223" s="34" t="s">
        <v>4091</v>
      </c>
      <c r="K1223" s="34" t="s">
        <v>4092</v>
      </c>
      <c r="L1223" s="34">
        <v>41230</v>
      </c>
      <c r="M1223" s="34">
        <v>0</v>
      </c>
      <c r="N1223" s="34">
        <v>0</v>
      </c>
      <c r="O1223" s="34">
        <v>258230</v>
      </c>
      <c r="P1223" s="34" t="s">
        <v>41</v>
      </c>
      <c r="Q1223" s="34" t="s">
        <v>42</v>
      </c>
      <c r="R1223" s="26"/>
      <c r="S1223" s="26"/>
      <c r="T1223" s="26" t="s">
        <v>43</v>
      </c>
      <c r="U1223" s="26"/>
      <c r="V1223" s="26"/>
      <c r="W1223" s="26"/>
      <c r="X1223" s="26"/>
    </row>
    <row r="1224" spans="1:24">
      <c r="A1224" s="26" t="s">
        <v>31</v>
      </c>
      <c r="B1224" s="26" t="s">
        <v>4844</v>
      </c>
      <c r="C1224" s="26" t="s">
        <v>4845</v>
      </c>
      <c r="D1224" s="26">
        <f t="shared" si="18"/>
        <v>-1</v>
      </c>
      <c r="E1224" s="26" t="s">
        <v>34</v>
      </c>
      <c r="F1224" s="26" t="s">
        <v>4560</v>
      </c>
      <c r="G1224" s="26" t="s">
        <v>4846</v>
      </c>
      <c r="H1224" s="26" t="s">
        <v>37</v>
      </c>
      <c r="I1224" s="26" t="s">
        <v>38</v>
      </c>
      <c r="J1224" s="26" t="s">
        <v>3879</v>
      </c>
      <c r="K1224" s="26" t="s">
        <v>3880</v>
      </c>
      <c r="L1224" s="26">
        <v>50160</v>
      </c>
      <c r="M1224" s="26">
        <v>0</v>
      </c>
      <c r="N1224" s="26">
        <v>0</v>
      </c>
      <c r="O1224" s="26">
        <v>314160</v>
      </c>
      <c r="P1224" s="26" t="s">
        <v>41</v>
      </c>
      <c r="Q1224" s="26" t="s">
        <v>42</v>
      </c>
      <c r="R1224" s="26"/>
      <c r="S1224" s="26"/>
      <c r="T1224" s="26"/>
      <c r="U1224" s="26"/>
      <c r="V1224" s="26" t="s">
        <v>43</v>
      </c>
      <c r="W1224" s="26"/>
      <c r="X1224" s="26"/>
    </row>
    <row r="1225" spans="1:24">
      <c r="A1225" s="26" t="s">
        <v>31</v>
      </c>
      <c r="B1225" s="26" t="s">
        <v>4847</v>
      </c>
      <c r="C1225" s="26" t="s">
        <v>4848</v>
      </c>
      <c r="D1225" s="26">
        <f t="shared" si="18"/>
        <v>-1</v>
      </c>
      <c r="E1225" s="26" t="s">
        <v>34</v>
      </c>
      <c r="F1225" s="26" t="s">
        <v>4560</v>
      </c>
      <c r="G1225" s="26" t="s">
        <v>4849</v>
      </c>
      <c r="H1225" s="26" t="s">
        <v>37</v>
      </c>
      <c r="I1225" s="26" t="s">
        <v>38</v>
      </c>
      <c r="J1225" s="26" t="s">
        <v>2017</v>
      </c>
      <c r="K1225" s="26" t="s">
        <v>2018</v>
      </c>
      <c r="L1225" s="26">
        <v>50058664.829999998</v>
      </c>
      <c r="M1225" s="26">
        <v>0</v>
      </c>
      <c r="N1225" s="26">
        <v>0</v>
      </c>
      <c r="O1225" s="26">
        <v>313525321.82999998</v>
      </c>
      <c r="P1225" s="26" t="s">
        <v>41</v>
      </c>
      <c r="Q1225" s="26" t="s">
        <v>42</v>
      </c>
      <c r="R1225" s="26"/>
      <c r="S1225" s="26"/>
      <c r="T1225" s="26"/>
      <c r="U1225" s="26"/>
      <c r="V1225" s="26" t="s">
        <v>43</v>
      </c>
      <c r="W1225" s="26"/>
      <c r="X1225" s="26"/>
    </row>
    <row r="1226" spans="1:24">
      <c r="A1226" s="32" t="s">
        <v>31</v>
      </c>
      <c r="B1226" s="32" t="s">
        <v>4850</v>
      </c>
      <c r="C1226" s="32" t="s">
        <v>4851</v>
      </c>
      <c r="D1226" s="32">
        <f t="shared" si="18"/>
        <v>-1</v>
      </c>
      <c r="E1226" s="32" t="s">
        <v>34</v>
      </c>
      <c r="F1226" s="32" t="s">
        <v>4560</v>
      </c>
      <c r="G1226" s="32" t="s">
        <v>4852</v>
      </c>
      <c r="H1226" s="32" t="s">
        <v>37</v>
      </c>
      <c r="I1226" s="32" t="s">
        <v>38</v>
      </c>
      <c r="J1226" s="32" t="s">
        <v>2576</v>
      </c>
      <c r="K1226" s="32" t="s">
        <v>2577</v>
      </c>
      <c r="L1226" s="32">
        <v>6422000</v>
      </c>
      <c r="M1226" s="32">
        <v>0</v>
      </c>
      <c r="N1226" s="32">
        <v>0</v>
      </c>
      <c r="O1226" s="32">
        <v>40222000</v>
      </c>
      <c r="P1226" s="32" t="s">
        <v>41</v>
      </c>
      <c r="Q1226" s="32" t="s">
        <v>42</v>
      </c>
      <c r="R1226" s="26" t="s">
        <v>43</v>
      </c>
      <c r="S1226" s="26"/>
      <c r="T1226" s="26"/>
      <c r="U1226" s="26"/>
      <c r="V1226" s="26"/>
      <c r="W1226" s="26"/>
      <c r="X1226" s="26"/>
    </row>
    <row r="1227" spans="1:24">
      <c r="A1227" s="32" t="s">
        <v>31</v>
      </c>
      <c r="B1227" s="32" t="s">
        <v>4853</v>
      </c>
      <c r="C1227" s="32" t="s">
        <v>4854</v>
      </c>
      <c r="D1227" s="32">
        <f t="shared" si="18"/>
        <v>-1</v>
      </c>
      <c r="E1227" s="32" t="s">
        <v>34</v>
      </c>
      <c r="F1227" s="32" t="s">
        <v>4560</v>
      </c>
      <c r="G1227" s="32" t="s">
        <v>4855</v>
      </c>
      <c r="H1227" s="32" t="s">
        <v>37</v>
      </c>
      <c r="I1227" s="32" t="s">
        <v>38</v>
      </c>
      <c r="J1227" s="32" t="s">
        <v>1924</v>
      </c>
      <c r="K1227" s="32" t="s">
        <v>1925</v>
      </c>
      <c r="L1227" s="32">
        <v>1534250</v>
      </c>
      <c r="M1227" s="32">
        <v>0</v>
      </c>
      <c r="N1227" s="32">
        <v>0</v>
      </c>
      <c r="O1227" s="32">
        <v>9609250</v>
      </c>
      <c r="P1227" s="32" t="s">
        <v>41</v>
      </c>
      <c r="Q1227" s="32" t="s">
        <v>42</v>
      </c>
      <c r="R1227" s="26" t="s">
        <v>43</v>
      </c>
      <c r="S1227" s="26"/>
      <c r="T1227" s="26"/>
      <c r="U1227" s="26"/>
      <c r="V1227" s="26"/>
      <c r="W1227" s="26"/>
      <c r="X1227" s="26"/>
    </row>
    <row r="1228" spans="1:24">
      <c r="A1228" s="34" t="s">
        <v>31</v>
      </c>
      <c r="B1228" s="34" t="s">
        <v>4856</v>
      </c>
      <c r="C1228" s="34" t="s">
        <v>4857</v>
      </c>
      <c r="D1228" s="34">
        <f t="shared" si="18"/>
        <v>-1</v>
      </c>
      <c r="E1228" s="34" t="s">
        <v>34</v>
      </c>
      <c r="F1228" s="34" t="s">
        <v>4560</v>
      </c>
      <c r="G1228" s="34" t="s">
        <v>4858</v>
      </c>
      <c r="H1228" s="34" t="s">
        <v>37</v>
      </c>
      <c r="I1228" s="34" t="s">
        <v>38</v>
      </c>
      <c r="J1228" s="34" t="s">
        <v>1170</v>
      </c>
      <c r="K1228" s="34" t="s">
        <v>1171</v>
      </c>
      <c r="L1228" s="34">
        <v>15200</v>
      </c>
      <c r="M1228" s="34">
        <v>0</v>
      </c>
      <c r="N1228" s="34">
        <v>0</v>
      </c>
      <c r="O1228" s="34">
        <v>95200</v>
      </c>
      <c r="P1228" s="34" t="s">
        <v>41</v>
      </c>
      <c r="Q1228" s="34" t="s">
        <v>42</v>
      </c>
      <c r="R1228" s="26"/>
      <c r="S1228" s="26"/>
      <c r="T1228" s="26" t="s">
        <v>43</v>
      </c>
      <c r="U1228" s="26"/>
      <c r="V1228" s="26"/>
      <c r="W1228" s="26"/>
      <c r="X1228" s="26"/>
    </row>
    <row r="1229" spans="1:24">
      <c r="A1229" s="35" t="s">
        <v>31</v>
      </c>
      <c r="B1229" s="35" t="s">
        <v>4859</v>
      </c>
      <c r="C1229" s="35" t="s">
        <v>4860</v>
      </c>
      <c r="D1229" s="35">
        <f t="shared" ref="D1229:D1292" si="19">C1229-C1230</f>
        <v>-1</v>
      </c>
      <c r="E1229" s="35" t="s">
        <v>34</v>
      </c>
      <c r="F1229" s="35" t="s">
        <v>4560</v>
      </c>
      <c r="G1229" s="35" t="s">
        <v>4861</v>
      </c>
      <c r="H1229" s="35" t="s">
        <v>37</v>
      </c>
      <c r="I1229" s="35" t="s">
        <v>38</v>
      </c>
      <c r="J1229" s="35" t="s">
        <v>4862</v>
      </c>
      <c r="K1229" s="35" t="s">
        <v>4863</v>
      </c>
      <c r="L1229" s="35">
        <v>961942.83</v>
      </c>
      <c r="M1229" s="35">
        <v>0</v>
      </c>
      <c r="N1229" s="35">
        <v>0</v>
      </c>
      <c r="O1229" s="35">
        <v>6024799.8300000001</v>
      </c>
      <c r="P1229" s="35" t="s">
        <v>41</v>
      </c>
      <c r="Q1229" s="35" t="s">
        <v>42</v>
      </c>
      <c r="R1229" s="26"/>
      <c r="S1229" s="26"/>
      <c r="T1229" s="26"/>
      <c r="U1229" s="26"/>
      <c r="V1229" s="26"/>
      <c r="W1229" s="35" t="s">
        <v>43</v>
      </c>
      <c r="X1229" s="26" t="s">
        <v>4864</v>
      </c>
    </row>
    <row r="1230" spans="1:24">
      <c r="A1230" s="26" t="s">
        <v>31</v>
      </c>
      <c r="B1230" s="26" t="s">
        <v>4865</v>
      </c>
      <c r="C1230" s="26" t="s">
        <v>4866</v>
      </c>
      <c r="D1230" s="26">
        <f t="shared" si="19"/>
        <v>-1</v>
      </c>
      <c r="E1230" s="26" t="s">
        <v>34</v>
      </c>
      <c r="F1230" s="26" t="s">
        <v>4560</v>
      </c>
      <c r="G1230" s="26" t="s">
        <v>4867</v>
      </c>
      <c r="H1230" s="26" t="s">
        <v>37</v>
      </c>
      <c r="I1230" s="26" t="s">
        <v>38</v>
      </c>
      <c r="J1230" s="26" t="s">
        <v>2114</v>
      </c>
      <c r="K1230" s="26" t="s">
        <v>3252</v>
      </c>
      <c r="L1230" s="26">
        <v>237737.5</v>
      </c>
      <c r="M1230" s="26">
        <v>0</v>
      </c>
      <c r="N1230" s="26">
        <v>0</v>
      </c>
      <c r="O1230" s="26">
        <v>1488987.5</v>
      </c>
      <c r="P1230" s="26" t="s">
        <v>41</v>
      </c>
      <c r="Q1230" s="26" t="s">
        <v>42</v>
      </c>
      <c r="R1230" s="26"/>
      <c r="S1230" s="26"/>
      <c r="T1230" s="26"/>
      <c r="U1230" s="26"/>
      <c r="V1230" s="26" t="s">
        <v>43</v>
      </c>
      <c r="W1230" s="26"/>
      <c r="X1230" s="26"/>
    </row>
    <row r="1231" spans="1:24">
      <c r="A1231" s="34" t="s">
        <v>31</v>
      </c>
      <c r="B1231" s="34" t="s">
        <v>4868</v>
      </c>
      <c r="C1231" s="34" t="s">
        <v>4869</v>
      </c>
      <c r="D1231" s="34">
        <f t="shared" si="19"/>
        <v>-1</v>
      </c>
      <c r="E1231" s="34" t="s">
        <v>34</v>
      </c>
      <c r="F1231" s="34" t="s">
        <v>4560</v>
      </c>
      <c r="G1231" s="34" t="s">
        <v>4870</v>
      </c>
      <c r="H1231" s="34" t="s">
        <v>37</v>
      </c>
      <c r="I1231" s="34" t="s">
        <v>38</v>
      </c>
      <c r="J1231" s="34" t="s">
        <v>2989</v>
      </c>
      <c r="K1231" s="34" t="s">
        <v>2990</v>
      </c>
      <c r="L1231" s="34">
        <v>122634.36</v>
      </c>
      <c r="M1231" s="34">
        <v>0</v>
      </c>
      <c r="N1231" s="34">
        <v>0</v>
      </c>
      <c r="O1231" s="34">
        <v>768078.36</v>
      </c>
      <c r="P1231" s="34" t="s">
        <v>41</v>
      </c>
      <c r="Q1231" s="34" t="s">
        <v>42</v>
      </c>
      <c r="R1231" s="26"/>
      <c r="S1231" s="26"/>
      <c r="T1231" s="26" t="s">
        <v>43</v>
      </c>
      <c r="U1231" s="26"/>
      <c r="V1231" s="26"/>
      <c r="W1231" s="26"/>
      <c r="X1231" s="26"/>
    </row>
    <row r="1232" spans="1:24">
      <c r="A1232" s="32" t="s">
        <v>31</v>
      </c>
      <c r="B1232" s="32" t="s">
        <v>4871</v>
      </c>
      <c r="C1232" s="32" t="s">
        <v>4872</v>
      </c>
      <c r="D1232" s="32">
        <f t="shared" si="19"/>
        <v>-1</v>
      </c>
      <c r="E1232" s="32" t="s">
        <v>34</v>
      </c>
      <c r="F1232" s="32" t="s">
        <v>4560</v>
      </c>
      <c r="G1232" s="32" t="s">
        <v>4873</v>
      </c>
      <c r="H1232" s="32" t="s">
        <v>37</v>
      </c>
      <c r="I1232" s="32" t="s">
        <v>38</v>
      </c>
      <c r="J1232" s="32" t="s">
        <v>96</v>
      </c>
      <c r="K1232" s="32" t="s">
        <v>97</v>
      </c>
      <c r="L1232" s="32">
        <v>679094.01</v>
      </c>
      <c r="M1232" s="32">
        <v>0</v>
      </c>
      <c r="N1232" s="32">
        <v>0</v>
      </c>
      <c r="O1232" s="32">
        <v>4253273.01</v>
      </c>
      <c r="P1232" s="32" t="s">
        <v>41</v>
      </c>
      <c r="Q1232" s="32" t="s">
        <v>42</v>
      </c>
      <c r="R1232" s="26" t="s">
        <v>43</v>
      </c>
      <c r="S1232" s="26"/>
      <c r="T1232" s="26"/>
      <c r="U1232" s="26"/>
      <c r="V1232" s="26"/>
      <c r="W1232" s="26"/>
      <c r="X1232" s="26"/>
    </row>
    <row r="1233" spans="1:24">
      <c r="A1233" s="34" t="s">
        <v>31</v>
      </c>
      <c r="B1233" s="34" t="s">
        <v>4874</v>
      </c>
      <c r="C1233" s="34" t="s">
        <v>4875</v>
      </c>
      <c r="D1233" s="34">
        <f t="shared" si="19"/>
        <v>-1</v>
      </c>
      <c r="E1233" s="34" t="s">
        <v>34</v>
      </c>
      <c r="F1233" s="34" t="s">
        <v>4560</v>
      </c>
      <c r="G1233" s="34" t="s">
        <v>4876</v>
      </c>
      <c r="H1233" s="34" t="s">
        <v>37</v>
      </c>
      <c r="I1233" s="34" t="s">
        <v>38</v>
      </c>
      <c r="J1233" s="34" t="s">
        <v>96</v>
      </c>
      <c r="K1233" s="34" t="s">
        <v>97</v>
      </c>
      <c r="L1233" s="34">
        <v>679094.01</v>
      </c>
      <c r="M1233" s="34">
        <v>0</v>
      </c>
      <c r="N1233" s="34">
        <v>0</v>
      </c>
      <c r="O1233" s="34">
        <v>4253273.01</v>
      </c>
      <c r="P1233" s="34" t="s">
        <v>41</v>
      </c>
      <c r="Q1233" s="34" t="s">
        <v>42</v>
      </c>
      <c r="R1233" s="26"/>
      <c r="S1233" s="26"/>
      <c r="T1233" s="26" t="s">
        <v>43</v>
      </c>
      <c r="U1233" s="26"/>
      <c r="V1233" s="26"/>
      <c r="W1233" s="26"/>
      <c r="X1233" s="26"/>
    </row>
    <row r="1234" spans="1:24">
      <c r="A1234" s="34" t="s">
        <v>31</v>
      </c>
      <c r="B1234" s="34" t="s">
        <v>4877</v>
      </c>
      <c r="C1234" s="34" t="s">
        <v>4878</v>
      </c>
      <c r="D1234" s="34">
        <f t="shared" si="19"/>
        <v>-1</v>
      </c>
      <c r="E1234" s="34" t="s">
        <v>34</v>
      </c>
      <c r="F1234" s="34" t="s">
        <v>4560</v>
      </c>
      <c r="G1234" s="34" t="s">
        <v>4879</v>
      </c>
      <c r="H1234" s="34" t="s">
        <v>37</v>
      </c>
      <c r="I1234" s="34" t="s">
        <v>38</v>
      </c>
      <c r="J1234" s="34" t="s">
        <v>1027</v>
      </c>
      <c r="K1234" s="34" t="s">
        <v>1028</v>
      </c>
      <c r="L1234" s="34">
        <v>89300</v>
      </c>
      <c r="M1234" s="34">
        <v>0</v>
      </c>
      <c r="N1234" s="34">
        <v>0</v>
      </c>
      <c r="O1234" s="34">
        <v>559300</v>
      </c>
      <c r="P1234" s="34" t="s">
        <v>41</v>
      </c>
      <c r="Q1234" s="34" t="s">
        <v>42</v>
      </c>
      <c r="R1234" s="26"/>
      <c r="S1234" s="26"/>
      <c r="T1234" s="26" t="s">
        <v>628</v>
      </c>
      <c r="U1234" s="26"/>
      <c r="V1234" s="26"/>
      <c r="W1234" s="26"/>
      <c r="X1234" s="26"/>
    </row>
    <row r="1235" spans="1:24">
      <c r="A1235" s="26" t="s">
        <v>31</v>
      </c>
      <c r="B1235" s="26" t="s">
        <v>4880</v>
      </c>
      <c r="C1235" s="26" t="s">
        <v>4881</v>
      </c>
      <c r="D1235" s="26">
        <f t="shared" si="19"/>
        <v>-1</v>
      </c>
      <c r="E1235" s="26" t="s">
        <v>34</v>
      </c>
      <c r="F1235" s="26" t="s">
        <v>4560</v>
      </c>
      <c r="G1235" s="26" t="s">
        <v>4882</v>
      </c>
      <c r="H1235" s="26" t="s">
        <v>37</v>
      </c>
      <c r="I1235" s="26" t="s">
        <v>38</v>
      </c>
      <c r="J1235" s="26" t="s">
        <v>3037</v>
      </c>
      <c r="K1235" s="26" t="s">
        <v>3038</v>
      </c>
      <c r="L1235" s="26">
        <v>40280</v>
      </c>
      <c r="M1235" s="26">
        <v>0</v>
      </c>
      <c r="N1235" s="26">
        <v>0</v>
      </c>
      <c r="O1235" s="26">
        <v>252280</v>
      </c>
      <c r="P1235" s="26" t="s">
        <v>41</v>
      </c>
      <c r="Q1235" s="26" t="s">
        <v>42</v>
      </c>
      <c r="R1235" s="26"/>
      <c r="S1235" s="26"/>
      <c r="T1235" s="26"/>
      <c r="U1235" s="26"/>
      <c r="V1235" s="26" t="s">
        <v>43</v>
      </c>
      <c r="W1235" s="26"/>
      <c r="X1235" s="26"/>
    </row>
    <row r="1236" spans="1:24">
      <c r="A1236" s="26" t="s">
        <v>31</v>
      </c>
      <c r="B1236" s="26" t="s">
        <v>4883</v>
      </c>
      <c r="C1236" s="26" t="s">
        <v>4884</v>
      </c>
      <c r="D1236" s="26">
        <f t="shared" si="19"/>
        <v>-1</v>
      </c>
      <c r="E1236" s="26" t="s">
        <v>34</v>
      </c>
      <c r="F1236" s="26" t="s">
        <v>4560</v>
      </c>
      <c r="G1236" s="26" t="s">
        <v>4885</v>
      </c>
      <c r="H1236" s="26" t="s">
        <v>37</v>
      </c>
      <c r="I1236" s="26" t="s">
        <v>38</v>
      </c>
      <c r="J1236" s="26" t="s">
        <v>4342</v>
      </c>
      <c r="K1236" s="26" t="s">
        <v>4343</v>
      </c>
      <c r="L1236" s="26">
        <v>91200</v>
      </c>
      <c r="M1236" s="26">
        <v>0</v>
      </c>
      <c r="N1236" s="26">
        <v>0</v>
      </c>
      <c r="O1236" s="26">
        <v>571200</v>
      </c>
      <c r="P1236" s="26" t="s">
        <v>41</v>
      </c>
      <c r="Q1236" s="26" t="s">
        <v>42</v>
      </c>
      <c r="R1236" s="26"/>
      <c r="S1236" s="26"/>
      <c r="T1236" s="26"/>
      <c r="U1236" s="26"/>
      <c r="V1236" s="26" t="s">
        <v>43</v>
      </c>
      <c r="W1236" s="26"/>
      <c r="X1236" s="26"/>
    </row>
    <row r="1237" spans="1:24">
      <c r="A1237" s="32" t="s">
        <v>31</v>
      </c>
      <c r="B1237" s="32" t="s">
        <v>4886</v>
      </c>
      <c r="C1237" s="32" t="s">
        <v>4887</v>
      </c>
      <c r="D1237" s="32">
        <f t="shared" si="19"/>
        <v>-1</v>
      </c>
      <c r="E1237" s="32" t="s">
        <v>34</v>
      </c>
      <c r="F1237" s="32" t="s">
        <v>4560</v>
      </c>
      <c r="G1237" s="32" t="s">
        <v>4888</v>
      </c>
      <c r="H1237" s="32" t="s">
        <v>37</v>
      </c>
      <c r="I1237" s="32" t="s">
        <v>38</v>
      </c>
      <c r="J1237" s="32" t="s">
        <v>194</v>
      </c>
      <c r="K1237" s="32" t="s">
        <v>195</v>
      </c>
      <c r="L1237" s="32">
        <v>0</v>
      </c>
      <c r="M1237" s="32">
        <v>0</v>
      </c>
      <c r="N1237" s="32">
        <v>0</v>
      </c>
      <c r="O1237" s="32">
        <v>152666360</v>
      </c>
      <c r="P1237" s="32" t="s">
        <v>41</v>
      </c>
      <c r="Q1237" s="32" t="s">
        <v>42</v>
      </c>
      <c r="R1237" s="26" t="s">
        <v>43</v>
      </c>
      <c r="S1237" s="26"/>
      <c r="T1237" s="26"/>
      <c r="U1237" s="26"/>
      <c r="V1237" s="26"/>
      <c r="W1237" s="26"/>
      <c r="X1237" s="26"/>
    </row>
    <row r="1238" spans="1:24">
      <c r="A1238" s="26" t="s">
        <v>31</v>
      </c>
      <c r="B1238" s="26" t="s">
        <v>4889</v>
      </c>
      <c r="C1238" s="26" t="s">
        <v>4890</v>
      </c>
      <c r="D1238" s="26">
        <f t="shared" si="19"/>
        <v>-1</v>
      </c>
      <c r="E1238" s="26" t="s">
        <v>34</v>
      </c>
      <c r="F1238" s="26" t="s">
        <v>4891</v>
      </c>
      <c r="G1238" s="26" t="s">
        <v>4892</v>
      </c>
      <c r="H1238" s="26" t="s">
        <v>37</v>
      </c>
      <c r="I1238" s="26" t="s">
        <v>38</v>
      </c>
      <c r="J1238" s="26" t="s">
        <v>4893</v>
      </c>
      <c r="K1238" s="26" t="s">
        <v>4894</v>
      </c>
      <c r="L1238" s="26">
        <v>1305837.32</v>
      </c>
      <c r="M1238" s="26">
        <v>0</v>
      </c>
      <c r="N1238" s="26">
        <v>0</v>
      </c>
      <c r="O1238" s="26">
        <v>8214792.3200000003</v>
      </c>
      <c r="P1238" s="26" t="s">
        <v>41</v>
      </c>
      <c r="Q1238" s="26" t="s">
        <v>42</v>
      </c>
      <c r="R1238" s="26"/>
      <c r="S1238" s="26"/>
      <c r="T1238" s="26"/>
      <c r="U1238" s="26"/>
      <c r="V1238" s="26" t="s">
        <v>43</v>
      </c>
      <c r="W1238" s="26"/>
      <c r="X1238" s="26"/>
    </row>
    <row r="1239" spans="1:24">
      <c r="A1239" s="26" t="s">
        <v>31</v>
      </c>
      <c r="B1239" s="26" t="s">
        <v>4895</v>
      </c>
      <c r="C1239" s="26" t="s">
        <v>4896</v>
      </c>
      <c r="D1239" s="26">
        <f t="shared" si="19"/>
        <v>-1</v>
      </c>
      <c r="E1239" s="26" t="s">
        <v>34</v>
      </c>
      <c r="F1239" s="26" t="s">
        <v>4891</v>
      </c>
      <c r="G1239" s="26" t="s">
        <v>4897</v>
      </c>
      <c r="H1239" s="26" t="s">
        <v>37</v>
      </c>
      <c r="I1239" s="26" t="s">
        <v>38</v>
      </c>
      <c r="J1239" s="26" t="s">
        <v>4898</v>
      </c>
      <c r="K1239" s="26" t="s">
        <v>4899</v>
      </c>
      <c r="L1239" s="26">
        <v>347700</v>
      </c>
      <c r="M1239" s="26">
        <v>0</v>
      </c>
      <c r="N1239" s="26">
        <v>0</v>
      </c>
      <c r="O1239" s="26">
        <v>2177700</v>
      </c>
      <c r="P1239" s="26" t="s">
        <v>41</v>
      </c>
      <c r="Q1239" s="26" t="s">
        <v>42</v>
      </c>
      <c r="R1239" s="26"/>
      <c r="S1239" s="26"/>
      <c r="T1239" s="26"/>
      <c r="U1239" s="26"/>
      <c r="V1239" s="26" t="s">
        <v>43</v>
      </c>
      <c r="W1239" s="26"/>
      <c r="X1239" s="26"/>
    </row>
    <row r="1240" spans="1:24">
      <c r="A1240" s="26" t="s">
        <v>31</v>
      </c>
      <c r="B1240" s="26" t="s">
        <v>4900</v>
      </c>
      <c r="C1240" s="26" t="s">
        <v>4901</v>
      </c>
      <c r="D1240" s="26">
        <f t="shared" si="19"/>
        <v>-1</v>
      </c>
      <c r="E1240" s="26" t="s">
        <v>34</v>
      </c>
      <c r="F1240" s="26" t="s">
        <v>4891</v>
      </c>
      <c r="G1240" s="26" t="s">
        <v>4902</v>
      </c>
      <c r="H1240" s="26" t="s">
        <v>37</v>
      </c>
      <c r="I1240" s="26" t="s">
        <v>38</v>
      </c>
      <c r="J1240" s="26" t="s">
        <v>337</v>
      </c>
      <c r="K1240" s="26" t="s">
        <v>338</v>
      </c>
      <c r="L1240" s="26">
        <v>57760</v>
      </c>
      <c r="M1240" s="26">
        <v>0</v>
      </c>
      <c r="N1240" s="26">
        <v>0</v>
      </c>
      <c r="O1240" s="26">
        <v>361760</v>
      </c>
      <c r="P1240" s="26" t="s">
        <v>41</v>
      </c>
      <c r="Q1240" s="26" t="s">
        <v>42</v>
      </c>
      <c r="R1240" s="26"/>
      <c r="S1240" s="26"/>
      <c r="T1240" s="26"/>
      <c r="U1240" s="26"/>
      <c r="V1240" s="26" t="s">
        <v>43</v>
      </c>
      <c r="W1240" s="26"/>
      <c r="X1240" s="26"/>
    </row>
    <row r="1241" spans="1:24">
      <c r="A1241" s="26" t="s">
        <v>31</v>
      </c>
      <c r="B1241" s="26" t="s">
        <v>4903</v>
      </c>
      <c r="C1241" s="26" t="s">
        <v>4904</v>
      </c>
      <c r="D1241" s="26">
        <f t="shared" si="19"/>
        <v>-1</v>
      </c>
      <c r="E1241" s="26" t="s">
        <v>34</v>
      </c>
      <c r="F1241" s="26" t="s">
        <v>4891</v>
      </c>
      <c r="G1241" s="26" t="s">
        <v>4905</v>
      </c>
      <c r="H1241" s="26" t="s">
        <v>37</v>
      </c>
      <c r="I1241" s="26" t="s">
        <v>38</v>
      </c>
      <c r="J1241" s="26" t="s">
        <v>632</v>
      </c>
      <c r="K1241" s="26" t="s">
        <v>633</v>
      </c>
      <c r="L1241" s="26">
        <v>55100</v>
      </c>
      <c r="M1241" s="26">
        <v>0</v>
      </c>
      <c r="N1241" s="26">
        <v>0</v>
      </c>
      <c r="O1241" s="26">
        <v>345100</v>
      </c>
      <c r="P1241" s="26" t="s">
        <v>41</v>
      </c>
      <c r="Q1241" s="26" t="s">
        <v>42</v>
      </c>
      <c r="R1241" s="26"/>
      <c r="S1241" s="26"/>
      <c r="T1241" s="26"/>
      <c r="U1241" s="26"/>
      <c r="V1241" s="26" t="s">
        <v>43</v>
      </c>
      <c r="W1241" s="26"/>
      <c r="X1241" s="26"/>
    </row>
    <row r="1242" spans="1:24">
      <c r="A1242" s="32" t="s">
        <v>31</v>
      </c>
      <c r="B1242" s="32" t="s">
        <v>4906</v>
      </c>
      <c r="C1242" s="32" t="s">
        <v>4907</v>
      </c>
      <c r="D1242" s="32">
        <f t="shared" si="19"/>
        <v>-1</v>
      </c>
      <c r="E1242" s="32" t="s">
        <v>34</v>
      </c>
      <c r="F1242" s="32" t="s">
        <v>4891</v>
      </c>
      <c r="G1242" s="32" t="s">
        <v>4908</v>
      </c>
      <c r="H1242" s="32" t="s">
        <v>37</v>
      </c>
      <c r="I1242" s="32" t="s">
        <v>38</v>
      </c>
      <c r="J1242" s="32" t="s">
        <v>126</v>
      </c>
      <c r="K1242" s="32" t="s">
        <v>127</v>
      </c>
      <c r="L1242" s="32">
        <v>245161.18</v>
      </c>
      <c r="M1242" s="32">
        <v>0</v>
      </c>
      <c r="N1242" s="32">
        <v>0</v>
      </c>
      <c r="O1242" s="32">
        <v>1535483.18</v>
      </c>
      <c r="P1242" s="32" t="s">
        <v>41</v>
      </c>
      <c r="Q1242" s="32" t="s">
        <v>42</v>
      </c>
      <c r="R1242" s="26" t="s">
        <v>43</v>
      </c>
      <c r="S1242" s="26"/>
      <c r="T1242" s="26"/>
      <c r="U1242" s="26"/>
      <c r="V1242" s="26"/>
      <c r="W1242" s="26"/>
      <c r="X1242" s="26"/>
    </row>
    <row r="1243" spans="1:24">
      <c r="A1243" s="32" t="s">
        <v>31</v>
      </c>
      <c r="B1243" s="32" t="s">
        <v>4909</v>
      </c>
      <c r="C1243" s="32" t="s">
        <v>4910</v>
      </c>
      <c r="D1243" s="32">
        <f t="shared" si="19"/>
        <v>-1</v>
      </c>
      <c r="E1243" s="32" t="s">
        <v>34</v>
      </c>
      <c r="F1243" s="32" t="s">
        <v>4891</v>
      </c>
      <c r="G1243" s="32" t="s">
        <v>4911</v>
      </c>
      <c r="H1243" s="32" t="s">
        <v>37</v>
      </c>
      <c r="I1243" s="32" t="s">
        <v>38</v>
      </c>
      <c r="J1243" s="32" t="s">
        <v>1242</v>
      </c>
      <c r="K1243" s="32" t="s">
        <v>1243</v>
      </c>
      <c r="L1243" s="32">
        <v>19894.14</v>
      </c>
      <c r="M1243" s="32">
        <v>0</v>
      </c>
      <c r="N1243" s="32">
        <v>0</v>
      </c>
      <c r="O1243" s="32">
        <v>124600.14</v>
      </c>
      <c r="P1243" s="32" t="s">
        <v>41</v>
      </c>
      <c r="Q1243" s="32" t="s">
        <v>42</v>
      </c>
      <c r="R1243" s="26" t="s">
        <v>43</v>
      </c>
      <c r="S1243" s="26"/>
      <c r="T1243" s="26"/>
      <c r="U1243" s="26"/>
      <c r="V1243" s="26"/>
      <c r="W1243" s="26"/>
      <c r="X1243" s="26"/>
    </row>
    <row r="1244" spans="1:24">
      <c r="A1244" s="32" t="s">
        <v>31</v>
      </c>
      <c r="B1244" s="32" t="s">
        <v>4912</v>
      </c>
      <c r="C1244" s="32" t="s">
        <v>4913</v>
      </c>
      <c r="D1244" s="32">
        <f t="shared" si="19"/>
        <v>-1</v>
      </c>
      <c r="E1244" s="32" t="s">
        <v>34</v>
      </c>
      <c r="F1244" s="32" t="s">
        <v>4891</v>
      </c>
      <c r="G1244" s="32" t="s">
        <v>4914</v>
      </c>
      <c r="H1244" s="32" t="s">
        <v>37</v>
      </c>
      <c r="I1244" s="32" t="s">
        <v>38</v>
      </c>
      <c r="J1244" s="32" t="s">
        <v>126</v>
      </c>
      <c r="K1244" s="32" t="s">
        <v>127</v>
      </c>
      <c r="L1244" s="32">
        <v>4024311.91</v>
      </c>
      <c r="M1244" s="32">
        <v>0</v>
      </c>
      <c r="N1244" s="32">
        <v>0</v>
      </c>
      <c r="O1244" s="32">
        <v>25204900.91</v>
      </c>
      <c r="P1244" s="32" t="s">
        <v>41</v>
      </c>
      <c r="Q1244" s="32" t="s">
        <v>42</v>
      </c>
      <c r="R1244" s="26" t="s">
        <v>43</v>
      </c>
      <c r="S1244" s="26"/>
      <c r="T1244" s="26"/>
      <c r="U1244" s="26"/>
      <c r="V1244" s="26"/>
      <c r="W1244" s="26"/>
      <c r="X1244" s="26"/>
    </row>
    <row r="1245" spans="1:24">
      <c r="A1245" s="32" t="s">
        <v>31</v>
      </c>
      <c r="B1245" s="32" t="s">
        <v>4915</v>
      </c>
      <c r="C1245" s="32" t="s">
        <v>4916</v>
      </c>
      <c r="D1245" s="32">
        <f t="shared" si="19"/>
        <v>-1</v>
      </c>
      <c r="E1245" s="32" t="s">
        <v>34</v>
      </c>
      <c r="F1245" s="32" t="s">
        <v>4891</v>
      </c>
      <c r="G1245" s="32" t="s">
        <v>4917</v>
      </c>
      <c r="H1245" s="32" t="s">
        <v>37</v>
      </c>
      <c r="I1245" s="32" t="s">
        <v>38</v>
      </c>
      <c r="J1245" s="32" t="s">
        <v>2884</v>
      </c>
      <c r="K1245" s="32" t="s">
        <v>2885</v>
      </c>
      <c r="L1245" s="32">
        <v>0</v>
      </c>
      <c r="M1245" s="32">
        <v>0</v>
      </c>
      <c r="N1245" s="32">
        <v>0</v>
      </c>
      <c r="O1245" s="32">
        <v>1088448</v>
      </c>
      <c r="P1245" s="32" t="s">
        <v>41</v>
      </c>
      <c r="Q1245" s="32" t="s">
        <v>42</v>
      </c>
      <c r="R1245" s="26" t="s">
        <v>43</v>
      </c>
      <c r="S1245" s="26"/>
      <c r="T1245" s="26"/>
      <c r="U1245" s="26"/>
      <c r="V1245" s="26"/>
      <c r="W1245" s="26"/>
      <c r="X1245" s="26"/>
    </row>
    <row r="1246" spans="1:24">
      <c r="A1246" s="26" t="s">
        <v>31</v>
      </c>
      <c r="B1246" s="26" t="s">
        <v>4918</v>
      </c>
      <c r="C1246" s="26" t="s">
        <v>4919</v>
      </c>
      <c r="D1246" s="26">
        <f t="shared" si="19"/>
        <v>-1</v>
      </c>
      <c r="E1246" s="26" t="s">
        <v>34</v>
      </c>
      <c r="F1246" s="26" t="s">
        <v>4891</v>
      </c>
      <c r="G1246" s="26" t="s">
        <v>4920</v>
      </c>
      <c r="H1246" s="26" t="s">
        <v>37</v>
      </c>
      <c r="I1246" s="26" t="s">
        <v>38</v>
      </c>
      <c r="J1246" s="26" t="s">
        <v>2326</v>
      </c>
      <c r="K1246" s="26" t="s">
        <v>2327</v>
      </c>
      <c r="L1246" s="26">
        <v>19697.11</v>
      </c>
      <c r="M1246" s="26">
        <v>0</v>
      </c>
      <c r="N1246" s="26">
        <v>0</v>
      </c>
      <c r="O1246" s="26">
        <v>123366.11</v>
      </c>
      <c r="P1246" s="26" t="s">
        <v>41</v>
      </c>
      <c r="Q1246" s="26" t="s">
        <v>42</v>
      </c>
      <c r="R1246" s="26"/>
      <c r="S1246" s="26"/>
      <c r="T1246" s="26"/>
      <c r="U1246" s="26"/>
      <c r="V1246" s="26" t="s">
        <v>43</v>
      </c>
      <c r="W1246" s="26"/>
      <c r="X1246" s="26"/>
    </row>
    <row r="1247" spans="1:24">
      <c r="A1247" s="26" t="s">
        <v>31</v>
      </c>
      <c r="B1247" s="26" t="s">
        <v>4921</v>
      </c>
      <c r="C1247" s="26" t="s">
        <v>4922</v>
      </c>
      <c r="D1247" s="26">
        <f t="shared" si="19"/>
        <v>-1</v>
      </c>
      <c r="E1247" s="26" t="s">
        <v>34</v>
      </c>
      <c r="F1247" s="26" t="s">
        <v>4891</v>
      </c>
      <c r="G1247" s="26" t="s">
        <v>4923</v>
      </c>
      <c r="H1247" s="26" t="s">
        <v>37</v>
      </c>
      <c r="I1247" s="26" t="s">
        <v>38</v>
      </c>
      <c r="J1247" s="26" t="s">
        <v>2279</v>
      </c>
      <c r="K1247" s="26" t="s">
        <v>2280</v>
      </c>
      <c r="L1247" s="26">
        <v>342371.44</v>
      </c>
      <c r="M1247" s="26">
        <v>0</v>
      </c>
      <c r="N1247" s="26">
        <v>0</v>
      </c>
      <c r="O1247" s="26">
        <v>2653643.44</v>
      </c>
      <c r="P1247" s="26" t="s">
        <v>41</v>
      </c>
      <c r="Q1247" s="26" t="s">
        <v>42</v>
      </c>
      <c r="R1247" s="26"/>
      <c r="S1247" s="26"/>
      <c r="T1247" s="26"/>
      <c r="U1247" s="26"/>
      <c r="V1247" s="26" t="s">
        <v>43</v>
      </c>
      <c r="W1247" s="26"/>
      <c r="X1247" s="26"/>
    </row>
    <row r="1248" spans="1:24">
      <c r="A1248" s="26" t="s">
        <v>31</v>
      </c>
      <c r="B1248" s="26" t="s">
        <v>4924</v>
      </c>
      <c r="C1248" s="26" t="s">
        <v>4925</v>
      </c>
      <c r="D1248" s="26">
        <f t="shared" si="19"/>
        <v>-1</v>
      </c>
      <c r="E1248" s="26" t="s">
        <v>34</v>
      </c>
      <c r="F1248" s="26" t="s">
        <v>4891</v>
      </c>
      <c r="G1248" s="26" t="s">
        <v>4926</v>
      </c>
      <c r="H1248" s="26" t="s">
        <v>37</v>
      </c>
      <c r="I1248" s="26" t="s">
        <v>38</v>
      </c>
      <c r="J1248" s="26" t="s">
        <v>2279</v>
      </c>
      <c r="K1248" s="26" t="s">
        <v>2280</v>
      </c>
      <c r="L1248" s="26">
        <v>2269021.04</v>
      </c>
      <c r="M1248" s="26">
        <v>0</v>
      </c>
      <c r="N1248" s="26">
        <v>0</v>
      </c>
      <c r="O1248" s="26">
        <v>14211237.039999999</v>
      </c>
      <c r="P1248" s="26" t="s">
        <v>41</v>
      </c>
      <c r="Q1248" s="26" t="s">
        <v>42</v>
      </c>
      <c r="R1248" s="26"/>
      <c r="S1248" s="26"/>
      <c r="T1248" s="26"/>
      <c r="U1248" s="26"/>
      <c r="V1248" s="26" t="s">
        <v>43</v>
      </c>
      <c r="W1248" s="26"/>
      <c r="X1248" s="26"/>
    </row>
    <row r="1249" spans="1:24">
      <c r="A1249" s="34" t="s">
        <v>31</v>
      </c>
      <c r="B1249" s="34" t="s">
        <v>4927</v>
      </c>
      <c r="C1249" s="34" t="s">
        <v>4928</v>
      </c>
      <c r="D1249" s="34">
        <f t="shared" si="19"/>
        <v>-1</v>
      </c>
      <c r="E1249" s="34" t="s">
        <v>34</v>
      </c>
      <c r="F1249" s="34" t="s">
        <v>4891</v>
      </c>
      <c r="G1249" s="34" t="s">
        <v>4929</v>
      </c>
      <c r="H1249" s="34" t="s">
        <v>37</v>
      </c>
      <c r="I1249" s="34" t="s">
        <v>38</v>
      </c>
      <c r="J1249" s="34" t="s">
        <v>4930</v>
      </c>
      <c r="K1249" s="34" t="s">
        <v>4931</v>
      </c>
      <c r="L1249" s="34">
        <v>81829.2</v>
      </c>
      <c r="M1249" s="34">
        <v>0</v>
      </c>
      <c r="N1249" s="34">
        <v>0</v>
      </c>
      <c r="O1249" s="34">
        <v>512509.2</v>
      </c>
      <c r="P1249" s="34" t="s">
        <v>41</v>
      </c>
      <c r="Q1249" s="34" t="s">
        <v>42</v>
      </c>
      <c r="R1249" s="26"/>
      <c r="S1249" s="26"/>
      <c r="T1249" s="26" t="s">
        <v>628</v>
      </c>
      <c r="U1249" s="26"/>
      <c r="V1249" s="26"/>
      <c r="W1249" s="26"/>
      <c r="X1249" s="26"/>
    </row>
    <row r="1250" spans="1:24">
      <c r="A1250" s="33" t="s">
        <v>31</v>
      </c>
      <c r="B1250" s="33" t="s">
        <v>4932</v>
      </c>
      <c r="C1250" s="33" t="s">
        <v>4933</v>
      </c>
      <c r="D1250" s="33">
        <f t="shared" si="19"/>
        <v>-1</v>
      </c>
      <c r="E1250" s="33" t="s">
        <v>34</v>
      </c>
      <c r="F1250" s="33" t="s">
        <v>4891</v>
      </c>
      <c r="G1250" s="33" t="s">
        <v>4934</v>
      </c>
      <c r="H1250" s="33" t="s">
        <v>37</v>
      </c>
      <c r="I1250" s="33" t="s">
        <v>38</v>
      </c>
      <c r="J1250" s="33" t="s">
        <v>4780</v>
      </c>
      <c r="K1250" s="33" t="s">
        <v>4781</v>
      </c>
      <c r="L1250" s="33">
        <v>50646.400000000001</v>
      </c>
      <c r="M1250" s="33">
        <v>0</v>
      </c>
      <c r="N1250" s="33">
        <v>0</v>
      </c>
      <c r="O1250" s="33">
        <v>317206.40000000002</v>
      </c>
      <c r="P1250" s="33" t="s">
        <v>41</v>
      </c>
      <c r="Q1250" s="33" t="s">
        <v>42</v>
      </c>
      <c r="R1250" s="26"/>
      <c r="S1250" s="26" t="s">
        <v>43</v>
      </c>
      <c r="T1250" s="26"/>
      <c r="U1250" s="26"/>
      <c r="V1250" s="26"/>
      <c r="W1250" s="26"/>
      <c r="X1250" s="26"/>
    </row>
    <row r="1251" spans="1:24">
      <c r="A1251" s="26" t="s">
        <v>31</v>
      </c>
      <c r="B1251" s="26" t="s">
        <v>4935</v>
      </c>
      <c r="C1251" s="26" t="s">
        <v>4936</v>
      </c>
      <c r="D1251" s="26">
        <f t="shared" si="19"/>
        <v>-1</v>
      </c>
      <c r="E1251" s="26" t="s">
        <v>34</v>
      </c>
      <c r="F1251" s="26" t="s">
        <v>4891</v>
      </c>
      <c r="G1251" s="26" t="s">
        <v>4937</v>
      </c>
      <c r="H1251" s="26" t="s">
        <v>37</v>
      </c>
      <c r="I1251" s="26" t="s">
        <v>38</v>
      </c>
      <c r="J1251" s="26" t="s">
        <v>4938</v>
      </c>
      <c r="K1251" s="26" t="s">
        <v>4939</v>
      </c>
      <c r="L1251" s="26">
        <v>51765.5</v>
      </c>
      <c r="M1251" s="26">
        <v>0</v>
      </c>
      <c r="N1251" s="26">
        <v>0</v>
      </c>
      <c r="O1251" s="26">
        <v>324215.5</v>
      </c>
      <c r="P1251" s="26" t="s">
        <v>41</v>
      </c>
      <c r="Q1251" s="26" t="s">
        <v>42</v>
      </c>
      <c r="R1251" s="26"/>
      <c r="S1251" s="26"/>
      <c r="T1251" s="26"/>
      <c r="U1251" s="26"/>
      <c r="V1251" s="26" t="s">
        <v>43</v>
      </c>
      <c r="W1251" s="26"/>
      <c r="X1251" s="26"/>
    </row>
    <row r="1252" spans="1:24">
      <c r="A1252" s="26" t="s">
        <v>31</v>
      </c>
      <c r="B1252" s="26" t="s">
        <v>4940</v>
      </c>
      <c r="C1252" s="26" t="s">
        <v>4941</v>
      </c>
      <c r="D1252" s="26">
        <f t="shared" si="19"/>
        <v>-1</v>
      </c>
      <c r="E1252" s="26" t="s">
        <v>34</v>
      </c>
      <c r="F1252" s="26" t="s">
        <v>4891</v>
      </c>
      <c r="G1252" s="26" t="s">
        <v>4942</v>
      </c>
      <c r="H1252" s="26" t="s">
        <v>37</v>
      </c>
      <c r="I1252" s="26" t="s">
        <v>38</v>
      </c>
      <c r="J1252" s="26" t="s">
        <v>2959</v>
      </c>
      <c r="K1252" s="26" t="s">
        <v>2960</v>
      </c>
      <c r="L1252" s="26">
        <v>2642718.7400000002</v>
      </c>
      <c r="M1252" s="26">
        <v>0</v>
      </c>
      <c r="N1252" s="26">
        <v>0</v>
      </c>
      <c r="O1252" s="26">
        <v>16551764.74</v>
      </c>
      <c r="P1252" s="26" t="s">
        <v>41</v>
      </c>
      <c r="Q1252" s="26" t="s">
        <v>42</v>
      </c>
      <c r="R1252" s="26"/>
      <c r="S1252" s="26"/>
      <c r="T1252" s="26"/>
      <c r="U1252" s="26"/>
      <c r="V1252" s="26" t="s">
        <v>43</v>
      </c>
      <c r="W1252" s="26"/>
      <c r="X1252" s="26"/>
    </row>
    <row r="1253" spans="1:24">
      <c r="A1253" s="35" t="s">
        <v>31</v>
      </c>
      <c r="B1253" s="35" t="s">
        <v>4943</v>
      </c>
      <c r="C1253" s="35" t="s">
        <v>4944</v>
      </c>
      <c r="D1253" s="35">
        <f t="shared" si="19"/>
        <v>-1</v>
      </c>
      <c r="E1253" s="35" t="s">
        <v>34</v>
      </c>
      <c r="F1253" s="35" t="s">
        <v>4891</v>
      </c>
      <c r="G1253" s="35" t="s">
        <v>4945</v>
      </c>
      <c r="H1253" s="35" t="s">
        <v>37</v>
      </c>
      <c r="I1253" s="35" t="s">
        <v>38</v>
      </c>
      <c r="J1253" s="35" t="s">
        <v>4946</v>
      </c>
      <c r="K1253" s="35" t="s">
        <v>4947</v>
      </c>
      <c r="L1253" s="35">
        <v>20233736.879999999</v>
      </c>
      <c r="M1253" s="35">
        <v>0</v>
      </c>
      <c r="N1253" s="35">
        <v>0</v>
      </c>
      <c r="O1253" s="35">
        <v>126727088.88</v>
      </c>
      <c r="P1253" s="35" t="s">
        <v>41</v>
      </c>
      <c r="Q1253" s="35" t="s">
        <v>42</v>
      </c>
      <c r="R1253" s="26"/>
      <c r="S1253" s="26"/>
      <c r="T1253" s="26"/>
      <c r="U1253" s="26"/>
      <c r="V1253" s="26"/>
      <c r="W1253" s="35" t="s">
        <v>43</v>
      </c>
      <c r="X1253" s="26" t="s">
        <v>1377</v>
      </c>
    </row>
    <row r="1254" spans="1:24">
      <c r="A1254" s="26" t="s">
        <v>31</v>
      </c>
      <c r="B1254" s="26" t="s">
        <v>4948</v>
      </c>
      <c r="C1254" s="26" t="s">
        <v>4949</v>
      </c>
      <c r="D1254" s="26">
        <f t="shared" si="19"/>
        <v>-1</v>
      </c>
      <c r="E1254" s="26" t="s">
        <v>34</v>
      </c>
      <c r="F1254" s="26" t="s">
        <v>4891</v>
      </c>
      <c r="G1254" s="26" t="s">
        <v>4950</v>
      </c>
      <c r="H1254" s="26" t="s">
        <v>37</v>
      </c>
      <c r="I1254" s="26" t="s">
        <v>38</v>
      </c>
      <c r="J1254" s="26" t="s">
        <v>632</v>
      </c>
      <c r="K1254" s="26" t="s">
        <v>633</v>
      </c>
      <c r="L1254" s="26">
        <v>559802</v>
      </c>
      <c r="M1254" s="26">
        <v>0</v>
      </c>
      <c r="N1254" s="26">
        <v>0</v>
      </c>
      <c r="O1254" s="26">
        <v>4304902</v>
      </c>
      <c r="P1254" s="26" t="s">
        <v>41</v>
      </c>
      <c r="Q1254" s="26" t="s">
        <v>42</v>
      </c>
      <c r="R1254" s="26"/>
      <c r="S1254" s="26"/>
      <c r="T1254" s="26"/>
      <c r="U1254" s="26"/>
      <c r="V1254" s="26" t="s">
        <v>43</v>
      </c>
      <c r="W1254" s="26"/>
      <c r="X1254" s="26"/>
    </row>
    <row r="1255" spans="1:24">
      <c r="A1255" s="26" t="s">
        <v>31</v>
      </c>
      <c r="B1255" s="26" t="s">
        <v>4951</v>
      </c>
      <c r="C1255" s="26" t="s">
        <v>4952</v>
      </c>
      <c r="D1255" s="26">
        <f t="shared" si="19"/>
        <v>-1</v>
      </c>
      <c r="E1255" s="26" t="s">
        <v>34</v>
      </c>
      <c r="F1255" s="26" t="s">
        <v>4891</v>
      </c>
      <c r="G1255" s="26" t="s">
        <v>4953</v>
      </c>
      <c r="H1255" s="26" t="s">
        <v>37</v>
      </c>
      <c r="I1255" s="26" t="s">
        <v>38</v>
      </c>
      <c r="J1255" s="26" t="s">
        <v>184</v>
      </c>
      <c r="K1255" s="26" t="s">
        <v>185</v>
      </c>
      <c r="L1255" s="26">
        <v>818053.36</v>
      </c>
      <c r="M1255" s="26">
        <v>0</v>
      </c>
      <c r="N1255" s="26">
        <v>0</v>
      </c>
      <c r="O1255" s="26">
        <v>9485493.3599999994</v>
      </c>
      <c r="P1255" s="26" t="s">
        <v>41</v>
      </c>
      <c r="Q1255" s="26" t="s">
        <v>42</v>
      </c>
      <c r="R1255" s="26"/>
      <c r="S1255" s="26"/>
      <c r="T1255" s="26"/>
      <c r="U1255" s="26"/>
      <c r="V1255" s="26" t="s">
        <v>43</v>
      </c>
      <c r="W1255" s="26"/>
      <c r="X1255" s="26"/>
    </row>
    <row r="1256" spans="1:24">
      <c r="A1256" s="26" t="s">
        <v>31</v>
      </c>
      <c r="B1256" s="26" t="s">
        <v>4954</v>
      </c>
      <c r="C1256" s="26" t="s">
        <v>4955</v>
      </c>
      <c r="D1256" s="26">
        <f t="shared" si="19"/>
        <v>-1</v>
      </c>
      <c r="E1256" s="26" t="s">
        <v>34</v>
      </c>
      <c r="F1256" s="26" t="s">
        <v>4891</v>
      </c>
      <c r="G1256" s="26" t="s">
        <v>4956</v>
      </c>
      <c r="H1256" s="26" t="s">
        <v>37</v>
      </c>
      <c r="I1256" s="26" t="s">
        <v>38</v>
      </c>
      <c r="J1256" s="26" t="s">
        <v>4957</v>
      </c>
      <c r="K1256" s="26" t="s">
        <v>4958</v>
      </c>
      <c r="L1256" s="26">
        <v>36364.300000000003</v>
      </c>
      <c r="M1256" s="26">
        <v>0</v>
      </c>
      <c r="N1256" s="26">
        <v>0</v>
      </c>
      <c r="O1256" s="26">
        <v>475334.3</v>
      </c>
      <c r="P1256" s="26" t="s">
        <v>41</v>
      </c>
      <c r="Q1256" s="26" t="s">
        <v>42</v>
      </c>
      <c r="R1256" s="26"/>
      <c r="S1256" s="26"/>
      <c r="T1256" s="26"/>
      <c r="U1256" s="26"/>
      <c r="V1256" s="26" t="s">
        <v>43</v>
      </c>
      <c r="W1256" s="26"/>
      <c r="X1256" s="26"/>
    </row>
    <row r="1257" spans="1:24">
      <c r="A1257" s="26" t="s">
        <v>31</v>
      </c>
      <c r="B1257" s="26" t="s">
        <v>4959</v>
      </c>
      <c r="C1257" s="26" t="s">
        <v>4960</v>
      </c>
      <c r="D1257" s="26">
        <f t="shared" si="19"/>
        <v>-1</v>
      </c>
      <c r="E1257" s="26" t="s">
        <v>34</v>
      </c>
      <c r="F1257" s="26" t="s">
        <v>4891</v>
      </c>
      <c r="G1257" s="26" t="s">
        <v>4961</v>
      </c>
      <c r="H1257" s="26" t="s">
        <v>37</v>
      </c>
      <c r="I1257" s="26" t="s">
        <v>38</v>
      </c>
      <c r="J1257" s="26" t="s">
        <v>729</v>
      </c>
      <c r="K1257" s="26" t="s">
        <v>730</v>
      </c>
      <c r="L1257" s="26">
        <v>49020</v>
      </c>
      <c r="M1257" s="26">
        <v>0</v>
      </c>
      <c r="N1257" s="26">
        <v>0</v>
      </c>
      <c r="O1257" s="26">
        <v>307020</v>
      </c>
      <c r="P1257" s="26" t="s">
        <v>41</v>
      </c>
      <c r="Q1257" s="26" t="s">
        <v>42</v>
      </c>
      <c r="R1257" s="26"/>
      <c r="S1257" s="26"/>
      <c r="T1257" s="26"/>
      <c r="U1257" s="26"/>
      <c r="V1257" s="26" t="s">
        <v>43</v>
      </c>
      <c r="W1257" s="26"/>
      <c r="X1257" s="26"/>
    </row>
    <row r="1258" spans="1:24">
      <c r="A1258" s="26" t="s">
        <v>31</v>
      </c>
      <c r="B1258" s="26" t="s">
        <v>4962</v>
      </c>
      <c r="C1258" s="26" t="s">
        <v>4963</v>
      </c>
      <c r="D1258" s="26">
        <f t="shared" si="19"/>
        <v>-1</v>
      </c>
      <c r="E1258" s="26" t="s">
        <v>34</v>
      </c>
      <c r="F1258" s="26" t="s">
        <v>4891</v>
      </c>
      <c r="G1258" s="26" t="s">
        <v>4964</v>
      </c>
      <c r="H1258" s="26" t="s">
        <v>37</v>
      </c>
      <c r="I1258" s="26" t="s">
        <v>38</v>
      </c>
      <c r="J1258" s="26" t="s">
        <v>3944</v>
      </c>
      <c r="K1258" s="26" t="s">
        <v>3945</v>
      </c>
      <c r="L1258" s="26">
        <v>1102927.2</v>
      </c>
      <c r="M1258" s="26">
        <v>0</v>
      </c>
      <c r="N1258" s="26">
        <v>0</v>
      </c>
      <c r="O1258" s="26">
        <v>6907807.2000000002</v>
      </c>
      <c r="P1258" s="26" t="s">
        <v>41</v>
      </c>
      <c r="Q1258" s="26" t="s">
        <v>42</v>
      </c>
      <c r="R1258" s="26"/>
      <c r="S1258" s="26"/>
      <c r="T1258" s="26"/>
      <c r="U1258" s="26"/>
      <c r="V1258" s="26" t="s">
        <v>43</v>
      </c>
      <c r="W1258" s="26"/>
      <c r="X1258" s="26"/>
    </row>
    <row r="1259" spans="1:24">
      <c r="A1259" s="26" t="s">
        <v>31</v>
      </c>
      <c r="B1259" s="26" t="s">
        <v>4965</v>
      </c>
      <c r="C1259" s="26" t="s">
        <v>4966</v>
      </c>
      <c r="D1259" s="26">
        <f t="shared" si="19"/>
        <v>-1</v>
      </c>
      <c r="E1259" s="26" t="s">
        <v>34</v>
      </c>
      <c r="F1259" s="26" t="s">
        <v>4891</v>
      </c>
      <c r="G1259" s="26" t="s">
        <v>4967</v>
      </c>
      <c r="H1259" s="26" t="s">
        <v>37</v>
      </c>
      <c r="I1259" s="26" t="s">
        <v>38</v>
      </c>
      <c r="J1259" s="26" t="s">
        <v>3092</v>
      </c>
      <c r="K1259" s="26" t="s">
        <v>3093</v>
      </c>
      <c r="L1259" s="26">
        <v>771090.67</v>
      </c>
      <c r="M1259" s="26">
        <v>0</v>
      </c>
      <c r="N1259" s="26">
        <v>0</v>
      </c>
      <c r="O1259" s="26">
        <v>5116703.67</v>
      </c>
      <c r="P1259" s="26" t="s">
        <v>41</v>
      </c>
      <c r="Q1259" s="26" t="s">
        <v>42</v>
      </c>
      <c r="R1259" s="26"/>
      <c r="S1259" s="26"/>
      <c r="T1259" s="26"/>
      <c r="U1259" s="26"/>
      <c r="V1259" s="26" t="s">
        <v>43</v>
      </c>
      <c r="W1259" s="26"/>
      <c r="X1259" s="26"/>
    </row>
    <row r="1260" spans="1:24">
      <c r="A1260" s="32" t="s">
        <v>31</v>
      </c>
      <c r="B1260" s="32" t="s">
        <v>4968</v>
      </c>
      <c r="C1260" s="32" t="s">
        <v>4969</v>
      </c>
      <c r="D1260" s="32">
        <f t="shared" si="19"/>
        <v>-1</v>
      </c>
      <c r="E1260" s="32" t="s">
        <v>34</v>
      </c>
      <c r="F1260" s="32" t="s">
        <v>4891</v>
      </c>
      <c r="G1260" s="32" t="s">
        <v>4967</v>
      </c>
      <c r="H1260" s="32" t="s">
        <v>37</v>
      </c>
      <c r="I1260" s="32" t="s">
        <v>38</v>
      </c>
      <c r="J1260" s="32" t="s">
        <v>1937</v>
      </c>
      <c r="K1260" s="32" t="s">
        <v>1938</v>
      </c>
      <c r="L1260" s="32">
        <v>22363.95</v>
      </c>
      <c r="M1260" s="32">
        <v>0</v>
      </c>
      <c r="N1260" s="32">
        <v>0</v>
      </c>
      <c r="O1260" s="32">
        <v>140068.95000000001</v>
      </c>
      <c r="P1260" s="32" t="s">
        <v>41</v>
      </c>
      <c r="Q1260" s="32" t="s">
        <v>42</v>
      </c>
      <c r="R1260" s="26" t="s">
        <v>43</v>
      </c>
      <c r="S1260" s="26"/>
      <c r="T1260" s="26"/>
      <c r="U1260" s="26"/>
      <c r="V1260" s="26"/>
      <c r="W1260" s="26"/>
      <c r="X1260" s="26"/>
    </row>
    <row r="1261" spans="1:24">
      <c r="A1261" s="32" t="s">
        <v>31</v>
      </c>
      <c r="B1261" s="32" t="s">
        <v>4970</v>
      </c>
      <c r="C1261" s="32" t="s">
        <v>4971</v>
      </c>
      <c r="D1261" s="32">
        <f t="shared" si="19"/>
        <v>-1</v>
      </c>
      <c r="E1261" s="32" t="s">
        <v>34</v>
      </c>
      <c r="F1261" s="32" t="s">
        <v>4891</v>
      </c>
      <c r="G1261" s="32" t="s">
        <v>4967</v>
      </c>
      <c r="H1261" s="32" t="s">
        <v>37</v>
      </c>
      <c r="I1261" s="32" t="s">
        <v>38</v>
      </c>
      <c r="J1261" s="32" t="s">
        <v>1937</v>
      </c>
      <c r="K1261" s="32" t="s">
        <v>1938</v>
      </c>
      <c r="L1261" s="32">
        <v>5320</v>
      </c>
      <c r="M1261" s="32">
        <v>0</v>
      </c>
      <c r="N1261" s="32">
        <v>0</v>
      </c>
      <c r="O1261" s="32">
        <v>33320</v>
      </c>
      <c r="P1261" s="32" t="s">
        <v>41</v>
      </c>
      <c r="Q1261" s="32" t="s">
        <v>42</v>
      </c>
      <c r="R1261" s="26" t="s">
        <v>43</v>
      </c>
      <c r="S1261" s="26"/>
      <c r="T1261" s="26"/>
      <c r="U1261" s="26"/>
      <c r="V1261" s="26"/>
      <c r="W1261" s="26"/>
      <c r="X1261" s="26"/>
    </row>
    <row r="1262" spans="1:24">
      <c r="A1262" s="32" t="s">
        <v>31</v>
      </c>
      <c r="B1262" s="32" t="s">
        <v>4972</v>
      </c>
      <c r="C1262" s="32" t="s">
        <v>4973</v>
      </c>
      <c r="D1262" s="32">
        <f t="shared" si="19"/>
        <v>-1</v>
      </c>
      <c r="E1262" s="32" t="s">
        <v>34</v>
      </c>
      <c r="F1262" s="32" t="s">
        <v>4891</v>
      </c>
      <c r="G1262" s="32" t="s">
        <v>4967</v>
      </c>
      <c r="H1262" s="32" t="s">
        <v>37</v>
      </c>
      <c r="I1262" s="32" t="s">
        <v>38</v>
      </c>
      <c r="J1262" s="32" t="s">
        <v>1869</v>
      </c>
      <c r="K1262" s="32" t="s">
        <v>1870</v>
      </c>
      <c r="L1262" s="32">
        <v>145967.5</v>
      </c>
      <c r="M1262" s="32">
        <v>0</v>
      </c>
      <c r="N1262" s="32">
        <v>0</v>
      </c>
      <c r="O1262" s="32">
        <v>914217.5</v>
      </c>
      <c r="P1262" s="32" t="s">
        <v>41</v>
      </c>
      <c r="Q1262" s="32" t="s">
        <v>42</v>
      </c>
      <c r="R1262" s="26" t="s">
        <v>43</v>
      </c>
      <c r="S1262" s="26"/>
      <c r="T1262" s="26"/>
      <c r="U1262" s="26"/>
      <c r="V1262" s="26"/>
      <c r="W1262" s="26"/>
      <c r="X1262" s="26"/>
    </row>
    <row r="1263" spans="1:24">
      <c r="A1263" s="26" t="s">
        <v>31</v>
      </c>
      <c r="B1263" s="26" t="s">
        <v>4974</v>
      </c>
      <c r="C1263" s="26" t="s">
        <v>4975</v>
      </c>
      <c r="D1263" s="26">
        <f t="shared" si="19"/>
        <v>-1</v>
      </c>
      <c r="E1263" s="26" t="s">
        <v>34</v>
      </c>
      <c r="F1263" s="26" t="s">
        <v>4891</v>
      </c>
      <c r="G1263" s="26" t="s">
        <v>4976</v>
      </c>
      <c r="H1263" s="26" t="s">
        <v>37</v>
      </c>
      <c r="I1263" s="26" t="s">
        <v>38</v>
      </c>
      <c r="J1263" s="26" t="s">
        <v>4977</v>
      </c>
      <c r="K1263" s="26" t="s">
        <v>4978</v>
      </c>
      <c r="L1263" s="26">
        <v>33402</v>
      </c>
      <c r="M1263" s="26">
        <v>0</v>
      </c>
      <c r="N1263" s="26">
        <v>0</v>
      </c>
      <c r="O1263" s="26">
        <v>209202</v>
      </c>
      <c r="P1263" s="26" t="s">
        <v>41</v>
      </c>
      <c r="Q1263" s="26" t="s">
        <v>42</v>
      </c>
      <c r="R1263" s="26"/>
      <c r="S1263" s="26"/>
      <c r="T1263" s="26"/>
      <c r="U1263" s="26"/>
      <c r="V1263" s="26" t="s">
        <v>43</v>
      </c>
      <c r="W1263" s="26"/>
      <c r="X1263" s="26"/>
    </row>
    <row r="1264" spans="1:24">
      <c r="A1264" s="26" t="s">
        <v>31</v>
      </c>
      <c r="B1264" s="26" t="s">
        <v>4979</v>
      </c>
      <c r="C1264" s="26" t="s">
        <v>4980</v>
      </c>
      <c r="D1264" s="26">
        <f t="shared" si="19"/>
        <v>-1</v>
      </c>
      <c r="E1264" s="26" t="s">
        <v>34</v>
      </c>
      <c r="F1264" s="26" t="s">
        <v>4891</v>
      </c>
      <c r="G1264" s="26" t="s">
        <v>4981</v>
      </c>
      <c r="H1264" s="26" t="s">
        <v>37</v>
      </c>
      <c r="I1264" s="26" t="s">
        <v>38</v>
      </c>
      <c r="J1264" s="26" t="s">
        <v>4982</v>
      </c>
      <c r="K1264" s="26" t="s">
        <v>4983</v>
      </c>
      <c r="L1264" s="26">
        <v>86969.27</v>
      </c>
      <c r="M1264" s="26">
        <v>0</v>
      </c>
      <c r="N1264" s="26">
        <v>0</v>
      </c>
      <c r="O1264" s="26">
        <v>544702.27</v>
      </c>
      <c r="P1264" s="26" t="s">
        <v>41</v>
      </c>
      <c r="Q1264" s="26" t="s">
        <v>42</v>
      </c>
      <c r="R1264" s="26"/>
      <c r="S1264" s="26"/>
      <c r="T1264" s="26"/>
      <c r="U1264" s="26"/>
      <c r="V1264" s="26" t="s">
        <v>43</v>
      </c>
      <c r="W1264" s="26"/>
      <c r="X1264" s="26"/>
    </row>
    <row r="1265" spans="1:24">
      <c r="A1265" s="32" t="s">
        <v>31</v>
      </c>
      <c r="B1265" s="32" t="s">
        <v>4984</v>
      </c>
      <c r="C1265" s="32" t="s">
        <v>4985</v>
      </c>
      <c r="D1265" s="32">
        <f t="shared" si="19"/>
        <v>-1</v>
      </c>
      <c r="E1265" s="32" t="s">
        <v>34</v>
      </c>
      <c r="F1265" s="32" t="s">
        <v>4891</v>
      </c>
      <c r="G1265" s="32" t="s">
        <v>4986</v>
      </c>
      <c r="H1265" s="32" t="s">
        <v>37</v>
      </c>
      <c r="I1265" s="32" t="s">
        <v>38</v>
      </c>
      <c r="J1265" s="32" t="s">
        <v>69</v>
      </c>
      <c r="K1265" s="32" t="s">
        <v>70</v>
      </c>
      <c r="L1265" s="32">
        <v>662837.04</v>
      </c>
      <c r="M1265" s="32">
        <v>0</v>
      </c>
      <c r="N1265" s="32">
        <v>0</v>
      </c>
      <c r="O1265" s="32">
        <v>4151453.04</v>
      </c>
      <c r="P1265" s="32" t="s">
        <v>41</v>
      </c>
      <c r="Q1265" s="32" t="s">
        <v>42</v>
      </c>
      <c r="R1265" s="26" t="s">
        <v>43</v>
      </c>
      <c r="S1265" s="26"/>
      <c r="T1265" s="26"/>
      <c r="U1265" s="26"/>
      <c r="V1265" s="26"/>
      <c r="W1265" s="26"/>
      <c r="X1265" s="26"/>
    </row>
    <row r="1266" spans="1:24">
      <c r="A1266" s="26" t="s">
        <v>31</v>
      </c>
      <c r="B1266" s="26" t="s">
        <v>4987</v>
      </c>
      <c r="C1266" s="26" t="s">
        <v>4988</v>
      </c>
      <c r="D1266" s="26">
        <f t="shared" si="19"/>
        <v>-1</v>
      </c>
      <c r="E1266" s="26" t="s">
        <v>34</v>
      </c>
      <c r="F1266" s="26" t="s">
        <v>4891</v>
      </c>
      <c r="G1266" s="26" t="s">
        <v>4989</v>
      </c>
      <c r="H1266" s="26" t="s">
        <v>37</v>
      </c>
      <c r="I1266" s="26" t="s">
        <v>38</v>
      </c>
      <c r="J1266" s="26" t="s">
        <v>535</v>
      </c>
      <c r="K1266" s="26" t="s">
        <v>536</v>
      </c>
      <c r="L1266" s="26">
        <v>456000</v>
      </c>
      <c r="M1266" s="26">
        <v>0</v>
      </c>
      <c r="N1266" s="26">
        <v>0</v>
      </c>
      <c r="O1266" s="26">
        <v>2856000</v>
      </c>
      <c r="P1266" s="26" t="s">
        <v>41</v>
      </c>
      <c r="Q1266" s="26" t="s">
        <v>42</v>
      </c>
      <c r="R1266" s="26"/>
      <c r="S1266" s="26"/>
      <c r="T1266" s="26"/>
      <c r="U1266" s="26"/>
      <c r="V1266" s="26" t="s">
        <v>43</v>
      </c>
      <c r="W1266" s="26"/>
      <c r="X1266" s="26"/>
    </row>
    <row r="1267" spans="1:24">
      <c r="A1267" s="34" t="s">
        <v>31</v>
      </c>
      <c r="B1267" s="34" t="s">
        <v>4990</v>
      </c>
      <c r="C1267" s="34" t="s">
        <v>4991</v>
      </c>
      <c r="D1267" s="34">
        <f t="shared" si="19"/>
        <v>-1</v>
      </c>
      <c r="E1267" s="34" t="s">
        <v>34</v>
      </c>
      <c r="F1267" s="34" t="s">
        <v>4891</v>
      </c>
      <c r="G1267" s="34" t="s">
        <v>4992</v>
      </c>
      <c r="H1267" s="34" t="s">
        <v>37</v>
      </c>
      <c r="I1267" s="34" t="s">
        <v>38</v>
      </c>
      <c r="J1267" s="34" t="s">
        <v>317</v>
      </c>
      <c r="K1267" s="34" t="s">
        <v>318</v>
      </c>
      <c r="L1267" s="34">
        <v>140011</v>
      </c>
      <c r="M1267" s="34">
        <v>0</v>
      </c>
      <c r="N1267" s="34">
        <v>0</v>
      </c>
      <c r="O1267" s="34">
        <v>876911</v>
      </c>
      <c r="P1267" s="34" t="s">
        <v>41</v>
      </c>
      <c r="Q1267" s="34" t="s">
        <v>42</v>
      </c>
      <c r="R1267" s="26"/>
      <c r="S1267" s="26"/>
      <c r="T1267" s="26" t="s">
        <v>43</v>
      </c>
      <c r="U1267" s="26"/>
      <c r="V1267" s="26"/>
      <c r="W1267" s="26"/>
      <c r="X1267" s="26"/>
    </row>
    <row r="1268" spans="1:24">
      <c r="A1268" s="26" t="s">
        <v>31</v>
      </c>
      <c r="B1268" s="26" t="s">
        <v>4993</v>
      </c>
      <c r="C1268" s="26" t="s">
        <v>4994</v>
      </c>
      <c r="D1268" s="26">
        <f t="shared" si="19"/>
        <v>-1</v>
      </c>
      <c r="E1268" s="26" t="s">
        <v>34</v>
      </c>
      <c r="F1268" s="26" t="s">
        <v>4891</v>
      </c>
      <c r="G1268" s="26" t="s">
        <v>4995</v>
      </c>
      <c r="H1268" s="26" t="s">
        <v>37</v>
      </c>
      <c r="I1268" s="26" t="s">
        <v>38</v>
      </c>
      <c r="J1268" s="26" t="s">
        <v>471</v>
      </c>
      <c r="K1268" s="26" t="s">
        <v>472</v>
      </c>
      <c r="L1268" s="26">
        <v>62340.52</v>
      </c>
      <c r="M1268" s="26">
        <v>0</v>
      </c>
      <c r="N1268" s="26">
        <v>0</v>
      </c>
      <c r="O1268" s="26">
        <v>390448.52</v>
      </c>
      <c r="P1268" s="26" t="s">
        <v>41</v>
      </c>
      <c r="Q1268" s="26" t="s">
        <v>42</v>
      </c>
      <c r="R1268" s="26"/>
      <c r="S1268" s="26"/>
      <c r="T1268" s="26"/>
      <c r="U1268" s="26"/>
      <c r="V1268" s="26" t="s">
        <v>43</v>
      </c>
      <c r="W1268" s="26"/>
      <c r="X1268" s="26"/>
    </row>
    <row r="1269" spans="1:24">
      <c r="A1269" s="34" t="s">
        <v>31</v>
      </c>
      <c r="B1269" s="34" t="s">
        <v>4996</v>
      </c>
      <c r="C1269" s="34" t="s">
        <v>4997</v>
      </c>
      <c r="D1269" s="34">
        <f t="shared" si="19"/>
        <v>-1</v>
      </c>
      <c r="E1269" s="34" t="s">
        <v>34</v>
      </c>
      <c r="F1269" s="34" t="s">
        <v>4891</v>
      </c>
      <c r="G1269" s="34" t="s">
        <v>4998</v>
      </c>
      <c r="H1269" s="34" t="s">
        <v>37</v>
      </c>
      <c r="I1269" s="34" t="s">
        <v>38</v>
      </c>
      <c r="J1269" s="34" t="s">
        <v>383</v>
      </c>
      <c r="K1269" s="34" t="s">
        <v>384</v>
      </c>
      <c r="L1269" s="34">
        <v>114000</v>
      </c>
      <c r="M1269" s="34">
        <v>0</v>
      </c>
      <c r="N1269" s="34">
        <v>0</v>
      </c>
      <c r="O1269" s="34">
        <v>714000</v>
      </c>
      <c r="P1269" s="34" t="s">
        <v>41</v>
      </c>
      <c r="Q1269" s="34" t="s">
        <v>42</v>
      </c>
      <c r="R1269" s="26"/>
      <c r="S1269" s="26"/>
      <c r="T1269" s="26" t="s">
        <v>43</v>
      </c>
      <c r="U1269" s="26"/>
      <c r="V1269" s="26"/>
      <c r="W1269" s="26"/>
      <c r="X1269" s="26"/>
    </row>
    <row r="1270" spans="1:24">
      <c r="A1270" s="26" t="s">
        <v>31</v>
      </c>
      <c r="B1270" s="26" t="s">
        <v>4999</v>
      </c>
      <c r="C1270" s="26" t="s">
        <v>5000</v>
      </c>
      <c r="D1270" s="26">
        <f t="shared" si="19"/>
        <v>-1</v>
      </c>
      <c r="E1270" s="26" t="s">
        <v>34</v>
      </c>
      <c r="F1270" s="26" t="s">
        <v>4891</v>
      </c>
      <c r="G1270" s="26" t="s">
        <v>5001</v>
      </c>
      <c r="H1270" s="26" t="s">
        <v>37</v>
      </c>
      <c r="I1270" s="26" t="s">
        <v>38</v>
      </c>
      <c r="J1270" s="26" t="s">
        <v>5002</v>
      </c>
      <c r="K1270" s="26" t="s">
        <v>5003</v>
      </c>
      <c r="L1270" s="26">
        <v>1612838.85</v>
      </c>
      <c r="M1270" s="26">
        <v>0</v>
      </c>
      <c r="N1270" s="26">
        <v>0</v>
      </c>
      <c r="O1270" s="26">
        <v>10490497.85</v>
      </c>
      <c r="P1270" s="26" t="s">
        <v>41</v>
      </c>
      <c r="Q1270" s="26" t="s">
        <v>42</v>
      </c>
      <c r="R1270" s="26"/>
      <c r="S1270" s="26"/>
      <c r="T1270" s="26"/>
      <c r="U1270" s="26"/>
      <c r="V1270" s="26" t="s">
        <v>43</v>
      </c>
      <c r="W1270" s="26"/>
      <c r="X1270" s="26"/>
    </row>
    <row r="1271" spans="1:24">
      <c r="A1271" s="32" t="s">
        <v>31</v>
      </c>
      <c r="B1271" s="32" t="s">
        <v>5004</v>
      </c>
      <c r="C1271" s="32" t="s">
        <v>5005</v>
      </c>
      <c r="D1271" s="32">
        <f t="shared" si="19"/>
        <v>-1</v>
      </c>
      <c r="E1271" s="32" t="s">
        <v>34</v>
      </c>
      <c r="F1271" s="32" t="s">
        <v>4891</v>
      </c>
      <c r="G1271" s="32" t="s">
        <v>5006</v>
      </c>
      <c r="H1271" s="32" t="s">
        <v>37</v>
      </c>
      <c r="I1271" s="32" t="s">
        <v>38</v>
      </c>
      <c r="J1271" s="32" t="s">
        <v>5007</v>
      </c>
      <c r="K1271" s="32" t="s">
        <v>5008</v>
      </c>
      <c r="L1271" s="32">
        <v>21458.98</v>
      </c>
      <c r="M1271" s="32">
        <v>0</v>
      </c>
      <c r="N1271" s="32">
        <v>0</v>
      </c>
      <c r="O1271" s="32">
        <v>134400.98000000001</v>
      </c>
      <c r="P1271" s="32" t="s">
        <v>41</v>
      </c>
      <c r="Q1271" s="32" t="s">
        <v>42</v>
      </c>
      <c r="R1271" s="26" t="s">
        <v>43</v>
      </c>
      <c r="S1271" s="26"/>
      <c r="T1271" s="26"/>
      <c r="U1271" s="26"/>
      <c r="V1271" s="26"/>
      <c r="W1271" s="26"/>
      <c r="X1271" s="26"/>
    </row>
    <row r="1272" spans="1:24">
      <c r="A1272" s="26" t="s">
        <v>31</v>
      </c>
      <c r="B1272" s="26" t="s">
        <v>5009</v>
      </c>
      <c r="C1272" s="26" t="s">
        <v>5010</v>
      </c>
      <c r="D1272" s="26">
        <f t="shared" si="19"/>
        <v>-1</v>
      </c>
      <c r="E1272" s="26" t="s">
        <v>34</v>
      </c>
      <c r="F1272" s="26" t="s">
        <v>4891</v>
      </c>
      <c r="G1272" s="26" t="s">
        <v>5011</v>
      </c>
      <c r="H1272" s="26" t="s">
        <v>37</v>
      </c>
      <c r="I1272" s="26" t="s">
        <v>38</v>
      </c>
      <c r="J1272" s="26" t="s">
        <v>5012</v>
      </c>
      <c r="K1272" s="26" t="s">
        <v>5013</v>
      </c>
      <c r="L1272" s="26">
        <v>40850</v>
      </c>
      <c r="M1272" s="26">
        <v>0</v>
      </c>
      <c r="N1272" s="26">
        <v>0</v>
      </c>
      <c r="O1272" s="26">
        <v>255850</v>
      </c>
      <c r="P1272" s="26" t="s">
        <v>41</v>
      </c>
      <c r="Q1272" s="26" t="s">
        <v>42</v>
      </c>
      <c r="R1272" s="26"/>
      <c r="S1272" s="26"/>
      <c r="T1272" s="26"/>
      <c r="U1272" s="26"/>
      <c r="V1272" s="26" t="s">
        <v>43</v>
      </c>
      <c r="W1272" s="26"/>
      <c r="X1272" s="26"/>
    </row>
    <row r="1273" spans="1:24">
      <c r="A1273" s="26" t="s">
        <v>31</v>
      </c>
      <c r="B1273" s="26" t="s">
        <v>5014</v>
      </c>
      <c r="C1273" s="26" t="s">
        <v>5015</v>
      </c>
      <c r="D1273" s="26">
        <f t="shared" si="19"/>
        <v>-1</v>
      </c>
      <c r="E1273" s="26" t="s">
        <v>34</v>
      </c>
      <c r="F1273" s="26" t="s">
        <v>4891</v>
      </c>
      <c r="G1273" s="26" t="s">
        <v>5016</v>
      </c>
      <c r="H1273" s="26" t="s">
        <v>37</v>
      </c>
      <c r="I1273" s="26" t="s">
        <v>38</v>
      </c>
      <c r="J1273" s="26" t="s">
        <v>616</v>
      </c>
      <c r="K1273" s="26" t="s">
        <v>617</v>
      </c>
      <c r="L1273" s="26">
        <v>147109.4</v>
      </c>
      <c r="M1273" s="26">
        <v>0</v>
      </c>
      <c r="N1273" s="26">
        <v>0</v>
      </c>
      <c r="O1273" s="26">
        <v>921369.4</v>
      </c>
      <c r="P1273" s="26" t="s">
        <v>41</v>
      </c>
      <c r="Q1273" s="26" t="s">
        <v>42</v>
      </c>
      <c r="R1273" s="26"/>
      <c r="S1273" s="26"/>
      <c r="T1273" s="26"/>
      <c r="U1273" s="26"/>
      <c r="V1273" s="26" t="s">
        <v>43</v>
      </c>
      <c r="W1273" s="26"/>
      <c r="X1273" s="26"/>
    </row>
    <row r="1274" spans="1:24">
      <c r="A1274" s="32" t="s">
        <v>31</v>
      </c>
      <c r="B1274" s="32" t="s">
        <v>5017</v>
      </c>
      <c r="C1274" s="32" t="s">
        <v>5018</v>
      </c>
      <c r="D1274" s="32">
        <f t="shared" si="19"/>
        <v>-1</v>
      </c>
      <c r="E1274" s="32" t="s">
        <v>34</v>
      </c>
      <c r="F1274" s="32" t="s">
        <v>4891</v>
      </c>
      <c r="G1274" s="32" t="s">
        <v>5019</v>
      </c>
      <c r="H1274" s="32" t="s">
        <v>37</v>
      </c>
      <c r="I1274" s="32" t="s">
        <v>38</v>
      </c>
      <c r="J1274" s="32" t="s">
        <v>5020</v>
      </c>
      <c r="K1274" s="32" t="s">
        <v>5021</v>
      </c>
      <c r="L1274" s="32">
        <v>1052209.55</v>
      </c>
      <c r="M1274" s="32">
        <v>0</v>
      </c>
      <c r="N1274" s="32">
        <v>0</v>
      </c>
      <c r="O1274" s="32">
        <v>6590154.5499999998</v>
      </c>
      <c r="P1274" s="32" t="s">
        <v>41</v>
      </c>
      <c r="Q1274" s="32" t="s">
        <v>42</v>
      </c>
      <c r="R1274" s="26" t="s">
        <v>43</v>
      </c>
      <c r="S1274" s="26"/>
      <c r="T1274" s="26"/>
      <c r="U1274" s="26"/>
      <c r="V1274" s="26"/>
      <c r="W1274" s="26"/>
      <c r="X1274" s="26"/>
    </row>
    <row r="1275" spans="1:24">
      <c r="A1275" s="32" t="s">
        <v>31</v>
      </c>
      <c r="B1275" s="32" t="s">
        <v>5022</v>
      </c>
      <c r="C1275" s="32" t="s">
        <v>5023</v>
      </c>
      <c r="D1275" s="32">
        <f t="shared" si="19"/>
        <v>-1</v>
      </c>
      <c r="E1275" s="32" t="s">
        <v>34</v>
      </c>
      <c r="F1275" s="32" t="s">
        <v>4891</v>
      </c>
      <c r="G1275" s="32" t="s">
        <v>5024</v>
      </c>
      <c r="H1275" s="32" t="s">
        <v>37</v>
      </c>
      <c r="I1275" s="32" t="s">
        <v>38</v>
      </c>
      <c r="J1275" s="32" t="s">
        <v>189</v>
      </c>
      <c r="K1275" s="32" t="s">
        <v>190</v>
      </c>
      <c r="L1275" s="32">
        <v>0</v>
      </c>
      <c r="M1275" s="32">
        <v>0</v>
      </c>
      <c r="N1275" s="32">
        <v>0</v>
      </c>
      <c r="O1275" s="32">
        <v>34500006</v>
      </c>
      <c r="P1275" s="32" t="s">
        <v>41</v>
      </c>
      <c r="Q1275" s="32" t="s">
        <v>42</v>
      </c>
      <c r="R1275" s="26" t="s">
        <v>43</v>
      </c>
      <c r="S1275" s="26"/>
      <c r="T1275" s="26"/>
      <c r="U1275" s="26"/>
      <c r="V1275" s="26"/>
      <c r="W1275" s="26"/>
      <c r="X1275" s="26"/>
    </row>
    <row r="1276" spans="1:24">
      <c r="A1276" s="32" t="s">
        <v>31</v>
      </c>
      <c r="B1276" s="32" t="s">
        <v>5025</v>
      </c>
      <c r="C1276" s="32" t="s">
        <v>5026</v>
      </c>
      <c r="D1276" s="32">
        <f t="shared" si="19"/>
        <v>-1</v>
      </c>
      <c r="E1276" s="32" t="s">
        <v>34</v>
      </c>
      <c r="F1276" s="32" t="s">
        <v>4891</v>
      </c>
      <c r="G1276" s="32" t="s">
        <v>5027</v>
      </c>
      <c r="H1276" s="32" t="s">
        <v>37</v>
      </c>
      <c r="I1276" s="32" t="s">
        <v>38</v>
      </c>
      <c r="J1276" s="32" t="s">
        <v>194</v>
      </c>
      <c r="K1276" s="32" t="s">
        <v>195</v>
      </c>
      <c r="L1276" s="32">
        <v>0</v>
      </c>
      <c r="M1276" s="32">
        <v>0</v>
      </c>
      <c r="N1276" s="32">
        <v>0</v>
      </c>
      <c r="O1276" s="32">
        <v>11500002</v>
      </c>
      <c r="P1276" s="32" t="s">
        <v>41</v>
      </c>
      <c r="Q1276" s="32" t="s">
        <v>42</v>
      </c>
      <c r="R1276" s="26" t="s">
        <v>43</v>
      </c>
      <c r="S1276" s="26"/>
      <c r="T1276" s="26"/>
      <c r="U1276" s="26"/>
      <c r="V1276" s="26"/>
      <c r="W1276" s="26"/>
      <c r="X1276" s="26"/>
    </row>
    <row r="1277" spans="1:24">
      <c r="A1277" s="32" t="s">
        <v>31</v>
      </c>
      <c r="B1277" s="32" t="s">
        <v>5028</v>
      </c>
      <c r="C1277" s="32" t="s">
        <v>5029</v>
      </c>
      <c r="D1277" s="32">
        <f t="shared" si="19"/>
        <v>-1</v>
      </c>
      <c r="E1277" s="32" t="s">
        <v>34</v>
      </c>
      <c r="F1277" s="32" t="s">
        <v>4891</v>
      </c>
      <c r="G1277" s="32" t="s">
        <v>5030</v>
      </c>
      <c r="H1277" s="32" t="s">
        <v>37</v>
      </c>
      <c r="I1277" s="32" t="s">
        <v>38</v>
      </c>
      <c r="J1277" s="32" t="s">
        <v>194</v>
      </c>
      <c r="K1277" s="32" t="s">
        <v>195</v>
      </c>
      <c r="L1277" s="32">
        <v>369560.45</v>
      </c>
      <c r="M1277" s="32">
        <v>0</v>
      </c>
      <c r="N1277" s="32">
        <v>0</v>
      </c>
      <c r="O1277" s="32">
        <v>4231282.45</v>
      </c>
      <c r="P1277" s="32" t="s">
        <v>41</v>
      </c>
      <c r="Q1277" s="32" t="s">
        <v>42</v>
      </c>
      <c r="R1277" s="26" t="s">
        <v>43</v>
      </c>
      <c r="S1277" s="26"/>
      <c r="T1277" s="26"/>
      <c r="U1277" s="26"/>
      <c r="V1277" s="26"/>
      <c r="W1277" s="26"/>
      <c r="X1277" s="26"/>
    </row>
    <row r="1278" spans="1:24">
      <c r="A1278" s="32" t="s">
        <v>31</v>
      </c>
      <c r="B1278" s="32" t="s">
        <v>5031</v>
      </c>
      <c r="C1278" s="32" t="s">
        <v>5032</v>
      </c>
      <c r="D1278" s="32">
        <f t="shared" si="19"/>
        <v>-1</v>
      </c>
      <c r="E1278" s="32" t="s">
        <v>34</v>
      </c>
      <c r="F1278" s="32" t="s">
        <v>4891</v>
      </c>
      <c r="G1278" s="32" t="s">
        <v>5033</v>
      </c>
      <c r="H1278" s="32" t="s">
        <v>37</v>
      </c>
      <c r="I1278" s="32" t="s">
        <v>38</v>
      </c>
      <c r="J1278" s="32" t="s">
        <v>5034</v>
      </c>
      <c r="K1278" s="32" t="s">
        <v>5035</v>
      </c>
      <c r="L1278" s="32">
        <v>181830</v>
      </c>
      <c r="M1278" s="32">
        <v>0</v>
      </c>
      <c r="N1278" s="32">
        <v>0</v>
      </c>
      <c r="O1278" s="32">
        <v>1138830</v>
      </c>
      <c r="P1278" s="32" t="s">
        <v>41</v>
      </c>
      <c r="Q1278" s="32" t="s">
        <v>42</v>
      </c>
      <c r="R1278" s="26" t="s">
        <v>43</v>
      </c>
      <c r="S1278" s="26"/>
      <c r="T1278" s="26"/>
      <c r="U1278" s="26"/>
      <c r="V1278" s="26"/>
      <c r="W1278" s="26"/>
      <c r="X1278" s="26"/>
    </row>
    <row r="1279" spans="1:24">
      <c r="A1279" s="35" t="s">
        <v>31</v>
      </c>
      <c r="B1279" s="35" t="s">
        <v>5036</v>
      </c>
      <c r="C1279" s="35" t="s">
        <v>5037</v>
      </c>
      <c r="D1279" s="35">
        <f t="shared" si="19"/>
        <v>-1</v>
      </c>
      <c r="E1279" s="35" t="s">
        <v>34</v>
      </c>
      <c r="F1279" s="35" t="s">
        <v>4891</v>
      </c>
      <c r="G1279" s="35" t="s">
        <v>5038</v>
      </c>
      <c r="H1279" s="35" t="s">
        <v>37</v>
      </c>
      <c r="I1279" s="35" t="s">
        <v>38</v>
      </c>
      <c r="J1279" s="35" t="s">
        <v>645</v>
      </c>
      <c r="K1279" s="35" t="s">
        <v>646</v>
      </c>
      <c r="L1279" s="35">
        <v>120270</v>
      </c>
      <c r="M1279" s="35">
        <v>0</v>
      </c>
      <c r="N1279" s="35">
        <v>0</v>
      </c>
      <c r="O1279" s="35">
        <v>753270</v>
      </c>
      <c r="P1279" s="35" t="s">
        <v>41</v>
      </c>
      <c r="Q1279" s="35" t="s">
        <v>42</v>
      </c>
      <c r="R1279" s="26"/>
      <c r="S1279" s="26"/>
      <c r="T1279" s="26"/>
      <c r="U1279" s="26"/>
      <c r="V1279" s="26"/>
      <c r="W1279" s="35" t="s">
        <v>43</v>
      </c>
      <c r="X1279" s="26" t="s">
        <v>647</v>
      </c>
    </row>
    <row r="1280" spans="1:24">
      <c r="A1280" s="32" t="s">
        <v>31</v>
      </c>
      <c r="B1280" s="32" t="s">
        <v>5039</v>
      </c>
      <c r="C1280" s="32" t="s">
        <v>5040</v>
      </c>
      <c r="D1280" s="32">
        <f t="shared" si="19"/>
        <v>-1</v>
      </c>
      <c r="E1280" s="32" t="s">
        <v>34</v>
      </c>
      <c r="F1280" s="32" t="s">
        <v>4891</v>
      </c>
      <c r="G1280" s="32" t="s">
        <v>5041</v>
      </c>
      <c r="H1280" s="32" t="s">
        <v>37</v>
      </c>
      <c r="I1280" s="32" t="s">
        <v>38</v>
      </c>
      <c r="J1280" s="32" t="s">
        <v>5042</v>
      </c>
      <c r="K1280" s="32" t="s">
        <v>5043</v>
      </c>
      <c r="L1280" s="32">
        <v>28500</v>
      </c>
      <c r="M1280" s="32">
        <v>0</v>
      </c>
      <c r="N1280" s="32">
        <v>0</v>
      </c>
      <c r="O1280" s="32">
        <v>178500</v>
      </c>
      <c r="P1280" s="32" t="s">
        <v>41</v>
      </c>
      <c r="Q1280" s="32" t="s">
        <v>42</v>
      </c>
      <c r="R1280" s="26" t="s">
        <v>43</v>
      </c>
      <c r="S1280" s="26"/>
      <c r="T1280" s="26"/>
      <c r="U1280" s="26"/>
      <c r="V1280" s="26"/>
      <c r="W1280" s="26"/>
      <c r="X1280" s="26"/>
    </row>
    <row r="1281" spans="1:24">
      <c r="A1281" s="26" t="s">
        <v>31</v>
      </c>
      <c r="B1281" s="26" t="s">
        <v>5044</v>
      </c>
      <c r="C1281" s="26" t="s">
        <v>5045</v>
      </c>
      <c r="D1281" s="26">
        <f t="shared" si="19"/>
        <v>-1</v>
      </c>
      <c r="E1281" s="26" t="s">
        <v>34</v>
      </c>
      <c r="F1281" s="26" t="s">
        <v>4891</v>
      </c>
      <c r="G1281" s="26" t="s">
        <v>5046</v>
      </c>
      <c r="H1281" s="26" t="s">
        <v>37</v>
      </c>
      <c r="I1281" s="26" t="s">
        <v>38</v>
      </c>
      <c r="J1281" s="26" t="s">
        <v>769</v>
      </c>
      <c r="K1281" s="26" t="s">
        <v>770</v>
      </c>
      <c r="L1281" s="26">
        <v>48640</v>
      </c>
      <c r="M1281" s="26">
        <v>0</v>
      </c>
      <c r="N1281" s="26">
        <v>0</v>
      </c>
      <c r="O1281" s="26">
        <v>304640</v>
      </c>
      <c r="P1281" s="26" t="s">
        <v>41</v>
      </c>
      <c r="Q1281" s="26" t="s">
        <v>42</v>
      </c>
      <c r="R1281" s="26"/>
      <c r="S1281" s="26"/>
      <c r="T1281" s="26"/>
      <c r="U1281" s="26"/>
      <c r="V1281" s="26" t="s">
        <v>43</v>
      </c>
      <c r="W1281" s="26"/>
      <c r="X1281" s="26"/>
    </row>
    <row r="1282" spans="1:24">
      <c r="A1282" s="32" t="s">
        <v>31</v>
      </c>
      <c r="B1282" s="32" t="s">
        <v>5047</v>
      </c>
      <c r="C1282" s="32" t="s">
        <v>5048</v>
      </c>
      <c r="D1282" s="32">
        <f t="shared" si="19"/>
        <v>-1</v>
      </c>
      <c r="E1282" s="32" t="s">
        <v>34</v>
      </c>
      <c r="F1282" s="32" t="s">
        <v>4891</v>
      </c>
      <c r="G1282" s="32" t="s">
        <v>5049</v>
      </c>
      <c r="H1282" s="32" t="s">
        <v>37</v>
      </c>
      <c r="I1282" s="32" t="s">
        <v>38</v>
      </c>
      <c r="J1282" s="32" t="s">
        <v>621</v>
      </c>
      <c r="K1282" s="32" t="s">
        <v>622</v>
      </c>
      <c r="L1282" s="32">
        <v>28842</v>
      </c>
      <c r="M1282" s="32">
        <v>0</v>
      </c>
      <c r="N1282" s="32">
        <v>0</v>
      </c>
      <c r="O1282" s="32">
        <v>180642</v>
      </c>
      <c r="P1282" s="32" t="s">
        <v>41</v>
      </c>
      <c r="Q1282" s="32" t="s">
        <v>42</v>
      </c>
      <c r="R1282" s="26" t="s">
        <v>43</v>
      </c>
      <c r="S1282" s="26"/>
      <c r="T1282" s="26"/>
      <c r="U1282" s="26"/>
      <c r="V1282" s="26"/>
      <c r="W1282" s="26"/>
      <c r="X1282" s="26"/>
    </row>
    <row r="1283" spans="1:24">
      <c r="A1283" s="31" t="s">
        <v>31</v>
      </c>
      <c r="B1283" s="31" t="s">
        <v>5050</v>
      </c>
      <c r="C1283" s="31" t="s">
        <v>5051</v>
      </c>
      <c r="D1283" s="31">
        <f t="shared" si="19"/>
        <v>-1</v>
      </c>
      <c r="E1283" s="31" t="s">
        <v>34</v>
      </c>
      <c r="F1283" s="31" t="s">
        <v>4891</v>
      </c>
      <c r="G1283" s="31" t="s">
        <v>5052</v>
      </c>
      <c r="H1283" s="31" t="s">
        <v>37</v>
      </c>
      <c r="I1283" s="31" t="s">
        <v>38</v>
      </c>
      <c r="J1283" s="31" t="s">
        <v>1818</v>
      </c>
      <c r="K1283" s="31" t="s">
        <v>1819</v>
      </c>
      <c r="L1283" s="31">
        <v>37425</v>
      </c>
      <c r="M1283" s="31">
        <v>0</v>
      </c>
      <c r="N1283" s="31">
        <v>0</v>
      </c>
      <c r="O1283" s="31">
        <v>246925</v>
      </c>
      <c r="P1283" s="31" t="s">
        <v>41</v>
      </c>
      <c r="Q1283" s="31" t="s">
        <v>42</v>
      </c>
      <c r="R1283" s="26"/>
      <c r="S1283" s="26"/>
      <c r="T1283" s="26"/>
      <c r="U1283" s="31" t="s">
        <v>43</v>
      </c>
      <c r="V1283" s="26"/>
      <c r="W1283" s="35"/>
      <c r="X1283" s="26"/>
    </row>
    <row r="1284" spans="1:24">
      <c r="A1284" s="26" t="s">
        <v>31</v>
      </c>
      <c r="B1284" s="26" t="s">
        <v>5053</v>
      </c>
      <c r="C1284" s="26" t="s">
        <v>5054</v>
      </c>
      <c r="D1284" s="26">
        <f t="shared" si="19"/>
        <v>-1</v>
      </c>
      <c r="E1284" s="26" t="s">
        <v>34</v>
      </c>
      <c r="F1284" s="26" t="s">
        <v>4891</v>
      </c>
      <c r="G1284" s="26" t="s">
        <v>5055</v>
      </c>
      <c r="H1284" s="26" t="s">
        <v>37</v>
      </c>
      <c r="I1284" s="26" t="s">
        <v>38</v>
      </c>
      <c r="J1284" s="26" t="s">
        <v>2693</v>
      </c>
      <c r="K1284" s="26" t="s">
        <v>2694</v>
      </c>
      <c r="L1284" s="26">
        <v>472850.72</v>
      </c>
      <c r="M1284" s="26">
        <v>0</v>
      </c>
      <c r="N1284" s="26">
        <v>0</v>
      </c>
      <c r="O1284" s="26">
        <v>2961538.72</v>
      </c>
      <c r="P1284" s="26" t="s">
        <v>41</v>
      </c>
      <c r="Q1284" s="26" t="s">
        <v>42</v>
      </c>
      <c r="R1284" s="26"/>
      <c r="S1284" s="26"/>
      <c r="T1284" s="26"/>
      <c r="U1284" s="26"/>
      <c r="V1284" s="26" t="s">
        <v>43</v>
      </c>
      <c r="W1284" s="26"/>
      <c r="X1284" s="26"/>
    </row>
    <row r="1285" spans="1:24">
      <c r="A1285" s="34" t="s">
        <v>31</v>
      </c>
      <c r="B1285" s="34" t="s">
        <v>5056</v>
      </c>
      <c r="C1285" s="34" t="s">
        <v>5057</v>
      </c>
      <c r="D1285" s="34">
        <f t="shared" si="19"/>
        <v>-1</v>
      </c>
      <c r="E1285" s="34" t="s">
        <v>34</v>
      </c>
      <c r="F1285" s="34" t="s">
        <v>4891</v>
      </c>
      <c r="G1285" s="34" t="s">
        <v>5058</v>
      </c>
      <c r="H1285" s="34" t="s">
        <v>37</v>
      </c>
      <c r="I1285" s="34" t="s">
        <v>38</v>
      </c>
      <c r="J1285" s="34" t="s">
        <v>902</v>
      </c>
      <c r="K1285" s="34" t="s">
        <v>903</v>
      </c>
      <c r="L1285" s="34">
        <v>205502.8</v>
      </c>
      <c r="M1285" s="34">
        <v>0</v>
      </c>
      <c r="N1285" s="34">
        <v>0</v>
      </c>
      <c r="O1285" s="34">
        <v>1355622.8</v>
      </c>
      <c r="P1285" s="34" t="s">
        <v>41</v>
      </c>
      <c r="Q1285" s="34" t="s">
        <v>42</v>
      </c>
      <c r="R1285" s="26"/>
      <c r="S1285" s="26"/>
      <c r="T1285" s="26" t="s">
        <v>43</v>
      </c>
      <c r="U1285" s="26"/>
      <c r="V1285" s="26"/>
      <c r="W1285" s="26"/>
      <c r="X1285" s="26"/>
    </row>
    <row r="1286" spans="1:24">
      <c r="A1286" s="31" t="s">
        <v>31</v>
      </c>
      <c r="B1286" s="31" t="s">
        <v>5059</v>
      </c>
      <c r="C1286" s="31" t="s">
        <v>5060</v>
      </c>
      <c r="D1286" s="31">
        <f t="shared" si="19"/>
        <v>-1</v>
      </c>
      <c r="E1286" s="31" t="s">
        <v>34</v>
      </c>
      <c r="F1286" s="31" t="s">
        <v>4891</v>
      </c>
      <c r="G1286" s="31" t="s">
        <v>5061</v>
      </c>
      <c r="H1286" s="31" t="s">
        <v>37</v>
      </c>
      <c r="I1286" s="31" t="s">
        <v>38</v>
      </c>
      <c r="J1286" s="31" t="s">
        <v>5062</v>
      </c>
      <c r="K1286" s="31" t="s">
        <v>5063</v>
      </c>
      <c r="L1286" s="31">
        <v>60610</v>
      </c>
      <c r="M1286" s="31">
        <v>0</v>
      </c>
      <c r="N1286" s="31">
        <v>0</v>
      </c>
      <c r="O1286" s="31">
        <v>379610</v>
      </c>
      <c r="P1286" s="31" t="s">
        <v>41</v>
      </c>
      <c r="Q1286" s="31" t="s">
        <v>42</v>
      </c>
      <c r="R1286" s="26"/>
      <c r="S1286" s="26"/>
      <c r="T1286" s="26"/>
      <c r="U1286" s="31" t="s">
        <v>43</v>
      </c>
      <c r="V1286" s="26"/>
      <c r="W1286" s="26"/>
      <c r="X1286" s="26"/>
    </row>
    <row r="1287" spans="1:24">
      <c r="A1287" s="26" t="s">
        <v>31</v>
      </c>
      <c r="B1287" s="26" t="s">
        <v>5064</v>
      </c>
      <c r="C1287" s="26" t="s">
        <v>5065</v>
      </c>
      <c r="D1287" s="26">
        <f t="shared" si="19"/>
        <v>-1</v>
      </c>
      <c r="E1287" s="26" t="s">
        <v>34</v>
      </c>
      <c r="F1287" s="26" t="s">
        <v>4891</v>
      </c>
      <c r="G1287" s="26" t="s">
        <v>5066</v>
      </c>
      <c r="H1287" s="26" t="s">
        <v>37</v>
      </c>
      <c r="I1287" s="26" t="s">
        <v>38</v>
      </c>
      <c r="J1287" s="26" t="s">
        <v>5067</v>
      </c>
      <c r="K1287" s="26" t="s">
        <v>5068</v>
      </c>
      <c r="L1287" s="26">
        <v>553641</v>
      </c>
      <c r="M1287" s="26">
        <v>0</v>
      </c>
      <c r="N1287" s="26">
        <v>0</v>
      </c>
      <c r="O1287" s="26">
        <v>3467541</v>
      </c>
      <c r="P1287" s="26" t="s">
        <v>41</v>
      </c>
      <c r="Q1287" s="26" t="s">
        <v>42</v>
      </c>
      <c r="R1287" s="26"/>
      <c r="S1287" s="26"/>
      <c r="T1287" s="26"/>
      <c r="U1287" s="26"/>
      <c r="V1287" s="26" t="s">
        <v>43</v>
      </c>
      <c r="W1287" s="26"/>
      <c r="X1287" s="26"/>
    </row>
    <row r="1288" spans="1:24">
      <c r="A1288" s="32" t="s">
        <v>31</v>
      </c>
      <c r="B1288" s="32" t="s">
        <v>5069</v>
      </c>
      <c r="C1288" s="32" t="s">
        <v>5070</v>
      </c>
      <c r="D1288" s="32">
        <f t="shared" si="19"/>
        <v>-1</v>
      </c>
      <c r="E1288" s="32" t="s">
        <v>34</v>
      </c>
      <c r="F1288" s="32" t="s">
        <v>4891</v>
      </c>
      <c r="G1288" s="32" t="s">
        <v>5071</v>
      </c>
      <c r="H1288" s="32" t="s">
        <v>37</v>
      </c>
      <c r="I1288" s="32" t="s">
        <v>38</v>
      </c>
      <c r="J1288" s="32" t="s">
        <v>1424</v>
      </c>
      <c r="K1288" s="32" t="s">
        <v>1425</v>
      </c>
      <c r="L1288" s="32">
        <v>16492</v>
      </c>
      <c r="M1288" s="32">
        <v>0</v>
      </c>
      <c r="N1288" s="32">
        <v>0</v>
      </c>
      <c r="O1288" s="32">
        <v>103292</v>
      </c>
      <c r="P1288" s="32" t="s">
        <v>41</v>
      </c>
      <c r="Q1288" s="32" t="s">
        <v>42</v>
      </c>
      <c r="R1288" s="26" t="s">
        <v>43</v>
      </c>
      <c r="S1288" s="26"/>
      <c r="T1288" s="26"/>
      <c r="U1288" s="26"/>
      <c r="V1288" s="26"/>
      <c r="W1288" s="26"/>
      <c r="X1288" s="26"/>
    </row>
    <row r="1289" spans="1:24">
      <c r="A1289" s="32" t="s">
        <v>31</v>
      </c>
      <c r="B1289" s="32" t="s">
        <v>5072</v>
      </c>
      <c r="C1289" s="32" t="s">
        <v>5073</v>
      </c>
      <c r="D1289" s="32">
        <f t="shared" si="19"/>
        <v>-1</v>
      </c>
      <c r="E1289" s="32" t="s">
        <v>34</v>
      </c>
      <c r="F1289" s="32" t="s">
        <v>4891</v>
      </c>
      <c r="G1289" s="32" t="s">
        <v>5074</v>
      </c>
      <c r="H1289" s="32" t="s">
        <v>37</v>
      </c>
      <c r="I1289" s="32" t="s">
        <v>38</v>
      </c>
      <c r="J1289" s="32" t="s">
        <v>1424</v>
      </c>
      <c r="K1289" s="32" t="s">
        <v>1425</v>
      </c>
      <c r="L1289" s="32">
        <v>976273.2</v>
      </c>
      <c r="M1289" s="32">
        <v>0</v>
      </c>
      <c r="N1289" s="32">
        <v>0</v>
      </c>
      <c r="O1289" s="32">
        <v>6114553.2000000002</v>
      </c>
      <c r="P1289" s="32" t="s">
        <v>41</v>
      </c>
      <c r="Q1289" s="32" t="s">
        <v>42</v>
      </c>
      <c r="R1289" s="26" t="s">
        <v>43</v>
      </c>
      <c r="S1289" s="26"/>
      <c r="T1289" s="26"/>
      <c r="U1289" s="26"/>
      <c r="V1289" s="26"/>
      <c r="W1289" s="26"/>
      <c r="X1289" s="26"/>
    </row>
    <row r="1290" spans="1:24">
      <c r="A1290" s="26" t="s">
        <v>31</v>
      </c>
      <c r="B1290" s="26" t="s">
        <v>5075</v>
      </c>
      <c r="C1290" s="26" t="s">
        <v>5076</v>
      </c>
      <c r="D1290" s="26">
        <f t="shared" si="19"/>
        <v>-1</v>
      </c>
      <c r="E1290" s="26" t="s">
        <v>34</v>
      </c>
      <c r="F1290" s="26" t="s">
        <v>4891</v>
      </c>
      <c r="G1290" s="26" t="s">
        <v>5077</v>
      </c>
      <c r="H1290" s="26" t="s">
        <v>37</v>
      </c>
      <c r="I1290" s="26" t="s">
        <v>38</v>
      </c>
      <c r="J1290" s="26" t="s">
        <v>1437</v>
      </c>
      <c r="K1290" s="26" t="s">
        <v>1438</v>
      </c>
      <c r="L1290" s="26">
        <v>77020.87</v>
      </c>
      <c r="M1290" s="26">
        <v>0</v>
      </c>
      <c r="N1290" s="26">
        <v>0</v>
      </c>
      <c r="O1290" s="26">
        <v>482393.87</v>
      </c>
      <c r="P1290" s="26" t="s">
        <v>41</v>
      </c>
      <c r="Q1290" s="26" t="s">
        <v>42</v>
      </c>
      <c r="R1290" s="26"/>
      <c r="S1290" s="26"/>
      <c r="T1290" s="26"/>
      <c r="U1290" s="26"/>
      <c r="V1290" s="26" t="s">
        <v>43</v>
      </c>
      <c r="W1290" s="26"/>
      <c r="X1290" s="26"/>
    </row>
    <row r="1291" spans="1:24">
      <c r="A1291" s="26" t="s">
        <v>31</v>
      </c>
      <c r="B1291" s="26" t="s">
        <v>5078</v>
      </c>
      <c r="C1291" s="26" t="s">
        <v>5079</v>
      </c>
      <c r="D1291" s="26">
        <f t="shared" si="19"/>
        <v>-1</v>
      </c>
      <c r="E1291" s="26" t="s">
        <v>34</v>
      </c>
      <c r="F1291" s="26" t="s">
        <v>4891</v>
      </c>
      <c r="G1291" s="26" t="s">
        <v>5080</v>
      </c>
      <c r="H1291" s="26" t="s">
        <v>37</v>
      </c>
      <c r="I1291" s="26" t="s">
        <v>38</v>
      </c>
      <c r="J1291" s="26" t="s">
        <v>1437</v>
      </c>
      <c r="K1291" s="26" t="s">
        <v>1438</v>
      </c>
      <c r="L1291" s="26">
        <v>613510</v>
      </c>
      <c r="M1291" s="26">
        <v>0</v>
      </c>
      <c r="N1291" s="26">
        <v>0</v>
      </c>
      <c r="O1291" s="26">
        <v>3842510</v>
      </c>
      <c r="P1291" s="26" t="s">
        <v>41</v>
      </c>
      <c r="Q1291" s="26" t="s">
        <v>42</v>
      </c>
      <c r="R1291" s="26"/>
      <c r="S1291" s="26"/>
      <c r="T1291" s="26"/>
      <c r="U1291" s="26"/>
      <c r="V1291" s="26" t="s">
        <v>43</v>
      </c>
      <c r="W1291" s="26"/>
      <c r="X1291" s="26"/>
    </row>
    <row r="1292" spans="1:24">
      <c r="A1292" s="34" t="s">
        <v>31</v>
      </c>
      <c r="B1292" s="34" t="s">
        <v>5081</v>
      </c>
      <c r="C1292" s="34" t="s">
        <v>5082</v>
      </c>
      <c r="D1292" s="34">
        <f t="shared" si="19"/>
        <v>-1</v>
      </c>
      <c r="E1292" s="34" t="s">
        <v>34</v>
      </c>
      <c r="F1292" s="34" t="s">
        <v>4891</v>
      </c>
      <c r="G1292" s="34" t="s">
        <v>5083</v>
      </c>
      <c r="H1292" s="34" t="s">
        <v>37</v>
      </c>
      <c r="I1292" s="34" t="s">
        <v>38</v>
      </c>
      <c r="J1292" s="34" t="s">
        <v>4057</v>
      </c>
      <c r="K1292" s="34" t="s">
        <v>4058</v>
      </c>
      <c r="L1292" s="34">
        <v>202160</v>
      </c>
      <c r="M1292" s="34">
        <v>0</v>
      </c>
      <c r="N1292" s="34">
        <v>0</v>
      </c>
      <c r="O1292" s="34">
        <v>1266160</v>
      </c>
      <c r="P1292" s="34" t="s">
        <v>41</v>
      </c>
      <c r="Q1292" s="34" t="s">
        <v>42</v>
      </c>
      <c r="R1292" s="26"/>
      <c r="S1292" s="26"/>
      <c r="T1292" s="26" t="s">
        <v>43</v>
      </c>
      <c r="U1292" s="26"/>
      <c r="V1292" s="26"/>
      <c r="W1292" s="26"/>
      <c r="X1292" s="26"/>
    </row>
    <row r="1293" spans="1:24">
      <c r="A1293" s="34" t="s">
        <v>31</v>
      </c>
      <c r="B1293" s="34" t="s">
        <v>5084</v>
      </c>
      <c r="C1293" s="34" t="s">
        <v>5085</v>
      </c>
      <c r="D1293" s="34">
        <f t="shared" ref="D1293:D1356" si="20">C1293-C1294</f>
        <v>-1</v>
      </c>
      <c r="E1293" s="34" t="s">
        <v>34</v>
      </c>
      <c r="F1293" s="34" t="s">
        <v>4891</v>
      </c>
      <c r="G1293" s="34" t="s">
        <v>5086</v>
      </c>
      <c r="H1293" s="34" t="s">
        <v>37</v>
      </c>
      <c r="I1293" s="34" t="s">
        <v>38</v>
      </c>
      <c r="J1293" s="34" t="s">
        <v>4057</v>
      </c>
      <c r="K1293" s="34" t="s">
        <v>4058</v>
      </c>
      <c r="L1293" s="34">
        <v>5309550</v>
      </c>
      <c r="M1293" s="34">
        <v>0</v>
      </c>
      <c r="N1293" s="34">
        <v>0</v>
      </c>
      <c r="O1293" s="34">
        <v>41904550</v>
      </c>
      <c r="P1293" s="34" t="s">
        <v>41</v>
      </c>
      <c r="Q1293" s="34" t="s">
        <v>42</v>
      </c>
      <c r="R1293" s="26"/>
      <c r="S1293" s="26"/>
      <c r="T1293" s="26" t="s">
        <v>43</v>
      </c>
      <c r="U1293" s="26"/>
      <c r="V1293" s="26"/>
      <c r="W1293" s="26"/>
      <c r="X1293" s="26"/>
    </row>
    <row r="1294" spans="1:24">
      <c r="A1294" s="34" t="s">
        <v>31</v>
      </c>
      <c r="B1294" s="34" t="s">
        <v>5087</v>
      </c>
      <c r="C1294" s="34" t="s">
        <v>5088</v>
      </c>
      <c r="D1294" s="34">
        <f t="shared" si="20"/>
        <v>-1</v>
      </c>
      <c r="E1294" s="34" t="s">
        <v>34</v>
      </c>
      <c r="F1294" s="34" t="s">
        <v>4891</v>
      </c>
      <c r="G1294" s="34" t="s">
        <v>5086</v>
      </c>
      <c r="H1294" s="34" t="s">
        <v>37</v>
      </c>
      <c r="I1294" s="34" t="s">
        <v>38</v>
      </c>
      <c r="J1294" s="34" t="s">
        <v>4057</v>
      </c>
      <c r="K1294" s="34" t="s">
        <v>4058</v>
      </c>
      <c r="L1294" s="34">
        <v>6572100</v>
      </c>
      <c r="M1294" s="34">
        <v>0</v>
      </c>
      <c r="N1294" s="34">
        <v>0</v>
      </c>
      <c r="O1294" s="34">
        <v>41162100</v>
      </c>
      <c r="P1294" s="34" t="s">
        <v>41</v>
      </c>
      <c r="Q1294" s="34" t="s">
        <v>42</v>
      </c>
      <c r="R1294" s="26"/>
      <c r="S1294" s="26"/>
      <c r="T1294" s="26" t="s">
        <v>43</v>
      </c>
      <c r="U1294" s="26"/>
      <c r="V1294" s="26"/>
      <c r="W1294" s="26"/>
      <c r="X1294" s="26"/>
    </row>
    <row r="1295" spans="1:24">
      <c r="A1295" s="32" t="s">
        <v>31</v>
      </c>
      <c r="B1295" s="32" t="s">
        <v>5089</v>
      </c>
      <c r="C1295" s="32" t="s">
        <v>5090</v>
      </c>
      <c r="D1295" s="32">
        <f t="shared" si="20"/>
        <v>-1</v>
      </c>
      <c r="E1295" s="32" t="s">
        <v>34</v>
      </c>
      <c r="F1295" s="32" t="s">
        <v>4891</v>
      </c>
      <c r="G1295" s="32" t="s">
        <v>5091</v>
      </c>
      <c r="H1295" s="32" t="s">
        <v>37</v>
      </c>
      <c r="I1295" s="32" t="s">
        <v>38</v>
      </c>
      <c r="J1295" s="32" t="s">
        <v>150</v>
      </c>
      <c r="K1295" s="32" t="s">
        <v>151</v>
      </c>
      <c r="L1295" s="32">
        <v>1115739.47</v>
      </c>
      <c r="M1295" s="32">
        <v>0</v>
      </c>
      <c r="N1295" s="32">
        <v>0</v>
      </c>
      <c r="O1295" s="32">
        <v>6988052.4699999997</v>
      </c>
      <c r="P1295" s="32" t="s">
        <v>41</v>
      </c>
      <c r="Q1295" s="32" t="s">
        <v>42</v>
      </c>
      <c r="R1295" s="26" t="s">
        <v>43</v>
      </c>
      <c r="S1295" s="26"/>
      <c r="T1295" s="26"/>
      <c r="U1295" s="26"/>
      <c r="V1295" s="26"/>
      <c r="W1295" s="26"/>
      <c r="X1295" s="26"/>
    </row>
    <row r="1296" spans="1:24">
      <c r="A1296" s="26" t="s">
        <v>31</v>
      </c>
      <c r="B1296" s="26" t="s">
        <v>5092</v>
      </c>
      <c r="C1296" s="26" t="s">
        <v>5093</v>
      </c>
      <c r="D1296" s="26">
        <f t="shared" si="20"/>
        <v>-1</v>
      </c>
      <c r="E1296" s="26" t="s">
        <v>34</v>
      </c>
      <c r="F1296" s="26" t="s">
        <v>4891</v>
      </c>
      <c r="G1296" s="26" t="s">
        <v>5094</v>
      </c>
      <c r="H1296" s="26" t="s">
        <v>37</v>
      </c>
      <c r="I1296" s="26" t="s">
        <v>38</v>
      </c>
      <c r="J1296" s="26" t="s">
        <v>5095</v>
      </c>
      <c r="K1296" s="26" t="s">
        <v>5096</v>
      </c>
      <c r="L1296" s="26">
        <v>148200</v>
      </c>
      <c r="M1296" s="26">
        <v>0</v>
      </c>
      <c r="N1296" s="26">
        <v>0</v>
      </c>
      <c r="O1296" s="26">
        <v>24418200</v>
      </c>
      <c r="P1296" s="26" t="s">
        <v>41</v>
      </c>
      <c r="Q1296" s="26" t="s">
        <v>42</v>
      </c>
      <c r="R1296" s="26"/>
      <c r="S1296" s="26"/>
      <c r="T1296" s="26"/>
      <c r="U1296" s="26"/>
      <c r="V1296" s="26" t="s">
        <v>43</v>
      </c>
      <c r="W1296" s="26"/>
      <c r="X1296" s="26"/>
    </row>
    <row r="1297" spans="1:24">
      <c r="A1297" s="26" t="s">
        <v>31</v>
      </c>
      <c r="B1297" s="26" t="s">
        <v>5097</v>
      </c>
      <c r="C1297" s="26" t="s">
        <v>5098</v>
      </c>
      <c r="D1297" s="26">
        <f t="shared" si="20"/>
        <v>-1</v>
      </c>
      <c r="E1297" s="26" t="s">
        <v>34</v>
      </c>
      <c r="F1297" s="26" t="s">
        <v>4891</v>
      </c>
      <c r="G1297" s="26" t="s">
        <v>5099</v>
      </c>
      <c r="H1297" s="26" t="s">
        <v>37</v>
      </c>
      <c r="I1297" s="26" t="s">
        <v>38</v>
      </c>
      <c r="J1297" s="26" t="s">
        <v>5100</v>
      </c>
      <c r="K1297" s="26" t="s">
        <v>5101</v>
      </c>
      <c r="L1297" s="26">
        <v>7581760</v>
      </c>
      <c r="M1297" s="26">
        <v>0</v>
      </c>
      <c r="N1297" s="26">
        <v>0</v>
      </c>
      <c r="O1297" s="26">
        <v>47485760</v>
      </c>
      <c r="P1297" s="26" t="s">
        <v>41</v>
      </c>
      <c r="Q1297" s="26" t="s">
        <v>42</v>
      </c>
      <c r="R1297" s="26"/>
      <c r="S1297" s="26"/>
      <c r="T1297" s="26"/>
      <c r="U1297" s="26"/>
      <c r="V1297" s="26" t="s">
        <v>43</v>
      </c>
      <c r="W1297" s="26"/>
      <c r="X1297" s="26"/>
    </row>
    <row r="1298" spans="1:24">
      <c r="A1298" s="26" t="s">
        <v>31</v>
      </c>
      <c r="B1298" s="26" t="s">
        <v>5102</v>
      </c>
      <c r="C1298" s="26" t="s">
        <v>5103</v>
      </c>
      <c r="D1298" s="26">
        <f t="shared" si="20"/>
        <v>-1</v>
      </c>
      <c r="E1298" s="26" t="s">
        <v>34</v>
      </c>
      <c r="F1298" s="26" t="s">
        <v>4891</v>
      </c>
      <c r="G1298" s="26" t="s">
        <v>5104</v>
      </c>
      <c r="H1298" s="26" t="s">
        <v>37</v>
      </c>
      <c r="I1298" s="26" t="s">
        <v>38</v>
      </c>
      <c r="J1298" s="26" t="s">
        <v>184</v>
      </c>
      <c r="K1298" s="26" t="s">
        <v>185</v>
      </c>
      <c r="L1298" s="26">
        <v>0</v>
      </c>
      <c r="M1298" s="26">
        <v>0</v>
      </c>
      <c r="N1298" s="26">
        <v>0</v>
      </c>
      <c r="O1298" s="26">
        <v>1916667</v>
      </c>
      <c r="P1298" s="26" t="s">
        <v>41</v>
      </c>
      <c r="Q1298" s="26" t="s">
        <v>42</v>
      </c>
      <c r="R1298" s="26"/>
      <c r="S1298" s="26"/>
      <c r="T1298" s="26"/>
      <c r="U1298" s="26"/>
      <c r="V1298" s="26" t="s">
        <v>43</v>
      </c>
      <c r="W1298" s="26"/>
      <c r="X1298" s="26"/>
    </row>
    <row r="1299" spans="1:24">
      <c r="A1299" s="26" t="s">
        <v>31</v>
      </c>
      <c r="B1299" s="26" t="s">
        <v>5105</v>
      </c>
      <c r="C1299" s="26" t="s">
        <v>5106</v>
      </c>
      <c r="D1299" s="26">
        <f t="shared" si="20"/>
        <v>-1</v>
      </c>
      <c r="E1299" s="26" t="s">
        <v>34</v>
      </c>
      <c r="F1299" s="26" t="s">
        <v>4891</v>
      </c>
      <c r="G1299" s="26" t="s">
        <v>5107</v>
      </c>
      <c r="H1299" s="26" t="s">
        <v>37</v>
      </c>
      <c r="I1299" s="26" t="s">
        <v>38</v>
      </c>
      <c r="J1299" s="26" t="s">
        <v>96</v>
      </c>
      <c r="K1299" s="26" t="s">
        <v>97</v>
      </c>
      <c r="L1299" s="26">
        <v>679094.01</v>
      </c>
      <c r="M1299" s="26">
        <v>0</v>
      </c>
      <c r="N1299" s="26">
        <v>0</v>
      </c>
      <c r="O1299" s="26">
        <v>4253273.01</v>
      </c>
      <c r="P1299" s="26" t="s">
        <v>41</v>
      </c>
      <c r="Q1299" s="26" t="s">
        <v>42</v>
      </c>
      <c r="R1299" s="26"/>
      <c r="S1299" s="26"/>
      <c r="T1299" s="26"/>
      <c r="U1299" s="26"/>
      <c r="V1299" s="26" t="s">
        <v>43</v>
      </c>
      <c r="W1299" s="26"/>
      <c r="X1299" s="26"/>
    </row>
    <row r="1300" spans="1:24">
      <c r="A1300" s="26" t="s">
        <v>31</v>
      </c>
      <c r="B1300" s="26" t="s">
        <v>5108</v>
      </c>
      <c r="C1300" s="26" t="s">
        <v>5109</v>
      </c>
      <c r="D1300" s="26">
        <f t="shared" si="20"/>
        <v>-1</v>
      </c>
      <c r="E1300" s="26" t="s">
        <v>34</v>
      </c>
      <c r="F1300" s="26" t="s">
        <v>4891</v>
      </c>
      <c r="G1300" s="26" t="s">
        <v>5110</v>
      </c>
      <c r="H1300" s="26" t="s">
        <v>37</v>
      </c>
      <c r="I1300" s="26" t="s">
        <v>38</v>
      </c>
      <c r="J1300" s="26" t="s">
        <v>96</v>
      </c>
      <c r="K1300" s="26" t="s">
        <v>97</v>
      </c>
      <c r="L1300" s="26">
        <v>679094.01</v>
      </c>
      <c r="M1300" s="26">
        <v>0</v>
      </c>
      <c r="N1300" s="26">
        <v>0</v>
      </c>
      <c r="O1300" s="26">
        <v>4253273.01</v>
      </c>
      <c r="P1300" s="26" t="s">
        <v>41</v>
      </c>
      <c r="Q1300" s="26" t="s">
        <v>42</v>
      </c>
      <c r="R1300" s="26"/>
      <c r="S1300" s="26"/>
      <c r="T1300" s="26"/>
      <c r="U1300" s="26"/>
      <c r="V1300" s="26" t="s">
        <v>43</v>
      </c>
      <c r="W1300" s="26"/>
      <c r="X1300" s="26"/>
    </row>
    <row r="1301" spans="1:24">
      <c r="A1301" s="26" t="s">
        <v>31</v>
      </c>
      <c r="B1301" s="26" t="s">
        <v>5111</v>
      </c>
      <c r="C1301" s="26" t="s">
        <v>5112</v>
      </c>
      <c r="D1301" s="26">
        <f t="shared" si="20"/>
        <v>-1</v>
      </c>
      <c r="E1301" s="26" t="s">
        <v>34</v>
      </c>
      <c r="F1301" s="26" t="s">
        <v>4891</v>
      </c>
      <c r="G1301" s="26" t="s">
        <v>5113</v>
      </c>
      <c r="H1301" s="26" t="s">
        <v>37</v>
      </c>
      <c r="I1301" s="26" t="s">
        <v>38</v>
      </c>
      <c r="J1301" s="26" t="s">
        <v>2331</v>
      </c>
      <c r="K1301" s="26" t="s">
        <v>2332</v>
      </c>
      <c r="L1301" s="26">
        <v>141550</v>
      </c>
      <c r="M1301" s="26">
        <v>0</v>
      </c>
      <c r="N1301" s="26">
        <v>0</v>
      </c>
      <c r="O1301" s="26">
        <v>886550</v>
      </c>
      <c r="P1301" s="26" t="s">
        <v>41</v>
      </c>
      <c r="Q1301" s="26" t="s">
        <v>42</v>
      </c>
      <c r="R1301" s="26"/>
      <c r="S1301" s="26"/>
      <c r="T1301" s="26"/>
      <c r="U1301" s="26"/>
      <c r="V1301" s="26" t="s">
        <v>43</v>
      </c>
      <c r="W1301" s="26"/>
      <c r="X1301" s="26"/>
    </row>
    <row r="1302" spans="1:24">
      <c r="A1302" s="32" t="s">
        <v>31</v>
      </c>
      <c r="B1302" s="32" t="s">
        <v>5114</v>
      </c>
      <c r="C1302" s="32" t="s">
        <v>5115</v>
      </c>
      <c r="D1302" s="32">
        <f t="shared" si="20"/>
        <v>-1</v>
      </c>
      <c r="E1302" s="32" t="s">
        <v>34</v>
      </c>
      <c r="F1302" s="32" t="s">
        <v>4891</v>
      </c>
      <c r="G1302" s="32" t="s">
        <v>5116</v>
      </c>
      <c r="H1302" s="32" t="s">
        <v>37</v>
      </c>
      <c r="I1302" s="32" t="s">
        <v>38</v>
      </c>
      <c r="J1302" s="32" t="s">
        <v>2611</v>
      </c>
      <c r="K1302" s="32" t="s">
        <v>2612</v>
      </c>
      <c r="L1302" s="32">
        <v>0</v>
      </c>
      <c r="M1302" s="32">
        <v>0</v>
      </c>
      <c r="N1302" s="32">
        <v>0</v>
      </c>
      <c r="O1302" s="32">
        <v>999000</v>
      </c>
      <c r="P1302" s="32" t="s">
        <v>41</v>
      </c>
      <c r="Q1302" s="32" t="s">
        <v>42</v>
      </c>
      <c r="R1302" s="26" t="s">
        <v>43</v>
      </c>
      <c r="S1302" s="26"/>
      <c r="T1302" s="26"/>
      <c r="U1302" s="26"/>
      <c r="V1302" s="26"/>
      <c r="W1302" s="26"/>
      <c r="X1302" s="26"/>
    </row>
    <row r="1303" spans="1:24">
      <c r="A1303" s="26" t="s">
        <v>31</v>
      </c>
      <c r="B1303" s="26" t="s">
        <v>5117</v>
      </c>
      <c r="C1303" s="26" t="s">
        <v>5118</v>
      </c>
      <c r="D1303" s="26">
        <f t="shared" si="20"/>
        <v>-1</v>
      </c>
      <c r="E1303" s="26" t="s">
        <v>34</v>
      </c>
      <c r="F1303" s="26" t="s">
        <v>4891</v>
      </c>
      <c r="G1303" s="26" t="s">
        <v>5119</v>
      </c>
      <c r="H1303" s="26" t="s">
        <v>37</v>
      </c>
      <c r="I1303" s="26" t="s">
        <v>38</v>
      </c>
      <c r="J1303" s="26" t="s">
        <v>2822</v>
      </c>
      <c r="K1303" s="26" t="s">
        <v>2823</v>
      </c>
      <c r="L1303" s="26">
        <v>682020.2</v>
      </c>
      <c r="M1303" s="26">
        <v>0</v>
      </c>
      <c r="N1303" s="26">
        <v>0</v>
      </c>
      <c r="O1303" s="26">
        <v>4271600.2</v>
      </c>
      <c r="P1303" s="26" t="s">
        <v>41</v>
      </c>
      <c r="Q1303" s="26" t="s">
        <v>42</v>
      </c>
      <c r="R1303" s="26"/>
      <c r="S1303" s="26"/>
      <c r="T1303" s="26"/>
      <c r="U1303" s="26"/>
      <c r="V1303" s="26" t="s">
        <v>43</v>
      </c>
      <c r="W1303" s="26"/>
      <c r="X1303" s="26"/>
    </row>
    <row r="1304" spans="1:24">
      <c r="A1304" s="26" t="s">
        <v>31</v>
      </c>
      <c r="B1304" s="26" t="s">
        <v>5120</v>
      </c>
      <c r="C1304" s="26" t="s">
        <v>5121</v>
      </c>
      <c r="D1304" s="26">
        <f t="shared" si="20"/>
        <v>-1</v>
      </c>
      <c r="E1304" s="26" t="s">
        <v>34</v>
      </c>
      <c r="F1304" s="26" t="s">
        <v>4891</v>
      </c>
      <c r="G1304" s="26" t="s">
        <v>5122</v>
      </c>
      <c r="H1304" s="26" t="s">
        <v>37</v>
      </c>
      <c r="I1304" s="26" t="s">
        <v>38</v>
      </c>
      <c r="J1304" s="26" t="s">
        <v>530</v>
      </c>
      <c r="K1304" s="26" t="s">
        <v>531</v>
      </c>
      <c r="L1304" s="26">
        <v>128820</v>
      </c>
      <c r="M1304" s="26">
        <v>0</v>
      </c>
      <c r="N1304" s="26">
        <v>0</v>
      </c>
      <c r="O1304" s="26">
        <v>806820</v>
      </c>
      <c r="P1304" s="26" t="s">
        <v>41</v>
      </c>
      <c r="Q1304" s="26" t="s">
        <v>42</v>
      </c>
      <c r="R1304" s="26"/>
      <c r="S1304" s="26"/>
      <c r="T1304" s="26"/>
      <c r="U1304" s="26"/>
      <c r="V1304" s="26" t="s">
        <v>43</v>
      </c>
      <c r="W1304" s="26"/>
      <c r="X1304" s="26"/>
    </row>
    <row r="1305" spans="1:24">
      <c r="A1305" s="34" t="s">
        <v>31</v>
      </c>
      <c r="B1305" s="34" t="s">
        <v>5123</v>
      </c>
      <c r="C1305" s="34" t="s">
        <v>5124</v>
      </c>
      <c r="D1305" s="34">
        <f t="shared" si="20"/>
        <v>-1</v>
      </c>
      <c r="E1305" s="34" t="s">
        <v>34</v>
      </c>
      <c r="F1305" s="34" t="s">
        <v>4891</v>
      </c>
      <c r="G1305" s="34" t="s">
        <v>5110</v>
      </c>
      <c r="H1305" s="34" t="s">
        <v>37</v>
      </c>
      <c r="I1305" s="34" t="s">
        <v>38</v>
      </c>
      <c r="J1305" s="34" t="s">
        <v>939</v>
      </c>
      <c r="K1305" s="34" t="s">
        <v>940</v>
      </c>
      <c r="L1305" s="34">
        <v>101840</v>
      </c>
      <c r="M1305" s="34">
        <v>0</v>
      </c>
      <c r="N1305" s="34">
        <v>0</v>
      </c>
      <c r="O1305" s="34">
        <v>637840</v>
      </c>
      <c r="P1305" s="34" t="s">
        <v>41</v>
      </c>
      <c r="Q1305" s="34" t="s">
        <v>42</v>
      </c>
      <c r="R1305" s="26"/>
      <c r="S1305" s="26"/>
      <c r="T1305" s="26" t="s">
        <v>43</v>
      </c>
      <c r="U1305" s="26"/>
      <c r="V1305" s="26"/>
      <c r="W1305" s="26"/>
      <c r="X1305" s="26"/>
    </row>
    <row r="1306" spans="1:24">
      <c r="A1306" s="26" t="s">
        <v>31</v>
      </c>
      <c r="B1306" s="26" t="s">
        <v>5125</v>
      </c>
      <c r="C1306" s="26" t="s">
        <v>5126</v>
      </c>
      <c r="D1306" s="26">
        <f t="shared" si="20"/>
        <v>-1</v>
      </c>
      <c r="E1306" s="26" t="s">
        <v>34</v>
      </c>
      <c r="F1306" s="26" t="s">
        <v>4891</v>
      </c>
      <c r="G1306" s="26" t="s">
        <v>5127</v>
      </c>
      <c r="H1306" s="26" t="s">
        <v>37</v>
      </c>
      <c r="I1306" s="26" t="s">
        <v>38</v>
      </c>
      <c r="J1306" s="26" t="s">
        <v>1808</v>
      </c>
      <c r="K1306" s="26" t="s">
        <v>1809</v>
      </c>
      <c r="L1306" s="26">
        <v>57000</v>
      </c>
      <c r="M1306" s="26">
        <v>0</v>
      </c>
      <c r="N1306" s="26">
        <v>0</v>
      </c>
      <c r="O1306" s="26">
        <v>357000</v>
      </c>
      <c r="P1306" s="26" t="s">
        <v>41</v>
      </c>
      <c r="Q1306" s="26" t="s">
        <v>42</v>
      </c>
      <c r="R1306" s="26"/>
      <c r="S1306" s="26"/>
      <c r="T1306" s="26"/>
      <c r="U1306" s="26"/>
      <c r="V1306" s="26" t="s">
        <v>43</v>
      </c>
      <c r="W1306" s="26"/>
      <c r="X1306" s="26"/>
    </row>
    <row r="1307" spans="1:24">
      <c r="A1307" s="35" t="s">
        <v>31</v>
      </c>
      <c r="B1307" s="35" t="s">
        <v>5128</v>
      </c>
      <c r="C1307" s="35" t="s">
        <v>5129</v>
      </c>
      <c r="D1307" s="35">
        <f t="shared" si="20"/>
        <v>-1</v>
      </c>
      <c r="E1307" s="35" t="s">
        <v>34</v>
      </c>
      <c r="F1307" s="35" t="s">
        <v>4891</v>
      </c>
      <c r="G1307" s="35" t="s">
        <v>5130</v>
      </c>
      <c r="H1307" s="35" t="s">
        <v>37</v>
      </c>
      <c r="I1307" s="35" t="s">
        <v>38</v>
      </c>
      <c r="J1307" s="35" t="s">
        <v>3078</v>
      </c>
      <c r="K1307" s="35" t="s">
        <v>3079</v>
      </c>
      <c r="L1307" s="35">
        <v>73292.5</v>
      </c>
      <c r="M1307" s="35">
        <v>0</v>
      </c>
      <c r="N1307" s="35">
        <v>0</v>
      </c>
      <c r="O1307" s="35">
        <v>459042.5</v>
      </c>
      <c r="P1307" s="35" t="s">
        <v>41</v>
      </c>
      <c r="Q1307" s="35" t="s">
        <v>42</v>
      </c>
      <c r="R1307" s="26"/>
      <c r="S1307" s="26"/>
      <c r="T1307" s="26"/>
      <c r="U1307" s="26"/>
      <c r="V1307" s="26"/>
      <c r="W1307" s="35" t="s">
        <v>43</v>
      </c>
      <c r="X1307" s="26" t="s">
        <v>920</v>
      </c>
    </row>
    <row r="1308" spans="1:24">
      <c r="A1308" s="26" t="s">
        <v>31</v>
      </c>
      <c r="B1308" s="26" t="s">
        <v>5131</v>
      </c>
      <c r="C1308" s="26" t="s">
        <v>5132</v>
      </c>
      <c r="D1308" s="26">
        <f t="shared" si="20"/>
        <v>-1</v>
      </c>
      <c r="E1308" s="26" t="s">
        <v>34</v>
      </c>
      <c r="F1308" s="26" t="s">
        <v>4891</v>
      </c>
      <c r="G1308" s="26" t="s">
        <v>5133</v>
      </c>
      <c r="H1308" s="26" t="s">
        <v>37</v>
      </c>
      <c r="I1308" s="26" t="s">
        <v>38</v>
      </c>
      <c r="J1308" s="26" t="s">
        <v>1584</v>
      </c>
      <c r="K1308" s="26" t="s">
        <v>1585</v>
      </c>
      <c r="L1308" s="26">
        <v>1041960</v>
      </c>
      <c r="M1308" s="26">
        <v>0</v>
      </c>
      <c r="N1308" s="26">
        <v>0</v>
      </c>
      <c r="O1308" s="26">
        <v>6525960</v>
      </c>
      <c r="P1308" s="26" t="s">
        <v>41</v>
      </c>
      <c r="Q1308" s="26" t="s">
        <v>42</v>
      </c>
      <c r="R1308" s="26"/>
      <c r="S1308" s="26"/>
      <c r="T1308" s="26"/>
      <c r="U1308" s="26"/>
      <c r="V1308" s="26" t="s">
        <v>43</v>
      </c>
      <c r="W1308" s="26"/>
      <c r="X1308" s="26"/>
    </row>
    <row r="1309" spans="1:24">
      <c r="A1309" s="26" t="s">
        <v>31</v>
      </c>
      <c r="B1309" s="26" t="s">
        <v>5134</v>
      </c>
      <c r="C1309" s="26" t="s">
        <v>5135</v>
      </c>
      <c r="D1309" s="26">
        <f t="shared" si="20"/>
        <v>-1</v>
      </c>
      <c r="E1309" s="26" t="s">
        <v>34</v>
      </c>
      <c r="F1309" s="26" t="s">
        <v>4891</v>
      </c>
      <c r="G1309" s="26" t="s">
        <v>5136</v>
      </c>
      <c r="H1309" s="26" t="s">
        <v>37</v>
      </c>
      <c r="I1309" s="26" t="s">
        <v>38</v>
      </c>
      <c r="J1309" s="26" t="s">
        <v>3505</v>
      </c>
      <c r="K1309" s="26" t="s">
        <v>3506</v>
      </c>
      <c r="L1309" s="26">
        <v>844422.7</v>
      </c>
      <c r="M1309" s="26">
        <v>0</v>
      </c>
      <c r="N1309" s="26">
        <v>0</v>
      </c>
      <c r="O1309" s="26">
        <v>5288752.7</v>
      </c>
      <c r="P1309" s="26" t="s">
        <v>41</v>
      </c>
      <c r="Q1309" s="26" t="s">
        <v>42</v>
      </c>
      <c r="R1309" s="26"/>
      <c r="S1309" s="26"/>
      <c r="T1309" s="26"/>
      <c r="U1309" s="26"/>
      <c r="V1309" s="26" t="s">
        <v>43</v>
      </c>
      <c r="W1309" s="26"/>
      <c r="X1309" s="26"/>
    </row>
    <row r="1310" spans="1:24">
      <c r="A1310" s="26" t="s">
        <v>31</v>
      </c>
      <c r="B1310" s="26" t="s">
        <v>5137</v>
      </c>
      <c r="C1310" s="26" t="s">
        <v>5138</v>
      </c>
      <c r="D1310" s="26">
        <f t="shared" si="20"/>
        <v>-1</v>
      </c>
      <c r="E1310" s="26" t="s">
        <v>34</v>
      </c>
      <c r="F1310" s="26" t="s">
        <v>4891</v>
      </c>
      <c r="G1310" s="26" t="s">
        <v>5139</v>
      </c>
      <c r="H1310" s="26" t="s">
        <v>37</v>
      </c>
      <c r="I1310" s="26" t="s">
        <v>38</v>
      </c>
      <c r="J1310" s="26" t="s">
        <v>5140</v>
      </c>
      <c r="K1310" s="26" t="s">
        <v>5141</v>
      </c>
      <c r="L1310" s="26">
        <v>844422.7</v>
      </c>
      <c r="M1310" s="26">
        <v>0</v>
      </c>
      <c r="N1310" s="26">
        <v>0</v>
      </c>
      <c r="O1310" s="26">
        <v>5288752.7</v>
      </c>
      <c r="P1310" s="26" t="s">
        <v>41</v>
      </c>
      <c r="Q1310" s="26" t="s">
        <v>42</v>
      </c>
      <c r="R1310" s="26"/>
      <c r="S1310" s="26"/>
      <c r="T1310" s="26"/>
      <c r="U1310" s="26"/>
      <c r="V1310" s="26" t="s">
        <v>43</v>
      </c>
      <c r="W1310" s="26"/>
      <c r="X1310" s="26"/>
    </row>
    <row r="1311" spans="1:24">
      <c r="A1311" s="26" t="s">
        <v>31</v>
      </c>
      <c r="B1311" s="26" t="s">
        <v>5142</v>
      </c>
      <c r="C1311" s="26" t="s">
        <v>5143</v>
      </c>
      <c r="D1311" s="26">
        <f t="shared" si="20"/>
        <v>-1</v>
      </c>
      <c r="E1311" s="26" t="s">
        <v>34</v>
      </c>
      <c r="F1311" s="26" t="s">
        <v>4891</v>
      </c>
      <c r="G1311" s="26" t="s">
        <v>5144</v>
      </c>
      <c r="H1311" s="26" t="s">
        <v>37</v>
      </c>
      <c r="I1311" s="26" t="s">
        <v>38</v>
      </c>
      <c r="J1311" s="26" t="s">
        <v>5145</v>
      </c>
      <c r="K1311" s="26" t="s">
        <v>5146</v>
      </c>
      <c r="L1311" s="26">
        <v>252700</v>
      </c>
      <c r="M1311" s="26">
        <v>0</v>
      </c>
      <c r="N1311" s="26">
        <v>0</v>
      </c>
      <c r="O1311" s="26">
        <v>1582700</v>
      </c>
      <c r="P1311" s="26" t="s">
        <v>41</v>
      </c>
      <c r="Q1311" s="26" t="s">
        <v>42</v>
      </c>
      <c r="R1311" s="26"/>
      <c r="S1311" s="26"/>
      <c r="T1311" s="26"/>
      <c r="U1311" s="26"/>
      <c r="V1311" s="26" t="s">
        <v>43</v>
      </c>
      <c r="W1311" s="26"/>
      <c r="X1311" s="26"/>
    </row>
    <row r="1312" spans="1:24">
      <c r="A1312" s="32" t="s">
        <v>31</v>
      </c>
      <c r="B1312" s="32" t="s">
        <v>5147</v>
      </c>
      <c r="C1312" s="32" t="s">
        <v>5148</v>
      </c>
      <c r="D1312" s="32">
        <f t="shared" si="20"/>
        <v>-1</v>
      </c>
      <c r="E1312" s="32" t="s">
        <v>34</v>
      </c>
      <c r="F1312" s="32" t="s">
        <v>4891</v>
      </c>
      <c r="G1312" s="32" t="s">
        <v>5149</v>
      </c>
      <c r="H1312" s="32" t="s">
        <v>37</v>
      </c>
      <c r="I1312" s="32" t="s">
        <v>38</v>
      </c>
      <c r="J1312" s="32" t="s">
        <v>4702</v>
      </c>
      <c r="K1312" s="32" t="s">
        <v>4703</v>
      </c>
      <c r="L1312" s="32">
        <v>733590</v>
      </c>
      <c r="M1312" s="32">
        <v>0</v>
      </c>
      <c r="N1312" s="32">
        <v>0</v>
      </c>
      <c r="O1312" s="32">
        <v>4594590</v>
      </c>
      <c r="P1312" s="32" t="s">
        <v>41</v>
      </c>
      <c r="Q1312" s="32" t="s">
        <v>42</v>
      </c>
      <c r="R1312" s="26" t="s">
        <v>43</v>
      </c>
      <c r="S1312" s="26"/>
      <c r="T1312" s="26"/>
      <c r="U1312" s="26"/>
      <c r="V1312" s="26"/>
      <c r="W1312" s="26"/>
      <c r="X1312" s="26"/>
    </row>
    <row r="1313" spans="1:24">
      <c r="A1313" s="26" t="s">
        <v>31</v>
      </c>
      <c r="B1313" s="26" t="s">
        <v>5150</v>
      </c>
      <c r="C1313" s="26" t="s">
        <v>5151</v>
      </c>
      <c r="D1313" s="26">
        <f t="shared" si="20"/>
        <v>-1</v>
      </c>
      <c r="E1313" s="26" t="s">
        <v>34</v>
      </c>
      <c r="F1313" s="26" t="s">
        <v>4891</v>
      </c>
      <c r="G1313" s="26" t="s">
        <v>5152</v>
      </c>
      <c r="H1313" s="26" t="s">
        <v>37</v>
      </c>
      <c r="I1313" s="26" t="s">
        <v>38</v>
      </c>
      <c r="J1313" s="26" t="s">
        <v>5153</v>
      </c>
      <c r="K1313" s="26" t="s">
        <v>5154</v>
      </c>
      <c r="L1313" s="26">
        <v>330772.52</v>
      </c>
      <c r="M1313" s="26">
        <v>0</v>
      </c>
      <c r="N1313" s="26">
        <v>0</v>
      </c>
      <c r="O1313" s="26">
        <v>2071680.52</v>
      </c>
      <c r="P1313" s="26" t="s">
        <v>41</v>
      </c>
      <c r="Q1313" s="26" t="s">
        <v>42</v>
      </c>
      <c r="R1313" s="26"/>
      <c r="S1313" s="26"/>
      <c r="T1313" s="26"/>
      <c r="U1313" s="26"/>
      <c r="V1313" s="26" t="s">
        <v>43</v>
      </c>
      <c r="W1313" s="26"/>
      <c r="X1313" s="26"/>
    </row>
    <row r="1314" spans="1:24">
      <c r="A1314" s="32" t="s">
        <v>31</v>
      </c>
      <c r="B1314" s="32" t="s">
        <v>5155</v>
      </c>
      <c r="C1314" s="32" t="s">
        <v>5156</v>
      </c>
      <c r="D1314" s="32">
        <f t="shared" si="20"/>
        <v>-1</v>
      </c>
      <c r="E1314" s="32" t="s">
        <v>34</v>
      </c>
      <c r="F1314" s="32" t="s">
        <v>4891</v>
      </c>
      <c r="G1314" s="32" t="s">
        <v>5157</v>
      </c>
      <c r="H1314" s="32" t="s">
        <v>37</v>
      </c>
      <c r="I1314" s="32" t="s">
        <v>38</v>
      </c>
      <c r="J1314" s="32" t="s">
        <v>3515</v>
      </c>
      <c r="K1314" s="32" t="s">
        <v>3516</v>
      </c>
      <c r="L1314" s="32">
        <v>17239.84</v>
      </c>
      <c r="M1314" s="32">
        <v>0</v>
      </c>
      <c r="N1314" s="32">
        <v>0</v>
      </c>
      <c r="O1314" s="32">
        <v>107975.84</v>
      </c>
      <c r="P1314" s="32" t="s">
        <v>41</v>
      </c>
      <c r="Q1314" s="32" t="s">
        <v>42</v>
      </c>
      <c r="R1314" s="26" t="s">
        <v>43</v>
      </c>
      <c r="S1314" s="26"/>
      <c r="T1314" s="26"/>
      <c r="U1314" s="26"/>
      <c r="V1314" s="26"/>
      <c r="W1314" s="26"/>
      <c r="X1314" s="26"/>
    </row>
    <row r="1315" spans="1:24">
      <c r="A1315" s="32" t="s">
        <v>31</v>
      </c>
      <c r="B1315" s="32" t="s">
        <v>5158</v>
      </c>
      <c r="C1315" s="32" t="s">
        <v>5159</v>
      </c>
      <c r="D1315" s="32">
        <f t="shared" si="20"/>
        <v>-1</v>
      </c>
      <c r="E1315" s="32" t="s">
        <v>34</v>
      </c>
      <c r="F1315" s="32" t="s">
        <v>4891</v>
      </c>
      <c r="G1315" s="32" t="s">
        <v>5160</v>
      </c>
      <c r="H1315" s="32" t="s">
        <v>37</v>
      </c>
      <c r="I1315" s="32" t="s">
        <v>38</v>
      </c>
      <c r="J1315" s="32" t="s">
        <v>5161</v>
      </c>
      <c r="K1315" s="32" t="s">
        <v>5162</v>
      </c>
      <c r="L1315" s="32">
        <v>169013.55</v>
      </c>
      <c r="M1315" s="32">
        <v>0</v>
      </c>
      <c r="N1315" s="32">
        <v>0</v>
      </c>
      <c r="O1315" s="32">
        <v>1058558.55</v>
      </c>
      <c r="P1315" s="32" t="s">
        <v>41</v>
      </c>
      <c r="Q1315" s="32" t="s">
        <v>42</v>
      </c>
      <c r="R1315" s="26" t="s">
        <v>43</v>
      </c>
      <c r="S1315" s="26"/>
      <c r="T1315" s="26"/>
      <c r="U1315" s="26"/>
      <c r="V1315" s="26"/>
      <c r="W1315" s="26"/>
      <c r="X1315" s="26"/>
    </row>
    <row r="1316" spans="1:24">
      <c r="A1316" s="32" t="s">
        <v>31</v>
      </c>
      <c r="B1316" s="32" t="s">
        <v>5163</v>
      </c>
      <c r="C1316" s="32" t="s">
        <v>5164</v>
      </c>
      <c r="D1316" s="32">
        <f t="shared" si="20"/>
        <v>-1</v>
      </c>
      <c r="E1316" s="32" t="s">
        <v>34</v>
      </c>
      <c r="F1316" s="32" t="s">
        <v>4891</v>
      </c>
      <c r="G1316" s="32" t="s">
        <v>5165</v>
      </c>
      <c r="H1316" s="32" t="s">
        <v>37</v>
      </c>
      <c r="I1316" s="32" t="s">
        <v>38</v>
      </c>
      <c r="J1316" s="32" t="s">
        <v>5166</v>
      </c>
      <c r="K1316" s="32" t="s">
        <v>5167</v>
      </c>
      <c r="L1316" s="32">
        <v>86289.26</v>
      </c>
      <c r="M1316" s="32">
        <v>0</v>
      </c>
      <c r="N1316" s="32">
        <v>0</v>
      </c>
      <c r="O1316" s="32">
        <v>4987251.26</v>
      </c>
      <c r="P1316" s="32" t="s">
        <v>41</v>
      </c>
      <c r="Q1316" s="32" t="s">
        <v>42</v>
      </c>
      <c r="R1316" s="26" t="s">
        <v>43</v>
      </c>
      <c r="S1316" s="26"/>
      <c r="T1316" s="26"/>
      <c r="U1316" s="26"/>
      <c r="V1316" s="26"/>
      <c r="W1316" s="26"/>
      <c r="X1316" s="26"/>
    </row>
    <row r="1317" spans="1:24">
      <c r="A1317" s="26" t="s">
        <v>31</v>
      </c>
      <c r="B1317" s="26" t="s">
        <v>5168</v>
      </c>
      <c r="C1317" s="26" t="s">
        <v>5169</v>
      </c>
      <c r="D1317" s="26">
        <f t="shared" si="20"/>
        <v>-1</v>
      </c>
      <c r="E1317" s="26" t="s">
        <v>34</v>
      </c>
      <c r="F1317" s="26" t="s">
        <v>4891</v>
      </c>
      <c r="G1317" s="26" t="s">
        <v>5170</v>
      </c>
      <c r="H1317" s="26" t="s">
        <v>37</v>
      </c>
      <c r="I1317" s="26" t="s">
        <v>38</v>
      </c>
      <c r="J1317" s="26" t="s">
        <v>5171</v>
      </c>
      <c r="K1317" s="26" t="s">
        <v>5172</v>
      </c>
      <c r="L1317" s="26">
        <v>258867.78</v>
      </c>
      <c r="M1317" s="26">
        <v>0</v>
      </c>
      <c r="N1317" s="26">
        <v>0</v>
      </c>
      <c r="O1317" s="26">
        <v>14961753.779999999</v>
      </c>
      <c r="P1317" s="26" t="s">
        <v>41</v>
      </c>
      <c r="Q1317" s="26" t="s">
        <v>42</v>
      </c>
      <c r="R1317" s="26"/>
      <c r="S1317" s="26"/>
      <c r="T1317" s="26"/>
      <c r="U1317" s="26"/>
      <c r="V1317" s="26" t="s">
        <v>43</v>
      </c>
      <c r="W1317" s="26"/>
      <c r="X1317" s="26"/>
    </row>
    <row r="1318" spans="1:24">
      <c r="A1318" s="26" t="s">
        <v>31</v>
      </c>
      <c r="B1318" s="26" t="s">
        <v>5173</v>
      </c>
      <c r="C1318" s="26" t="s">
        <v>5174</v>
      </c>
      <c r="D1318" s="26">
        <f t="shared" si="20"/>
        <v>-1</v>
      </c>
      <c r="E1318" s="26" t="s">
        <v>34</v>
      </c>
      <c r="F1318" s="26" t="s">
        <v>4891</v>
      </c>
      <c r="G1318" s="26" t="s">
        <v>5175</v>
      </c>
      <c r="H1318" s="26" t="s">
        <v>37</v>
      </c>
      <c r="I1318" s="26" t="s">
        <v>38</v>
      </c>
      <c r="J1318" s="26" t="s">
        <v>5176</v>
      </c>
      <c r="K1318" s="26" t="s">
        <v>5177</v>
      </c>
      <c r="L1318" s="26">
        <v>302012.40999999997</v>
      </c>
      <c r="M1318" s="26">
        <v>0</v>
      </c>
      <c r="N1318" s="26">
        <v>0</v>
      </c>
      <c r="O1318" s="26">
        <v>17455379.41</v>
      </c>
      <c r="P1318" s="26" t="s">
        <v>41</v>
      </c>
      <c r="Q1318" s="26" t="s">
        <v>42</v>
      </c>
      <c r="R1318" s="26"/>
      <c r="S1318" s="26"/>
      <c r="T1318" s="26"/>
      <c r="U1318" s="26"/>
      <c r="V1318" s="26" t="s">
        <v>43</v>
      </c>
      <c r="W1318" s="26"/>
      <c r="X1318" s="26"/>
    </row>
    <row r="1319" spans="1:24">
      <c r="A1319" s="35" t="s">
        <v>31</v>
      </c>
      <c r="B1319" s="35" t="s">
        <v>5178</v>
      </c>
      <c r="C1319" s="35" t="s">
        <v>5179</v>
      </c>
      <c r="D1319" s="35">
        <f t="shared" si="20"/>
        <v>-1</v>
      </c>
      <c r="E1319" s="35" t="s">
        <v>34</v>
      </c>
      <c r="F1319" s="35" t="s">
        <v>4891</v>
      </c>
      <c r="G1319" s="35" t="s">
        <v>5180</v>
      </c>
      <c r="H1319" s="35" t="s">
        <v>37</v>
      </c>
      <c r="I1319" s="35" t="s">
        <v>38</v>
      </c>
      <c r="J1319" s="35" t="s">
        <v>3510</v>
      </c>
      <c r="K1319" s="35" t="s">
        <v>3511</v>
      </c>
      <c r="L1319" s="35">
        <v>14762968.65</v>
      </c>
      <c r="M1319" s="35">
        <v>0</v>
      </c>
      <c r="N1319" s="35">
        <v>0</v>
      </c>
      <c r="O1319" s="35">
        <v>92462803.650000006</v>
      </c>
      <c r="P1319" s="35" t="s">
        <v>41</v>
      </c>
      <c r="Q1319" s="35" t="s">
        <v>42</v>
      </c>
      <c r="R1319" s="26"/>
      <c r="S1319" s="26"/>
      <c r="T1319" s="26"/>
      <c r="U1319" s="26"/>
      <c r="V1319" s="26"/>
      <c r="W1319" s="35" t="s">
        <v>43</v>
      </c>
      <c r="X1319" s="26" t="s">
        <v>647</v>
      </c>
    </row>
    <row r="1320" spans="1:24">
      <c r="A1320" s="32" t="s">
        <v>31</v>
      </c>
      <c r="B1320" s="32" t="s">
        <v>5181</v>
      </c>
      <c r="C1320" s="32" t="s">
        <v>5182</v>
      </c>
      <c r="D1320" s="32">
        <f t="shared" si="20"/>
        <v>-1</v>
      </c>
      <c r="E1320" s="32" t="s">
        <v>34</v>
      </c>
      <c r="F1320" s="32" t="s">
        <v>4891</v>
      </c>
      <c r="G1320" s="32" t="s">
        <v>5183</v>
      </c>
      <c r="H1320" s="32" t="s">
        <v>37</v>
      </c>
      <c r="I1320" s="32" t="s">
        <v>38</v>
      </c>
      <c r="J1320" s="32" t="s">
        <v>5184</v>
      </c>
      <c r="K1320" s="32" t="s">
        <v>5185</v>
      </c>
      <c r="L1320" s="32">
        <v>15732</v>
      </c>
      <c r="M1320" s="32">
        <v>0</v>
      </c>
      <c r="N1320" s="32">
        <v>0</v>
      </c>
      <c r="O1320" s="32">
        <v>98532</v>
      </c>
      <c r="P1320" s="32" t="s">
        <v>41</v>
      </c>
      <c r="Q1320" s="32" t="s">
        <v>42</v>
      </c>
      <c r="R1320" s="26" t="s">
        <v>43</v>
      </c>
      <c r="S1320" s="26"/>
      <c r="T1320" s="26"/>
      <c r="U1320" s="26"/>
      <c r="V1320" s="26"/>
      <c r="W1320" s="26"/>
      <c r="X1320" s="26"/>
    </row>
    <row r="1321" spans="1:24">
      <c r="A1321" s="26" t="s">
        <v>31</v>
      </c>
      <c r="B1321" s="26" t="s">
        <v>5186</v>
      </c>
      <c r="C1321" s="26" t="s">
        <v>5187</v>
      </c>
      <c r="D1321" s="26">
        <f t="shared" si="20"/>
        <v>-1</v>
      </c>
      <c r="E1321" s="26" t="s">
        <v>34</v>
      </c>
      <c r="F1321" s="26" t="s">
        <v>4891</v>
      </c>
      <c r="G1321" s="26" t="s">
        <v>5188</v>
      </c>
      <c r="H1321" s="26" t="s">
        <v>37</v>
      </c>
      <c r="I1321" s="26" t="s">
        <v>38</v>
      </c>
      <c r="J1321" s="26" t="s">
        <v>1183</v>
      </c>
      <c r="K1321" s="26" t="s">
        <v>1184</v>
      </c>
      <c r="L1321" s="26">
        <v>25650</v>
      </c>
      <c r="M1321" s="26">
        <v>0</v>
      </c>
      <c r="N1321" s="26">
        <v>0</v>
      </c>
      <c r="O1321" s="26">
        <v>160650</v>
      </c>
      <c r="P1321" s="26" t="s">
        <v>41</v>
      </c>
      <c r="Q1321" s="26" t="s">
        <v>42</v>
      </c>
      <c r="R1321" s="26"/>
      <c r="S1321" s="26"/>
      <c r="T1321" s="26"/>
      <c r="U1321" s="26"/>
      <c r="V1321" s="26" t="s">
        <v>43</v>
      </c>
      <c r="W1321" s="26"/>
      <c r="X1321" s="26"/>
    </row>
    <row r="1322" spans="1:24">
      <c r="A1322" s="26" t="s">
        <v>31</v>
      </c>
      <c r="B1322" s="26" t="s">
        <v>5189</v>
      </c>
      <c r="C1322" s="26" t="s">
        <v>5190</v>
      </c>
      <c r="D1322" s="26">
        <f t="shared" si="20"/>
        <v>-1</v>
      </c>
      <c r="E1322" s="26" t="s">
        <v>34</v>
      </c>
      <c r="F1322" s="26" t="s">
        <v>4891</v>
      </c>
      <c r="G1322" s="26" t="s">
        <v>5191</v>
      </c>
      <c r="H1322" s="26" t="s">
        <v>37</v>
      </c>
      <c r="I1322" s="26" t="s">
        <v>38</v>
      </c>
      <c r="J1322" s="26" t="s">
        <v>5192</v>
      </c>
      <c r="K1322" s="26" t="s">
        <v>5193</v>
      </c>
      <c r="L1322" s="26">
        <v>62700</v>
      </c>
      <c r="M1322" s="26">
        <v>0</v>
      </c>
      <c r="N1322" s="26">
        <v>0</v>
      </c>
      <c r="O1322" s="26">
        <v>392700</v>
      </c>
      <c r="P1322" s="26" t="s">
        <v>41</v>
      </c>
      <c r="Q1322" s="26" t="s">
        <v>42</v>
      </c>
      <c r="R1322" s="26"/>
      <c r="S1322" s="26"/>
      <c r="T1322" s="26"/>
      <c r="U1322" s="26"/>
      <c r="V1322" s="26" t="s">
        <v>43</v>
      </c>
      <c r="W1322" s="26"/>
      <c r="X1322" s="26"/>
    </row>
    <row r="1323" spans="1:24">
      <c r="A1323" s="26" t="s">
        <v>31</v>
      </c>
      <c r="B1323" s="26" t="s">
        <v>5194</v>
      </c>
      <c r="C1323" s="26" t="s">
        <v>5195</v>
      </c>
      <c r="D1323" s="26">
        <f t="shared" si="20"/>
        <v>-1</v>
      </c>
      <c r="E1323" s="26" t="s">
        <v>34</v>
      </c>
      <c r="F1323" s="26" t="s">
        <v>4891</v>
      </c>
      <c r="G1323" s="26" t="s">
        <v>5196</v>
      </c>
      <c r="H1323" s="26" t="s">
        <v>37</v>
      </c>
      <c r="I1323" s="26" t="s">
        <v>38</v>
      </c>
      <c r="J1323" s="26" t="s">
        <v>5197</v>
      </c>
      <c r="K1323" s="26" t="s">
        <v>5198</v>
      </c>
      <c r="L1323" s="26">
        <v>0</v>
      </c>
      <c r="M1323" s="26">
        <v>0</v>
      </c>
      <c r="N1323" s="26">
        <v>0</v>
      </c>
      <c r="O1323" s="26">
        <v>3216000</v>
      </c>
      <c r="P1323" s="26" t="s">
        <v>41</v>
      </c>
      <c r="Q1323" s="26" t="s">
        <v>42</v>
      </c>
      <c r="R1323" s="26"/>
      <c r="S1323" s="26"/>
      <c r="T1323" s="26"/>
      <c r="U1323" s="26"/>
      <c r="V1323" s="26" t="s">
        <v>43</v>
      </c>
      <c r="W1323" s="26"/>
      <c r="X1323" s="26"/>
    </row>
    <row r="1324" spans="1:24">
      <c r="A1324" s="32" t="s">
        <v>31</v>
      </c>
      <c r="B1324" s="32" t="s">
        <v>5199</v>
      </c>
      <c r="C1324" s="32" t="s">
        <v>5200</v>
      </c>
      <c r="D1324" s="32">
        <f t="shared" si="20"/>
        <v>-1</v>
      </c>
      <c r="E1324" s="32" t="s">
        <v>34</v>
      </c>
      <c r="F1324" s="32" t="s">
        <v>4891</v>
      </c>
      <c r="G1324" s="32" t="s">
        <v>5196</v>
      </c>
      <c r="H1324" s="32" t="s">
        <v>37</v>
      </c>
      <c r="I1324" s="32" t="s">
        <v>38</v>
      </c>
      <c r="J1324" s="32" t="s">
        <v>5201</v>
      </c>
      <c r="K1324" s="32" t="s">
        <v>5202</v>
      </c>
      <c r="L1324" s="32">
        <v>140410</v>
      </c>
      <c r="M1324" s="32">
        <v>0</v>
      </c>
      <c r="N1324" s="32">
        <v>0</v>
      </c>
      <c r="O1324" s="32">
        <v>879410</v>
      </c>
      <c r="P1324" s="32" t="s">
        <v>41</v>
      </c>
      <c r="Q1324" s="32" t="s">
        <v>42</v>
      </c>
      <c r="R1324" s="26" t="s">
        <v>43</v>
      </c>
      <c r="S1324" s="26"/>
      <c r="T1324" s="26"/>
      <c r="U1324" s="26"/>
      <c r="V1324" s="26"/>
      <c r="W1324" s="26"/>
      <c r="X1324" s="26"/>
    </row>
    <row r="1325" spans="1:24">
      <c r="A1325" s="34" t="s">
        <v>31</v>
      </c>
      <c r="B1325" s="34" t="s">
        <v>5203</v>
      </c>
      <c r="C1325" s="34" t="s">
        <v>5204</v>
      </c>
      <c r="D1325" s="34">
        <f t="shared" si="20"/>
        <v>-1</v>
      </c>
      <c r="E1325" s="34" t="s">
        <v>34</v>
      </c>
      <c r="F1325" s="34" t="s">
        <v>4891</v>
      </c>
      <c r="G1325" s="34" t="s">
        <v>5205</v>
      </c>
      <c r="H1325" s="34" t="s">
        <v>37</v>
      </c>
      <c r="I1325" s="34" t="s">
        <v>38</v>
      </c>
      <c r="J1325" s="34" t="s">
        <v>5206</v>
      </c>
      <c r="K1325" s="34" t="s">
        <v>5207</v>
      </c>
      <c r="L1325" s="34">
        <v>431870</v>
      </c>
      <c r="M1325" s="34">
        <v>0</v>
      </c>
      <c r="N1325" s="34">
        <v>0</v>
      </c>
      <c r="O1325" s="34">
        <v>2704870</v>
      </c>
      <c r="P1325" s="34" t="s">
        <v>41</v>
      </c>
      <c r="Q1325" s="34" t="s">
        <v>42</v>
      </c>
      <c r="R1325" s="26"/>
      <c r="S1325" s="26"/>
      <c r="T1325" s="26" t="s">
        <v>43</v>
      </c>
      <c r="U1325" s="26"/>
      <c r="V1325" s="26"/>
      <c r="W1325" s="26"/>
      <c r="X1325" s="26"/>
    </row>
    <row r="1326" spans="1:24">
      <c r="A1326" s="32" t="s">
        <v>31</v>
      </c>
      <c r="B1326" s="32" t="s">
        <v>5208</v>
      </c>
      <c r="C1326" s="32" t="s">
        <v>5209</v>
      </c>
      <c r="D1326" s="32">
        <f t="shared" si="20"/>
        <v>-1</v>
      </c>
      <c r="E1326" s="32" t="s">
        <v>34</v>
      </c>
      <c r="F1326" s="32" t="s">
        <v>4891</v>
      </c>
      <c r="G1326" s="32" t="s">
        <v>5210</v>
      </c>
      <c r="H1326" s="32" t="s">
        <v>37</v>
      </c>
      <c r="I1326" s="32" t="s">
        <v>38</v>
      </c>
      <c r="J1326" s="32" t="s">
        <v>5211</v>
      </c>
      <c r="K1326" s="32" t="s">
        <v>5212</v>
      </c>
      <c r="L1326" s="32">
        <v>140828</v>
      </c>
      <c r="M1326" s="32">
        <v>0</v>
      </c>
      <c r="N1326" s="32">
        <v>0</v>
      </c>
      <c r="O1326" s="32">
        <v>882028</v>
      </c>
      <c r="P1326" s="32" t="s">
        <v>41</v>
      </c>
      <c r="Q1326" s="32" t="s">
        <v>42</v>
      </c>
      <c r="R1326" s="26" t="s">
        <v>43</v>
      </c>
      <c r="S1326" s="26"/>
      <c r="T1326" s="26"/>
      <c r="U1326" s="26"/>
      <c r="V1326" s="26"/>
      <c r="W1326" s="26"/>
      <c r="X1326" s="26"/>
    </row>
    <row r="1327" spans="1:24">
      <c r="A1327" s="34" t="s">
        <v>31</v>
      </c>
      <c r="B1327" s="34" t="s">
        <v>5213</v>
      </c>
      <c r="C1327" s="34" t="s">
        <v>5214</v>
      </c>
      <c r="D1327" s="34">
        <f t="shared" si="20"/>
        <v>-1</v>
      </c>
      <c r="E1327" s="34" t="s">
        <v>34</v>
      </c>
      <c r="F1327" s="34" t="s">
        <v>4891</v>
      </c>
      <c r="G1327" s="34" t="s">
        <v>5215</v>
      </c>
      <c r="H1327" s="34" t="s">
        <v>37</v>
      </c>
      <c r="I1327" s="34" t="s">
        <v>38</v>
      </c>
      <c r="J1327" s="34" t="s">
        <v>2143</v>
      </c>
      <c r="K1327" s="34" t="s">
        <v>2144</v>
      </c>
      <c r="L1327" s="34">
        <v>97179.3</v>
      </c>
      <c r="M1327" s="34">
        <v>0</v>
      </c>
      <c r="N1327" s="34">
        <v>0</v>
      </c>
      <c r="O1327" s="34">
        <v>608649.30000000005</v>
      </c>
      <c r="P1327" s="34" t="s">
        <v>41</v>
      </c>
      <c r="Q1327" s="34" t="s">
        <v>42</v>
      </c>
      <c r="R1327" s="26"/>
      <c r="S1327" s="26"/>
      <c r="T1327" s="26" t="s">
        <v>43</v>
      </c>
      <c r="U1327" s="26"/>
      <c r="V1327" s="26"/>
      <c r="W1327" s="26"/>
      <c r="X1327" s="26"/>
    </row>
    <row r="1328" spans="1:24">
      <c r="A1328" s="32" t="s">
        <v>31</v>
      </c>
      <c r="B1328" s="32" t="s">
        <v>5216</v>
      </c>
      <c r="C1328" s="32">
        <v>106973</v>
      </c>
      <c r="D1328" s="32">
        <f t="shared" si="20"/>
        <v>-1</v>
      </c>
      <c r="E1328" s="32" t="s">
        <v>34</v>
      </c>
      <c r="F1328" s="32" t="s">
        <v>4891</v>
      </c>
      <c r="G1328" s="32" t="s">
        <v>5215</v>
      </c>
      <c r="H1328" s="32" t="s">
        <v>37</v>
      </c>
      <c r="I1328" s="32" t="s">
        <v>38</v>
      </c>
      <c r="J1328" s="32" t="s">
        <v>5217</v>
      </c>
      <c r="K1328" s="32" t="s">
        <v>5218</v>
      </c>
      <c r="L1328" s="32">
        <v>2765811</v>
      </c>
      <c r="M1328" s="32">
        <v>0</v>
      </c>
      <c r="N1328" s="32">
        <v>0</v>
      </c>
      <c r="O1328" s="32">
        <v>17322711</v>
      </c>
      <c r="P1328" s="32" t="s">
        <v>41</v>
      </c>
      <c r="Q1328" s="32" t="s">
        <v>42</v>
      </c>
      <c r="R1328" s="26" t="s">
        <v>43</v>
      </c>
      <c r="S1328" s="26"/>
      <c r="T1328" s="26"/>
      <c r="U1328" s="26"/>
      <c r="V1328" s="26"/>
      <c r="W1328" s="26"/>
      <c r="X1328" s="26"/>
    </row>
    <row r="1329" spans="1:24">
      <c r="A1329" s="26" t="s">
        <v>31</v>
      </c>
      <c r="B1329" s="26" t="s">
        <v>5219</v>
      </c>
      <c r="C1329" s="26" t="s">
        <v>5220</v>
      </c>
      <c r="D1329" s="26">
        <f t="shared" si="20"/>
        <v>-1</v>
      </c>
      <c r="E1329" s="26" t="s">
        <v>34</v>
      </c>
      <c r="F1329" s="26" t="s">
        <v>4891</v>
      </c>
      <c r="G1329" s="26" t="s">
        <v>5221</v>
      </c>
      <c r="H1329" s="26" t="s">
        <v>37</v>
      </c>
      <c r="I1329" s="26" t="s">
        <v>38</v>
      </c>
      <c r="J1329" s="26" t="s">
        <v>2192</v>
      </c>
      <c r="K1329" s="26" t="s">
        <v>2193</v>
      </c>
      <c r="L1329" s="26">
        <v>92758</v>
      </c>
      <c r="M1329" s="26">
        <v>0</v>
      </c>
      <c r="N1329" s="26">
        <v>0</v>
      </c>
      <c r="O1329" s="26">
        <v>580958</v>
      </c>
      <c r="P1329" s="26" t="s">
        <v>41</v>
      </c>
      <c r="Q1329" s="26" t="s">
        <v>42</v>
      </c>
      <c r="R1329" s="26"/>
      <c r="S1329" s="26"/>
      <c r="T1329" s="26"/>
      <c r="U1329" s="26"/>
      <c r="V1329" s="26" t="s">
        <v>43</v>
      </c>
      <c r="W1329" s="26"/>
      <c r="X1329" s="26"/>
    </row>
    <row r="1330" spans="1:24">
      <c r="A1330" s="35" t="s">
        <v>31</v>
      </c>
      <c r="B1330" s="35" t="s">
        <v>5222</v>
      </c>
      <c r="C1330" s="35" t="s">
        <v>5223</v>
      </c>
      <c r="D1330" s="35">
        <f t="shared" si="20"/>
        <v>-1</v>
      </c>
      <c r="E1330" s="35" t="s">
        <v>34</v>
      </c>
      <c r="F1330" s="35" t="s">
        <v>4891</v>
      </c>
      <c r="G1330" s="35" t="s">
        <v>5224</v>
      </c>
      <c r="H1330" s="35" t="s">
        <v>37</v>
      </c>
      <c r="I1330" s="35" t="s">
        <v>38</v>
      </c>
      <c r="J1330" s="35" t="s">
        <v>3083</v>
      </c>
      <c r="K1330" s="35" t="s">
        <v>3084</v>
      </c>
      <c r="L1330" s="35">
        <v>16169</v>
      </c>
      <c r="M1330" s="35">
        <v>0</v>
      </c>
      <c r="N1330" s="35">
        <v>0</v>
      </c>
      <c r="O1330" s="35">
        <v>101269</v>
      </c>
      <c r="P1330" s="35" t="s">
        <v>41</v>
      </c>
      <c r="Q1330" s="35" t="s">
        <v>42</v>
      </c>
      <c r="R1330" s="26"/>
      <c r="S1330" s="26"/>
      <c r="T1330" s="26"/>
      <c r="U1330" s="26"/>
      <c r="V1330" s="26"/>
      <c r="W1330" s="35" t="s">
        <v>43</v>
      </c>
      <c r="X1330" s="26" t="s">
        <v>5225</v>
      </c>
    </row>
    <row r="1331" spans="1:24">
      <c r="A1331" s="26" t="s">
        <v>31</v>
      </c>
      <c r="B1331" s="26" t="s">
        <v>5226</v>
      </c>
      <c r="C1331" s="26" t="s">
        <v>5227</v>
      </c>
      <c r="D1331" s="26">
        <f t="shared" si="20"/>
        <v>-1</v>
      </c>
      <c r="E1331" s="26" t="s">
        <v>34</v>
      </c>
      <c r="F1331" s="26" t="s">
        <v>4891</v>
      </c>
      <c r="G1331" s="26" t="s">
        <v>5228</v>
      </c>
      <c r="H1331" s="26" t="s">
        <v>37</v>
      </c>
      <c r="I1331" s="26" t="s">
        <v>38</v>
      </c>
      <c r="J1331" s="26" t="s">
        <v>616</v>
      </c>
      <c r="K1331" s="26" t="s">
        <v>617</v>
      </c>
      <c r="L1331" s="26">
        <v>3602400</v>
      </c>
      <c r="M1331" s="26">
        <v>0</v>
      </c>
      <c r="N1331" s="26">
        <v>0</v>
      </c>
      <c r="O1331" s="26">
        <v>22562400</v>
      </c>
      <c r="P1331" s="26" t="s">
        <v>41</v>
      </c>
      <c r="Q1331" s="26" t="s">
        <v>42</v>
      </c>
      <c r="R1331" s="26"/>
      <c r="S1331" s="26"/>
      <c r="T1331" s="26"/>
      <c r="U1331" s="26"/>
      <c r="V1331" s="26" t="s">
        <v>43</v>
      </c>
      <c r="W1331" s="26"/>
      <c r="X1331" s="26"/>
    </row>
    <row r="1332" spans="1:24">
      <c r="A1332" s="26" t="s">
        <v>31</v>
      </c>
      <c r="B1332" s="26" t="s">
        <v>5229</v>
      </c>
      <c r="C1332" s="26" t="s">
        <v>5230</v>
      </c>
      <c r="D1332" s="26">
        <f t="shared" si="20"/>
        <v>-1</v>
      </c>
      <c r="E1332" s="26" t="s">
        <v>34</v>
      </c>
      <c r="F1332" s="26" t="s">
        <v>4891</v>
      </c>
      <c r="G1332" s="26" t="s">
        <v>5231</v>
      </c>
      <c r="H1332" s="26" t="s">
        <v>37</v>
      </c>
      <c r="I1332" s="26" t="s">
        <v>38</v>
      </c>
      <c r="J1332" s="26" t="s">
        <v>5232</v>
      </c>
      <c r="K1332" s="26" t="s">
        <v>5233</v>
      </c>
      <c r="L1332" s="26">
        <v>654151</v>
      </c>
      <c r="M1332" s="26">
        <v>0</v>
      </c>
      <c r="N1332" s="26">
        <v>0</v>
      </c>
      <c r="O1332" s="26">
        <v>4097051</v>
      </c>
      <c r="P1332" s="26" t="s">
        <v>41</v>
      </c>
      <c r="Q1332" s="26" t="s">
        <v>42</v>
      </c>
      <c r="R1332" s="26"/>
      <c r="S1332" s="26"/>
      <c r="T1332" s="26"/>
      <c r="U1332" s="26"/>
      <c r="V1332" s="26" t="s">
        <v>43</v>
      </c>
      <c r="W1332" s="26"/>
      <c r="X1332" s="26"/>
    </row>
    <row r="1333" spans="1:24">
      <c r="A1333" s="26" t="s">
        <v>31</v>
      </c>
      <c r="B1333" s="26" t="s">
        <v>5234</v>
      </c>
      <c r="C1333" s="26" t="s">
        <v>5235</v>
      </c>
      <c r="D1333" s="26">
        <f t="shared" si="20"/>
        <v>-1</v>
      </c>
      <c r="E1333" s="26" t="s">
        <v>34</v>
      </c>
      <c r="F1333" s="26" t="s">
        <v>4891</v>
      </c>
      <c r="G1333" s="26" t="s">
        <v>5236</v>
      </c>
      <c r="H1333" s="26" t="s">
        <v>37</v>
      </c>
      <c r="I1333" s="26" t="s">
        <v>38</v>
      </c>
      <c r="J1333" s="26" t="s">
        <v>5237</v>
      </c>
      <c r="K1333" s="26" t="s">
        <v>5238</v>
      </c>
      <c r="L1333" s="26">
        <v>3087500</v>
      </c>
      <c r="M1333" s="26">
        <v>0</v>
      </c>
      <c r="N1333" s="26">
        <v>0</v>
      </c>
      <c r="O1333" s="26">
        <v>19337500</v>
      </c>
      <c r="P1333" s="26" t="s">
        <v>41</v>
      </c>
      <c r="Q1333" s="26" t="s">
        <v>42</v>
      </c>
      <c r="R1333" s="26"/>
      <c r="S1333" s="26"/>
      <c r="T1333" s="26"/>
      <c r="U1333" s="26"/>
      <c r="V1333" s="26" t="s">
        <v>43</v>
      </c>
      <c r="W1333" s="26"/>
      <c r="X1333" s="26"/>
    </row>
    <row r="1334" spans="1:24">
      <c r="A1334" s="34" t="s">
        <v>31</v>
      </c>
      <c r="B1334" s="34" t="s">
        <v>5239</v>
      </c>
      <c r="C1334" s="34" t="s">
        <v>5240</v>
      </c>
      <c r="D1334" s="34">
        <f t="shared" si="20"/>
        <v>-1</v>
      </c>
      <c r="E1334" s="34" t="s">
        <v>34</v>
      </c>
      <c r="F1334" s="34" t="s">
        <v>4891</v>
      </c>
      <c r="G1334" s="34" t="s">
        <v>5241</v>
      </c>
      <c r="H1334" s="34" t="s">
        <v>37</v>
      </c>
      <c r="I1334" s="34" t="s">
        <v>38</v>
      </c>
      <c r="J1334" s="34" t="s">
        <v>5242</v>
      </c>
      <c r="K1334" s="34" t="s">
        <v>5243</v>
      </c>
      <c r="L1334" s="34">
        <v>281361.5</v>
      </c>
      <c r="M1334" s="34">
        <v>0</v>
      </c>
      <c r="N1334" s="34">
        <v>0</v>
      </c>
      <c r="O1334" s="34">
        <v>1762211.5</v>
      </c>
      <c r="P1334" s="34" t="s">
        <v>41</v>
      </c>
      <c r="Q1334" s="34" t="s">
        <v>42</v>
      </c>
      <c r="R1334" s="26"/>
      <c r="S1334" s="26"/>
      <c r="T1334" s="26" t="s">
        <v>43</v>
      </c>
      <c r="U1334" s="26"/>
      <c r="V1334" s="26"/>
      <c r="W1334" s="26"/>
      <c r="X1334" s="26"/>
    </row>
    <row r="1335" spans="1:24">
      <c r="A1335" s="26" t="s">
        <v>31</v>
      </c>
      <c r="B1335" s="26" t="s">
        <v>5244</v>
      </c>
      <c r="C1335" s="26" t="s">
        <v>5245</v>
      </c>
      <c r="D1335" s="26">
        <f t="shared" si="20"/>
        <v>-1</v>
      </c>
      <c r="E1335" s="26" t="s">
        <v>34</v>
      </c>
      <c r="F1335" s="26" t="s">
        <v>4891</v>
      </c>
      <c r="G1335" s="26" t="s">
        <v>5246</v>
      </c>
      <c r="H1335" s="26" t="s">
        <v>37</v>
      </c>
      <c r="I1335" s="26" t="s">
        <v>38</v>
      </c>
      <c r="J1335" s="26" t="s">
        <v>3688</v>
      </c>
      <c r="K1335" s="26" t="s">
        <v>3689</v>
      </c>
      <c r="L1335" s="26">
        <v>222300</v>
      </c>
      <c r="M1335" s="26">
        <v>0</v>
      </c>
      <c r="N1335" s="26">
        <v>0</v>
      </c>
      <c r="O1335" s="26">
        <v>1392300</v>
      </c>
      <c r="P1335" s="26" t="s">
        <v>41</v>
      </c>
      <c r="Q1335" s="26" t="s">
        <v>42</v>
      </c>
      <c r="R1335" s="26"/>
      <c r="S1335" s="26"/>
      <c r="T1335" s="26"/>
      <c r="U1335" s="26"/>
      <c r="V1335" s="26" t="s">
        <v>43</v>
      </c>
      <c r="W1335" s="26"/>
      <c r="X1335" s="26"/>
    </row>
    <row r="1336" spans="1:24">
      <c r="A1336" s="26" t="s">
        <v>31</v>
      </c>
      <c r="B1336" s="26" t="s">
        <v>5247</v>
      </c>
      <c r="C1336" s="26" t="s">
        <v>5248</v>
      </c>
      <c r="D1336" s="26">
        <f t="shared" si="20"/>
        <v>-1</v>
      </c>
      <c r="E1336" s="26" t="s">
        <v>34</v>
      </c>
      <c r="F1336" s="26" t="s">
        <v>4891</v>
      </c>
      <c r="G1336" s="26" t="s">
        <v>5249</v>
      </c>
      <c r="H1336" s="26" t="s">
        <v>37</v>
      </c>
      <c r="I1336" s="26" t="s">
        <v>38</v>
      </c>
      <c r="J1336" s="26" t="s">
        <v>5250</v>
      </c>
      <c r="K1336" s="26" t="s">
        <v>5251</v>
      </c>
      <c r="L1336" s="26">
        <v>47500</v>
      </c>
      <c r="M1336" s="26">
        <v>0</v>
      </c>
      <c r="N1336" s="26">
        <v>0</v>
      </c>
      <c r="O1336" s="26">
        <v>297500</v>
      </c>
      <c r="P1336" s="26" t="s">
        <v>41</v>
      </c>
      <c r="Q1336" s="26" t="s">
        <v>42</v>
      </c>
      <c r="R1336" s="26"/>
      <c r="S1336" s="26"/>
      <c r="T1336" s="26"/>
      <c r="U1336" s="26"/>
      <c r="V1336" s="26" t="s">
        <v>43</v>
      </c>
      <c r="W1336" s="26"/>
      <c r="X1336" s="26"/>
    </row>
    <row r="1337" spans="1:24">
      <c r="A1337" s="31" t="s">
        <v>31</v>
      </c>
      <c r="B1337" s="31" t="s">
        <v>5252</v>
      </c>
      <c r="C1337" s="31" t="s">
        <v>5253</v>
      </c>
      <c r="D1337" s="31">
        <f t="shared" si="20"/>
        <v>-1</v>
      </c>
      <c r="E1337" s="31" t="s">
        <v>34</v>
      </c>
      <c r="F1337" s="31" t="s">
        <v>4891</v>
      </c>
      <c r="G1337" s="31" t="s">
        <v>5254</v>
      </c>
      <c r="H1337" s="31" t="s">
        <v>37</v>
      </c>
      <c r="I1337" s="31" t="s">
        <v>38</v>
      </c>
      <c r="J1337" s="31" t="s">
        <v>5255</v>
      </c>
      <c r="K1337" s="31" t="s">
        <v>5256</v>
      </c>
      <c r="L1337" s="31">
        <v>266000</v>
      </c>
      <c r="M1337" s="31">
        <v>0</v>
      </c>
      <c r="N1337" s="31">
        <v>0</v>
      </c>
      <c r="O1337" s="31">
        <v>1666000</v>
      </c>
      <c r="P1337" s="31" t="s">
        <v>41</v>
      </c>
      <c r="Q1337" s="31" t="s">
        <v>42</v>
      </c>
      <c r="R1337" s="26"/>
      <c r="S1337" s="26"/>
      <c r="T1337" s="26"/>
      <c r="U1337" s="31" t="s">
        <v>43</v>
      </c>
      <c r="V1337" s="26"/>
      <c r="W1337" s="26"/>
      <c r="X1337" s="26"/>
    </row>
    <row r="1338" spans="1:24">
      <c r="A1338" s="26" t="s">
        <v>31</v>
      </c>
      <c r="B1338" s="26" t="s">
        <v>5257</v>
      </c>
      <c r="C1338" s="26" t="s">
        <v>5258</v>
      </c>
      <c r="D1338" s="26">
        <f t="shared" si="20"/>
        <v>-1</v>
      </c>
      <c r="E1338" s="26" t="s">
        <v>34</v>
      </c>
      <c r="F1338" s="26" t="s">
        <v>4891</v>
      </c>
      <c r="G1338" s="26" t="s">
        <v>5259</v>
      </c>
      <c r="H1338" s="26" t="s">
        <v>37</v>
      </c>
      <c r="I1338" s="26" t="s">
        <v>38</v>
      </c>
      <c r="J1338" s="26" t="s">
        <v>5260</v>
      </c>
      <c r="K1338" s="26" t="s">
        <v>5261</v>
      </c>
      <c r="L1338" s="26">
        <v>3127065.41</v>
      </c>
      <c r="M1338" s="26">
        <v>0</v>
      </c>
      <c r="N1338" s="26">
        <v>0</v>
      </c>
      <c r="O1338" s="26">
        <v>19585304.41</v>
      </c>
      <c r="P1338" s="26" t="s">
        <v>41</v>
      </c>
      <c r="Q1338" s="26" t="s">
        <v>42</v>
      </c>
      <c r="R1338" s="26"/>
      <c r="S1338" s="26"/>
      <c r="T1338" s="26"/>
      <c r="U1338" s="26"/>
      <c r="V1338" s="26" t="s">
        <v>43</v>
      </c>
      <c r="W1338" s="26"/>
      <c r="X1338" s="26"/>
    </row>
    <row r="1339" spans="1:24">
      <c r="A1339" s="32" t="s">
        <v>31</v>
      </c>
      <c r="B1339" s="32" t="s">
        <v>5262</v>
      </c>
      <c r="C1339" s="32" t="s">
        <v>5263</v>
      </c>
      <c r="D1339" s="32">
        <f t="shared" si="20"/>
        <v>-1</v>
      </c>
      <c r="E1339" s="32" t="s">
        <v>34</v>
      </c>
      <c r="F1339" s="32" t="s">
        <v>5264</v>
      </c>
      <c r="G1339" s="32" t="s">
        <v>5265</v>
      </c>
      <c r="H1339" s="32" t="s">
        <v>37</v>
      </c>
      <c r="I1339" s="32" t="s">
        <v>38</v>
      </c>
      <c r="J1339" s="32" t="s">
        <v>5266</v>
      </c>
      <c r="K1339" s="32" t="s">
        <v>5267</v>
      </c>
      <c r="L1339" s="32">
        <v>534850</v>
      </c>
      <c r="M1339" s="32">
        <v>0</v>
      </c>
      <c r="N1339" s="32">
        <v>0</v>
      </c>
      <c r="O1339" s="32">
        <v>3349850</v>
      </c>
      <c r="P1339" s="32" t="s">
        <v>41</v>
      </c>
      <c r="Q1339" s="32" t="s">
        <v>42</v>
      </c>
      <c r="R1339" s="26" t="s">
        <v>43</v>
      </c>
      <c r="S1339" s="26"/>
      <c r="T1339" s="26"/>
      <c r="U1339" s="26"/>
      <c r="V1339" s="26"/>
      <c r="W1339" s="26"/>
      <c r="X1339" s="26"/>
    </row>
    <row r="1340" spans="1:24">
      <c r="A1340" s="32" t="s">
        <v>31</v>
      </c>
      <c r="B1340" s="32" t="s">
        <v>5268</v>
      </c>
      <c r="C1340" s="32" t="s">
        <v>5269</v>
      </c>
      <c r="D1340" s="32">
        <f t="shared" si="20"/>
        <v>-1</v>
      </c>
      <c r="E1340" s="32" t="s">
        <v>34</v>
      </c>
      <c r="F1340" s="32" t="s">
        <v>5264</v>
      </c>
      <c r="G1340" s="32" t="s">
        <v>5270</v>
      </c>
      <c r="H1340" s="32" t="s">
        <v>37</v>
      </c>
      <c r="I1340" s="32" t="s">
        <v>38</v>
      </c>
      <c r="J1340" s="32" t="s">
        <v>5266</v>
      </c>
      <c r="K1340" s="32" t="s">
        <v>5267</v>
      </c>
      <c r="L1340" s="32">
        <v>12730</v>
      </c>
      <c r="M1340" s="32">
        <v>0</v>
      </c>
      <c r="N1340" s="32">
        <v>0</v>
      </c>
      <c r="O1340" s="32">
        <v>79730</v>
      </c>
      <c r="P1340" s="32" t="s">
        <v>41</v>
      </c>
      <c r="Q1340" s="32" t="s">
        <v>42</v>
      </c>
      <c r="R1340" s="26" t="s">
        <v>43</v>
      </c>
      <c r="S1340" s="26"/>
      <c r="T1340" s="26"/>
      <c r="U1340" s="26"/>
      <c r="V1340" s="26"/>
      <c r="W1340" s="26"/>
      <c r="X1340" s="26"/>
    </row>
    <row r="1341" spans="1:24">
      <c r="A1341" s="32" t="s">
        <v>31</v>
      </c>
      <c r="B1341" s="32" t="s">
        <v>5271</v>
      </c>
      <c r="C1341" s="32" t="s">
        <v>5272</v>
      </c>
      <c r="D1341" s="32">
        <f t="shared" si="20"/>
        <v>-1</v>
      </c>
      <c r="E1341" s="32" t="s">
        <v>34</v>
      </c>
      <c r="F1341" s="32" t="s">
        <v>5264</v>
      </c>
      <c r="G1341" s="32" t="s">
        <v>5273</v>
      </c>
      <c r="H1341" s="32" t="s">
        <v>37</v>
      </c>
      <c r="I1341" s="32" t="s">
        <v>38</v>
      </c>
      <c r="J1341" s="32" t="s">
        <v>5266</v>
      </c>
      <c r="K1341" s="32" t="s">
        <v>5267</v>
      </c>
      <c r="L1341" s="32">
        <v>104500</v>
      </c>
      <c r="M1341" s="32">
        <v>0</v>
      </c>
      <c r="N1341" s="32">
        <v>0</v>
      </c>
      <c r="O1341" s="32">
        <v>654500</v>
      </c>
      <c r="P1341" s="32" t="s">
        <v>41</v>
      </c>
      <c r="Q1341" s="32" t="s">
        <v>42</v>
      </c>
      <c r="R1341" s="26" t="s">
        <v>43</v>
      </c>
      <c r="S1341" s="26"/>
      <c r="T1341" s="26"/>
      <c r="U1341" s="26"/>
      <c r="V1341" s="26"/>
      <c r="W1341" s="26"/>
      <c r="X1341" s="26"/>
    </row>
    <row r="1342" spans="1:24">
      <c r="A1342" s="26" t="s">
        <v>31</v>
      </c>
      <c r="B1342" s="26" t="s">
        <v>5274</v>
      </c>
      <c r="C1342" s="26" t="s">
        <v>5275</v>
      </c>
      <c r="D1342" s="26">
        <f t="shared" si="20"/>
        <v>-1</v>
      </c>
      <c r="E1342" s="26" t="s">
        <v>34</v>
      </c>
      <c r="F1342" s="26" t="s">
        <v>5264</v>
      </c>
      <c r="G1342" s="26" t="s">
        <v>5276</v>
      </c>
      <c r="H1342" s="26" t="s">
        <v>37</v>
      </c>
      <c r="I1342" s="26" t="s">
        <v>38</v>
      </c>
      <c r="J1342" s="26" t="s">
        <v>2719</v>
      </c>
      <c r="K1342" s="26" t="s">
        <v>2720</v>
      </c>
      <c r="L1342" s="26">
        <v>7837.5</v>
      </c>
      <c r="M1342" s="26">
        <v>0</v>
      </c>
      <c r="N1342" s="26">
        <v>0</v>
      </c>
      <c r="O1342" s="26">
        <v>49087.5</v>
      </c>
      <c r="P1342" s="26" t="s">
        <v>41</v>
      </c>
      <c r="Q1342" s="26" t="s">
        <v>42</v>
      </c>
      <c r="R1342" s="26"/>
      <c r="S1342" s="26"/>
      <c r="T1342" s="26"/>
      <c r="U1342" s="26"/>
      <c r="V1342" s="26" t="s">
        <v>43</v>
      </c>
      <c r="W1342" s="26"/>
      <c r="X1342" s="26"/>
    </row>
    <row r="1343" spans="1:24">
      <c r="A1343" s="26" t="s">
        <v>31</v>
      </c>
      <c r="B1343" s="26" t="s">
        <v>5277</v>
      </c>
      <c r="C1343" s="26" t="s">
        <v>5278</v>
      </c>
      <c r="D1343" s="26">
        <f t="shared" si="20"/>
        <v>-1</v>
      </c>
      <c r="E1343" s="26" t="s">
        <v>34</v>
      </c>
      <c r="F1343" s="26" t="s">
        <v>5264</v>
      </c>
      <c r="G1343" s="26" t="s">
        <v>5279</v>
      </c>
      <c r="H1343" s="26" t="s">
        <v>37</v>
      </c>
      <c r="I1343" s="26" t="s">
        <v>38</v>
      </c>
      <c r="J1343" s="26" t="s">
        <v>2719</v>
      </c>
      <c r="K1343" s="26" t="s">
        <v>2720</v>
      </c>
      <c r="L1343" s="26">
        <v>9500</v>
      </c>
      <c r="M1343" s="26">
        <v>0</v>
      </c>
      <c r="N1343" s="26">
        <v>0</v>
      </c>
      <c r="O1343" s="26">
        <v>59500</v>
      </c>
      <c r="P1343" s="26" t="s">
        <v>41</v>
      </c>
      <c r="Q1343" s="26" t="s">
        <v>42</v>
      </c>
      <c r="R1343" s="26"/>
      <c r="S1343" s="26"/>
      <c r="T1343" s="26"/>
      <c r="U1343" s="26"/>
      <c r="V1343" s="26" t="s">
        <v>43</v>
      </c>
      <c r="W1343" s="26"/>
      <c r="X1343" s="26"/>
    </row>
    <row r="1344" spans="1:24">
      <c r="A1344" s="26" t="s">
        <v>31</v>
      </c>
      <c r="B1344" s="26" t="s">
        <v>5280</v>
      </c>
      <c r="C1344" s="26" t="s">
        <v>5281</v>
      </c>
      <c r="D1344" s="26">
        <f t="shared" si="20"/>
        <v>-1</v>
      </c>
      <c r="E1344" s="26" t="s">
        <v>34</v>
      </c>
      <c r="F1344" s="26" t="s">
        <v>5264</v>
      </c>
      <c r="G1344" s="26" t="s">
        <v>5282</v>
      </c>
      <c r="H1344" s="26" t="s">
        <v>37</v>
      </c>
      <c r="I1344" s="26" t="s">
        <v>38</v>
      </c>
      <c r="J1344" s="26" t="s">
        <v>5283</v>
      </c>
      <c r="K1344" s="26" t="s">
        <v>5284</v>
      </c>
      <c r="L1344" s="26">
        <v>4086900</v>
      </c>
      <c r="M1344" s="26">
        <v>0</v>
      </c>
      <c r="N1344" s="26">
        <v>0</v>
      </c>
      <c r="O1344" s="26">
        <v>25596900</v>
      </c>
      <c r="P1344" s="26" t="s">
        <v>41</v>
      </c>
      <c r="Q1344" s="26" t="s">
        <v>42</v>
      </c>
      <c r="R1344" s="26"/>
      <c r="S1344" s="26"/>
      <c r="T1344" s="26"/>
      <c r="U1344" s="26"/>
      <c r="V1344" s="26" t="s">
        <v>43</v>
      </c>
      <c r="W1344" s="26"/>
      <c r="X1344" s="26"/>
    </row>
    <row r="1345" spans="1:24">
      <c r="A1345" s="34" t="s">
        <v>31</v>
      </c>
      <c r="B1345" s="34" t="s">
        <v>5285</v>
      </c>
      <c r="C1345" s="34" t="s">
        <v>5286</v>
      </c>
      <c r="D1345" s="34">
        <f t="shared" si="20"/>
        <v>-1</v>
      </c>
      <c r="E1345" s="34" t="s">
        <v>34</v>
      </c>
      <c r="F1345" s="34" t="s">
        <v>5264</v>
      </c>
      <c r="G1345" s="34" t="s">
        <v>5287</v>
      </c>
      <c r="H1345" s="34" t="s">
        <v>37</v>
      </c>
      <c r="I1345" s="34" t="s">
        <v>38</v>
      </c>
      <c r="J1345" s="34" t="s">
        <v>4772</v>
      </c>
      <c r="K1345" s="34" t="s">
        <v>4773</v>
      </c>
      <c r="L1345" s="34">
        <v>3430975.35</v>
      </c>
      <c r="M1345" s="34">
        <v>0</v>
      </c>
      <c r="N1345" s="34">
        <v>0</v>
      </c>
      <c r="O1345" s="34">
        <v>21488740.350000001</v>
      </c>
      <c r="P1345" s="34" t="s">
        <v>41</v>
      </c>
      <c r="Q1345" s="34" t="s">
        <v>42</v>
      </c>
      <c r="R1345" s="26"/>
      <c r="S1345" s="26"/>
      <c r="T1345" s="26" t="s">
        <v>43</v>
      </c>
      <c r="U1345" s="26"/>
      <c r="V1345" s="26"/>
      <c r="W1345" s="26"/>
      <c r="X1345" s="26"/>
    </row>
    <row r="1346" spans="1:24">
      <c r="A1346" s="26" t="s">
        <v>31</v>
      </c>
      <c r="B1346" s="26" t="s">
        <v>5288</v>
      </c>
      <c r="C1346" s="26" t="s">
        <v>5289</v>
      </c>
      <c r="D1346" s="26">
        <f t="shared" si="20"/>
        <v>-1</v>
      </c>
      <c r="E1346" s="26" t="s">
        <v>34</v>
      </c>
      <c r="F1346" s="26" t="s">
        <v>5264</v>
      </c>
      <c r="G1346" s="26" t="s">
        <v>5290</v>
      </c>
      <c r="H1346" s="26" t="s">
        <v>37</v>
      </c>
      <c r="I1346" s="26" t="s">
        <v>38</v>
      </c>
      <c r="J1346" s="26" t="s">
        <v>769</v>
      </c>
      <c r="K1346" s="26" t="s">
        <v>770</v>
      </c>
      <c r="L1346" s="26">
        <v>3135</v>
      </c>
      <c r="M1346" s="26">
        <v>0</v>
      </c>
      <c r="N1346" s="26">
        <v>0</v>
      </c>
      <c r="O1346" s="26">
        <v>19635</v>
      </c>
      <c r="P1346" s="26" t="s">
        <v>41</v>
      </c>
      <c r="Q1346" s="26" t="s">
        <v>42</v>
      </c>
      <c r="R1346" s="26"/>
      <c r="S1346" s="26"/>
      <c r="T1346" s="26"/>
      <c r="U1346" s="26"/>
      <c r="V1346" s="26" t="s">
        <v>43</v>
      </c>
      <c r="W1346" s="26"/>
      <c r="X1346" s="26"/>
    </row>
    <row r="1347" spans="1:24">
      <c r="A1347" s="32" t="s">
        <v>31</v>
      </c>
      <c r="B1347" s="32" t="s">
        <v>5291</v>
      </c>
      <c r="C1347" s="32" t="s">
        <v>5292</v>
      </c>
      <c r="D1347" s="32">
        <f t="shared" si="20"/>
        <v>-1</v>
      </c>
      <c r="E1347" s="32" t="s">
        <v>34</v>
      </c>
      <c r="F1347" s="32" t="s">
        <v>5264</v>
      </c>
      <c r="G1347" s="32" t="s">
        <v>5293</v>
      </c>
      <c r="H1347" s="32" t="s">
        <v>37</v>
      </c>
      <c r="I1347" s="32" t="s">
        <v>38</v>
      </c>
      <c r="J1347" s="32" t="s">
        <v>5294</v>
      </c>
      <c r="K1347" s="32" t="s">
        <v>5295</v>
      </c>
      <c r="L1347" s="32">
        <v>114000</v>
      </c>
      <c r="M1347" s="32">
        <v>0</v>
      </c>
      <c r="N1347" s="32">
        <v>0</v>
      </c>
      <c r="O1347" s="32">
        <v>714000</v>
      </c>
      <c r="P1347" s="32" t="s">
        <v>41</v>
      </c>
      <c r="Q1347" s="32" t="s">
        <v>42</v>
      </c>
      <c r="R1347" s="26" t="s">
        <v>43</v>
      </c>
      <c r="S1347" s="26"/>
      <c r="T1347" s="26"/>
      <c r="U1347" s="26"/>
      <c r="V1347" s="26"/>
      <c r="W1347" s="26"/>
      <c r="X1347" s="26"/>
    </row>
    <row r="1348" spans="1:24">
      <c r="A1348" s="26" t="s">
        <v>31</v>
      </c>
      <c r="B1348" s="26" t="s">
        <v>5296</v>
      </c>
      <c r="C1348" s="26" t="s">
        <v>5297</v>
      </c>
      <c r="D1348" s="26">
        <f t="shared" si="20"/>
        <v>-1</v>
      </c>
      <c r="E1348" s="26" t="s">
        <v>34</v>
      </c>
      <c r="F1348" s="26" t="s">
        <v>5264</v>
      </c>
      <c r="G1348" s="26" t="s">
        <v>5298</v>
      </c>
      <c r="H1348" s="26" t="s">
        <v>37</v>
      </c>
      <c r="I1348" s="26" t="s">
        <v>38</v>
      </c>
      <c r="J1348" s="26" t="s">
        <v>471</v>
      </c>
      <c r="K1348" s="26" t="s">
        <v>472</v>
      </c>
      <c r="L1348" s="26">
        <v>0</v>
      </c>
      <c r="M1348" s="26">
        <v>0</v>
      </c>
      <c r="N1348" s="26">
        <v>0</v>
      </c>
      <c r="O1348" s="26">
        <v>1062366</v>
      </c>
      <c r="P1348" s="26" t="s">
        <v>41</v>
      </c>
      <c r="Q1348" s="26" t="s">
        <v>42</v>
      </c>
      <c r="R1348" s="26"/>
      <c r="S1348" s="26"/>
      <c r="T1348" s="26"/>
      <c r="U1348" s="26"/>
      <c r="V1348" s="26" t="s">
        <v>43</v>
      </c>
      <c r="W1348" s="26"/>
      <c r="X1348" s="26"/>
    </row>
    <row r="1349" spans="1:24">
      <c r="A1349" s="35" t="s">
        <v>31</v>
      </c>
      <c r="B1349" s="35" t="s">
        <v>5299</v>
      </c>
      <c r="C1349" s="35" t="s">
        <v>5300</v>
      </c>
      <c r="D1349" s="35">
        <f t="shared" si="20"/>
        <v>-1</v>
      </c>
      <c r="E1349" s="35" t="s">
        <v>34</v>
      </c>
      <c r="F1349" s="35" t="s">
        <v>5264</v>
      </c>
      <c r="G1349" s="35" t="s">
        <v>5301</v>
      </c>
      <c r="H1349" s="35" t="s">
        <v>37</v>
      </c>
      <c r="I1349" s="35" t="s">
        <v>38</v>
      </c>
      <c r="J1349" s="35" t="s">
        <v>5302</v>
      </c>
      <c r="K1349" s="35" t="s">
        <v>5303</v>
      </c>
      <c r="L1349" s="35">
        <v>49286</v>
      </c>
      <c r="M1349" s="35">
        <v>0</v>
      </c>
      <c r="N1349" s="35">
        <v>0</v>
      </c>
      <c r="O1349" s="35">
        <v>308686</v>
      </c>
      <c r="P1349" s="35" t="s">
        <v>41</v>
      </c>
      <c r="Q1349" s="35" t="s">
        <v>42</v>
      </c>
      <c r="R1349" s="26"/>
      <c r="S1349" s="26"/>
      <c r="T1349" s="26"/>
      <c r="U1349" s="26"/>
      <c r="V1349" s="26"/>
      <c r="W1349" s="35" t="s">
        <v>43</v>
      </c>
      <c r="X1349" s="26" t="s">
        <v>5304</v>
      </c>
    </row>
    <row r="1350" spans="1:24">
      <c r="A1350" s="34" t="s">
        <v>31</v>
      </c>
      <c r="B1350" s="34" t="s">
        <v>5305</v>
      </c>
      <c r="C1350" s="34" t="s">
        <v>5306</v>
      </c>
      <c r="D1350" s="34">
        <f t="shared" si="20"/>
        <v>-1</v>
      </c>
      <c r="E1350" s="34" t="s">
        <v>34</v>
      </c>
      <c r="F1350" s="34" t="s">
        <v>5264</v>
      </c>
      <c r="G1350" s="34" t="s">
        <v>5307</v>
      </c>
      <c r="H1350" s="34" t="s">
        <v>37</v>
      </c>
      <c r="I1350" s="34" t="s">
        <v>38</v>
      </c>
      <c r="J1350" s="34" t="s">
        <v>999</v>
      </c>
      <c r="K1350" s="34" t="s">
        <v>1000</v>
      </c>
      <c r="L1350" s="34">
        <v>261964.78</v>
      </c>
      <c r="M1350" s="34">
        <v>0</v>
      </c>
      <c r="N1350" s="34">
        <v>0</v>
      </c>
      <c r="O1350" s="34">
        <v>1640726.78</v>
      </c>
      <c r="P1350" s="34" t="s">
        <v>41</v>
      </c>
      <c r="Q1350" s="34" t="s">
        <v>42</v>
      </c>
      <c r="R1350" s="26"/>
      <c r="S1350" s="26"/>
      <c r="T1350" s="26" t="s">
        <v>43</v>
      </c>
      <c r="U1350" s="26"/>
      <c r="V1350" s="26"/>
      <c r="W1350" s="26"/>
      <c r="X1350" s="26"/>
    </row>
    <row r="1351" spans="1:24">
      <c r="A1351" s="35" t="s">
        <v>31</v>
      </c>
      <c r="B1351" s="35" t="s">
        <v>5308</v>
      </c>
      <c r="C1351" s="35" t="s">
        <v>5309</v>
      </c>
      <c r="D1351" s="35">
        <f t="shared" si="20"/>
        <v>-1</v>
      </c>
      <c r="E1351" s="35" t="s">
        <v>34</v>
      </c>
      <c r="F1351" s="35" t="s">
        <v>5264</v>
      </c>
      <c r="G1351" s="35" t="s">
        <v>5310</v>
      </c>
      <c r="H1351" s="35" t="s">
        <v>37</v>
      </c>
      <c r="I1351" s="35" t="s">
        <v>38</v>
      </c>
      <c r="J1351" s="35" t="s">
        <v>5311</v>
      </c>
      <c r="K1351" s="35" t="s">
        <v>5312</v>
      </c>
      <c r="L1351" s="35">
        <v>43163.25</v>
      </c>
      <c r="M1351" s="35">
        <v>0</v>
      </c>
      <c r="N1351" s="35">
        <v>0</v>
      </c>
      <c r="O1351" s="35">
        <v>270338.25</v>
      </c>
      <c r="P1351" s="35" t="s">
        <v>41</v>
      </c>
      <c r="Q1351" s="35" t="s">
        <v>42</v>
      </c>
      <c r="R1351" s="26"/>
      <c r="S1351" s="26"/>
      <c r="T1351" s="26"/>
      <c r="U1351" s="26"/>
      <c r="V1351" s="26"/>
      <c r="W1351" s="35" t="s">
        <v>43</v>
      </c>
      <c r="X1351" s="26" t="s">
        <v>920</v>
      </c>
    </row>
    <row r="1352" spans="1:24">
      <c r="A1352" s="26" t="s">
        <v>31</v>
      </c>
      <c r="B1352" s="26" t="s">
        <v>5313</v>
      </c>
      <c r="C1352" s="26" t="s">
        <v>5314</v>
      </c>
      <c r="D1352" s="26">
        <f t="shared" si="20"/>
        <v>-1</v>
      </c>
      <c r="E1352" s="26" t="s">
        <v>34</v>
      </c>
      <c r="F1352" s="26" t="s">
        <v>5264</v>
      </c>
      <c r="G1352" s="26" t="s">
        <v>5315</v>
      </c>
      <c r="H1352" s="26" t="s">
        <v>37</v>
      </c>
      <c r="I1352" s="26" t="s">
        <v>38</v>
      </c>
      <c r="J1352" s="26" t="s">
        <v>5316</v>
      </c>
      <c r="K1352" s="26" t="s">
        <v>5317</v>
      </c>
      <c r="L1352" s="26">
        <v>114615.6</v>
      </c>
      <c r="M1352" s="26">
        <v>0</v>
      </c>
      <c r="N1352" s="26">
        <v>0</v>
      </c>
      <c r="O1352" s="26">
        <v>746845.6</v>
      </c>
      <c r="P1352" s="26" t="s">
        <v>41</v>
      </c>
      <c r="Q1352" s="26" t="s">
        <v>42</v>
      </c>
      <c r="R1352" s="26"/>
      <c r="S1352" s="26"/>
      <c r="T1352" s="26"/>
      <c r="U1352" s="26"/>
      <c r="V1352" s="26" t="s">
        <v>43</v>
      </c>
      <c r="W1352" s="26"/>
      <c r="X1352" s="26"/>
    </row>
    <row r="1353" spans="1:24">
      <c r="A1353" s="32" t="s">
        <v>31</v>
      </c>
      <c r="B1353" s="32" t="s">
        <v>5318</v>
      </c>
      <c r="C1353" s="32" t="s">
        <v>5319</v>
      </c>
      <c r="D1353" s="32">
        <f t="shared" si="20"/>
        <v>-1</v>
      </c>
      <c r="E1353" s="32" t="s">
        <v>34</v>
      </c>
      <c r="F1353" s="32" t="s">
        <v>5264</v>
      </c>
      <c r="G1353" s="32" t="s">
        <v>5320</v>
      </c>
      <c r="H1353" s="32" t="s">
        <v>37</v>
      </c>
      <c r="I1353" s="32" t="s">
        <v>38</v>
      </c>
      <c r="J1353" s="32" t="s">
        <v>2415</v>
      </c>
      <c r="K1353" s="32" t="s">
        <v>2416</v>
      </c>
      <c r="L1353" s="32">
        <v>107444</v>
      </c>
      <c r="M1353" s="32">
        <v>0</v>
      </c>
      <c r="N1353" s="32">
        <v>0</v>
      </c>
      <c r="O1353" s="32">
        <v>1593844</v>
      </c>
      <c r="P1353" s="32" t="s">
        <v>41</v>
      </c>
      <c r="Q1353" s="32" t="s">
        <v>42</v>
      </c>
      <c r="R1353" s="26" t="s">
        <v>43</v>
      </c>
      <c r="S1353" s="26"/>
      <c r="T1353" s="26"/>
      <c r="U1353" s="26"/>
      <c r="V1353" s="26"/>
      <c r="W1353" s="26"/>
      <c r="X1353" s="26"/>
    </row>
    <row r="1354" spans="1:24">
      <c r="A1354" s="26" t="s">
        <v>31</v>
      </c>
      <c r="B1354" s="26" t="s">
        <v>5321</v>
      </c>
      <c r="C1354" s="26" t="s">
        <v>5322</v>
      </c>
      <c r="D1354" s="26">
        <f t="shared" si="20"/>
        <v>-1</v>
      </c>
      <c r="E1354" s="26" t="s">
        <v>34</v>
      </c>
      <c r="F1354" s="26" t="s">
        <v>5264</v>
      </c>
      <c r="G1354" s="26" t="s">
        <v>5323</v>
      </c>
      <c r="H1354" s="26" t="s">
        <v>37</v>
      </c>
      <c r="I1354" s="26" t="s">
        <v>38</v>
      </c>
      <c r="J1354" s="26" t="s">
        <v>545</v>
      </c>
      <c r="K1354" s="26" t="s">
        <v>546</v>
      </c>
      <c r="L1354" s="26">
        <v>54667</v>
      </c>
      <c r="M1354" s="26">
        <v>0</v>
      </c>
      <c r="N1354" s="26">
        <v>0</v>
      </c>
      <c r="O1354" s="26">
        <v>399567</v>
      </c>
      <c r="P1354" s="26" t="s">
        <v>41</v>
      </c>
      <c r="Q1354" s="26" t="s">
        <v>42</v>
      </c>
      <c r="R1354" s="26"/>
      <c r="S1354" s="26"/>
      <c r="T1354" s="26"/>
      <c r="U1354" s="26"/>
      <c r="V1354" s="26" t="s">
        <v>43</v>
      </c>
      <c r="W1354" s="26"/>
      <c r="X1354" s="26"/>
    </row>
    <row r="1355" spans="1:24">
      <c r="A1355" s="32" t="s">
        <v>31</v>
      </c>
      <c r="B1355" s="32" t="s">
        <v>5324</v>
      </c>
      <c r="C1355" s="32" t="s">
        <v>5325</v>
      </c>
      <c r="D1355" s="32">
        <f t="shared" si="20"/>
        <v>-1</v>
      </c>
      <c r="E1355" s="32" t="s">
        <v>34</v>
      </c>
      <c r="F1355" s="32" t="s">
        <v>5264</v>
      </c>
      <c r="G1355" s="32" t="s">
        <v>5326</v>
      </c>
      <c r="H1355" s="32" t="s">
        <v>37</v>
      </c>
      <c r="I1355" s="32" t="s">
        <v>38</v>
      </c>
      <c r="J1355" s="32" t="s">
        <v>581</v>
      </c>
      <c r="K1355" s="32" t="s">
        <v>582</v>
      </c>
      <c r="L1355" s="32">
        <v>38038</v>
      </c>
      <c r="M1355" s="32">
        <v>0</v>
      </c>
      <c r="N1355" s="32">
        <v>0</v>
      </c>
      <c r="O1355" s="32">
        <v>238238</v>
      </c>
      <c r="P1355" s="32" t="s">
        <v>41</v>
      </c>
      <c r="Q1355" s="32" t="s">
        <v>42</v>
      </c>
      <c r="R1355" s="26" t="s">
        <v>43</v>
      </c>
      <c r="S1355" s="26"/>
      <c r="T1355" s="26"/>
      <c r="U1355" s="26"/>
      <c r="V1355" s="26"/>
      <c r="W1355" s="26"/>
      <c r="X1355" s="26"/>
    </row>
    <row r="1356" spans="1:24">
      <c r="A1356" s="34" t="s">
        <v>31</v>
      </c>
      <c r="B1356" s="34" t="s">
        <v>5327</v>
      </c>
      <c r="C1356" s="34" t="s">
        <v>5328</v>
      </c>
      <c r="D1356" s="34">
        <f t="shared" si="20"/>
        <v>-1</v>
      </c>
      <c r="E1356" s="34" t="s">
        <v>34</v>
      </c>
      <c r="F1356" s="34" t="s">
        <v>5264</v>
      </c>
      <c r="G1356" s="34" t="s">
        <v>5329</v>
      </c>
      <c r="H1356" s="34" t="s">
        <v>37</v>
      </c>
      <c r="I1356" s="34" t="s">
        <v>38</v>
      </c>
      <c r="J1356" s="34" t="s">
        <v>600</v>
      </c>
      <c r="K1356" s="34" t="s">
        <v>601</v>
      </c>
      <c r="L1356" s="34">
        <v>240293</v>
      </c>
      <c r="M1356" s="34">
        <v>0</v>
      </c>
      <c r="N1356" s="34">
        <v>0</v>
      </c>
      <c r="O1356" s="34">
        <v>1504993</v>
      </c>
      <c r="P1356" s="34" t="s">
        <v>41</v>
      </c>
      <c r="Q1356" s="34" t="s">
        <v>42</v>
      </c>
      <c r="R1356" s="26"/>
      <c r="S1356" s="26"/>
      <c r="T1356" s="26" t="s">
        <v>43</v>
      </c>
      <c r="U1356" s="26"/>
      <c r="V1356" s="26"/>
      <c r="W1356" s="26"/>
      <c r="X1356" s="26"/>
    </row>
    <row r="1357" spans="1:24">
      <c r="A1357" s="34" t="s">
        <v>31</v>
      </c>
      <c r="B1357" s="34" t="s">
        <v>5330</v>
      </c>
      <c r="C1357" s="34" t="s">
        <v>5331</v>
      </c>
      <c r="D1357" s="34">
        <f t="shared" ref="D1357:D1420" si="21">C1357-C1358</f>
        <v>-1</v>
      </c>
      <c r="E1357" s="34" t="s">
        <v>34</v>
      </c>
      <c r="F1357" s="34" t="s">
        <v>5264</v>
      </c>
      <c r="G1357" s="34" t="s">
        <v>5332</v>
      </c>
      <c r="H1357" s="34" t="s">
        <v>37</v>
      </c>
      <c r="I1357" s="34" t="s">
        <v>38</v>
      </c>
      <c r="J1357" s="34" t="s">
        <v>600</v>
      </c>
      <c r="K1357" s="34" t="s">
        <v>601</v>
      </c>
      <c r="L1357" s="34">
        <v>47671</v>
      </c>
      <c r="M1357" s="34">
        <v>0</v>
      </c>
      <c r="N1357" s="34">
        <v>0</v>
      </c>
      <c r="O1357" s="34">
        <v>298571</v>
      </c>
      <c r="P1357" s="34" t="s">
        <v>41</v>
      </c>
      <c r="Q1357" s="34" t="s">
        <v>42</v>
      </c>
      <c r="R1357" s="26"/>
      <c r="S1357" s="26"/>
      <c r="T1357" s="26" t="s">
        <v>43</v>
      </c>
      <c r="U1357" s="26"/>
      <c r="V1357" s="26"/>
      <c r="W1357" s="26"/>
      <c r="X1357" s="26"/>
    </row>
    <row r="1358" spans="1:24">
      <c r="A1358" s="34" t="s">
        <v>31</v>
      </c>
      <c r="B1358" s="34" t="s">
        <v>5333</v>
      </c>
      <c r="C1358" s="34" t="s">
        <v>5334</v>
      </c>
      <c r="D1358" s="34">
        <f t="shared" si="21"/>
        <v>-1</v>
      </c>
      <c r="E1358" s="34" t="s">
        <v>34</v>
      </c>
      <c r="F1358" s="34" t="s">
        <v>5264</v>
      </c>
      <c r="G1358" s="34" t="s">
        <v>5335</v>
      </c>
      <c r="H1358" s="34" t="s">
        <v>37</v>
      </c>
      <c r="I1358" s="34" t="s">
        <v>38</v>
      </c>
      <c r="J1358" s="34" t="s">
        <v>4621</v>
      </c>
      <c r="K1358" s="34" t="s">
        <v>4622</v>
      </c>
      <c r="L1358" s="34">
        <v>265591.5</v>
      </c>
      <c r="M1358" s="34">
        <v>0</v>
      </c>
      <c r="N1358" s="34">
        <v>0</v>
      </c>
      <c r="O1358" s="34">
        <v>1663441.5</v>
      </c>
      <c r="P1358" s="34" t="s">
        <v>41</v>
      </c>
      <c r="Q1358" s="34" t="s">
        <v>42</v>
      </c>
      <c r="R1358" s="26"/>
      <c r="S1358" s="26"/>
      <c r="T1358" s="26" t="s">
        <v>43</v>
      </c>
      <c r="U1358" s="26"/>
      <c r="V1358" s="26"/>
      <c r="W1358" s="26"/>
      <c r="X1358" s="26"/>
    </row>
    <row r="1359" spans="1:24">
      <c r="A1359" s="32" t="s">
        <v>31</v>
      </c>
      <c r="B1359" s="32" t="s">
        <v>5336</v>
      </c>
      <c r="C1359" s="32" t="s">
        <v>5337</v>
      </c>
      <c r="D1359" s="32">
        <f t="shared" si="21"/>
        <v>-1</v>
      </c>
      <c r="E1359" s="32" t="s">
        <v>34</v>
      </c>
      <c r="F1359" s="32" t="s">
        <v>5264</v>
      </c>
      <c r="G1359" s="32" t="s">
        <v>5338</v>
      </c>
      <c r="H1359" s="32" t="s">
        <v>37</v>
      </c>
      <c r="I1359" s="32" t="s">
        <v>38</v>
      </c>
      <c r="J1359" s="32" t="s">
        <v>702</v>
      </c>
      <c r="K1359" s="32" t="s">
        <v>703</v>
      </c>
      <c r="L1359" s="32">
        <v>674481</v>
      </c>
      <c r="M1359" s="32">
        <v>0</v>
      </c>
      <c r="N1359" s="32">
        <v>0</v>
      </c>
      <c r="O1359" s="32">
        <v>4224381</v>
      </c>
      <c r="P1359" s="32" t="s">
        <v>41</v>
      </c>
      <c r="Q1359" s="32" t="s">
        <v>42</v>
      </c>
      <c r="R1359" s="26" t="s">
        <v>43</v>
      </c>
      <c r="S1359" s="26"/>
      <c r="T1359" s="26"/>
      <c r="U1359" s="26"/>
      <c r="V1359" s="26"/>
      <c r="W1359" s="26"/>
      <c r="X1359" s="26"/>
    </row>
    <row r="1360" spans="1:24">
      <c r="A1360" s="26" t="s">
        <v>31</v>
      </c>
      <c r="B1360" s="26" t="s">
        <v>5339</v>
      </c>
      <c r="C1360" s="26" t="s">
        <v>5340</v>
      </c>
      <c r="D1360" s="26">
        <f t="shared" si="21"/>
        <v>-1</v>
      </c>
      <c r="E1360" s="26" t="s">
        <v>34</v>
      </c>
      <c r="F1360" s="26" t="s">
        <v>5264</v>
      </c>
      <c r="G1360" s="26" t="s">
        <v>5341</v>
      </c>
      <c r="H1360" s="26" t="s">
        <v>37</v>
      </c>
      <c r="I1360" s="26" t="s">
        <v>38</v>
      </c>
      <c r="J1360" s="26" t="s">
        <v>5342</v>
      </c>
      <c r="K1360" s="26" t="s">
        <v>5343</v>
      </c>
      <c r="L1360" s="26">
        <v>98800</v>
      </c>
      <c r="M1360" s="26">
        <v>0</v>
      </c>
      <c r="N1360" s="26">
        <v>0</v>
      </c>
      <c r="O1360" s="26">
        <v>618800</v>
      </c>
      <c r="P1360" s="26" t="s">
        <v>41</v>
      </c>
      <c r="Q1360" s="26" t="s">
        <v>42</v>
      </c>
      <c r="R1360" s="26"/>
      <c r="S1360" s="26"/>
      <c r="T1360" s="26"/>
      <c r="U1360" s="26"/>
      <c r="V1360" s="26" t="s">
        <v>43</v>
      </c>
      <c r="W1360" s="26"/>
      <c r="X1360" s="26"/>
    </row>
    <row r="1361" spans="1:24">
      <c r="A1361" s="26" t="s">
        <v>31</v>
      </c>
      <c r="B1361" s="26" t="s">
        <v>5344</v>
      </c>
      <c r="C1361" s="26" t="s">
        <v>5345</v>
      </c>
      <c r="D1361" s="26">
        <f t="shared" si="21"/>
        <v>-1</v>
      </c>
      <c r="E1361" s="26" t="s">
        <v>34</v>
      </c>
      <c r="F1361" s="26" t="s">
        <v>5264</v>
      </c>
      <c r="G1361" s="26" t="s">
        <v>5346</v>
      </c>
      <c r="H1361" s="26" t="s">
        <v>37</v>
      </c>
      <c r="I1361" s="26" t="s">
        <v>38</v>
      </c>
      <c r="J1361" s="26" t="s">
        <v>5347</v>
      </c>
      <c r="K1361" s="26" t="s">
        <v>5348</v>
      </c>
      <c r="L1361" s="26">
        <v>45600</v>
      </c>
      <c r="M1361" s="26">
        <v>0</v>
      </c>
      <c r="N1361" s="26">
        <v>0</v>
      </c>
      <c r="O1361" s="26">
        <v>285600</v>
      </c>
      <c r="P1361" s="26" t="s">
        <v>41</v>
      </c>
      <c r="Q1361" s="26" t="s">
        <v>42</v>
      </c>
      <c r="R1361" s="26"/>
      <c r="S1361" s="26"/>
      <c r="T1361" s="26"/>
      <c r="U1361" s="26"/>
      <c r="V1361" s="26" t="s">
        <v>43</v>
      </c>
      <c r="W1361" s="26"/>
      <c r="X1361" s="26"/>
    </row>
    <row r="1362" spans="1:24">
      <c r="A1362" s="34" t="s">
        <v>31</v>
      </c>
      <c r="B1362" s="34" t="s">
        <v>5349</v>
      </c>
      <c r="C1362" s="34" t="s">
        <v>5350</v>
      </c>
      <c r="D1362" s="34">
        <f t="shared" si="21"/>
        <v>-1</v>
      </c>
      <c r="E1362" s="34" t="s">
        <v>34</v>
      </c>
      <c r="F1362" s="34" t="s">
        <v>5264</v>
      </c>
      <c r="G1362" s="34" t="s">
        <v>5351</v>
      </c>
      <c r="H1362" s="34" t="s">
        <v>37</v>
      </c>
      <c r="I1362" s="34" t="s">
        <v>38</v>
      </c>
      <c r="J1362" s="34" t="s">
        <v>5352</v>
      </c>
      <c r="K1362" s="34" t="s">
        <v>5353</v>
      </c>
      <c r="L1362" s="34">
        <v>781205.9</v>
      </c>
      <c r="M1362" s="34">
        <v>0</v>
      </c>
      <c r="N1362" s="34">
        <v>0</v>
      </c>
      <c r="O1362" s="34">
        <v>4892815.9000000004</v>
      </c>
      <c r="P1362" s="34" t="s">
        <v>41</v>
      </c>
      <c r="Q1362" s="34" t="s">
        <v>42</v>
      </c>
      <c r="R1362" s="26"/>
      <c r="S1362" s="26"/>
      <c r="T1362" s="26" t="s">
        <v>43</v>
      </c>
      <c r="U1362" s="26"/>
      <c r="V1362" s="26"/>
      <c r="W1362" s="26"/>
      <c r="X1362" s="26"/>
    </row>
    <row r="1363" spans="1:24">
      <c r="A1363" s="26" t="s">
        <v>31</v>
      </c>
      <c r="B1363" s="26" t="s">
        <v>5354</v>
      </c>
      <c r="C1363" s="26" t="s">
        <v>5355</v>
      </c>
      <c r="D1363" s="26">
        <f t="shared" si="21"/>
        <v>-1</v>
      </c>
      <c r="E1363" s="26" t="s">
        <v>34</v>
      </c>
      <c r="F1363" s="26" t="s">
        <v>5264</v>
      </c>
      <c r="G1363" s="26" t="s">
        <v>5351</v>
      </c>
      <c r="H1363" s="26" t="s">
        <v>37</v>
      </c>
      <c r="I1363" s="26" t="s">
        <v>38</v>
      </c>
      <c r="J1363" s="26" t="s">
        <v>2074</v>
      </c>
      <c r="K1363" s="26" t="s">
        <v>2075</v>
      </c>
      <c r="L1363" s="26">
        <v>102600</v>
      </c>
      <c r="M1363" s="26">
        <v>0</v>
      </c>
      <c r="N1363" s="26">
        <v>0</v>
      </c>
      <c r="O1363" s="26">
        <v>642600</v>
      </c>
      <c r="P1363" s="26" t="s">
        <v>41</v>
      </c>
      <c r="Q1363" s="26" t="s">
        <v>42</v>
      </c>
      <c r="R1363" s="26"/>
      <c r="S1363" s="26"/>
      <c r="T1363" s="26"/>
      <c r="U1363" s="26"/>
      <c r="V1363" s="26" t="s">
        <v>43</v>
      </c>
      <c r="W1363" s="26"/>
      <c r="X1363" s="26"/>
    </row>
    <row r="1364" spans="1:24">
      <c r="A1364" s="26" t="s">
        <v>31</v>
      </c>
      <c r="B1364" s="26" t="s">
        <v>5356</v>
      </c>
      <c r="C1364" s="26" t="s">
        <v>5357</v>
      </c>
      <c r="D1364" s="26">
        <f t="shared" si="21"/>
        <v>-1</v>
      </c>
      <c r="E1364" s="26" t="s">
        <v>34</v>
      </c>
      <c r="F1364" s="26" t="s">
        <v>5264</v>
      </c>
      <c r="G1364" s="26" t="s">
        <v>5351</v>
      </c>
      <c r="H1364" s="26" t="s">
        <v>37</v>
      </c>
      <c r="I1364" s="26" t="s">
        <v>38</v>
      </c>
      <c r="J1364" s="26" t="s">
        <v>2017</v>
      </c>
      <c r="K1364" s="26" t="s">
        <v>2018</v>
      </c>
      <c r="L1364" s="26">
        <v>547906.99</v>
      </c>
      <c r="M1364" s="26">
        <v>0</v>
      </c>
      <c r="N1364" s="26">
        <v>0</v>
      </c>
      <c r="O1364" s="26">
        <v>3431627.99</v>
      </c>
      <c r="P1364" s="26" t="s">
        <v>41</v>
      </c>
      <c r="Q1364" s="26" t="s">
        <v>42</v>
      </c>
      <c r="R1364" s="26"/>
      <c r="S1364" s="26"/>
      <c r="T1364" s="26"/>
      <c r="U1364" s="26"/>
      <c r="V1364" s="26" t="s">
        <v>43</v>
      </c>
      <c r="W1364" s="26"/>
      <c r="X1364" s="26"/>
    </row>
    <row r="1365" spans="1:24">
      <c r="A1365" s="26" t="s">
        <v>31</v>
      </c>
      <c r="B1365" s="26" t="s">
        <v>5358</v>
      </c>
      <c r="C1365" s="26" t="s">
        <v>5359</v>
      </c>
      <c r="D1365" s="26">
        <f t="shared" si="21"/>
        <v>-1</v>
      </c>
      <c r="E1365" s="26" t="s">
        <v>34</v>
      </c>
      <c r="F1365" s="26" t="s">
        <v>5264</v>
      </c>
      <c r="G1365" s="26" t="s">
        <v>5360</v>
      </c>
      <c r="H1365" s="26" t="s">
        <v>37</v>
      </c>
      <c r="I1365" s="26" t="s">
        <v>38</v>
      </c>
      <c r="J1365" s="26" t="s">
        <v>2017</v>
      </c>
      <c r="K1365" s="26" t="s">
        <v>2018</v>
      </c>
      <c r="L1365" s="26">
        <v>502142.83</v>
      </c>
      <c r="M1365" s="26">
        <v>0</v>
      </c>
      <c r="N1365" s="26">
        <v>0</v>
      </c>
      <c r="O1365" s="26">
        <v>3144999.83</v>
      </c>
      <c r="P1365" s="26" t="s">
        <v>41</v>
      </c>
      <c r="Q1365" s="26" t="s">
        <v>42</v>
      </c>
      <c r="R1365" s="26"/>
      <c r="S1365" s="26"/>
      <c r="T1365" s="26"/>
      <c r="U1365" s="26"/>
      <c r="V1365" s="26" t="s">
        <v>43</v>
      </c>
      <c r="W1365" s="26"/>
      <c r="X1365" s="26"/>
    </row>
    <row r="1366" spans="1:24">
      <c r="A1366" s="26" t="s">
        <v>31</v>
      </c>
      <c r="B1366" s="26" t="s">
        <v>5361</v>
      </c>
      <c r="C1366" s="26" t="s">
        <v>5362</v>
      </c>
      <c r="D1366" s="26">
        <f t="shared" si="21"/>
        <v>-1</v>
      </c>
      <c r="E1366" s="26" t="s">
        <v>34</v>
      </c>
      <c r="F1366" s="26" t="s">
        <v>5264</v>
      </c>
      <c r="G1366" s="26" t="s">
        <v>5363</v>
      </c>
      <c r="H1366" s="26" t="s">
        <v>37</v>
      </c>
      <c r="I1366" s="26" t="s">
        <v>38</v>
      </c>
      <c r="J1366" s="26" t="s">
        <v>3581</v>
      </c>
      <c r="K1366" s="26" t="s">
        <v>3582</v>
      </c>
      <c r="L1366" s="26">
        <v>54720</v>
      </c>
      <c r="M1366" s="26">
        <v>0</v>
      </c>
      <c r="N1366" s="26">
        <v>0</v>
      </c>
      <c r="O1366" s="26">
        <v>342720</v>
      </c>
      <c r="P1366" s="26" t="s">
        <v>41</v>
      </c>
      <c r="Q1366" s="26" t="s">
        <v>42</v>
      </c>
      <c r="R1366" s="26"/>
      <c r="S1366" s="26"/>
      <c r="T1366" s="26"/>
      <c r="U1366" s="26"/>
      <c r="V1366" s="26" t="s">
        <v>43</v>
      </c>
      <c r="W1366" s="26"/>
      <c r="X1366" s="26"/>
    </row>
    <row r="1367" spans="1:24">
      <c r="A1367" s="34" t="s">
        <v>31</v>
      </c>
      <c r="B1367" s="34" t="s">
        <v>5364</v>
      </c>
      <c r="C1367" s="34" t="s">
        <v>5365</v>
      </c>
      <c r="D1367" s="34">
        <f t="shared" si="21"/>
        <v>-1</v>
      </c>
      <c r="E1367" s="34" t="s">
        <v>34</v>
      </c>
      <c r="F1367" s="34" t="s">
        <v>5264</v>
      </c>
      <c r="G1367" s="34" t="s">
        <v>5366</v>
      </c>
      <c r="H1367" s="34" t="s">
        <v>37</v>
      </c>
      <c r="I1367" s="34" t="s">
        <v>38</v>
      </c>
      <c r="J1367" s="34" t="s">
        <v>764</v>
      </c>
      <c r="K1367" s="34" t="s">
        <v>765</v>
      </c>
      <c r="L1367" s="34">
        <v>467457</v>
      </c>
      <c r="M1367" s="34">
        <v>0</v>
      </c>
      <c r="N1367" s="34">
        <v>0</v>
      </c>
      <c r="O1367" s="34">
        <v>2927757</v>
      </c>
      <c r="P1367" s="34" t="s">
        <v>41</v>
      </c>
      <c r="Q1367" s="34" t="s">
        <v>42</v>
      </c>
      <c r="R1367" s="26"/>
      <c r="S1367" s="26"/>
      <c r="T1367" s="26" t="s">
        <v>43</v>
      </c>
      <c r="U1367" s="26"/>
      <c r="V1367" s="26"/>
      <c r="W1367" s="26"/>
      <c r="X1367" s="26"/>
    </row>
    <row r="1368" spans="1:24">
      <c r="A1368" s="32" t="s">
        <v>31</v>
      </c>
      <c r="B1368" s="32" t="s">
        <v>5367</v>
      </c>
      <c r="C1368" s="32" t="s">
        <v>5368</v>
      </c>
      <c r="D1368" s="32">
        <f t="shared" si="21"/>
        <v>-1</v>
      </c>
      <c r="E1368" s="32" t="s">
        <v>34</v>
      </c>
      <c r="F1368" s="32" t="s">
        <v>5264</v>
      </c>
      <c r="G1368" s="32" t="s">
        <v>5369</v>
      </c>
      <c r="H1368" s="32" t="s">
        <v>37</v>
      </c>
      <c r="I1368" s="32" t="s">
        <v>38</v>
      </c>
      <c r="J1368" s="32" t="s">
        <v>2611</v>
      </c>
      <c r="K1368" s="32" t="s">
        <v>2612</v>
      </c>
      <c r="L1368" s="32">
        <v>292600</v>
      </c>
      <c r="M1368" s="32">
        <v>0</v>
      </c>
      <c r="N1368" s="32">
        <v>0</v>
      </c>
      <c r="O1368" s="32">
        <v>2831600</v>
      </c>
      <c r="P1368" s="32" t="s">
        <v>41</v>
      </c>
      <c r="Q1368" s="32" t="s">
        <v>42</v>
      </c>
      <c r="R1368" s="26" t="s">
        <v>43</v>
      </c>
      <c r="S1368" s="26"/>
      <c r="T1368" s="26"/>
      <c r="U1368" s="26"/>
      <c r="V1368" s="26"/>
      <c r="W1368" s="26"/>
      <c r="X1368" s="26"/>
    </row>
    <row r="1369" spans="1:24">
      <c r="A1369" s="32" t="s">
        <v>31</v>
      </c>
      <c r="B1369" s="32" t="s">
        <v>5370</v>
      </c>
      <c r="C1369" s="32" t="s">
        <v>5371</v>
      </c>
      <c r="D1369" s="32">
        <f t="shared" si="21"/>
        <v>-1</v>
      </c>
      <c r="E1369" s="32" t="s">
        <v>34</v>
      </c>
      <c r="F1369" s="32" t="s">
        <v>5264</v>
      </c>
      <c r="G1369" s="32" t="s">
        <v>5372</v>
      </c>
      <c r="H1369" s="32" t="s">
        <v>37</v>
      </c>
      <c r="I1369" s="32" t="s">
        <v>38</v>
      </c>
      <c r="J1369" s="32" t="s">
        <v>1924</v>
      </c>
      <c r="K1369" s="32" t="s">
        <v>1925</v>
      </c>
      <c r="L1369" s="32">
        <v>110200</v>
      </c>
      <c r="M1369" s="32">
        <v>0</v>
      </c>
      <c r="N1369" s="32">
        <v>0</v>
      </c>
      <c r="O1369" s="32">
        <v>690200</v>
      </c>
      <c r="P1369" s="32" t="s">
        <v>41</v>
      </c>
      <c r="Q1369" s="32" t="s">
        <v>42</v>
      </c>
      <c r="R1369" s="26" t="s">
        <v>43</v>
      </c>
      <c r="S1369" s="26"/>
      <c r="T1369" s="26"/>
      <c r="U1369" s="26"/>
      <c r="V1369" s="26"/>
      <c r="W1369" s="26"/>
      <c r="X1369" s="26"/>
    </row>
    <row r="1370" spans="1:24">
      <c r="A1370" s="26" t="s">
        <v>31</v>
      </c>
      <c r="B1370" s="26" t="s">
        <v>5373</v>
      </c>
      <c r="C1370" s="26" t="s">
        <v>5374</v>
      </c>
      <c r="D1370" s="26">
        <f t="shared" si="21"/>
        <v>-1</v>
      </c>
      <c r="E1370" s="26" t="s">
        <v>34</v>
      </c>
      <c r="F1370" s="26" t="s">
        <v>5264</v>
      </c>
      <c r="G1370" s="26" t="s">
        <v>5375</v>
      </c>
      <c r="H1370" s="26" t="s">
        <v>37</v>
      </c>
      <c r="I1370" s="26" t="s">
        <v>38</v>
      </c>
      <c r="J1370" s="26" t="s">
        <v>2284</v>
      </c>
      <c r="K1370" s="26" t="s">
        <v>2285</v>
      </c>
      <c r="L1370" s="26">
        <v>39672</v>
      </c>
      <c r="M1370" s="26">
        <v>0</v>
      </c>
      <c r="N1370" s="26">
        <v>0</v>
      </c>
      <c r="O1370" s="26">
        <v>248472</v>
      </c>
      <c r="P1370" s="26" t="s">
        <v>41</v>
      </c>
      <c r="Q1370" s="26" t="s">
        <v>42</v>
      </c>
      <c r="R1370" s="26"/>
      <c r="S1370" s="26"/>
      <c r="T1370" s="26"/>
      <c r="U1370" s="26"/>
      <c r="V1370" s="26" t="s">
        <v>43</v>
      </c>
      <c r="W1370" s="26"/>
      <c r="X1370" s="26"/>
    </row>
    <row r="1371" spans="1:24">
      <c r="A1371" s="26" t="s">
        <v>31</v>
      </c>
      <c r="B1371" s="26" t="s">
        <v>5376</v>
      </c>
      <c r="C1371" s="26" t="s">
        <v>5377</v>
      </c>
      <c r="D1371" s="26">
        <f t="shared" si="21"/>
        <v>-1</v>
      </c>
      <c r="E1371" s="26" t="s">
        <v>34</v>
      </c>
      <c r="F1371" s="26" t="s">
        <v>5264</v>
      </c>
      <c r="G1371" s="26" t="s">
        <v>5378</v>
      </c>
      <c r="H1371" s="26" t="s">
        <v>37</v>
      </c>
      <c r="I1371" s="26" t="s">
        <v>38</v>
      </c>
      <c r="J1371" s="26" t="s">
        <v>4506</v>
      </c>
      <c r="K1371" s="26" t="s">
        <v>4507</v>
      </c>
      <c r="L1371" s="26">
        <v>50665.59</v>
      </c>
      <c r="M1371" s="26">
        <v>0</v>
      </c>
      <c r="N1371" s="26">
        <v>0</v>
      </c>
      <c r="O1371" s="26">
        <v>317326.59000000003</v>
      </c>
      <c r="P1371" s="26" t="s">
        <v>41</v>
      </c>
      <c r="Q1371" s="26" t="s">
        <v>42</v>
      </c>
      <c r="R1371" s="26"/>
      <c r="S1371" s="26"/>
      <c r="T1371" s="26"/>
      <c r="U1371" s="26"/>
      <c r="V1371" s="26" t="s">
        <v>43</v>
      </c>
      <c r="W1371" s="26"/>
      <c r="X1371" s="26"/>
    </row>
    <row r="1372" spans="1:24">
      <c r="A1372" s="32" t="s">
        <v>31</v>
      </c>
      <c r="B1372" s="32" t="s">
        <v>5379</v>
      </c>
      <c r="C1372" s="32" t="s">
        <v>5380</v>
      </c>
      <c r="D1372" s="32">
        <f t="shared" si="21"/>
        <v>-1</v>
      </c>
      <c r="E1372" s="32" t="s">
        <v>34</v>
      </c>
      <c r="F1372" s="32" t="s">
        <v>5264</v>
      </c>
      <c r="G1372" s="32" t="s">
        <v>5381</v>
      </c>
      <c r="H1372" s="32" t="s">
        <v>37</v>
      </c>
      <c r="I1372" s="32" t="s">
        <v>38</v>
      </c>
      <c r="J1372" s="32" t="s">
        <v>5382</v>
      </c>
      <c r="K1372" s="32" t="s">
        <v>5383</v>
      </c>
      <c r="L1372" s="32">
        <v>206612.89</v>
      </c>
      <c r="M1372" s="32">
        <v>0</v>
      </c>
      <c r="N1372" s="32">
        <v>0</v>
      </c>
      <c r="O1372" s="32">
        <v>2052443.89</v>
      </c>
      <c r="P1372" s="32" t="s">
        <v>41</v>
      </c>
      <c r="Q1372" s="32" t="s">
        <v>42</v>
      </c>
      <c r="R1372" s="26" t="s">
        <v>43</v>
      </c>
      <c r="S1372" s="26"/>
      <c r="T1372" s="26"/>
      <c r="U1372" s="26"/>
      <c r="V1372" s="26"/>
      <c r="W1372" s="26"/>
      <c r="X1372" s="26"/>
    </row>
    <row r="1373" spans="1:24">
      <c r="A1373" s="26" t="s">
        <v>31</v>
      </c>
      <c r="B1373" s="26" t="s">
        <v>5384</v>
      </c>
      <c r="C1373" s="26" t="s">
        <v>5385</v>
      </c>
      <c r="D1373" s="26">
        <f t="shared" si="21"/>
        <v>-1</v>
      </c>
      <c r="E1373" s="26" t="s">
        <v>34</v>
      </c>
      <c r="F1373" s="26" t="s">
        <v>5264</v>
      </c>
      <c r="G1373" s="26" t="s">
        <v>5386</v>
      </c>
      <c r="H1373" s="26" t="s">
        <v>37</v>
      </c>
      <c r="I1373" s="26" t="s">
        <v>38</v>
      </c>
      <c r="J1373" s="26" t="s">
        <v>1709</v>
      </c>
      <c r="K1373" s="26" t="s">
        <v>1710</v>
      </c>
      <c r="L1373" s="26">
        <v>49400</v>
      </c>
      <c r="M1373" s="26">
        <v>0</v>
      </c>
      <c r="N1373" s="26">
        <v>0</v>
      </c>
      <c r="O1373" s="26">
        <v>309400</v>
      </c>
      <c r="P1373" s="26" t="s">
        <v>41</v>
      </c>
      <c r="Q1373" s="26" t="s">
        <v>42</v>
      </c>
      <c r="R1373" s="26"/>
      <c r="S1373" s="26"/>
      <c r="T1373" s="26"/>
      <c r="U1373" s="26"/>
      <c r="V1373" s="26" t="s">
        <v>43</v>
      </c>
      <c r="W1373" s="26"/>
      <c r="X1373" s="26"/>
    </row>
    <row r="1374" spans="1:24">
      <c r="A1374" s="26" t="s">
        <v>31</v>
      </c>
      <c r="B1374" s="26" t="s">
        <v>5387</v>
      </c>
      <c r="C1374" s="26" t="s">
        <v>5388</v>
      </c>
      <c r="D1374" s="26">
        <f t="shared" si="21"/>
        <v>-1</v>
      </c>
      <c r="E1374" s="26" t="s">
        <v>34</v>
      </c>
      <c r="F1374" s="26" t="s">
        <v>5264</v>
      </c>
      <c r="G1374" s="26" t="s">
        <v>5389</v>
      </c>
      <c r="H1374" s="26" t="s">
        <v>37</v>
      </c>
      <c r="I1374" s="26" t="s">
        <v>38</v>
      </c>
      <c r="J1374" s="26" t="s">
        <v>5390</v>
      </c>
      <c r="K1374" s="26" t="s">
        <v>5391</v>
      </c>
      <c r="L1374" s="26">
        <v>275543.49</v>
      </c>
      <c r="M1374" s="26">
        <v>0</v>
      </c>
      <c r="N1374" s="26">
        <v>0</v>
      </c>
      <c r="O1374" s="26">
        <v>2390304.4900000002</v>
      </c>
      <c r="P1374" s="26" t="s">
        <v>41</v>
      </c>
      <c r="Q1374" s="26" t="s">
        <v>42</v>
      </c>
      <c r="R1374" s="26"/>
      <c r="S1374" s="26"/>
      <c r="T1374" s="26"/>
      <c r="U1374" s="26"/>
      <c r="V1374" s="26" t="s">
        <v>43</v>
      </c>
      <c r="W1374" s="26"/>
      <c r="X1374" s="26"/>
    </row>
    <row r="1375" spans="1:24">
      <c r="A1375" s="33" t="s">
        <v>31</v>
      </c>
      <c r="B1375" s="33" t="s">
        <v>5392</v>
      </c>
      <c r="C1375" s="33" t="s">
        <v>5393</v>
      </c>
      <c r="D1375" s="33">
        <f t="shared" si="21"/>
        <v>-1</v>
      </c>
      <c r="E1375" s="33" t="s">
        <v>34</v>
      </c>
      <c r="F1375" s="33" t="s">
        <v>5264</v>
      </c>
      <c r="G1375" s="33" t="s">
        <v>5394</v>
      </c>
      <c r="H1375" s="33" t="s">
        <v>37</v>
      </c>
      <c r="I1375" s="33" t="s">
        <v>38</v>
      </c>
      <c r="J1375" s="33" t="s">
        <v>530</v>
      </c>
      <c r="K1375" s="33" t="s">
        <v>531</v>
      </c>
      <c r="L1375" s="33">
        <v>229425</v>
      </c>
      <c r="M1375" s="33">
        <v>0</v>
      </c>
      <c r="N1375" s="33">
        <v>0</v>
      </c>
      <c r="O1375" s="33">
        <v>1436925</v>
      </c>
      <c r="P1375" s="33" t="s">
        <v>41</v>
      </c>
      <c r="Q1375" s="33" t="s">
        <v>42</v>
      </c>
      <c r="R1375" s="26" t="s">
        <v>43</v>
      </c>
      <c r="S1375" s="26"/>
      <c r="T1375" s="26"/>
      <c r="U1375" s="26"/>
      <c r="V1375" s="26"/>
      <c r="W1375" s="26"/>
      <c r="X1375" s="26"/>
    </row>
    <row r="1376" spans="1:24">
      <c r="A1376" s="26" t="s">
        <v>31</v>
      </c>
      <c r="B1376" s="26" t="s">
        <v>5395</v>
      </c>
      <c r="C1376" s="26" t="s">
        <v>5396</v>
      </c>
      <c r="D1376" s="26">
        <f t="shared" si="21"/>
        <v>-1</v>
      </c>
      <c r="E1376" s="26" t="s">
        <v>34</v>
      </c>
      <c r="F1376" s="26" t="s">
        <v>5264</v>
      </c>
      <c r="G1376" s="26" t="s">
        <v>5397</v>
      </c>
      <c r="H1376" s="26" t="s">
        <v>37</v>
      </c>
      <c r="I1376" s="26" t="s">
        <v>38</v>
      </c>
      <c r="J1376" s="26" t="s">
        <v>540</v>
      </c>
      <c r="K1376" s="26" t="s">
        <v>541</v>
      </c>
      <c r="L1376" s="26">
        <v>30050.400000000001</v>
      </c>
      <c r="M1376" s="26">
        <v>0</v>
      </c>
      <c r="N1376" s="26">
        <v>0</v>
      </c>
      <c r="O1376" s="26">
        <v>188210.4</v>
      </c>
      <c r="P1376" s="26" t="s">
        <v>41</v>
      </c>
      <c r="Q1376" s="26" t="s">
        <v>42</v>
      </c>
      <c r="R1376" s="26"/>
      <c r="S1376" s="26"/>
      <c r="T1376" s="26"/>
      <c r="U1376" s="26"/>
      <c r="V1376" s="26" t="s">
        <v>43</v>
      </c>
      <c r="W1376" s="26"/>
      <c r="X1376" s="26"/>
    </row>
    <row r="1377" spans="1:24">
      <c r="A1377" s="26" t="s">
        <v>31</v>
      </c>
      <c r="B1377" s="26" t="s">
        <v>5398</v>
      </c>
      <c r="C1377" s="26" t="s">
        <v>5399</v>
      </c>
      <c r="D1377" s="26">
        <f t="shared" si="21"/>
        <v>-1</v>
      </c>
      <c r="E1377" s="26" t="s">
        <v>34</v>
      </c>
      <c r="F1377" s="26" t="s">
        <v>5264</v>
      </c>
      <c r="G1377" s="26" t="s">
        <v>5400</v>
      </c>
      <c r="H1377" s="26" t="s">
        <v>37</v>
      </c>
      <c r="I1377" s="26" t="s">
        <v>38</v>
      </c>
      <c r="J1377" s="26" t="s">
        <v>5401</v>
      </c>
      <c r="K1377" s="26" t="s">
        <v>5402</v>
      </c>
      <c r="L1377" s="26">
        <v>21090</v>
      </c>
      <c r="M1377" s="26">
        <v>0</v>
      </c>
      <c r="N1377" s="26">
        <v>0</v>
      </c>
      <c r="O1377" s="26">
        <v>132090</v>
      </c>
      <c r="P1377" s="26" t="s">
        <v>41</v>
      </c>
      <c r="Q1377" s="26" t="s">
        <v>42</v>
      </c>
      <c r="R1377" s="26"/>
      <c r="S1377" s="26"/>
      <c r="T1377" s="26"/>
      <c r="U1377" s="26"/>
      <c r="V1377" s="26" t="s">
        <v>43</v>
      </c>
      <c r="W1377" s="26"/>
      <c r="X1377" s="26"/>
    </row>
    <row r="1378" spans="1:24">
      <c r="A1378" s="33" t="s">
        <v>31</v>
      </c>
      <c r="B1378" s="33" t="s">
        <v>5403</v>
      </c>
      <c r="C1378" s="33" t="s">
        <v>5404</v>
      </c>
      <c r="D1378" s="33">
        <f t="shared" si="21"/>
        <v>-1</v>
      </c>
      <c r="E1378" s="33" t="s">
        <v>34</v>
      </c>
      <c r="F1378" s="33" t="s">
        <v>5264</v>
      </c>
      <c r="G1378" s="33" t="s">
        <v>5405</v>
      </c>
      <c r="H1378" s="33" t="s">
        <v>37</v>
      </c>
      <c r="I1378" s="33" t="s">
        <v>38</v>
      </c>
      <c r="J1378" s="33" t="s">
        <v>5406</v>
      </c>
      <c r="K1378" s="33" t="s">
        <v>5407</v>
      </c>
      <c r="L1378" s="33">
        <v>124260</v>
      </c>
      <c r="M1378" s="33">
        <v>0</v>
      </c>
      <c r="N1378" s="33">
        <v>0</v>
      </c>
      <c r="O1378" s="33">
        <v>778260</v>
      </c>
      <c r="P1378" s="33" t="s">
        <v>41</v>
      </c>
      <c r="Q1378" s="33" t="s">
        <v>42</v>
      </c>
      <c r="R1378" s="26"/>
      <c r="S1378" s="26" t="s">
        <v>43</v>
      </c>
      <c r="T1378" s="26"/>
      <c r="U1378" s="26"/>
      <c r="V1378" s="26"/>
      <c r="W1378" s="26"/>
      <c r="X1378" s="26"/>
    </row>
    <row r="1379" spans="1:24">
      <c r="A1379" s="26" t="s">
        <v>31</v>
      </c>
      <c r="B1379" s="26" t="s">
        <v>5408</v>
      </c>
      <c r="C1379" s="26" t="s">
        <v>5409</v>
      </c>
      <c r="D1379" s="26">
        <f t="shared" si="21"/>
        <v>-1</v>
      </c>
      <c r="E1379" s="26" t="s">
        <v>34</v>
      </c>
      <c r="F1379" s="26" t="s">
        <v>5264</v>
      </c>
      <c r="G1379" s="26" t="s">
        <v>5410</v>
      </c>
      <c r="H1379" s="26" t="s">
        <v>37</v>
      </c>
      <c r="I1379" s="26" t="s">
        <v>38</v>
      </c>
      <c r="J1379" s="26" t="s">
        <v>1766</v>
      </c>
      <c r="K1379" s="26" t="s">
        <v>1767</v>
      </c>
      <c r="L1379" s="26">
        <v>240835.07</v>
      </c>
      <c r="M1379" s="26">
        <v>0</v>
      </c>
      <c r="N1379" s="26">
        <v>0</v>
      </c>
      <c r="O1379" s="26">
        <v>1508388.07</v>
      </c>
      <c r="P1379" s="26" t="s">
        <v>41</v>
      </c>
      <c r="Q1379" s="26" t="s">
        <v>42</v>
      </c>
      <c r="R1379" s="26"/>
      <c r="S1379" s="26"/>
      <c r="T1379" s="26"/>
      <c r="U1379" s="26"/>
      <c r="V1379" s="26" t="s">
        <v>43</v>
      </c>
      <c r="W1379" s="26"/>
      <c r="X1379" s="26"/>
    </row>
    <row r="1380" spans="1:24">
      <c r="A1380" s="32" t="s">
        <v>31</v>
      </c>
      <c r="B1380" s="32" t="s">
        <v>5411</v>
      </c>
      <c r="C1380" s="32" t="s">
        <v>5412</v>
      </c>
      <c r="D1380" s="32">
        <f t="shared" si="21"/>
        <v>-1</v>
      </c>
      <c r="E1380" s="32" t="s">
        <v>34</v>
      </c>
      <c r="F1380" s="32" t="s">
        <v>5264</v>
      </c>
      <c r="G1380" s="32" t="s">
        <v>5413</v>
      </c>
      <c r="H1380" s="32" t="s">
        <v>37</v>
      </c>
      <c r="I1380" s="32" t="s">
        <v>38</v>
      </c>
      <c r="J1380" s="32" t="s">
        <v>974</v>
      </c>
      <c r="K1380" s="32" t="s">
        <v>975</v>
      </c>
      <c r="L1380" s="32">
        <v>52915</v>
      </c>
      <c r="M1380" s="32">
        <v>0</v>
      </c>
      <c r="N1380" s="32">
        <v>0</v>
      </c>
      <c r="O1380" s="32">
        <v>331415</v>
      </c>
      <c r="P1380" s="32" t="s">
        <v>41</v>
      </c>
      <c r="Q1380" s="32" t="s">
        <v>42</v>
      </c>
      <c r="R1380" s="26" t="s">
        <v>43</v>
      </c>
      <c r="S1380" s="26"/>
      <c r="T1380" s="26"/>
      <c r="U1380" s="26"/>
      <c r="V1380" s="26"/>
      <c r="W1380" s="26"/>
      <c r="X1380" s="26"/>
    </row>
    <row r="1381" spans="1:24">
      <c r="A1381" s="32" t="s">
        <v>31</v>
      </c>
      <c r="B1381" s="32" t="s">
        <v>5414</v>
      </c>
      <c r="C1381" s="32" t="s">
        <v>5415</v>
      </c>
      <c r="D1381" s="32">
        <f t="shared" si="21"/>
        <v>-1</v>
      </c>
      <c r="E1381" s="32" t="s">
        <v>34</v>
      </c>
      <c r="F1381" s="32" t="s">
        <v>5264</v>
      </c>
      <c r="G1381" s="32" t="s">
        <v>5416</v>
      </c>
      <c r="H1381" s="32" t="s">
        <v>37</v>
      </c>
      <c r="I1381" s="32" t="s">
        <v>38</v>
      </c>
      <c r="J1381" s="32" t="s">
        <v>1629</v>
      </c>
      <c r="K1381" s="32" t="s">
        <v>1630</v>
      </c>
      <c r="L1381" s="32">
        <v>227240</v>
      </c>
      <c r="M1381" s="32">
        <v>0</v>
      </c>
      <c r="N1381" s="32">
        <v>0</v>
      </c>
      <c r="O1381" s="32">
        <v>1423240</v>
      </c>
      <c r="P1381" s="32" t="s">
        <v>41</v>
      </c>
      <c r="Q1381" s="32" t="s">
        <v>42</v>
      </c>
      <c r="R1381" s="26" t="s">
        <v>43</v>
      </c>
      <c r="S1381" s="26"/>
      <c r="T1381" s="26"/>
      <c r="U1381" s="26"/>
      <c r="V1381" s="26"/>
      <c r="W1381" s="26"/>
      <c r="X1381" s="26"/>
    </row>
    <row r="1382" spans="1:24">
      <c r="A1382" s="26" t="s">
        <v>31</v>
      </c>
      <c r="B1382" s="26" t="s">
        <v>5417</v>
      </c>
      <c r="C1382" s="26" t="s">
        <v>5418</v>
      </c>
      <c r="D1382" s="26">
        <f t="shared" si="21"/>
        <v>-1</v>
      </c>
      <c r="E1382" s="26" t="s">
        <v>34</v>
      </c>
      <c r="F1382" s="26" t="s">
        <v>5264</v>
      </c>
      <c r="G1382" s="26" t="s">
        <v>5419</v>
      </c>
      <c r="H1382" s="26" t="s">
        <v>37</v>
      </c>
      <c r="I1382" s="26" t="s">
        <v>38</v>
      </c>
      <c r="J1382" s="26" t="s">
        <v>3944</v>
      </c>
      <c r="K1382" s="26" t="s">
        <v>3945</v>
      </c>
      <c r="L1382" s="26">
        <v>1338097.8</v>
      </c>
      <c r="M1382" s="26">
        <v>0</v>
      </c>
      <c r="N1382" s="26">
        <v>0</v>
      </c>
      <c r="O1382" s="26">
        <v>8380717.7999999998</v>
      </c>
      <c r="P1382" s="26" t="s">
        <v>41</v>
      </c>
      <c r="Q1382" s="26" t="s">
        <v>42</v>
      </c>
      <c r="R1382" s="26"/>
      <c r="S1382" s="26"/>
      <c r="T1382" s="26"/>
      <c r="U1382" s="26"/>
      <c r="V1382" s="26" t="s">
        <v>43</v>
      </c>
      <c r="W1382" s="26"/>
      <c r="X1382" s="26"/>
    </row>
    <row r="1383" spans="1:24">
      <c r="A1383" s="34" t="s">
        <v>31</v>
      </c>
      <c r="B1383" s="34" t="s">
        <v>5420</v>
      </c>
      <c r="C1383" s="34" t="s">
        <v>5421</v>
      </c>
      <c r="D1383" s="34">
        <f t="shared" si="21"/>
        <v>-1</v>
      </c>
      <c r="E1383" s="34" t="s">
        <v>34</v>
      </c>
      <c r="F1383" s="34" t="s">
        <v>5264</v>
      </c>
      <c r="G1383" s="34" t="s">
        <v>5422</v>
      </c>
      <c r="H1383" s="34" t="s">
        <v>37</v>
      </c>
      <c r="I1383" s="34" t="s">
        <v>38</v>
      </c>
      <c r="J1383" s="34" t="s">
        <v>4720</v>
      </c>
      <c r="K1383" s="34" t="s">
        <v>4721</v>
      </c>
      <c r="L1383" s="34">
        <v>351500</v>
      </c>
      <c r="M1383" s="34">
        <v>0</v>
      </c>
      <c r="N1383" s="34">
        <v>0</v>
      </c>
      <c r="O1383" s="34">
        <v>2201500</v>
      </c>
      <c r="P1383" s="34" t="s">
        <v>41</v>
      </c>
      <c r="Q1383" s="34" t="s">
        <v>42</v>
      </c>
      <c r="R1383" s="26"/>
      <c r="S1383" s="26"/>
      <c r="T1383" s="26" t="s">
        <v>43</v>
      </c>
      <c r="U1383" s="26"/>
      <c r="V1383" s="26"/>
      <c r="W1383" s="26"/>
      <c r="X1383" s="26"/>
    </row>
    <row r="1384" spans="1:24">
      <c r="A1384" s="34" t="s">
        <v>31</v>
      </c>
      <c r="B1384" s="34" t="s">
        <v>5423</v>
      </c>
      <c r="C1384" s="34" t="s">
        <v>5424</v>
      </c>
      <c r="D1384" s="34">
        <f t="shared" si="21"/>
        <v>-1</v>
      </c>
      <c r="E1384" s="34" t="s">
        <v>34</v>
      </c>
      <c r="F1384" s="34" t="s">
        <v>5264</v>
      </c>
      <c r="G1384" s="34" t="s">
        <v>5425</v>
      </c>
      <c r="H1384" s="34" t="s">
        <v>37</v>
      </c>
      <c r="I1384" s="34" t="s">
        <v>38</v>
      </c>
      <c r="J1384" s="34" t="s">
        <v>4720</v>
      </c>
      <c r="K1384" s="34" t="s">
        <v>4721</v>
      </c>
      <c r="L1384" s="34">
        <v>0</v>
      </c>
      <c r="M1384" s="34">
        <v>0</v>
      </c>
      <c r="N1384" s="34">
        <v>0</v>
      </c>
      <c r="O1384" s="34">
        <v>689000</v>
      </c>
      <c r="P1384" s="34" t="s">
        <v>41</v>
      </c>
      <c r="Q1384" s="34" t="s">
        <v>42</v>
      </c>
      <c r="R1384" s="26"/>
      <c r="S1384" s="26"/>
      <c r="T1384" s="26" t="s">
        <v>43</v>
      </c>
      <c r="U1384" s="26"/>
      <c r="V1384" s="26"/>
      <c r="W1384" s="26"/>
      <c r="X1384" s="26"/>
    </row>
    <row r="1385" spans="1:24">
      <c r="A1385" s="34" t="s">
        <v>31</v>
      </c>
      <c r="B1385" s="34" t="s">
        <v>5426</v>
      </c>
      <c r="C1385" s="34" t="s">
        <v>5427</v>
      </c>
      <c r="D1385" s="34">
        <f t="shared" si="21"/>
        <v>-1</v>
      </c>
      <c r="E1385" s="34" t="s">
        <v>34</v>
      </c>
      <c r="F1385" s="34" t="s">
        <v>5264</v>
      </c>
      <c r="G1385" s="34" t="s">
        <v>5428</v>
      </c>
      <c r="H1385" s="34" t="s">
        <v>37</v>
      </c>
      <c r="I1385" s="34" t="s">
        <v>38</v>
      </c>
      <c r="J1385" s="34" t="s">
        <v>677</v>
      </c>
      <c r="K1385" s="34" t="s">
        <v>678</v>
      </c>
      <c r="L1385" s="34">
        <v>16511311.6</v>
      </c>
      <c r="M1385" s="34">
        <v>0</v>
      </c>
      <c r="N1385" s="34">
        <v>0</v>
      </c>
      <c r="O1385" s="34">
        <v>103412951.59999999</v>
      </c>
      <c r="P1385" s="34" t="s">
        <v>41</v>
      </c>
      <c r="Q1385" s="34" t="s">
        <v>42</v>
      </c>
      <c r="R1385" s="26"/>
      <c r="S1385" s="26"/>
      <c r="T1385" s="26" t="s">
        <v>43</v>
      </c>
      <c r="U1385" s="26"/>
      <c r="V1385" s="26"/>
      <c r="W1385" s="26"/>
      <c r="X1385" s="26"/>
    </row>
    <row r="1386" spans="1:24">
      <c r="A1386" s="32" t="s">
        <v>31</v>
      </c>
      <c r="B1386" s="32" t="s">
        <v>5429</v>
      </c>
      <c r="C1386" s="32" t="s">
        <v>5430</v>
      </c>
      <c r="D1386" s="32">
        <f t="shared" si="21"/>
        <v>-1</v>
      </c>
      <c r="E1386" s="32" t="s">
        <v>34</v>
      </c>
      <c r="F1386" s="32" t="s">
        <v>5264</v>
      </c>
      <c r="G1386" s="32" t="s">
        <v>5431</v>
      </c>
      <c r="H1386" s="32" t="s">
        <v>37</v>
      </c>
      <c r="I1386" s="32" t="s">
        <v>38</v>
      </c>
      <c r="J1386" s="32" t="s">
        <v>342</v>
      </c>
      <c r="K1386" s="32" t="s">
        <v>343</v>
      </c>
      <c r="L1386" s="32">
        <v>17290</v>
      </c>
      <c r="M1386" s="32">
        <v>0</v>
      </c>
      <c r="N1386" s="32">
        <v>0</v>
      </c>
      <c r="O1386" s="32">
        <v>108290</v>
      </c>
      <c r="P1386" s="32" t="s">
        <v>41</v>
      </c>
      <c r="Q1386" s="32" t="s">
        <v>42</v>
      </c>
      <c r="R1386" s="26" t="s">
        <v>43</v>
      </c>
      <c r="S1386" s="26"/>
      <c r="T1386" s="26"/>
      <c r="U1386" s="26"/>
      <c r="V1386" s="26"/>
      <c r="W1386" s="26"/>
      <c r="X1386" s="26"/>
    </row>
    <row r="1387" spans="1:24">
      <c r="A1387" s="26" t="s">
        <v>31</v>
      </c>
      <c r="B1387" s="26" t="s">
        <v>5432</v>
      </c>
      <c r="C1387" s="26" t="s">
        <v>5433</v>
      </c>
      <c r="D1387" s="26">
        <f t="shared" si="21"/>
        <v>-1</v>
      </c>
      <c r="E1387" s="26" t="s">
        <v>34</v>
      </c>
      <c r="F1387" s="26" t="s">
        <v>5264</v>
      </c>
      <c r="G1387" s="26" t="s">
        <v>5434</v>
      </c>
      <c r="H1387" s="26" t="s">
        <v>37</v>
      </c>
      <c r="I1387" s="26" t="s">
        <v>38</v>
      </c>
      <c r="J1387" s="26" t="s">
        <v>471</v>
      </c>
      <c r="K1387" s="26" t="s">
        <v>472</v>
      </c>
      <c r="L1387" s="26">
        <v>422592.49</v>
      </c>
      <c r="M1387" s="26">
        <v>0</v>
      </c>
      <c r="N1387" s="26">
        <v>0</v>
      </c>
      <c r="O1387" s="26">
        <v>2646763.4900000002</v>
      </c>
      <c r="P1387" s="26" t="s">
        <v>41</v>
      </c>
      <c r="Q1387" s="26" t="s">
        <v>42</v>
      </c>
      <c r="R1387" s="26"/>
      <c r="S1387" s="26"/>
      <c r="T1387" s="26"/>
      <c r="U1387" s="26"/>
      <c r="V1387" s="26" t="s">
        <v>43</v>
      </c>
      <c r="W1387" s="26"/>
      <c r="X1387" s="26"/>
    </row>
    <row r="1388" spans="1:24">
      <c r="A1388" s="26" t="s">
        <v>31</v>
      </c>
      <c r="B1388" s="26" t="s">
        <v>5435</v>
      </c>
      <c r="C1388" s="26" t="s">
        <v>5436</v>
      </c>
      <c r="D1388" s="26">
        <f t="shared" si="21"/>
        <v>-1</v>
      </c>
      <c r="E1388" s="26" t="s">
        <v>34</v>
      </c>
      <c r="F1388" s="26" t="s">
        <v>5264</v>
      </c>
      <c r="G1388" s="26" t="s">
        <v>5437</v>
      </c>
      <c r="H1388" s="26" t="s">
        <v>37</v>
      </c>
      <c r="I1388" s="26" t="s">
        <v>38</v>
      </c>
      <c r="J1388" s="26" t="s">
        <v>471</v>
      </c>
      <c r="K1388" s="26" t="s">
        <v>472</v>
      </c>
      <c r="L1388" s="26">
        <v>15179.1</v>
      </c>
      <c r="M1388" s="26">
        <v>0</v>
      </c>
      <c r="N1388" s="26">
        <v>0</v>
      </c>
      <c r="O1388" s="26">
        <v>95069.1</v>
      </c>
      <c r="P1388" s="26" t="s">
        <v>41</v>
      </c>
      <c r="Q1388" s="26" t="s">
        <v>42</v>
      </c>
      <c r="R1388" s="26"/>
      <c r="S1388" s="26"/>
      <c r="T1388" s="26"/>
      <c r="U1388" s="26"/>
      <c r="V1388" s="26" t="s">
        <v>43</v>
      </c>
      <c r="W1388" s="26"/>
      <c r="X1388" s="26"/>
    </row>
    <row r="1389" spans="1:24">
      <c r="A1389" s="26" t="s">
        <v>31</v>
      </c>
      <c r="B1389" s="26" t="s">
        <v>5438</v>
      </c>
      <c r="C1389" s="26" t="s">
        <v>5439</v>
      </c>
      <c r="D1389" s="26">
        <f t="shared" si="21"/>
        <v>-1</v>
      </c>
      <c r="E1389" s="26" t="s">
        <v>34</v>
      </c>
      <c r="F1389" s="26" t="s">
        <v>5264</v>
      </c>
      <c r="G1389" s="26" t="s">
        <v>5440</v>
      </c>
      <c r="H1389" s="26" t="s">
        <v>37</v>
      </c>
      <c r="I1389" s="26" t="s">
        <v>38</v>
      </c>
      <c r="J1389" s="26" t="s">
        <v>471</v>
      </c>
      <c r="K1389" s="26" t="s">
        <v>472</v>
      </c>
      <c r="L1389" s="26">
        <v>255207.81</v>
      </c>
      <c r="M1389" s="26">
        <v>0</v>
      </c>
      <c r="N1389" s="26">
        <v>0</v>
      </c>
      <c r="O1389" s="26">
        <v>1598406.81</v>
      </c>
      <c r="P1389" s="26" t="s">
        <v>41</v>
      </c>
      <c r="Q1389" s="26" t="s">
        <v>42</v>
      </c>
      <c r="R1389" s="26"/>
      <c r="S1389" s="26"/>
      <c r="T1389" s="26"/>
      <c r="U1389" s="26"/>
      <c r="V1389" s="26" t="s">
        <v>43</v>
      </c>
      <c r="W1389" s="26"/>
      <c r="X1389" s="26"/>
    </row>
    <row r="1390" spans="1:24">
      <c r="A1390" s="26" t="s">
        <v>31</v>
      </c>
      <c r="B1390" s="26" t="s">
        <v>5441</v>
      </c>
      <c r="C1390" s="26" t="s">
        <v>5442</v>
      </c>
      <c r="D1390" s="26">
        <f t="shared" si="21"/>
        <v>-1</v>
      </c>
      <c r="E1390" s="26" t="s">
        <v>34</v>
      </c>
      <c r="F1390" s="26" t="s">
        <v>5264</v>
      </c>
      <c r="G1390" s="26" t="s">
        <v>5443</v>
      </c>
      <c r="H1390" s="26" t="s">
        <v>37</v>
      </c>
      <c r="I1390" s="26" t="s">
        <v>38</v>
      </c>
      <c r="J1390" s="26" t="s">
        <v>5444</v>
      </c>
      <c r="K1390" s="26" t="s">
        <v>5445</v>
      </c>
      <c r="L1390" s="26">
        <v>74100.19</v>
      </c>
      <c r="M1390" s="26">
        <v>0</v>
      </c>
      <c r="N1390" s="26">
        <v>0</v>
      </c>
      <c r="O1390" s="26">
        <v>464101.19</v>
      </c>
      <c r="P1390" s="26" t="s">
        <v>41</v>
      </c>
      <c r="Q1390" s="26" t="s">
        <v>42</v>
      </c>
      <c r="R1390" s="26"/>
      <c r="S1390" s="26"/>
      <c r="T1390" s="26"/>
      <c r="U1390" s="26"/>
      <c r="V1390" s="26" t="s">
        <v>43</v>
      </c>
      <c r="W1390" s="26"/>
      <c r="X1390" s="26"/>
    </row>
    <row r="1391" spans="1:24">
      <c r="A1391" s="26" t="s">
        <v>31</v>
      </c>
      <c r="B1391" s="26" t="s">
        <v>5446</v>
      </c>
      <c r="C1391" s="26" t="s">
        <v>5447</v>
      </c>
      <c r="D1391" s="26">
        <f t="shared" si="21"/>
        <v>-1</v>
      </c>
      <c r="E1391" s="26" t="s">
        <v>34</v>
      </c>
      <c r="F1391" s="26" t="s">
        <v>5264</v>
      </c>
      <c r="G1391" s="26" t="s">
        <v>5448</v>
      </c>
      <c r="H1391" s="26" t="s">
        <v>37</v>
      </c>
      <c r="I1391" s="26" t="s">
        <v>38</v>
      </c>
      <c r="J1391" s="26" t="s">
        <v>5449</v>
      </c>
      <c r="K1391" s="26" t="s">
        <v>5450</v>
      </c>
      <c r="L1391" s="26">
        <v>296020</v>
      </c>
      <c r="M1391" s="26">
        <v>0</v>
      </c>
      <c r="N1391" s="26">
        <v>0</v>
      </c>
      <c r="O1391" s="26">
        <v>1854020</v>
      </c>
      <c r="P1391" s="26" t="s">
        <v>41</v>
      </c>
      <c r="Q1391" s="26" t="s">
        <v>42</v>
      </c>
      <c r="R1391" s="26"/>
      <c r="S1391" s="26"/>
      <c r="T1391" s="26"/>
      <c r="U1391" s="26"/>
      <c r="V1391" s="26" t="s">
        <v>43</v>
      </c>
      <c r="W1391" s="26"/>
      <c r="X1391" s="26"/>
    </row>
    <row r="1392" spans="1:24">
      <c r="A1392" s="26" t="s">
        <v>31</v>
      </c>
      <c r="B1392" s="26" t="s">
        <v>5451</v>
      </c>
      <c r="C1392" s="26" t="s">
        <v>5452</v>
      </c>
      <c r="D1392" s="26">
        <f t="shared" si="21"/>
        <v>-1</v>
      </c>
      <c r="E1392" s="26" t="s">
        <v>34</v>
      </c>
      <c r="F1392" s="26" t="s">
        <v>5264</v>
      </c>
      <c r="G1392" s="26" t="s">
        <v>5453</v>
      </c>
      <c r="H1392" s="26" t="s">
        <v>37</v>
      </c>
      <c r="I1392" s="26" t="s">
        <v>38</v>
      </c>
      <c r="J1392" s="26" t="s">
        <v>1009</v>
      </c>
      <c r="K1392" s="26" t="s">
        <v>1010</v>
      </c>
      <c r="L1392" s="26">
        <v>25938.42</v>
      </c>
      <c r="M1392" s="26">
        <v>0</v>
      </c>
      <c r="N1392" s="26">
        <v>0</v>
      </c>
      <c r="O1392" s="26">
        <v>162456.42000000001</v>
      </c>
      <c r="P1392" s="26" t="s">
        <v>41</v>
      </c>
      <c r="Q1392" s="26" t="s">
        <v>42</v>
      </c>
      <c r="R1392" s="26"/>
      <c r="S1392" s="26"/>
      <c r="T1392" s="26"/>
      <c r="U1392" s="26"/>
      <c r="V1392" s="26" t="s">
        <v>43</v>
      </c>
      <c r="W1392" s="26"/>
      <c r="X1392" s="26"/>
    </row>
    <row r="1393" spans="1:24">
      <c r="A1393" s="34" t="s">
        <v>31</v>
      </c>
      <c r="B1393" s="34" t="s">
        <v>5454</v>
      </c>
      <c r="C1393" s="34" t="s">
        <v>5455</v>
      </c>
      <c r="D1393" s="34">
        <f t="shared" si="21"/>
        <v>-1</v>
      </c>
      <c r="E1393" s="34" t="s">
        <v>34</v>
      </c>
      <c r="F1393" s="34" t="s">
        <v>5264</v>
      </c>
      <c r="G1393" s="34" t="s">
        <v>5456</v>
      </c>
      <c r="H1393" s="34" t="s">
        <v>37</v>
      </c>
      <c r="I1393" s="34" t="s">
        <v>38</v>
      </c>
      <c r="J1393" s="34" t="s">
        <v>2079</v>
      </c>
      <c r="K1393" s="34" t="s">
        <v>2080</v>
      </c>
      <c r="L1393" s="34">
        <v>210976.95</v>
      </c>
      <c r="M1393" s="34">
        <v>0</v>
      </c>
      <c r="N1393" s="34">
        <v>0</v>
      </c>
      <c r="O1393" s="34">
        <v>1321381.95</v>
      </c>
      <c r="P1393" s="34" t="s">
        <v>41</v>
      </c>
      <c r="Q1393" s="34" t="s">
        <v>42</v>
      </c>
      <c r="R1393" s="26"/>
      <c r="S1393" s="26"/>
      <c r="T1393" s="26" t="s">
        <v>43</v>
      </c>
      <c r="U1393" s="26"/>
      <c r="V1393" s="26"/>
      <c r="W1393" s="26"/>
      <c r="X1393" s="26"/>
    </row>
    <row r="1394" spans="1:24">
      <c r="A1394" s="32" t="s">
        <v>31</v>
      </c>
      <c r="B1394" s="32" t="s">
        <v>5457</v>
      </c>
      <c r="C1394" s="32" t="s">
        <v>5458</v>
      </c>
      <c r="D1394" s="32">
        <f t="shared" si="21"/>
        <v>-1</v>
      </c>
      <c r="E1394" s="32" t="s">
        <v>34</v>
      </c>
      <c r="F1394" s="32" t="s">
        <v>5264</v>
      </c>
      <c r="G1394" s="32" t="s">
        <v>5459</v>
      </c>
      <c r="H1394" s="32" t="s">
        <v>37</v>
      </c>
      <c r="I1394" s="32" t="s">
        <v>38</v>
      </c>
      <c r="J1394" s="32" t="s">
        <v>3451</v>
      </c>
      <c r="K1394" s="32" t="s">
        <v>3452</v>
      </c>
      <c r="L1394" s="32">
        <v>1005166.5</v>
      </c>
      <c r="M1394" s="32">
        <v>0</v>
      </c>
      <c r="N1394" s="32">
        <v>0</v>
      </c>
      <c r="O1394" s="32">
        <v>6295516.5</v>
      </c>
      <c r="P1394" s="32" t="s">
        <v>41</v>
      </c>
      <c r="Q1394" s="32" t="s">
        <v>42</v>
      </c>
      <c r="R1394" s="26" t="s">
        <v>43</v>
      </c>
      <c r="S1394" s="26"/>
      <c r="T1394" s="26"/>
      <c r="U1394" s="26"/>
      <c r="V1394" s="26"/>
      <c r="W1394" s="26"/>
      <c r="X1394" s="26"/>
    </row>
    <row r="1395" spans="1:24">
      <c r="A1395" s="32" t="s">
        <v>31</v>
      </c>
      <c r="B1395" s="32" t="s">
        <v>5460</v>
      </c>
      <c r="C1395" s="32" t="s">
        <v>5461</v>
      </c>
      <c r="D1395" s="32">
        <f t="shared" si="21"/>
        <v>-1</v>
      </c>
      <c r="E1395" s="32" t="s">
        <v>34</v>
      </c>
      <c r="F1395" s="32" t="s">
        <v>5264</v>
      </c>
      <c r="G1395" s="32" t="s">
        <v>5462</v>
      </c>
      <c r="H1395" s="32" t="s">
        <v>37</v>
      </c>
      <c r="I1395" s="32" t="s">
        <v>38</v>
      </c>
      <c r="J1395" s="32" t="s">
        <v>5463</v>
      </c>
      <c r="K1395" s="32" t="s">
        <v>5464</v>
      </c>
      <c r="L1395" s="32">
        <v>189285.6</v>
      </c>
      <c r="M1395" s="32">
        <v>0</v>
      </c>
      <c r="N1395" s="32">
        <v>0</v>
      </c>
      <c r="O1395" s="32">
        <v>1185525.6000000001</v>
      </c>
      <c r="P1395" s="32" t="s">
        <v>41</v>
      </c>
      <c r="Q1395" s="32" t="s">
        <v>42</v>
      </c>
      <c r="R1395" s="26" t="s">
        <v>43</v>
      </c>
      <c r="S1395" s="26"/>
      <c r="T1395" s="26"/>
      <c r="U1395" s="26"/>
      <c r="V1395" s="26"/>
      <c r="W1395" s="26"/>
      <c r="X1395" s="26"/>
    </row>
    <row r="1396" spans="1:24">
      <c r="A1396" s="26" t="s">
        <v>31</v>
      </c>
      <c r="B1396" s="26" t="s">
        <v>5465</v>
      </c>
      <c r="C1396" s="26" t="s">
        <v>5466</v>
      </c>
      <c r="D1396" s="26">
        <f t="shared" si="21"/>
        <v>-1</v>
      </c>
      <c r="E1396" s="26" t="s">
        <v>34</v>
      </c>
      <c r="F1396" s="26" t="s">
        <v>5264</v>
      </c>
      <c r="G1396" s="26" t="s">
        <v>5467</v>
      </c>
      <c r="H1396" s="26" t="s">
        <v>37</v>
      </c>
      <c r="I1396" s="26" t="s">
        <v>38</v>
      </c>
      <c r="J1396" s="26" t="s">
        <v>1818</v>
      </c>
      <c r="K1396" s="26" t="s">
        <v>1819</v>
      </c>
      <c r="L1396" s="26">
        <v>222490</v>
      </c>
      <c r="M1396" s="26">
        <v>0</v>
      </c>
      <c r="N1396" s="26">
        <v>0</v>
      </c>
      <c r="O1396" s="26">
        <v>1393490</v>
      </c>
      <c r="P1396" s="26" t="s">
        <v>41</v>
      </c>
      <c r="Q1396" s="26" t="s">
        <v>42</v>
      </c>
      <c r="R1396" s="26"/>
      <c r="S1396" s="26"/>
      <c r="T1396" s="26"/>
      <c r="U1396" s="26"/>
      <c r="V1396" s="26" t="s">
        <v>43</v>
      </c>
      <c r="W1396" s="26"/>
      <c r="X1396" s="26"/>
    </row>
    <row r="1397" spans="1:24">
      <c r="A1397" s="34" t="s">
        <v>31</v>
      </c>
      <c r="B1397" s="34" t="s">
        <v>5468</v>
      </c>
      <c r="C1397" s="34" t="s">
        <v>5469</v>
      </c>
      <c r="D1397" s="34">
        <f t="shared" si="21"/>
        <v>-1</v>
      </c>
      <c r="E1397" s="34" t="s">
        <v>34</v>
      </c>
      <c r="F1397" s="34" t="s">
        <v>5264</v>
      </c>
      <c r="G1397" s="34" t="s">
        <v>5470</v>
      </c>
      <c r="H1397" s="34" t="s">
        <v>37</v>
      </c>
      <c r="I1397" s="34" t="s">
        <v>38</v>
      </c>
      <c r="J1397" s="34" t="s">
        <v>52</v>
      </c>
      <c r="K1397" s="34" t="s">
        <v>53</v>
      </c>
      <c r="L1397" s="34">
        <v>84544.68</v>
      </c>
      <c r="M1397" s="34">
        <v>0</v>
      </c>
      <c r="N1397" s="34">
        <v>0</v>
      </c>
      <c r="O1397" s="34">
        <v>529516.68000000005</v>
      </c>
      <c r="P1397" s="34" t="s">
        <v>41</v>
      </c>
      <c r="Q1397" s="34" t="s">
        <v>42</v>
      </c>
      <c r="R1397" s="26"/>
      <c r="S1397" s="26"/>
      <c r="T1397" s="26" t="s">
        <v>43</v>
      </c>
      <c r="U1397" s="26"/>
      <c r="V1397" s="26"/>
      <c r="W1397" s="26"/>
      <c r="X1397" s="26"/>
    </row>
    <row r="1398" spans="1:24">
      <c r="A1398" s="26" t="s">
        <v>31</v>
      </c>
      <c r="B1398" s="26" t="s">
        <v>5471</v>
      </c>
      <c r="C1398" s="26" t="s">
        <v>5472</v>
      </c>
      <c r="D1398" s="26">
        <f t="shared" si="21"/>
        <v>-1</v>
      </c>
      <c r="E1398" s="26" t="s">
        <v>34</v>
      </c>
      <c r="F1398" s="26" t="s">
        <v>5264</v>
      </c>
      <c r="G1398" s="26" t="s">
        <v>5473</v>
      </c>
      <c r="H1398" s="26" t="s">
        <v>37</v>
      </c>
      <c r="I1398" s="26" t="s">
        <v>38</v>
      </c>
      <c r="J1398" s="26" t="s">
        <v>5474</v>
      </c>
      <c r="K1398" s="26" t="s">
        <v>5475</v>
      </c>
      <c r="L1398" s="26">
        <v>717100.85</v>
      </c>
      <c r="M1398" s="26">
        <v>0</v>
      </c>
      <c r="N1398" s="26">
        <v>0</v>
      </c>
      <c r="O1398" s="26">
        <v>4491315.8499999996</v>
      </c>
      <c r="P1398" s="26" t="s">
        <v>41</v>
      </c>
      <c r="Q1398" s="26" t="s">
        <v>42</v>
      </c>
      <c r="R1398" s="26"/>
      <c r="S1398" s="26"/>
      <c r="T1398" s="26"/>
      <c r="U1398" s="26"/>
      <c r="V1398" s="26" t="s">
        <v>43</v>
      </c>
      <c r="W1398" s="26"/>
      <c r="X1398" s="26"/>
    </row>
    <row r="1399" spans="1:24">
      <c r="A1399" s="35" t="s">
        <v>31</v>
      </c>
      <c r="B1399" s="35" t="s">
        <v>5476</v>
      </c>
      <c r="C1399" s="35" t="s">
        <v>5477</v>
      </c>
      <c r="D1399" s="35">
        <f t="shared" si="21"/>
        <v>-1</v>
      </c>
      <c r="E1399" s="35" t="s">
        <v>34</v>
      </c>
      <c r="F1399" s="35" t="s">
        <v>5264</v>
      </c>
      <c r="G1399" s="35" t="s">
        <v>5478</v>
      </c>
      <c r="H1399" s="35" t="s">
        <v>37</v>
      </c>
      <c r="I1399" s="35" t="s">
        <v>38</v>
      </c>
      <c r="J1399" s="35" t="s">
        <v>5479</v>
      </c>
      <c r="K1399" s="35" t="s">
        <v>5480</v>
      </c>
      <c r="L1399" s="35">
        <v>40938.400000000001</v>
      </c>
      <c r="M1399" s="35">
        <v>0</v>
      </c>
      <c r="N1399" s="35">
        <v>0</v>
      </c>
      <c r="O1399" s="35">
        <v>318298.40000000002</v>
      </c>
      <c r="P1399" s="35" t="s">
        <v>41</v>
      </c>
      <c r="Q1399" s="35" t="s">
        <v>42</v>
      </c>
      <c r="R1399" s="26"/>
      <c r="S1399" s="26"/>
      <c r="T1399" s="26"/>
      <c r="U1399" s="26"/>
      <c r="V1399" s="26"/>
      <c r="W1399" s="35" t="s">
        <v>43</v>
      </c>
      <c r="X1399" s="26" t="s">
        <v>1029</v>
      </c>
    </row>
    <row r="1400" spans="1:24">
      <c r="A1400" s="26" t="s">
        <v>31</v>
      </c>
      <c r="B1400" s="26" t="s">
        <v>5481</v>
      </c>
      <c r="C1400" s="26" t="s">
        <v>5482</v>
      </c>
      <c r="D1400" s="26">
        <f t="shared" si="21"/>
        <v>-1</v>
      </c>
      <c r="E1400" s="26" t="s">
        <v>34</v>
      </c>
      <c r="F1400" s="26" t="s">
        <v>5264</v>
      </c>
      <c r="G1400" s="26" t="s">
        <v>5483</v>
      </c>
      <c r="H1400" s="26" t="s">
        <v>37</v>
      </c>
      <c r="I1400" s="26" t="s">
        <v>38</v>
      </c>
      <c r="J1400" s="26" t="s">
        <v>5484</v>
      </c>
      <c r="K1400" s="26" t="s">
        <v>5485</v>
      </c>
      <c r="L1400" s="26">
        <v>429713.1</v>
      </c>
      <c r="M1400" s="26">
        <v>0</v>
      </c>
      <c r="N1400" s="26">
        <v>0</v>
      </c>
      <c r="O1400" s="26">
        <v>4163203.1</v>
      </c>
      <c r="P1400" s="26" t="s">
        <v>41</v>
      </c>
      <c r="Q1400" s="26" t="s">
        <v>42</v>
      </c>
      <c r="R1400" s="26"/>
      <c r="S1400" s="26"/>
      <c r="T1400" s="26"/>
      <c r="U1400" s="26"/>
      <c r="V1400" s="26" t="s">
        <v>43</v>
      </c>
      <c r="W1400" s="26"/>
      <c r="X1400" s="26"/>
    </row>
    <row r="1401" spans="1:24">
      <c r="A1401" s="26" t="s">
        <v>31</v>
      </c>
      <c r="B1401" s="26" t="s">
        <v>5486</v>
      </c>
      <c r="C1401" s="26" t="s">
        <v>5487</v>
      </c>
      <c r="D1401" s="26">
        <f t="shared" si="21"/>
        <v>-1</v>
      </c>
      <c r="E1401" s="26" t="s">
        <v>34</v>
      </c>
      <c r="F1401" s="26" t="s">
        <v>5264</v>
      </c>
      <c r="G1401" s="26" t="s">
        <v>5488</v>
      </c>
      <c r="H1401" s="26" t="s">
        <v>37</v>
      </c>
      <c r="I1401" s="26" t="s">
        <v>38</v>
      </c>
      <c r="J1401" s="26" t="s">
        <v>5489</v>
      </c>
      <c r="K1401" s="26" t="s">
        <v>5490</v>
      </c>
      <c r="L1401" s="26">
        <v>521182.94</v>
      </c>
      <c r="M1401" s="26">
        <v>0</v>
      </c>
      <c r="N1401" s="26">
        <v>0</v>
      </c>
      <c r="O1401" s="26">
        <v>5094801.9400000004</v>
      </c>
      <c r="P1401" s="26" t="s">
        <v>41</v>
      </c>
      <c r="Q1401" s="26" t="s">
        <v>42</v>
      </c>
      <c r="R1401" s="26"/>
      <c r="S1401" s="26"/>
      <c r="T1401" s="26"/>
      <c r="U1401" s="26"/>
      <c r="V1401" s="26" t="s">
        <v>43</v>
      </c>
      <c r="W1401" s="26"/>
      <c r="X1401" s="26"/>
    </row>
    <row r="1402" spans="1:24">
      <c r="A1402" s="26" t="s">
        <v>31</v>
      </c>
      <c r="B1402" s="26" t="s">
        <v>5491</v>
      </c>
      <c r="C1402" s="26" t="s">
        <v>5492</v>
      </c>
      <c r="D1402" s="26">
        <f t="shared" si="21"/>
        <v>-1</v>
      </c>
      <c r="E1402" s="26" t="s">
        <v>34</v>
      </c>
      <c r="F1402" s="26" t="s">
        <v>5264</v>
      </c>
      <c r="G1402" s="26" t="s">
        <v>5493</v>
      </c>
      <c r="H1402" s="26" t="s">
        <v>37</v>
      </c>
      <c r="I1402" s="26" t="s">
        <v>38</v>
      </c>
      <c r="J1402" s="26" t="s">
        <v>4388</v>
      </c>
      <c r="K1402" s="26" t="s">
        <v>4389</v>
      </c>
      <c r="L1402" s="26">
        <v>0</v>
      </c>
      <c r="M1402" s="26">
        <v>0</v>
      </c>
      <c r="N1402" s="26">
        <v>0</v>
      </c>
      <c r="O1402" s="26">
        <v>1062366</v>
      </c>
      <c r="P1402" s="26" t="s">
        <v>41</v>
      </c>
      <c r="Q1402" s="26" t="s">
        <v>42</v>
      </c>
      <c r="R1402" s="26"/>
      <c r="S1402" s="26"/>
      <c r="T1402" s="26" t="s">
        <v>43</v>
      </c>
      <c r="U1402" s="26"/>
      <c r="V1402" s="26"/>
      <c r="W1402" s="26"/>
      <c r="X1402" s="26"/>
    </row>
    <row r="1403" spans="1:24">
      <c r="A1403" s="26" t="s">
        <v>31</v>
      </c>
      <c r="B1403" s="26" t="s">
        <v>5494</v>
      </c>
      <c r="C1403" s="26" t="s">
        <v>5495</v>
      </c>
      <c r="D1403" s="26">
        <f t="shared" si="21"/>
        <v>-1</v>
      </c>
      <c r="E1403" s="26" t="s">
        <v>34</v>
      </c>
      <c r="F1403" s="26" t="s">
        <v>5264</v>
      </c>
      <c r="G1403" s="26" t="s">
        <v>5496</v>
      </c>
      <c r="H1403" s="26" t="s">
        <v>37</v>
      </c>
      <c r="I1403" s="26" t="s">
        <v>38</v>
      </c>
      <c r="J1403" s="26" t="s">
        <v>5302</v>
      </c>
      <c r="K1403" s="26" t="s">
        <v>5303</v>
      </c>
      <c r="L1403" s="26">
        <v>0</v>
      </c>
      <c r="M1403" s="26">
        <v>0</v>
      </c>
      <c r="N1403" s="26">
        <v>0</v>
      </c>
      <c r="O1403" s="26">
        <v>2728344</v>
      </c>
      <c r="P1403" s="26" t="s">
        <v>41</v>
      </c>
      <c r="Q1403" s="26" t="s">
        <v>42</v>
      </c>
      <c r="R1403" s="26"/>
      <c r="S1403" s="26"/>
      <c r="T1403" s="26"/>
      <c r="U1403" s="26"/>
      <c r="V1403" s="26" t="s">
        <v>43</v>
      </c>
      <c r="W1403" s="26"/>
      <c r="X1403" s="26"/>
    </row>
    <row r="1404" spans="1:24">
      <c r="A1404" s="26" t="s">
        <v>31</v>
      </c>
      <c r="B1404" s="26" t="s">
        <v>5497</v>
      </c>
      <c r="C1404" s="26" t="s">
        <v>5498</v>
      </c>
      <c r="D1404" s="26">
        <f t="shared" si="21"/>
        <v>-1</v>
      </c>
      <c r="E1404" s="26" t="s">
        <v>34</v>
      </c>
      <c r="F1404" s="26" t="s">
        <v>5264</v>
      </c>
      <c r="G1404" s="26" t="s">
        <v>5499</v>
      </c>
      <c r="H1404" s="26" t="s">
        <v>37</v>
      </c>
      <c r="I1404" s="26" t="s">
        <v>38</v>
      </c>
      <c r="J1404" s="26" t="s">
        <v>5302</v>
      </c>
      <c r="K1404" s="26" t="s">
        <v>5303</v>
      </c>
      <c r="L1404" s="26">
        <v>0</v>
      </c>
      <c r="M1404" s="26">
        <v>0</v>
      </c>
      <c r="N1404" s="26">
        <v>0</v>
      </c>
      <c r="O1404" s="26">
        <v>9839462</v>
      </c>
      <c r="P1404" s="26" t="s">
        <v>41</v>
      </c>
      <c r="Q1404" s="26" t="s">
        <v>42</v>
      </c>
      <c r="R1404" s="26"/>
      <c r="S1404" s="26"/>
      <c r="T1404" s="26"/>
      <c r="U1404" s="26"/>
      <c r="V1404" s="26" t="s">
        <v>43</v>
      </c>
      <c r="W1404" s="26"/>
      <c r="X1404" s="26"/>
    </row>
    <row r="1405" spans="1:24">
      <c r="A1405" s="26" t="s">
        <v>31</v>
      </c>
      <c r="B1405" s="26" t="s">
        <v>5500</v>
      </c>
      <c r="C1405" s="26" t="s">
        <v>5501</v>
      </c>
      <c r="D1405" s="26">
        <f t="shared" si="21"/>
        <v>-1</v>
      </c>
      <c r="E1405" s="26" t="s">
        <v>34</v>
      </c>
      <c r="F1405" s="26" t="s">
        <v>5264</v>
      </c>
      <c r="G1405" s="26" t="s">
        <v>5502</v>
      </c>
      <c r="H1405" s="26" t="s">
        <v>37</v>
      </c>
      <c r="I1405" s="26" t="s">
        <v>38</v>
      </c>
      <c r="J1405" s="26" t="s">
        <v>5302</v>
      </c>
      <c r="K1405" s="26" t="s">
        <v>5303</v>
      </c>
      <c r="L1405" s="26">
        <v>290706.84000000003</v>
      </c>
      <c r="M1405" s="26">
        <v>0</v>
      </c>
      <c r="N1405" s="26">
        <v>0</v>
      </c>
      <c r="O1405" s="26">
        <v>1820742.84</v>
      </c>
      <c r="P1405" s="26" t="s">
        <v>41</v>
      </c>
      <c r="Q1405" s="26" t="s">
        <v>42</v>
      </c>
      <c r="R1405" s="26"/>
      <c r="S1405" s="26"/>
      <c r="T1405" s="26"/>
      <c r="U1405" s="26"/>
      <c r="V1405" s="26" t="s">
        <v>43</v>
      </c>
      <c r="W1405" s="26"/>
      <c r="X1405" s="26"/>
    </row>
    <row r="1406" spans="1:24">
      <c r="A1406" s="31" t="s">
        <v>31</v>
      </c>
      <c r="B1406" s="31" t="s">
        <v>5503</v>
      </c>
      <c r="C1406" s="31" t="s">
        <v>5504</v>
      </c>
      <c r="D1406" s="31">
        <f t="shared" si="21"/>
        <v>-1</v>
      </c>
      <c r="E1406" s="31" t="s">
        <v>34</v>
      </c>
      <c r="F1406" s="31" t="s">
        <v>5264</v>
      </c>
      <c r="G1406" s="31" t="s">
        <v>5505</v>
      </c>
      <c r="H1406" s="31" t="s">
        <v>37</v>
      </c>
      <c r="I1406" s="31" t="s">
        <v>38</v>
      </c>
      <c r="J1406" s="31" t="s">
        <v>4639</v>
      </c>
      <c r="K1406" s="31" t="s">
        <v>4640</v>
      </c>
      <c r="L1406" s="31">
        <v>489824.56</v>
      </c>
      <c r="M1406" s="31">
        <v>0</v>
      </c>
      <c r="N1406" s="31">
        <v>0</v>
      </c>
      <c r="O1406" s="31">
        <v>3067848.56</v>
      </c>
      <c r="P1406" s="31" t="s">
        <v>41</v>
      </c>
      <c r="Q1406" s="31" t="s">
        <v>42</v>
      </c>
      <c r="R1406" s="26"/>
      <c r="S1406" s="26"/>
      <c r="T1406" s="26"/>
      <c r="U1406" s="26" t="s">
        <v>43</v>
      </c>
      <c r="V1406" s="26"/>
      <c r="W1406" s="26"/>
      <c r="X1406" s="26"/>
    </row>
    <row r="1407" spans="1:24">
      <c r="A1407" s="32" t="s">
        <v>31</v>
      </c>
      <c r="B1407" s="32" t="s">
        <v>5506</v>
      </c>
      <c r="C1407" s="32" t="s">
        <v>5507</v>
      </c>
      <c r="D1407" s="32">
        <f t="shared" si="21"/>
        <v>-1</v>
      </c>
      <c r="E1407" s="32" t="s">
        <v>34</v>
      </c>
      <c r="F1407" s="32" t="s">
        <v>5264</v>
      </c>
      <c r="G1407" s="32" t="s">
        <v>5508</v>
      </c>
      <c r="H1407" s="32" t="s">
        <v>37</v>
      </c>
      <c r="I1407" s="32" t="s">
        <v>38</v>
      </c>
      <c r="J1407" s="32" t="s">
        <v>2498</v>
      </c>
      <c r="K1407" s="32" t="s">
        <v>2499</v>
      </c>
      <c r="L1407" s="32">
        <v>51178.59</v>
      </c>
      <c r="M1407" s="32">
        <v>0</v>
      </c>
      <c r="N1407" s="32">
        <v>0</v>
      </c>
      <c r="O1407" s="32">
        <v>320539.59000000003</v>
      </c>
      <c r="P1407" s="32" t="s">
        <v>41</v>
      </c>
      <c r="Q1407" s="32" t="s">
        <v>42</v>
      </c>
      <c r="R1407" s="26" t="s">
        <v>43</v>
      </c>
      <c r="S1407" s="26"/>
      <c r="T1407" s="26"/>
      <c r="U1407" s="26"/>
      <c r="V1407" s="26"/>
      <c r="W1407" s="26"/>
      <c r="X1407" s="26"/>
    </row>
    <row r="1408" spans="1:24">
      <c r="A1408" s="32" t="s">
        <v>31</v>
      </c>
      <c r="B1408" s="32" t="s">
        <v>5509</v>
      </c>
      <c r="C1408" s="32" t="s">
        <v>5510</v>
      </c>
      <c r="D1408" s="32">
        <f t="shared" si="21"/>
        <v>-1</v>
      </c>
      <c r="E1408" s="32" t="s">
        <v>34</v>
      </c>
      <c r="F1408" s="32" t="s">
        <v>5264</v>
      </c>
      <c r="G1408" s="32" t="s">
        <v>5511</v>
      </c>
      <c r="H1408" s="32" t="s">
        <v>37</v>
      </c>
      <c r="I1408" s="32" t="s">
        <v>38</v>
      </c>
      <c r="J1408" s="32" t="s">
        <v>2498</v>
      </c>
      <c r="K1408" s="32" t="s">
        <v>2499</v>
      </c>
      <c r="L1408" s="32">
        <v>113599.1</v>
      </c>
      <c r="M1408" s="32">
        <v>0</v>
      </c>
      <c r="N1408" s="32">
        <v>0</v>
      </c>
      <c r="O1408" s="32">
        <v>711489.1</v>
      </c>
      <c r="P1408" s="32" t="s">
        <v>41</v>
      </c>
      <c r="Q1408" s="32" t="s">
        <v>42</v>
      </c>
      <c r="R1408" s="26" t="s">
        <v>43</v>
      </c>
      <c r="S1408" s="26"/>
      <c r="T1408" s="26"/>
      <c r="U1408" s="26"/>
      <c r="V1408" s="26"/>
      <c r="W1408" s="26"/>
      <c r="X1408" s="26"/>
    </row>
    <row r="1409" spans="1:24">
      <c r="A1409" s="32" t="s">
        <v>31</v>
      </c>
      <c r="B1409" s="32" t="s">
        <v>5512</v>
      </c>
      <c r="C1409" s="32" t="s">
        <v>5513</v>
      </c>
      <c r="D1409" s="32">
        <f t="shared" si="21"/>
        <v>-1</v>
      </c>
      <c r="E1409" s="32" t="s">
        <v>34</v>
      </c>
      <c r="F1409" s="32" t="s">
        <v>5264</v>
      </c>
      <c r="G1409" s="32" t="s">
        <v>5514</v>
      </c>
      <c r="H1409" s="32" t="s">
        <v>37</v>
      </c>
      <c r="I1409" s="32" t="s">
        <v>38</v>
      </c>
      <c r="J1409" s="32" t="s">
        <v>2001</v>
      </c>
      <c r="K1409" s="32" t="s">
        <v>2002</v>
      </c>
      <c r="L1409" s="32">
        <v>442587.9</v>
      </c>
      <c r="M1409" s="32">
        <v>0</v>
      </c>
      <c r="N1409" s="32">
        <v>0</v>
      </c>
      <c r="O1409" s="32">
        <v>2771997.9</v>
      </c>
      <c r="P1409" s="32" t="s">
        <v>41</v>
      </c>
      <c r="Q1409" s="32" t="s">
        <v>42</v>
      </c>
      <c r="R1409" s="26" t="s">
        <v>43</v>
      </c>
      <c r="S1409" s="26"/>
      <c r="T1409" s="26"/>
      <c r="U1409" s="26"/>
      <c r="V1409" s="26"/>
      <c r="W1409" s="26"/>
      <c r="X1409" s="26"/>
    </row>
    <row r="1410" spans="1:24">
      <c r="A1410" s="32" t="s">
        <v>31</v>
      </c>
      <c r="B1410" s="32" t="s">
        <v>5515</v>
      </c>
      <c r="C1410" s="32" t="s">
        <v>5516</v>
      </c>
      <c r="D1410" s="32">
        <f t="shared" si="21"/>
        <v>-1</v>
      </c>
      <c r="E1410" s="32" t="s">
        <v>34</v>
      </c>
      <c r="F1410" s="32" t="s">
        <v>5264</v>
      </c>
      <c r="G1410" s="32" t="s">
        <v>5517</v>
      </c>
      <c r="H1410" s="32" t="s">
        <v>37</v>
      </c>
      <c r="I1410" s="32" t="s">
        <v>38</v>
      </c>
      <c r="J1410" s="32" t="s">
        <v>2503</v>
      </c>
      <c r="K1410" s="32" t="s">
        <v>2504</v>
      </c>
      <c r="L1410" s="32">
        <v>95521.17</v>
      </c>
      <c r="M1410" s="32">
        <v>0</v>
      </c>
      <c r="N1410" s="32">
        <v>0</v>
      </c>
      <c r="O1410" s="32">
        <v>598264.17000000004</v>
      </c>
      <c r="P1410" s="32" t="s">
        <v>41</v>
      </c>
      <c r="Q1410" s="32" t="s">
        <v>42</v>
      </c>
      <c r="R1410" s="26" t="s">
        <v>43</v>
      </c>
      <c r="S1410" s="26"/>
      <c r="T1410" s="26"/>
      <c r="U1410" s="26"/>
      <c r="V1410" s="26"/>
      <c r="W1410" s="26"/>
      <c r="X1410" s="26"/>
    </row>
    <row r="1411" spans="1:24">
      <c r="A1411" s="33" t="s">
        <v>31</v>
      </c>
      <c r="B1411" s="33" t="s">
        <v>5518</v>
      </c>
      <c r="C1411" s="33" t="s">
        <v>5519</v>
      </c>
      <c r="D1411" s="33">
        <f t="shared" si="21"/>
        <v>-1</v>
      </c>
      <c r="E1411" s="33" t="s">
        <v>34</v>
      </c>
      <c r="F1411" s="33" t="s">
        <v>5264</v>
      </c>
      <c r="G1411" s="33" t="s">
        <v>5520</v>
      </c>
      <c r="H1411" s="33" t="s">
        <v>37</v>
      </c>
      <c r="I1411" s="33" t="s">
        <v>38</v>
      </c>
      <c r="J1411" s="33" t="s">
        <v>4639</v>
      </c>
      <c r="K1411" s="33" t="s">
        <v>4640</v>
      </c>
      <c r="L1411" s="33">
        <v>489824.56</v>
      </c>
      <c r="M1411" s="33">
        <v>0</v>
      </c>
      <c r="N1411" s="33">
        <v>0</v>
      </c>
      <c r="O1411" s="33">
        <v>3067848.56</v>
      </c>
      <c r="P1411" s="33" t="s">
        <v>41</v>
      </c>
      <c r="Q1411" s="33" t="s">
        <v>42</v>
      </c>
      <c r="R1411" s="26"/>
      <c r="S1411" s="26" t="s">
        <v>43</v>
      </c>
      <c r="T1411" s="26"/>
      <c r="U1411" s="26"/>
      <c r="V1411" s="26"/>
      <c r="W1411" s="26"/>
      <c r="X1411" s="26"/>
    </row>
    <row r="1412" spans="1:24">
      <c r="A1412" s="35" t="s">
        <v>31</v>
      </c>
      <c r="B1412" s="35" t="s">
        <v>5521</v>
      </c>
      <c r="C1412" s="35" t="s">
        <v>5522</v>
      </c>
      <c r="D1412" s="35">
        <f t="shared" si="21"/>
        <v>-1</v>
      </c>
      <c r="E1412" s="35" t="s">
        <v>34</v>
      </c>
      <c r="F1412" s="35" t="s">
        <v>5264</v>
      </c>
      <c r="G1412" s="35" t="s">
        <v>5523</v>
      </c>
      <c r="H1412" s="35" t="s">
        <v>37</v>
      </c>
      <c r="I1412" s="35" t="s">
        <v>38</v>
      </c>
      <c r="J1412" s="35" t="s">
        <v>5524</v>
      </c>
      <c r="K1412" s="35" t="s">
        <v>5525</v>
      </c>
      <c r="L1412" s="35">
        <v>95762.85</v>
      </c>
      <c r="M1412" s="35">
        <v>0</v>
      </c>
      <c r="N1412" s="35">
        <v>0</v>
      </c>
      <c r="O1412" s="35">
        <v>638705.85</v>
      </c>
      <c r="P1412" s="35" t="s">
        <v>41</v>
      </c>
      <c r="Q1412" s="35" t="s">
        <v>42</v>
      </c>
      <c r="R1412" s="26"/>
      <c r="S1412" s="26"/>
      <c r="T1412" s="26"/>
      <c r="U1412" s="26"/>
      <c r="V1412" s="26"/>
      <c r="W1412" s="35" t="s">
        <v>43</v>
      </c>
      <c r="X1412" s="26" t="s">
        <v>1384</v>
      </c>
    </row>
    <row r="1413" spans="1:24">
      <c r="A1413" s="26" t="s">
        <v>31</v>
      </c>
      <c r="B1413" s="26" t="s">
        <v>5526</v>
      </c>
      <c r="C1413" s="26" t="s">
        <v>5527</v>
      </c>
      <c r="D1413" s="26">
        <f t="shared" si="21"/>
        <v>-1</v>
      </c>
      <c r="E1413" s="26" t="s">
        <v>34</v>
      </c>
      <c r="F1413" s="26" t="s">
        <v>5264</v>
      </c>
      <c r="G1413" s="26" t="s">
        <v>5528</v>
      </c>
      <c r="H1413" s="26" t="s">
        <v>37</v>
      </c>
      <c r="I1413" s="26" t="s">
        <v>38</v>
      </c>
      <c r="J1413" s="26" t="s">
        <v>5529</v>
      </c>
      <c r="K1413" s="26" t="s">
        <v>5530</v>
      </c>
      <c r="L1413" s="26">
        <v>2114972.84</v>
      </c>
      <c r="M1413" s="26">
        <v>0</v>
      </c>
      <c r="N1413" s="26">
        <v>0</v>
      </c>
      <c r="O1413" s="26">
        <v>13246408.84</v>
      </c>
      <c r="P1413" s="26" t="s">
        <v>41</v>
      </c>
      <c r="Q1413" s="26" t="s">
        <v>42</v>
      </c>
      <c r="R1413" s="26"/>
      <c r="S1413" s="26"/>
      <c r="T1413" s="26"/>
      <c r="U1413" s="26"/>
      <c r="V1413" s="26" t="s">
        <v>43</v>
      </c>
      <c r="W1413" s="26"/>
      <c r="X1413" s="26"/>
    </row>
    <row r="1414" spans="1:24">
      <c r="A1414" s="26" t="s">
        <v>31</v>
      </c>
      <c r="B1414" s="26" t="s">
        <v>5531</v>
      </c>
      <c r="C1414" s="26" t="s">
        <v>5532</v>
      </c>
      <c r="D1414" s="26">
        <f t="shared" si="21"/>
        <v>-1</v>
      </c>
      <c r="E1414" s="26" t="s">
        <v>34</v>
      </c>
      <c r="F1414" s="26" t="s">
        <v>5264</v>
      </c>
      <c r="G1414" s="26" t="s">
        <v>5533</v>
      </c>
      <c r="H1414" s="26" t="s">
        <v>37</v>
      </c>
      <c r="I1414" s="26" t="s">
        <v>38</v>
      </c>
      <c r="J1414" s="26" t="s">
        <v>5529</v>
      </c>
      <c r="K1414" s="26" t="s">
        <v>5530</v>
      </c>
      <c r="L1414" s="26">
        <v>35993134.119999997</v>
      </c>
      <c r="M1414" s="26">
        <v>0</v>
      </c>
      <c r="N1414" s="26">
        <v>0</v>
      </c>
      <c r="O1414" s="26">
        <v>225430682.12</v>
      </c>
      <c r="P1414" s="26" t="s">
        <v>41</v>
      </c>
      <c r="Q1414" s="26" t="s">
        <v>42</v>
      </c>
      <c r="R1414" s="26"/>
      <c r="S1414" s="26"/>
      <c r="T1414" s="26"/>
      <c r="U1414" s="26"/>
      <c r="V1414" s="26" t="s">
        <v>43</v>
      </c>
      <c r="W1414" s="26"/>
      <c r="X1414" s="26"/>
    </row>
    <row r="1415" spans="1:24">
      <c r="A1415" s="34" t="s">
        <v>31</v>
      </c>
      <c r="B1415" s="34" t="s">
        <v>5534</v>
      </c>
      <c r="C1415" s="34" t="s">
        <v>5535</v>
      </c>
      <c r="D1415" s="34">
        <f t="shared" si="21"/>
        <v>-1</v>
      </c>
      <c r="E1415" s="34" t="s">
        <v>34</v>
      </c>
      <c r="F1415" s="34" t="s">
        <v>5264</v>
      </c>
      <c r="G1415" s="34" t="s">
        <v>5536</v>
      </c>
      <c r="H1415" s="34" t="s">
        <v>37</v>
      </c>
      <c r="I1415" s="34" t="s">
        <v>38</v>
      </c>
      <c r="J1415" s="34" t="s">
        <v>69</v>
      </c>
      <c r="K1415" s="34" t="s">
        <v>70</v>
      </c>
      <c r="L1415" s="34">
        <v>0</v>
      </c>
      <c r="M1415" s="34">
        <v>0</v>
      </c>
      <c r="N1415" s="34">
        <v>0</v>
      </c>
      <c r="O1415" s="34">
        <v>2572448</v>
      </c>
      <c r="P1415" s="34" t="s">
        <v>41</v>
      </c>
      <c r="Q1415" s="34" t="s">
        <v>42</v>
      </c>
      <c r="R1415" s="26"/>
      <c r="S1415" s="26"/>
      <c r="T1415" s="26" t="s">
        <v>43</v>
      </c>
      <c r="U1415" s="26"/>
      <c r="V1415" s="26"/>
      <c r="W1415" s="26"/>
      <c r="X1415" s="26"/>
    </row>
    <row r="1416" spans="1:24">
      <c r="A1416" s="35" t="s">
        <v>31</v>
      </c>
      <c r="B1416" s="35" t="s">
        <v>5537</v>
      </c>
      <c r="C1416" s="35" t="s">
        <v>5538</v>
      </c>
      <c r="D1416" s="35">
        <f t="shared" si="21"/>
        <v>-1</v>
      </c>
      <c r="E1416" s="35" t="s">
        <v>34</v>
      </c>
      <c r="F1416" s="35" t="s">
        <v>5264</v>
      </c>
      <c r="G1416" s="35" t="s">
        <v>5533</v>
      </c>
      <c r="H1416" s="35" t="s">
        <v>37</v>
      </c>
      <c r="I1416" s="35" t="s">
        <v>38</v>
      </c>
      <c r="J1416" s="35" t="s">
        <v>5539</v>
      </c>
      <c r="K1416" s="35" t="s">
        <v>5540</v>
      </c>
      <c r="L1416" s="35">
        <v>42337.7</v>
      </c>
      <c r="M1416" s="35">
        <v>0</v>
      </c>
      <c r="N1416" s="35">
        <v>0</v>
      </c>
      <c r="O1416" s="35">
        <v>265167.7</v>
      </c>
      <c r="P1416" s="35" t="s">
        <v>41</v>
      </c>
      <c r="Q1416" s="35" t="s">
        <v>42</v>
      </c>
      <c r="R1416" s="26"/>
      <c r="S1416" s="26"/>
      <c r="T1416" s="26"/>
      <c r="U1416" s="26"/>
      <c r="V1416" s="26"/>
      <c r="W1416" s="35" t="s">
        <v>43</v>
      </c>
      <c r="X1416" s="26" t="s">
        <v>1029</v>
      </c>
    </row>
    <row r="1417" spans="1:24">
      <c r="A1417" s="26" t="s">
        <v>31</v>
      </c>
      <c r="B1417" s="26" t="s">
        <v>5541</v>
      </c>
      <c r="C1417" s="26" t="s">
        <v>5542</v>
      </c>
      <c r="D1417" s="26">
        <f t="shared" si="21"/>
        <v>-1</v>
      </c>
      <c r="E1417" s="26" t="s">
        <v>34</v>
      </c>
      <c r="F1417" s="26" t="s">
        <v>5264</v>
      </c>
      <c r="G1417" s="26" t="s">
        <v>5543</v>
      </c>
      <c r="H1417" s="26" t="s">
        <v>37</v>
      </c>
      <c r="I1417" s="26" t="s">
        <v>38</v>
      </c>
      <c r="J1417" s="26" t="s">
        <v>5544</v>
      </c>
      <c r="K1417" s="26" t="s">
        <v>5545</v>
      </c>
      <c r="L1417" s="26">
        <v>1019540</v>
      </c>
      <c r="M1417" s="26">
        <v>0</v>
      </c>
      <c r="N1417" s="26">
        <v>0</v>
      </c>
      <c r="O1417" s="26">
        <v>6385540</v>
      </c>
      <c r="P1417" s="26" t="s">
        <v>41</v>
      </c>
      <c r="Q1417" s="26" t="s">
        <v>42</v>
      </c>
      <c r="R1417" s="26"/>
      <c r="S1417" s="26"/>
      <c r="T1417" s="26"/>
      <c r="U1417" s="26"/>
      <c r="V1417" s="26" t="s">
        <v>43</v>
      </c>
      <c r="W1417" s="26"/>
      <c r="X1417" s="26"/>
    </row>
    <row r="1418" spans="1:24">
      <c r="A1418" s="34" t="s">
        <v>31</v>
      </c>
      <c r="B1418" s="34" t="s">
        <v>5546</v>
      </c>
      <c r="C1418" s="34" t="s">
        <v>5547</v>
      </c>
      <c r="D1418" s="34">
        <f t="shared" si="21"/>
        <v>-1</v>
      </c>
      <c r="E1418" s="34" t="s">
        <v>34</v>
      </c>
      <c r="F1418" s="34" t="s">
        <v>5264</v>
      </c>
      <c r="G1418" s="34" t="s">
        <v>5548</v>
      </c>
      <c r="H1418" s="34" t="s">
        <v>37</v>
      </c>
      <c r="I1418" s="34" t="s">
        <v>38</v>
      </c>
      <c r="J1418" s="34" t="s">
        <v>2079</v>
      </c>
      <c r="K1418" s="34" t="s">
        <v>2080</v>
      </c>
      <c r="L1418" s="34">
        <v>92154.559999999998</v>
      </c>
      <c r="M1418" s="34">
        <v>0</v>
      </c>
      <c r="N1418" s="34">
        <v>0</v>
      </c>
      <c r="O1418" s="34">
        <v>577178.56000000006</v>
      </c>
      <c r="P1418" s="34" t="s">
        <v>41</v>
      </c>
      <c r="Q1418" s="34" t="s">
        <v>42</v>
      </c>
      <c r="R1418" s="26"/>
      <c r="S1418" s="26"/>
      <c r="T1418" s="26" t="s">
        <v>43</v>
      </c>
      <c r="U1418" s="26"/>
      <c r="V1418" s="26"/>
      <c r="W1418" s="26"/>
      <c r="X1418" s="26"/>
    </row>
    <row r="1419" spans="1:24">
      <c r="A1419" s="26" t="s">
        <v>31</v>
      </c>
      <c r="B1419" s="26" t="s">
        <v>5549</v>
      </c>
      <c r="C1419" s="26" t="s">
        <v>5550</v>
      </c>
      <c r="D1419" s="26">
        <f t="shared" si="21"/>
        <v>-1</v>
      </c>
      <c r="E1419" s="26" t="s">
        <v>34</v>
      </c>
      <c r="F1419" s="26" t="s">
        <v>5264</v>
      </c>
      <c r="G1419" s="26" t="s">
        <v>5551</v>
      </c>
      <c r="H1419" s="26" t="s">
        <v>37</v>
      </c>
      <c r="I1419" s="26" t="s">
        <v>38</v>
      </c>
      <c r="J1419" s="26" t="s">
        <v>5552</v>
      </c>
      <c r="K1419" s="26" t="s">
        <v>5553</v>
      </c>
      <c r="L1419" s="26">
        <v>128250</v>
      </c>
      <c r="M1419" s="26">
        <v>0</v>
      </c>
      <c r="N1419" s="26">
        <v>0</v>
      </c>
      <c r="O1419" s="26">
        <v>803250</v>
      </c>
      <c r="P1419" s="26" t="s">
        <v>41</v>
      </c>
      <c r="Q1419" s="26" t="s">
        <v>42</v>
      </c>
      <c r="R1419" s="26"/>
      <c r="S1419" s="26"/>
      <c r="T1419" s="26"/>
      <c r="U1419" s="26"/>
      <c r="V1419" s="26" t="s">
        <v>43</v>
      </c>
      <c r="W1419" s="26"/>
      <c r="X1419" s="26"/>
    </row>
    <row r="1420" spans="1:24">
      <c r="A1420" s="33" t="s">
        <v>31</v>
      </c>
      <c r="B1420" s="33" t="s">
        <v>5554</v>
      </c>
      <c r="C1420" s="33" t="s">
        <v>5555</v>
      </c>
      <c r="D1420" s="33">
        <f t="shared" si="21"/>
        <v>-1</v>
      </c>
      <c r="E1420" s="33" t="s">
        <v>34</v>
      </c>
      <c r="F1420" s="33" t="s">
        <v>5264</v>
      </c>
      <c r="G1420" s="33" t="s">
        <v>5556</v>
      </c>
      <c r="H1420" s="33" t="s">
        <v>37</v>
      </c>
      <c r="I1420" s="33" t="s">
        <v>38</v>
      </c>
      <c r="J1420" s="33" t="s">
        <v>5557</v>
      </c>
      <c r="K1420" s="33" t="s">
        <v>5558</v>
      </c>
      <c r="L1420" s="33">
        <v>2509520</v>
      </c>
      <c r="M1420" s="33">
        <v>0</v>
      </c>
      <c r="N1420" s="33">
        <v>0</v>
      </c>
      <c r="O1420" s="33">
        <v>15717520</v>
      </c>
      <c r="P1420" s="33" t="s">
        <v>41</v>
      </c>
      <c r="Q1420" s="33" t="s">
        <v>42</v>
      </c>
      <c r="R1420" s="26"/>
      <c r="S1420" s="26" t="s">
        <v>43</v>
      </c>
      <c r="T1420" s="26"/>
      <c r="U1420" s="26"/>
      <c r="V1420" s="26"/>
      <c r="W1420" s="26"/>
      <c r="X1420" s="26"/>
    </row>
    <row r="1421" spans="1:24">
      <c r="A1421" s="26" t="s">
        <v>31</v>
      </c>
      <c r="B1421" s="26" t="s">
        <v>5559</v>
      </c>
      <c r="C1421" s="26" t="s">
        <v>5560</v>
      </c>
      <c r="D1421" s="26">
        <f t="shared" ref="D1421:D1431" si="22">C1421-C1422</f>
        <v>-1</v>
      </c>
      <c r="E1421" s="26" t="s">
        <v>34</v>
      </c>
      <c r="F1421" s="26" t="s">
        <v>5264</v>
      </c>
      <c r="G1421" s="26" t="s">
        <v>5561</v>
      </c>
      <c r="H1421" s="26" t="s">
        <v>37</v>
      </c>
      <c r="I1421" s="26" t="s">
        <v>38</v>
      </c>
      <c r="J1421" s="26" t="s">
        <v>5562</v>
      </c>
      <c r="K1421" s="26" t="s">
        <v>5563</v>
      </c>
      <c r="L1421" s="26">
        <v>2694570.5</v>
      </c>
      <c r="M1421" s="26">
        <v>0</v>
      </c>
      <c r="N1421" s="26">
        <v>0</v>
      </c>
      <c r="O1421" s="26">
        <v>16876520.5</v>
      </c>
      <c r="P1421" s="26" t="s">
        <v>41</v>
      </c>
      <c r="Q1421" s="26" t="s">
        <v>42</v>
      </c>
      <c r="R1421" s="26"/>
      <c r="S1421" s="26"/>
      <c r="T1421" s="26"/>
      <c r="U1421" s="26"/>
      <c r="V1421" s="26" t="s">
        <v>43</v>
      </c>
      <c r="W1421" s="26"/>
      <c r="X1421" s="26"/>
    </row>
    <row r="1422" spans="1:24">
      <c r="A1422" s="26" t="s">
        <v>31</v>
      </c>
      <c r="B1422" s="26" t="s">
        <v>5564</v>
      </c>
      <c r="C1422" s="26" t="s">
        <v>5565</v>
      </c>
      <c r="D1422" s="26">
        <f t="shared" si="22"/>
        <v>-1</v>
      </c>
      <c r="E1422" s="26" t="s">
        <v>34</v>
      </c>
      <c r="F1422" s="26" t="s">
        <v>5264</v>
      </c>
      <c r="G1422" s="26" t="s">
        <v>5566</v>
      </c>
      <c r="H1422" s="26" t="s">
        <v>37</v>
      </c>
      <c r="I1422" s="26" t="s">
        <v>38</v>
      </c>
      <c r="J1422" s="26" t="s">
        <v>1629</v>
      </c>
      <c r="K1422" s="26" t="s">
        <v>1630</v>
      </c>
      <c r="L1422" s="26">
        <v>169856.2</v>
      </c>
      <c r="M1422" s="26">
        <v>0</v>
      </c>
      <c r="N1422" s="26">
        <v>0</v>
      </c>
      <c r="O1422" s="26">
        <v>2653636.2000000002</v>
      </c>
      <c r="P1422" s="26" t="s">
        <v>41</v>
      </c>
      <c r="Q1422" s="26" t="s">
        <v>42</v>
      </c>
      <c r="R1422" s="26"/>
      <c r="S1422" s="26"/>
      <c r="T1422" s="26"/>
      <c r="U1422" s="26"/>
      <c r="V1422" s="26" t="s">
        <v>43</v>
      </c>
      <c r="W1422" s="26"/>
      <c r="X1422" s="26"/>
    </row>
    <row r="1423" spans="1:24">
      <c r="A1423" s="32" t="s">
        <v>31</v>
      </c>
      <c r="B1423" s="32" t="s">
        <v>5567</v>
      </c>
      <c r="C1423" s="32" t="s">
        <v>5568</v>
      </c>
      <c r="D1423" s="32">
        <f t="shared" si="22"/>
        <v>-1</v>
      </c>
      <c r="E1423" s="32" t="s">
        <v>34</v>
      </c>
      <c r="F1423" s="32" t="s">
        <v>5264</v>
      </c>
      <c r="G1423" s="32" t="s">
        <v>5569</v>
      </c>
      <c r="H1423" s="32" t="s">
        <v>37</v>
      </c>
      <c r="I1423" s="32" t="s">
        <v>38</v>
      </c>
      <c r="J1423" s="32" t="s">
        <v>1123</v>
      </c>
      <c r="K1423" s="32" t="s">
        <v>1124</v>
      </c>
      <c r="L1423" s="32">
        <v>9500</v>
      </c>
      <c r="M1423" s="32">
        <v>0</v>
      </c>
      <c r="N1423" s="32">
        <v>0</v>
      </c>
      <c r="O1423" s="32">
        <v>59500</v>
      </c>
      <c r="P1423" s="32" t="s">
        <v>41</v>
      </c>
      <c r="Q1423" s="32" t="s">
        <v>42</v>
      </c>
      <c r="R1423" s="26" t="s">
        <v>43</v>
      </c>
      <c r="S1423" s="26"/>
      <c r="T1423" s="26"/>
      <c r="U1423" s="26"/>
      <c r="V1423" s="26"/>
      <c r="W1423" s="26"/>
      <c r="X1423" s="26"/>
    </row>
    <row r="1424" spans="1:24">
      <c r="A1424" s="32" t="s">
        <v>31</v>
      </c>
      <c r="B1424" s="32" t="s">
        <v>5570</v>
      </c>
      <c r="C1424" s="32" t="s">
        <v>5571</v>
      </c>
      <c r="D1424" s="32">
        <f t="shared" si="22"/>
        <v>-1</v>
      </c>
      <c r="E1424" s="32" t="s">
        <v>34</v>
      </c>
      <c r="F1424" s="32" t="s">
        <v>5264</v>
      </c>
      <c r="G1424" s="32" t="s">
        <v>5572</v>
      </c>
      <c r="H1424" s="32" t="s">
        <v>37</v>
      </c>
      <c r="I1424" s="32" t="s">
        <v>38</v>
      </c>
      <c r="J1424" s="32" t="s">
        <v>1790</v>
      </c>
      <c r="K1424" s="32" t="s">
        <v>1791</v>
      </c>
      <c r="L1424" s="32">
        <v>17290</v>
      </c>
      <c r="M1424" s="32">
        <v>0</v>
      </c>
      <c r="N1424" s="32">
        <v>0</v>
      </c>
      <c r="O1424" s="32">
        <v>108290</v>
      </c>
      <c r="P1424" s="32" t="s">
        <v>41</v>
      </c>
      <c r="Q1424" s="32" t="s">
        <v>42</v>
      </c>
      <c r="R1424" s="26" t="s">
        <v>43</v>
      </c>
      <c r="S1424" s="26"/>
      <c r="T1424" s="26"/>
      <c r="U1424" s="26"/>
      <c r="V1424" s="26"/>
      <c r="W1424" s="26"/>
      <c r="X1424" s="26"/>
    </row>
    <row r="1425" spans="1:24">
      <c r="A1425" s="32" t="s">
        <v>31</v>
      </c>
      <c r="B1425" s="32" t="s">
        <v>5573</v>
      </c>
      <c r="C1425" s="32" t="s">
        <v>5574</v>
      </c>
      <c r="D1425" s="32">
        <f t="shared" si="22"/>
        <v>-1</v>
      </c>
      <c r="E1425" s="32" t="s">
        <v>34</v>
      </c>
      <c r="F1425" s="32" t="s">
        <v>5264</v>
      </c>
      <c r="G1425" s="32" t="s">
        <v>5575</v>
      </c>
      <c r="H1425" s="32" t="s">
        <v>37</v>
      </c>
      <c r="I1425" s="32" t="s">
        <v>38</v>
      </c>
      <c r="J1425" s="32" t="s">
        <v>5576</v>
      </c>
      <c r="K1425" s="32" t="s">
        <v>5577</v>
      </c>
      <c r="L1425" s="32">
        <v>149340</v>
      </c>
      <c r="M1425" s="32">
        <v>0</v>
      </c>
      <c r="N1425" s="32">
        <v>0</v>
      </c>
      <c r="O1425" s="32">
        <v>935340</v>
      </c>
      <c r="P1425" s="32" t="s">
        <v>41</v>
      </c>
      <c r="Q1425" s="32" t="s">
        <v>42</v>
      </c>
      <c r="R1425" s="26" t="s">
        <v>43</v>
      </c>
      <c r="S1425" s="26"/>
      <c r="T1425" s="26"/>
      <c r="U1425" s="26"/>
      <c r="V1425" s="26"/>
      <c r="W1425" s="26"/>
      <c r="X1425" s="26"/>
    </row>
    <row r="1426" spans="1:24">
      <c r="A1426" s="26" t="s">
        <v>31</v>
      </c>
      <c r="B1426" s="26" t="s">
        <v>5578</v>
      </c>
      <c r="C1426" s="26" t="s">
        <v>5579</v>
      </c>
      <c r="D1426" s="26">
        <f t="shared" si="22"/>
        <v>-1</v>
      </c>
      <c r="E1426" s="26" t="s">
        <v>34</v>
      </c>
      <c r="F1426" s="26" t="s">
        <v>5264</v>
      </c>
      <c r="G1426" s="26" t="s">
        <v>5580</v>
      </c>
      <c r="H1426" s="26" t="s">
        <v>37</v>
      </c>
      <c r="I1426" s="26" t="s">
        <v>38</v>
      </c>
      <c r="J1426" s="26" t="s">
        <v>632</v>
      </c>
      <c r="K1426" s="26" t="s">
        <v>633</v>
      </c>
      <c r="L1426" s="26">
        <v>52069.5</v>
      </c>
      <c r="M1426" s="26">
        <v>0</v>
      </c>
      <c r="N1426" s="26">
        <v>0</v>
      </c>
      <c r="O1426" s="26">
        <v>326119.5</v>
      </c>
      <c r="P1426" s="26" t="s">
        <v>41</v>
      </c>
      <c r="Q1426" s="26" t="s">
        <v>42</v>
      </c>
      <c r="R1426" s="26"/>
      <c r="S1426" s="26"/>
      <c r="T1426" s="26"/>
      <c r="U1426" s="26"/>
      <c r="V1426" s="26" t="s">
        <v>43</v>
      </c>
      <c r="W1426" s="26"/>
      <c r="X1426" s="26"/>
    </row>
    <row r="1427" spans="1:24">
      <c r="A1427" s="26" t="s">
        <v>31</v>
      </c>
      <c r="B1427" s="26" t="s">
        <v>5581</v>
      </c>
      <c r="C1427" s="26" t="s">
        <v>5582</v>
      </c>
      <c r="D1427" s="26">
        <f t="shared" si="22"/>
        <v>-1</v>
      </c>
      <c r="E1427" s="26" t="s">
        <v>34</v>
      </c>
      <c r="F1427" s="26" t="s">
        <v>5264</v>
      </c>
      <c r="G1427" s="26" t="s">
        <v>5583</v>
      </c>
      <c r="H1427" s="26" t="s">
        <v>37</v>
      </c>
      <c r="I1427" s="26" t="s">
        <v>38</v>
      </c>
      <c r="J1427" s="26" t="s">
        <v>5584</v>
      </c>
      <c r="K1427" s="26" t="s">
        <v>5585</v>
      </c>
      <c r="L1427" s="26">
        <v>119095</v>
      </c>
      <c r="M1427" s="26">
        <v>0</v>
      </c>
      <c r="N1427" s="26">
        <v>0</v>
      </c>
      <c r="O1427" s="26">
        <v>903595</v>
      </c>
      <c r="P1427" s="26" t="s">
        <v>41</v>
      </c>
      <c r="Q1427" s="26" t="s">
        <v>42</v>
      </c>
      <c r="R1427" s="26"/>
      <c r="S1427" s="26"/>
      <c r="T1427" s="26"/>
      <c r="U1427" s="26"/>
      <c r="V1427" s="26" t="s">
        <v>43</v>
      </c>
      <c r="W1427" s="26"/>
      <c r="X1427" s="26"/>
    </row>
    <row r="1428" spans="1:24">
      <c r="A1428" s="32" t="s">
        <v>31</v>
      </c>
      <c r="B1428" s="32" t="s">
        <v>5586</v>
      </c>
      <c r="C1428" s="32" t="s">
        <v>5587</v>
      </c>
      <c r="D1428" s="32">
        <f t="shared" si="22"/>
        <v>-1</v>
      </c>
      <c r="E1428" s="32" t="s">
        <v>34</v>
      </c>
      <c r="F1428" s="32" t="s">
        <v>5264</v>
      </c>
      <c r="G1428" s="32" t="s">
        <v>5588</v>
      </c>
      <c r="H1428" s="32" t="s">
        <v>37</v>
      </c>
      <c r="I1428" s="32" t="s">
        <v>38</v>
      </c>
      <c r="J1428" s="32" t="s">
        <v>69</v>
      </c>
      <c r="K1428" s="32" t="s">
        <v>70</v>
      </c>
      <c r="L1428" s="32">
        <v>10712.2</v>
      </c>
      <c r="M1428" s="32">
        <v>0</v>
      </c>
      <c r="N1428" s="32">
        <v>0</v>
      </c>
      <c r="O1428" s="32">
        <v>67092.2</v>
      </c>
      <c r="P1428" s="32" t="s">
        <v>41</v>
      </c>
      <c r="Q1428" s="32" t="s">
        <v>42</v>
      </c>
      <c r="R1428" s="26" t="s">
        <v>43</v>
      </c>
      <c r="S1428" s="26"/>
      <c r="T1428" s="26"/>
      <c r="U1428" s="26"/>
      <c r="V1428" s="26"/>
      <c r="W1428" s="26"/>
      <c r="X1428" s="26"/>
    </row>
    <row r="1429" spans="1:24">
      <c r="A1429" s="33" t="s">
        <v>31</v>
      </c>
      <c r="B1429" s="33" t="s">
        <v>5589</v>
      </c>
      <c r="C1429" s="33" t="s">
        <v>5590</v>
      </c>
      <c r="D1429" s="33">
        <f t="shared" si="22"/>
        <v>-1</v>
      </c>
      <c r="E1429" s="33" t="s">
        <v>34</v>
      </c>
      <c r="F1429" s="33" t="s">
        <v>5264</v>
      </c>
      <c r="G1429" s="33" t="s">
        <v>5591</v>
      </c>
      <c r="H1429" s="33" t="s">
        <v>37</v>
      </c>
      <c r="I1429" s="33" t="s">
        <v>38</v>
      </c>
      <c r="J1429" s="33" t="s">
        <v>5592</v>
      </c>
      <c r="K1429" s="33" t="s">
        <v>5593</v>
      </c>
      <c r="L1429" s="33">
        <v>367650</v>
      </c>
      <c r="M1429" s="33">
        <v>0</v>
      </c>
      <c r="N1429" s="33">
        <v>0</v>
      </c>
      <c r="O1429" s="33">
        <v>2302650</v>
      </c>
      <c r="P1429" s="33" t="s">
        <v>41</v>
      </c>
      <c r="Q1429" s="33" t="s">
        <v>42</v>
      </c>
      <c r="R1429" s="26"/>
      <c r="S1429" s="26" t="s">
        <v>43</v>
      </c>
      <c r="T1429" s="26"/>
      <c r="U1429" s="26"/>
      <c r="V1429" s="26"/>
      <c r="W1429" s="26"/>
      <c r="X1429" s="26"/>
    </row>
    <row r="1430" spans="1:24">
      <c r="A1430" s="32" t="s">
        <v>31</v>
      </c>
      <c r="B1430" s="32" t="s">
        <v>5594</v>
      </c>
      <c r="C1430" s="32" t="s">
        <v>5595</v>
      </c>
      <c r="D1430" s="32">
        <f t="shared" si="22"/>
        <v>-1</v>
      </c>
      <c r="E1430" s="32" t="s">
        <v>34</v>
      </c>
      <c r="F1430" s="32" t="s">
        <v>5264</v>
      </c>
      <c r="G1430" s="32" t="s">
        <v>5596</v>
      </c>
      <c r="H1430" s="32" t="s">
        <v>37</v>
      </c>
      <c r="I1430" s="32" t="s">
        <v>38</v>
      </c>
      <c r="J1430" s="32" t="s">
        <v>2641</v>
      </c>
      <c r="K1430" s="32" t="s">
        <v>2642</v>
      </c>
      <c r="L1430" s="32">
        <v>153418.54</v>
      </c>
      <c r="M1430" s="32">
        <v>0</v>
      </c>
      <c r="N1430" s="32">
        <v>0</v>
      </c>
      <c r="O1430" s="32">
        <v>960884.54</v>
      </c>
      <c r="P1430" s="32" t="s">
        <v>41</v>
      </c>
      <c r="Q1430" s="32" t="s">
        <v>42</v>
      </c>
      <c r="R1430" s="26" t="s">
        <v>43</v>
      </c>
      <c r="S1430" s="26"/>
      <c r="T1430" s="26"/>
      <c r="U1430" s="26"/>
      <c r="V1430" s="26"/>
      <c r="W1430" s="26"/>
      <c r="X1430" s="26"/>
    </row>
    <row r="1431" spans="1:24">
      <c r="A1431" s="34" t="s">
        <v>31</v>
      </c>
      <c r="B1431" s="34" t="s">
        <v>5597</v>
      </c>
      <c r="C1431" s="34" t="s">
        <v>5598</v>
      </c>
      <c r="D1431" s="34">
        <f t="shared" si="22"/>
        <v>-1</v>
      </c>
      <c r="E1431" s="34" t="s">
        <v>34</v>
      </c>
      <c r="F1431" s="34" t="s">
        <v>5264</v>
      </c>
      <c r="G1431" s="34" t="s">
        <v>5599</v>
      </c>
      <c r="H1431" s="34" t="s">
        <v>37</v>
      </c>
      <c r="I1431" s="34" t="s">
        <v>38</v>
      </c>
      <c r="J1431" s="34" t="s">
        <v>5600</v>
      </c>
      <c r="K1431" s="34" t="s">
        <v>5601</v>
      </c>
      <c r="L1431" s="34">
        <v>88920</v>
      </c>
      <c r="M1431" s="34">
        <v>0</v>
      </c>
      <c r="N1431" s="34">
        <v>0</v>
      </c>
      <c r="O1431" s="34">
        <v>556920</v>
      </c>
      <c r="P1431" s="34" t="s">
        <v>41</v>
      </c>
      <c r="Q1431" s="34" t="s">
        <v>42</v>
      </c>
      <c r="R1431" s="26"/>
      <c r="S1431" s="26"/>
      <c r="T1431" s="26" t="s">
        <v>43</v>
      </c>
      <c r="U1431" s="26"/>
      <c r="V1431" s="26"/>
      <c r="W1431" s="26"/>
      <c r="X1431" s="26"/>
    </row>
    <row r="1432" spans="1:24">
      <c r="A1432" s="34" t="s">
        <v>31</v>
      </c>
      <c r="B1432" s="34" t="s">
        <v>5602</v>
      </c>
      <c r="C1432" s="34" t="s">
        <v>5603</v>
      </c>
      <c r="D1432" s="34">
        <f>C1432-C1434</f>
        <v>-2</v>
      </c>
      <c r="E1432" s="34" t="s">
        <v>34</v>
      </c>
      <c r="F1432" s="34" t="s">
        <v>5264</v>
      </c>
      <c r="G1432" s="34" t="s">
        <v>5604</v>
      </c>
      <c r="H1432" s="34" t="s">
        <v>37</v>
      </c>
      <c r="I1432" s="34" t="s">
        <v>38</v>
      </c>
      <c r="J1432" s="34" t="s">
        <v>1134</v>
      </c>
      <c r="K1432" s="34" t="s">
        <v>1135</v>
      </c>
      <c r="L1432" s="34">
        <v>2419175</v>
      </c>
      <c r="M1432" s="34">
        <v>0</v>
      </c>
      <c r="N1432" s="34">
        <v>0</v>
      </c>
      <c r="O1432" s="34">
        <v>15151675</v>
      </c>
      <c r="P1432" s="34" t="s">
        <v>41</v>
      </c>
      <c r="Q1432" s="34" t="s">
        <v>42</v>
      </c>
      <c r="R1432" s="26"/>
      <c r="S1432" s="26"/>
      <c r="T1432" s="26" t="s">
        <v>43</v>
      </c>
      <c r="U1432" s="26"/>
      <c r="V1432" s="26"/>
      <c r="W1432" s="26"/>
      <c r="X1432" s="26"/>
    </row>
    <row r="1433" spans="1:24">
      <c r="A1433" s="32" t="s">
        <v>31</v>
      </c>
      <c r="B1433" s="32" t="s">
        <v>5605</v>
      </c>
      <c r="C1433" s="32" t="s">
        <v>5606</v>
      </c>
      <c r="D1433" s="32">
        <f t="shared" ref="D1433:D1446" si="23">C1433-C1434</f>
        <v>-1</v>
      </c>
      <c r="E1433" s="32" t="s">
        <v>34</v>
      </c>
      <c r="F1433" s="32" t="s">
        <v>5264</v>
      </c>
      <c r="G1433" s="32" t="s">
        <v>5607</v>
      </c>
      <c r="H1433" s="32" t="s">
        <v>37</v>
      </c>
      <c r="I1433" s="32" t="s">
        <v>38</v>
      </c>
      <c r="J1433" s="32" t="s">
        <v>2066</v>
      </c>
      <c r="K1433" s="32" t="s">
        <v>2067</v>
      </c>
      <c r="L1433" s="32">
        <v>252410.82</v>
      </c>
      <c r="M1433" s="32">
        <v>0</v>
      </c>
      <c r="N1433" s="32">
        <v>0</v>
      </c>
      <c r="O1433" s="32">
        <v>1580888.82</v>
      </c>
      <c r="P1433" s="32" t="s">
        <v>41</v>
      </c>
      <c r="Q1433" s="32" t="s">
        <v>42</v>
      </c>
      <c r="R1433" s="26" t="s">
        <v>43</v>
      </c>
      <c r="S1433" s="26"/>
      <c r="T1433" s="26"/>
      <c r="U1433" s="26"/>
      <c r="V1433" s="26"/>
      <c r="W1433" s="26"/>
      <c r="X1433" s="26"/>
    </row>
    <row r="1434" spans="1:24">
      <c r="A1434" s="32" t="s">
        <v>31</v>
      </c>
      <c r="B1434" s="32" t="s">
        <v>5608</v>
      </c>
      <c r="C1434" s="32" t="s">
        <v>5609</v>
      </c>
      <c r="D1434" s="32">
        <f t="shared" si="23"/>
        <v>-1</v>
      </c>
      <c r="E1434" s="32" t="s">
        <v>34</v>
      </c>
      <c r="F1434" s="32" t="s">
        <v>5610</v>
      </c>
      <c r="G1434" s="32" t="s">
        <v>5611</v>
      </c>
      <c r="H1434" s="32" t="s">
        <v>37</v>
      </c>
      <c r="I1434" s="32" t="s">
        <v>38</v>
      </c>
      <c r="J1434" s="32" t="s">
        <v>5612</v>
      </c>
      <c r="K1434" s="32" t="s">
        <v>5613</v>
      </c>
      <c r="L1434" s="32">
        <v>0</v>
      </c>
      <c r="M1434" s="32">
        <v>0</v>
      </c>
      <c r="N1434" s="32">
        <v>0</v>
      </c>
      <c r="O1434" s="32">
        <v>352932</v>
      </c>
      <c r="P1434" s="32" t="s">
        <v>41</v>
      </c>
      <c r="Q1434" s="32" t="s">
        <v>42</v>
      </c>
      <c r="R1434" s="26" t="s">
        <v>43</v>
      </c>
      <c r="S1434" s="26"/>
      <c r="T1434" s="26"/>
      <c r="U1434" s="26"/>
      <c r="V1434" s="26"/>
      <c r="W1434" s="26"/>
      <c r="X1434" s="26"/>
    </row>
    <row r="1435" spans="1:24">
      <c r="A1435" s="26" t="s">
        <v>31</v>
      </c>
      <c r="B1435" s="26" t="s">
        <v>5614</v>
      </c>
      <c r="C1435" s="26" t="s">
        <v>5615</v>
      </c>
      <c r="D1435" s="26">
        <f t="shared" si="23"/>
        <v>-1</v>
      </c>
      <c r="E1435" s="26" t="s">
        <v>34</v>
      </c>
      <c r="F1435" s="26" t="s">
        <v>5610</v>
      </c>
      <c r="G1435" s="26" t="s">
        <v>5616</v>
      </c>
      <c r="H1435" s="26" t="s">
        <v>37</v>
      </c>
      <c r="I1435" s="26" t="s">
        <v>38</v>
      </c>
      <c r="J1435" s="26" t="s">
        <v>2279</v>
      </c>
      <c r="K1435" s="26" t="s">
        <v>2280</v>
      </c>
      <c r="L1435" s="26">
        <v>267801.96000000002</v>
      </c>
      <c r="M1435" s="26">
        <v>0</v>
      </c>
      <c r="N1435" s="26">
        <v>0</v>
      </c>
      <c r="O1435" s="26">
        <v>1677285.96</v>
      </c>
      <c r="P1435" s="26" t="s">
        <v>41</v>
      </c>
      <c r="Q1435" s="26" t="s">
        <v>42</v>
      </c>
      <c r="R1435" s="26"/>
      <c r="S1435" s="26"/>
      <c r="T1435" s="26"/>
      <c r="U1435" s="26"/>
      <c r="V1435" s="26" t="s">
        <v>43</v>
      </c>
      <c r="W1435" s="26"/>
      <c r="X1435" s="26"/>
    </row>
    <row r="1436" spans="1:24">
      <c r="A1436" s="26" t="s">
        <v>31</v>
      </c>
      <c r="B1436" s="26" t="s">
        <v>5617</v>
      </c>
      <c r="C1436" s="26" t="s">
        <v>5618</v>
      </c>
      <c r="D1436" s="26">
        <f t="shared" si="23"/>
        <v>-1</v>
      </c>
      <c r="E1436" s="26" t="s">
        <v>34</v>
      </c>
      <c r="F1436" s="26" t="s">
        <v>5610</v>
      </c>
      <c r="G1436" s="26" t="s">
        <v>5619</v>
      </c>
      <c r="H1436" s="26" t="s">
        <v>37</v>
      </c>
      <c r="I1436" s="26" t="s">
        <v>38</v>
      </c>
      <c r="J1436" s="26" t="s">
        <v>2279</v>
      </c>
      <c r="K1436" s="26" t="s">
        <v>2280</v>
      </c>
      <c r="L1436" s="26">
        <v>533801.96</v>
      </c>
      <c r="M1436" s="26">
        <v>0</v>
      </c>
      <c r="N1436" s="26">
        <v>0</v>
      </c>
      <c r="O1436" s="26">
        <v>3343285.96</v>
      </c>
      <c r="P1436" s="26" t="s">
        <v>41</v>
      </c>
      <c r="Q1436" s="26" t="s">
        <v>42</v>
      </c>
      <c r="R1436" s="26"/>
      <c r="S1436" s="26"/>
      <c r="T1436" s="26"/>
      <c r="U1436" s="26"/>
      <c r="V1436" s="26" t="s">
        <v>43</v>
      </c>
      <c r="W1436" s="26"/>
      <c r="X1436" s="26"/>
    </row>
    <row r="1437" spans="1:24">
      <c r="A1437" s="26" t="s">
        <v>31</v>
      </c>
      <c r="B1437" s="26" t="s">
        <v>5620</v>
      </c>
      <c r="C1437" s="26" t="s">
        <v>5621</v>
      </c>
      <c r="D1437" s="26">
        <f t="shared" si="23"/>
        <v>-1</v>
      </c>
      <c r="E1437" s="26" t="s">
        <v>34</v>
      </c>
      <c r="F1437" s="26" t="s">
        <v>5610</v>
      </c>
      <c r="G1437" s="26" t="s">
        <v>5622</v>
      </c>
      <c r="H1437" s="26" t="s">
        <v>37</v>
      </c>
      <c r="I1437" s="26" t="s">
        <v>38</v>
      </c>
      <c r="J1437" s="26" t="s">
        <v>2279</v>
      </c>
      <c r="K1437" s="26" t="s">
        <v>2280</v>
      </c>
      <c r="L1437" s="26">
        <v>533801.96</v>
      </c>
      <c r="M1437" s="26">
        <v>0</v>
      </c>
      <c r="N1437" s="26">
        <v>0</v>
      </c>
      <c r="O1437" s="26">
        <v>3343285.96</v>
      </c>
      <c r="P1437" s="26" t="s">
        <v>41</v>
      </c>
      <c r="Q1437" s="26" t="s">
        <v>42</v>
      </c>
      <c r="R1437" s="26"/>
      <c r="S1437" s="26"/>
      <c r="T1437" s="26"/>
      <c r="U1437" s="26"/>
      <c r="V1437" s="26" t="s">
        <v>43</v>
      </c>
      <c r="W1437" s="26"/>
      <c r="X1437" s="26"/>
    </row>
    <row r="1438" spans="1:24">
      <c r="A1438" s="26" t="s">
        <v>31</v>
      </c>
      <c r="B1438" s="26" t="s">
        <v>5623</v>
      </c>
      <c r="C1438" s="26" t="s">
        <v>5624</v>
      </c>
      <c r="D1438" s="26">
        <f t="shared" si="23"/>
        <v>-1</v>
      </c>
      <c r="E1438" s="26" t="s">
        <v>34</v>
      </c>
      <c r="F1438" s="26" t="s">
        <v>5610</v>
      </c>
      <c r="G1438" s="26" t="s">
        <v>5625</v>
      </c>
      <c r="H1438" s="26" t="s">
        <v>37</v>
      </c>
      <c r="I1438" s="26" t="s">
        <v>38</v>
      </c>
      <c r="J1438" s="26" t="s">
        <v>2279</v>
      </c>
      <c r="K1438" s="26" t="s">
        <v>2280</v>
      </c>
      <c r="L1438" s="26">
        <v>2741806.59</v>
      </c>
      <c r="M1438" s="26">
        <v>0</v>
      </c>
      <c r="N1438" s="26">
        <v>0</v>
      </c>
      <c r="O1438" s="26">
        <v>17172367.59</v>
      </c>
      <c r="P1438" s="26" t="s">
        <v>41</v>
      </c>
      <c r="Q1438" s="26" t="s">
        <v>42</v>
      </c>
      <c r="R1438" s="26"/>
      <c r="S1438" s="26"/>
      <c r="T1438" s="26"/>
      <c r="U1438" s="26"/>
      <c r="V1438" s="26" t="s">
        <v>43</v>
      </c>
      <c r="W1438" s="26"/>
      <c r="X1438" s="26"/>
    </row>
    <row r="1439" spans="1:24">
      <c r="A1439" s="32" t="s">
        <v>31</v>
      </c>
      <c r="B1439" s="32" t="s">
        <v>5626</v>
      </c>
      <c r="C1439" s="32" t="s">
        <v>5627</v>
      </c>
      <c r="D1439" s="32">
        <f t="shared" si="23"/>
        <v>-1</v>
      </c>
      <c r="E1439" s="32" t="s">
        <v>34</v>
      </c>
      <c r="F1439" s="32" t="s">
        <v>5610</v>
      </c>
      <c r="G1439" s="32" t="s">
        <v>5628</v>
      </c>
      <c r="H1439" s="32" t="s">
        <v>37</v>
      </c>
      <c r="I1439" s="32" t="s">
        <v>38</v>
      </c>
      <c r="J1439" s="32" t="s">
        <v>621</v>
      </c>
      <c r="K1439" s="32" t="s">
        <v>622</v>
      </c>
      <c r="L1439" s="32">
        <v>112223.5</v>
      </c>
      <c r="M1439" s="32">
        <v>0</v>
      </c>
      <c r="N1439" s="32">
        <v>0</v>
      </c>
      <c r="O1439" s="32">
        <v>702873.5</v>
      </c>
      <c r="P1439" s="32" t="s">
        <v>41</v>
      </c>
      <c r="Q1439" s="32" t="s">
        <v>42</v>
      </c>
      <c r="R1439" s="26" t="s">
        <v>43</v>
      </c>
      <c r="S1439" s="26"/>
      <c r="T1439" s="26"/>
      <c r="U1439" s="26"/>
      <c r="V1439" s="26"/>
      <c r="W1439" s="26"/>
      <c r="X1439" s="26"/>
    </row>
    <row r="1440" spans="1:24">
      <c r="A1440" s="33" t="s">
        <v>31</v>
      </c>
      <c r="B1440" s="33" t="s">
        <v>5629</v>
      </c>
      <c r="C1440" s="33" t="s">
        <v>5630</v>
      </c>
      <c r="D1440" s="33">
        <f t="shared" si="23"/>
        <v>-1</v>
      </c>
      <c r="E1440" s="33" t="s">
        <v>34</v>
      </c>
      <c r="F1440" s="33" t="s">
        <v>5610</v>
      </c>
      <c r="G1440" s="33" t="s">
        <v>5631</v>
      </c>
      <c r="H1440" s="33" t="s">
        <v>37</v>
      </c>
      <c r="I1440" s="33" t="s">
        <v>38</v>
      </c>
      <c r="J1440" s="33" t="s">
        <v>5632</v>
      </c>
      <c r="K1440" s="33" t="s">
        <v>5633</v>
      </c>
      <c r="L1440" s="33">
        <v>285000</v>
      </c>
      <c r="M1440" s="33">
        <v>0</v>
      </c>
      <c r="N1440" s="33">
        <v>0</v>
      </c>
      <c r="O1440" s="33">
        <v>1785000</v>
      </c>
      <c r="P1440" s="33" t="s">
        <v>41</v>
      </c>
      <c r="Q1440" s="33" t="s">
        <v>42</v>
      </c>
      <c r="R1440" s="26"/>
      <c r="S1440" s="26" t="s">
        <v>43</v>
      </c>
      <c r="T1440" s="26"/>
      <c r="U1440" s="26"/>
      <c r="V1440" s="26"/>
      <c r="W1440" s="26"/>
      <c r="X1440" s="26"/>
    </row>
    <row r="1441" spans="1:24">
      <c r="A1441" s="26" t="s">
        <v>31</v>
      </c>
      <c r="B1441" s="26" t="s">
        <v>5634</v>
      </c>
      <c r="C1441" s="26" t="s">
        <v>5635</v>
      </c>
      <c r="D1441" s="26">
        <f t="shared" si="23"/>
        <v>-1</v>
      </c>
      <c r="E1441" s="26" t="s">
        <v>34</v>
      </c>
      <c r="F1441" s="26" t="s">
        <v>5610</v>
      </c>
      <c r="G1441" s="26" t="s">
        <v>5636</v>
      </c>
      <c r="H1441" s="26" t="s">
        <v>37</v>
      </c>
      <c r="I1441" s="26" t="s">
        <v>38</v>
      </c>
      <c r="J1441" s="26" t="s">
        <v>5637</v>
      </c>
      <c r="K1441" s="26" t="s">
        <v>5638</v>
      </c>
      <c r="L1441" s="26">
        <v>55458.91</v>
      </c>
      <c r="M1441" s="26">
        <v>0</v>
      </c>
      <c r="N1441" s="26">
        <v>0</v>
      </c>
      <c r="O1441" s="26">
        <v>347347.91</v>
      </c>
      <c r="P1441" s="26" t="s">
        <v>41</v>
      </c>
      <c r="Q1441" s="26" t="s">
        <v>42</v>
      </c>
      <c r="R1441" s="26"/>
      <c r="S1441" s="26"/>
      <c r="T1441" s="26"/>
      <c r="U1441" s="26"/>
      <c r="V1441" s="26" t="s">
        <v>43</v>
      </c>
      <c r="W1441" s="26"/>
      <c r="X1441" s="26"/>
    </row>
    <row r="1442" spans="1:24">
      <c r="A1442" s="26" t="s">
        <v>31</v>
      </c>
      <c r="B1442" s="26" t="s">
        <v>5639</v>
      </c>
      <c r="C1442" s="26" t="s">
        <v>5640</v>
      </c>
      <c r="D1442" s="26">
        <f t="shared" si="23"/>
        <v>-1</v>
      </c>
      <c r="E1442" s="26" t="s">
        <v>34</v>
      </c>
      <c r="F1442" s="26" t="s">
        <v>5610</v>
      </c>
      <c r="G1442" s="26" t="s">
        <v>5641</v>
      </c>
      <c r="H1442" s="26" t="s">
        <v>37</v>
      </c>
      <c r="I1442" s="26" t="s">
        <v>38</v>
      </c>
      <c r="J1442" s="26" t="s">
        <v>131</v>
      </c>
      <c r="K1442" s="26" t="s">
        <v>132</v>
      </c>
      <c r="L1442" s="26">
        <v>200070.76</v>
      </c>
      <c r="M1442" s="26">
        <v>0</v>
      </c>
      <c r="N1442" s="26">
        <v>0</v>
      </c>
      <c r="O1442" s="26">
        <v>1253074.76</v>
      </c>
      <c r="P1442" s="26" t="s">
        <v>41</v>
      </c>
      <c r="Q1442" s="26" t="s">
        <v>42</v>
      </c>
      <c r="R1442" s="26"/>
      <c r="S1442" s="26"/>
      <c r="T1442" s="26"/>
      <c r="U1442" s="26"/>
      <c r="V1442" s="26" t="s">
        <v>43</v>
      </c>
      <c r="W1442" s="26"/>
      <c r="X1442" s="26"/>
    </row>
    <row r="1443" spans="1:24">
      <c r="A1443" s="26" t="s">
        <v>31</v>
      </c>
      <c r="B1443" s="26" t="s">
        <v>5642</v>
      </c>
      <c r="C1443" s="26" t="s">
        <v>5643</v>
      </c>
      <c r="D1443" s="26">
        <f t="shared" si="23"/>
        <v>-1</v>
      </c>
      <c r="E1443" s="26" t="s">
        <v>34</v>
      </c>
      <c r="F1443" s="26" t="s">
        <v>5610</v>
      </c>
      <c r="G1443" s="26" t="s">
        <v>5644</v>
      </c>
      <c r="H1443" s="26" t="s">
        <v>37</v>
      </c>
      <c r="I1443" s="26" t="s">
        <v>38</v>
      </c>
      <c r="J1443" s="26" t="s">
        <v>2197</v>
      </c>
      <c r="K1443" s="26" t="s">
        <v>2198</v>
      </c>
      <c r="L1443" s="26">
        <v>0</v>
      </c>
      <c r="M1443" s="26">
        <v>0</v>
      </c>
      <c r="N1443" s="26">
        <v>0</v>
      </c>
      <c r="O1443" s="26">
        <v>2350000</v>
      </c>
      <c r="P1443" s="26" t="s">
        <v>41</v>
      </c>
      <c r="Q1443" s="26" t="s">
        <v>42</v>
      </c>
      <c r="R1443" s="26"/>
      <c r="S1443" s="26"/>
      <c r="T1443" s="26"/>
      <c r="U1443" s="26"/>
      <c r="V1443" s="26" t="s">
        <v>43</v>
      </c>
      <c r="W1443" s="26"/>
      <c r="X1443" s="26"/>
    </row>
    <row r="1444" spans="1:24">
      <c r="A1444" s="26" t="s">
        <v>31</v>
      </c>
      <c r="B1444" s="26" t="s">
        <v>5645</v>
      </c>
      <c r="C1444" s="26" t="s">
        <v>5646</v>
      </c>
      <c r="D1444" s="26">
        <f t="shared" si="23"/>
        <v>-1</v>
      </c>
      <c r="E1444" s="26" t="s">
        <v>34</v>
      </c>
      <c r="F1444" s="26" t="s">
        <v>5610</v>
      </c>
      <c r="G1444" s="26" t="s">
        <v>5647</v>
      </c>
      <c r="H1444" s="26" t="s">
        <v>37</v>
      </c>
      <c r="I1444" s="26" t="s">
        <v>38</v>
      </c>
      <c r="J1444" s="26" t="s">
        <v>5648</v>
      </c>
      <c r="K1444" s="26" t="s">
        <v>5649</v>
      </c>
      <c r="L1444" s="26">
        <v>0</v>
      </c>
      <c r="M1444" s="26">
        <v>0</v>
      </c>
      <c r="N1444" s="26">
        <v>0</v>
      </c>
      <c r="O1444" s="26">
        <v>2350000</v>
      </c>
      <c r="P1444" s="26" t="s">
        <v>41</v>
      </c>
      <c r="Q1444" s="26" t="s">
        <v>42</v>
      </c>
      <c r="R1444" s="26"/>
      <c r="S1444" s="26"/>
      <c r="T1444" s="26"/>
      <c r="U1444" s="26"/>
      <c r="V1444" s="26" t="s">
        <v>43</v>
      </c>
      <c r="W1444" s="26"/>
      <c r="X1444" s="26"/>
    </row>
    <row r="1445" spans="1:24">
      <c r="A1445" s="31" t="s">
        <v>31</v>
      </c>
      <c r="B1445" s="31" t="s">
        <v>5650</v>
      </c>
      <c r="C1445" s="31" t="s">
        <v>5651</v>
      </c>
      <c r="D1445" s="31">
        <f t="shared" si="23"/>
        <v>-1</v>
      </c>
      <c r="E1445" s="31" t="s">
        <v>34</v>
      </c>
      <c r="F1445" s="31" t="s">
        <v>5610</v>
      </c>
      <c r="G1445" s="31" t="s">
        <v>5644</v>
      </c>
      <c r="H1445" s="31" t="s">
        <v>37</v>
      </c>
      <c r="I1445" s="31" t="s">
        <v>38</v>
      </c>
      <c r="J1445" s="31" t="s">
        <v>142</v>
      </c>
      <c r="K1445" s="31" t="s">
        <v>143</v>
      </c>
      <c r="L1445" s="31">
        <v>399000</v>
      </c>
      <c r="M1445" s="31">
        <v>0</v>
      </c>
      <c r="N1445" s="31">
        <v>0</v>
      </c>
      <c r="O1445" s="31">
        <v>2499000</v>
      </c>
      <c r="P1445" s="31" t="s">
        <v>41</v>
      </c>
      <c r="Q1445" s="31" t="s">
        <v>42</v>
      </c>
      <c r="R1445" s="26"/>
      <c r="S1445" s="26"/>
      <c r="T1445" s="26"/>
      <c r="U1445" s="26" t="s">
        <v>43</v>
      </c>
      <c r="V1445" s="26"/>
      <c r="W1445" s="26"/>
      <c r="X1445" s="26"/>
    </row>
    <row r="1446" spans="1:24">
      <c r="A1446" s="26" t="s">
        <v>31</v>
      </c>
      <c r="B1446" s="26" t="s">
        <v>5652</v>
      </c>
      <c r="C1446" s="26" t="s">
        <v>5653</v>
      </c>
      <c r="D1446" s="26">
        <f t="shared" si="23"/>
        <v>-1</v>
      </c>
      <c r="E1446" s="26" t="s">
        <v>34</v>
      </c>
      <c r="F1446" s="26" t="s">
        <v>5610</v>
      </c>
      <c r="G1446" s="26" t="s">
        <v>5654</v>
      </c>
      <c r="H1446" s="26" t="s">
        <v>37</v>
      </c>
      <c r="I1446" s="26" t="s">
        <v>38</v>
      </c>
      <c r="J1446" s="26" t="s">
        <v>5655</v>
      </c>
      <c r="K1446" s="26" t="s">
        <v>5656</v>
      </c>
      <c r="L1446" s="26">
        <v>45486</v>
      </c>
      <c r="M1446" s="26">
        <v>0</v>
      </c>
      <c r="N1446" s="26">
        <v>0</v>
      </c>
      <c r="O1446" s="26">
        <v>284886</v>
      </c>
      <c r="P1446" s="26" t="s">
        <v>41</v>
      </c>
      <c r="Q1446" s="26" t="s">
        <v>42</v>
      </c>
      <c r="R1446" s="26"/>
      <c r="S1446" s="26"/>
      <c r="T1446" s="26"/>
      <c r="U1446" s="26"/>
      <c r="V1446" s="26" t="s">
        <v>43</v>
      </c>
      <c r="W1446" s="26"/>
      <c r="X1446" s="26"/>
    </row>
    <row r="1447" spans="1:24">
      <c r="A1447" s="26" t="s">
        <v>31</v>
      </c>
      <c r="B1447" s="26" t="s">
        <v>5657</v>
      </c>
      <c r="C1447" s="26" t="s">
        <v>5658</v>
      </c>
      <c r="D1447" s="26">
        <f t="shared" ref="D1447:D1449" si="24">C1447-C1448</f>
        <v>-1</v>
      </c>
      <c r="E1447" s="26" t="s">
        <v>34</v>
      </c>
      <c r="F1447" s="26" t="s">
        <v>5610</v>
      </c>
      <c r="G1447" s="26" t="s">
        <v>5659</v>
      </c>
      <c r="H1447" s="26" t="s">
        <v>37</v>
      </c>
      <c r="I1447" s="26" t="s">
        <v>38</v>
      </c>
      <c r="J1447" s="26" t="s">
        <v>5232</v>
      </c>
      <c r="K1447" s="26" t="s">
        <v>5233</v>
      </c>
      <c r="L1447" s="26">
        <v>41040</v>
      </c>
      <c r="M1447" s="26">
        <v>0</v>
      </c>
      <c r="N1447" s="26">
        <v>0</v>
      </c>
      <c r="O1447" s="26">
        <v>257040</v>
      </c>
      <c r="P1447" s="26" t="s">
        <v>41</v>
      </c>
      <c r="Q1447" s="26" t="s">
        <v>42</v>
      </c>
      <c r="R1447" s="26"/>
      <c r="S1447" s="26"/>
      <c r="T1447" s="26"/>
      <c r="U1447" s="26"/>
      <c r="V1447" s="26" t="s">
        <v>43</v>
      </c>
      <c r="W1447" s="26"/>
      <c r="X1447" s="26"/>
    </row>
    <row r="1448" spans="1:24">
      <c r="A1448" s="32" t="s">
        <v>31</v>
      </c>
      <c r="B1448" s="32" t="s">
        <v>5660</v>
      </c>
      <c r="C1448" s="32" t="s">
        <v>5661</v>
      </c>
      <c r="D1448" s="32">
        <f t="shared" si="24"/>
        <v>-1</v>
      </c>
      <c r="E1448" s="32" t="s">
        <v>34</v>
      </c>
      <c r="F1448" s="32" t="s">
        <v>5610</v>
      </c>
      <c r="G1448" s="32" t="s">
        <v>5662</v>
      </c>
      <c r="H1448" s="32" t="s">
        <v>37</v>
      </c>
      <c r="I1448" s="32" t="s">
        <v>38</v>
      </c>
      <c r="J1448" s="32" t="s">
        <v>2503</v>
      </c>
      <c r="K1448" s="32" t="s">
        <v>2504</v>
      </c>
      <c r="L1448" s="32">
        <v>230906.23999999999</v>
      </c>
      <c r="M1448" s="32">
        <v>0</v>
      </c>
      <c r="N1448" s="32">
        <v>0</v>
      </c>
      <c r="O1448" s="32">
        <v>1446202.24</v>
      </c>
      <c r="P1448" s="32" t="s">
        <v>41</v>
      </c>
      <c r="Q1448" s="32" t="s">
        <v>42</v>
      </c>
      <c r="R1448" s="26" t="s">
        <v>43</v>
      </c>
      <c r="S1448" s="26"/>
      <c r="T1448" s="26"/>
      <c r="U1448" s="26"/>
      <c r="V1448" s="26"/>
      <c r="W1448" s="26"/>
      <c r="X1448" s="26"/>
    </row>
    <row r="1449" spans="1:24">
      <c r="A1449" s="34" t="s">
        <v>31</v>
      </c>
      <c r="B1449" s="34" t="s">
        <v>5663</v>
      </c>
      <c r="C1449" s="34" t="s">
        <v>5664</v>
      </c>
      <c r="D1449" s="34">
        <f t="shared" si="24"/>
        <v>-1</v>
      </c>
      <c r="E1449" s="34" t="s">
        <v>34</v>
      </c>
      <c r="F1449" s="34" t="s">
        <v>5610</v>
      </c>
      <c r="G1449" s="34" t="s">
        <v>5665</v>
      </c>
      <c r="H1449" s="34" t="s">
        <v>37</v>
      </c>
      <c r="I1449" s="34" t="s">
        <v>38</v>
      </c>
      <c r="J1449" s="34" t="s">
        <v>52</v>
      </c>
      <c r="K1449" s="34" t="s">
        <v>53</v>
      </c>
      <c r="L1449" s="34">
        <v>56620</v>
      </c>
      <c r="M1449" s="34">
        <v>0</v>
      </c>
      <c r="N1449" s="34">
        <v>0</v>
      </c>
      <c r="O1449" s="34">
        <v>354620</v>
      </c>
      <c r="P1449" s="34" t="s">
        <v>41</v>
      </c>
      <c r="Q1449" s="34" t="s">
        <v>42</v>
      </c>
      <c r="R1449" s="26"/>
      <c r="S1449" s="26"/>
      <c r="T1449" s="26" t="s">
        <v>43</v>
      </c>
      <c r="U1449" s="26"/>
      <c r="V1449" s="26"/>
      <c r="W1449" s="26"/>
      <c r="X1449" s="26"/>
    </row>
    <row r="1450" spans="1:24">
      <c r="A1450" s="34" t="s">
        <v>31</v>
      </c>
      <c r="B1450" s="34" t="s">
        <v>5666</v>
      </c>
      <c r="C1450" s="34" t="s">
        <v>5667</v>
      </c>
      <c r="D1450" s="34">
        <f t="shared" ref="D1450:D1512" si="25">C1450-C1451</f>
        <v>-1</v>
      </c>
      <c r="E1450" s="34" t="s">
        <v>34</v>
      </c>
      <c r="F1450" s="34" t="s">
        <v>5610</v>
      </c>
      <c r="G1450" s="34" t="s">
        <v>5668</v>
      </c>
      <c r="H1450" s="34" t="s">
        <v>37</v>
      </c>
      <c r="I1450" s="34" t="s">
        <v>38</v>
      </c>
      <c r="J1450" s="34" t="s">
        <v>52</v>
      </c>
      <c r="K1450" s="34" t="s">
        <v>53</v>
      </c>
      <c r="L1450" s="34">
        <v>74575</v>
      </c>
      <c r="M1450" s="34">
        <v>0</v>
      </c>
      <c r="N1450" s="34">
        <v>0</v>
      </c>
      <c r="O1450" s="34">
        <v>467075</v>
      </c>
      <c r="P1450" s="34" t="s">
        <v>41</v>
      </c>
      <c r="Q1450" s="34" t="s">
        <v>42</v>
      </c>
      <c r="R1450" s="26"/>
      <c r="S1450" s="26"/>
      <c r="T1450" s="26" t="s">
        <v>43</v>
      </c>
      <c r="U1450" s="26"/>
      <c r="V1450" s="26"/>
      <c r="W1450" s="26"/>
      <c r="X1450" s="26"/>
    </row>
    <row r="1451" spans="1:24">
      <c r="A1451" s="26" t="s">
        <v>31</v>
      </c>
      <c r="B1451" s="26" t="s">
        <v>5669</v>
      </c>
      <c r="C1451" s="26" t="s">
        <v>5670</v>
      </c>
      <c r="D1451" s="26">
        <f t="shared" si="25"/>
        <v>-1</v>
      </c>
      <c r="E1451" s="26" t="s">
        <v>34</v>
      </c>
      <c r="F1451" s="26" t="s">
        <v>5610</v>
      </c>
      <c r="G1451" s="26" t="s">
        <v>5671</v>
      </c>
      <c r="H1451" s="26" t="s">
        <v>37</v>
      </c>
      <c r="I1451" s="26" t="s">
        <v>38</v>
      </c>
      <c r="J1451" s="26" t="s">
        <v>4044</v>
      </c>
      <c r="K1451" s="26" t="s">
        <v>4045</v>
      </c>
      <c r="L1451" s="26">
        <v>29307.5</v>
      </c>
      <c r="M1451" s="26">
        <v>0</v>
      </c>
      <c r="N1451" s="26">
        <v>0</v>
      </c>
      <c r="O1451" s="26">
        <v>183557.5</v>
      </c>
      <c r="P1451" s="26" t="s">
        <v>41</v>
      </c>
      <c r="Q1451" s="26" t="s">
        <v>42</v>
      </c>
      <c r="R1451" s="26"/>
      <c r="S1451" s="26"/>
      <c r="T1451" s="26"/>
      <c r="U1451" s="26"/>
      <c r="V1451" s="26" t="s">
        <v>43</v>
      </c>
      <c r="W1451" s="26"/>
      <c r="X1451" s="26"/>
    </row>
    <row r="1452" spans="1:24">
      <c r="A1452" s="26" t="s">
        <v>31</v>
      </c>
      <c r="B1452" s="26" t="s">
        <v>5672</v>
      </c>
      <c r="C1452" s="26" t="s">
        <v>5673</v>
      </c>
      <c r="D1452" s="26">
        <f t="shared" si="25"/>
        <v>-1</v>
      </c>
      <c r="E1452" s="26" t="s">
        <v>34</v>
      </c>
      <c r="F1452" s="26" t="s">
        <v>5610</v>
      </c>
      <c r="G1452" s="26" t="s">
        <v>5674</v>
      </c>
      <c r="H1452" s="26" t="s">
        <v>37</v>
      </c>
      <c r="I1452" s="26" t="s">
        <v>38</v>
      </c>
      <c r="J1452" s="26" t="s">
        <v>5675</v>
      </c>
      <c r="K1452" s="26" t="s">
        <v>5676</v>
      </c>
      <c r="L1452" s="26">
        <v>183730</v>
      </c>
      <c r="M1452" s="26">
        <v>0</v>
      </c>
      <c r="N1452" s="26">
        <v>0</v>
      </c>
      <c r="O1452" s="26">
        <v>1150730</v>
      </c>
      <c r="P1452" s="26" t="s">
        <v>41</v>
      </c>
      <c r="Q1452" s="26" t="s">
        <v>42</v>
      </c>
      <c r="R1452" s="26"/>
      <c r="S1452" s="26"/>
      <c r="T1452" s="26"/>
      <c r="U1452" s="26"/>
      <c r="V1452" s="26" t="s">
        <v>43</v>
      </c>
      <c r="W1452" s="26"/>
      <c r="X1452" s="26"/>
    </row>
    <row r="1453" spans="1:24">
      <c r="A1453" s="26" t="s">
        <v>31</v>
      </c>
      <c r="B1453" s="26" t="s">
        <v>5677</v>
      </c>
      <c r="C1453" s="26" t="s">
        <v>5678</v>
      </c>
      <c r="D1453" s="26">
        <f t="shared" si="25"/>
        <v>-1</v>
      </c>
      <c r="E1453" s="26" t="s">
        <v>34</v>
      </c>
      <c r="F1453" s="26" t="s">
        <v>5610</v>
      </c>
      <c r="G1453" s="26" t="s">
        <v>5679</v>
      </c>
      <c r="H1453" s="26" t="s">
        <v>37</v>
      </c>
      <c r="I1453" s="26" t="s">
        <v>38</v>
      </c>
      <c r="J1453" s="26" t="s">
        <v>1698</v>
      </c>
      <c r="K1453" s="26" t="s">
        <v>1699</v>
      </c>
      <c r="L1453" s="26">
        <v>126730</v>
      </c>
      <c r="M1453" s="26">
        <v>0</v>
      </c>
      <c r="N1453" s="26">
        <v>0</v>
      </c>
      <c r="O1453" s="26">
        <v>793730</v>
      </c>
      <c r="P1453" s="26" t="s">
        <v>41</v>
      </c>
      <c r="Q1453" s="26" t="s">
        <v>42</v>
      </c>
      <c r="R1453" s="26"/>
      <c r="S1453" s="26"/>
      <c r="T1453" s="26"/>
      <c r="U1453" s="26"/>
      <c r="V1453" s="26" t="s">
        <v>43</v>
      </c>
      <c r="W1453" s="26"/>
      <c r="X1453" s="26"/>
    </row>
    <row r="1454" spans="1:24">
      <c r="A1454" s="26" t="s">
        <v>31</v>
      </c>
      <c r="B1454" s="26" t="s">
        <v>5680</v>
      </c>
      <c r="C1454" s="26" t="s">
        <v>5681</v>
      </c>
      <c r="D1454" s="26">
        <f t="shared" si="25"/>
        <v>-1</v>
      </c>
      <c r="E1454" s="26" t="s">
        <v>34</v>
      </c>
      <c r="F1454" s="26" t="s">
        <v>5610</v>
      </c>
      <c r="G1454" s="26" t="s">
        <v>5682</v>
      </c>
      <c r="H1454" s="26" t="s">
        <v>37</v>
      </c>
      <c r="I1454" s="26" t="s">
        <v>38</v>
      </c>
      <c r="J1454" s="26" t="s">
        <v>1698</v>
      </c>
      <c r="K1454" s="26" t="s">
        <v>1699</v>
      </c>
      <c r="L1454" s="26">
        <v>39941.800000000003</v>
      </c>
      <c r="M1454" s="26">
        <v>0</v>
      </c>
      <c r="N1454" s="26">
        <v>0</v>
      </c>
      <c r="O1454" s="26">
        <v>250161.8</v>
      </c>
      <c r="P1454" s="26" t="s">
        <v>41</v>
      </c>
      <c r="Q1454" s="26" t="s">
        <v>42</v>
      </c>
      <c r="R1454" s="26"/>
      <c r="S1454" s="26"/>
      <c r="T1454" s="26"/>
      <c r="U1454" s="26"/>
      <c r="V1454" s="26" t="s">
        <v>43</v>
      </c>
      <c r="W1454" s="26"/>
      <c r="X1454" s="26"/>
    </row>
    <row r="1455" spans="1:24">
      <c r="A1455" s="26" t="s">
        <v>31</v>
      </c>
      <c r="B1455" s="26" t="s">
        <v>5683</v>
      </c>
      <c r="C1455" s="26" t="s">
        <v>5684</v>
      </c>
      <c r="D1455" s="26">
        <f t="shared" si="25"/>
        <v>-1</v>
      </c>
      <c r="E1455" s="26" t="s">
        <v>34</v>
      </c>
      <c r="F1455" s="26" t="s">
        <v>5610</v>
      </c>
      <c r="G1455" s="26" t="s">
        <v>5685</v>
      </c>
      <c r="H1455" s="26" t="s">
        <v>37</v>
      </c>
      <c r="I1455" s="26" t="s">
        <v>38</v>
      </c>
      <c r="J1455" s="26" t="s">
        <v>896</v>
      </c>
      <c r="K1455" s="26" t="s">
        <v>897</v>
      </c>
      <c r="L1455" s="26">
        <v>143194.95000000001</v>
      </c>
      <c r="M1455" s="26">
        <v>0</v>
      </c>
      <c r="N1455" s="26">
        <v>0</v>
      </c>
      <c r="O1455" s="26">
        <v>1552099.95</v>
      </c>
      <c r="P1455" s="26" t="s">
        <v>41</v>
      </c>
      <c r="Q1455" s="26" t="s">
        <v>42</v>
      </c>
      <c r="R1455" s="26"/>
      <c r="S1455" s="26"/>
      <c r="T1455" s="26"/>
      <c r="U1455" s="26"/>
      <c r="V1455" s="26" t="s">
        <v>43</v>
      </c>
      <c r="W1455" s="26"/>
      <c r="X1455" s="26"/>
    </row>
    <row r="1456" spans="1:24">
      <c r="A1456" s="32" t="s">
        <v>31</v>
      </c>
      <c r="B1456" s="32" t="s">
        <v>5686</v>
      </c>
      <c r="C1456" s="32" t="s">
        <v>5687</v>
      </c>
      <c r="D1456" s="32">
        <f t="shared" si="25"/>
        <v>-1</v>
      </c>
      <c r="E1456" s="32" t="s">
        <v>34</v>
      </c>
      <c r="F1456" s="32" t="s">
        <v>5610</v>
      </c>
      <c r="G1456" s="32" t="s">
        <v>5688</v>
      </c>
      <c r="H1456" s="32" t="s">
        <v>37</v>
      </c>
      <c r="I1456" s="32" t="s">
        <v>38</v>
      </c>
      <c r="J1456" s="32" t="s">
        <v>2415</v>
      </c>
      <c r="K1456" s="32" t="s">
        <v>2416</v>
      </c>
      <c r="L1456" s="32">
        <v>347509.05</v>
      </c>
      <c r="M1456" s="32">
        <v>0</v>
      </c>
      <c r="N1456" s="32">
        <v>0</v>
      </c>
      <c r="O1456" s="32">
        <v>2176504.0499999998</v>
      </c>
      <c r="P1456" s="32" t="s">
        <v>41</v>
      </c>
      <c r="Q1456" s="32" t="s">
        <v>42</v>
      </c>
      <c r="R1456" s="26" t="s">
        <v>43</v>
      </c>
      <c r="S1456" s="26"/>
      <c r="T1456" s="26"/>
      <c r="U1456" s="26"/>
      <c r="V1456" s="26"/>
      <c r="W1456" s="26"/>
      <c r="X1456" s="26"/>
    </row>
    <row r="1457" spans="1:24">
      <c r="A1457" s="34" t="s">
        <v>31</v>
      </c>
      <c r="B1457" s="34" t="s">
        <v>5689</v>
      </c>
      <c r="C1457" s="34" t="s">
        <v>5690</v>
      </c>
      <c r="D1457" s="34">
        <f t="shared" si="25"/>
        <v>-1</v>
      </c>
      <c r="E1457" s="34" t="s">
        <v>34</v>
      </c>
      <c r="F1457" s="34" t="s">
        <v>5610</v>
      </c>
      <c r="G1457" s="34" t="s">
        <v>5691</v>
      </c>
      <c r="H1457" s="34" t="s">
        <v>37</v>
      </c>
      <c r="I1457" s="34" t="s">
        <v>38</v>
      </c>
      <c r="J1457" s="34" t="s">
        <v>5692</v>
      </c>
      <c r="K1457" s="34" t="s">
        <v>5693</v>
      </c>
      <c r="L1457" s="34">
        <v>1658928</v>
      </c>
      <c r="M1457" s="34">
        <v>0</v>
      </c>
      <c r="N1457" s="34">
        <v>0</v>
      </c>
      <c r="O1457" s="34">
        <v>10390128</v>
      </c>
      <c r="P1457" s="34" t="s">
        <v>41</v>
      </c>
      <c r="Q1457" s="34" t="s">
        <v>42</v>
      </c>
      <c r="R1457" s="26"/>
      <c r="S1457" s="26"/>
      <c r="T1457" s="26" t="s">
        <v>43</v>
      </c>
      <c r="U1457" s="26"/>
      <c r="V1457" s="26"/>
      <c r="W1457" s="26"/>
      <c r="X1457" s="26"/>
    </row>
    <row r="1458" spans="1:24">
      <c r="A1458" s="26" t="s">
        <v>31</v>
      </c>
      <c r="B1458" s="26" t="s">
        <v>5694</v>
      </c>
      <c r="C1458" s="26" t="s">
        <v>5695</v>
      </c>
      <c r="D1458" s="26">
        <f t="shared" si="25"/>
        <v>-1</v>
      </c>
      <c r="E1458" s="26" t="s">
        <v>34</v>
      </c>
      <c r="F1458" s="26" t="s">
        <v>5610</v>
      </c>
      <c r="G1458" s="26" t="s">
        <v>5691</v>
      </c>
      <c r="H1458" s="26" t="s">
        <v>37</v>
      </c>
      <c r="I1458" s="26" t="s">
        <v>38</v>
      </c>
      <c r="J1458" s="26" t="s">
        <v>2624</v>
      </c>
      <c r="K1458" s="26" t="s">
        <v>2625</v>
      </c>
      <c r="L1458" s="26">
        <v>123500</v>
      </c>
      <c r="M1458" s="26">
        <v>0</v>
      </c>
      <c r="N1458" s="26">
        <v>0</v>
      </c>
      <c r="O1458" s="26">
        <v>773500</v>
      </c>
      <c r="P1458" s="26" t="s">
        <v>41</v>
      </c>
      <c r="Q1458" s="26" t="s">
        <v>42</v>
      </c>
      <c r="R1458" s="26"/>
      <c r="S1458" s="26"/>
      <c r="T1458" s="26"/>
      <c r="U1458" s="26"/>
      <c r="V1458" s="26" t="s">
        <v>43</v>
      </c>
      <c r="W1458" s="26"/>
      <c r="X1458" s="26"/>
    </row>
    <row r="1459" spans="1:24">
      <c r="A1459" s="35" t="s">
        <v>31</v>
      </c>
      <c r="B1459" s="35" t="s">
        <v>5696</v>
      </c>
      <c r="C1459" s="35" t="s">
        <v>5697</v>
      </c>
      <c r="D1459" s="35">
        <f t="shared" si="25"/>
        <v>-1</v>
      </c>
      <c r="E1459" s="35" t="s">
        <v>34</v>
      </c>
      <c r="F1459" s="35" t="s">
        <v>5610</v>
      </c>
      <c r="G1459" s="35" t="s">
        <v>5698</v>
      </c>
      <c r="H1459" s="35" t="s">
        <v>37</v>
      </c>
      <c r="I1459" s="35" t="s">
        <v>38</v>
      </c>
      <c r="J1459" s="35" t="s">
        <v>5699</v>
      </c>
      <c r="K1459" s="35" t="s">
        <v>5700</v>
      </c>
      <c r="L1459" s="35">
        <v>57680</v>
      </c>
      <c r="M1459" s="35">
        <v>0</v>
      </c>
      <c r="N1459" s="35">
        <v>0</v>
      </c>
      <c r="O1459" s="35">
        <v>511280</v>
      </c>
      <c r="P1459" s="35" t="s">
        <v>41</v>
      </c>
      <c r="Q1459" s="35" t="s">
        <v>42</v>
      </c>
      <c r="R1459" s="26"/>
      <c r="S1459" s="26"/>
      <c r="T1459" s="26"/>
      <c r="U1459" s="26"/>
      <c r="V1459" s="26"/>
      <c r="W1459" s="35" t="s">
        <v>43</v>
      </c>
      <c r="X1459" s="26" t="s">
        <v>1377</v>
      </c>
    </row>
    <row r="1460" spans="1:24">
      <c r="A1460" s="32" t="s">
        <v>31</v>
      </c>
      <c r="B1460" s="32" t="s">
        <v>5701</v>
      </c>
      <c r="C1460" s="32" t="s">
        <v>5702</v>
      </c>
      <c r="D1460" s="32">
        <f t="shared" si="25"/>
        <v>-1</v>
      </c>
      <c r="E1460" s="32" t="s">
        <v>34</v>
      </c>
      <c r="F1460" s="32" t="s">
        <v>5610</v>
      </c>
      <c r="G1460" s="32" t="s">
        <v>5703</v>
      </c>
      <c r="H1460" s="32" t="s">
        <v>37</v>
      </c>
      <c r="I1460" s="32" t="s">
        <v>38</v>
      </c>
      <c r="J1460" s="32" t="s">
        <v>5704</v>
      </c>
      <c r="K1460" s="32" t="s">
        <v>5705</v>
      </c>
      <c r="L1460" s="32">
        <v>64600</v>
      </c>
      <c r="M1460" s="32">
        <v>0</v>
      </c>
      <c r="N1460" s="32">
        <v>0</v>
      </c>
      <c r="O1460" s="32">
        <v>404600</v>
      </c>
      <c r="P1460" s="32" t="s">
        <v>41</v>
      </c>
      <c r="Q1460" s="32" t="s">
        <v>42</v>
      </c>
      <c r="R1460" s="26" t="s">
        <v>43</v>
      </c>
      <c r="S1460" s="26"/>
      <c r="T1460" s="26"/>
      <c r="U1460" s="26"/>
      <c r="V1460" s="26"/>
      <c r="W1460" s="26"/>
      <c r="X1460" s="26"/>
    </row>
    <row r="1461" spans="1:24">
      <c r="A1461" s="26" t="s">
        <v>31</v>
      </c>
      <c r="B1461" s="26" t="s">
        <v>5706</v>
      </c>
      <c r="C1461" s="26" t="s">
        <v>5707</v>
      </c>
      <c r="D1461" s="26">
        <f t="shared" si="25"/>
        <v>-1</v>
      </c>
      <c r="E1461" s="26" t="s">
        <v>34</v>
      </c>
      <c r="F1461" s="26" t="s">
        <v>5610</v>
      </c>
      <c r="G1461" s="26" t="s">
        <v>5708</v>
      </c>
      <c r="H1461" s="26" t="s">
        <v>37</v>
      </c>
      <c r="I1461" s="26" t="s">
        <v>38</v>
      </c>
      <c r="J1461" s="26" t="s">
        <v>2624</v>
      </c>
      <c r="K1461" s="26" t="s">
        <v>2625</v>
      </c>
      <c r="L1461" s="26">
        <v>202540</v>
      </c>
      <c r="M1461" s="26">
        <v>0</v>
      </c>
      <c r="N1461" s="26">
        <v>0</v>
      </c>
      <c r="O1461" s="26">
        <v>1268540</v>
      </c>
      <c r="P1461" s="26" t="s">
        <v>41</v>
      </c>
      <c r="Q1461" s="26" t="s">
        <v>42</v>
      </c>
      <c r="R1461" s="26"/>
      <c r="S1461" s="26"/>
      <c r="T1461" s="26"/>
      <c r="U1461" s="26"/>
      <c r="V1461" s="26" t="s">
        <v>43</v>
      </c>
      <c r="W1461" s="26"/>
      <c r="X1461" s="26"/>
    </row>
    <row r="1462" spans="1:24">
      <c r="A1462" s="26" t="s">
        <v>31</v>
      </c>
      <c r="B1462" s="26" t="s">
        <v>5709</v>
      </c>
      <c r="C1462" s="26" t="s">
        <v>5710</v>
      </c>
      <c r="D1462" s="26">
        <f t="shared" si="25"/>
        <v>-1</v>
      </c>
      <c r="E1462" s="26" t="s">
        <v>34</v>
      </c>
      <c r="F1462" s="26" t="s">
        <v>5610</v>
      </c>
      <c r="G1462" s="26" t="s">
        <v>5711</v>
      </c>
      <c r="H1462" s="26" t="s">
        <v>37</v>
      </c>
      <c r="I1462" s="26" t="s">
        <v>38</v>
      </c>
      <c r="J1462" s="26" t="s">
        <v>5712</v>
      </c>
      <c r="K1462" s="26" t="s">
        <v>5713</v>
      </c>
      <c r="L1462" s="26">
        <v>648171.51</v>
      </c>
      <c r="M1462" s="26">
        <v>0</v>
      </c>
      <c r="N1462" s="26">
        <v>0</v>
      </c>
      <c r="O1462" s="26">
        <v>4059600.51</v>
      </c>
      <c r="P1462" s="26" t="s">
        <v>41</v>
      </c>
      <c r="Q1462" s="26" t="s">
        <v>42</v>
      </c>
      <c r="R1462" s="26"/>
      <c r="S1462" s="26"/>
      <c r="T1462" s="26"/>
      <c r="U1462" s="26"/>
      <c r="V1462" s="26" t="s">
        <v>43</v>
      </c>
      <c r="W1462" s="26"/>
      <c r="X1462" s="26"/>
    </row>
    <row r="1463" spans="1:24">
      <c r="A1463" s="26" t="s">
        <v>31</v>
      </c>
      <c r="B1463" s="26" t="s">
        <v>5714</v>
      </c>
      <c r="C1463" s="26" t="s">
        <v>5715</v>
      </c>
      <c r="D1463" s="26">
        <f t="shared" si="25"/>
        <v>-1</v>
      </c>
      <c r="E1463" s="26" t="s">
        <v>34</v>
      </c>
      <c r="F1463" s="26" t="s">
        <v>5610</v>
      </c>
      <c r="G1463" s="26" t="s">
        <v>5716</v>
      </c>
      <c r="H1463" s="26" t="s">
        <v>37</v>
      </c>
      <c r="I1463" s="26" t="s">
        <v>38</v>
      </c>
      <c r="J1463" s="26" t="s">
        <v>1372</v>
      </c>
      <c r="K1463" s="26" t="s">
        <v>1373</v>
      </c>
      <c r="L1463" s="26">
        <v>1032614.47</v>
      </c>
      <c r="M1463" s="26">
        <v>0</v>
      </c>
      <c r="N1463" s="26">
        <v>0</v>
      </c>
      <c r="O1463" s="26">
        <v>6467427.4699999997</v>
      </c>
      <c r="P1463" s="26" t="s">
        <v>41</v>
      </c>
      <c r="Q1463" s="26" t="s">
        <v>42</v>
      </c>
      <c r="R1463" s="26"/>
      <c r="S1463" s="26"/>
      <c r="T1463" s="26"/>
      <c r="U1463" s="26"/>
      <c r="V1463" s="26" t="s">
        <v>43</v>
      </c>
      <c r="W1463" s="26"/>
      <c r="X1463" s="26"/>
    </row>
    <row r="1464" spans="1:24">
      <c r="A1464" s="34" t="s">
        <v>31</v>
      </c>
      <c r="B1464" s="34" t="s">
        <v>5717</v>
      </c>
      <c r="C1464" s="34" t="s">
        <v>5718</v>
      </c>
      <c r="D1464" s="34">
        <f t="shared" si="25"/>
        <v>-1</v>
      </c>
      <c r="E1464" s="34" t="s">
        <v>34</v>
      </c>
      <c r="F1464" s="34" t="s">
        <v>5610</v>
      </c>
      <c r="G1464" s="34" t="s">
        <v>5719</v>
      </c>
      <c r="H1464" s="34" t="s">
        <v>37</v>
      </c>
      <c r="I1464" s="34" t="s">
        <v>38</v>
      </c>
      <c r="J1464" s="34" t="s">
        <v>4772</v>
      </c>
      <c r="K1464" s="34" t="s">
        <v>4773</v>
      </c>
      <c r="L1464" s="34">
        <v>102680.94</v>
      </c>
      <c r="M1464" s="34">
        <v>0</v>
      </c>
      <c r="N1464" s="34">
        <v>0</v>
      </c>
      <c r="O1464" s="34">
        <v>643106.93999999994</v>
      </c>
      <c r="P1464" s="34" t="s">
        <v>41</v>
      </c>
      <c r="Q1464" s="34" t="s">
        <v>42</v>
      </c>
      <c r="R1464" s="26"/>
      <c r="S1464" s="26"/>
      <c r="T1464" s="26" t="s">
        <v>43</v>
      </c>
      <c r="U1464" s="26"/>
      <c r="V1464" s="26"/>
      <c r="W1464" s="26"/>
      <c r="X1464" s="26"/>
    </row>
    <row r="1465" spans="1:24">
      <c r="A1465" s="32" t="s">
        <v>31</v>
      </c>
      <c r="B1465" s="32" t="s">
        <v>5720</v>
      </c>
      <c r="C1465" s="32" t="s">
        <v>5721</v>
      </c>
      <c r="D1465" s="32">
        <f t="shared" si="25"/>
        <v>-1</v>
      </c>
      <c r="E1465" s="32" t="s">
        <v>34</v>
      </c>
      <c r="F1465" s="32" t="s">
        <v>5610</v>
      </c>
      <c r="G1465" s="32" t="s">
        <v>5722</v>
      </c>
      <c r="H1465" s="32" t="s">
        <v>37</v>
      </c>
      <c r="I1465" s="32" t="s">
        <v>38</v>
      </c>
      <c r="J1465" s="32" t="s">
        <v>4780</v>
      </c>
      <c r="K1465" s="32" t="s">
        <v>4781</v>
      </c>
      <c r="L1465" s="32">
        <v>413250</v>
      </c>
      <c r="M1465" s="32">
        <v>0</v>
      </c>
      <c r="N1465" s="32">
        <v>0</v>
      </c>
      <c r="O1465" s="32">
        <v>2588250</v>
      </c>
      <c r="P1465" s="32" t="s">
        <v>41</v>
      </c>
      <c r="Q1465" s="32" t="s">
        <v>42</v>
      </c>
      <c r="R1465" s="26" t="s">
        <v>43</v>
      </c>
      <c r="S1465" s="26"/>
      <c r="T1465" s="26"/>
      <c r="U1465" s="26"/>
      <c r="V1465" s="26"/>
      <c r="W1465" s="26"/>
      <c r="X1465" s="26"/>
    </row>
    <row r="1466" spans="1:24">
      <c r="A1466" s="32" t="s">
        <v>31</v>
      </c>
      <c r="B1466" s="32" t="s">
        <v>5723</v>
      </c>
      <c r="C1466" s="32" t="s">
        <v>5724</v>
      </c>
      <c r="D1466" s="32">
        <f t="shared" si="25"/>
        <v>-1</v>
      </c>
      <c r="E1466" s="32" t="s">
        <v>34</v>
      </c>
      <c r="F1466" s="32" t="s">
        <v>5610</v>
      </c>
      <c r="G1466" s="32" t="s">
        <v>5725</v>
      </c>
      <c r="H1466" s="32" t="s">
        <v>37</v>
      </c>
      <c r="I1466" s="32" t="s">
        <v>38</v>
      </c>
      <c r="J1466" s="32" t="s">
        <v>5726</v>
      </c>
      <c r="K1466" s="32" t="s">
        <v>5727</v>
      </c>
      <c r="L1466" s="32">
        <v>207879</v>
      </c>
      <c r="M1466" s="32">
        <v>0</v>
      </c>
      <c r="N1466" s="32">
        <v>0</v>
      </c>
      <c r="O1466" s="32">
        <v>1301979</v>
      </c>
      <c r="P1466" s="32" t="s">
        <v>41</v>
      </c>
      <c r="Q1466" s="32" t="s">
        <v>42</v>
      </c>
      <c r="R1466" s="26" t="s">
        <v>43</v>
      </c>
      <c r="S1466" s="26"/>
      <c r="T1466" s="26"/>
      <c r="U1466" s="26"/>
      <c r="V1466" s="26"/>
      <c r="W1466" s="26"/>
      <c r="X1466" s="26"/>
    </row>
    <row r="1467" spans="1:24">
      <c r="A1467" s="26" t="s">
        <v>31</v>
      </c>
      <c r="B1467" s="26" t="s">
        <v>5728</v>
      </c>
      <c r="C1467" s="26" t="s">
        <v>5729</v>
      </c>
      <c r="D1467" s="26">
        <f t="shared" si="25"/>
        <v>-1</v>
      </c>
      <c r="E1467" s="26" t="s">
        <v>34</v>
      </c>
      <c r="F1467" s="26" t="s">
        <v>5610</v>
      </c>
      <c r="G1467" s="26" t="s">
        <v>5730</v>
      </c>
      <c r="H1467" s="26" t="s">
        <v>37</v>
      </c>
      <c r="I1467" s="26" t="s">
        <v>38</v>
      </c>
      <c r="J1467" s="26" t="s">
        <v>1808</v>
      </c>
      <c r="K1467" s="26" t="s">
        <v>1809</v>
      </c>
      <c r="L1467" s="26">
        <v>72580</v>
      </c>
      <c r="M1467" s="26">
        <v>0</v>
      </c>
      <c r="N1467" s="26">
        <v>0</v>
      </c>
      <c r="O1467" s="26">
        <v>454580</v>
      </c>
      <c r="P1467" s="26" t="s">
        <v>41</v>
      </c>
      <c r="Q1467" s="26" t="s">
        <v>42</v>
      </c>
      <c r="R1467" s="26"/>
      <c r="S1467" s="26"/>
      <c r="T1467" s="26"/>
      <c r="U1467" s="26"/>
      <c r="V1467" s="26" t="s">
        <v>43</v>
      </c>
      <c r="W1467" s="26"/>
      <c r="X1467" s="26"/>
    </row>
    <row r="1468" spans="1:24">
      <c r="A1468" s="26" t="s">
        <v>31</v>
      </c>
      <c r="B1468" s="26" t="s">
        <v>5731</v>
      </c>
      <c r="C1468" s="26" t="s">
        <v>5732</v>
      </c>
      <c r="D1468" s="26">
        <f t="shared" si="25"/>
        <v>-1</v>
      </c>
      <c r="E1468" s="26" t="s">
        <v>34</v>
      </c>
      <c r="F1468" s="26" t="s">
        <v>5610</v>
      </c>
      <c r="G1468" s="26" t="s">
        <v>5733</v>
      </c>
      <c r="H1468" s="26" t="s">
        <v>37</v>
      </c>
      <c r="I1468" s="26" t="s">
        <v>38</v>
      </c>
      <c r="J1468" s="26" t="s">
        <v>5734</v>
      </c>
      <c r="K1468" s="26" t="s">
        <v>5735</v>
      </c>
      <c r="L1468" s="26">
        <v>148200</v>
      </c>
      <c r="M1468" s="26">
        <v>0</v>
      </c>
      <c r="N1468" s="26">
        <v>0</v>
      </c>
      <c r="O1468" s="26">
        <v>928200</v>
      </c>
      <c r="P1468" s="26" t="s">
        <v>41</v>
      </c>
      <c r="Q1468" s="26" t="s">
        <v>42</v>
      </c>
      <c r="R1468" s="26"/>
      <c r="S1468" s="26"/>
      <c r="T1468" s="26"/>
      <c r="U1468" s="26"/>
      <c r="V1468" s="26" t="s">
        <v>43</v>
      </c>
      <c r="W1468" s="26"/>
      <c r="X1468" s="26"/>
    </row>
    <row r="1469" spans="1:24">
      <c r="A1469" s="26" t="s">
        <v>31</v>
      </c>
      <c r="B1469" s="26" t="s">
        <v>5736</v>
      </c>
      <c r="C1469" s="26" t="s">
        <v>5737</v>
      </c>
      <c r="D1469" s="26">
        <f t="shared" si="25"/>
        <v>-1</v>
      </c>
      <c r="E1469" s="26" t="s">
        <v>34</v>
      </c>
      <c r="F1469" s="26" t="s">
        <v>5610</v>
      </c>
      <c r="G1469" s="26" t="s">
        <v>5738</v>
      </c>
      <c r="H1469" s="26" t="s">
        <v>37</v>
      </c>
      <c r="I1469" s="26" t="s">
        <v>38</v>
      </c>
      <c r="J1469" s="26" t="s">
        <v>4253</v>
      </c>
      <c r="K1469" s="26" t="s">
        <v>4254</v>
      </c>
      <c r="L1469" s="26">
        <v>493050</v>
      </c>
      <c r="M1469" s="26">
        <v>0</v>
      </c>
      <c r="N1469" s="26">
        <v>0</v>
      </c>
      <c r="O1469" s="26">
        <v>3088050</v>
      </c>
      <c r="P1469" s="26" t="s">
        <v>41</v>
      </c>
      <c r="Q1469" s="26" t="s">
        <v>42</v>
      </c>
      <c r="R1469" s="26"/>
      <c r="S1469" s="26"/>
      <c r="T1469" s="26"/>
      <c r="U1469" s="26"/>
      <c r="V1469" s="26" t="s">
        <v>43</v>
      </c>
      <c r="W1469" s="26"/>
      <c r="X1469" s="26"/>
    </row>
    <row r="1470" spans="1:24">
      <c r="A1470" s="32" t="s">
        <v>31</v>
      </c>
      <c r="B1470" s="32" t="s">
        <v>5739</v>
      </c>
      <c r="C1470" s="32" t="s">
        <v>5740</v>
      </c>
      <c r="D1470" s="32">
        <f t="shared" si="25"/>
        <v>-1</v>
      </c>
      <c r="E1470" s="32" t="s">
        <v>34</v>
      </c>
      <c r="F1470" s="32" t="s">
        <v>5610</v>
      </c>
      <c r="G1470" s="32" t="s">
        <v>5741</v>
      </c>
      <c r="H1470" s="32" t="s">
        <v>37</v>
      </c>
      <c r="I1470" s="32" t="s">
        <v>38</v>
      </c>
      <c r="J1470" s="32" t="s">
        <v>2484</v>
      </c>
      <c r="K1470" s="32" t="s">
        <v>2485</v>
      </c>
      <c r="L1470" s="32">
        <v>50742.73</v>
      </c>
      <c r="M1470" s="32">
        <v>0</v>
      </c>
      <c r="N1470" s="32">
        <v>0</v>
      </c>
      <c r="O1470" s="32">
        <v>317809.73</v>
      </c>
      <c r="P1470" s="32" t="s">
        <v>41</v>
      </c>
      <c r="Q1470" s="32" t="s">
        <v>42</v>
      </c>
      <c r="R1470" s="26" t="s">
        <v>43</v>
      </c>
      <c r="S1470" s="26"/>
      <c r="T1470" s="26"/>
      <c r="U1470" s="26"/>
      <c r="V1470" s="26"/>
      <c r="W1470" s="26"/>
      <c r="X1470" s="26"/>
    </row>
    <row r="1471" spans="1:24">
      <c r="A1471" s="26" t="s">
        <v>31</v>
      </c>
      <c r="B1471" s="26" t="s">
        <v>5742</v>
      </c>
      <c r="C1471" s="26" t="s">
        <v>5743</v>
      </c>
      <c r="D1471" s="26">
        <f t="shared" si="25"/>
        <v>-1</v>
      </c>
      <c r="E1471" s="26" t="s">
        <v>34</v>
      </c>
      <c r="F1471" s="26" t="s">
        <v>5610</v>
      </c>
      <c r="G1471" s="26" t="s">
        <v>5744</v>
      </c>
      <c r="H1471" s="26" t="s">
        <v>37</v>
      </c>
      <c r="I1471" s="26" t="s">
        <v>38</v>
      </c>
      <c r="J1471" s="26" t="s">
        <v>5745</v>
      </c>
      <c r="K1471" s="26" t="s">
        <v>5746</v>
      </c>
      <c r="L1471" s="26">
        <v>638400</v>
      </c>
      <c r="M1471" s="26">
        <v>0</v>
      </c>
      <c r="N1471" s="26">
        <v>0</v>
      </c>
      <c r="O1471" s="26">
        <v>3998400</v>
      </c>
      <c r="P1471" s="26" t="s">
        <v>41</v>
      </c>
      <c r="Q1471" s="26" t="s">
        <v>42</v>
      </c>
      <c r="R1471" s="26"/>
      <c r="S1471" s="26"/>
      <c r="T1471" s="26"/>
      <c r="U1471" s="26"/>
      <c r="V1471" s="26" t="s">
        <v>43</v>
      </c>
      <c r="W1471" s="26"/>
      <c r="X1471" s="26"/>
    </row>
    <row r="1472" spans="1:24">
      <c r="A1472" s="26" t="s">
        <v>31</v>
      </c>
      <c r="B1472" s="26" t="s">
        <v>5747</v>
      </c>
      <c r="C1472" s="26" t="s">
        <v>5748</v>
      </c>
      <c r="D1472" s="26">
        <f t="shared" si="25"/>
        <v>-1</v>
      </c>
      <c r="E1472" s="26" t="s">
        <v>34</v>
      </c>
      <c r="F1472" s="26" t="s">
        <v>5610</v>
      </c>
      <c r="G1472" s="26" t="s">
        <v>5749</v>
      </c>
      <c r="H1472" s="26" t="s">
        <v>37</v>
      </c>
      <c r="I1472" s="26" t="s">
        <v>38</v>
      </c>
      <c r="J1472" s="26" t="s">
        <v>5100</v>
      </c>
      <c r="K1472" s="26" t="s">
        <v>5101</v>
      </c>
      <c r="L1472" s="26">
        <v>8626494</v>
      </c>
      <c r="M1472" s="26">
        <v>0</v>
      </c>
      <c r="N1472" s="26">
        <v>0</v>
      </c>
      <c r="O1472" s="26">
        <v>54029094</v>
      </c>
      <c r="P1472" s="26" t="s">
        <v>41</v>
      </c>
      <c r="Q1472" s="26" t="s">
        <v>42</v>
      </c>
      <c r="R1472" s="26"/>
      <c r="S1472" s="26"/>
      <c r="T1472" s="26"/>
      <c r="U1472" s="26"/>
      <c r="V1472" s="26" t="s">
        <v>43</v>
      </c>
      <c r="W1472" s="26"/>
      <c r="X1472" s="26"/>
    </row>
    <row r="1473" spans="1:24">
      <c r="A1473" s="32" t="s">
        <v>31</v>
      </c>
      <c r="B1473" s="32" t="s">
        <v>5750</v>
      </c>
      <c r="C1473" s="32" t="s">
        <v>5751</v>
      </c>
      <c r="D1473" s="32">
        <f t="shared" si="25"/>
        <v>-1</v>
      </c>
      <c r="E1473" s="32" t="s">
        <v>34</v>
      </c>
      <c r="F1473" s="32" t="s">
        <v>5610</v>
      </c>
      <c r="G1473" s="32" t="s">
        <v>5752</v>
      </c>
      <c r="H1473" s="32" t="s">
        <v>37</v>
      </c>
      <c r="I1473" s="32" t="s">
        <v>38</v>
      </c>
      <c r="J1473" s="32" t="s">
        <v>4780</v>
      </c>
      <c r="K1473" s="32" t="s">
        <v>4781</v>
      </c>
      <c r="L1473" s="32">
        <v>14250</v>
      </c>
      <c r="M1473" s="32">
        <v>0</v>
      </c>
      <c r="N1473" s="32">
        <v>0</v>
      </c>
      <c r="O1473" s="32">
        <v>89250</v>
      </c>
      <c r="P1473" s="32" t="s">
        <v>41</v>
      </c>
      <c r="Q1473" s="32" t="s">
        <v>42</v>
      </c>
      <c r="R1473" s="26" t="s">
        <v>43</v>
      </c>
      <c r="S1473" s="26"/>
      <c r="T1473" s="26"/>
      <c r="U1473" s="26"/>
      <c r="V1473" s="26"/>
      <c r="W1473" s="26"/>
      <c r="X1473" s="26"/>
    </row>
    <row r="1474" spans="1:24">
      <c r="A1474" s="34" t="s">
        <v>31</v>
      </c>
      <c r="B1474" s="34" t="s">
        <v>5753</v>
      </c>
      <c r="C1474" s="34" t="s">
        <v>5754</v>
      </c>
      <c r="D1474" s="34">
        <f t="shared" si="25"/>
        <v>-1</v>
      </c>
      <c r="E1474" s="34" t="s">
        <v>34</v>
      </c>
      <c r="F1474" s="34" t="s">
        <v>5610</v>
      </c>
      <c r="G1474" s="34" t="s">
        <v>5755</v>
      </c>
      <c r="H1474" s="34" t="s">
        <v>37</v>
      </c>
      <c r="I1474" s="34" t="s">
        <v>38</v>
      </c>
      <c r="J1474" s="34" t="s">
        <v>5756</v>
      </c>
      <c r="K1474" s="34" t="s">
        <v>5757</v>
      </c>
      <c r="L1474" s="34">
        <v>35150</v>
      </c>
      <c r="M1474" s="34">
        <v>0</v>
      </c>
      <c r="N1474" s="34">
        <v>0</v>
      </c>
      <c r="O1474" s="34">
        <v>220150</v>
      </c>
      <c r="P1474" s="34" t="s">
        <v>41</v>
      </c>
      <c r="Q1474" s="34" t="s">
        <v>42</v>
      </c>
      <c r="R1474" s="26"/>
      <c r="S1474" s="26"/>
      <c r="T1474" s="26" t="s">
        <v>43</v>
      </c>
      <c r="U1474" s="26"/>
      <c r="V1474" s="26"/>
      <c r="W1474" s="26"/>
      <c r="X1474" s="26"/>
    </row>
    <row r="1475" spans="1:24">
      <c r="A1475" s="34" t="s">
        <v>31</v>
      </c>
      <c r="B1475" s="34" t="s">
        <v>5758</v>
      </c>
      <c r="C1475" s="34" t="s">
        <v>5759</v>
      </c>
      <c r="D1475" s="34">
        <f t="shared" si="25"/>
        <v>-1</v>
      </c>
      <c r="E1475" s="34" t="s">
        <v>34</v>
      </c>
      <c r="F1475" s="34" t="s">
        <v>5610</v>
      </c>
      <c r="G1475" s="34" t="s">
        <v>5760</v>
      </c>
      <c r="H1475" s="34" t="s">
        <v>37</v>
      </c>
      <c r="I1475" s="34" t="s">
        <v>38</v>
      </c>
      <c r="J1475" s="34" t="s">
        <v>5756</v>
      </c>
      <c r="K1475" s="34" t="s">
        <v>5757</v>
      </c>
      <c r="L1475" s="34">
        <v>121600</v>
      </c>
      <c r="M1475" s="34">
        <v>0</v>
      </c>
      <c r="N1475" s="34">
        <v>0</v>
      </c>
      <c r="O1475" s="34">
        <v>761600</v>
      </c>
      <c r="P1475" s="34" t="s">
        <v>41</v>
      </c>
      <c r="Q1475" s="34" t="s">
        <v>42</v>
      </c>
      <c r="R1475" s="26"/>
      <c r="S1475" s="26"/>
      <c r="T1475" s="26" t="s">
        <v>43</v>
      </c>
      <c r="U1475" s="26"/>
      <c r="V1475" s="26"/>
      <c r="W1475" s="26"/>
      <c r="X1475" s="26"/>
    </row>
    <row r="1476" spans="1:24">
      <c r="A1476" s="32" t="s">
        <v>31</v>
      </c>
      <c r="B1476" s="32" t="s">
        <v>5761</v>
      </c>
      <c r="C1476" s="32" t="s">
        <v>5762</v>
      </c>
      <c r="D1476" s="32">
        <f t="shared" si="25"/>
        <v>-1</v>
      </c>
      <c r="E1476" s="32" t="s">
        <v>34</v>
      </c>
      <c r="F1476" s="32" t="s">
        <v>5610</v>
      </c>
      <c r="G1476" s="32" t="s">
        <v>5763</v>
      </c>
      <c r="H1476" s="32" t="s">
        <v>37</v>
      </c>
      <c r="I1476" s="32" t="s">
        <v>38</v>
      </c>
      <c r="J1476" s="32" t="s">
        <v>5764</v>
      </c>
      <c r="K1476" s="32" t="s">
        <v>5765</v>
      </c>
      <c r="L1476" s="32">
        <v>133950</v>
      </c>
      <c r="M1476" s="32">
        <v>0</v>
      </c>
      <c r="N1476" s="32">
        <v>0</v>
      </c>
      <c r="O1476" s="32">
        <v>838950</v>
      </c>
      <c r="P1476" s="32" t="s">
        <v>41</v>
      </c>
      <c r="Q1476" s="32" t="s">
        <v>42</v>
      </c>
      <c r="R1476" s="26" t="s">
        <v>43</v>
      </c>
      <c r="S1476" s="26"/>
      <c r="T1476" s="26"/>
      <c r="U1476" s="26"/>
      <c r="V1476" s="26"/>
      <c r="W1476" s="26"/>
      <c r="X1476" s="26"/>
    </row>
    <row r="1477" spans="1:24">
      <c r="A1477" s="26" t="s">
        <v>31</v>
      </c>
      <c r="B1477" s="26" t="s">
        <v>5766</v>
      </c>
      <c r="C1477" s="26" t="s">
        <v>5767</v>
      </c>
      <c r="D1477" s="26">
        <f t="shared" si="25"/>
        <v>-1</v>
      </c>
      <c r="E1477" s="26" t="s">
        <v>34</v>
      </c>
      <c r="F1477" s="26" t="s">
        <v>5610</v>
      </c>
      <c r="G1477" s="26" t="s">
        <v>5768</v>
      </c>
      <c r="H1477" s="26" t="s">
        <v>37</v>
      </c>
      <c r="I1477" s="26" t="s">
        <v>38</v>
      </c>
      <c r="J1477" s="26" t="s">
        <v>5769</v>
      </c>
      <c r="K1477" s="26" t="s">
        <v>5770</v>
      </c>
      <c r="L1477" s="26">
        <v>93347</v>
      </c>
      <c r="M1477" s="26">
        <v>0</v>
      </c>
      <c r="N1477" s="26">
        <v>0</v>
      </c>
      <c r="O1477" s="26">
        <v>584647</v>
      </c>
      <c r="P1477" s="26" t="s">
        <v>41</v>
      </c>
      <c r="Q1477" s="26" t="s">
        <v>42</v>
      </c>
      <c r="R1477" s="26"/>
      <c r="S1477" s="26"/>
      <c r="T1477" s="26"/>
      <c r="U1477" s="26"/>
      <c r="V1477" s="26" t="s">
        <v>43</v>
      </c>
      <c r="W1477" s="26"/>
      <c r="X1477" s="26"/>
    </row>
    <row r="1478" spans="1:24">
      <c r="A1478" s="34" t="s">
        <v>31</v>
      </c>
      <c r="B1478" s="34" t="s">
        <v>5771</v>
      </c>
      <c r="C1478" s="34" t="s">
        <v>5772</v>
      </c>
      <c r="D1478" s="34">
        <f t="shared" si="25"/>
        <v>-1</v>
      </c>
      <c r="E1478" s="34" t="s">
        <v>34</v>
      </c>
      <c r="F1478" s="34" t="s">
        <v>5610</v>
      </c>
      <c r="G1478" s="34" t="s">
        <v>5773</v>
      </c>
      <c r="H1478" s="34" t="s">
        <v>37</v>
      </c>
      <c r="I1478" s="34" t="s">
        <v>38</v>
      </c>
      <c r="J1478" s="34" t="s">
        <v>383</v>
      </c>
      <c r="K1478" s="34" t="s">
        <v>384</v>
      </c>
      <c r="L1478" s="34">
        <v>14782</v>
      </c>
      <c r="M1478" s="34">
        <v>0</v>
      </c>
      <c r="N1478" s="34">
        <v>0</v>
      </c>
      <c r="O1478" s="34">
        <v>92582</v>
      </c>
      <c r="P1478" s="34" t="s">
        <v>41</v>
      </c>
      <c r="Q1478" s="34" t="s">
        <v>42</v>
      </c>
      <c r="R1478" s="26"/>
      <c r="S1478" s="26"/>
      <c r="T1478" s="26" t="s">
        <v>43</v>
      </c>
      <c r="U1478" s="26"/>
      <c r="V1478" s="26"/>
      <c r="W1478" s="26"/>
      <c r="X1478" s="26"/>
    </row>
    <row r="1479" spans="1:24">
      <c r="A1479" s="34" t="s">
        <v>31</v>
      </c>
      <c r="B1479" s="34" t="s">
        <v>5774</v>
      </c>
      <c r="C1479" s="34" t="s">
        <v>5775</v>
      </c>
      <c r="D1479" s="34">
        <f t="shared" si="25"/>
        <v>-1</v>
      </c>
      <c r="E1479" s="34" t="s">
        <v>34</v>
      </c>
      <c r="F1479" s="34" t="s">
        <v>5610</v>
      </c>
      <c r="G1479" s="34" t="s">
        <v>5776</v>
      </c>
      <c r="H1479" s="34" t="s">
        <v>37</v>
      </c>
      <c r="I1479" s="34" t="s">
        <v>38</v>
      </c>
      <c r="J1479" s="34" t="s">
        <v>383</v>
      </c>
      <c r="K1479" s="34" t="s">
        <v>384</v>
      </c>
      <c r="L1479" s="34">
        <v>49400</v>
      </c>
      <c r="M1479" s="34">
        <v>0</v>
      </c>
      <c r="N1479" s="34">
        <v>0</v>
      </c>
      <c r="O1479" s="34">
        <v>309400</v>
      </c>
      <c r="P1479" s="34" t="s">
        <v>41</v>
      </c>
      <c r="Q1479" s="34" t="s">
        <v>42</v>
      </c>
      <c r="R1479" s="26"/>
      <c r="S1479" s="26"/>
      <c r="T1479" s="26" t="s">
        <v>43</v>
      </c>
      <c r="U1479" s="26"/>
      <c r="V1479" s="26"/>
      <c r="W1479" s="26"/>
      <c r="X1479" s="26"/>
    </row>
    <row r="1480" spans="1:24">
      <c r="A1480" s="26" t="s">
        <v>31</v>
      </c>
      <c r="B1480" s="26" t="s">
        <v>5777</v>
      </c>
      <c r="C1480" s="26" t="s">
        <v>5778</v>
      </c>
      <c r="D1480" s="26">
        <f t="shared" si="25"/>
        <v>-1</v>
      </c>
      <c r="E1480" s="26" t="s">
        <v>34</v>
      </c>
      <c r="F1480" s="26" t="s">
        <v>5610</v>
      </c>
      <c r="G1480" s="26" t="s">
        <v>5779</v>
      </c>
      <c r="H1480" s="26" t="s">
        <v>37</v>
      </c>
      <c r="I1480" s="26" t="s">
        <v>38</v>
      </c>
      <c r="J1480" s="26" t="s">
        <v>5780</v>
      </c>
      <c r="K1480" s="26" t="s">
        <v>5781</v>
      </c>
      <c r="L1480" s="26">
        <v>3332600</v>
      </c>
      <c r="M1480" s="26">
        <v>0</v>
      </c>
      <c r="N1480" s="26">
        <v>0</v>
      </c>
      <c r="O1480" s="26">
        <v>20872600</v>
      </c>
      <c r="P1480" s="26" t="s">
        <v>41</v>
      </c>
      <c r="Q1480" s="26" t="s">
        <v>42</v>
      </c>
      <c r="R1480" s="26"/>
      <c r="S1480" s="26"/>
      <c r="T1480" s="26"/>
      <c r="U1480" s="26"/>
      <c r="V1480" s="26" t="s">
        <v>43</v>
      </c>
      <c r="W1480" s="26"/>
      <c r="X1480" s="26"/>
    </row>
    <row r="1481" spans="1:24">
      <c r="A1481" s="26" t="s">
        <v>31</v>
      </c>
      <c r="B1481" s="26" t="s">
        <v>5782</v>
      </c>
      <c r="C1481" s="26" t="s">
        <v>5783</v>
      </c>
      <c r="D1481" s="26">
        <f t="shared" si="25"/>
        <v>-1</v>
      </c>
      <c r="E1481" s="26" t="s">
        <v>34</v>
      </c>
      <c r="F1481" s="26" t="s">
        <v>5610</v>
      </c>
      <c r="G1481" s="26" t="s">
        <v>5784</v>
      </c>
      <c r="H1481" s="26" t="s">
        <v>37</v>
      </c>
      <c r="I1481" s="26" t="s">
        <v>38</v>
      </c>
      <c r="J1481" s="26" t="s">
        <v>896</v>
      </c>
      <c r="K1481" s="26" t="s">
        <v>897</v>
      </c>
      <c r="L1481" s="26">
        <v>148656</v>
      </c>
      <c r="M1481" s="26">
        <v>0</v>
      </c>
      <c r="N1481" s="26">
        <v>0</v>
      </c>
      <c r="O1481" s="26">
        <v>931056</v>
      </c>
      <c r="P1481" s="26" t="s">
        <v>41</v>
      </c>
      <c r="Q1481" s="26" t="s">
        <v>42</v>
      </c>
      <c r="R1481" s="26"/>
      <c r="S1481" s="26"/>
      <c r="T1481" s="26"/>
      <c r="U1481" s="26"/>
      <c r="V1481" s="26" t="s">
        <v>43</v>
      </c>
      <c r="W1481" s="26"/>
      <c r="X1481" s="26"/>
    </row>
    <row r="1482" spans="1:24">
      <c r="A1482" s="32" t="s">
        <v>31</v>
      </c>
      <c r="B1482" s="32" t="s">
        <v>5785</v>
      </c>
      <c r="C1482" s="32" t="s">
        <v>5786</v>
      </c>
      <c r="D1482" s="32">
        <f t="shared" si="25"/>
        <v>-1</v>
      </c>
      <c r="E1482" s="32" t="s">
        <v>34</v>
      </c>
      <c r="F1482" s="32" t="s">
        <v>5610</v>
      </c>
      <c r="G1482" s="32" t="s">
        <v>5787</v>
      </c>
      <c r="H1482" s="32" t="s">
        <v>37</v>
      </c>
      <c r="I1482" s="32" t="s">
        <v>38</v>
      </c>
      <c r="J1482" s="32" t="s">
        <v>3406</v>
      </c>
      <c r="K1482" s="32" t="s">
        <v>3407</v>
      </c>
      <c r="L1482" s="32">
        <v>2808846</v>
      </c>
      <c r="M1482" s="32">
        <v>0</v>
      </c>
      <c r="N1482" s="32">
        <v>0</v>
      </c>
      <c r="O1482" s="32">
        <v>17592246</v>
      </c>
      <c r="P1482" s="32" t="s">
        <v>41</v>
      </c>
      <c r="Q1482" s="32" t="s">
        <v>42</v>
      </c>
      <c r="R1482" s="26" t="s">
        <v>43</v>
      </c>
      <c r="S1482" s="26"/>
      <c r="T1482" s="26"/>
      <c r="U1482" s="26"/>
      <c r="V1482" s="26"/>
      <c r="W1482" s="26"/>
      <c r="X1482" s="26"/>
    </row>
    <row r="1483" spans="1:24">
      <c r="A1483" s="32" t="s">
        <v>31</v>
      </c>
      <c r="B1483" s="32" t="s">
        <v>5788</v>
      </c>
      <c r="C1483" s="32" t="s">
        <v>5789</v>
      </c>
      <c r="D1483" s="32">
        <f t="shared" si="25"/>
        <v>-1</v>
      </c>
      <c r="E1483" s="32" t="s">
        <v>34</v>
      </c>
      <c r="F1483" s="32" t="s">
        <v>5610</v>
      </c>
      <c r="G1483" s="32" t="s">
        <v>5790</v>
      </c>
      <c r="H1483" s="32" t="s">
        <v>37</v>
      </c>
      <c r="I1483" s="32" t="s">
        <v>38</v>
      </c>
      <c r="J1483" s="32" t="s">
        <v>155</v>
      </c>
      <c r="K1483" s="32" t="s">
        <v>156</v>
      </c>
      <c r="L1483" s="32">
        <v>118076</v>
      </c>
      <c r="M1483" s="32">
        <v>0</v>
      </c>
      <c r="N1483" s="32">
        <v>0</v>
      </c>
      <c r="O1483" s="32">
        <v>1268476</v>
      </c>
      <c r="P1483" s="32" t="s">
        <v>41</v>
      </c>
      <c r="Q1483" s="32" t="s">
        <v>42</v>
      </c>
      <c r="R1483" s="26" t="s">
        <v>43</v>
      </c>
      <c r="S1483" s="26"/>
      <c r="T1483" s="26"/>
      <c r="U1483" s="26"/>
      <c r="V1483" s="26"/>
      <c r="W1483" s="26"/>
      <c r="X1483" s="26"/>
    </row>
    <row r="1484" spans="1:24">
      <c r="A1484" s="31" t="s">
        <v>31</v>
      </c>
      <c r="B1484" s="31" t="s">
        <v>5791</v>
      </c>
      <c r="C1484" s="31" t="s">
        <v>5792</v>
      </c>
      <c r="D1484" s="31">
        <f t="shared" si="25"/>
        <v>-1</v>
      </c>
      <c r="E1484" s="31" t="s">
        <v>34</v>
      </c>
      <c r="F1484" s="31" t="s">
        <v>5610</v>
      </c>
      <c r="G1484" s="31" t="s">
        <v>5793</v>
      </c>
      <c r="H1484" s="31" t="s">
        <v>37</v>
      </c>
      <c r="I1484" s="31" t="s">
        <v>38</v>
      </c>
      <c r="J1484" s="31" t="s">
        <v>1808</v>
      </c>
      <c r="K1484" s="31" t="s">
        <v>1809</v>
      </c>
      <c r="L1484" s="31">
        <v>77140</v>
      </c>
      <c r="M1484" s="31">
        <v>0</v>
      </c>
      <c r="N1484" s="31">
        <v>0</v>
      </c>
      <c r="O1484" s="31">
        <v>483140</v>
      </c>
      <c r="P1484" s="31" t="s">
        <v>41</v>
      </c>
      <c r="Q1484" s="31" t="s">
        <v>42</v>
      </c>
      <c r="R1484" s="26"/>
      <c r="S1484" s="26"/>
      <c r="T1484" s="26"/>
      <c r="U1484" s="26" t="s">
        <v>43</v>
      </c>
      <c r="V1484" s="26"/>
      <c r="W1484" s="26"/>
      <c r="X1484" s="26"/>
    </row>
    <row r="1485" spans="1:24">
      <c r="A1485" s="34" t="s">
        <v>31</v>
      </c>
      <c r="B1485" s="34" t="s">
        <v>5794</v>
      </c>
      <c r="C1485" s="34" t="s">
        <v>5795</v>
      </c>
      <c r="D1485" s="34">
        <f t="shared" si="25"/>
        <v>-1</v>
      </c>
      <c r="E1485" s="34" t="s">
        <v>34</v>
      </c>
      <c r="F1485" s="34" t="s">
        <v>5610</v>
      </c>
      <c r="G1485" s="34" t="s">
        <v>5796</v>
      </c>
      <c r="H1485" s="34" t="s">
        <v>37</v>
      </c>
      <c r="I1485" s="34" t="s">
        <v>38</v>
      </c>
      <c r="J1485" s="34" t="s">
        <v>530</v>
      </c>
      <c r="K1485" s="34" t="s">
        <v>531</v>
      </c>
      <c r="L1485" s="34">
        <v>128820</v>
      </c>
      <c r="M1485" s="34">
        <v>0</v>
      </c>
      <c r="N1485" s="34">
        <v>0</v>
      </c>
      <c r="O1485" s="34">
        <v>806820</v>
      </c>
      <c r="P1485" s="34" t="s">
        <v>41</v>
      </c>
      <c r="Q1485" s="34" t="s">
        <v>42</v>
      </c>
      <c r="R1485" s="26"/>
      <c r="S1485" s="26"/>
      <c r="T1485" s="26" t="s">
        <v>43</v>
      </c>
      <c r="U1485" s="26"/>
      <c r="V1485" s="26"/>
      <c r="W1485" s="26"/>
      <c r="X1485" s="26"/>
    </row>
    <row r="1486" spans="1:24">
      <c r="A1486" s="26" t="s">
        <v>31</v>
      </c>
      <c r="B1486" s="26" t="s">
        <v>5797</v>
      </c>
      <c r="C1486" s="26" t="s">
        <v>5798</v>
      </c>
      <c r="D1486" s="26">
        <f t="shared" si="25"/>
        <v>-1</v>
      </c>
      <c r="E1486" s="26" t="s">
        <v>34</v>
      </c>
      <c r="F1486" s="26" t="s">
        <v>5610</v>
      </c>
      <c r="G1486" s="26" t="s">
        <v>5799</v>
      </c>
      <c r="H1486" s="26" t="s">
        <v>37</v>
      </c>
      <c r="I1486" s="26" t="s">
        <v>38</v>
      </c>
      <c r="J1486" s="26" t="s">
        <v>1698</v>
      </c>
      <c r="K1486" s="26" t="s">
        <v>1699</v>
      </c>
      <c r="L1486" s="26">
        <v>157700</v>
      </c>
      <c r="M1486" s="26">
        <v>0</v>
      </c>
      <c r="N1486" s="26">
        <v>0</v>
      </c>
      <c r="O1486" s="26">
        <v>987700</v>
      </c>
      <c r="P1486" s="26" t="s">
        <v>41</v>
      </c>
      <c r="Q1486" s="26" t="s">
        <v>42</v>
      </c>
      <c r="R1486" s="26"/>
      <c r="S1486" s="26"/>
      <c r="T1486" s="26"/>
      <c r="U1486" s="26"/>
      <c r="V1486" s="26" t="s">
        <v>43</v>
      </c>
      <c r="W1486" s="26"/>
      <c r="X1486" s="26"/>
    </row>
    <row r="1487" spans="1:24">
      <c r="A1487" s="34" t="s">
        <v>31</v>
      </c>
      <c r="B1487" s="34" t="s">
        <v>5800</v>
      </c>
      <c r="C1487" s="34" t="s">
        <v>5801</v>
      </c>
      <c r="D1487" s="34">
        <f t="shared" si="25"/>
        <v>-1</v>
      </c>
      <c r="E1487" s="34" t="s">
        <v>34</v>
      </c>
      <c r="F1487" s="34" t="s">
        <v>5610</v>
      </c>
      <c r="G1487" s="34" t="s">
        <v>5802</v>
      </c>
      <c r="H1487" s="34" t="s">
        <v>37</v>
      </c>
      <c r="I1487" s="34" t="s">
        <v>38</v>
      </c>
      <c r="J1487" s="34" t="s">
        <v>5632</v>
      </c>
      <c r="K1487" s="34" t="s">
        <v>5633</v>
      </c>
      <c r="L1487" s="34">
        <v>68400</v>
      </c>
      <c r="M1487" s="34">
        <v>0</v>
      </c>
      <c r="N1487" s="34">
        <v>0</v>
      </c>
      <c r="O1487" s="34">
        <v>428400</v>
      </c>
      <c r="P1487" s="34" t="s">
        <v>41</v>
      </c>
      <c r="Q1487" s="34" t="s">
        <v>42</v>
      </c>
      <c r="R1487" s="26"/>
      <c r="S1487" s="26"/>
      <c r="T1487" s="26" t="s">
        <v>43</v>
      </c>
      <c r="U1487" s="26"/>
      <c r="V1487" s="26"/>
      <c r="W1487" s="26"/>
      <c r="X1487" s="26"/>
    </row>
    <row r="1488" spans="1:24">
      <c r="A1488" s="33" t="s">
        <v>31</v>
      </c>
      <c r="B1488" s="33" t="s">
        <v>5803</v>
      </c>
      <c r="C1488" s="33" t="s">
        <v>5804</v>
      </c>
      <c r="D1488" s="33">
        <f t="shared" si="25"/>
        <v>-1</v>
      </c>
      <c r="E1488" s="33" t="s">
        <v>34</v>
      </c>
      <c r="F1488" s="33" t="s">
        <v>5610</v>
      </c>
      <c r="G1488" s="33" t="s">
        <v>5805</v>
      </c>
      <c r="H1488" s="33" t="s">
        <v>37</v>
      </c>
      <c r="I1488" s="33" t="s">
        <v>38</v>
      </c>
      <c r="J1488" s="33" t="s">
        <v>3331</v>
      </c>
      <c r="K1488" s="33" t="s">
        <v>3332</v>
      </c>
      <c r="L1488" s="33">
        <v>0</v>
      </c>
      <c r="M1488" s="33">
        <v>0</v>
      </c>
      <c r="N1488" s="33">
        <v>0</v>
      </c>
      <c r="O1488" s="33">
        <v>77000</v>
      </c>
      <c r="P1488" s="33" t="s">
        <v>41</v>
      </c>
      <c r="Q1488" s="33" t="s">
        <v>42</v>
      </c>
      <c r="R1488" s="26"/>
      <c r="S1488" s="26" t="s">
        <v>43</v>
      </c>
      <c r="T1488" s="26"/>
      <c r="U1488" s="26"/>
      <c r="V1488" s="26"/>
      <c r="W1488" s="26"/>
      <c r="X1488" s="26"/>
    </row>
    <row r="1489" spans="1:24">
      <c r="A1489" s="26" t="s">
        <v>31</v>
      </c>
      <c r="B1489" s="26" t="s">
        <v>5806</v>
      </c>
      <c r="C1489" s="26" t="s">
        <v>5807</v>
      </c>
      <c r="D1489" s="26">
        <f t="shared" si="25"/>
        <v>-1</v>
      </c>
      <c r="E1489" s="26" t="s">
        <v>34</v>
      </c>
      <c r="F1489" s="26" t="s">
        <v>5610</v>
      </c>
      <c r="G1489" s="26" t="s">
        <v>5808</v>
      </c>
      <c r="H1489" s="26" t="s">
        <v>37</v>
      </c>
      <c r="I1489" s="26" t="s">
        <v>38</v>
      </c>
      <c r="J1489" s="26" t="s">
        <v>5809</v>
      </c>
      <c r="K1489" s="26" t="s">
        <v>5810</v>
      </c>
      <c r="L1489" s="26">
        <v>380000</v>
      </c>
      <c r="M1489" s="26">
        <v>0</v>
      </c>
      <c r="N1489" s="26">
        <v>0</v>
      </c>
      <c r="O1489" s="26">
        <v>2380000</v>
      </c>
      <c r="P1489" s="26" t="s">
        <v>41</v>
      </c>
      <c r="Q1489" s="26" t="s">
        <v>42</v>
      </c>
      <c r="R1489" s="26"/>
      <c r="S1489" s="26"/>
      <c r="T1489" s="26"/>
      <c r="U1489" s="26"/>
      <c r="V1489" s="26" t="s">
        <v>43</v>
      </c>
      <c r="W1489" s="26"/>
      <c r="X1489" s="26"/>
    </row>
    <row r="1490" spans="1:24">
      <c r="A1490" s="34" t="s">
        <v>31</v>
      </c>
      <c r="B1490" s="34" t="s">
        <v>5811</v>
      </c>
      <c r="C1490" s="34" t="s">
        <v>5812</v>
      </c>
      <c r="D1490" s="34">
        <f t="shared" si="25"/>
        <v>-1</v>
      </c>
      <c r="E1490" s="34" t="s">
        <v>34</v>
      </c>
      <c r="F1490" s="34" t="s">
        <v>5610</v>
      </c>
      <c r="G1490" s="34" t="s">
        <v>5813</v>
      </c>
      <c r="H1490" s="34" t="s">
        <v>37</v>
      </c>
      <c r="I1490" s="34" t="s">
        <v>38</v>
      </c>
      <c r="J1490" s="34" t="s">
        <v>5814</v>
      </c>
      <c r="K1490" s="34" t="s">
        <v>5815</v>
      </c>
      <c r="L1490" s="34">
        <v>1480100</v>
      </c>
      <c r="M1490" s="34">
        <v>0</v>
      </c>
      <c r="N1490" s="34">
        <v>0</v>
      </c>
      <c r="O1490" s="34">
        <v>9270100</v>
      </c>
      <c r="P1490" s="34" t="s">
        <v>41</v>
      </c>
      <c r="Q1490" s="34" t="s">
        <v>42</v>
      </c>
      <c r="R1490" s="26"/>
      <c r="S1490" s="26"/>
      <c r="T1490" s="26" t="s">
        <v>43</v>
      </c>
      <c r="U1490" s="26"/>
      <c r="V1490" s="26"/>
      <c r="W1490" s="26"/>
      <c r="X1490" s="26"/>
    </row>
    <row r="1491" spans="1:24">
      <c r="A1491" s="26" t="s">
        <v>31</v>
      </c>
      <c r="B1491" s="26" t="s">
        <v>5816</v>
      </c>
      <c r="C1491" s="26" t="s">
        <v>5817</v>
      </c>
      <c r="D1491" s="26">
        <f t="shared" si="25"/>
        <v>-1</v>
      </c>
      <c r="E1491" s="26" t="s">
        <v>34</v>
      </c>
      <c r="F1491" s="26" t="s">
        <v>5610</v>
      </c>
      <c r="G1491" s="26" t="s">
        <v>5818</v>
      </c>
      <c r="H1491" s="26" t="s">
        <v>37</v>
      </c>
      <c r="I1491" s="26" t="s">
        <v>38</v>
      </c>
      <c r="J1491" s="26" t="s">
        <v>2202</v>
      </c>
      <c r="K1491" s="26" t="s">
        <v>2203</v>
      </c>
      <c r="L1491" s="26">
        <v>234840</v>
      </c>
      <c r="M1491" s="26">
        <v>0</v>
      </c>
      <c r="N1491" s="26">
        <v>0</v>
      </c>
      <c r="O1491" s="26">
        <v>9450840</v>
      </c>
      <c r="P1491" s="26" t="s">
        <v>41</v>
      </c>
      <c r="Q1491" s="26" t="s">
        <v>42</v>
      </c>
      <c r="R1491" s="26"/>
      <c r="S1491" s="26"/>
      <c r="T1491" s="26"/>
      <c r="U1491" s="26"/>
      <c r="V1491" s="26" t="s">
        <v>43</v>
      </c>
      <c r="W1491" s="26"/>
      <c r="X1491" s="26"/>
    </row>
    <row r="1492" spans="1:24">
      <c r="A1492" s="32" t="s">
        <v>31</v>
      </c>
      <c r="B1492" s="32" t="s">
        <v>5819</v>
      </c>
      <c r="C1492" s="32" t="s">
        <v>5820</v>
      </c>
      <c r="D1492" s="32">
        <f t="shared" si="25"/>
        <v>-1</v>
      </c>
      <c r="E1492" s="32" t="s">
        <v>34</v>
      </c>
      <c r="F1492" s="32" t="s">
        <v>5610</v>
      </c>
      <c r="G1492" s="32" t="s">
        <v>5821</v>
      </c>
      <c r="H1492" s="32" t="s">
        <v>37</v>
      </c>
      <c r="I1492" s="32" t="s">
        <v>38</v>
      </c>
      <c r="J1492" s="32" t="s">
        <v>1727</v>
      </c>
      <c r="K1492" s="32" t="s">
        <v>1728</v>
      </c>
      <c r="L1492" s="32">
        <v>215270</v>
      </c>
      <c r="M1492" s="32">
        <v>0</v>
      </c>
      <c r="N1492" s="32">
        <v>0</v>
      </c>
      <c r="O1492" s="32">
        <v>1348270</v>
      </c>
      <c r="P1492" s="32" t="s">
        <v>41</v>
      </c>
      <c r="Q1492" s="32" t="s">
        <v>42</v>
      </c>
      <c r="R1492" s="26" t="s">
        <v>43</v>
      </c>
      <c r="S1492" s="26"/>
      <c r="T1492" s="26"/>
      <c r="U1492" s="26"/>
      <c r="V1492" s="26"/>
      <c r="W1492" s="26"/>
      <c r="X1492" s="26"/>
    </row>
    <row r="1493" spans="1:24">
      <c r="A1493" s="32" t="s">
        <v>31</v>
      </c>
      <c r="B1493" s="32" t="s">
        <v>5822</v>
      </c>
      <c r="C1493" s="32" t="s">
        <v>5823</v>
      </c>
      <c r="D1493" s="32">
        <f t="shared" si="25"/>
        <v>-1</v>
      </c>
      <c r="E1493" s="32" t="s">
        <v>34</v>
      </c>
      <c r="F1493" s="32" t="s">
        <v>5610</v>
      </c>
      <c r="G1493" s="32" t="s">
        <v>5824</v>
      </c>
      <c r="H1493" s="32" t="s">
        <v>37</v>
      </c>
      <c r="I1493" s="32" t="s">
        <v>38</v>
      </c>
      <c r="J1493" s="32" t="s">
        <v>5825</v>
      </c>
      <c r="K1493" s="32" t="s">
        <v>5826</v>
      </c>
      <c r="L1493" s="32">
        <v>146680</v>
      </c>
      <c r="M1493" s="32">
        <v>0</v>
      </c>
      <c r="N1493" s="32">
        <v>0</v>
      </c>
      <c r="O1493" s="32">
        <v>918680</v>
      </c>
      <c r="P1493" s="32" t="s">
        <v>41</v>
      </c>
      <c r="Q1493" s="32" t="s">
        <v>42</v>
      </c>
      <c r="R1493" s="26" t="s">
        <v>43</v>
      </c>
      <c r="S1493" s="26"/>
      <c r="T1493" s="26"/>
      <c r="U1493" s="26"/>
      <c r="V1493" s="26"/>
      <c r="W1493" s="26"/>
      <c r="X1493" s="26"/>
    </row>
    <row r="1494" spans="1:24">
      <c r="A1494" s="26" t="s">
        <v>31</v>
      </c>
      <c r="B1494" s="26" t="s">
        <v>5827</v>
      </c>
      <c r="C1494" s="26" t="s">
        <v>5828</v>
      </c>
      <c r="D1494" s="26">
        <f t="shared" si="25"/>
        <v>-1</v>
      </c>
      <c r="E1494" s="26" t="s">
        <v>34</v>
      </c>
      <c r="F1494" s="26" t="s">
        <v>5610</v>
      </c>
      <c r="G1494" s="26" t="s">
        <v>5829</v>
      </c>
      <c r="H1494" s="26" t="s">
        <v>37</v>
      </c>
      <c r="I1494" s="26" t="s">
        <v>38</v>
      </c>
      <c r="J1494" s="26" t="s">
        <v>5830</v>
      </c>
      <c r="K1494" s="26" t="s">
        <v>5831</v>
      </c>
      <c r="L1494" s="26">
        <v>56154.5</v>
      </c>
      <c r="M1494" s="26">
        <v>0</v>
      </c>
      <c r="N1494" s="26">
        <v>0</v>
      </c>
      <c r="O1494" s="26">
        <v>351704.5</v>
      </c>
      <c r="P1494" s="26" t="s">
        <v>41</v>
      </c>
      <c r="Q1494" s="26" t="s">
        <v>42</v>
      </c>
      <c r="R1494" s="26"/>
      <c r="S1494" s="26"/>
      <c r="T1494" s="26"/>
      <c r="U1494" s="26"/>
      <c r="V1494" s="26" t="s">
        <v>43</v>
      </c>
      <c r="W1494" s="26"/>
      <c r="X1494" s="26"/>
    </row>
    <row r="1495" spans="1:24">
      <c r="A1495" s="26" t="s">
        <v>31</v>
      </c>
      <c r="B1495" s="26" t="s">
        <v>5832</v>
      </c>
      <c r="C1495" s="26" t="s">
        <v>5833</v>
      </c>
      <c r="D1495" s="26">
        <f t="shared" si="25"/>
        <v>-1</v>
      </c>
      <c r="E1495" s="26" t="s">
        <v>34</v>
      </c>
      <c r="F1495" s="26" t="s">
        <v>5610</v>
      </c>
      <c r="G1495" s="26" t="s">
        <v>5834</v>
      </c>
      <c r="H1495" s="26" t="s">
        <v>37</v>
      </c>
      <c r="I1495" s="26" t="s">
        <v>38</v>
      </c>
      <c r="J1495" s="26" t="s">
        <v>5835</v>
      </c>
      <c r="K1495" s="26" t="s">
        <v>5836</v>
      </c>
      <c r="L1495" s="26">
        <v>0</v>
      </c>
      <c r="M1495" s="26">
        <v>0</v>
      </c>
      <c r="N1495" s="26">
        <v>0</v>
      </c>
      <c r="O1495" s="26">
        <v>9981485</v>
      </c>
      <c r="P1495" s="26" t="s">
        <v>41</v>
      </c>
      <c r="Q1495" s="26" t="s">
        <v>42</v>
      </c>
      <c r="R1495" s="26"/>
      <c r="S1495" s="26"/>
      <c r="T1495" s="26"/>
      <c r="U1495" s="26"/>
      <c r="V1495" s="26" t="s">
        <v>43</v>
      </c>
      <c r="W1495" s="26"/>
      <c r="X1495" s="26"/>
    </row>
    <row r="1496" spans="1:24">
      <c r="A1496" s="26" t="s">
        <v>31</v>
      </c>
      <c r="B1496" s="26" t="s">
        <v>5837</v>
      </c>
      <c r="C1496" s="26" t="s">
        <v>5838</v>
      </c>
      <c r="D1496" s="26">
        <f t="shared" si="25"/>
        <v>-1</v>
      </c>
      <c r="E1496" s="26" t="s">
        <v>34</v>
      </c>
      <c r="F1496" s="26" t="s">
        <v>5610</v>
      </c>
      <c r="G1496" s="26" t="s">
        <v>5839</v>
      </c>
      <c r="H1496" s="26" t="s">
        <v>37</v>
      </c>
      <c r="I1496" s="26" t="s">
        <v>38</v>
      </c>
      <c r="J1496" s="26" t="s">
        <v>184</v>
      </c>
      <c r="K1496" s="26" t="s">
        <v>185</v>
      </c>
      <c r="L1496" s="26">
        <v>0</v>
      </c>
      <c r="M1496" s="26">
        <v>0</v>
      </c>
      <c r="N1496" s="26">
        <v>0</v>
      </c>
      <c r="O1496" s="26">
        <v>19962970</v>
      </c>
      <c r="P1496" s="26" t="s">
        <v>41</v>
      </c>
      <c r="Q1496" s="26" t="s">
        <v>42</v>
      </c>
      <c r="R1496" s="26"/>
      <c r="S1496" s="26"/>
      <c r="T1496" s="26"/>
      <c r="U1496" s="26"/>
      <c r="V1496" s="26" t="s">
        <v>43</v>
      </c>
      <c r="W1496" s="26"/>
      <c r="X1496" s="26"/>
    </row>
    <row r="1497" spans="1:24">
      <c r="A1497" s="26" t="s">
        <v>31</v>
      </c>
      <c r="B1497" s="26" t="s">
        <v>5840</v>
      </c>
      <c r="C1497" s="26" t="s">
        <v>5841</v>
      </c>
      <c r="D1497" s="26">
        <f t="shared" si="25"/>
        <v>-1</v>
      </c>
      <c r="E1497" s="26" t="s">
        <v>34</v>
      </c>
      <c r="F1497" s="26" t="s">
        <v>5610</v>
      </c>
      <c r="G1497" s="26" t="s">
        <v>5842</v>
      </c>
      <c r="H1497" s="26" t="s">
        <v>37</v>
      </c>
      <c r="I1497" s="26" t="s">
        <v>38</v>
      </c>
      <c r="J1497" s="26" t="s">
        <v>2033</v>
      </c>
      <c r="K1497" s="26" t="s">
        <v>2034</v>
      </c>
      <c r="L1497" s="26">
        <v>142840.1</v>
      </c>
      <c r="M1497" s="26">
        <v>0</v>
      </c>
      <c r="N1497" s="26">
        <v>0</v>
      </c>
      <c r="O1497" s="26">
        <v>894630.1</v>
      </c>
      <c r="P1497" s="26" t="s">
        <v>41</v>
      </c>
      <c r="Q1497" s="26" t="s">
        <v>42</v>
      </c>
      <c r="R1497" s="26"/>
      <c r="S1497" s="26"/>
      <c r="T1497" s="26"/>
      <c r="U1497" s="26"/>
      <c r="V1497" s="26" t="s">
        <v>43</v>
      </c>
      <c r="W1497" s="26"/>
      <c r="X1497" s="26"/>
    </row>
    <row r="1498" spans="1:24">
      <c r="A1498" s="26" t="s">
        <v>31</v>
      </c>
      <c r="B1498" s="26" t="s">
        <v>5843</v>
      </c>
      <c r="C1498" s="26" t="s">
        <v>5844</v>
      </c>
      <c r="D1498" s="26">
        <f t="shared" si="25"/>
        <v>-1</v>
      </c>
      <c r="E1498" s="26" t="s">
        <v>34</v>
      </c>
      <c r="F1498" s="26" t="s">
        <v>5610</v>
      </c>
      <c r="G1498" s="26" t="s">
        <v>5845</v>
      </c>
      <c r="H1498" s="26" t="s">
        <v>37</v>
      </c>
      <c r="I1498" s="26" t="s">
        <v>38</v>
      </c>
      <c r="J1498" s="26" t="s">
        <v>2841</v>
      </c>
      <c r="K1498" s="26" t="s">
        <v>2842</v>
      </c>
      <c r="L1498" s="26">
        <v>17670</v>
      </c>
      <c r="M1498" s="26">
        <v>0</v>
      </c>
      <c r="N1498" s="26">
        <v>0</v>
      </c>
      <c r="O1498" s="26">
        <v>110670</v>
      </c>
      <c r="P1498" s="26" t="s">
        <v>41</v>
      </c>
      <c r="Q1498" s="26" t="s">
        <v>42</v>
      </c>
      <c r="R1498" s="26"/>
      <c r="S1498" s="26"/>
      <c r="T1498" s="26"/>
      <c r="U1498" s="26"/>
      <c r="V1498" s="26" t="s">
        <v>43</v>
      </c>
      <c r="W1498" s="26"/>
      <c r="X1498" s="26"/>
    </row>
    <row r="1499" spans="1:24">
      <c r="A1499" s="34" t="s">
        <v>31</v>
      </c>
      <c r="B1499" s="34" t="s">
        <v>5846</v>
      </c>
      <c r="C1499" s="34" t="s">
        <v>5847</v>
      </c>
      <c r="D1499" s="34">
        <f t="shared" si="25"/>
        <v>-1</v>
      </c>
      <c r="E1499" s="34" t="s">
        <v>34</v>
      </c>
      <c r="F1499" s="34" t="s">
        <v>5610</v>
      </c>
      <c r="G1499" s="34" t="s">
        <v>5848</v>
      </c>
      <c r="H1499" s="34" t="s">
        <v>37</v>
      </c>
      <c r="I1499" s="34" t="s">
        <v>38</v>
      </c>
      <c r="J1499" s="34" t="s">
        <v>69</v>
      </c>
      <c r="K1499" s="34" t="s">
        <v>70</v>
      </c>
      <c r="L1499" s="34">
        <v>1139155.6399999999</v>
      </c>
      <c r="M1499" s="34">
        <v>0</v>
      </c>
      <c r="N1499" s="34">
        <v>0</v>
      </c>
      <c r="O1499" s="34">
        <v>7134711.6399999997</v>
      </c>
      <c r="P1499" s="34" t="s">
        <v>41</v>
      </c>
      <c r="Q1499" s="34" t="s">
        <v>42</v>
      </c>
      <c r="R1499" s="26"/>
      <c r="S1499" s="26"/>
      <c r="T1499" s="26" t="s">
        <v>43</v>
      </c>
      <c r="U1499" s="26"/>
      <c r="V1499" s="26"/>
      <c r="W1499" s="26"/>
      <c r="X1499" s="26"/>
    </row>
    <row r="1500" spans="1:24">
      <c r="A1500" s="32" t="s">
        <v>31</v>
      </c>
      <c r="B1500" s="32" t="s">
        <v>5849</v>
      </c>
      <c r="C1500" s="32" t="s">
        <v>5850</v>
      </c>
      <c r="D1500" s="32">
        <f t="shared" si="25"/>
        <v>-1</v>
      </c>
      <c r="E1500" s="32" t="s">
        <v>34</v>
      </c>
      <c r="F1500" s="32" t="s">
        <v>5610</v>
      </c>
      <c r="G1500" s="32" t="s">
        <v>5851</v>
      </c>
      <c r="H1500" s="32" t="s">
        <v>37</v>
      </c>
      <c r="I1500" s="32" t="s">
        <v>38</v>
      </c>
      <c r="J1500" s="32" t="s">
        <v>383</v>
      </c>
      <c r="K1500" s="32" t="s">
        <v>384</v>
      </c>
      <c r="L1500" s="32">
        <v>1750280</v>
      </c>
      <c r="M1500" s="32">
        <v>0</v>
      </c>
      <c r="N1500" s="32">
        <v>0</v>
      </c>
      <c r="O1500" s="32">
        <v>27331780</v>
      </c>
      <c r="P1500" s="32" t="s">
        <v>41</v>
      </c>
      <c r="Q1500" s="32" t="s">
        <v>42</v>
      </c>
      <c r="R1500" s="26" t="s">
        <v>43</v>
      </c>
      <c r="S1500" s="26"/>
      <c r="T1500" s="26"/>
      <c r="U1500" s="26"/>
      <c r="V1500" s="26"/>
      <c r="W1500" s="26"/>
      <c r="X1500" s="26"/>
    </row>
    <row r="1501" spans="1:24">
      <c r="A1501" s="32" t="s">
        <v>31</v>
      </c>
      <c r="B1501" s="32" t="s">
        <v>5852</v>
      </c>
      <c r="C1501" s="32" t="s">
        <v>5853</v>
      </c>
      <c r="D1501" s="32">
        <f t="shared" si="25"/>
        <v>-1</v>
      </c>
      <c r="E1501" s="32" t="s">
        <v>34</v>
      </c>
      <c r="F1501" s="32" t="s">
        <v>5610</v>
      </c>
      <c r="G1501" s="32" t="s">
        <v>5854</v>
      </c>
      <c r="H1501" s="32" t="s">
        <v>37</v>
      </c>
      <c r="I1501" s="32" t="s">
        <v>38</v>
      </c>
      <c r="J1501" s="32" t="s">
        <v>5855</v>
      </c>
      <c r="K1501" s="32" t="s">
        <v>5856</v>
      </c>
      <c r="L1501" s="32">
        <v>399000</v>
      </c>
      <c r="M1501" s="32">
        <v>0</v>
      </c>
      <c r="N1501" s="32">
        <v>0</v>
      </c>
      <c r="O1501" s="32">
        <v>2499000</v>
      </c>
      <c r="P1501" s="32" t="s">
        <v>41</v>
      </c>
      <c r="Q1501" s="32" t="s">
        <v>42</v>
      </c>
      <c r="R1501" s="26" t="s">
        <v>43</v>
      </c>
      <c r="S1501" s="26"/>
      <c r="T1501" s="26"/>
      <c r="U1501" s="26"/>
      <c r="V1501" s="26"/>
      <c r="W1501" s="26"/>
      <c r="X1501" s="26"/>
    </row>
    <row r="1502" spans="1:24">
      <c r="A1502" s="26" t="s">
        <v>31</v>
      </c>
      <c r="B1502" s="26" t="s">
        <v>5857</v>
      </c>
      <c r="C1502" s="26" t="s">
        <v>5858</v>
      </c>
      <c r="D1502" s="26">
        <f t="shared" si="25"/>
        <v>-1</v>
      </c>
      <c r="E1502" s="26" t="s">
        <v>34</v>
      </c>
      <c r="F1502" s="26" t="s">
        <v>5610</v>
      </c>
      <c r="G1502" s="26" t="s">
        <v>5859</v>
      </c>
      <c r="H1502" s="26" t="s">
        <v>37</v>
      </c>
      <c r="I1502" s="26" t="s">
        <v>38</v>
      </c>
      <c r="J1502" s="26" t="s">
        <v>3320</v>
      </c>
      <c r="K1502" s="26" t="s">
        <v>3321</v>
      </c>
      <c r="L1502" s="26">
        <v>82650</v>
      </c>
      <c r="M1502" s="26">
        <v>0</v>
      </c>
      <c r="N1502" s="26">
        <v>0</v>
      </c>
      <c r="O1502" s="26">
        <v>517650</v>
      </c>
      <c r="P1502" s="26" t="s">
        <v>41</v>
      </c>
      <c r="Q1502" s="26" t="s">
        <v>42</v>
      </c>
      <c r="R1502" s="26"/>
      <c r="S1502" s="26"/>
      <c r="T1502" s="26"/>
      <c r="U1502" s="26"/>
      <c r="V1502" s="26" t="s">
        <v>43</v>
      </c>
      <c r="W1502" s="26"/>
      <c r="X1502" s="26"/>
    </row>
    <row r="1503" spans="1:24">
      <c r="A1503" s="26" t="s">
        <v>31</v>
      </c>
      <c r="B1503" s="26" t="s">
        <v>5860</v>
      </c>
      <c r="C1503" s="26" t="s">
        <v>5861</v>
      </c>
      <c r="D1503" s="26">
        <f t="shared" si="25"/>
        <v>-1</v>
      </c>
      <c r="E1503" s="26" t="s">
        <v>34</v>
      </c>
      <c r="F1503" s="26" t="s">
        <v>5610</v>
      </c>
      <c r="G1503" s="26" t="s">
        <v>5862</v>
      </c>
      <c r="H1503" s="26" t="s">
        <v>37</v>
      </c>
      <c r="I1503" s="26" t="s">
        <v>38</v>
      </c>
      <c r="J1503" s="26" t="s">
        <v>5863</v>
      </c>
      <c r="K1503" s="26" t="s">
        <v>5864</v>
      </c>
      <c r="L1503" s="26">
        <v>695400</v>
      </c>
      <c r="M1503" s="26">
        <v>0</v>
      </c>
      <c r="N1503" s="26">
        <v>0</v>
      </c>
      <c r="O1503" s="26">
        <v>4355400</v>
      </c>
      <c r="P1503" s="26" t="s">
        <v>41</v>
      </c>
      <c r="Q1503" s="26" t="s">
        <v>42</v>
      </c>
      <c r="R1503" s="26"/>
      <c r="S1503" s="26"/>
      <c r="T1503" s="26"/>
      <c r="U1503" s="26"/>
      <c r="V1503" s="26" t="s">
        <v>43</v>
      </c>
      <c r="W1503" s="26"/>
      <c r="X1503" s="26"/>
    </row>
    <row r="1504" spans="1:24">
      <c r="A1504" s="26" t="s">
        <v>31</v>
      </c>
      <c r="B1504" s="26" t="s">
        <v>5865</v>
      </c>
      <c r="C1504" s="26" t="s">
        <v>5866</v>
      </c>
      <c r="D1504" s="26">
        <f t="shared" si="25"/>
        <v>-1</v>
      </c>
      <c r="E1504" s="26" t="s">
        <v>34</v>
      </c>
      <c r="F1504" s="26" t="s">
        <v>5610</v>
      </c>
      <c r="G1504" s="26" t="s">
        <v>5867</v>
      </c>
      <c r="H1504" s="26" t="s">
        <v>37</v>
      </c>
      <c r="I1504" s="26" t="s">
        <v>38</v>
      </c>
      <c r="J1504" s="26" t="s">
        <v>5863</v>
      </c>
      <c r="K1504" s="26" t="s">
        <v>5864</v>
      </c>
      <c r="L1504" s="26">
        <v>695400</v>
      </c>
      <c r="M1504" s="26">
        <v>0</v>
      </c>
      <c r="N1504" s="26">
        <v>0</v>
      </c>
      <c r="O1504" s="26">
        <v>4355400</v>
      </c>
      <c r="P1504" s="26" t="s">
        <v>41</v>
      </c>
      <c r="Q1504" s="26" t="s">
        <v>42</v>
      </c>
      <c r="R1504" s="26"/>
      <c r="S1504" s="26"/>
      <c r="T1504" s="26"/>
      <c r="U1504" s="26"/>
      <c r="V1504" s="26" t="s">
        <v>43</v>
      </c>
      <c r="W1504" s="26"/>
      <c r="X1504" s="26"/>
    </row>
    <row r="1505" spans="1:24">
      <c r="A1505" s="26" t="s">
        <v>31</v>
      </c>
      <c r="B1505" s="26" t="s">
        <v>5868</v>
      </c>
      <c r="C1505" s="26" t="s">
        <v>5869</v>
      </c>
      <c r="D1505" s="26">
        <f t="shared" si="25"/>
        <v>-1</v>
      </c>
      <c r="E1505" s="26" t="s">
        <v>34</v>
      </c>
      <c r="F1505" s="26" t="s">
        <v>5610</v>
      </c>
      <c r="G1505" s="26" t="s">
        <v>5870</v>
      </c>
      <c r="H1505" s="26" t="s">
        <v>37</v>
      </c>
      <c r="I1505" s="26" t="s">
        <v>38</v>
      </c>
      <c r="J1505" s="26" t="s">
        <v>5871</v>
      </c>
      <c r="K1505" s="26" t="s">
        <v>5872</v>
      </c>
      <c r="L1505" s="26">
        <v>8540</v>
      </c>
      <c r="M1505" s="26">
        <v>0</v>
      </c>
      <c r="N1505" s="26">
        <v>0</v>
      </c>
      <c r="O1505" s="26">
        <v>162540</v>
      </c>
      <c r="P1505" s="26" t="s">
        <v>41</v>
      </c>
      <c r="Q1505" s="26" t="s">
        <v>42</v>
      </c>
      <c r="R1505" s="26"/>
      <c r="S1505" s="26"/>
      <c r="T1505" s="26"/>
      <c r="U1505" s="26"/>
      <c r="V1505" s="26" t="s">
        <v>43</v>
      </c>
      <c r="W1505" s="26"/>
      <c r="X1505" s="26"/>
    </row>
    <row r="1506" spans="1:24">
      <c r="A1506" s="26" t="s">
        <v>31</v>
      </c>
      <c r="B1506" s="26" t="s">
        <v>5873</v>
      </c>
      <c r="C1506" s="26" t="s">
        <v>5874</v>
      </c>
      <c r="D1506" s="26">
        <f t="shared" si="25"/>
        <v>-1</v>
      </c>
      <c r="E1506" s="26" t="s">
        <v>34</v>
      </c>
      <c r="F1506" s="26" t="s">
        <v>5610</v>
      </c>
      <c r="G1506" s="26" t="s">
        <v>5875</v>
      </c>
      <c r="H1506" s="26" t="s">
        <v>37</v>
      </c>
      <c r="I1506" s="26" t="s">
        <v>38</v>
      </c>
      <c r="J1506" s="26" t="s">
        <v>5876</v>
      </c>
      <c r="K1506" s="26" t="s">
        <v>5877</v>
      </c>
      <c r="L1506" s="26">
        <v>33250</v>
      </c>
      <c r="M1506" s="26">
        <v>0</v>
      </c>
      <c r="N1506" s="26">
        <v>0</v>
      </c>
      <c r="O1506" s="26">
        <v>208250</v>
      </c>
      <c r="P1506" s="26" t="s">
        <v>41</v>
      </c>
      <c r="Q1506" s="26" t="s">
        <v>42</v>
      </c>
      <c r="R1506" s="26"/>
      <c r="S1506" s="26"/>
      <c r="T1506" s="26"/>
      <c r="U1506" s="26"/>
      <c r="V1506" s="26" t="s">
        <v>43</v>
      </c>
      <c r="W1506" s="26"/>
      <c r="X1506" s="26"/>
    </row>
    <row r="1507" spans="1:24">
      <c r="A1507" s="26" t="s">
        <v>31</v>
      </c>
      <c r="B1507" s="26" t="s">
        <v>5878</v>
      </c>
      <c r="C1507" s="26" t="s">
        <v>5879</v>
      </c>
      <c r="D1507" s="26">
        <f t="shared" si="25"/>
        <v>-1</v>
      </c>
      <c r="E1507" s="26" t="s">
        <v>34</v>
      </c>
      <c r="F1507" s="26" t="s">
        <v>5610</v>
      </c>
      <c r="G1507" s="26" t="s">
        <v>5880</v>
      </c>
      <c r="H1507" s="26" t="s">
        <v>37</v>
      </c>
      <c r="I1507" s="26" t="s">
        <v>38</v>
      </c>
      <c r="J1507" s="26" t="s">
        <v>3288</v>
      </c>
      <c r="K1507" s="26" t="s">
        <v>3289</v>
      </c>
      <c r="L1507" s="26">
        <v>125020</v>
      </c>
      <c r="M1507" s="26">
        <v>0</v>
      </c>
      <c r="N1507" s="26">
        <v>0</v>
      </c>
      <c r="O1507" s="26">
        <v>783020</v>
      </c>
      <c r="P1507" s="26" t="s">
        <v>41</v>
      </c>
      <c r="Q1507" s="26" t="s">
        <v>42</v>
      </c>
      <c r="R1507" s="26"/>
      <c r="S1507" s="26"/>
      <c r="T1507" s="26"/>
      <c r="U1507" s="26"/>
      <c r="V1507" s="26" t="s">
        <v>43</v>
      </c>
      <c r="W1507" s="26"/>
      <c r="X1507" s="26"/>
    </row>
    <row r="1508" spans="1:24">
      <c r="A1508" s="26" t="s">
        <v>31</v>
      </c>
      <c r="B1508" s="26" t="s">
        <v>5881</v>
      </c>
      <c r="C1508" s="26" t="s">
        <v>5882</v>
      </c>
      <c r="D1508" s="26">
        <f t="shared" si="25"/>
        <v>-1</v>
      </c>
      <c r="E1508" s="26" t="s">
        <v>34</v>
      </c>
      <c r="F1508" s="26" t="s">
        <v>5610</v>
      </c>
      <c r="G1508" s="26" t="s">
        <v>5883</v>
      </c>
      <c r="H1508" s="26" t="s">
        <v>37</v>
      </c>
      <c r="I1508" s="26" t="s">
        <v>38</v>
      </c>
      <c r="J1508" s="26" t="s">
        <v>5884</v>
      </c>
      <c r="K1508" s="26" t="s">
        <v>5885</v>
      </c>
      <c r="L1508" s="26">
        <v>115069.7</v>
      </c>
      <c r="M1508" s="26">
        <v>0</v>
      </c>
      <c r="N1508" s="26">
        <v>0</v>
      </c>
      <c r="O1508" s="26">
        <v>732819.7</v>
      </c>
      <c r="P1508" s="26" t="s">
        <v>41</v>
      </c>
      <c r="Q1508" s="26" t="s">
        <v>42</v>
      </c>
      <c r="R1508" s="26"/>
      <c r="S1508" s="26"/>
      <c r="T1508" s="26"/>
      <c r="U1508" s="26"/>
      <c r="V1508" s="26" t="s">
        <v>43</v>
      </c>
      <c r="W1508" s="26"/>
      <c r="X1508" s="26"/>
    </row>
    <row r="1509" spans="1:24">
      <c r="A1509" s="26" t="s">
        <v>31</v>
      </c>
      <c r="B1509" s="26" t="s">
        <v>5886</v>
      </c>
      <c r="C1509" s="26" t="s">
        <v>5887</v>
      </c>
      <c r="D1509" s="26">
        <f t="shared" si="25"/>
        <v>-1</v>
      </c>
      <c r="E1509" s="26" t="s">
        <v>34</v>
      </c>
      <c r="F1509" s="26" t="s">
        <v>5610</v>
      </c>
      <c r="G1509" s="26" t="s">
        <v>5888</v>
      </c>
      <c r="H1509" s="26" t="s">
        <v>37</v>
      </c>
      <c r="I1509" s="26" t="s">
        <v>38</v>
      </c>
      <c r="J1509" s="26" t="s">
        <v>2484</v>
      </c>
      <c r="K1509" s="26" t="s">
        <v>2485</v>
      </c>
      <c r="L1509" s="26">
        <v>576587.87</v>
      </c>
      <c r="M1509" s="26">
        <v>0</v>
      </c>
      <c r="N1509" s="26">
        <v>0</v>
      </c>
      <c r="O1509" s="26">
        <v>3687472.87</v>
      </c>
      <c r="P1509" s="26" t="s">
        <v>41</v>
      </c>
      <c r="Q1509" s="26" t="s">
        <v>42</v>
      </c>
      <c r="R1509" s="26"/>
      <c r="S1509" s="26"/>
      <c r="T1509" s="26"/>
      <c r="U1509" s="26"/>
      <c r="V1509" s="26" t="s">
        <v>43</v>
      </c>
      <c r="W1509" s="26"/>
      <c r="X1509" s="26"/>
    </row>
    <row r="1510" spans="1:24">
      <c r="A1510" s="26" t="s">
        <v>31</v>
      </c>
      <c r="B1510" s="26" t="s">
        <v>5889</v>
      </c>
      <c r="C1510" s="26" t="s">
        <v>5890</v>
      </c>
      <c r="D1510" s="26">
        <f t="shared" si="25"/>
        <v>-1</v>
      </c>
      <c r="E1510" s="26" t="s">
        <v>34</v>
      </c>
      <c r="F1510" s="26" t="s">
        <v>5610</v>
      </c>
      <c r="G1510" s="26" t="s">
        <v>5891</v>
      </c>
      <c r="H1510" s="26" t="s">
        <v>37</v>
      </c>
      <c r="I1510" s="26" t="s">
        <v>38</v>
      </c>
      <c r="J1510" s="26" t="s">
        <v>896</v>
      </c>
      <c r="K1510" s="26" t="s">
        <v>897</v>
      </c>
      <c r="L1510" s="26">
        <v>8991.75</v>
      </c>
      <c r="M1510" s="26">
        <v>0</v>
      </c>
      <c r="N1510" s="26">
        <v>0</v>
      </c>
      <c r="O1510" s="26">
        <v>56316.75</v>
      </c>
      <c r="P1510" s="26" t="s">
        <v>41</v>
      </c>
      <c r="Q1510" s="26" t="s">
        <v>42</v>
      </c>
      <c r="R1510" s="26"/>
      <c r="S1510" s="26"/>
      <c r="T1510" s="26"/>
      <c r="U1510" s="26"/>
      <c r="V1510" s="26" t="s">
        <v>43</v>
      </c>
      <c r="W1510" s="26"/>
      <c r="X1510" s="26"/>
    </row>
    <row r="1511" spans="1:24">
      <c r="A1511" s="26" t="s">
        <v>31</v>
      </c>
      <c r="B1511" s="26" t="s">
        <v>5892</v>
      </c>
      <c r="C1511" s="26" t="s">
        <v>5893</v>
      </c>
      <c r="D1511" s="26">
        <f t="shared" si="25"/>
        <v>-1</v>
      </c>
      <c r="E1511" s="26" t="s">
        <v>34</v>
      </c>
      <c r="F1511" s="26" t="s">
        <v>5610</v>
      </c>
      <c r="G1511" s="26" t="s">
        <v>5894</v>
      </c>
      <c r="H1511" s="26" t="s">
        <v>37</v>
      </c>
      <c r="I1511" s="26" t="s">
        <v>38</v>
      </c>
      <c r="J1511" s="26" t="s">
        <v>5895</v>
      </c>
      <c r="K1511" s="26" t="s">
        <v>5896</v>
      </c>
      <c r="L1511" s="26">
        <v>3027442.14</v>
      </c>
      <c r="M1511" s="26">
        <v>0</v>
      </c>
      <c r="N1511" s="26">
        <v>0</v>
      </c>
      <c r="O1511" s="26">
        <v>18961348.140000001</v>
      </c>
      <c r="P1511" s="26" t="s">
        <v>41</v>
      </c>
      <c r="Q1511" s="26" t="s">
        <v>42</v>
      </c>
      <c r="R1511" s="26"/>
      <c r="S1511" s="26"/>
      <c r="T1511" s="26"/>
      <c r="U1511" s="26"/>
      <c r="V1511" s="26" t="s">
        <v>43</v>
      </c>
      <c r="W1511" s="26"/>
      <c r="X1511" s="26"/>
    </row>
    <row r="1512" spans="1:24">
      <c r="A1512" s="32" t="s">
        <v>31</v>
      </c>
      <c r="B1512" s="32" t="s">
        <v>5897</v>
      </c>
      <c r="C1512" s="32" t="s">
        <v>5898</v>
      </c>
      <c r="D1512" s="32">
        <f t="shared" si="25"/>
        <v>-1</v>
      </c>
      <c r="E1512" s="32" t="s">
        <v>34</v>
      </c>
      <c r="F1512" s="32" t="s">
        <v>5610</v>
      </c>
      <c r="G1512" s="32" t="s">
        <v>5899</v>
      </c>
      <c r="H1512" s="32" t="s">
        <v>37</v>
      </c>
      <c r="I1512" s="32" t="s">
        <v>38</v>
      </c>
      <c r="J1512" s="32" t="s">
        <v>4542</v>
      </c>
      <c r="K1512" s="32" t="s">
        <v>4543</v>
      </c>
      <c r="L1512" s="32">
        <v>209000</v>
      </c>
      <c r="M1512" s="32">
        <v>0</v>
      </c>
      <c r="N1512" s="32">
        <v>0</v>
      </c>
      <c r="O1512" s="32">
        <v>1309000</v>
      </c>
      <c r="P1512" s="32" t="s">
        <v>41</v>
      </c>
      <c r="Q1512" s="32" t="s">
        <v>42</v>
      </c>
      <c r="R1512" s="26" t="s">
        <v>43</v>
      </c>
      <c r="S1512" s="26"/>
      <c r="T1512" s="26"/>
      <c r="U1512" s="26"/>
      <c r="V1512" s="26"/>
      <c r="W1512" s="26"/>
      <c r="X1512" s="26"/>
    </row>
    <row r="1513" spans="1:24">
      <c r="A1513" s="32" t="s">
        <v>31</v>
      </c>
      <c r="B1513" s="32" t="s">
        <v>5900</v>
      </c>
      <c r="C1513" s="32" t="s">
        <v>5901</v>
      </c>
      <c r="D1513" s="32">
        <f t="shared" ref="D1513:D1576" si="26">C1513-C1514</f>
        <v>-1</v>
      </c>
      <c r="E1513" s="32" t="s">
        <v>34</v>
      </c>
      <c r="F1513" s="32" t="s">
        <v>5610</v>
      </c>
      <c r="G1513" s="32" t="s">
        <v>5902</v>
      </c>
      <c r="H1513" s="32" t="s">
        <v>37</v>
      </c>
      <c r="I1513" s="32" t="s">
        <v>38</v>
      </c>
      <c r="J1513" s="32" t="s">
        <v>2202</v>
      </c>
      <c r="K1513" s="32" t="s">
        <v>2203</v>
      </c>
      <c r="L1513" s="32">
        <v>58710</v>
      </c>
      <c r="M1513" s="32">
        <v>0</v>
      </c>
      <c r="N1513" s="32">
        <v>0</v>
      </c>
      <c r="O1513" s="32">
        <v>2362710</v>
      </c>
      <c r="P1513" s="32" t="s">
        <v>41</v>
      </c>
      <c r="Q1513" s="32" t="s">
        <v>42</v>
      </c>
      <c r="R1513" s="26" t="s">
        <v>43</v>
      </c>
      <c r="S1513" s="26"/>
      <c r="T1513" s="26"/>
      <c r="U1513" s="26"/>
      <c r="V1513" s="26"/>
      <c r="W1513" s="26"/>
      <c r="X1513" s="26"/>
    </row>
    <row r="1514" spans="1:24">
      <c r="A1514" s="32" t="s">
        <v>31</v>
      </c>
      <c r="B1514" s="32" t="s">
        <v>5903</v>
      </c>
      <c r="C1514" s="32" t="s">
        <v>5904</v>
      </c>
      <c r="D1514" s="32">
        <f t="shared" si="26"/>
        <v>-1</v>
      </c>
      <c r="E1514" s="32" t="s">
        <v>34</v>
      </c>
      <c r="F1514" s="32" t="s">
        <v>5610</v>
      </c>
      <c r="G1514" s="32" t="s">
        <v>5905</v>
      </c>
      <c r="H1514" s="32" t="s">
        <v>37</v>
      </c>
      <c r="I1514" s="32" t="s">
        <v>38</v>
      </c>
      <c r="J1514" s="32" t="s">
        <v>5906</v>
      </c>
      <c r="K1514" s="32" t="s">
        <v>5907</v>
      </c>
      <c r="L1514" s="32">
        <v>60800</v>
      </c>
      <c r="M1514" s="32">
        <v>0</v>
      </c>
      <c r="N1514" s="32">
        <v>0</v>
      </c>
      <c r="O1514" s="32">
        <v>380800</v>
      </c>
      <c r="P1514" s="32" t="s">
        <v>41</v>
      </c>
      <c r="Q1514" s="32" t="s">
        <v>42</v>
      </c>
      <c r="R1514" s="26" t="s">
        <v>43</v>
      </c>
      <c r="S1514" s="26"/>
      <c r="T1514" s="26"/>
      <c r="U1514" s="26"/>
      <c r="V1514" s="26"/>
      <c r="W1514" s="26"/>
      <c r="X1514" s="26"/>
    </row>
    <row r="1515" spans="1:24">
      <c r="A1515" s="35" t="s">
        <v>31</v>
      </c>
      <c r="B1515" s="35" t="s">
        <v>5908</v>
      </c>
      <c r="C1515" s="35" t="s">
        <v>5909</v>
      </c>
      <c r="D1515" s="35">
        <f t="shared" si="26"/>
        <v>-1</v>
      </c>
      <c r="E1515" s="35" t="s">
        <v>34</v>
      </c>
      <c r="F1515" s="35" t="s">
        <v>5610</v>
      </c>
      <c r="G1515" s="35" t="s">
        <v>5910</v>
      </c>
      <c r="H1515" s="35" t="s">
        <v>37</v>
      </c>
      <c r="I1515" s="35" t="s">
        <v>38</v>
      </c>
      <c r="J1515" s="35" t="s">
        <v>5911</v>
      </c>
      <c r="K1515" s="35" t="s">
        <v>5912</v>
      </c>
      <c r="L1515" s="35">
        <v>1761300</v>
      </c>
      <c r="M1515" s="35">
        <v>0</v>
      </c>
      <c r="N1515" s="35">
        <v>0</v>
      </c>
      <c r="O1515" s="35">
        <v>11031300</v>
      </c>
      <c r="P1515" s="35" t="s">
        <v>41</v>
      </c>
      <c r="Q1515" s="35" t="s">
        <v>42</v>
      </c>
      <c r="R1515" s="26"/>
      <c r="S1515" s="26"/>
      <c r="T1515" s="26"/>
      <c r="U1515" s="26"/>
      <c r="V1515" s="26"/>
      <c r="W1515" s="35" t="s">
        <v>43</v>
      </c>
      <c r="X1515" s="26" t="s">
        <v>1029</v>
      </c>
    </row>
    <row r="1516" spans="1:24">
      <c r="A1516" s="32" t="s">
        <v>31</v>
      </c>
      <c r="B1516" s="32" t="s">
        <v>5913</v>
      </c>
      <c r="C1516" s="32" t="s">
        <v>5914</v>
      </c>
      <c r="D1516" s="32">
        <f t="shared" si="26"/>
        <v>-1</v>
      </c>
      <c r="E1516" s="32" t="s">
        <v>34</v>
      </c>
      <c r="F1516" s="32" t="s">
        <v>5610</v>
      </c>
      <c r="G1516" s="32" t="s">
        <v>5915</v>
      </c>
      <c r="H1516" s="32" t="s">
        <v>37</v>
      </c>
      <c r="I1516" s="32" t="s">
        <v>38</v>
      </c>
      <c r="J1516" s="32" t="s">
        <v>5916</v>
      </c>
      <c r="K1516" s="32" t="s">
        <v>5917</v>
      </c>
      <c r="L1516" s="32">
        <v>0</v>
      </c>
      <c r="M1516" s="32">
        <v>0</v>
      </c>
      <c r="N1516" s="32">
        <v>0</v>
      </c>
      <c r="O1516" s="32">
        <v>664515</v>
      </c>
      <c r="P1516" s="32" t="s">
        <v>41</v>
      </c>
      <c r="Q1516" s="32" t="s">
        <v>42</v>
      </c>
      <c r="R1516" s="26" t="s">
        <v>43</v>
      </c>
      <c r="S1516" s="26"/>
      <c r="T1516" s="26"/>
      <c r="U1516" s="26"/>
      <c r="V1516" s="26"/>
      <c r="W1516" s="26"/>
      <c r="X1516" s="26"/>
    </row>
    <row r="1517" spans="1:24">
      <c r="A1517" s="26" t="s">
        <v>31</v>
      </c>
      <c r="B1517" s="26" t="s">
        <v>5918</v>
      </c>
      <c r="C1517" s="26" t="s">
        <v>5919</v>
      </c>
      <c r="D1517" s="26">
        <f t="shared" si="26"/>
        <v>-1</v>
      </c>
      <c r="E1517" s="26" t="s">
        <v>34</v>
      </c>
      <c r="F1517" s="26" t="s">
        <v>5610</v>
      </c>
      <c r="G1517" s="26" t="s">
        <v>5920</v>
      </c>
      <c r="H1517" s="26" t="s">
        <v>37</v>
      </c>
      <c r="I1517" s="26" t="s">
        <v>38</v>
      </c>
      <c r="J1517" s="26" t="s">
        <v>2841</v>
      </c>
      <c r="K1517" s="26" t="s">
        <v>2842</v>
      </c>
      <c r="L1517" s="26">
        <v>805957.2</v>
      </c>
      <c r="M1517" s="26">
        <v>0</v>
      </c>
      <c r="N1517" s="26">
        <v>0</v>
      </c>
      <c r="O1517" s="26">
        <v>5047837.2</v>
      </c>
      <c r="P1517" s="26" t="s">
        <v>41</v>
      </c>
      <c r="Q1517" s="26" t="s">
        <v>42</v>
      </c>
      <c r="R1517" s="26"/>
      <c r="S1517" s="26"/>
      <c r="T1517" s="26"/>
      <c r="U1517" s="26"/>
      <c r="V1517" s="26" t="s">
        <v>43</v>
      </c>
      <c r="W1517" s="26"/>
      <c r="X1517" s="26"/>
    </row>
    <row r="1518" spans="1:24">
      <c r="A1518" s="26" t="s">
        <v>31</v>
      </c>
      <c r="B1518" s="26" t="s">
        <v>5921</v>
      </c>
      <c r="C1518" s="26" t="s">
        <v>5922</v>
      </c>
      <c r="D1518" s="26">
        <f t="shared" si="26"/>
        <v>-1</v>
      </c>
      <c r="E1518" s="26" t="s">
        <v>34</v>
      </c>
      <c r="F1518" s="26" t="s">
        <v>5610</v>
      </c>
      <c r="G1518" s="26" t="s">
        <v>5923</v>
      </c>
      <c r="H1518" s="26" t="s">
        <v>37</v>
      </c>
      <c r="I1518" s="26" t="s">
        <v>38</v>
      </c>
      <c r="J1518" s="26" t="s">
        <v>5924</v>
      </c>
      <c r="K1518" s="26" t="s">
        <v>5925</v>
      </c>
      <c r="L1518" s="26">
        <v>0</v>
      </c>
      <c r="M1518" s="26">
        <v>0</v>
      </c>
      <c r="N1518" s="26">
        <v>0</v>
      </c>
      <c r="O1518" s="26">
        <v>2499000</v>
      </c>
      <c r="P1518" s="26" t="s">
        <v>41</v>
      </c>
      <c r="Q1518" s="26" t="s">
        <v>42</v>
      </c>
      <c r="R1518" s="26"/>
      <c r="S1518" s="26"/>
      <c r="T1518" s="26"/>
      <c r="U1518" s="26"/>
      <c r="V1518" s="26" t="s">
        <v>43</v>
      </c>
      <c r="W1518" s="26"/>
      <c r="X1518" s="26"/>
    </row>
    <row r="1519" spans="1:24">
      <c r="A1519" s="34" t="s">
        <v>31</v>
      </c>
      <c r="B1519" s="34" t="s">
        <v>5926</v>
      </c>
      <c r="C1519" s="34" t="s">
        <v>5927</v>
      </c>
      <c r="D1519" s="34">
        <f t="shared" si="26"/>
        <v>-1</v>
      </c>
      <c r="E1519" s="34" t="s">
        <v>34</v>
      </c>
      <c r="F1519" s="34" t="s">
        <v>5610</v>
      </c>
      <c r="G1519" s="34" t="s">
        <v>5928</v>
      </c>
      <c r="H1519" s="34" t="s">
        <v>37</v>
      </c>
      <c r="I1519" s="34" t="s">
        <v>38</v>
      </c>
      <c r="J1519" s="34" t="s">
        <v>5814</v>
      </c>
      <c r="K1519" s="34" t="s">
        <v>5815</v>
      </c>
      <c r="L1519" s="34">
        <v>771115</v>
      </c>
      <c r="M1519" s="34">
        <v>0</v>
      </c>
      <c r="N1519" s="34">
        <v>0</v>
      </c>
      <c r="O1519" s="34">
        <v>4829615</v>
      </c>
      <c r="P1519" s="34" t="s">
        <v>41</v>
      </c>
      <c r="Q1519" s="34" t="s">
        <v>42</v>
      </c>
      <c r="R1519" s="26"/>
      <c r="S1519" s="26"/>
      <c r="T1519" s="26" t="s">
        <v>43</v>
      </c>
      <c r="U1519" s="26"/>
      <c r="V1519" s="26"/>
      <c r="W1519" s="26"/>
      <c r="X1519" s="26"/>
    </row>
    <row r="1520" spans="1:24">
      <c r="A1520" s="32" t="s">
        <v>31</v>
      </c>
      <c r="B1520" s="32" t="s">
        <v>5929</v>
      </c>
      <c r="C1520" s="32" t="s">
        <v>5930</v>
      </c>
      <c r="D1520" s="32">
        <f t="shared" si="26"/>
        <v>-1</v>
      </c>
      <c r="E1520" s="32" t="s">
        <v>34</v>
      </c>
      <c r="F1520" s="32" t="s">
        <v>5610</v>
      </c>
      <c r="G1520" s="32" t="s">
        <v>5931</v>
      </c>
      <c r="H1520" s="32" t="s">
        <v>37</v>
      </c>
      <c r="I1520" s="32" t="s">
        <v>38</v>
      </c>
      <c r="J1520" s="32" t="s">
        <v>1223</v>
      </c>
      <c r="K1520" s="32" t="s">
        <v>1224</v>
      </c>
      <c r="L1520" s="32">
        <v>830870</v>
      </c>
      <c r="M1520" s="32">
        <v>0</v>
      </c>
      <c r="N1520" s="32">
        <v>0</v>
      </c>
      <c r="O1520" s="32">
        <v>5203870</v>
      </c>
      <c r="P1520" s="32" t="s">
        <v>41</v>
      </c>
      <c r="Q1520" s="32" t="s">
        <v>42</v>
      </c>
      <c r="R1520" s="26" t="s">
        <v>43</v>
      </c>
      <c r="S1520" s="26"/>
      <c r="T1520" s="26"/>
      <c r="U1520" s="26"/>
      <c r="V1520" s="26"/>
      <c r="W1520" s="26"/>
      <c r="X1520" s="26"/>
    </row>
    <row r="1521" spans="1:24">
      <c r="A1521" s="26" t="s">
        <v>31</v>
      </c>
      <c r="B1521" s="26" t="s">
        <v>5932</v>
      </c>
      <c r="C1521" s="26" t="s">
        <v>5933</v>
      </c>
      <c r="D1521" s="26">
        <f t="shared" si="26"/>
        <v>-1</v>
      </c>
      <c r="E1521" s="26" t="s">
        <v>34</v>
      </c>
      <c r="F1521" s="26" t="s">
        <v>5610</v>
      </c>
      <c r="G1521" s="26" t="s">
        <v>5934</v>
      </c>
      <c r="H1521" s="26" t="s">
        <v>37</v>
      </c>
      <c r="I1521" s="26" t="s">
        <v>38</v>
      </c>
      <c r="J1521" s="26" t="s">
        <v>712</v>
      </c>
      <c r="K1521" s="26" t="s">
        <v>713</v>
      </c>
      <c r="L1521" s="26">
        <v>712215</v>
      </c>
      <c r="M1521" s="26">
        <v>0</v>
      </c>
      <c r="N1521" s="26">
        <v>0</v>
      </c>
      <c r="O1521" s="26">
        <v>4460715</v>
      </c>
      <c r="P1521" s="26" t="s">
        <v>41</v>
      </c>
      <c r="Q1521" s="26" t="s">
        <v>42</v>
      </c>
      <c r="R1521" s="26"/>
      <c r="S1521" s="26"/>
      <c r="T1521" s="26"/>
      <c r="U1521" s="26"/>
      <c r="V1521" s="26" t="s">
        <v>43</v>
      </c>
      <c r="W1521" s="26"/>
      <c r="X1521" s="26"/>
    </row>
    <row r="1522" spans="1:24">
      <c r="A1522" s="26" t="s">
        <v>31</v>
      </c>
      <c r="B1522" s="26" t="s">
        <v>5935</v>
      </c>
      <c r="C1522" s="26" t="s">
        <v>5936</v>
      </c>
      <c r="D1522" s="26">
        <f t="shared" si="26"/>
        <v>-1</v>
      </c>
      <c r="E1522" s="26" t="s">
        <v>34</v>
      </c>
      <c r="F1522" s="26" t="s">
        <v>5610</v>
      </c>
      <c r="G1522" s="26" t="s">
        <v>5937</v>
      </c>
      <c r="H1522" s="26" t="s">
        <v>37</v>
      </c>
      <c r="I1522" s="26" t="s">
        <v>38</v>
      </c>
      <c r="J1522" s="26" t="s">
        <v>3673</v>
      </c>
      <c r="K1522" s="26" t="s">
        <v>3674</v>
      </c>
      <c r="L1522" s="26">
        <v>58265.4</v>
      </c>
      <c r="M1522" s="26">
        <v>0</v>
      </c>
      <c r="N1522" s="26">
        <v>0</v>
      </c>
      <c r="O1522" s="26">
        <v>364925.4</v>
      </c>
      <c r="P1522" s="26" t="s">
        <v>41</v>
      </c>
      <c r="Q1522" s="26" t="s">
        <v>42</v>
      </c>
      <c r="R1522" s="26"/>
      <c r="S1522" s="26"/>
      <c r="T1522" s="26"/>
      <c r="U1522" s="26"/>
      <c r="V1522" s="26" t="s">
        <v>43</v>
      </c>
      <c r="W1522" s="26"/>
      <c r="X1522" s="26"/>
    </row>
    <row r="1523" spans="1:24">
      <c r="A1523" s="32" t="s">
        <v>31</v>
      </c>
      <c r="B1523" s="32" t="s">
        <v>5938</v>
      </c>
      <c r="C1523" s="32" t="s">
        <v>5939</v>
      </c>
      <c r="D1523" s="32">
        <f t="shared" si="26"/>
        <v>-1</v>
      </c>
      <c r="E1523" s="32" t="s">
        <v>34</v>
      </c>
      <c r="F1523" s="32" t="s">
        <v>5610</v>
      </c>
      <c r="G1523" s="32" t="s">
        <v>5940</v>
      </c>
      <c r="H1523" s="32" t="s">
        <v>37</v>
      </c>
      <c r="I1523" s="32" t="s">
        <v>38</v>
      </c>
      <c r="J1523" s="32" t="s">
        <v>5916</v>
      </c>
      <c r="K1523" s="32" t="s">
        <v>5917</v>
      </c>
      <c r="L1523" s="32">
        <v>0</v>
      </c>
      <c r="M1523" s="32">
        <v>0</v>
      </c>
      <c r="N1523" s="32">
        <v>0</v>
      </c>
      <c r="O1523" s="32">
        <v>12692000</v>
      </c>
      <c r="P1523" s="32" t="s">
        <v>41</v>
      </c>
      <c r="Q1523" s="32" t="s">
        <v>42</v>
      </c>
      <c r="R1523" s="26"/>
      <c r="S1523" s="26"/>
      <c r="T1523" s="26" t="s">
        <v>43</v>
      </c>
      <c r="U1523" s="26"/>
      <c r="V1523" s="26"/>
      <c r="W1523" s="26"/>
      <c r="X1523" s="26"/>
    </row>
    <row r="1524" spans="1:24">
      <c r="A1524" s="34" t="s">
        <v>31</v>
      </c>
      <c r="B1524" s="34" t="s">
        <v>5941</v>
      </c>
      <c r="C1524" s="34" t="s">
        <v>5942</v>
      </c>
      <c r="D1524" s="34">
        <f t="shared" si="26"/>
        <v>-1</v>
      </c>
      <c r="E1524" s="34" t="s">
        <v>34</v>
      </c>
      <c r="F1524" s="34" t="s">
        <v>5610</v>
      </c>
      <c r="G1524" s="34" t="s">
        <v>5943</v>
      </c>
      <c r="H1524" s="34" t="s">
        <v>37</v>
      </c>
      <c r="I1524" s="34" t="s">
        <v>38</v>
      </c>
      <c r="J1524" s="34" t="s">
        <v>96</v>
      </c>
      <c r="K1524" s="34" t="s">
        <v>97</v>
      </c>
      <c r="L1524" s="34">
        <v>1139155.6399999999</v>
      </c>
      <c r="M1524" s="34">
        <v>0</v>
      </c>
      <c r="N1524" s="34">
        <v>0</v>
      </c>
      <c r="O1524" s="34">
        <v>7134711.6399999997</v>
      </c>
      <c r="P1524" s="34" t="s">
        <v>41</v>
      </c>
      <c r="Q1524" s="34" t="s">
        <v>42</v>
      </c>
      <c r="R1524" s="26"/>
      <c r="S1524" s="26"/>
      <c r="T1524" s="26" t="s">
        <v>43</v>
      </c>
      <c r="U1524" s="26"/>
      <c r="V1524" s="26"/>
      <c r="W1524" s="26"/>
      <c r="X1524" s="26"/>
    </row>
    <row r="1525" spans="1:24">
      <c r="A1525" s="32" t="s">
        <v>31</v>
      </c>
      <c r="B1525" s="32" t="s">
        <v>5944</v>
      </c>
      <c r="C1525" s="32" t="s">
        <v>5945</v>
      </c>
      <c r="D1525" s="32">
        <f t="shared" si="26"/>
        <v>-1</v>
      </c>
      <c r="E1525" s="32" t="s">
        <v>34</v>
      </c>
      <c r="F1525" s="32" t="s">
        <v>5610</v>
      </c>
      <c r="G1525" s="32" t="s">
        <v>5946</v>
      </c>
      <c r="H1525" s="32" t="s">
        <v>37</v>
      </c>
      <c r="I1525" s="32" t="s">
        <v>38</v>
      </c>
      <c r="J1525" s="32" t="s">
        <v>1466</v>
      </c>
      <c r="K1525" s="32" t="s">
        <v>1467</v>
      </c>
      <c r="L1525" s="32">
        <v>143334.67000000001</v>
      </c>
      <c r="M1525" s="32">
        <v>0</v>
      </c>
      <c r="N1525" s="32">
        <v>0</v>
      </c>
      <c r="O1525" s="32">
        <v>897727.67</v>
      </c>
      <c r="P1525" s="32" t="s">
        <v>41</v>
      </c>
      <c r="Q1525" s="32" t="s">
        <v>42</v>
      </c>
      <c r="R1525" s="26" t="s">
        <v>43</v>
      </c>
      <c r="S1525" s="26"/>
      <c r="T1525" s="26"/>
      <c r="U1525" s="26"/>
      <c r="V1525" s="26"/>
      <c r="W1525" s="26"/>
      <c r="X1525" s="26"/>
    </row>
    <row r="1526" spans="1:24">
      <c r="A1526" s="26" t="s">
        <v>31</v>
      </c>
      <c r="B1526" s="26" t="s">
        <v>5947</v>
      </c>
      <c r="C1526" s="26" t="s">
        <v>5948</v>
      </c>
      <c r="D1526" s="26">
        <f t="shared" si="26"/>
        <v>-1</v>
      </c>
      <c r="E1526" s="26" t="s">
        <v>34</v>
      </c>
      <c r="F1526" s="26" t="s">
        <v>5610</v>
      </c>
      <c r="G1526" s="26" t="s">
        <v>5949</v>
      </c>
      <c r="H1526" s="26" t="s">
        <v>37</v>
      </c>
      <c r="I1526" s="26" t="s">
        <v>38</v>
      </c>
      <c r="J1526" s="26" t="s">
        <v>5950</v>
      </c>
      <c r="K1526" s="26" t="s">
        <v>5951</v>
      </c>
      <c r="L1526" s="26">
        <v>81168</v>
      </c>
      <c r="M1526" s="26">
        <v>0</v>
      </c>
      <c r="N1526" s="26">
        <v>0</v>
      </c>
      <c r="O1526" s="26">
        <v>508368</v>
      </c>
      <c r="P1526" s="26" t="s">
        <v>41</v>
      </c>
      <c r="Q1526" s="26" t="s">
        <v>42</v>
      </c>
      <c r="R1526" s="26"/>
      <c r="S1526" s="26"/>
      <c r="T1526" s="26"/>
      <c r="U1526" s="26"/>
      <c r="V1526" s="26" t="s">
        <v>43</v>
      </c>
      <c r="W1526" s="26"/>
      <c r="X1526" s="26"/>
    </row>
    <row r="1527" spans="1:24">
      <c r="A1527" s="26" t="s">
        <v>31</v>
      </c>
      <c r="B1527" s="26" t="s">
        <v>5952</v>
      </c>
      <c r="C1527" s="26" t="s">
        <v>5953</v>
      </c>
      <c r="D1527" s="26">
        <f t="shared" si="26"/>
        <v>-1</v>
      </c>
      <c r="E1527" s="26" t="s">
        <v>34</v>
      </c>
      <c r="F1527" s="26" t="s">
        <v>5954</v>
      </c>
      <c r="G1527" s="26" t="s">
        <v>5955</v>
      </c>
      <c r="H1527" s="26" t="s">
        <v>37</v>
      </c>
      <c r="I1527" s="26" t="s">
        <v>38</v>
      </c>
      <c r="J1527" s="26" t="s">
        <v>2841</v>
      </c>
      <c r="K1527" s="26" t="s">
        <v>2842</v>
      </c>
      <c r="L1527" s="26">
        <v>85308.1</v>
      </c>
      <c r="M1527" s="26">
        <v>0</v>
      </c>
      <c r="N1527" s="26">
        <v>0</v>
      </c>
      <c r="O1527" s="26">
        <v>534298.1</v>
      </c>
      <c r="P1527" s="26" t="s">
        <v>41</v>
      </c>
      <c r="Q1527" s="26" t="s">
        <v>42</v>
      </c>
      <c r="R1527" s="26"/>
      <c r="S1527" s="26"/>
      <c r="T1527" s="26"/>
      <c r="U1527" s="26"/>
      <c r="V1527" s="26" t="s">
        <v>43</v>
      </c>
      <c r="W1527" s="26"/>
      <c r="X1527" s="26"/>
    </row>
    <row r="1528" spans="1:24">
      <c r="A1528" s="26" t="s">
        <v>31</v>
      </c>
      <c r="B1528" s="26" t="s">
        <v>5956</v>
      </c>
      <c r="C1528" s="26" t="s">
        <v>5957</v>
      </c>
      <c r="D1528" s="26">
        <f t="shared" si="26"/>
        <v>-1</v>
      </c>
      <c r="E1528" s="26" t="s">
        <v>34</v>
      </c>
      <c r="F1528" s="26" t="s">
        <v>5954</v>
      </c>
      <c r="G1528" s="26" t="s">
        <v>5958</v>
      </c>
      <c r="H1528" s="26" t="s">
        <v>37</v>
      </c>
      <c r="I1528" s="26" t="s">
        <v>38</v>
      </c>
      <c r="J1528" s="26" t="s">
        <v>2841</v>
      </c>
      <c r="K1528" s="26" t="s">
        <v>2842</v>
      </c>
      <c r="L1528" s="26">
        <v>85308.1</v>
      </c>
      <c r="M1528" s="26">
        <v>0</v>
      </c>
      <c r="N1528" s="26">
        <v>0</v>
      </c>
      <c r="O1528" s="26">
        <v>534298.1</v>
      </c>
      <c r="P1528" s="26" t="s">
        <v>41</v>
      </c>
      <c r="Q1528" s="26" t="s">
        <v>42</v>
      </c>
      <c r="R1528" s="26"/>
      <c r="S1528" s="26"/>
      <c r="T1528" s="26"/>
      <c r="U1528" s="26"/>
      <c r="V1528" s="26" t="s">
        <v>43</v>
      </c>
      <c r="W1528" s="26"/>
      <c r="X1528" s="26"/>
    </row>
    <row r="1529" spans="1:24">
      <c r="A1529" s="26" t="s">
        <v>31</v>
      </c>
      <c r="B1529" s="26" t="s">
        <v>5959</v>
      </c>
      <c r="C1529" s="26" t="s">
        <v>5960</v>
      </c>
      <c r="D1529" s="26">
        <f t="shared" si="26"/>
        <v>-1</v>
      </c>
      <c r="E1529" s="26" t="s">
        <v>34</v>
      </c>
      <c r="F1529" s="26" t="s">
        <v>5954</v>
      </c>
      <c r="G1529" s="26" t="s">
        <v>5961</v>
      </c>
      <c r="H1529" s="26" t="s">
        <v>37</v>
      </c>
      <c r="I1529" s="26" t="s">
        <v>38</v>
      </c>
      <c r="J1529" s="26" t="s">
        <v>3372</v>
      </c>
      <c r="K1529" s="26" t="s">
        <v>3373</v>
      </c>
      <c r="L1529" s="26">
        <v>85308.1</v>
      </c>
      <c r="M1529" s="26">
        <v>0</v>
      </c>
      <c r="N1529" s="26">
        <v>0</v>
      </c>
      <c r="O1529" s="26">
        <v>534298.1</v>
      </c>
      <c r="P1529" s="26" t="s">
        <v>41</v>
      </c>
      <c r="Q1529" s="26" t="s">
        <v>42</v>
      </c>
      <c r="R1529" s="26"/>
      <c r="S1529" s="26"/>
      <c r="T1529" s="26"/>
      <c r="U1529" s="26"/>
      <c r="V1529" s="26" t="s">
        <v>43</v>
      </c>
      <c r="W1529" s="26"/>
      <c r="X1529" s="26"/>
    </row>
    <row r="1530" spans="1:24">
      <c r="A1530" s="26" t="s">
        <v>31</v>
      </c>
      <c r="B1530" s="26" t="s">
        <v>5962</v>
      </c>
      <c r="C1530" s="26" t="s">
        <v>5963</v>
      </c>
      <c r="D1530" s="26">
        <f t="shared" si="26"/>
        <v>-1</v>
      </c>
      <c r="E1530" s="26" t="s">
        <v>34</v>
      </c>
      <c r="F1530" s="26" t="s">
        <v>5954</v>
      </c>
      <c r="G1530" s="26" t="s">
        <v>5964</v>
      </c>
      <c r="H1530" s="26" t="s">
        <v>37</v>
      </c>
      <c r="I1530" s="26" t="s">
        <v>38</v>
      </c>
      <c r="J1530" s="26" t="s">
        <v>2563</v>
      </c>
      <c r="K1530" s="26" t="s">
        <v>2564</v>
      </c>
      <c r="L1530" s="26">
        <v>424950.58</v>
      </c>
      <c r="M1530" s="26">
        <v>0</v>
      </c>
      <c r="N1530" s="26">
        <v>0</v>
      </c>
      <c r="O1530" s="26">
        <v>2661532.58</v>
      </c>
      <c r="P1530" s="26" t="s">
        <v>41</v>
      </c>
      <c r="Q1530" s="26" t="s">
        <v>42</v>
      </c>
      <c r="R1530" s="26"/>
      <c r="S1530" s="26"/>
      <c r="T1530" s="26"/>
      <c r="U1530" s="26"/>
      <c r="V1530" s="26" t="s">
        <v>43</v>
      </c>
      <c r="W1530" s="26"/>
      <c r="X1530" s="26"/>
    </row>
    <row r="1531" spans="1:24">
      <c r="A1531" s="32" t="s">
        <v>31</v>
      </c>
      <c r="B1531" s="32" t="s">
        <v>5965</v>
      </c>
      <c r="C1531" s="32" t="s">
        <v>5966</v>
      </c>
      <c r="D1531" s="32">
        <f t="shared" si="26"/>
        <v>-1</v>
      </c>
      <c r="E1531" s="32" t="s">
        <v>34</v>
      </c>
      <c r="F1531" s="32" t="s">
        <v>5954</v>
      </c>
      <c r="G1531" s="32" t="s">
        <v>5967</v>
      </c>
      <c r="H1531" s="32" t="s">
        <v>37</v>
      </c>
      <c r="I1531" s="32" t="s">
        <v>38</v>
      </c>
      <c r="J1531" s="32" t="s">
        <v>5968</v>
      </c>
      <c r="K1531" s="32" t="s">
        <v>5969</v>
      </c>
      <c r="L1531" s="32">
        <v>123405</v>
      </c>
      <c r="M1531" s="32">
        <v>0</v>
      </c>
      <c r="N1531" s="32">
        <v>0</v>
      </c>
      <c r="O1531" s="32">
        <v>772905</v>
      </c>
      <c r="P1531" s="32" t="s">
        <v>41</v>
      </c>
      <c r="Q1531" s="32" t="s">
        <v>42</v>
      </c>
      <c r="R1531" s="26" t="s">
        <v>43</v>
      </c>
      <c r="S1531" s="26"/>
      <c r="T1531" s="26"/>
      <c r="U1531" s="26"/>
      <c r="V1531" s="26"/>
      <c r="W1531" s="26"/>
      <c r="X1531" s="26"/>
    </row>
    <row r="1532" spans="1:24">
      <c r="A1532" s="26" t="s">
        <v>31</v>
      </c>
      <c r="B1532" s="26" t="s">
        <v>5970</v>
      </c>
      <c r="C1532" s="26" t="s">
        <v>5971</v>
      </c>
      <c r="D1532" s="26">
        <f t="shared" si="26"/>
        <v>-1</v>
      </c>
      <c r="E1532" s="26" t="s">
        <v>34</v>
      </c>
      <c r="F1532" s="26" t="s">
        <v>5954</v>
      </c>
      <c r="G1532" s="26" t="s">
        <v>5972</v>
      </c>
      <c r="H1532" s="26" t="s">
        <v>37</v>
      </c>
      <c r="I1532" s="26" t="s">
        <v>38</v>
      </c>
      <c r="J1532" s="26" t="s">
        <v>626</v>
      </c>
      <c r="K1532" s="26" t="s">
        <v>627</v>
      </c>
      <c r="L1532" s="26">
        <v>968240</v>
      </c>
      <c r="M1532" s="26">
        <v>0</v>
      </c>
      <c r="N1532" s="26">
        <v>0</v>
      </c>
      <c r="O1532" s="26">
        <v>6064240</v>
      </c>
      <c r="P1532" s="26" t="s">
        <v>41</v>
      </c>
      <c r="Q1532" s="26" t="s">
        <v>42</v>
      </c>
      <c r="R1532" s="26"/>
      <c r="S1532" s="26"/>
      <c r="T1532" s="26"/>
      <c r="U1532" s="26"/>
      <c r="V1532" s="26" t="s">
        <v>43</v>
      </c>
      <c r="W1532" s="26"/>
      <c r="X1532" s="26"/>
    </row>
    <row r="1533" spans="1:24">
      <c r="A1533" s="32" t="s">
        <v>31</v>
      </c>
      <c r="B1533" s="32" t="s">
        <v>5973</v>
      </c>
      <c r="C1533" s="32" t="s">
        <v>5974</v>
      </c>
      <c r="D1533" s="32">
        <f t="shared" si="26"/>
        <v>-1</v>
      </c>
      <c r="E1533" s="32" t="s">
        <v>34</v>
      </c>
      <c r="F1533" s="32" t="s">
        <v>5954</v>
      </c>
      <c r="G1533" s="32" t="s">
        <v>5975</v>
      </c>
      <c r="H1533" s="32" t="s">
        <v>37</v>
      </c>
      <c r="I1533" s="32" t="s">
        <v>38</v>
      </c>
      <c r="J1533" s="32" t="s">
        <v>5976</v>
      </c>
      <c r="K1533" s="32" t="s">
        <v>5977</v>
      </c>
      <c r="L1533" s="32">
        <v>138700</v>
      </c>
      <c r="M1533" s="32">
        <v>0</v>
      </c>
      <c r="N1533" s="32">
        <v>0</v>
      </c>
      <c r="O1533" s="32">
        <v>868700</v>
      </c>
      <c r="P1533" s="32" t="s">
        <v>41</v>
      </c>
      <c r="Q1533" s="32" t="s">
        <v>42</v>
      </c>
      <c r="R1533" s="26" t="s">
        <v>43</v>
      </c>
      <c r="S1533" s="26"/>
      <c r="T1533" s="26"/>
      <c r="U1533" s="26"/>
      <c r="V1533" s="26"/>
      <c r="W1533" s="26"/>
      <c r="X1533" s="26"/>
    </row>
    <row r="1534" spans="1:24">
      <c r="A1534" s="26" t="s">
        <v>31</v>
      </c>
      <c r="B1534" s="26" t="s">
        <v>5978</v>
      </c>
      <c r="C1534" s="26" t="s">
        <v>5979</v>
      </c>
      <c r="D1534" s="26">
        <f t="shared" si="26"/>
        <v>-1</v>
      </c>
      <c r="E1534" s="26" t="s">
        <v>34</v>
      </c>
      <c r="F1534" s="26" t="s">
        <v>5954</v>
      </c>
      <c r="G1534" s="26" t="s">
        <v>5980</v>
      </c>
      <c r="H1534" s="26" t="s">
        <v>37</v>
      </c>
      <c r="I1534" s="26" t="s">
        <v>38</v>
      </c>
      <c r="J1534" s="26" t="s">
        <v>5981</v>
      </c>
      <c r="K1534" s="26" t="s">
        <v>5982</v>
      </c>
      <c r="L1534" s="26">
        <v>29393</v>
      </c>
      <c r="M1534" s="26">
        <v>0</v>
      </c>
      <c r="N1534" s="26">
        <v>0</v>
      </c>
      <c r="O1534" s="26">
        <v>184093</v>
      </c>
      <c r="P1534" s="26" t="s">
        <v>41</v>
      </c>
      <c r="Q1534" s="26" t="s">
        <v>42</v>
      </c>
      <c r="R1534" s="26"/>
      <c r="S1534" s="26"/>
      <c r="T1534" s="26"/>
      <c r="U1534" s="26"/>
      <c r="V1534" s="26" t="s">
        <v>43</v>
      </c>
      <c r="W1534" s="26"/>
      <c r="X1534" s="26"/>
    </row>
    <row r="1535" spans="1:24">
      <c r="A1535" s="26" t="s">
        <v>31</v>
      </c>
      <c r="B1535" s="26" t="s">
        <v>5983</v>
      </c>
      <c r="C1535" s="26" t="s">
        <v>5984</v>
      </c>
      <c r="D1535" s="26">
        <f t="shared" si="26"/>
        <v>-1</v>
      </c>
      <c r="E1535" s="26" t="s">
        <v>34</v>
      </c>
      <c r="F1535" s="26" t="s">
        <v>5954</v>
      </c>
      <c r="G1535" s="26" t="s">
        <v>5985</v>
      </c>
      <c r="H1535" s="26" t="s">
        <v>37</v>
      </c>
      <c r="I1535" s="26" t="s">
        <v>38</v>
      </c>
      <c r="J1535" s="26" t="s">
        <v>5981</v>
      </c>
      <c r="K1535" s="26" t="s">
        <v>5982</v>
      </c>
      <c r="L1535" s="26">
        <v>59382.6</v>
      </c>
      <c r="M1535" s="26">
        <v>0</v>
      </c>
      <c r="N1535" s="26">
        <v>0</v>
      </c>
      <c r="O1535" s="26">
        <v>375472.6</v>
      </c>
      <c r="P1535" s="26" t="s">
        <v>41</v>
      </c>
      <c r="Q1535" s="26" t="s">
        <v>42</v>
      </c>
      <c r="R1535" s="26"/>
      <c r="S1535" s="26"/>
      <c r="T1535" s="26"/>
      <c r="U1535" s="26"/>
      <c r="V1535" s="26" t="s">
        <v>43</v>
      </c>
      <c r="W1535" s="26"/>
      <c r="X1535" s="26"/>
    </row>
    <row r="1536" spans="1:24">
      <c r="A1536" s="35" t="s">
        <v>31</v>
      </c>
      <c r="B1536" s="35" t="s">
        <v>5986</v>
      </c>
      <c r="C1536" s="35" t="s">
        <v>5987</v>
      </c>
      <c r="D1536" s="35">
        <f t="shared" si="26"/>
        <v>-1</v>
      </c>
      <c r="E1536" s="35" t="s">
        <v>34</v>
      </c>
      <c r="F1536" s="35" t="s">
        <v>5954</v>
      </c>
      <c r="G1536" s="35" t="s">
        <v>5988</v>
      </c>
      <c r="H1536" s="35" t="s">
        <v>37</v>
      </c>
      <c r="I1536" s="35" t="s">
        <v>38</v>
      </c>
      <c r="J1536" s="35" t="s">
        <v>5989</v>
      </c>
      <c r="K1536" s="35" t="s">
        <v>5990</v>
      </c>
      <c r="L1536" s="35">
        <v>981468.94</v>
      </c>
      <c r="M1536" s="35">
        <v>0</v>
      </c>
      <c r="N1536" s="35">
        <v>0</v>
      </c>
      <c r="O1536" s="35">
        <v>6147094.9400000004</v>
      </c>
      <c r="P1536" s="35" t="s">
        <v>41</v>
      </c>
      <c r="Q1536" s="35" t="s">
        <v>42</v>
      </c>
      <c r="R1536" s="26"/>
      <c r="S1536" s="26"/>
      <c r="T1536" s="26"/>
      <c r="U1536" s="26"/>
      <c r="V1536" s="26"/>
      <c r="W1536" s="35" t="s">
        <v>628</v>
      </c>
      <c r="X1536" s="26" t="s">
        <v>5991</v>
      </c>
    </row>
    <row r="1537" spans="1:24">
      <c r="A1537" s="26" t="s">
        <v>31</v>
      </c>
      <c r="B1537" s="26" t="s">
        <v>5992</v>
      </c>
      <c r="C1537" s="26" t="s">
        <v>5993</v>
      </c>
      <c r="D1537" s="26">
        <f t="shared" si="26"/>
        <v>-1</v>
      </c>
      <c r="E1537" s="26" t="s">
        <v>34</v>
      </c>
      <c r="F1537" s="26" t="s">
        <v>5954</v>
      </c>
      <c r="G1537" s="26" t="s">
        <v>5994</v>
      </c>
      <c r="H1537" s="26" t="s">
        <v>37</v>
      </c>
      <c r="I1537" s="26" t="s">
        <v>38</v>
      </c>
      <c r="J1537" s="26" t="s">
        <v>5995</v>
      </c>
      <c r="K1537" s="26" t="s">
        <v>5996</v>
      </c>
      <c r="L1537" s="26">
        <v>7200165.1399999997</v>
      </c>
      <c r="M1537" s="26">
        <v>0</v>
      </c>
      <c r="N1537" s="26">
        <v>0</v>
      </c>
      <c r="O1537" s="26">
        <v>45095771.140000001</v>
      </c>
      <c r="P1537" s="26" t="s">
        <v>41</v>
      </c>
      <c r="Q1537" s="26" t="s">
        <v>42</v>
      </c>
      <c r="R1537" s="26"/>
      <c r="S1537" s="26"/>
      <c r="T1537" s="26"/>
      <c r="U1537" s="26"/>
      <c r="V1537" s="26" t="s">
        <v>43</v>
      </c>
      <c r="W1537" s="26"/>
      <c r="X1537" s="26"/>
    </row>
    <row r="1538" spans="1:24">
      <c r="A1538" s="35" t="s">
        <v>31</v>
      </c>
      <c r="B1538" s="35" t="s">
        <v>5997</v>
      </c>
      <c r="C1538" s="35" t="s">
        <v>5998</v>
      </c>
      <c r="D1538" s="35">
        <f t="shared" si="26"/>
        <v>-1</v>
      </c>
      <c r="E1538" s="35" t="s">
        <v>34</v>
      </c>
      <c r="F1538" s="35" t="s">
        <v>5954</v>
      </c>
      <c r="G1538" s="35" t="s">
        <v>5999</v>
      </c>
      <c r="H1538" s="35" t="s">
        <v>37</v>
      </c>
      <c r="I1538" s="35" t="s">
        <v>38</v>
      </c>
      <c r="J1538" s="35" t="s">
        <v>6000</v>
      </c>
      <c r="K1538" s="35" t="s">
        <v>6001</v>
      </c>
      <c r="L1538" s="35">
        <v>180557</v>
      </c>
      <c r="M1538" s="35">
        <v>0</v>
      </c>
      <c r="N1538" s="35">
        <v>0</v>
      </c>
      <c r="O1538" s="35">
        <v>1130857</v>
      </c>
      <c r="P1538" s="35" t="s">
        <v>41</v>
      </c>
      <c r="Q1538" s="35" t="s">
        <v>42</v>
      </c>
      <c r="R1538" s="26"/>
      <c r="S1538" s="26"/>
      <c r="T1538" s="26"/>
      <c r="U1538" s="26"/>
      <c r="V1538" s="26"/>
      <c r="W1538" s="35" t="s">
        <v>628</v>
      </c>
      <c r="X1538" s="26" t="s">
        <v>6002</v>
      </c>
    </row>
    <row r="1539" spans="1:24">
      <c r="A1539" s="26" t="s">
        <v>31</v>
      </c>
      <c r="B1539" s="26" t="s">
        <v>6003</v>
      </c>
      <c r="C1539" s="26" t="s">
        <v>6004</v>
      </c>
      <c r="D1539" s="26">
        <f t="shared" si="26"/>
        <v>-1</v>
      </c>
      <c r="E1539" s="26" t="s">
        <v>34</v>
      </c>
      <c r="F1539" s="26" t="s">
        <v>5954</v>
      </c>
      <c r="G1539" s="26" t="s">
        <v>6005</v>
      </c>
      <c r="H1539" s="26" t="s">
        <v>37</v>
      </c>
      <c r="I1539" s="26" t="s">
        <v>38</v>
      </c>
      <c r="J1539" s="26" t="s">
        <v>6006</v>
      </c>
      <c r="K1539" s="26" t="s">
        <v>6007</v>
      </c>
      <c r="L1539" s="26">
        <v>38206.639999999999</v>
      </c>
      <c r="M1539" s="26">
        <v>0</v>
      </c>
      <c r="N1539" s="26">
        <v>0</v>
      </c>
      <c r="O1539" s="26">
        <v>394780.17</v>
      </c>
      <c r="P1539" s="26" t="s">
        <v>41</v>
      </c>
      <c r="Q1539" s="26" t="s">
        <v>42</v>
      </c>
      <c r="R1539" s="26"/>
      <c r="S1539" s="26"/>
      <c r="T1539" s="26"/>
      <c r="U1539" s="26"/>
      <c r="V1539" s="26" t="s">
        <v>43</v>
      </c>
      <c r="W1539" s="26"/>
      <c r="X1539" s="26"/>
    </row>
    <row r="1540" spans="1:24">
      <c r="A1540" s="26" t="s">
        <v>31</v>
      </c>
      <c r="B1540" s="26" t="s">
        <v>6008</v>
      </c>
      <c r="C1540" s="26" t="s">
        <v>6009</v>
      </c>
      <c r="D1540" s="26">
        <f t="shared" si="26"/>
        <v>-1</v>
      </c>
      <c r="E1540" s="26" t="s">
        <v>34</v>
      </c>
      <c r="F1540" s="26" t="s">
        <v>5954</v>
      </c>
      <c r="G1540" s="26" t="s">
        <v>6010</v>
      </c>
      <c r="H1540" s="26" t="s">
        <v>37</v>
      </c>
      <c r="I1540" s="26" t="s">
        <v>38</v>
      </c>
      <c r="J1540" s="26" t="s">
        <v>6011</v>
      </c>
      <c r="K1540" s="26" t="s">
        <v>6012</v>
      </c>
      <c r="L1540" s="26">
        <v>120682.68</v>
      </c>
      <c r="M1540" s="26">
        <v>0</v>
      </c>
      <c r="N1540" s="26">
        <v>0</v>
      </c>
      <c r="O1540" s="26">
        <v>755854.68</v>
      </c>
      <c r="P1540" s="26" t="s">
        <v>41</v>
      </c>
      <c r="Q1540" s="26" t="s">
        <v>42</v>
      </c>
      <c r="R1540" s="26"/>
      <c r="S1540" s="26"/>
      <c r="T1540" s="26"/>
      <c r="U1540" s="26"/>
      <c r="V1540" s="26" t="s">
        <v>43</v>
      </c>
      <c r="W1540" s="26"/>
      <c r="X1540" s="26"/>
    </row>
    <row r="1541" spans="1:24">
      <c r="A1541" s="26" t="s">
        <v>31</v>
      </c>
      <c r="B1541" s="26" t="s">
        <v>6013</v>
      </c>
      <c r="C1541" s="26" t="s">
        <v>6014</v>
      </c>
      <c r="D1541" s="26">
        <f t="shared" si="26"/>
        <v>-1</v>
      </c>
      <c r="E1541" s="26" t="s">
        <v>34</v>
      </c>
      <c r="F1541" s="26" t="s">
        <v>5954</v>
      </c>
      <c r="G1541" s="26" t="s">
        <v>6015</v>
      </c>
      <c r="H1541" s="26" t="s">
        <v>37</v>
      </c>
      <c r="I1541" s="26" t="s">
        <v>38</v>
      </c>
      <c r="J1541" s="26" t="s">
        <v>6011</v>
      </c>
      <c r="K1541" s="26" t="s">
        <v>6012</v>
      </c>
      <c r="L1541" s="26">
        <v>53789.03</v>
      </c>
      <c r="M1541" s="26">
        <v>0</v>
      </c>
      <c r="N1541" s="26">
        <v>0</v>
      </c>
      <c r="O1541" s="26">
        <v>360978.03</v>
      </c>
      <c r="P1541" s="26" t="s">
        <v>41</v>
      </c>
      <c r="Q1541" s="26" t="s">
        <v>42</v>
      </c>
      <c r="R1541" s="26"/>
      <c r="S1541" s="26"/>
      <c r="T1541" s="26"/>
      <c r="U1541" s="26"/>
      <c r="V1541" s="26" t="s">
        <v>43</v>
      </c>
      <c r="W1541" s="26"/>
      <c r="X1541" s="26"/>
    </row>
    <row r="1542" spans="1:24">
      <c r="A1542" s="26" t="s">
        <v>31</v>
      </c>
      <c r="B1542" s="26" t="s">
        <v>6016</v>
      </c>
      <c r="C1542" s="26" t="s">
        <v>6017</v>
      </c>
      <c r="D1542" s="26">
        <f t="shared" si="26"/>
        <v>-1</v>
      </c>
      <c r="E1542" s="26" t="s">
        <v>34</v>
      </c>
      <c r="F1542" s="26" t="s">
        <v>5954</v>
      </c>
      <c r="G1542" s="26" t="s">
        <v>6018</v>
      </c>
      <c r="H1542" s="26" t="s">
        <v>37</v>
      </c>
      <c r="I1542" s="26" t="s">
        <v>38</v>
      </c>
      <c r="J1542" s="26" t="s">
        <v>6011</v>
      </c>
      <c r="K1542" s="26" t="s">
        <v>6012</v>
      </c>
      <c r="L1542" s="26">
        <v>68258.070000000007</v>
      </c>
      <c r="M1542" s="26">
        <v>0</v>
      </c>
      <c r="N1542" s="26">
        <v>0</v>
      </c>
      <c r="O1542" s="26">
        <v>427511.07</v>
      </c>
      <c r="P1542" s="26" t="s">
        <v>41</v>
      </c>
      <c r="Q1542" s="26" t="s">
        <v>42</v>
      </c>
      <c r="R1542" s="26"/>
      <c r="S1542" s="26"/>
      <c r="T1542" s="26"/>
      <c r="U1542" s="26"/>
      <c r="V1542" s="26" t="s">
        <v>43</v>
      </c>
      <c r="W1542" s="26"/>
      <c r="X1542" s="26"/>
    </row>
    <row r="1543" spans="1:24">
      <c r="A1543" s="34" t="s">
        <v>31</v>
      </c>
      <c r="B1543" s="34" t="s">
        <v>6019</v>
      </c>
      <c r="C1543" s="34" t="s">
        <v>6020</v>
      </c>
      <c r="D1543" s="34">
        <f t="shared" si="26"/>
        <v>-1</v>
      </c>
      <c r="E1543" s="34" t="s">
        <v>34</v>
      </c>
      <c r="F1543" s="34" t="s">
        <v>5954</v>
      </c>
      <c r="G1543" s="34" t="s">
        <v>6021</v>
      </c>
      <c r="H1543" s="34" t="s">
        <v>37</v>
      </c>
      <c r="I1543" s="34" t="s">
        <v>38</v>
      </c>
      <c r="J1543" s="34" t="s">
        <v>6022</v>
      </c>
      <c r="K1543" s="34" t="s">
        <v>6023</v>
      </c>
      <c r="L1543" s="34">
        <v>245832.83</v>
      </c>
      <c r="M1543" s="34">
        <v>0</v>
      </c>
      <c r="N1543" s="34">
        <v>0</v>
      </c>
      <c r="O1543" s="34">
        <v>1560229.83</v>
      </c>
      <c r="P1543" s="34" t="s">
        <v>41</v>
      </c>
      <c r="Q1543" s="34" t="s">
        <v>42</v>
      </c>
      <c r="R1543" s="26"/>
      <c r="S1543" s="26"/>
      <c r="T1543" s="26" t="s">
        <v>43</v>
      </c>
      <c r="U1543" s="26"/>
      <c r="V1543" s="26"/>
      <c r="W1543" s="26"/>
      <c r="X1543" s="26"/>
    </row>
    <row r="1544" spans="1:24">
      <c r="A1544" s="26" t="s">
        <v>31</v>
      </c>
      <c r="B1544" s="26" t="s">
        <v>6024</v>
      </c>
      <c r="C1544" s="26" t="s">
        <v>6025</v>
      </c>
      <c r="D1544" s="26">
        <f t="shared" si="26"/>
        <v>-1</v>
      </c>
      <c r="E1544" s="26" t="s">
        <v>34</v>
      </c>
      <c r="F1544" s="26" t="s">
        <v>5954</v>
      </c>
      <c r="G1544" s="26" t="s">
        <v>6026</v>
      </c>
      <c r="H1544" s="26" t="s">
        <v>37</v>
      </c>
      <c r="I1544" s="26" t="s">
        <v>38</v>
      </c>
      <c r="J1544" s="26" t="s">
        <v>6027</v>
      </c>
      <c r="K1544" s="26" t="s">
        <v>6028</v>
      </c>
      <c r="L1544" s="26">
        <v>39824</v>
      </c>
      <c r="M1544" s="26">
        <v>0</v>
      </c>
      <c r="N1544" s="26">
        <v>0</v>
      </c>
      <c r="O1544" s="26">
        <v>249424</v>
      </c>
      <c r="P1544" s="26" t="s">
        <v>41</v>
      </c>
      <c r="Q1544" s="26" t="s">
        <v>42</v>
      </c>
      <c r="R1544" s="26"/>
      <c r="S1544" s="26"/>
      <c r="T1544" s="26"/>
      <c r="U1544" s="26"/>
      <c r="V1544" s="26" t="s">
        <v>43</v>
      </c>
      <c r="W1544" s="26"/>
      <c r="X1544" s="26"/>
    </row>
    <row r="1545" spans="1:24">
      <c r="A1545" s="26" t="s">
        <v>31</v>
      </c>
      <c r="B1545" s="26" t="s">
        <v>6029</v>
      </c>
      <c r="C1545" s="26" t="s">
        <v>6030</v>
      </c>
      <c r="D1545" s="26">
        <f t="shared" si="26"/>
        <v>-1</v>
      </c>
      <c r="E1545" s="26" t="s">
        <v>34</v>
      </c>
      <c r="F1545" s="26" t="s">
        <v>5954</v>
      </c>
      <c r="G1545" s="26" t="s">
        <v>6031</v>
      </c>
      <c r="H1545" s="26" t="s">
        <v>37</v>
      </c>
      <c r="I1545" s="26" t="s">
        <v>38</v>
      </c>
      <c r="J1545" s="26" t="s">
        <v>6032</v>
      </c>
      <c r="K1545" s="26" t="s">
        <v>6033</v>
      </c>
      <c r="L1545" s="26">
        <v>311600</v>
      </c>
      <c r="M1545" s="26">
        <v>0</v>
      </c>
      <c r="N1545" s="26">
        <v>0</v>
      </c>
      <c r="O1545" s="26">
        <v>10251600</v>
      </c>
      <c r="P1545" s="26" t="s">
        <v>41</v>
      </c>
      <c r="Q1545" s="26" t="s">
        <v>42</v>
      </c>
      <c r="R1545" s="26"/>
      <c r="S1545" s="26"/>
      <c r="T1545" s="26"/>
      <c r="U1545" s="26"/>
      <c r="V1545" s="26" t="s">
        <v>43</v>
      </c>
      <c r="W1545" s="26"/>
      <c r="X1545" s="26"/>
    </row>
    <row r="1546" spans="1:24">
      <c r="A1546" s="26" t="s">
        <v>31</v>
      </c>
      <c r="B1546" s="26" t="s">
        <v>6034</v>
      </c>
      <c r="C1546" s="26" t="s">
        <v>6035</v>
      </c>
      <c r="D1546" s="26">
        <f t="shared" si="26"/>
        <v>-1</v>
      </c>
      <c r="E1546" s="26" t="s">
        <v>34</v>
      </c>
      <c r="F1546" s="26" t="s">
        <v>5954</v>
      </c>
      <c r="G1546" s="26" t="s">
        <v>6036</v>
      </c>
      <c r="H1546" s="26" t="s">
        <v>37</v>
      </c>
      <c r="I1546" s="26" t="s">
        <v>38</v>
      </c>
      <c r="J1546" s="26" t="s">
        <v>6037</v>
      </c>
      <c r="K1546" s="26" t="s">
        <v>6038</v>
      </c>
      <c r="L1546" s="26">
        <v>141219.4</v>
      </c>
      <c r="M1546" s="26">
        <v>0</v>
      </c>
      <c r="N1546" s="26">
        <v>0</v>
      </c>
      <c r="O1546" s="26">
        <v>884479.4</v>
      </c>
      <c r="P1546" s="26" t="s">
        <v>41</v>
      </c>
      <c r="Q1546" s="26" t="s">
        <v>42</v>
      </c>
      <c r="R1546" s="26"/>
      <c r="S1546" s="26"/>
      <c r="T1546" s="26"/>
      <c r="U1546" s="26"/>
      <c r="V1546" s="26" t="s">
        <v>43</v>
      </c>
      <c r="W1546" s="26"/>
      <c r="X1546" s="26"/>
    </row>
    <row r="1547" spans="1:24">
      <c r="A1547" s="26" t="s">
        <v>31</v>
      </c>
      <c r="B1547" s="26" t="s">
        <v>6039</v>
      </c>
      <c r="C1547" s="26" t="s">
        <v>6040</v>
      </c>
      <c r="D1547" s="26">
        <f t="shared" si="26"/>
        <v>-1</v>
      </c>
      <c r="E1547" s="26" t="s">
        <v>34</v>
      </c>
      <c r="F1547" s="26" t="s">
        <v>5954</v>
      </c>
      <c r="G1547" s="26" t="s">
        <v>6041</v>
      </c>
      <c r="H1547" s="26" t="s">
        <v>37</v>
      </c>
      <c r="I1547" s="26" t="s">
        <v>38</v>
      </c>
      <c r="J1547" s="26" t="s">
        <v>6037</v>
      </c>
      <c r="K1547" s="26" t="s">
        <v>6038</v>
      </c>
      <c r="L1547" s="26">
        <v>25598.38</v>
      </c>
      <c r="M1547" s="26">
        <v>0</v>
      </c>
      <c r="N1547" s="26">
        <v>0</v>
      </c>
      <c r="O1547" s="26">
        <v>173028.38</v>
      </c>
      <c r="P1547" s="26" t="s">
        <v>41</v>
      </c>
      <c r="Q1547" s="26" t="s">
        <v>42</v>
      </c>
      <c r="R1547" s="26"/>
      <c r="S1547" s="26"/>
      <c r="T1547" s="26"/>
      <c r="U1547" s="26"/>
      <c r="V1547" s="26" t="s">
        <v>43</v>
      </c>
      <c r="W1547" s="26"/>
      <c r="X1547" s="26"/>
    </row>
    <row r="1548" spans="1:24">
      <c r="A1548" s="26" t="s">
        <v>31</v>
      </c>
      <c r="B1548" s="26" t="s">
        <v>6042</v>
      </c>
      <c r="C1548" s="26" t="s">
        <v>6043</v>
      </c>
      <c r="D1548" s="26">
        <f t="shared" si="26"/>
        <v>-1</v>
      </c>
      <c r="E1548" s="26" t="s">
        <v>34</v>
      </c>
      <c r="F1548" s="26" t="s">
        <v>5954</v>
      </c>
      <c r="G1548" s="26" t="s">
        <v>6044</v>
      </c>
      <c r="H1548" s="26" t="s">
        <v>37</v>
      </c>
      <c r="I1548" s="26" t="s">
        <v>38</v>
      </c>
      <c r="J1548" s="26" t="s">
        <v>6037</v>
      </c>
      <c r="K1548" s="26" t="s">
        <v>6038</v>
      </c>
      <c r="L1548" s="26">
        <v>45725.04</v>
      </c>
      <c r="M1548" s="26">
        <v>0</v>
      </c>
      <c r="N1548" s="26">
        <v>0</v>
      </c>
      <c r="O1548" s="26">
        <v>434947.04</v>
      </c>
      <c r="P1548" s="26" t="s">
        <v>41</v>
      </c>
      <c r="Q1548" s="26" t="s">
        <v>42</v>
      </c>
      <c r="R1548" s="26"/>
      <c r="S1548" s="26"/>
      <c r="T1548" s="26"/>
      <c r="U1548" s="26"/>
      <c r="V1548" s="26" t="s">
        <v>43</v>
      </c>
      <c r="W1548" s="26"/>
      <c r="X1548" s="26"/>
    </row>
    <row r="1549" spans="1:24">
      <c r="A1549" s="32" t="s">
        <v>31</v>
      </c>
      <c r="B1549" s="32" t="s">
        <v>6045</v>
      </c>
      <c r="C1549" s="32" t="s">
        <v>6046</v>
      </c>
      <c r="D1549" s="32">
        <f t="shared" si="26"/>
        <v>-1</v>
      </c>
      <c r="E1549" s="32" t="s">
        <v>34</v>
      </c>
      <c r="F1549" s="32" t="s">
        <v>5954</v>
      </c>
      <c r="G1549" s="32" t="s">
        <v>6047</v>
      </c>
      <c r="H1549" s="32" t="s">
        <v>37</v>
      </c>
      <c r="I1549" s="32" t="s">
        <v>38</v>
      </c>
      <c r="J1549" s="32" t="s">
        <v>759</v>
      </c>
      <c r="K1549" s="32" t="s">
        <v>760</v>
      </c>
      <c r="L1549" s="32">
        <v>136442.23000000001</v>
      </c>
      <c r="M1549" s="32">
        <v>0</v>
      </c>
      <c r="N1549" s="32">
        <v>0</v>
      </c>
      <c r="O1549" s="32">
        <v>854559.23</v>
      </c>
      <c r="P1549" s="32" t="s">
        <v>41</v>
      </c>
      <c r="Q1549" s="32" t="s">
        <v>42</v>
      </c>
      <c r="R1549" s="26" t="s">
        <v>43</v>
      </c>
      <c r="S1549" s="26"/>
      <c r="T1549" s="26"/>
      <c r="U1549" s="26"/>
      <c r="V1549" s="26"/>
      <c r="W1549" s="26"/>
      <c r="X1549" s="26"/>
    </row>
    <row r="1550" spans="1:24">
      <c r="A1550" s="32" t="s">
        <v>31</v>
      </c>
      <c r="B1550" s="32" t="s">
        <v>6048</v>
      </c>
      <c r="C1550" s="32" t="s">
        <v>6049</v>
      </c>
      <c r="D1550" s="32">
        <f t="shared" si="26"/>
        <v>-1</v>
      </c>
      <c r="E1550" s="32" t="s">
        <v>34</v>
      </c>
      <c r="F1550" s="32" t="s">
        <v>5954</v>
      </c>
      <c r="G1550" s="32" t="s">
        <v>6050</v>
      </c>
      <c r="H1550" s="32" t="s">
        <v>37</v>
      </c>
      <c r="I1550" s="32" t="s">
        <v>38</v>
      </c>
      <c r="J1550" s="32" t="s">
        <v>6051</v>
      </c>
      <c r="K1550" s="32" t="s">
        <v>6052</v>
      </c>
      <c r="L1550" s="32">
        <v>382123.06</v>
      </c>
      <c r="M1550" s="32">
        <v>0</v>
      </c>
      <c r="N1550" s="32">
        <v>0</v>
      </c>
      <c r="O1550" s="32">
        <v>2393297.06</v>
      </c>
      <c r="P1550" s="32" t="s">
        <v>41</v>
      </c>
      <c r="Q1550" s="32" t="s">
        <v>42</v>
      </c>
      <c r="R1550" s="26" t="s">
        <v>43</v>
      </c>
      <c r="S1550" s="26"/>
      <c r="T1550" s="26"/>
      <c r="U1550" s="26"/>
      <c r="V1550" s="26"/>
      <c r="W1550" s="26"/>
      <c r="X1550" s="26"/>
    </row>
    <row r="1551" spans="1:24">
      <c r="A1551" s="34" t="s">
        <v>31</v>
      </c>
      <c r="B1551" s="34" t="s">
        <v>6053</v>
      </c>
      <c r="C1551" s="34" t="s">
        <v>6054</v>
      </c>
      <c r="D1551" s="34">
        <f t="shared" si="26"/>
        <v>-1</v>
      </c>
      <c r="E1551" s="34" t="s">
        <v>34</v>
      </c>
      <c r="F1551" s="34" t="s">
        <v>5954</v>
      </c>
      <c r="G1551" s="34" t="s">
        <v>6055</v>
      </c>
      <c r="H1551" s="34" t="s">
        <v>37</v>
      </c>
      <c r="I1551" s="34" t="s">
        <v>38</v>
      </c>
      <c r="J1551" s="34" t="s">
        <v>6056</v>
      </c>
      <c r="K1551" s="34" t="s">
        <v>6057</v>
      </c>
      <c r="L1551" s="34">
        <v>2669605.23</v>
      </c>
      <c r="M1551" s="34">
        <v>0</v>
      </c>
      <c r="N1551" s="34">
        <v>0</v>
      </c>
      <c r="O1551" s="34">
        <v>16720159.189999999</v>
      </c>
      <c r="P1551" s="34" t="s">
        <v>41</v>
      </c>
      <c r="Q1551" s="34" t="s">
        <v>42</v>
      </c>
      <c r="R1551" s="26"/>
      <c r="S1551" s="26"/>
      <c r="T1551" s="26" t="s">
        <v>43</v>
      </c>
      <c r="U1551" s="26"/>
      <c r="V1551" s="26"/>
      <c r="W1551" s="26"/>
      <c r="X1551" s="26"/>
    </row>
    <row r="1552" spans="1:24">
      <c r="A1552" s="26" t="s">
        <v>31</v>
      </c>
      <c r="B1552" s="26" t="s">
        <v>6058</v>
      </c>
      <c r="C1552" s="26" t="s">
        <v>6059</v>
      </c>
      <c r="D1552" s="26">
        <f t="shared" si="26"/>
        <v>-1</v>
      </c>
      <c r="E1552" s="26" t="s">
        <v>34</v>
      </c>
      <c r="F1552" s="26" t="s">
        <v>5954</v>
      </c>
      <c r="G1552" s="26" t="s">
        <v>6060</v>
      </c>
      <c r="H1552" s="26" t="s">
        <v>37</v>
      </c>
      <c r="I1552" s="26" t="s">
        <v>38</v>
      </c>
      <c r="J1552" s="26" t="s">
        <v>2459</v>
      </c>
      <c r="K1552" s="26" t="s">
        <v>2460</v>
      </c>
      <c r="L1552" s="26">
        <v>0</v>
      </c>
      <c r="M1552" s="26">
        <v>0</v>
      </c>
      <c r="N1552" s="26">
        <v>0</v>
      </c>
      <c r="O1552" s="26">
        <v>13591143.039999999</v>
      </c>
      <c r="P1552" s="26" t="s">
        <v>41</v>
      </c>
      <c r="Q1552" s="26" t="s">
        <v>42</v>
      </c>
      <c r="R1552" s="26"/>
      <c r="S1552" s="26"/>
      <c r="T1552" s="26"/>
      <c r="U1552" s="26"/>
      <c r="V1552" s="26" t="s">
        <v>43</v>
      </c>
      <c r="W1552" s="26"/>
      <c r="X1552" s="26"/>
    </row>
    <row r="1553" spans="1:24">
      <c r="A1553" s="32" t="s">
        <v>31</v>
      </c>
      <c r="B1553" s="32" t="s">
        <v>6061</v>
      </c>
      <c r="C1553" s="32" t="s">
        <v>6062</v>
      </c>
      <c r="D1553" s="32">
        <f t="shared" si="26"/>
        <v>-1</v>
      </c>
      <c r="E1553" s="32" t="s">
        <v>34</v>
      </c>
      <c r="F1553" s="32" t="s">
        <v>5954</v>
      </c>
      <c r="G1553" s="32" t="s">
        <v>6063</v>
      </c>
      <c r="H1553" s="32" t="s">
        <v>37</v>
      </c>
      <c r="I1553" s="32" t="s">
        <v>38</v>
      </c>
      <c r="J1553" s="32" t="s">
        <v>6064</v>
      </c>
      <c r="K1553" s="32" t="s">
        <v>6065</v>
      </c>
      <c r="L1553" s="32">
        <v>86431</v>
      </c>
      <c r="M1553" s="32">
        <v>0</v>
      </c>
      <c r="N1553" s="32">
        <v>0</v>
      </c>
      <c r="O1553" s="32">
        <v>541331</v>
      </c>
      <c r="P1553" s="32" t="s">
        <v>41</v>
      </c>
      <c r="Q1553" s="32" t="s">
        <v>42</v>
      </c>
      <c r="R1553" s="26" t="s">
        <v>43</v>
      </c>
      <c r="S1553" s="26"/>
      <c r="T1553" s="26"/>
      <c r="U1553" s="26"/>
      <c r="V1553" s="26"/>
      <c r="W1553" s="26"/>
      <c r="X1553" s="26"/>
    </row>
    <row r="1554" spans="1:24">
      <c r="A1554" s="34" t="s">
        <v>31</v>
      </c>
      <c r="B1554" s="34" t="s">
        <v>6066</v>
      </c>
      <c r="C1554" s="34" t="s">
        <v>6067</v>
      </c>
      <c r="D1554" s="34">
        <f t="shared" si="26"/>
        <v>-1</v>
      </c>
      <c r="E1554" s="34" t="s">
        <v>34</v>
      </c>
      <c r="F1554" s="34" t="s">
        <v>5954</v>
      </c>
      <c r="G1554" s="34" t="s">
        <v>6068</v>
      </c>
      <c r="H1554" s="34" t="s">
        <v>37</v>
      </c>
      <c r="I1554" s="34" t="s">
        <v>38</v>
      </c>
      <c r="J1554" s="34" t="s">
        <v>677</v>
      </c>
      <c r="K1554" s="34" t="s">
        <v>678</v>
      </c>
      <c r="L1554" s="34">
        <v>0</v>
      </c>
      <c r="M1554" s="34">
        <v>0</v>
      </c>
      <c r="N1554" s="34">
        <v>0</v>
      </c>
      <c r="O1554" s="34">
        <v>1378000</v>
      </c>
      <c r="P1554" s="34" t="s">
        <v>41</v>
      </c>
      <c r="Q1554" s="34" t="s">
        <v>42</v>
      </c>
      <c r="R1554" s="26"/>
      <c r="S1554" s="26"/>
      <c r="T1554" s="26" t="s">
        <v>43</v>
      </c>
      <c r="U1554" s="26"/>
      <c r="V1554" s="26"/>
      <c r="W1554" s="26"/>
      <c r="X1554" s="26"/>
    </row>
    <row r="1555" spans="1:24">
      <c r="A1555" s="26" t="s">
        <v>31</v>
      </c>
      <c r="B1555" s="26" t="s">
        <v>6069</v>
      </c>
      <c r="C1555" s="26" t="s">
        <v>6070</v>
      </c>
      <c r="D1555" s="26">
        <f t="shared" si="26"/>
        <v>-1</v>
      </c>
      <c r="E1555" s="26" t="s">
        <v>34</v>
      </c>
      <c r="F1555" s="26" t="s">
        <v>5954</v>
      </c>
      <c r="G1555" s="26" t="s">
        <v>6071</v>
      </c>
      <c r="H1555" s="26" t="s">
        <v>37</v>
      </c>
      <c r="I1555" s="26" t="s">
        <v>38</v>
      </c>
      <c r="J1555" s="26" t="s">
        <v>1771</v>
      </c>
      <c r="K1555" s="26" t="s">
        <v>1772</v>
      </c>
      <c r="L1555" s="26">
        <v>878073.68</v>
      </c>
      <c r="M1555" s="26">
        <v>0</v>
      </c>
      <c r="N1555" s="26">
        <v>0</v>
      </c>
      <c r="O1555" s="26">
        <v>5606665.6799999997</v>
      </c>
      <c r="P1555" s="26" t="s">
        <v>41</v>
      </c>
      <c r="Q1555" s="26" t="s">
        <v>42</v>
      </c>
      <c r="R1555" s="26"/>
      <c r="S1555" s="26"/>
      <c r="T1555" s="26"/>
      <c r="U1555" s="26"/>
      <c r="V1555" s="26" t="s">
        <v>43</v>
      </c>
      <c r="W1555" s="26"/>
      <c r="X1555" s="26"/>
    </row>
    <row r="1556" spans="1:24">
      <c r="A1556" s="26" t="s">
        <v>31</v>
      </c>
      <c r="B1556" s="26" t="s">
        <v>6072</v>
      </c>
      <c r="C1556" s="26" t="s">
        <v>6073</v>
      </c>
      <c r="D1556" s="26">
        <f t="shared" si="26"/>
        <v>-1</v>
      </c>
      <c r="E1556" s="26" t="s">
        <v>34</v>
      </c>
      <c r="F1556" s="26" t="s">
        <v>5954</v>
      </c>
      <c r="G1556" s="26" t="s">
        <v>6074</v>
      </c>
      <c r="H1556" s="26" t="s">
        <v>37</v>
      </c>
      <c r="I1556" s="26" t="s">
        <v>38</v>
      </c>
      <c r="J1556" s="26" t="s">
        <v>1771</v>
      </c>
      <c r="K1556" s="26" t="s">
        <v>1772</v>
      </c>
      <c r="L1556" s="26">
        <v>27402.560000000001</v>
      </c>
      <c r="M1556" s="26">
        <v>0</v>
      </c>
      <c r="N1556" s="26">
        <v>0</v>
      </c>
      <c r="O1556" s="26">
        <v>171626.56</v>
      </c>
      <c r="P1556" s="26" t="s">
        <v>41</v>
      </c>
      <c r="Q1556" s="26" t="s">
        <v>42</v>
      </c>
      <c r="R1556" s="26"/>
      <c r="S1556" s="26"/>
      <c r="T1556" s="26"/>
      <c r="U1556" s="26"/>
      <c r="V1556" s="26" t="s">
        <v>43</v>
      </c>
      <c r="W1556" s="26"/>
      <c r="X1556" s="26"/>
    </row>
    <row r="1557" spans="1:24">
      <c r="A1557" s="26" t="s">
        <v>31</v>
      </c>
      <c r="B1557" s="26" t="s">
        <v>6075</v>
      </c>
      <c r="C1557" s="26" t="s">
        <v>6076</v>
      </c>
      <c r="D1557" s="26">
        <f t="shared" si="26"/>
        <v>-1</v>
      </c>
      <c r="E1557" s="26" t="s">
        <v>34</v>
      </c>
      <c r="F1557" s="26" t="s">
        <v>5954</v>
      </c>
      <c r="G1557" s="26" t="s">
        <v>6077</v>
      </c>
      <c r="H1557" s="26" t="s">
        <v>37</v>
      </c>
      <c r="I1557" s="26" t="s">
        <v>38</v>
      </c>
      <c r="J1557" s="26" t="s">
        <v>1771</v>
      </c>
      <c r="K1557" s="26" t="s">
        <v>1772</v>
      </c>
      <c r="L1557" s="26">
        <v>13701.28</v>
      </c>
      <c r="M1557" s="26">
        <v>0</v>
      </c>
      <c r="N1557" s="26">
        <v>0</v>
      </c>
      <c r="O1557" s="26">
        <v>85813.28</v>
      </c>
      <c r="P1557" s="26" t="s">
        <v>41</v>
      </c>
      <c r="Q1557" s="26" t="s">
        <v>42</v>
      </c>
      <c r="R1557" s="26"/>
      <c r="S1557" s="26"/>
      <c r="T1557" s="26"/>
      <c r="U1557" s="26"/>
      <c r="V1557" s="26" t="s">
        <v>43</v>
      </c>
      <c r="W1557" s="26"/>
      <c r="X1557" s="26"/>
    </row>
    <row r="1558" spans="1:24">
      <c r="A1558" s="34" t="s">
        <v>31</v>
      </c>
      <c r="B1558" s="34" t="s">
        <v>6078</v>
      </c>
      <c r="C1558" s="34" t="s">
        <v>6079</v>
      </c>
      <c r="D1558" s="34">
        <f t="shared" si="26"/>
        <v>-1</v>
      </c>
      <c r="E1558" s="34" t="s">
        <v>34</v>
      </c>
      <c r="F1558" s="34" t="s">
        <v>5954</v>
      </c>
      <c r="G1558" s="34" t="s">
        <v>6080</v>
      </c>
      <c r="H1558" s="34" t="s">
        <v>37</v>
      </c>
      <c r="I1558" s="34" t="s">
        <v>38</v>
      </c>
      <c r="J1558" s="34" t="s">
        <v>6081</v>
      </c>
      <c r="K1558" s="34" t="s">
        <v>6082</v>
      </c>
      <c r="L1558" s="34">
        <v>13684.55</v>
      </c>
      <c r="M1558" s="34">
        <v>0</v>
      </c>
      <c r="N1558" s="34">
        <v>0</v>
      </c>
      <c r="O1558" s="34">
        <v>85708.5</v>
      </c>
      <c r="P1558" s="34" t="s">
        <v>41</v>
      </c>
      <c r="Q1558" s="34" t="s">
        <v>42</v>
      </c>
      <c r="R1558" s="26"/>
      <c r="S1558" s="26"/>
      <c r="T1558" s="26" t="s">
        <v>43</v>
      </c>
      <c r="U1558" s="26"/>
      <c r="V1558" s="26"/>
      <c r="W1558" s="26"/>
      <c r="X1558" s="26"/>
    </row>
    <row r="1559" spans="1:24">
      <c r="A1559" s="34" t="s">
        <v>31</v>
      </c>
      <c r="B1559" s="34" t="s">
        <v>6083</v>
      </c>
      <c r="C1559" s="34" t="s">
        <v>6084</v>
      </c>
      <c r="D1559" s="34">
        <f t="shared" si="26"/>
        <v>-1</v>
      </c>
      <c r="E1559" s="34" t="s">
        <v>34</v>
      </c>
      <c r="F1559" s="34" t="s">
        <v>5954</v>
      </c>
      <c r="G1559" s="34" t="s">
        <v>6085</v>
      </c>
      <c r="H1559" s="34" t="s">
        <v>37</v>
      </c>
      <c r="I1559" s="34" t="s">
        <v>38</v>
      </c>
      <c r="J1559" s="34" t="s">
        <v>6081</v>
      </c>
      <c r="K1559" s="34" t="s">
        <v>6082</v>
      </c>
      <c r="L1559" s="34">
        <v>648746.16</v>
      </c>
      <c r="M1559" s="34">
        <v>0</v>
      </c>
      <c r="N1559" s="34">
        <v>0</v>
      </c>
      <c r="O1559" s="34">
        <v>4063199.67</v>
      </c>
      <c r="P1559" s="34" t="s">
        <v>41</v>
      </c>
      <c r="Q1559" s="34" t="s">
        <v>42</v>
      </c>
      <c r="R1559" s="26"/>
      <c r="S1559" s="26"/>
      <c r="T1559" s="26" t="s">
        <v>43</v>
      </c>
      <c r="U1559" s="26"/>
      <c r="V1559" s="26"/>
      <c r="W1559" s="26"/>
      <c r="X1559" s="26"/>
    </row>
    <row r="1560" spans="1:24">
      <c r="A1560" s="26" t="s">
        <v>31</v>
      </c>
      <c r="B1560" s="26" t="s">
        <v>6086</v>
      </c>
      <c r="C1560" s="26" t="s">
        <v>6087</v>
      </c>
      <c r="D1560" s="26">
        <f t="shared" si="26"/>
        <v>-1</v>
      </c>
      <c r="E1560" s="26" t="s">
        <v>34</v>
      </c>
      <c r="F1560" s="26" t="s">
        <v>5954</v>
      </c>
      <c r="G1560" s="26" t="s">
        <v>6088</v>
      </c>
      <c r="H1560" s="26" t="s">
        <v>37</v>
      </c>
      <c r="I1560" s="26" t="s">
        <v>38</v>
      </c>
      <c r="J1560" s="26" t="s">
        <v>5745</v>
      </c>
      <c r="K1560" s="26" t="s">
        <v>5746</v>
      </c>
      <c r="L1560" s="26">
        <v>2853744.9</v>
      </c>
      <c r="M1560" s="26">
        <v>0</v>
      </c>
      <c r="N1560" s="26">
        <v>0</v>
      </c>
      <c r="O1560" s="26">
        <v>17873454.899999999</v>
      </c>
      <c r="P1560" s="26" t="s">
        <v>41</v>
      </c>
      <c r="Q1560" s="26" t="s">
        <v>42</v>
      </c>
      <c r="R1560" s="26"/>
      <c r="S1560" s="26"/>
      <c r="T1560" s="26"/>
      <c r="U1560" s="26"/>
      <c r="V1560" s="26" t="s">
        <v>43</v>
      </c>
      <c r="W1560" s="26"/>
      <c r="X1560" s="26"/>
    </row>
    <row r="1561" spans="1:24">
      <c r="A1561" s="26" t="s">
        <v>31</v>
      </c>
      <c r="B1561" s="26" t="s">
        <v>6089</v>
      </c>
      <c r="C1561" s="26" t="s">
        <v>6090</v>
      </c>
      <c r="D1561" s="26">
        <f t="shared" si="26"/>
        <v>-1</v>
      </c>
      <c r="E1561" s="26" t="s">
        <v>34</v>
      </c>
      <c r="F1561" s="26" t="s">
        <v>5954</v>
      </c>
      <c r="G1561" s="26" t="s">
        <v>6091</v>
      </c>
      <c r="H1561" s="26" t="s">
        <v>37</v>
      </c>
      <c r="I1561" s="26" t="s">
        <v>38</v>
      </c>
      <c r="J1561" s="26" t="s">
        <v>3092</v>
      </c>
      <c r="K1561" s="26" t="s">
        <v>3093</v>
      </c>
      <c r="L1561" s="26">
        <v>104575.11</v>
      </c>
      <c r="M1561" s="26">
        <v>0</v>
      </c>
      <c r="N1561" s="26">
        <v>0</v>
      </c>
      <c r="O1561" s="26">
        <v>916050.11</v>
      </c>
      <c r="P1561" s="26" t="s">
        <v>41</v>
      </c>
      <c r="Q1561" s="26" t="s">
        <v>42</v>
      </c>
      <c r="R1561" s="26"/>
      <c r="S1561" s="26"/>
      <c r="T1561" s="26"/>
      <c r="U1561" s="26"/>
      <c r="V1561" s="26" t="s">
        <v>43</v>
      </c>
      <c r="W1561" s="26"/>
      <c r="X1561" s="26"/>
    </row>
    <row r="1562" spans="1:24">
      <c r="A1562" s="26" t="s">
        <v>31</v>
      </c>
      <c r="B1562" s="26" t="s">
        <v>6092</v>
      </c>
      <c r="C1562" s="26" t="s">
        <v>6093</v>
      </c>
      <c r="D1562" s="26">
        <f t="shared" si="26"/>
        <v>-1</v>
      </c>
      <c r="E1562" s="26" t="s">
        <v>34</v>
      </c>
      <c r="F1562" s="26" t="s">
        <v>5954</v>
      </c>
      <c r="G1562" s="26" t="s">
        <v>6094</v>
      </c>
      <c r="H1562" s="26" t="s">
        <v>37</v>
      </c>
      <c r="I1562" s="26" t="s">
        <v>38</v>
      </c>
      <c r="J1562" s="26" t="s">
        <v>6095</v>
      </c>
      <c r="K1562" s="26" t="s">
        <v>6096</v>
      </c>
      <c r="L1562" s="26">
        <v>150089.75</v>
      </c>
      <c r="M1562" s="26">
        <v>0</v>
      </c>
      <c r="N1562" s="26">
        <v>0</v>
      </c>
      <c r="O1562" s="26">
        <v>1106114.75</v>
      </c>
      <c r="P1562" s="26" t="s">
        <v>41</v>
      </c>
      <c r="Q1562" s="26" t="s">
        <v>42</v>
      </c>
      <c r="R1562" s="26"/>
      <c r="S1562" s="26"/>
      <c r="T1562" s="26"/>
      <c r="U1562" s="26"/>
      <c r="V1562" s="26" t="s">
        <v>43</v>
      </c>
      <c r="W1562" s="26"/>
      <c r="X1562" s="26"/>
    </row>
    <row r="1563" spans="1:24">
      <c r="A1563" s="26" t="s">
        <v>31</v>
      </c>
      <c r="B1563" s="26" t="s">
        <v>6097</v>
      </c>
      <c r="C1563" s="26" t="s">
        <v>6098</v>
      </c>
      <c r="D1563" s="26">
        <f t="shared" si="26"/>
        <v>-1</v>
      </c>
      <c r="E1563" s="26" t="s">
        <v>34</v>
      </c>
      <c r="F1563" s="26" t="s">
        <v>5954</v>
      </c>
      <c r="G1563" s="26" t="s">
        <v>6099</v>
      </c>
      <c r="H1563" s="26" t="s">
        <v>37</v>
      </c>
      <c r="I1563" s="26" t="s">
        <v>38</v>
      </c>
      <c r="J1563" s="26" t="s">
        <v>2430</v>
      </c>
      <c r="K1563" s="26" t="s">
        <v>6100</v>
      </c>
      <c r="L1563" s="26">
        <v>513000</v>
      </c>
      <c r="M1563" s="26">
        <v>0</v>
      </c>
      <c r="N1563" s="26">
        <v>0</v>
      </c>
      <c r="O1563" s="26">
        <v>3213000</v>
      </c>
      <c r="P1563" s="26" t="s">
        <v>41</v>
      </c>
      <c r="Q1563" s="26" t="s">
        <v>42</v>
      </c>
      <c r="R1563" s="26"/>
      <c r="S1563" s="26"/>
      <c r="T1563" s="26"/>
      <c r="U1563" s="26"/>
      <c r="V1563" s="26" t="s">
        <v>43</v>
      </c>
      <c r="W1563" s="26"/>
      <c r="X1563" s="26"/>
    </row>
    <row r="1564" spans="1:24">
      <c r="A1564" s="26" t="s">
        <v>31</v>
      </c>
      <c r="B1564" s="26" t="s">
        <v>6101</v>
      </c>
      <c r="C1564" s="26" t="s">
        <v>6102</v>
      </c>
      <c r="D1564" s="26">
        <f t="shared" si="26"/>
        <v>-1</v>
      </c>
      <c r="E1564" s="26" t="s">
        <v>34</v>
      </c>
      <c r="F1564" s="26" t="s">
        <v>5954</v>
      </c>
      <c r="G1564" s="26" t="s">
        <v>6103</v>
      </c>
      <c r="H1564" s="26" t="s">
        <v>37</v>
      </c>
      <c r="I1564" s="26" t="s">
        <v>38</v>
      </c>
      <c r="J1564" s="26" t="s">
        <v>2430</v>
      </c>
      <c r="K1564" s="26" t="s">
        <v>6100</v>
      </c>
      <c r="L1564" s="26">
        <v>169130.97</v>
      </c>
      <c r="M1564" s="26">
        <v>0</v>
      </c>
      <c r="N1564" s="26">
        <v>0</v>
      </c>
      <c r="O1564" s="26">
        <v>1059293.97</v>
      </c>
      <c r="P1564" s="26" t="s">
        <v>41</v>
      </c>
      <c r="Q1564" s="26" t="s">
        <v>42</v>
      </c>
      <c r="R1564" s="26"/>
      <c r="S1564" s="26"/>
      <c r="T1564" s="26"/>
      <c r="U1564" s="26"/>
      <c r="V1564" s="26" t="s">
        <v>43</v>
      </c>
      <c r="W1564" s="26"/>
      <c r="X1564" s="26"/>
    </row>
    <row r="1565" spans="1:24">
      <c r="A1565" s="33" t="s">
        <v>31</v>
      </c>
      <c r="B1565" s="33" t="s">
        <v>6104</v>
      </c>
      <c r="C1565" s="33" t="s">
        <v>6105</v>
      </c>
      <c r="D1565" s="33">
        <f t="shared" si="26"/>
        <v>-1</v>
      </c>
      <c r="E1565" s="33" t="s">
        <v>34</v>
      </c>
      <c r="F1565" s="33" t="s">
        <v>5954</v>
      </c>
      <c r="G1565" s="33" t="s">
        <v>6106</v>
      </c>
      <c r="H1565" s="33" t="s">
        <v>37</v>
      </c>
      <c r="I1565" s="33" t="s">
        <v>38</v>
      </c>
      <c r="J1565" s="33" t="s">
        <v>4639</v>
      </c>
      <c r="K1565" s="33" t="s">
        <v>4640</v>
      </c>
      <c r="L1565" s="33">
        <v>1153412.1000000001</v>
      </c>
      <c r="M1565" s="33">
        <v>0</v>
      </c>
      <c r="N1565" s="33">
        <v>0</v>
      </c>
      <c r="O1565" s="33">
        <v>7224002.0999999996</v>
      </c>
      <c r="P1565" s="33" t="s">
        <v>41</v>
      </c>
      <c r="Q1565" s="33" t="s">
        <v>42</v>
      </c>
      <c r="R1565" s="26"/>
      <c r="S1565" s="26" t="s">
        <v>43</v>
      </c>
      <c r="T1565" s="26"/>
      <c r="U1565" s="26"/>
      <c r="V1565" s="26"/>
      <c r="W1565" s="26"/>
      <c r="X1565" s="26"/>
    </row>
    <row r="1566" spans="1:24">
      <c r="A1566" s="33" t="s">
        <v>31</v>
      </c>
      <c r="B1566" s="33" t="s">
        <v>6107</v>
      </c>
      <c r="C1566" s="33" t="s">
        <v>6108</v>
      </c>
      <c r="D1566" s="33">
        <f t="shared" si="26"/>
        <v>-1</v>
      </c>
      <c r="E1566" s="33" t="s">
        <v>34</v>
      </c>
      <c r="F1566" s="33" t="s">
        <v>5954</v>
      </c>
      <c r="G1566" s="33" t="s">
        <v>6109</v>
      </c>
      <c r="H1566" s="33" t="s">
        <v>37</v>
      </c>
      <c r="I1566" s="33" t="s">
        <v>38</v>
      </c>
      <c r="J1566" s="33" t="s">
        <v>890</v>
      </c>
      <c r="K1566" s="33" t="s">
        <v>891</v>
      </c>
      <c r="L1566" s="33">
        <v>10425.299999999999</v>
      </c>
      <c r="M1566" s="33">
        <v>0</v>
      </c>
      <c r="N1566" s="33">
        <v>0</v>
      </c>
      <c r="O1566" s="33">
        <v>130295.3</v>
      </c>
      <c r="P1566" s="33" t="s">
        <v>41</v>
      </c>
      <c r="Q1566" s="33" t="s">
        <v>42</v>
      </c>
      <c r="R1566" s="26"/>
      <c r="S1566" s="26" t="s">
        <v>43</v>
      </c>
      <c r="T1566" s="26"/>
      <c r="U1566" s="26"/>
      <c r="V1566" s="26"/>
      <c r="W1566" s="26"/>
      <c r="X1566" s="26"/>
    </row>
    <row r="1567" spans="1:24">
      <c r="A1567" s="26" t="s">
        <v>31</v>
      </c>
      <c r="B1567" s="26" t="s">
        <v>6110</v>
      </c>
      <c r="C1567" s="26" t="s">
        <v>6111</v>
      </c>
      <c r="D1567" s="26">
        <f t="shared" si="26"/>
        <v>-1</v>
      </c>
      <c r="E1567" s="26" t="s">
        <v>34</v>
      </c>
      <c r="F1567" s="26" t="s">
        <v>5954</v>
      </c>
      <c r="G1567" s="26" t="s">
        <v>6112</v>
      </c>
      <c r="H1567" s="26" t="s">
        <v>37</v>
      </c>
      <c r="I1567" s="26" t="s">
        <v>38</v>
      </c>
      <c r="J1567" s="26" t="s">
        <v>1610</v>
      </c>
      <c r="K1567" s="26" t="s">
        <v>1611</v>
      </c>
      <c r="L1567" s="26">
        <v>633460</v>
      </c>
      <c r="M1567" s="26">
        <v>0</v>
      </c>
      <c r="N1567" s="26">
        <v>0</v>
      </c>
      <c r="O1567" s="26">
        <v>3967460</v>
      </c>
      <c r="P1567" s="26" t="s">
        <v>41</v>
      </c>
      <c r="Q1567" s="26" t="s">
        <v>42</v>
      </c>
      <c r="R1567" s="26"/>
      <c r="S1567" s="26"/>
      <c r="T1567" s="26"/>
      <c r="U1567" s="26"/>
      <c r="V1567" s="26" t="s">
        <v>43</v>
      </c>
      <c r="W1567" s="26"/>
      <c r="X1567" s="26"/>
    </row>
    <row r="1568" spans="1:24">
      <c r="A1568" s="26" t="s">
        <v>31</v>
      </c>
      <c r="B1568" s="26" t="s">
        <v>6113</v>
      </c>
      <c r="C1568" s="26" t="s">
        <v>6114</v>
      </c>
      <c r="D1568" s="26">
        <f t="shared" si="26"/>
        <v>-1</v>
      </c>
      <c r="E1568" s="26" t="s">
        <v>34</v>
      </c>
      <c r="F1568" s="26" t="s">
        <v>5954</v>
      </c>
      <c r="G1568" s="26" t="s">
        <v>6115</v>
      </c>
      <c r="H1568" s="26" t="s">
        <v>37</v>
      </c>
      <c r="I1568" s="26" t="s">
        <v>38</v>
      </c>
      <c r="J1568" s="26" t="s">
        <v>2260</v>
      </c>
      <c r="K1568" s="26" t="s">
        <v>2261</v>
      </c>
      <c r="L1568" s="26">
        <v>205200</v>
      </c>
      <c r="M1568" s="26">
        <v>0</v>
      </c>
      <c r="N1568" s="26">
        <v>0</v>
      </c>
      <c r="O1568" s="26">
        <v>1285200</v>
      </c>
      <c r="P1568" s="26" t="s">
        <v>41</v>
      </c>
      <c r="Q1568" s="26" t="s">
        <v>42</v>
      </c>
      <c r="R1568" s="26"/>
      <c r="S1568" s="26"/>
      <c r="T1568" s="26"/>
      <c r="U1568" s="26"/>
      <c r="V1568" s="26" t="s">
        <v>43</v>
      </c>
      <c r="W1568" s="26"/>
      <c r="X1568" s="26"/>
    </row>
    <row r="1569" spans="1:24">
      <c r="A1569" s="26" t="s">
        <v>31</v>
      </c>
      <c r="B1569" s="26" t="s">
        <v>6116</v>
      </c>
      <c r="C1569" s="26" t="s">
        <v>6117</v>
      </c>
      <c r="D1569" s="26">
        <f t="shared" si="26"/>
        <v>-1</v>
      </c>
      <c r="E1569" s="26" t="s">
        <v>34</v>
      </c>
      <c r="F1569" s="26" t="s">
        <v>5954</v>
      </c>
      <c r="G1569" s="26" t="s">
        <v>6118</v>
      </c>
      <c r="H1569" s="26" t="s">
        <v>37</v>
      </c>
      <c r="I1569" s="26" t="s">
        <v>38</v>
      </c>
      <c r="J1569" s="26" t="s">
        <v>6119</v>
      </c>
      <c r="K1569" s="26" t="s">
        <v>6120</v>
      </c>
      <c r="L1569" s="26">
        <v>237019.9</v>
      </c>
      <c r="M1569" s="26">
        <v>0</v>
      </c>
      <c r="N1569" s="26">
        <v>0</v>
      </c>
      <c r="O1569" s="26">
        <v>1804889.56</v>
      </c>
      <c r="P1569" s="26" t="s">
        <v>41</v>
      </c>
      <c r="Q1569" s="26" t="s">
        <v>42</v>
      </c>
      <c r="R1569" s="26"/>
      <c r="S1569" s="26"/>
      <c r="T1569" s="26"/>
      <c r="U1569" s="26"/>
      <c r="V1569" s="26" t="s">
        <v>43</v>
      </c>
      <c r="W1569" s="26"/>
      <c r="X1569" s="26"/>
    </row>
    <row r="1570" spans="1:24">
      <c r="A1570" s="26" t="s">
        <v>31</v>
      </c>
      <c r="B1570" s="26" t="s">
        <v>6121</v>
      </c>
      <c r="C1570" s="26" t="s">
        <v>6122</v>
      </c>
      <c r="D1570" s="26">
        <f t="shared" si="26"/>
        <v>-1</v>
      </c>
      <c r="E1570" s="26" t="s">
        <v>34</v>
      </c>
      <c r="F1570" s="26" t="s">
        <v>5954</v>
      </c>
      <c r="G1570" s="26" t="s">
        <v>6123</v>
      </c>
      <c r="H1570" s="26" t="s">
        <v>37</v>
      </c>
      <c r="I1570" s="26" t="s">
        <v>38</v>
      </c>
      <c r="J1570" s="26" t="s">
        <v>6124</v>
      </c>
      <c r="K1570" s="26" t="s">
        <v>6125</v>
      </c>
      <c r="L1570" s="26">
        <v>46293.5</v>
      </c>
      <c r="M1570" s="26">
        <v>0</v>
      </c>
      <c r="N1570" s="26">
        <v>0</v>
      </c>
      <c r="O1570" s="26">
        <v>289943.5</v>
      </c>
      <c r="P1570" s="26" t="s">
        <v>41</v>
      </c>
      <c r="Q1570" s="26" t="s">
        <v>42</v>
      </c>
      <c r="R1570" s="26"/>
      <c r="S1570" s="26"/>
      <c r="T1570" s="26"/>
      <c r="U1570" s="26"/>
      <c r="V1570" s="26" t="s">
        <v>43</v>
      </c>
      <c r="W1570" s="26"/>
      <c r="X1570" s="26"/>
    </row>
    <row r="1571" spans="1:24">
      <c r="A1571" s="26" t="s">
        <v>31</v>
      </c>
      <c r="B1571" s="26" t="s">
        <v>6126</v>
      </c>
      <c r="C1571" s="26" t="s">
        <v>6127</v>
      </c>
      <c r="D1571" s="26">
        <f t="shared" si="26"/>
        <v>-1</v>
      </c>
      <c r="E1571" s="26" t="s">
        <v>34</v>
      </c>
      <c r="F1571" s="26" t="s">
        <v>5954</v>
      </c>
      <c r="G1571" s="26" t="s">
        <v>6128</v>
      </c>
      <c r="H1571" s="26" t="s">
        <v>37</v>
      </c>
      <c r="I1571" s="26" t="s">
        <v>38</v>
      </c>
      <c r="J1571" s="26" t="s">
        <v>6124</v>
      </c>
      <c r="K1571" s="26" t="s">
        <v>6125</v>
      </c>
      <c r="L1571" s="26">
        <v>36876</v>
      </c>
      <c r="M1571" s="26">
        <v>0</v>
      </c>
      <c r="N1571" s="26">
        <v>0</v>
      </c>
      <c r="O1571" s="26">
        <v>321626</v>
      </c>
      <c r="P1571" s="26" t="s">
        <v>41</v>
      </c>
      <c r="Q1571" s="26" t="s">
        <v>42</v>
      </c>
      <c r="R1571" s="26"/>
      <c r="S1571" s="26"/>
      <c r="T1571" s="26"/>
      <c r="U1571" s="26"/>
      <c r="V1571" s="26" t="s">
        <v>43</v>
      </c>
      <c r="W1571" s="26"/>
      <c r="X1571" s="26"/>
    </row>
    <row r="1572" spans="1:24">
      <c r="A1572" s="26" t="s">
        <v>31</v>
      </c>
      <c r="B1572" s="26" t="s">
        <v>6129</v>
      </c>
      <c r="C1572" s="26" t="s">
        <v>6130</v>
      </c>
      <c r="D1572" s="26">
        <f t="shared" si="26"/>
        <v>-1</v>
      </c>
      <c r="E1572" s="26" t="s">
        <v>34</v>
      </c>
      <c r="F1572" s="26" t="s">
        <v>5954</v>
      </c>
      <c r="G1572" s="26" t="s">
        <v>6131</v>
      </c>
      <c r="H1572" s="26" t="s">
        <v>37</v>
      </c>
      <c r="I1572" s="26" t="s">
        <v>38</v>
      </c>
      <c r="J1572" s="26" t="s">
        <v>6124</v>
      </c>
      <c r="K1572" s="26" t="s">
        <v>6125</v>
      </c>
      <c r="L1572" s="26">
        <v>36020.5</v>
      </c>
      <c r="M1572" s="26">
        <v>0</v>
      </c>
      <c r="N1572" s="26">
        <v>0</v>
      </c>
      <c r="O1572" s="26">
        <v>326070.5</v>
      </c>
      <c r="P1572" s="26" t="s">
        <v>41</v>
      </c>
      <c r="Q1572" s="26" t="s">
        <v>42</v>
      </c>
      <c r="R1572" s="26"/>
      <c r="S1572" s="26"/>
      <c r="T1572" s="26"/>
      <c r="U1572" s="26"/>
      <c r="V1572" s="26" t="s">
        <v>43</v>
      </c>
      <c r="W1572" s="26"/>
      <c r="X1572" s="26"/>
    </row>
    <row r="1573" spans="1:24">
      <c r="A1573" s="26" t="s">
        <v>31</v>
      </c>
      <c r="B1573" s="26" t="s">
        <v>6132</v>
      </c>
      <c r="C1573" s="26" t="s">
        <v>6133</v>
      </c>
      <c r="D1573" s="26">
        <f t="shared" si="26"/>
        <v>-1</v>
      </c>
      <c r="E1573" s="26" t="s">
        <v>34</v>
      </c>
      <c r="F1573" s="26" t="s">
        <v>5954</v>
      </c>
      <c r="G1573" s="26" t="s">
        <v>6134</v>
      </c>
      <c r="H1573" s="26" t="s">
        <v>37</v>
      </c>
      <c r="I1573" s="26" t="s">
        <v>38</v>
      </c>
      <c r="J1573" s="26" t="s">
        <v>6124</v>
      </c>
      <c r="K1573" s="26" t="s">
        <v>6125</v>
      </c>
      <c r="L1573" s="26">
        <v>50611.5</v>
      </c>
      <c r="M1573" s="26">
        <v>0</v>
      </c>
      <c r="N1573" s="26">
        <v>0</v>
      </c>
      <c r="O1573" s="26">
        <v>458461.5</v>
      </c>
      <c r="P1573" s="26" t="s">
        <v>41</v>
      </c>
      <c r="Q1573" s="26" t="s">
        <v>42</v>
      </c>
      <c r="R1573" s="26"/>
      <c r="S1573" s="26"/>
      <c r="T1573" s="26"/>
      <c r="U1573" s="26"/>
      <c r="V1573" s="26" t="s">
        <v>43</v>
      </c>
      <c r="W1573" s="26"/>
      <c r="X1573" s="26"/>
    </row>
    <row r="1574" spans="1:24">
      <c r="A1574" s="26" t="s">
        <v>31</v>
      </c>
      <c r="B1574" s="26" t="s">
        <v>6135</v>
      </c>
      <c r="C1574" s="26" t="s">
        <v>6136</v>
      </c>
      <c r="D1574" s="26">
        <f t="shared" si="26"/>
        <v>-1</v>
      </c>
      <c r="E1574" s="26" t="s">
        <v>34</v>
      </c>
      <c r="F1574" s="26" t="s">
        <v>5954</v>
      </c>
      <c r="G1574" s="26" t="s">
        <v>6137</v>
      </c>
      <c r="H1574" s="26" t="s">
        <v>37</v>
      </c>
      <c r="I1574" s="26" t="s">
        <v>38</v>
      </c>
      <c r="J1574" s="26" t="s">
        <v>6124</v>
      </c>
      <c r="K1574" s="26" t="s">
        <v>6125</v>
      </c>
      <c r="L1574" s="26">
        <v>2755</v>
      </c>
      <c r="M1574" s="26">
        <v>0</v>
      </c>
      <c r="N1574" s="26">
        <v>0</v>
      </c>
      <c r="O1574" s="26">
        <v>17255</v>
      </c>
      <c r="P1574" s="26" t="s">
        <v>41</v>
      </c>
      <c r="Q1574" s="26" t="s">
        <v>42</v>
      </c>
      <c r="R1574" s="26"/>
      <c r="S1574" s="26"/>
      <c r="T1574" s="26"/>
      <c r="U1574" s="26"/>
      <c r="V1574" s="26" t="s">
        <v>43</v>
      </c>
      <c r="W1574" s="26"/>
      <c r="X1574" s="26"/>
    </row>
    <row r="1575" spans="1:24">
      <c r="A1575" s="34" t="s">
        <v>31</v>
      </c>
      <c r="B1575" s="34" t="s">
        <v>6138</v>
      </c>
      <c r="C1575" s="34" t="s">
        <v>6139</v>
      </c>
      <c r="D1575" s="34">
        <f t="shared" si="26"/>
        <v>-1</v>
      </c>
      <c r="E1575" s="34" t="s">
        <v>34</v>
      </c>
      <c r="F1575" s="34" t="s">
        <v>5954</v>
      </c>
      <c r="G1575" s="34" t="s">
        <v>6140</v>
      </c>
      <c r="H1575" s="34" t="s">
        <v>37</v>
      </c>
      <c r="I1575" s="34" t="s">
        <v>38</v>
      </c>
      <c r="J1575" s="34" t="s">
        <v>4324</v>
      </c>
      <c r="K1575" s="34" t="s">
        <v>4325</v>
      </c>
      <c r="L1575" s="34">
        <v>6507500</v>
      </c>
      <c r="M1575" s="34">
        <v>0</v>
      </c>
      <c r="N1575" s="34">
        <v>0</v>
      </c>
      <c r="O1575" s="34">
        <v>40757500</v>
      </c>
      <c r="P1575" s="34" t="s">
        <v>41</v>
      </c>
      <c r="Q1575" s="34" t="s">
        <v>42</v>
      </c>
      <c r="R1575" s="26"/>
      <c r="S1575" s="26"/>
      <c r="T1575" s="26" t="s">
        <v>43</v>
      </c>
      <c r="U1575" s="26"/>
      <c r="V1575" s="26"/>
      <c r="W1575" s="26"/>
      <c r="X1575" s="26"/>
    </row>
    <row r="1576" spans="1:24">
      <c r="A1576" s="26" t="s">
        <v>31</v>
      </c>
      <c r="B1576" s="26" t="s">
        <v>6141</v>
      </c>
      <c r="C1576" s="26" t="s">
        <v>6142</v>
      </c>
      <c r="D1576" s="26">
        <f t="shared" si="26"/>
        <v>-1</v>
      </c>
      <c r="E1576" s="26" t="s">
        <v>34</v>
      </c>
      <c r="F1576" s="26" t="s">
        <v>5954</v>
      </c>
      <c r="G1576" s="26" t="s">
        <v>6143</v>
      </c>
      <c r="H1576" s="26" t="s">
        <v>37</v>
      </c>
      <c r="I1576" s="26" t="s">
        <v>38</v>
      </c>
      <c r="J1576" s="26" t="s">
        <v>6144</v>
      </c>
      <c r="K1576" s="26" t="s">
        <v>6145</v>
      </c>
      <c r="L1576" s="26">
        <v>25460</v>
      </c>
      <c r="M1576" s="26">
        <v>0</v>
      </c>
      <c r="N1576" s="26">
        <v>0</v>
      </c>
      <c r="O1576" s="26">
        <v>159460</v>
      </c>
      <c r="P1576" s="26" t="s">
        <v>41</v>
      </c>
      <c r="Q1576" s="26" t="s">
        <v>42</v>
      </c>
      <c r="R1576" s="26"/>
      <c r="S1576" s="26"/>
      <c r="T1576" s="26"/>
      <c r="U1576" s="26"/>
      <c r="V1576" s="26" t="s">
        <v>43</v>
      </c>
      <c r="W1576" s="26"/>
      <c r="X1576" s="26"/>
    </row>
    <row r="1577" spans="1:24">
      <c r="A1577" s="35" t="s">
        <v>31</v>
      </c>
      <c r="B1577" s="35" t="s">
        <v>6146</v>
      </c>
      <c r="C1577" s="35" t="s">
        <v>6147</v>
      </c>
      <c r="D1577" s="35">
        <f t="shared" ref="D1577:D1640" si="27">C1577-C1578</f>
        <v>-1</v>
      </c>
      <c r="E1577" s="35" t="s">
        <v>34</v>
      </c>
      <c r="F1577" s="35" t="s">
        <v>5954</v>
      </c>
      <c r="G1577" s="35" t="s">
        <v>6148</v>
      </c>
      <c r="H1577" s="35" t="s">
        <v>37</v>
      </c>
      <c r="I1577" s="35" t="s">
        <v>38</v>
      </c>
      <c r="J1577" s="35" t="s">
        <v>6149</v>
      </c>
      <c r="K1577" s="35" t="s">
        <v>6150</v>
      </c>
      <c r="L1577" s="35">
        <v>25923.599999999999</v>
      </c>
      <c r="M1577" s="35">
        <v>0</v>
      </c>
      <c r="N1577" s="35">
        <v>0</v>
      </c>
      <c r="O1577" s="35">
        <v>162363.6</v>
      </c>
      <c r="P1577" s="35" t="s">
        <v>41</v>
      </c>
      <c r="Q1577" s="35" t="s">
        <v>42</v>
      </c>
      <c r="R1577" s="26"/>
      <c r="S1577" s="26"/>
      <c r="T1577" s="26"/>
      <c r="U1577" s="26"/>
      <c r="V1577" s="26"/>
      <c r="W1577" s="35" t="s">
        <v>628</v>
      </c>
      <c r="X1577" s="26" t="s">
        <v>647</v>
      </c>
    </row>
    <row r="1578" spans="1:24">
      <c r="A1578" s="34" t="s">
        <v>31</v>
      </c>
      <c r="B1578" s="34" t="s">
        <v>6151</v>
      </c>
      <c r="C1578" s="34" t="s">
        <v>6152</v>
      </c>
      <c r="D1578" s="34">
        <f t="shared" si="27"/>
        <v>-1</v>
      </c>
      <c r="E1578" s="34" t="s">
        <v>34</v>
      </c>
      <c r="F1578" s="34" t="s">
        <v>5954</v>
      </c>
      <c r="G1578" s="34" t="s">
        <v>6153</v>
      </c>
      <c r="H1578" s="34" t="s">
        <v>37</v>
      </c>
      <c r="I1578" s="34" t="s">
        <v>38</v>
      </c>
      <c r="J1578" s="34" t="s">
        <v>3265</v>
      </c>
      <c r="K1578" s="34" t="s">
        <v>3266</v>
      </c>
      <c r="L1578" s="34">
        <v>109758.65</v>
      </c>
      <c r="M1578" s="34">
        <v>0</v>
      </c>
      <c r="N1578" s="34">
        <v>0</v>
      </c>
      <c r="O1578" s="34">
        <v>1197041.6499999999</v>
      </c>
      <c r="P1578" s="34" t="s">
        <v>41</v>
      </c>
      <c r="Q1578" s="34" t="s">
        <v>42</v>
      </c>
      <c r="R1578" s="26"/>
      <c r="S1578" s="26"/>
      <c r="T1578" s="26" t="s">
        <v>43</v>
      </c>
      <c r="U1578" s="26"/>
      <c r="V1578" s="26"/>
      <c r="W1578" s="26"/>
      <c r="X1578" s="26"/>
    </row>
    <row r="1579" spans="1:24">
      <c r="A1579" s="26" t="s">
        <v>31</v>
      </c>
      <c r="B1579" s="26" t="s">
        <v>6154</v>
      </c>
      <c r="C1579" s="26" t="s">
        <v>6155</v>
      </c>
      <c r="D1579" s="26">
        <f t="shared" si="27"/>
        <v>-1</v>
      </c>
      <c r="E1579" s="26" t="s">
        <v>34</v>
      </c>
      <c r="F1579" s="26" t="s">
        <v>5954</v>
      </c>
      <c r="G1579" s="26" t="s">
        <v>6156</v>
      </c>
      <c r="H1579" s="26" t="s">
        <v>37</v>
      </c>
      <c r="I1579" s="26" t="s">
        <v>38</v>
      </c>
      <c r="J1579" s="26" t="s">
        <v>2459</v>
      </c>
      <c r="K1579" s="26" t="s">
        <v>2460</v>
      </c>
      <c r="L1579" s="26">
        <v>8276903.8799999999</v>
      </c>
      <c r="M1579" s="26">
        <v>0</v>
      </c>
      <c r="N1579" s="26">
        <v>0</v>
      </c>
      <c r="O1579" s="26">
        <v>51839555.880000003</v>
      </c>
      <c r="P1579" s="26" t="s">
        <v>41</v>
      </c>
      <c r="Q1579" s="26" t="s">
        <v>42</v>
      </c>
      <c r="R1579" s="26"/>
      <c r="S1579" s="26"/>
      <c r="T1579" s="26"/>
      <c r="U1579" s="26"/>
      <c r="V1579" s="26" t="s">
        <v>43</v>
      </c>
      <c r="W1579" s="26"/>
      <c r="X1579" s="26"/>
    </row>
    <row r="1580" spans="1:24">
      <c r="A1580" s="35" t="s">
        <v>31</v>
      </c>
      <c r="B1580" s="35" t="s">
        <v>6157</v>
      </c>
      <c r="C1580" s="35" t="s">
        <v>6158</v>
      </c>
      <c r="D1580" s="35">
        <f t="shared" si="27"/>
        <v>-1</v>
      </c>
      <c r="E1580" s="35" t="s">
        <v>34</v>
      </c>
      <c r="F1580" s="35" t="s">
        <v>5954</v>
      </c>
      <c r="G1580" s="35" t="s">
        <v>6159</v>
      </c>
      <c r="H1580" s="35" t="s">
        <v>37</v>
      </c>
      <c r="I1580" s="35" t="s">
        <v>38</v>
      </c>
      <c r="J1580" s="35" t="s">
        <v>2576</v>
      </c>
      <c r="K1580" s="35" t="s">
        <v>2577</v>
      </c>
      <c r="L1580" s="35">
        <v>201476.38</v>
      </c>
      <c r="M1580" s="35">
        <v>0</v>
      </c>
      <c r="N1580" s="35">
        <v>0</v>
      </c>
      <c r="O1580" s="35">
        <v>1261878.3799999999</v>
      </c>
      <c r="P1580" s="35" t="s">
        <v>41</v>
      </c>
      <c r="Q1580" s="35" t="s">
        <v>42</v>
      </c>
      <c r="R1580" s="26"/>
      <c r="S1580" s="26"/>
      <c r="T1580" s="26"/>
      <c r="U1580" s="26"/>
      <c r="V1580" s="26"/>
      <c r="W1580" s="35" t="s">
        <v>43</v>
      </c>
      <c r="X1580" s="26" t="s">
        <v>647</v>
      </c>
    </row>
    <row r="1581" spans="1:24">
      <c r="A1581" s="26" t="s">
        <v>31</v>
      </c>
      <c r="B1581" s="26" t="s">
        <v>6160</v>
      </c>
      <c r="C1581" s="26" t="s">
        <v>6161</v>
      </c>
      <c r="D1581" s="26">
        <f t="shared" si="27"/>
        <v>-1</v>
      </c>
      <c r="E1581" s="26" t="s">
        <v>34</v>
      </c>
      <c r="F1581" s="26" t="s">
        <v>5954</v>
      </c>
      <c r="G1581" s="26" t="s">
        <v>6162</v>
      </c>
      <c r="H1581" s="26" t="s">
        <v>37</v>
      </c>
      <c r="I1581" s="26" t="s">
        <v>38</v>
      </c>
      <c r="J1581" s="26" t="s">
        <v>6163</v>
      </c>
      <c r="K1581" s="26" t="s">
        <v>6164</v>
      </c>
      <c r="L1581" s="26">
        <v>0</v>
      </c>
      <c r="M1581" s="26">
        <v>0</v>
      </c>
      <c r="N1581" s="26">
        <v>0</v>
      </c>
      <c r="O1581" s="26">
        <v>7712066.2699999996</v>
      </c>
      <c r="P1581" s="26" t="s">
        <v>41</v>
      </c>
      <c r="Q1581" s="26" t="s">
        <v>42</v>
      </c>
      <c r="R1581" s="26"/>
      <c r="S1581" s="26"/>
      <c r="T1581" s="26"/>
      <c r="U1581" s="26"/>
      <c r="V1581" s="26" t="s">
        <v>43</v>
      </c>
      <c r="W1581" s="26"/>
      <c r="X1581" s="26"/>
    </row>
    <row r="1582" spans="1:24">
      <c r="A1582" s="32" t="s">
        <v>31</v>
      </c>
      <c r="B1582" s="32" t="s">
        <v>6165</v>
      </c>
      <c r="C1582" s="32" t="s">
        <v>6166</v>
      </c>
      <c r="D1582" s="32">
        <f t="shared" si="27"/>
        <v>-1</v>
      </c>
      <c r="E1582" s="32" t="s">
        <v>34</v>
      </c>
      <c r="F1582" s="32" t="s">
        <v>5954</v>
      </c>
      <c r="G1582" s="32" t="s">
        <v>6167</v>
      </c>
      <c r="H1582" s="32" t="s">
        <v>37</v>
      </c>
      <c r="I1582" s="32" t="s">
        <v>38</v>
      </c>
      <c r="J1582" s="32" t="s">
        <v>1869</v>
      </c>
      <c r="K1582" s="32" t="s">
        <v>1870</v>
      </c>
      <c r="L1582" s="32">
        <v>363919.92</v>
      </c>
      <c r="M1582" s="32">
        <v>0</v>
      </c>
      <c r="N1582" s="32">
        <v>0</v>
      </c>
      <c r="O1582" s="32">
        <v>2279287.92</v>
      </c>
      <c r="P1582" s="32" t="s">
        <v>41</v>
      </c>
      <c r="Q1582" s="32" t="s">
        <v>42</v>
      </c>
      <c r="R1582" s="26" t="s">
        <v>43</v>
      </c>
      <c r="S1582" s="26"/>
      <c r="T1582" s="26"/>
      <c r="U1582" s="26"/>
      <c r="V1582" s="26"/>
      <c r="W1582" s="26"/>
      <c r="X1582" s="26"/>
    </row>
    <row r="1583" spans="1:24">
      <c r="A1583" s="34" t="s">
        <v>31</v>
      </c>
      <c r="B1583" s="34" t="s">
        <v>6168</v>
      </c>
      <c r="C1583" s="34" t="s">
        <v>6169</v>
      </c>
      <c r="D1583" s="34">
        <f t="shared" si="27"/>
        <v>-1</v>
      </c>
      <c r="E1583" s="34" t="s">
        <v>34</v>
      </c>
      <c r="F1583" s="34" t="s">
        <v>5954</v>
      </c>
      <c r="G1583" s="34" t="s">
        <v>6170</v>
      </c>
      <c r="H1583" s="34" t="s">
        <v>37</v>
      </c>
      <c r="I1583" s="34" t="s">
        <v>38</v>
      </c>
      <c r="J1583" s="34" t="s">
        <v>6171</v>
      </c>
      <c r="K1583" s="34" t="s">
        <v>6172</v>
      </c>
      <c r="L1583" s="34">
        <v>294496.2</v>
      </c>
      <c r="M1583" s="34">
        <v>0</v>
      </c>
      <c r="N1583" s="34">
        <v>0</v>
      </c>
      <c r="O1583" s="34">
        <v>1844476.2</v>
      </c>
      <c r="P1583" s="34" t="s">
        <v>41</v>
      </c>
      <c r="Q1583" s="34" t="s">
        <v>42</v>
      </c>
      <c r="R1583" s="26"/>
      <c r="S1583" s="26"/>
      <c r="T1583" s="26" t="s">
        <v>43</v>
      </c>
      <c r="U1583" s="26"/>
      <c r="V1583" s="26"/>
      <c r="W1583" s="26"/>
      <c r="X1583" s="26"/>
    </row>
    <row r="1584" spans="1:24">
      <c r="A1584" s="26" t="s">
        <v>31</v>
      </c>
      <c r="B1584" s="26" t="s">
        <v>6173</v>
      </c>
      <c r="C1584" s="26" t="s">
        <v>6174</v>
      </c>
      <c r="D1584" s="26">
        <f t="shared" si="27"/>
        <v>-1</v>
      </c>
      <c r="E1584" s="26" t="s">
        <v>34</v>
      </c>
      <c r="F1584" s="26" t="s">
        <v>5954</v>
      </c>
      <c r="G1584" s="26" t="s">
        <v>6175</v>
      </c>
      <c r="H1584" s="26" t="s">
        <v>37</v>
      </c>
      <c r="I1584" s="26" t="s">
        <v>38</v>
      </c>
      <c r="J1584" s="26" t="s">
        <v>1864</v>
      </c>
      <c r="K1584" s="26" t="s">
        <v>1865</v>
      </c>
      <c r="L1584" s="26">
        <v>640680</v>
      </c>
      <c r="M1584" s="26">
        <v>0</v>
      </c>
      <c r="N1584" s="26">
        <v>0</v>
      </c>
      <c r="O1584" s="26">
        <v>4012680</v>
      </c>
      <c r="P1584" s="26" t="s">
        <v>41</v>
      </c>
      <c r="Q1584" s="26" t="s">
        <v>42</v>
      </c>
      <c r="R1584" s="26"/>
      <c r="S1584" s="26"/>
      <c r="T1584" s="26"/>
      <c r="U1584" s="26"/>
      <c r="V1584" s="26" t="s">
        <v>43</v>
      </c>
      <c r="W1584" s="26"/>
      <c r="X1584" s="26"/>
    </row>
    <row r="1585" spans="1:24">
      <c r="A1585" s="26" t="s">
        <v>31</v>
      </c>
      <c r="B1585" s="26" t="s">
        <v>6176</v>
      </c>
      <c r="C1585" s="26" t="s">
        <v>6177</v>
      </c>
      <c r="D1585" s="26">
        <f t="shared" si="27"/>
        <v>-1</v>
      </c>
      <c r="E1585" s="26" t="s">
        <v>34</v>
      </c>
      <c r="F1585" s="26" t="s">
        <v>5954</v>
      </c>
      <c r="G1585" s="26" t="s">
        <v>6178</v>
      </c>
      <c r="H1585" s="26" t="s">
        <v>37</v>
      </c>
      <c r="I1585" s="26" t="s">
        <v>38</v>
      </c>
      <c r="J1585" s="26" t="s">
        <v>1808</v>
      </c>
      <c r="K1585" s="26" t="s">
        <v>1809</v>
      </c>
      <c r="L1585" s="26">
        <v>13680</v>
      </c>
      <c r="M1585" s="26">
        <v>0</v>
      </c>
      <c r="N1585" s="26">
        <v>0</v>
      </c>
      <c r="O1585" s="26">
        <v>85680</v>
      </c>
      <c r="P1585" s="26" t="s">
        <v>41</v>
      </c>
      <c r="Q1585" s="26" t="s">
        <v>42</v>
      </c>
      <c r="R1585" s="26"/>
      <c r="S1585" s="26"/>
      <c r="T1585" s="26"/>
      <c r="U1585" s="26"/>
      <c r="V1585" s="26" t="s">
        <v>43</v>
      </c>
      <c r="W1585" s="26"/>
      <c r="X1585" s="26"/>
    </row>
    <row r="1586" spans="1:24">
      <c r="A1586" s="33" t="s">
        <v>31</v>
      </c>
      <c r="B1586" s="33" t="s">
        <v>6179</v>
      </c>
      <c r="C1586" s="33" t="s">
        <v>6180</v>
      </c>
      <c r="D1586" s="33">
        <f t="shared" si="27"/>
        <v>-1</v>
      </c>
      <c r="E1586" s="33" t="s">
        <v>34</v>
      </c>
      <c r="F1586" s="33" t="s">
        <v>5954</v>
      </c>
      <c r="G1586" s="33" t="s">
        <v>6181</v>
      </c>
      <c r="H1586" s="33" t="s">
        <v>37</v>
      </c>
      <c r="I1586" s="33" t="s">
        <v>38</v>
      </c>
      <c r="J1586" s="33" t="s">
        <v>2331</v>
      </c>
      <c r="K1586" s="33" t="s">
        <v>2332</v>
      </c>
      <c r="L1586" s="33">
        <v>34200</v>
      </c>
      <c r="M1586" s="33">
        <v>0</v>
      </c>
      <c r="N1586" s="33">
        <v>0</v>
      </c>
      <c r="O1586" s="33">
        <v>214200</v>
      </c>
      <c r="P1586" s="33" t="s">
        <v>41</v>
      </c>
      <c r="Q1586" s="33" t="s">
        <v>42</v>
      </c>
      <c r="R1586" s="26"/>
      <c r="S1586" s="26" t="s">
        <v>43</v>
      </c>
      <c r="T1586" s="26"/>
      <c r="U1586" s="26"/>
      <c r="V1586" s="26"/>
      <c r="W1586" s="26"/>
      <c r="X1586" s="26"/>
    </row>
    <row r="1587" spans="1:24">
      <c r="A1587" s="26" t="s">
        <v>31</v>
      </c>
      <c r="B1587" s="26" t="s">
        <v>6182</v>
      </c>
      <c r="C1587" s="26" t="s">
        <v>6183</v>
      </c>
      <c r="D1587" s="26">
        <f t="shared" si="27"/>
        <v>-1</v>
      </c>
      <c r="E1587" s="26" t="s">
        <v>34</v>
      </c>
      <c r="F1587" s="26" t="s">
        <v>5954</v>
      </c>
      <c r="G1587" s="26" t="s">
        <v>6184</v>
      </c>
      <c r="H1587" s="26" t="s">
        <v>37</v>
      </c>
      <c r="I1587" s="26" t="s">
        <v>38</v>
      </c>
      <c r="J1587" s="26" t="s">
        <v>6032</v>
      </c>
      <c r="K1587" s="26" t="s">
        <v>6033</v>
      </c>
      <c r="L1587" s="26">
        <v>545300</v>
      </c>
      <c r="M1587" s="26">
        <v>0</v>
      </c>
      <c r="N1587" s="26">
        <v>0</v>
      </c>
      <c r="O1587" s="26">
        <v>17940300</v>
      </c>
      <c r="P1587" s="26" t="s">
        <v>41</v>
      </c>
      <c r="Q1587" s="26" t="s">
        <v>42</v>
      </c>
      <c r="R1587" s="26"/>
      <c r="S1587" s="26"/>
      <c r="T1587" s="26"/>
      <c r="U1587" s="26"/>
      <c r="V1587" s="26" t="s">
        <v>43</v>
      </c>
      <c r="W1587" s="26"/>
      <c r="X1587" s="26"/>
    </row>
    <row r="1588" spans="1:24">
      <c r="A1588" s="32" t="s">
        <v>31</v>
      </c>
      <c r="B1588" s="32" t="s">
        <v>6185</v>
      </c>
      <c r="C1588" s="32" t="s">
        <v>6186</v>
      </c>
      <c r="D1588" s="32">
        <f t="shared" si="27"/>
        <v>-1</v>
      </c>
      <c r="E1588" s="32" t="s">
        <v>34</v>
      </c>
      <c r="F1588" s="32" t="s">
        <v>5954</v>
      </c>
      <c r="G1588" s="32" t="s">
        <v>6187</v>
      </c>
      <c r="H1588" s="32" t="s">
        <v>37</v>
      </c>
      <c r="I1588" s="32" t="s">
        <v>38</v>
      </c>
      <c r="J1588" s="32" t="s">
        <v>1803</v>
      </c>
      <c r="K1588" s="32" t="s">
        <v>1804</v>
      </c>
      <c r="L1588" s="32">
        <v>649819</v>
      </c>
      <c r="M1588" s="32">
        <v>0</v>
      </c>
      <c r="N1588" s="32">
        <v>0</v>
      </c>
      <c r="O1588" s="32">
        <v>4069919</v>
      </c>
      <c r="P1588" s="32" t="s">
        <v>41</v>
      </c>
      <c r="Q1588" s="32" t="s">
        <v>42</v>
      </c>
      <c r="R1588" s="26" t="s">
        <v>43</v>
      </c>
      <c r="S1588" s="26"/>
      <c r="T1588" s="26"/>
      <c r="U1588" s="26"/>
      <c r="V1588" s="26"/>
      <c r="W1588" s="26"/>
      <c r="X1588" s="26"/>
    </row>
    <row r="1589" spans="1:24">
      <c r="A1589" s="35" t="s">
        <v>31</v>
      </c>
      <c r="B1589" s="35" t="s">
        <v>6188</v>
      </c>
      <c r="C1589" s="35" t="s">
        <v>6189</v>
      </c>
      <c r="D1589" s="35">
        <f t="shared" si="27"/>
        <v>-1</v>
      </c>
      <c r="E1589" s="35" t="s">
        <v>34</v>
      </c>
      <c r="F1589" s="35" t="s">
        <v>5954</v>
      </c>
      <c r="G1589" s="35" t="s">
        <v>6190</v>
      </c>
      <c r="H1589" s="35" t="s">
        <v>37</v>
      </c>
      <c r="I1589" s="35" t="s">
        <v>38</v>
      </c>
      <c r="J1589" s="35" t="s">
        <v>6191</v>
      </c>
      <c r="K1589" s="35" t="s">
        <v>6192</v>
      </c>
      <c r="L1589" s="35">
        <v>150318.5</v>
      </c>
      <c r="M1589" s="35">
        <v>0</v>
      </c>
      <c r="N1589" s="35">
        <v>0</v>
      </c>
      <c r="O1589" s="35">
        <v>941468.5</v>
      </c>
      <c r="P1589" s="35" t="s">
        <v>41</v>
      </c>
      <c r="Q1589" s="35" t="s">
        <v>42</v>
      </c>
      <c r="R1589" s="26"/>
      <c r="S1589" s="26"/>
      <c r="T1589" s="26"/>
      <c r="U1589" s="26"/>
      <c r="V1589" s="26"/>
      <c r="W1589" s="35" t="s">
        <v>43</v>
      </c>
      <c r="X1589" s="26" t="s">
        <v>1439</v>
      </c>
    </row>
    <row r="1590" spans="1:24">
      <c r="A1590" s="26" t="s">
        <v>31</v>
      </c>
      <c r="B1590" s="26" t="s">
        <v>6193</v>
      </c>
      <c r="C1590" s="26" t="s">
        <v>6194</v>
      </c>
      <c r="D1590" s="26">
        <f t="shared" si="27"/>
        <v>-1</v>
      </c>
      <c r="E1590" s="26" t="s">
        <v>34</v>
      </c>
      <c r="F1590" s="26" t="s">
        <v>5954</v>
      </c>
      <c r="G1590" s="26" t="s">
        <v>6195</v>
      </c>
      <c r="H1590" s="26" t="s">
        <v>37</v>
      </c>
      <c r="I1590" s="26" t="s">
        <v>38</v>
      </c>
      <c r="J1590" s="26" t="s">
        <v>6196</v>
      </c>
      <c r="K1590" s="26" t="s">
        <v>6197</v>
      </c>
      <c r="L1590" s="26">
        <v>478385.6</v>
      </c>
      <c r="M1590" s="26">
        <v>0</v>
      </c>
      <c r="N1590" s="26">
        <v>0</v>
      </c>
      <c r="O1590" s="26">
        <v>4331243.5999999996</v>
      </c>
      <c r="P1590" s="26" t="s">
        <v>41</v>
      </c>
      <c r="Q1590" s="26" t="s">
        <v>42</v>
      </c>
      <c r="R1590" s="26"/>
      <c r="S1590" s="26"/>
      <c r="T1590" s="26"/>
      <c r="U1590" s="26"/>
      <c r="V1590" s="26" t="s">
        <v>43</v>
      </c>
      <c r="W1590" s="26"/>
      <c r="X1590" s="26"/>
    </row>
    <row r="1591" spans="1:24">
      <c r="A1591" s="32" t="s">
        <v>31</v>
      </c>
      <c r="B1591" s="32" t="s">
        <v>6198</v>
      </c>
      <c r="C1591" s="32" t="s">
        <v>6199</v>
      </c>
      <c r="D1591" s="32">
        <f t="shared" si="27"/>
        <v>-1</v>
      </c>
      <c r="E1591" s="32" t="s">
        <v>34</v>
      </c>
      <c r="F1591" s="32" t="s">
        <v>5954</v>
      </c>
      <c r="G1591" s="32" t="s">
        <v>6200</v>
      </c>
      <c r="H1591" s="32" t="s">
        <v>37</v>
      </c>
      <c r="I1591" s="32" t="s">
        <v>38</v>
      </c>
      <c r="J1591" s="32" t="s">
        <v>2884</v>
      </c>
      <c r="K1591" s="32" t="s">
        <v>2885</v>
      </c>
      <c r="L1591" s="32">
        <v>7936.3</v>
      </c>
      <c r="M1591" s="32">
        <v>0</v>
      </c>
      <c r="N1591" s="32">
        <v>0</v>
      </c>
      <c r="O1591" s="32">
        <v>49706.3</v>
      </c>
      <c r="P1591" s="32" t="s">
        <v>41</v>
      </c>
      <c r="Q1591" s="32" t="s">
        <v>42</v>
      </c>
      <c r="R1591" s="26" t="s">
        <v>43</v>
      </c>
      <c r="S1591" s="26"/>
      <c r="T1591" s="26"/>
      <c r="U1591" s="26"/>
      <c r="V1591" s="26"/>
      <c r="W1591" s="26"/>
      <c r="X1591" s="26"/>
    </row>
    <row r="1592" spans="1:24">
      <c r="A1592" s="32" t="s">
        <v>31</v>
      </c>
      <c r="B1592" s="32" t="s">
        <v>6201</v>
      </c>
      <c r="C1592" s="32" t="s">
        <v>6202</v>
      </c>
      <c r="D1592" s="32">
        <f t="shared" si="27"/>
        <v>-1</v>
      </c>
      <c r="E1592" s="32" t="s">
        <v>34</v>
      </c>
      <c r="F1592" s="32" t="s">
        <v>5954</v>
      </c>
      <c r="G1592" s="32" t="s">
        <v>6203</v>
      </c>
      <c r="H1592" s="32" t="s">
        <v>37</v>
      </c>
      <c r="I1592" s="32" t="s">
        <v>38</v>
      </c>
      <c r="J1592" s="32" t="s">
        <v>4702</v>
      </c>
      <c r="K1592" s="32" t="s">
        <v>4703</v>
      </c>
      <c r="L1592" s="32">
        <v>1100385</v>
      </c>
      <c r="M1592" s="32">
        <v>0</v>
      </c>
      <c r="N1592" s="32">
        <v>0</v>
      </c>
      <c r="O1592" s="32">
        <v>6891885</v>
      </c>
      <c r="P1592" s="32" t="s">
        <v>41</v>
      </c>
      <c r="Q1592" s="32" t="s">
        <v>42</v>
      </c>
      <c r="R1592" s="26" t="s">
        <v>43</v>
      </c>
      <c r="S1592" s="26"/>
      <c r="T1592" s="26"/>
      <c r="U1592" s="26"/>
      <c r="V1592" s="26"/>
      <c r="W1592" s="26"/>
      <c r="X1592" s="26"/>
    </row>
    <row r="1593" spans="1:24">
      <c r="A1593" s="34" t="s">
        <v>31</v>
      </c>
      <c r="B1593" s="34" t="s">
        <v>6204</v>
      </c>
      <c r="C1593" s="34" t="s">
        <v>6205</v>
      </c>
      <c r="D1593" s="34">
        <f t="shared" si="27"/>
        <v>-1</v>
      </c>
      <c r="E1593" s="34" t="s">
        <v>34</v>
      </c>
      <c r="F1593" s="34" t="s">
        <v>5954</v>
      </c>
      <c r="G1593" s="34" t="s">
        <v>6206</v>
      </c>
      <c r="H1593" s="34" t="s">
        <v>37</v>
      </c>
      <c r="I1593" s="34" t="s">
        <v>38</v>
      </c>
      <c r="J1593" s="34" t="s">
        <v>3116</v>
      </c>
      <c r="K1593" s="34" t="s">
        <v>3117</v>
      </c>
      <c r="L1593" s="34">
        <v>157653.5</v>
      </c>
      <c r="M1593" s="34">
        <v>0</v>
      </c>
      <c r="N1593" s="34">
        <v>0</v>
      </c>
      <c r="O1593" s="34">
        <v>1001703.5</v>
      </c>
      <c r="P1593" s="34" t="s">
        <v>41</v>
      </c>
      <c r="Q1593" s="34" t="s">
        <v>42</v>
      </c>
      <c r="R1593" s="26"/>
      <c r="S1593" s="26"/>
      <c r="T1593" s="26" t="s">
        <v>43</v>
      </c>
      <c r="U1593" s="26"/>
      <c r="V1593" s="26"/>
      <c r="W1593" s="26"/>
      <c r="X1593" s="26"/>
    </row>
    <row r="1594" spans="1:24">
      <c r="A1594" s="26" t="s">
        <v>31</v>
      </c>
      <c r="B1594" s="26" t="s">
        <v>6207</v>
      </c>
      <c r="C1594" s="26" t="s">
        <v>6208</v>
      </c>
      <c r="D1594" s="26">
        <f t="shared" si="27"/>
        <v>-1</v>
      </c>
      <c r="E1594" s="26" t="s">
        <v>34</v>
      </c>
      <c r="F1594" s="26" t="s">
        <v>5954</v>
      </c>
      <c r="G1594" s="26" t="s">
        <v>6209</v>
      </c>
      <c r="H1594" s="26" t="s">
        <v>37</v>
      </c>
      <c r="I1594" s="26" t="s">
        <v>38</v>
      </c>
      <c r="J1594" s="26" t="s">
        <v>4930</v>
      </c>
      <c r="K1594" s="26" t="s">
        <v>4931</v>
      </c>
      <c r="L1594" s="26">
        <v>717215.14</v>
      </c>
      <c r="M1594" s="26">
        <v>0</v>
      </c>
      <c r="N1594" s="26">
        <v>0</v>
      </c>
      <c r="O1594" s="26">
        <v>4878055.1399999997</v>
      </c>
      <c r="P1594" s="26" t="s">
        <v>41</v>
      </c>
      <c r="Q1594" s="26" t="s">
        <v>42</v>
      </c>
      <c r="R1594" s="26"/>
      <c r="S1594" s="26"/>
      <c r="T1594" s="26"/>
      <c r="U1594" s="26"/>
      <c r="V1594" s="26" t="s">
        <v>43</v>
      </c>
      <c r="W1594" s="26"/>
      <c r="X1594" s="26"/>
    </row>
    <row r="1595" spans="1:24">
      <c r="A1595" s="26" t="s">
        <v>31</v>
      </c>
      <c r="B1595" s="26" t="s">
        <v>6210</v>
      </c>
      <c r="C1595" s="26" t="s">
        <v>6211</v>
      </c>
      <c r="D1595" s="26">
        <f t="shared" si="27"/>
        <v>-1</v>
      </c>
      <c r="E1595" s="26" t="s">
        <v>34</v>
      </c>
      <c r="F1595" s="26" t="s">
        <v>5954</v>
      </c>
      <c r="G1595" s="26" t="s">
        <v>6212</v>
      </c>
      <c r="H1595" s="26" t="s">
        <v>37</v>
      </c>
      <c r="I1595" s="26" t="s">
        <v>38</v>
      </c>
      <c r="J1595" s="26" t="s">
        <v>6213</v>
      </c>
      <c r="K1595" s="26" t="s">
        <v>6214</v>
      </c>
      <c r="L1595" s="26">
        <v>208259.76</v>
      </c>
      <c r="M1595" s="26">
        <v>0</v>
      </c>
      <c r="N1595" s="26">
        <v>0</v>
      </c>
      <c r="O1595" s="26">
        <v>1304363.76</v>
      </c>
      <c r="P1595" s="26" t="s">
        <v>41</v>
      </c>
      <c r="Q1595" s="26" t="s">
        <v>42</v>
      </c>
      <c r="R1595" s="26"/>
      <c r="S1595" s="26"/>
      <c r="T1595" s="26"/>
      <c r="U1595" s="26"/>
      <c r="V1595" s="26" t="s">
        <v>43</v>
      </c>
      <c r="W1595" s="26"/>
      <c r="X1595" s="26"/>
    </row>
    <row r="1596" spans="1:24">
      <c r="A1596" s="32" t="s">
        <v>31</v>
      </c>
      <c r="B1596" s="32" t="s">
        <v>6215</v>
      </c>
      <c r="C1596" s="32" t="s">
        <v>6216</v>
      </c>
      <c r="D1596" s="32">
        <f t="shared" si="27"/>
        <v>-1</v>
      </c>
      <c r="E1596" s="32" t="s">
        <v>34</v>
      </c>
      <c r="F1596" s="32" t="s">
        <v>5954</v>
      </c>
      <c r="G1596" s="32" t="s">
        <v>6217</v>
      </c>
      <c r="H1596" s="32" t="s">
        <v>37</v>
      </c>
      <c r="I1596" s="32" t="s">
        <v>38</v>
      </c>
      <c r="J1596" s="32" t="s">
        <v>2671</v>
      </c>
      <c r="K1596" s="32" t="s">
        <v>2672</v>
      </c>
      <c r="L1596" s="32">
        <v>59111.09</v>
      </c>
      <c r="M1596" s="32">
        <v>0</v>
      </c>
      <c r="N1596" s="32">
        <v>0</v>
      </c>
      <c r="O1596" s="32">
        <v>370222.09</v>
      </c>
      <c r="P1596" s="32" t="s">
        <v>41</v>
      </c>
      <c r="Q1596" s="32" t="s">
        <v>42</v>
      </c>
      <c r="R1596" s="26" t="s">
        <v>43</v>
      </c>
      <c r="S1596" s="26"/>
      <c r="T1596" s="26"/>
      <c r="U1596" s="26"/>
      <c r="V1596" s="26"/>
      <c r="W1596" s="26"/>
      <c r="X1596" s="26"/>
    </row>
    <row r="1597" spans="1:24">
      <c r="A1597" s="26" t="s">
        <v>31</v>
      </c>
      <c r="B1597" s="26" t="s">
        <v>6218</v>
      </c>
      <c r="C1597" s="26" t="s">
        <v>6219</v>
      </c>
      <c r="D1597" s="26">
        <f t="shared" si="27"/>
        <v>-1</v>
      </c>
      <c r="E1597" s="26" t="s">
        <v>34</v>
      </c>
      <c r="F1597" s="26" t="s">
        <v>5954</v>
      </c>
      <c r="G1597" s="26" t="s">
        <v>6220</v>
      </c>
      <c r="H1597" s="26" t="s">
        <v>37</v>
      </c>
      <c r="I1597" s="26" t="s">
        <v>38</v>
      </c>
      <c r="J1597" s="26" t="s">
        <v>1242</v>
      </c>
      <c r="K1597" s="26" t="s">
        <v>1243</v>
      </c>
      <c r="L1597" s="26">
        <v>7936.3</v>
      </c>
      <c r="M1597" s="26">
        <v>0</v>
      </c>
      <c r="N1597" s="26">
        <v>0</v>
      </c>
      <c r="O1597" s="26">
        <v>49706.3</v>
      </c>
      <c r="P1597" s="26" t="s">
        <v>41</v>
      </c>
      <c r="Q1597" s="26" t="s">
        <v>42</v>
      </c>
      <c r="R1597" s="26"/>
      <c r="S1597" s="26"/>
      <c r="T1597" s="26"/>
      <c r="U1597" s="26"/>
      <c r="V1597" s="26" t="s">
        <v>43</v>
      </c>
      <c r="W1597" s="26"/>
      <c r="X1597" s="26"/>
    </row>
    <row r="1598" spans="1:24">
      <c r="A1598" s="26" t="s">
        <v>31</v>
      </c>
      <c r="B1598" s="26" t="s">
        <v>6221</v>
      </c>
      <c r="C1598" s="26" t="s">
        <v>6222</v>
      </c>
      <c r="D1598" s="26">
        <f t="shared" si="27"/>
        <v>-1</v>
      </c>
      <c r="E1598" s="26" t="s">
        <v>34</v>
      </c>
      <c r="F1598" s="26" t="s">
        <v>5954</v>
      </c>
      <c r="G1598" s="26" t="s">
        <v>6223</v>
      </c>
      <c r="H1598" s="26" t="s">
        <v>37</v>
      </c>
      <c r="I1598" s="26" t="s">
        <v>38</v>
      </c>
      <c r="J1598" s="26" t="s">
        <v>1242</v>
      </c>
      <c r="K1598" s="26" t="s">
        <v>1243</v>
      </c>
      <c r="L1598" s="26">
        <v>31667.3</v>
      </c>
      <c r="M1598" s="26">
        <v>0</v>
      </c>
      <c r="N1598" s="26">
        <v>0</v>
      </c>
      <c r="O1598" s="26">
        <v>198337.3</v>
      </c>
      <c r="P1598" s="26" t="s">
        <v>41</v>
      </c>
      <c r="Q1598" s="26" t="s">
        <v>42</v>
      </c>
      <c r="R1598" s="26"/>
      <c r="S1598" s="26"/>
      <c r="T1598" s="26"/>
      <c r="U1598" s="26"/>
      <c r="V1598" s="26" t="s">
        <v>43</v>
      </c>
      <c r="W1598" s="26"/>
      <c r="X1598" s="26"/>
    </row>
    <row r="1599" spans="1:24">
      <c r="A1599" s="32" t="s">
        <v>31</v>
      </c>
      <c r="B1599" s="32" t="s">
        <v>6224</v>
      </c>
      <c r="C1599" s="32" t="s">
        <v>6225</v>
      </c>
      <c r="D1599" s="32">
        <f t="shared" si="27"/>
        <v>-1</v>
      </c>
      <c r="E1599" s="32" t="s">
        <v>34</v>
      </c>
      <c r="F1599" s="32" t="s">
        <v>5954</v>
      </c>
      <c r="G1599" s="32" t="s">
        <v>6226</v>
      </c>
      <c r="H1599" s="32" t="s">
        <v>37</v>
      </c>
      <c r="I1599" s="32" t="s">
        <v>38</v>
      </c>
      <c r="J1599" s="32" t="s">
        <v>126</v>
      </c>
      <c r="K1599" s="32" t="s">
        <v>127</v>
      </c>
      <c r="L1599" s="32">
        <v>78097.41</v>
      </c>
      <c r="M1599" s="32">
        <v>0</v>
      </c>
      <c r="N1599" s="32">
        <v>0</v>
      </c>
      <c r="O1599" s="32">
        <v>489136.41</v>
      </c>
      <c r="P1599" s="32" t="s">
        <v>41</v>
      </c>
      <c r="Q1599" s="32" t="s">
        <v>42</v>
      </c>
      <c r="R1599" s="26" t="s">
        <v>43</v>
      </c>
      <c r="S1599" s="26"/>
      <c r="T1599" s="26"/>
      <c r="U1599" s="26"/>
      <c r="V1599" s="26"/>
      <c r="W1599" s="26"/>
      <c r="X1599" s="26"/>
    </row>
    <row r="1600" spans="1:24">
      <c r="A1600" s="32" t="s">
        <v>31</v>
      </c>
      <c r="B1600" s="32" t="s">
        <v>6227</v>
      </c>
      <c r="C1600" s="32" t="s">
        <v>6228</v>
      </c>
      <c r="D1600" s="32">
        <f t="shared" si="27"/>
        <v>-1</v>
      </c>
      <c r="E1600" s="32" t="s">
        <v>34</v>
      </c>
      <c r="F1600" s="32" t="s">
        <v>5954</v>
      </c>
      <c r="G1600" s="32" t="s">
        <v>6229</v>
      </c>
      <c r="H1600" s="32" t="s">
        <v>37</v>
      </c>
      <c r="I1600" s="32" t="s">
        <v>38</v>
      </c>
      <c r="J1600" s="32" t="s">
        <v>6230</v>
      </c>
      <c r="K1600" s="32" t="s">
        <v>6231</v>
      </c>
      <c r="L1600" s="32">
        <v>59111.09</v>
      </c>
      <c r="M1600" s="32">
        <v>0</v>
      </c>
      <c r="N1600" s="32">
        <v>0</v>
      </c>
      <c r="O1600" s="32">
        <v>370222.09</v>
      </c>
      <c r="P1600" s="32" t="s">
        <v>41</v>
      </c>
      <c r="Q1600" s="32" t="s">
        <v>42</v>
      </c>
      <c r="R1600" s="26" t="s">
        <v>43</v>
      </c>
      <c r="S1600" s="26"/>
      <c r="T1600" s="26"/>
      <c r="U1600" s="26"/>
      <c r="V1600" s="26"/>
      <c r="W1600" s="26"/>
      <c r="X1600" s="26"/>
    </row>
    <row r="1601" spans="1:24">
      <c r="A1601" s="32" t="s">
        <v>31</v>
      </c>
      <c r="B1601" s="32" t="s">
        <v>6232</v>
      </c>
      <c r="C1601" s="32" t="s">
        <v>6233</v>
      </c>
      <c r="D1601" s="32">
        <f t="shared" si="27"/>
        <v>-1</v>
      </c>
      <c r="E1601" s="32" t="s">
        <v>34</v>
      </c>
      <c r="F1601" s="32" t="s">
        <v>5954</v>
      </c>
      <c r="G1601" s="32" t="s">
        <v>6234</v>
      </c>
      <c r="H1601" s="32" t="s">
        <v>37</v>
      </c>
      <c r="I1601" s="32" t="s">
        <v>38</v>
      </c>
      <c r="J1601" s="32" t="s">
        <v>6230</v>
      </c>
      <c r="K1601" s="32" t="s">
        <v>6231</v>
      </c>
      <c r="L1601" s="32">
        <v>59111.09</v>
      </c>
      <c r="M1601" s="32">
        <v>0</v>
      </c>
      <c r="N1601" s="32">
        <v>0</v>
      </c>
      <c r="O1601" s="32">
        <v>370222.09</v>
      </c>
      <c r="P1601" s="32" t="s">
        <v>41</v>
      </c>
      <c r="Q1601" s="32" t="s">
        <v>42</v>
      </c>
      <c r="R1601" s="26" t="s">
        <v>43</v>
      </c>
      <c r="S1601" s="26"/>
      <c r="T1601" s="26"/>
      <c r="U1601" s="26"/>
      <c r="V1601" s="26"/>
      <c r="W1601" s="26"/>
      <c r="X1601" s="26"/>
    </row>
    <row r="1602" spans="1:24">
      <c r="A1602" s="32" t="s">
        <v>31</v>
      </c>
      <c r="B1602" s="32" t="s">
        <v>6235</v>
      </c>
      <c r="C1602" s="32" t="s">
        <v>6236</v>
      </c>
      <c r="D1602" s="32">
        <f t="shared" si="27"/>
        <v>-1</v>
      </c>
      <c r="E1602" s="32" t="s">
        <v>34</v>
      </c>
      <c r="F1602" s="32" t="s">
        <v>5954</v>
      </c>
      <c r="G1602" s="32" t="s">
        <v>6237</v>
      </c>
      <c r="H1602" s="32" t="s">
        <v>37</v>
      </c>
      <c r="I1602" s="32" t="s">
        <v>38</v>
      </c>
      <c r="J1602" s="32" t="s">
        <v>6238</v>
      </c>
      <c r="K1602" s="32" t="s">
        <v>6239</v>
      </c>
      <c r="L1602" s="32">
        <v>798000</v>
      </c>
      <c r="M1602" s="32">
        <v>0</v>
      </c>
      <c r="N1602" s="32">
        <v>0</v>
      </c>
      <c r="O1602" s="32">
        <v>4998000</v>
      </c>
      <c r="P1602" s="32" t="s">
        <v>41</v>
      </c>
      <c r="Q1602" s="32" t="s">
        <v>42</v>
      </c>
      <c r="R1602" s="26" t="s">
        <v>43</v>
      </c>
      <c r="S1602" s="26"/>
      <c r="T1602" s="26"/>
      <c r="U1602" s="26"/>
      <c r="V1602" s="26"/>
      <c r="W1602" s="26"/>
      <c r="X1602" s="26"/>
    </row>
    <row r="1603" spans="1:24">
      <c r="A1603" s="32" t="s">
        <v>31</v>
      </c>
      <c r="B1603" s="32" t="s">
        <v>6240</v>
      </c>
      <c r="C1603" s="32" t="s">
        <v>6241</v>
      </c>
      <c r="D1603" s="32">
        <f t="shared" si="27"/>
        <v>-1</v>
      </c>
      <c r="E1603" s="32" t="s">
        <v>34</v>
      </c>
      <c r="F1603" s="32" t="s">
        <v>5954</v>
      </c>
      <c r="G1603" s="32" t="s">
        <v>6242</v>
      </c>
      <c r="H1603" s="32" t="s">
        <v>37</v>
      </c>
      <c r="I1603" s="32" t="s">
        <v>38</v>
      </c>
      <c r="J1603" s="32" t="s">
        <v>322</v>
      </c>
      <c r="K1603" s="32" t="s">
        <v>323</v>
      </c>
      <c r="L1603" s="32">
        <v>185060</v>
      </c>
      <c r="M1603" s="32">
        <v>0</v>
      </c>
      <c r="N1603" s="32">
        <v>0</v>
      </c>
      <c r="O1603" s="32">
        <v>1159060</v>
      </c>
      <c r="P1603" s="32" t="s">
        <v>41</v>
      </c>
      <c r="Q1603" s="32" t="s">
        <v>42</v>
      </c>
      <c r="R1603" s="26" t="s">
        <v>43</v>
      </c>
      <c r="S1603" s="26"/>
      <c r="T1603" s="26"/>
      <c r="U1603" s="26"/>
      <c r="V1603" s="26"/>
      <c r="W1603" s="26"/>
      <c r="X1603" s="26"/>
    </row>
    <row r="1604" spans="1:24">
      <c r="A1604" s="26" t="s">
        <v>31</v>
      </c>
      <c r="B1604" s="26" t="s">
        <v>6243</v>
      </c>
      <c r="C1604" s="26" t="s">
        <v>6244</v>
      </c>
      <c r="D1604" s="26">
        <f t="shared" si="27"/>
        <v>-1</v>
      </c>
      <c r="E1604" s="26" t="s">
        <v>34</v>
      </c>
      <c r="F1604" s="26" t="s">
        <v>5954</v>
      </c>
      <c r="G1604" s="26" t="s">
        <v>6245</v>
      </c>
      <c r="H1604" s="26" t="s">
        <v>37</v>
      </c>
      <c r="I1604" s="26" t="s">
        <v>38</v>
      </c>
      <c r="J1604" s="26" t="s">
        <v>6246</v>
      </c>
      <c r="K1604" s="26" t="s">
        <v>6247</v>
      </c>
      <c r="L1604" s="26">
        <v>939550</v>
      </c>
      <c r="M1604" s="26">
        <v>0</v>
      </c>
      <c r="N1604" s="26">
        <v>0</v>
      </c>
      <c r="O1604" s="26">
        <v>5884550</v>
      </c>
      <c r="P1604" s="26" t="s">
        <v>41</v>
      </c>
      <c r="Q1604" s="26" t="s">
        <v>42</v>
      </c>
      <c r="R1604" s="26"/>
      <c r="S1604" s="26"/>
      <c r="T1604" s="26"/>
      <c r="U1604" s="26"/>
      <c r="V1604" s="26" t="s">
        <v>43</v>
      </c>
      <c r="W1604" s="26"/>
      <c r="X1604" s="26"/>
    </row>
    <row r="1605" spans="1:24">
      <c r="A1605" s="26" t="s">
        <v>31</v>
      </c>
      <c r="B1605" s="26" t="s">
        <v>6248</v>
      </c>
      <c r="C1605" s="26" t="s">
        <v>6249</v>
      </c>
      <c r="D1605" s="26">
        <f t="shared" si="27"/>
        <v>-1</v>
      </c>
      <c r="E1605" s="26" t="s">
        <v>34</v>
      </c>
      <c r="F1605" s="26" t="s">
        <v>5954</v>
      </c>
      <c r="G1605" s="26" t="s">
        <v>6250</v>
      </c>
      <c r="H1605" s="26" t="s">
        <v>37</v>
      </c>
      <c r="I1605" s="26" t="s">
        <v>38</v>
      </c>
      <c r="J1605" s="26" t="s">
        <v>3505</v>
      </c>
      <c r="K1605" s="26" t="s">
        <v>3506</v>
      </c>
      <c r="L1605" s="26">
        <v>1669199.02</v>
      </c>
      <c r="M1605" s="26">
        <v>0</v>
      </c>
      <c r="N1605" s="26">
        <v>0</v>
      </c>
      <c r="O1605" s="26">
        <v>10454457.02</v>
      </c>
      <c r="P1605" s="26" t="s">
        <v>41</v>
      </c>
      <c r="Q1605" s="26" t="s">
        <v>42</v>
      </c>
      <c r="R1605" s="26"/>
      <c r="S1605" s="26"/>
      <c r="T1605" s="26"/>
      <c r="U1605" s="26"/>
      <c r="V1605" s="26" t="s">
        <v>43</v>
      </c>
      <c r="W1605" s="26"/>
      <c r="X1605" s="26"/>
    </row>
    <row r="1606" spans="1:24">
      <c r="A1606" s="32" t="s">
        <v>31</v>
      </c>
      <c r="B1606" s="32" t="s">
        <v>6251</v>
      </c>
      <c r="C1606" s="32" t="s">
        <v>6252</v>
      </c>
      <c r="D1606" s="32">
        <f t="shared" si="27"/>
        <v>-1</v>
      </c>
      <c r="E1606" s="32" t="s">
        <v>34</v>
      </c>
      <c r="F1606" s="32" t="s">
        <v>5954</v>
      </c>
      <c r="G1606" s="32" t="s">
        <v>6253</v>
      </c>
      <c r="H1606" s="32" t="s">
        <v>37</v>
      </c>
      <c r="I1606" s="32" t="s">
        <v>38</v>
      </c>
      <c r="J1606" s="32" t="s">
        <v>3515</v>
      </c>
      <c r="K1606" s="32" t="s">
        <v>3516</v>
      </c>
      <c r="L1606" s="32">
        <v>177460</v>
      </c>
      <c r="M1606" s="32">
        <v>0</v>
      </c>
      <c r="N1606" s="32">
        <v>0</v>
      </c>
      <c r="O1606" s="32">
        <v>1111460</v>
      </c>
      <c r="P1606" s="32" t="s">
        <v>41</v>
      </c>
      <c r="Q1606" s="32" t="s">
        <v>42</v>
      </c>
      <c r="R1606" s="26" t="s">
        <v>43</v>
      </c>
      <c r="S1606" s="26"/>
      <c r="T1606" s="26"/>
      <c r="U1606" s="26"/>
      <c r="V1606" s="26"/>
      <c r="W1606" s="26"/>
      <c r="X1606" s="26"/>
    </row>
    <row r="1607" spans="1:24">
      <c r="A1607" s="26" t="s">
        <v>31</v>
      </c>
      <c r="B1607" s="26" t="s">
        <v>6254</v>
      </c>
      <c r="C1607" s="26" t="s">
        <v>6255</v>
      </c>
      <c r="D1607" s="26">
        <f t="shared" si="27"/>
        <v>-1</v>
      </c>
      <c r="E1607" s="26" t="s">
        <v>34</v>
      </c>
      <c r="F1607" s="26" t="s">
        <v>5954</v>
      </c>
      <c r="G1607" s="26" t="s">
        <v>6256</v>
      </c>
      <c r="H1607" s="26" t="s">
        <v>37</v>
      </c>
      <c r="I1607" s="26" t="s">
        <v>38</v>
      </c>
      <c r="J1607" s="26" t="s">
        <v>6257</v>
      </c>
      <c r="K1607" s="26" t="s">
        <v>6258</v>
      </c>
      <c r="L1607" s="26">
        <v>1013162.65</v>
      </c>
      <c r="M1607" s="26">
        <v>0</v>
      </c>
      <c r="N1607" s="26">
        <v>0</v>
      </c>
      <c r="O1607" s="26">
        <v>6345597.6500000004</v>
      </c>
      <c r="P1607" s="26" t="s">
        <v>41</v>
      </c>
      <c r="Q1607" s="26" t="s">
        <v>42</v>
      </c>
      <c r="R1607" s="26"/>
      <c r="S1607" s="26"/>
      <c r="T1607" s="26"/>
      <c r="U1607" s="26"/>
      <c r="V1607" s="26" t="s">
        <v>43</v>
      </c>
      <c r="W1607" s="26"/>
      <c r="X1607" s="26"/>
    </row>
    <row r="1608" spans="1:24">
      <c r="A1608" s="26" t="s">
        <v>31</v>
      </c>
      <c r="B1608" s="26" t="s">
        <v>6259</v>
      </c>
      <c r="C1608" s="26" t="s">
        <v>6260</v>
      </c>
      <c r="D1608" s="26">
        <f t="shared" si="27"/>
        <v>-1</v>
      </c>
      <c r="E1608" s="26" t="s">
        <v>34</v>
      </c>
      <c r="F1608" s="26" t="s">
        <v>5954</v>
      </c>
      <c r="G1608" s="26" t="s">
        <v>6261</v>
      </c>
      <c r="H1608" s="26" t="s">
        <v>37</v>
      </c>
      <c r="I1608" s="26" t="s">
        <v>38</v>
      </c>
      <c r="J1608" s="26" t="s">
        <v>3377</v>
      </c>
      <c r="K1608" s="26" t="s">
        <v>3378</v>
      </c>
      <c r="L1608" s="26">
        <v>751136.69</v>
      </c>
      <c r="M1608" s="26">
        <v>0</v>
      </c>
      <c r="N1608" s="26">
        <v>0</v>
      </c>
      <c r="O1608" s="26">
        <v>4704487.6900000004</v>
      </c>
      <c r="P1608" s="26" t="s">
        <v>41</v>
      </c>
      <c r="Q1608" s="26" t="s">
        <v>42</v>
      </c>
      <c r="R1608" s="26"/>
      <c r="S1608" s="26"/>
      <c r="T1608" s="26"/>
      <c r="U1608" s="26"/>
      <c r="V1608" s="26" t="s">
        <v>43</v>
      </c>
      <c r="W1608" s="26"/>
      <c r="X1608" s="26"/>
    </row>
    <row r="1609" spans="1:24">
      <c r="A1609" s="32" t="s">
        <v>31</v>
      </c>
      <c r="B1609" s="32" t="s">
        <v>6262</v>
      </c>
      <c r="C1609" s="32" t="s">
        <v>6263</v>
      </c>
      <c r="D1609" s="32">
        <f t="shared" si="27"/>
        <v>-1</v>
      </c>
      <c r="E1609" s="32" t="s">
        <v>34</v>
      </c>
      <c r="F1609" s="32" t="s">
        <v>5954</v>
      </c>
      <c r="G1609" s="32" t="s">
        <v>6264</v>
      </c>
      <c r="H1609" s="32" t="s">
        <v>37</v>
      </c>
      <c r="I1609" s="32" t="s">
        <v>38</v>
      </c>
      <c r="J1609" s="32" t="s">
        <v>3515</v>
      </c>
      <c r="K1609" s="32" t="s">
        <v>3516</v>
      </c>
      <c r="L1609" s="32">
        <v>65903.399999999994</v>
      </c>
      <c r="M1609" s="32">
        <v>0</v>
      </c>
      <c r="N1609" s="32">
        <v>0</v>
      </c>
      <c r="O1609" s="32">
        <v>412763.4</v>
      </c>
      <c r="P1609" s="32" t="s">
        <v>41</v>
      </c>
      <c r="Q1609" s="32" t="s">
        <v>42</v>
      </c>
      <c r="R1609" s="26" t="s">
        <v>43</v>
      </c>
      <c r="S1609" s="26"/>
      <c r="T1609" s="26"/>
      <c r="U1609" s="26"/>
      <c r="V1609" s="26"/>
      <c r="W1609" s="26"/>
      <c r="X1609" s="26"/>
    </row>
    <row r="1610" spans="1:24">
      <c r="A1610" s="31" t="s">
        <v>31</v>
      </c>
      <c r="B1610" s="31" t="s">
        <v>6265</v>
      </c>
      <c r="C1610" s="31" t="s">
        <v>6266</v>
      </c>
      <c r="D1610" s="31">
        <f t="shared" si="27"/>
        <v>-1</v>
      </c>
      <c r="E1610" s="31" t="s">
        <v>34</v>
      </c>
      <c r="F1610" s="31" t="s">
        <v>5954</v>
      </c>
      <c r="G1610" s="31" t="s">
        <v>6267</v>
      </c>
      <c r="H1610" s="31" t="s">
        <v>37</v>
      </c>
      <c r="I1610" s="31" t="s">
        <v>38</v>
      </c>
      <c r="J1610" s="31" t="s">
        <v>6268</v>
      </c>
      <c r="K1610" s="31" t="s">
        <v>6269</v>
      </c>
      <c r="L1610" s="31">
        <v>56563.19</v>
      </c>
      <c r="M1610" s="31">
        <v>0</v>
      </c>
      <c r="N1610" s="31">
        <v>0</v>
      </c>
      <c r="O1610" s="31">
        <v>354264.19</v>
      </c>
      <c r="P1610" s="31" t="s">
        <v>41</v>
      </c>
      <c r="Q1610" s="31" t="s">
        <v>42</v>
      </c>
      <c r="R1610" s="26"/>
      <c r="S1610" s="26"/>
      <c r="T1610" s="26"/>
      <c r="U1610" s="31" t="s">
        <v>43</v>
      </c>
      <c r="V1610" s="26"/>
      <c r="W1610" s="26"/>
      <c r="X1610" s="26"/>
    </row>
    <row r="1611" spans="1:24">
      <c r="A1611" s="26" t="s">
        <v>31</v>
      </c>
      <c r="B1611" s="26" t="s">
        <v>6270</v>
      </c>
      <c r="C1611" s="26" t="s">
        <v>6271</v>
      </c>
      <c r="D1611" s="26">
        <f t="shared" si="27"/>
        <v>-1</v>
      </c>
      <c r="E1611" s="26" t="s">
        <v>34</v>
      </c>
      <c r="F1611" s="26" t="s">
        <v>5954</v>
      </c>
      <c r="G1611" s="26" t="s">
        <v>6272</v>
      </c>
      <c r="H1611" s="26" t="s">
        <v>37</v>
      </c>
      <c r="I1611" s="26" t="s">
        <v>38</v>
      </c>
      <c r="J1611" s="26" t="s">
        <v>3559</v>
      </c>
      <c r="K1611" s="26" t="s">
        <v>3560</v>
      </c>
      <c r="L1611" s="26">
        <v>146372.57999999999</v>
      </c>
      <c r="M1611" s="26">
        <v>0</v>
      </c>
      <c r="N1611" s="26">
        <v>0</v>
      </c>
      <c r="O1611" s="26">
        <v>916754.58</v>
      </c>
      <c r="P1611" s="26" t="s">
        <v>41</v>
      </c>
      <c r="Q1611" s="26" t="s">
        <v>42</v>
      </c>
      <c r="R1611" s="26"/>
      <c r="S1611" s="26"/>
      <c r="T1611" s="26"/>
      <c r="U1611" s="26"/>
      <c r="V1611" s="26" t="s">
        <v>43</v>
      </c>
      <c r="W1611" s="26"/>
      <c r="X1611" s="26"/>
    </row>
    <row r="1612" spans="1:24">
      <c r="A1612" s="32" t="s">
        <v>31</v>
      </c>
      <c r="B1612" s="32" t="s">
        <v>6273</v>
      </c>
      <c r="C1612" s="32" t="s">
        <v>6274</v>
      </c>
      <c r="D1612" s="32">
        <f t="shared" si="27"/>
        <v>-1</v>
      </c>
      <c r="E1612" s="32" t="s">
        <v>34</v>
      </c>
      <c r="F1612" s="32" t="s">
        <v>5954</v>
      </c>
      <c r="G1612" s="32" t="s">
        <v>6275</v>
      </c>
      <c r="H1612" s="32" t="s">
        <v>37</v>
      </c>
      <c r="I1612" s="32" t="s">
        <v>38</v>
      </c>
      <c r="J1612" s="32" t="s">
        <v>6276</v>
      </c>
      <c r="K1612" s="32" t="s">
        <v>6277</v>
      </c>
      <c r="L1612" s="32">
        <v>428735</v>
      </c>
      <c r="M1612" s="32">
        <v>0</v>
      </c>
      <c r="N1612" s="32">
        <v>0</v>
      </c>
      <c r="O1612" s="32">
        <v>2685235</v>
      </c>
      <c r="P1612" s="32" t="s">
        <v>41</v>
      </c>
      <c r="Q1612" s="32" t="s">
        <v>42</v>
      </c>
      <c r="R1612" s="26" t="s">
        <v>43</v>
      </c>
      <c r="S1612" s="26"/>
      <c r="T1612" s="26"/>
      <c r="U1612" s="26"/>
      <c r="V1612" s="26"/>
      <c r="W1612" s="26"/>
      <c r="X1612" s="26"/>
    </row>
    <row r="1613" spans="1:24">
      <c r="A1613" s="26" t="s">
        <v>31</v>
      </c>
      <c r="B1613" s="26" t="s">
        <v>6278</v>
      </c>
      <c r="C1613" s="26" t="s">
        <v>6279</v>
      </c>
      <c r="D1613" s="26">
        <f t="shared" si="27"/>
        <v>-1</v>
      </c>
      <c r="E1613" s="26" t="s">
        <v>34</v>
      </c>
      <c r="F1613" s="26" t="s">
        <v>5954</v>
      </c>
      <c r="G1613" s="26" t="s">
        <v>6280</v>
      </c>
      <c r="H1613" s="26" t="s">
        <v>37</v>
      </c>
      <c r="I1613" s="26" t="s">
        <v>38</v>
      </c>
      <c r="J1613" s="26" t="s">
        <v>3551</v>
      </c>
      <c r="K1613" s="26" t="s">
        <v>3552</v>
      </c>
      <c r="L1613" s="26">
        <v>52286.29</v>
      </c>
      <c r="M1613" s="26">
        <v>0</v>
      </c>
      <c r="N1613" s="26">
        <v>0</v>
      </c>
      <c r="O1613" s="26">
        <v>327477.28999999998</v>
      </c>
      <c r="P1613" s="26" t="s">
        <v>41</v>
      </c>
      <c r="Q1613" s="26" t="s">
        <v>42</v>
      </c>
      <c r="R1613" s="26"/>
      <c r="S1613" s="26"/>
      <c r="T1613" s="26"/>
      <c r="U1613" s="26"/>
      <c r="V1613" s="26" t="s">
        <v>43</v>
      </c>
      <c r="W1613" s="26"/>
      <c r="X1613" s="26"/>
    </row>
    <row r="1614" spans="1:24">
      <c r="A1614" s="32" t="s">
        <v>31</v>
      </c>
      <c r="B1614" s="32" t="s">
        <v>6281</v>
      </c>
      <c r="C1614" s="32" t="s">
        <v>6282</v>
      </c>
      <c r="D1614" s="32">
        <f t="shared" si="27"/>
        <v>-1</v>
      </c>
      <c r="E1614" s="32" t="s">
        <v>34</v>
      </c>
      <c r="F1614" s="32" t="s">
        <v>5954</v>
      </c>
      <c r="G1614" s="32" t="s">
        <v>6283</v>
      </c>
      <c r="H1614" s="32" t="s">
        <v>37</v>
      </c>
      <c r="I1614" s="32" t="s">
        <v>38</v>
      </c>
      <c r="J1614" s="32" t="s">
        <v>3515</v>
      </c>
      <c r="K1614" s="32" t="s">
        <v>3516</v>
      </c>
      <c r="L1614" s="32">
        <v>47500</v>
      </c>
      <c r="M1614" s="32">
        <v>0</v>
      </c>
      <c r="N1614" s="32">
        <v>0</v>
      </c>
      <c r="O1614" s="32">
        <v>297500</v>
      </c>
      <c r="P1614" s="32" t="s">
        <v>41</v>
      </c>
      <c r="Q1614" s="32" t="s">
        <v>42</v>
      </c>
      <c r="R1614" s="26" t="s">
        <v>43</v>
      </c>
      <c r="S1614" s="26"/>
      <c r="T1614" s="26"/>
      <c r="U1614" s="26"/>
      <c r="V1614" s="26"/>
      <c r="W1614" s="26"/>
      <c r="X1614" s="26"/>
    </row>
    <row r="1615" spans="1:24">
      <c r="A1615" s="26" t="s">
        <v>31</v>
      </c>
      <c r="B1615" s="26" t="s">
        <v>6284</v>
      </c>
      <c r="C1615" s="26" t="s">
        <v>6285</v>
      </c>
      <c r="D1615" s="26">
        <f t="shared" si="27"/>
        <v>-1</v>
      </c>
      <c r="E1615" s="26" t="s">
        <v>34</v>
      </c>
      <c r="F1615" s="26" t="s">
        <v>5954</v>
      </c>
      <c r="G1615" s="26" t="s">
        <v>6286</v>
      </c>
      <c r="H1615" s="26" t="s">
        <v>37</v>
      </c>
      <c r="I1615" s="26" t="s">
        <v>38</v>
      </c>
      <c r="J1615" s="26" t="s">
        <v>5382</v>
      </c>
      <c r="K1615" s="26" t="s">
        <v>5383</v>
      </c>
      <c r="L1615" s="26">
        <v>165125.20000000001</v>
      </c>
      <c r="M1615" s="26">
        <v>0</v>
      </c>
      <c r="N1615" s="26">
        <v>0</v>
      </c>
      <c r="O1615" s="26">
        <v>1254205.2</v>
      </c>
      <c r="P1615" s="26" t="s">
        <v>41</v>
      </c>
      <c r="Q1615" s="26" t="s">
        <v>42</v>
      </c>
      <c r="R1615" s="26"/>
      <c r="S1615" s="26"/>
      <c r="T1615" s="26"/>
      <c r="U1615" s="26"/>
      <c r="V1615" s="26" t="s">
        <v>43</v>
      </c>
      <c r="W1615" s="26"/>
      <c r="X1615" s="26"/>
    </row>
    <row r="1616" spans="1:24">
      <c r="A1616" s="26" t="s">
        <v>31</v>
      </c>
      <c r="B1616" s="26" t="s">
        <v>6287</v>
      </c>
      <c r="C1616" s="26" t="s">
        <v>6288</v>
      </c>
      <c r="D1616" s="26">
        <f t="shared" si="27"/>
        <v>-1</v>
      </c>
      <c r="E1616" s="26" t="s">
        <v>34</v>
      </c>
      <c r="F1616" s="26" t="s">
        <v>5954</v>
      </c>
      <c r="G1616" s="26" t="s">
        <v>6289</v>
      </c>
      <c r="H1616" s="26" t="s">
        <v>37</v>
      </c>
      <c r="I1616" s="26" t="s">
        <v>38</v>
      </c>
      <c r="J1616" s="26" t="s">
        <v>4506</v>
      </c>
      <c r="K1616" s="26" t="s">
        <v>4507</v>
      </c>
      <c r="L1616" s="26">
        <v>196270</v>
      </c>
      <c r="M1616" s="26">
        <v>0</v>
      </c>
      <c r="N1616" s="26">
        <v>0</v>
      </c>
      <c r="O1616" s="26">
        <v>1229270</v>
      </c>
      <c r="P1616" s="26" t="s">
        <v>41</v>
      </c>
      <c r="Q1616" s="26" t="s">
        <v>42</v>
      </c>
      <c r="R1616" s="26"/>
      <c r="S1616" s="26"/>
      <c r="T1616" s="26"/>
      <c r="U1616" s="26"/>
      <c r="V1616" s="26" t="s">
        <v>43</v>
      </c>
      <c r="W1616" s="26"/>
      <c r="X1616" s="26"/>
    </row>
    <row r="1617" spans="1:24">
      <c r="A1617" s="32" t="s">
        <v>31</v>
      </c>
      <c r="B1617" s="32" t="s">
        <v>6290</v>
      </c>
      <c r="C1617" s="32" t="s">
        <v>6291</v>
      </c>
      <c r="D1617" s="32">
        <f t="shared" si="27"/>
        <v>-1</v>
      </c>
      <c r="E1617" s="32" t="s">
        <v>34</v>
      </c>
      <c r="F1617" s="32" t="s">
        <v>5954</v>
      </c>
      <c r="G1617" s="32" t="s">
        <v>6292</v>
      </c>
      <c r="H1617" s="32" t="s">
        <v>37</v>
      </c>
      <c r="I1617" s="32" t="s">
        <v>38</v>
      </c>
      <c r="J1617" s="32" t="s">
        <v>3861</v>
      </c>
      <c r="K1617" s="32" t="s">
        <v>3862</v>
      </c>
      <c r="L1617" s="32">
        <v>42750</v>
      </c>
      <c r="M1617" s="32">
        <v>0</v>
      </c>
      <c r="N1617" s="32">
        <v>0</v>
      </c>
      <c r="O1617" s="32">
        <v>267750</v>
      </c>
      <c r="P1617" s="32" t="s">
        <v>41</v>
      </c>
      <c r="Q1617" s="32" t="s">
        <v>42</v>
      </c>
      <c r="R1617" s="26" t="s">
        <v>43</v>
      </c>
      <c r="S1617" s="26"/>
      <c r="T1617" s="26"/>
      <c r="U1617" s="26"/>
      <c r="V1617" s="26"/>
      <c r="W1617" s="26"/>
      <c r="X1617" s="26"/>
    </row>
    <row r="1618" spans="1:24">
      <c r="A1618" s="32" t="s">
        <v>31</v>
      </c>
      <c r="B1618" s="32" t="s">
        <v>6293</v>
      </c>
      <c r="C1618" s="32" t="s">
        <v>6294</v>
      </c>
      <c r="D1618" s="32">
        <f t="shared" si="27"/>
        <v>-1</v>
      </c>
      <c r="E1618" s="32" t="s">
        <v>34</v>
      </c>
      <c r="F1618" s="32" t="s">
        <v>5954</v>
      </c>
      <c r="G1618" s="32" t="s">
        <v>6295</v>
      </c>
      <c r="H1618" s="32" t="s">
        <v>37</v>
      </c>
      <c r="I1618" s="32" t="s">
        <v>38</v>
      </c>
      <c r="J1618" s="32" t="s">
        <v>6296</v>
      </c>
      <c r="K1618" s="32" t="s">
        <v>6297</v>
      </c>
      <c r="L1618" s="32">
        <v>452120.2</v>
      </c>
      <c r="M1618" s="32">
        <v>0</v>
      </c>
      <c r="N1618" s="32">
        <v>0</v>
      </c>
      <c r="O1618" s="32">
        <v>2831700.2</v>
      </c>
      <c r="P1618" s="32" t="s">
        <v>41</v>
      </c>
      <c r="Q1618" s="32" t="s">
        <v>42</v>
      </c>
      <c r="R1618" s="26" t="s">
        <v>43</v>
      </c>
      <c r="S1618" s="26"/>
      <c r="T1618" s="26"/>
      <c r="U1618" s="26"/>
      <c r="V1618" s="26"/>
      <c r="W1618" s="26"/>
      <c r="X1618" s="26"/>
    </row>
    <row r="1619" spans="1:24">
      <c r="A1619" s="26" t="s">
        <v>31</v>
      </c>
      <c r="B1619" s="26" t="s">
        <v>6298</v>
      </c>
      <c r="C1619" s="26" t="s">
        <v>6299</v>
      </c>
      <c r="D1619" s="26">
        <f t="shared" si="27"/>
        <v>-1</v>
      </c>
      <c r="E1619" s="26" t="s">
        <v>34</v>
      </c>
      <c r="F1619" s="26" t="s">
        <v>5954</v>
      </c>
      <c r="G1619" s="26" t="s">
        <v>6300</v>
      </c>
      <c r="H1619" s="26" t="s">
        <v>37</v>
      </c>
      <c r="I1619" s="26" t="s">
        <v>38</v>
      </c>
      <c r="J1619" s="26" t="s">
        <v>1589</v>
      </c>
      <c r="K1619" s="26" t="s">
        <v>1590</v>
      </c>
      <c r="L1619" s="26">
        <v>300480.06</v>
      </c>
      <c r="M1619" s="26">
        <v>0</v>
      </c>
      <c r="N1619" s="26">
        <v>0</v>
      </c>
      <c r="O1619" s="26">
        <v>1881954.06</v>
      </c>
      <c r="P1619" s="26" t="s">
        <v>41</v>
      </c>
      <c r="Q1619" s="26" t="s">
        <v>42</v>
      </c>
      <c r="R1619" s="26"/>
      <c r="S1619" s="26"/>
      <c r="T1619" s="26"/>
      <c r="U1619" s="26"/>
      <c r="V1619" s="26" t="s">
        <v>43</v>
      </c>
      <c r="W1619" s="26"/>
      <c r="X1619" s="26"/>
    </row>
    <row r="1620" spans="1:24">
      <c r="A1620" s="33" t="s">
        <v>31</v>
      </c>
      <c r="B1620" s="33" t="s">
        <v>6301</v>
      </c>
      <c r="C1620" s="33" t="s">
        <v>6302</v>
      </c>
      <c r="D1620" s="33">
        <f t="shared" si="27"/>
        <v>-1</v>
      </c>
      <c r="E1620" s="33" t="s">
        <v>34</v>
      </c>
      <c r="F1620" s="33" t="s">
        <v>5954</v>
      </c>
      <c r="G1620" s="33" t="s">
        <v>6303</v>
      </c>
      <c r="H1620" s="33" t="s">
        <v>37</v>
      </c>
      <c r="I1620" s="33" t="s">
        <v>38</v>
      </c>
      <c r="J1620" s="33" t="s">
        <v>6304</v>
      </c>
      <c r="K1620" s="33" t="s">
        <v>6305</v>
      </c>
      <c r="L1620" s="33">
        <v>50514.35</v>
      </c>
      <c r="M1620" s="33">
        <v>0</v>
      </c>
      <c r="N1620" s="33">
        <v>0</v>
      </c>
      <c r="O1620" s="33">
        <v>316379.34999999998</v>
      </c>
      <c r="P1620" s="33" t="s">
        <v>41</v>
      </c>
      <c r="Q1620" s="33" t="s">
        <v>42</v>
      </c>
      <c r="R1620" s="26"/>
      <c r="S1620" s="26" t="s">
        <v>43</v>
      </c>
      <c r="T1620" s="26"/>
      <c r="U1620" s="26"/>
      <c r="V1620" s="26"/>
      <c r="W1620" s="26"/>
      <c r="X1620" s="26"/>
    </row>
    <row r="1621" spans="1:24">
      <c r="A1621" s="26" t="s">
        <v>31</v>
      </c>
      <c r="B1621" s="26" t="s">
        <v>6306</v>
      </c>
      <c r="C1621" s="26" t="s">
        <v>6307</v>
      </c>
      <c r="D1621" s="26">
        <f t="shared" si="27"/>
        <v>-1</v>
      </c>
      <c r="E1621" s="26" t="s">
        <v>34</v>
      </c>
      <c r="F1621" s="26" t="s">
        <v>5954</v>
      </c>
      <c r="G1621" s="26" t="s">
        <v>6308</v>
      </c>
      <c r="H1621" s="26" t="s">
        <v>37</v>
      </c>
      <c r="I1621" s="26" t="s">
        <v>38</v>
      </c>
      <c r="J1621" s="26" t="s">
        <v>4044</v>
      </c>
      <c r="K1621" s="26" t="s">
        <v>4045</v>
      </c>
      <c r="L1621" s="26">
        <v>78104.98</v>
      </c>
      <c r="M1621" s="26">
        <v>0</v>
      </c>
      <c r="N1621" s="26">
        <v>0</v>
      </c>
      <c r="O1621" s="26">
        <v>507948.98</v>
      </c>
      <c r="P1621" s="26" t="s">
        <v>41</v>
      </c>
      <c r="Q1621" s="26" t="s">
        <v>42</v>
      </c>
      <c r="R1621" s="26"/>
      <c r="S1621" s="26"/>
      <c r="T1621" s="26"/>
      <c r="U1621" s="26"/>
      <c r="V1621" s="26" t="s">
        <v>43</v>
      </c>
      <c r="W1621" s="26"/>
      <c r="X1621" s="26"/>
    </row>
    <row r="1622" spans="1:24">
      <c r="A1622" s="26" t="s">
        <v>31</v>
      </c>
      <c r="B1622" s="26" t="s">
        <v>6309</v>
      </c>
      <c r="C1622" s="26" t="s">
        <v>6310</v>
      </c>
      <c r="D1622" s="26">
        <f t="shared" si="27"/>
        <v>-1</v>
      </c>
      <c r="E1622" s="26" t="s">
        <v>34</v>
      </c>
      <c r="F1622" s="26" t="s">
        <v>5954</v>
      </c>
      <c r="G1622" s="26" t="s">
        <v>6311</v>
      </c>
      <c r="H1622" s="26" t="s">
        <v>37</v>
      </c>
      <c r="I1622" s="26" t="s">
        <v>38</v>
      </c>
      <c r="J1622" s="26" t="s">
        <v>4044</v>
      </c>
      <c r="K1622" s="26" t="s">
        <v>4045</v>
      </c>
      <c r="L1622" s="26">
        <v>67178.600000000006</v>
      </c>
      <c r="M1622" s="26">
        <v>0</v>
      </c>
      <c r="N1622" s="26">
        <v>0</v>
      </c>
      <c r="O1622" s="26">
        <v>577152.6</v>
      </c>
      <c r="P1622" s="26" t="s">
        <v>41</v>
      </c>
      <c r="Q1622" s="26" t="s">
        <v>42</v>
      </c>
      <c r="R1622" s="26"/>
      <c r="S1622" s="26"/>
      <c r="T1622" s="26"/>
      <c r="U1622" s="26"/>
      <c r="V1622" s="26" t="s">
        <v>43</v>
      </c>
      <c r="W1622" s="26"/>
      <c r="X1622" s="26"/>
    </row>
    <row r="1623" spans="1:24">
      <c r="A1623" s="26" t="s">
        <v>31</v>
      </c>
      <c r="B1623" s="26" t="s">
        <v>6312</v>
      </c>
      <c r="C1623" s="26" t="s">
        <v>6313</v>
      </c>
      <c r="D1623" s="26">
        <f t="shared" si="27"/>
        <v>-1</v>
      </c>
      <c r="E1623" s="26" t="s">
        <v>34</v>
      </c>
      <c r="F1623" s="26" t="s">
        <v>5954</v>
      </c>
      <c r="G1623" s="26" t="s">
        <v>6314</v>
      </c>
      <c r="H1623" s="26" t="s">
        <v>37</v>
      </c>
      <c r="I1623" s="26" t="s">
        <v>38</v>
      </c>
      <c r="J1623" s="26" t="s">
        <v>6315</v>
      </c>
      <c r="K1623" s="26" t="s">
        <v>6316</v>
      </c>
      <c r="L1623" s="26">
        <v>755250</v>
      </c>
      <c r="M1623" s="26">
        <v>0</v>
      </c>
      <c r="N1623" s="26">
        <v>0</v>
      </c>
      <c r="O1623" s="26">
        <v>4730250</v>
      </c>
      <c r="P1623" s="26" t="s">
        <v>41</v>
      </c>
      <c r="Q1623" s="26" t="s">
        <v>42</v>
      </c>
      <c r="R1623" s="26"/>
      <c r="S1623" s="26"/>
      <c r="T1623" s="26"/>
      <c r="U1623" s="26"/>
      <c r="V1623" s="26" t="s">
        <v>43</v>
      </c>
      <c r="W1623" s="26"/>
      <c r="X1623" s="26"/>
    </row>
    <row r="1624" spans="1:24">
      <c r="A1624" s="32" t="s">
        <v>31</v>
      </c>
      <c r="B1624" s="32" t="s">
        <v>6317</v>
      </c>
      <c r="C1624" s="32" t="s">
        <v>6318</v>
      </c>
      <c r="D1624" s="32">
        <f t="shared" si="27"/>
        <v>-1</v>
      </c>
      <c r="E1624" s="32" t="s">
        <v>34</v>
      </c>
      <c r="F1624" s="32" t="s">
        <v>5954</v>
      </c>
      <c r="G1624" s="32" t="s">
        <v>6319</v>
      </c>
      <c r="H1624" s="32" t="s">
        <v>37</v>
      </c>
      <c r="I1624" s="32" t="s">
        <v>38</v>
      </c>
      <c r="J1624" s="32" t="s">
        <v>2498</v>
      </c>
      <c r="K1624" s="32" t="s">
        <v>2499</v>
      </c>
      <c r="L1624" s="32">
        <v>47034.12</v>
      </c>
      <c r="M1624" s="32">
        <v>0</v>
      </c>
      <c r="N1624" s="32">
        <v>0</v>
      </c>
      <c r="O1624" s="32">
        <v>294582.12</v>
      </c>
      <c r="P1624" s="32" t="s">
        <v>41</v>
      </c>
      <c r="Q1624" s="32" t="s">
        <v>42</v>
      </c>
      <c r="R1624" s="26" t="s">
        <v>43</v>
      </c>
      <c r="S1624" s="26"/>
      <c r="T1624" s="26"/>
      <c r="U1624" s="26"/>
      <c r="V1624" s="26"/>
      <c r="W1624" s="26"/>
      <c r="X1624" s="26"/>
    </row>
    <row r="1625" spans="1:24">
      <c r="A1625" s="26" t="s">
        <v>31</v>
      </c>
      <c r="B1625" s="26" t="s">
        <v>6320</v>
      </c>
      <c r="C1625" s="26" t="s">
        <v>6321</v>
      </c>
      <c r="D1625" s="26">
        <f t="shared" si="27"/>
        <v>-1</v>
      </c>
      <c r="E1625" s="26" t="s">
        <v>34</v>
      </c>
      <c r="F1625" s="26" t="s">
        <v>5954</v>
      </c>
      <c r="G1625" s="26" t="s">
        <v>6322</v>
      </c>
      <c r="H1625" s="26" t="s">
        <v>37</v>
      </c>
      <c r="I1625" s="26" t="s">
        <v>38</v>
      </c>
      <c r="J1625" s="26" t="s">
        <v>5704</v>
      </c>
      <c r="K1625" s="26" t="s">
        <v>5705</v>
      </c>
      <c r="L1625" s="26">
        <v>820268</v>
      </c>
      <c r="M1625" s="26">
        <v>0</v>
      </c>
      <c r="N1625" s="26">
        <v>0</v>
      </c>
      <c r="O1625" s="26">
        <v>5137468</v>
      </c>
      <c r="P1625" s="26" t="s">
        <v>41</v>
      </c>
      <c r="Q1625" s="26" t="s">
        <v>42</v>
      </c>
      <c r="R1625" s="26"/>
      <c r="S1625" s="26"/>
      <c r="T1625" s="26"/>
      <c r="U1625" s="26"/>
      <c r="V1625" s="26" t="s">
        <v>43</v>
      </c>
      <c r="W1625" s="26"/>
      <c r="X1625" s="26"/>
    </row>
    <row r="1626" spans="1:24">
      <c r="A1626" s="26" t="s">
        <v>31</v>
      </c>
      <c r="B1626" s="26" t="s">
        <v>6323</v>
      </c>
      <c r="C1626" s="26" t="s">
        <v>6324</v>
      </c>
      <c r="D1626" s="26">
        <f t="shared" si="27"/>
        <v>-1</v>
      </c>
      <c r="E1626" s="26" t="s">
        <v>34</v>
      </c>
      <c r="F1626" s="26" t="s">
        <v>5954</v>
      </c>
      <c r="G1626" s="26" t="s">
        <v>6325</v>
      </c>
      <c r="H1626" s="26" t="s">
        <v>37</v>
      </c>
      <c r="I1626" s="26" t="s">
        <v>38</v>
      </c>
      <c r="J1626" s="26" t="s">
        <v>6124</v>
      </c>
      <c r="K1626" s="26" t="s">
        <v>6125</v>
      </c>
      <c r="L1626" s="26">
        <v>7011</v>
      </c>
      <c r="M1626" s="26">
        <v>0</v>
      </c>
      <c r="N1626" s="26">
        <v>0</v>
      </c>
      <c r="O1626" s="26">
        <v>43911</v>
      </c>
      <c r="P1626" s="26" t="s">
        <v>41</v>
      </c>
      <c r="Q1626" s="26" t="s">
        <v>42</v>
      </c>
      <c r="R1626" s="26"/>
      <c r="S1626" s="26"/>
      <c r="T1626" s="26"/>
      <c r="U1626" s="26"/>
      <c r="V1626" s="26" t="s">
        <v>43</v>
      </c>
      <c r="W1626" s="26"/>
      <c r="X1626" s="26"/>
    </row>
    <row r="1627" spans="1:24">
      <c r="A1627" s="31" t="s">
        <v>31</v>
      </c>
      <c r="B1627" s="31" t="s">
        <v>6326</v>
      </c>
      <c r="C1627" s="31" t="s">
        <v>6327</v>
      </c>
      <c r="D1627" s="31">
        <f t="shared" si="27"/>
        <v>-1</v>
      </c>
      <c r="E1627" s="31" t="s">
        <v>34</v>
      </c>
      <c r="F1627" s="31" t="s">
        <v>5954</v>
      </c>
      <c r="G1627" s="31" t="s">
        <v>6328</v>
      </c>
      <c r="H1627" s="31" t="s">
        <v>37</v>
      </c>
      <c r="I1627" s="31" t="s">
        <v>38</v>
      </c>
      <c r="J1627" s="31" t="s">
        <v>3624</v>
      </c>
      <c r="K1627" s="31" t="s">
        <v>3625</v>
      </c>
      <c r="L1627" s="31">
        <v>1397412</v>
      </c>
      <c r="M1627" s="31">
        <v>0</v>
      </c>
      <c r="N1627" s="31">
        <v>0</v>
      </c>
      <c r="O1627" s="31">
        <v>8752212</v>
      </c>
      <c r="P1627" s="31" t="s">
        <v>41</v>
      </c>
      <c r="Q1627" s="31" t="s">
        <v>42</v>
      </c>
      <c r="R1627" s="26"/>
      <c r="S1627" s="26"/>
      <c r="T1627" s="26"/>
      <c r="U1627" s="26" t="s">
        <v>43</v>
      </c>
      <c r="V1627" s="26"/>
      <c r="W1627" s="26"/>
      <c r="X1627" s="26"/>
    </row>
    <row r="1628" spans="1:24">
      <c r="A1628" s="26" t="s">
        <v>31</v>
      </c>
      <c r="B1628" s="26" t="s">
        <v>6329</v>
      </c>
      <c r="C1628" s="26" t="s">
        <v>6330</v>
      </c>
      <c r="D1628" s="26">
        <f t="shared" si="27"/>
        <v>-1</v>
      </c>
      <c r="E1628" s="26" t="s">
        <v>34</v>
      </c>
      <c r="F1628" s="26" t="s">
        <v>5954</v>
      </c>
      <c r="G1628" s="26" t="s">
        <v>6331</v>
      </c>
      <c r="H1628" s="26" t="s">
        <v>37</v>
      </c>
      <c r="I1628" s="26" t="s">
        <v>38</v>
      </c>
      <c r="J1628" s="26" t="s">
        <v>3624</v>
      </c>
      <c r="K1628" s="26" t="s">
        <v>3625</v>
      </c>
      <c r="L1628" s="26">
        <v>1397412</v>
      </c>
      <c r="M1628" s="26">
        <v>0</v>
      </c>
      <c r="N1628" s="26">
        <v>0</v>
      </c>
      <c r="O1628" s="26">
        <v>8752212</v>
      </c>
      <c r="P1628" s="26" t="s">
        <v>41</v>
      </c>
      <c r="Q1628" s="26" t="s">
        <v>42</v>
      </c>
      <c r="R1628" s="26"/>
      <c r="S1628" s="26"/>
      <c r="T1628" s="26"/>
      <c r="U1628" s="26"/>
      <c r="V1628" s="26" t="s">
        <v>43</v>
      </c>
      <c r="W1628" s="26"/>
      <c r="X1628" s="26"/>
    </row>
    <row r="1629" spans="1:24">
      <c r="A1629" s="26" t="s">
        <v>31</v>
      </c>
      <c r="B1629" s="26" t="s">
        <v>6332</v>
      </c>
      <c r="C1629" s="26" t="s">
        <v>6333</v>
      </c>
      <c r="D1629" s="26">
        <f t="shared" si="27"/>
        <v>-1</v>
      </c>
      <c r="E1629" s="26" t="s">
        <v>34</v>
      </c>
      <c r="F1629" s="26" t="s">
        <v>5954</v>
      </c>
      <c r="G1629" s="26" t="s">
        <v>6334</v>
      </c>
      <c r="H1629" s="26" t="s">
        <v>37</v>
      </c>
      <c r="I1629" s="26" t="s">
        <v>38</v>
      </c>
      <c r="J1629" s="26" t="s">
        <v>3624</v>
      </c>
      <c r="K1629" s="26" t="s">
        <v>3625</v>
      </c>
      <c r="L1629" s="26">
        <v>1397412</v>
      </c>
      <c r="M1629" s="26">
        <v>0</v>
      </c>
      <c r="N1629" s="26">
        <v>0</v>
      </c>
      <c r="O1629" s="26">
        <v>8752212</v>
      </c>
      <c r="P1629" s="26" t="s">
        <v>41</v>
      </c>
      <c r="Q1629" s="26" t="s">
        <v>42</v>
      </c>
      <c r="R1629" s="26"/>
      <c r="S1629" s="26"/>
      <c r="T1629" s="26"/>
      <c r="U1629" s="26"/>
      <c r="V1629" s="26" t="s">
        <v>43</v>
      </c>
      <c r="W1629" s="26"/>
      <c r="X1629" s="26"/>
    </row>
    <row r="1630" spans="1:24">
      <c r="A1630" s="32" t="s">
        <v>31</v>
      </c>
      <c r="B1630" s="32" t="s">
        <v>6335</v>
      </c>
      <c r="C1630" s="32" t="s">
        <v>6336</v>
      </c>
      <c r="D1630" s="32">
        <f t="shared" si="27"/>
        <v>-1</v>
      </c>
      <c r="E1630" s="32" t="s">
        <v>34</v>
      </c>
      <c r="F1630" s="32" t="s">
        <v>5954</v>
      </c>
      <c r="G1630" s="32" t="s">
        <v>6337</v>
      </c>
      <c r="H1630" s="32" t="s">
        <v>37</v>
      </c>
      <c r="I1630" s="32" t="s">
        <v>38</v>
      </c>
      <c r="J1630" s="32" t="s">
        <v>3406</v>
      </c>
      <c r="K1630" s="32" t="s">
        <v>3407</v>
      </c>
      <c r="L1630" s="32">
        <v>603060</v>
      </c>
      <c r="M1630" s="32">
        <v>0</v>
      </c>
      <c r="N1630" s="32">
        <v>0</v>
      </c>
      <c r="O1630" s="32">
        <v>3777060</v>
      </c>
      <c r="P1630" s="32" t="s">
        <v>41</v>
      </c>
      <c r="Q1630" s="32" t="s">
        <v>42</v>
      </c>
      <c r="R1630" s="26" t="s">
        <v>43</v>
      </c>
      <c r="S1630" s="26"/>
      <c r="T1630" s="26"/>
      <c r="U1630" s="26"/>
      <c r="V1630" s="26"/>
      <c r="W1630" s="26"/>
      <c r="X1630" s="26"/>
    </row>
    <row r="1631" spans="1:24">
      <c r="A1631" s="26" t="s">
        <v>31</v>
      </c>
      <c r="B1631" s="26" t="s">
        <v>6338</v>
      </c>
      <c r="C1631" s="26" t="s">
        <v>6339</v>
      </c>
      <c r="D1631" s="26">
        <f t="shared" si="27"/>
        <v>-1</v>
      </c>
      <c r="E1631" s="26" t="s">
        <v>34</v>
      </c>
      <c r="F1631" s="26" t="s">
        <v>5954</v>
      </c>
      <c r="G1631" s="26" t="s">
        <v>6340</v>
      </c>
      <c r="H1631" s="26" t="s">
        <v>37</v>
      </c>
      <c r="I1631" s="26" t="s">
        <v>38</v>
      </c>
      <c r="J1631" s="26" t="s">
        <v>1629</v>
      </c>
      <c r="K1631" s="26" t="s">
        <v>1630</v>
      </c>
      <c r="L1631" s="26">
        <v>114000</v>
      </c>
      <c r="M1631" s="26">
        <v>0</v>
      </c>
      <c r="N1631" s="26">
        <v>0</v>
      </c>
      <c r="O1631" s="26">
        <v>714000</v>
      </c>
      <c r="P1631" s="26" t="s">
        <v>41</v>
      </c>
      <c r="Q1631" s="26" t="s">
        <v>42</v>
      </c>
      <c r="R1631" s="26"/>
      <c r="S1631" s="26"/>
      <c r="T1631" s="26"/>
      <c r="U1631" s="26"/>
      <c r="V1631" s="26" t="s">
        <v>43</v>
      </c>
      <c r="W1631" s="26"/>
      <c r="X1631" s="26"/>
    </row>
    <row r="1632" spans="1:24">
      <c r="A1632" s="26" t="s">
        <v>31</v>
      </c>
      <c r="B1632" s="26" t="s">
        <v>6341</v>
      </c>
      <c r="C1632" s="26" t="s">
        <v>6342</v>
      </c>
      <c r="D1632" s="26">
        <f t="shared" si="27"/>
        <v>-1</v>
      </c>
      <c r="E1632" s="26" t="s">
        <v>34</v>
      </c>
      <c r="F1632" s="26" t="s">
        <v>5954</v>
      </c>
      <c r="G1632" s="26" t="s">
        <v>6343</v>
      </c>
      <c r="H1632" s="26" t="s">
        <v>37</v>
      </c>
      <c r="I1632" s="26" t="s">
        <v>38</v>
      </c>
      <c r="J1632" s="26" t="s">
        <v>1629</v>
      </c>
      <c r="K1632" s="26" t="s">
        <v>1630</v>
      </c>
      <c r="L1632" s="26">
        <v>48640</v>
      </c>
      <c r="M1632" s="26">
        <v>0</v>
      </c>
      <c r="N1632" s="26">
        <v>0</v>
      </c>
      <c r="O1632" s="26">
        <v>304640</v>
      </c>
      <c r="P1632" s="26" t="s">
        <v>41</v>
      </c>
      <c r="Q1632" s="26" t="s">
        <v>42</v>
      </c>
      <c r="R1632" s="26"/>
      <c r="S1632" s="26"/>
      <c r="T1632" s="26"/>
      <c r="U1632" s="26"/>
      <c r="V1632" s="26" t="s">
        <v>43</v>
      </c>
      <c r="W1632" s="26"/>
      <c r="X1632" s="26"/>
    </row>
    <row r="1633" spans="1:24">
      <c r="A1633" s="32" t="s">
        <v>31</v>
      </c>
      <c r="B1633" s="32" t="s">
        <v>6344</v>
      </c>
      <c r="C1633" s="32" t="s">
        <v>6345</v>
      </c>
      <c r="D1633" s="32">
        <f t="shared" si="27"/>
        <v>-1</v>
      </c>
      <c r="E1633" s="32" t="s">
        <v>34</v>
      </c>
      <c r="F1633" s="32" t="s">
        <v>5954</v>
      </c>
      <c r="G1633" s="32" t="s">
        <v>6346</v>
      </c>
      <c r="H1633" s="32" t="s">
        <v>37</v>
      </c>
      <c r="I1633" s="32" t="s">
        <v>38</v>
      </c>
      <c r="J1633" s="32" t="s">
        <v>1476</v>
      </c>
      <c r="K1633" s="32" t="s">
        <v>1477</v>
      </c>
      <c r="L1633" s="32">
        <v>114627</v>
      </c>
      <c r="M1633" s="32">
        <v>0</v>
      </c>
      <c r="N1633" s="32">
        <v>0</v>
      </c>
      <c r="O1633" s="32">
        <v>717927</v>
      </c>
      <c r="P1633" s="32" t="s">
        <v>41</v>
      </c>
      <c r="Q1633" s="32" t="s">
        <v>42</v>
      </c>
      <c r="R1633" s="26" t="s">
        <v>43</v>
      </c>
      <c r="S1633" s="26"/>
      <c r="T1633" s="26"/>
      <c r="U1633" s="26"/>
      <c r="V1633" s="26"/>
      <c r="W1633" s="26"/>
      <c r="X1633" s="26"/>
    </row>
    <row r="1634" spans="1:24">
      <c r="A1634" s="32" t="s">
        <v>31</v>
      </c>
      <c r="B1634" s="32" t="s">
        <v>6347</v>
      </c>
      <c r="C1634" s="32" t="s">
        <v>6348</v>
      </c>
      <c r="D1634" s="32">
        <f t="shared" si="27"/>
        <v>-1</v>
      </c>
      <c r="E1634" s="32" t="s">
        <v>34</v>
      </c>
      <c r="F1634" s="32" t="s">
        <v>5954</v>
      </c>
      <c r="G1634" s="32" t="s">
        <v>6349</v>
      </c>
      <c r="H1634" s="32" t="s">
        <v>37</v>
      </c>
      <c r="I1634" s="32" t="s">
        <v>38</v>
      </c>
      <c r="J1634" s="32" t="s">
        <v>322</v>
      </c>
      <c r="K1634" s="32" t="s">
        <v>323</v>
      </c>
      <c r="L1634" s="32">
        <v>914850</v>
      </c>
      <c r="M1634" s="32">
        <v>0</v>
      </c>
      <c r="N1634" s="32">
        <v>0</v>
      </c>
      <c r="O1634" s="32">
        <v>5729850</v>
      </c>
      <c r="P1634" s="32" t="s">
        <v>41</v>
      </c>
      <c r="Q1634" s="32" t="s">
        <v>42</v>
      </c>
      <c r="R1634" s="26" t="s">
        <v>43</v>
      </c>
      <c r="S1634" s="26"/>
      <c r="T1634" s="26"/>
      <c r="U1634" s="26"/>
      <c r="V1634" s="26"/>
      <c r="W1634" s="26"/>
      <c r="X1634" s="26"/>
    </row>
    <row r="1635" spans="1:24">
      <c r="A1635" s="34" t="s">
        <v>31</v>
      </c>
      <c r="B1635" s="34" t="s">
        <v>6350</v>
      </c>
      <c r="C1635" s="34" t="s">
        <v>6351</v>
      </c>
      <c r="D1635" s="34">
        <f t="shared" si="27"/>
        <v>-1</v>
      </c>
      <c r="E1635" s="34" t="s">
        <v>34</v>
      </c>
      <c r="F1635" s="34" t="s">
        <v>5954</v>
      </c>
      <c r="G1635" s="34" t="s">
        <v>6352</v>
      </c>
      <c r="H1635" s="34" t="s">
        <v>37</v>
      </c>
      <c r="I1635" s="34" t="s">
        <v>38</v>
      </c>
      <c r="J1635" s="34" t="s">
        <v>6353</v>
      </c>
      <c r="K1635" s="34" t="s">
        <v>6354</v>
      </c>
      <c r="L1635" s="34">
        <v>50350</v>
      </c>
      <c r="M1635" s="34">
        <v>0</v>
      </c>
      <c r="N1635" s="34">
        <v>0</v>
      </c>
      <c r="O1635" s="34">
        <v>315350</v>
      </c>
      <c r="P1635" s="34" t="s">
        <v>41</v>
      </c>
      <c r="Q1635" s="34" t="s">
        <v>42</v>
      </c>
      <c r="R1635" s="26"/>
      <c r="S1635" s="26"/>
      <c r="T1635" s="26" t="s">
        <v>43</v>
      </c>
      <c r="U1635" s="26"/>
      <c r="V1635" s="26"/>
      <c r="W1635" s="26"/>
      <c r="X1635" s="26"/>
    </row>
    <row r="1636" spans="1:24">
      <c r="A1636" s="26" t="s">
        <v>31</v>
      </c>
      <c r="B1636" s="26" t="s">
        <v>6355</v>
      </c>
      <c r="C1636" s="26" t="s">
        <v>6356</v>
      </c>
      <c r="D1636" s="26">
        <f t="shared" si="27"/>
        <v>-1</v>
      </c>
      <c r="E1636" s="26" t="s">
        <v>34</v>
      </c>
      <c r="F1636" s="26" t="s">
        <v>5954</v>
      </c>
      <c r="G1636" s="26" t="s">
        <v>6357</v>
      </c>
      <c r="H1636" s="26" t="s">
        <v>37</v>
      </c>
      <c r="I1636" s="26" t="s">
        <v>38</v>
      </c>
      <c r="J1636" s="26" t="s">
        <v>166</v>
      </c>
      <c r="K1636" s="26" t="s">
        <v>167</v>
      </c>
      <c r="L1636" s="26">
        <v>41800</v>
      </c>
      <c r="M1636" s="26">
        <v>0</v>
      </c>
      <c r="N1636" s="26">
        <v>0</v>
      </c>
      <c r="O1636" s="26">
        <v>261800</v>
      </c>
      <c r="P1636" s="26" t="s">
        <v>41</v>
      </c>
      <c r="Q1636" s="26" t="s">
        <v>42</v>
      </c>
      <c r="R1636" s="26"/>
      <c r="S1636" s="26"/>
      <c r="T1636" s="26"/>
      <c r="U1636" s="26"/>
      <c r="V1636" s="26" t="s">
        <v>43</v>
      </c>
      <c r="W1636" s="26"/>
      <c r="X1636" s="26"/>
    </row>
    <row r="1637" spans="1:24">
      <c r="A1637" s="26" t="s">
        <v>31</v>
      </c>
      <c r="B1637" s="26" t="s">
        <v>6358</v>
      </c>
      <c r="C1637" s="26" t="s">
        <v>6359</v>
      </c>
      <c r="D1637" s="26">
        <f t="shared" si="27"/>
        <v>-1</v>
      </c>
      <c r="E1637" s="26" t="s">
        <v>34</v>
      </c>
      <c r="F1637" s="26" t="s">
        <v>5954</v>
      </c>
      <c r="G1637" s="26" t="s">
        <v>6360</v>
      </c>
      <c r="H1637" s="26" t="s">
        <v>37</v>
      </c>
      <c r="I1637" s="26" t="s">
        <v>38</v>
      </c>
      <c r="J1637" s="26" t="s">
        <v>155</v>
      </c>
      <c r="K1637" s="26" t="s">
        <v>156</v>
      </c>
      <c r="L1637" s="26">
        <v>591850</v>
      </c>
      <c r="M1637" s="26">
        <v>0</v>
      </c>
      <c r="N1637" s="26">
        <v>0</v>
      </c>
      <c r="O1637" s="26">
        <v>3706850</v>
      </c>
      <c r="P1637" s="26" t="s">
        <v>41</v>
      </c>
      <c r="Q1637" s="26" t="s">
        <v>42</v>
      </c>
      <c r="R1637" s="26"/>
      <c r="S1637" s="26"/>
      <c r="T1637" s="26"/>
      <c r="U1637" s="26"/>
      <c r="V1637" s="26" t="s">
        <v>43</v>
      </c>
      <c r="W1637" s="26"/>
      <c r="X1637" s="26"/>
    </row>
    <row r="1638" spans="1:24">
      <c r="A1638" s="26" t="s">
        <v>31</v>
      </c>
      <c r="B1638" s="26" t="s">
        <v>6361</v>
      </c>
      <c r="C1638" s="26" t="s">
        <v>6362</v>
      </c>
      <c r="D1638" s="26">
        <f t="shared" si="27"/>
        <v>-1</v>
      </c>
      <c r="E1638" s="26" t="s">
        <v>34</v>
      </c>
      <c r="F1638" s="26" t="s">
        <v>5954</v>
      </c>
      <c r="G1638" s="26" t="s">
        <v>6363</v>
      </c>
      <c r="H1638" s="26" t="s">
        <v>37</v>
      </c>
      <c r="I1638" s="26" t="s">
        <v>38</v>
      </c>
      <c r="J1638" s="26" t="s">
        <v>769</v>
      </c>
      <c r="K1638" s="26" t="s">
        <v>770</v>
      </c>
      <c r="L1638" s="26">
        <v>183160</v>
      </c>
      <c r="M1638" s="26">
        <v>0</v>
      </c>
      <c r="N1638" s="26">
        <v>0</v>
      </c>
      <c r="O1638" s="26">
        <v>1147160</v>
      </c>
      <c r="P1638" s="26" t="s">
        <v>41</v>
      </c>
      <c r="Q1638" s="26" t="s">
        <v>42</v>
      </c>
      <c r="R1638" s="26"/>
      <c r="S1638" s="26"/>
      <c r="T1638" s="26"/>
      <c r="U1638" s="26"/>
      <c r="V1638" s="26" t="s">
        <v>43</v>
      </c>
      <c r="W1638" s="26"/>
      <c r="X1638" s="26"/>
    </row>
    <row r="1639" spans="1:24">
      <c r="A1639" s="26" t="s">
        <v>31</v>
      </c>
      <c r="B1639" s="26" t="s">
        <v>6364</v>
      </c>
      <c r="C1639" s="26" t="s">
        <v>6365</v>
      </c>
      <c r="D1639" s="26">
        <f t="shared" si="27"/>
        <v>-1</v>
      </c>
      <c r="E1639" s="26" t="s">
        <v>34</v>
      </c>
      <c r="F1639" s="26" t="s">
        <v>5954</v>
      </c>
      <c r="G1639" s="26" t="s">
        <v>6366</v>
      </c>
      <c r="H1639" s="26" t="s">
        <v>37</v>
      </c>
      <c r="I1639" s="26" t="s">
        <v>38</v>
      </c>
      <c r="J1639" s="26" t="s">
        <v>3624</v>
      </c>
      <c r="K1639" s="26" t="s">
        <v>3625</v>
      </c>
      <c r="L1639" s="26">
        <v>1397412</v>
      </c>
      <c r="M1639" s="26">
        <v>0</v>
      </c>
      <c r="N1639" s="26">
        <v>0</v>
      </c>
      <c r="O1639" s="26">
        <v>8752212</v>
      </c>
      <c r="P1639" s="26" t="s">
        <v>41</v>
      </c>
      <c r="Q1639" s="26" t="s">
        <v>42</v>
      </c>
      <c r="R1639" s="26"/>
      <c r="S1639" s="26"/>
      <c r="T1639" s="26"/>
      <c r="U1639" s="26"/>
      <c r="V1639" s="26" t="s">
        <v>43</v>
      </c>
      <c r="W1639" s="26"/>
      <c r="X1639" s="26"/>
    </row>
    <row r="1640" spans="1:24">
      <c r="A1640" s="35" t="s">
        <v>31</v>
      </c>
      <c r="B1640" s="35" t="s">
        <v>6367</v>
      </c>
      <c r="C1640" s="35" t="s">
        <v>6368</v>
      </c>
      <c r="D1640" s="35">
        <f t="shared" si="27"/>
        <v>-1</v>
      </c>
      <c r="E1640" s="35" t="s">
        <v>34</v>
      </c>
      <c r="F1640" s="35" t="s">
        <v>5954</v>
      </c>
      <c r="G1640" s="35" t="s">
        <v>6369</v>
      </c>
      <c r="H1640" s="35" t="s">
        <v>37</v>
      </c>
      <c r="I1640" s="35" t="s">
        <v>38</v>
      </c>
      <c r="J1640" s="35" t="s">
        <v>6370</v>
      </c>
      <c r="K1640" s="35" t="s">
        <v>6371</v>
      </c>
      <c r="L1640" s="35">
        <v>516800</v>
      </c>
      <c r="M1640" s="35">
        <v>0</v>
      </c>
      <c r="N1640" s="35">
        <v>0</v>
      </c>
      <c r="O1640" s="35">
        <v>3236800</v>
      </c>
      <c r="P1640" s="35" t="s">
        <v>41</v>
      </c>
      <c r="Q1640" s="35" t="s">
        <v>42</v>
      </c>
      <c r="R1640" s="26"/>
      <c r="S1640" s="26"/>
      <c r="T1640" s="26"/>
      <c r="U1640" s="26"/>
      <c r="V1640" s="26"/>
      <c r="W1640" s="35" t="s">
        <v>43</v>
      </c>
      <c r="X1640" s="26" t="s">
        <v>6372</v>
      </c>
    </row>
    <row r="1641" spans="1:24">
      <c r="A1641" s="34" t="s">
        <v>31</v>
      </c>
      <c r="B1641" s="34" t="s">
        <v>6373</v>
      </c>
      <c r="C1641" s="34" t="s">
        <v>6374</v>
      </c>
      <c r="D1641" s="34">
        <f t="shared" ref="D1641:D1704" si="28">C1641-C1642</f>
        <v>-1</v>
      </c>
      <c r="E1641" s="34" t="s">
        <v>34</v>
      </c>
      <c r="F1641" s="34" t="s">
        <v>5954</v>
      </c>
      <c r="G1641" s="34" t="s">
        <v>6375</v>
      </c>
      <c r="H1641" s="34" t="s">
        <v>37</v>
      </c>
      <c r="I1641" s="34" t="s">
        <v>38</v>
      </c>
      <c r="J1641" s="34" t="s">
        <v>6376</v>
      </c>
      <c r="K1641" s="34" t="s">
        <v>6377</v>
      </c>
      <c r="L1641" s="34">
        <v>1086884.74</v>
      </c>
      <c r="M1641" s="34">
        <v>0</v>
      </c>
      <c r="N1641" s="34">
        <v>0</v>
      </c>
      <c r="O1641" s="34">
        <v>6807330.7400000002</v>
      </c>
      <c r="P1641" s="34" t="s">
        <v>41</v>
      </c>
      <c r="Q1641" s="34" t="s">
        <v>42</v>
      </c>
      <c r="R1641" s="26"/>
      <c r="S1641" s="26"/>
      <c r="T1641" s="26" t="s">
        <v>43</v>
      </c>
      <c r="U1641" s="26"/>
      <c r="V1641" s="26"/>
      <c r="W1641" s="26"/>
      <c r="X1641" s="26"/>
    </row>
    <row r="1642" spans="1:24">
      <c r="A1642" s="33" t="s">
        <v>31</v>
      </c>
      <c r="B1642" s="33" t="s">
        <v>6378</v>
      </c>
      <c r="C1642" s="33" t="s">
        <v>6379</v>
      </c>
      <c r="D1642" s="33">
        <f t="shared" si="28"/>
        <v>-1</v>
      </c>
      <c r="E1642" s="33" t="s">
        <v>34</v>
      </c>
      <c r="F1642" s="33" t="s">
        <v>5954</v>
      </c>
      <c r="G1642" s="33" t="s">
        <v>6380</v>
      </c>
      <c r="H1642" s="33" t="s">
        <v>37</v>
      </c>
      <c r="I1642" s="33" t="s">
        <v>38</v>
      </c>
      <c r="J1642" s="33" t="s">
        <v>3242</v>
      </c>
      <c r="K1642" s="33" t="s">
        <v>3243</v>
      </c>
      <c r="L1642" s="33">
        <v>46468.3</v>
      </c>
      <c r="M1642" s="33">
        <v>0</v>
      </c>
      <c r="N1642" s="33">
        <v>0</v>
      </c>
      <c r="O1642" s="33">
        <v>291038.3</v>
      </c>
      <c r="P1642" s="33" t="s">
        <v>41</v>
      </c>
      <c r="Q1642" s="33" t="s">
        <v>42</v>
      </c>
      <c r="R1642" s="26"/>
      <c r="S1642" s="26" t="s">
        <v>43</v>
      </c>
      <c r="T1642" s="26"/>
      <c r="U1642" s="26"/>
      <c r="V1642" s="26"/>
      <c r="W1642" s="26"/>
      <c r="X1642" s="26"/>
    </row>
    <row r="1643" spans="1:24">
      <c r="A1643" s="26" t="s">
        <v>31</v>
      </c>
      <c r="B1643" s="26" t="s">
        <v>6381</v>
      </c>
      <c r="C1643" s="26" t="s">
        <v>6382</v>
      </c>
      <c r="D1643" s="26">
        <f t="shared" si="28"/>
        <v>-1</v>
      </c>
      <c r="E1643" s="26" t="s">
        <v>34</v>
      </c>
      <c r="F1643" s="26" t="s">
        <v>5954</v>
      </c>
      <c r="G1643" s="26" t="s">
        <v>6383</v>
      </c>
      <c r="H1643" s="26" t="s">
        <v>37</v>
      </c>
      <c r="I1643" s="26" t="s">
        <v>38</v>
      </c>
      <c r="J1643" s="26" t="s">
        <v>6384</v>
      </c>
      <c r="K1643" s="26" t="s">
        <v>6385</v>
      </c>
      <c r="L1643" s="26">
        <v>33307</v>
      </c>
      <c r="M1643" s="26">
        <v>0</v>
      </c>
      <c r="N1643" s="26">
        <v>0</v>
      </c>
      <c r="O1643" s="26">
        <v>208607</v>
      </c>
      <c r="P1643" s="26" t="s">
        <v>41</v>
      </c>
      <c r="Q1643" s="26" t="s">
        <v>42</v>
      </c>
      <c r="R1643" s="26"/>
      <c r="S1643" s="26"/>
      <c r="T1643" s="26"/>
      <c r="U1643" s="26"/>
      <c r="V1643" s="26" t="s">
        <v>43</v>
      </c>
      <c r="W1643" s="26"/>
      <c r="X1643" s="26"/>
    </row>
    <row r="1644" spans="1:24">
      <c r="A1644" s="26" t="s">
        <v>31</v>
      </c>
      <c r="B1644" s="26" t="s">
        <v>6386</v>
      </c>
      <c r="C1644" s="26" t="s">
        <v>6387</v>
      </c>
      <c r="D1644" s="26">
        <f t="shared" si="28"/>
        <v>-1</v>
      </c>
      <c r="E1644" s="26" t="s">
        <v>34</v>
      </c>
      <c r="F1644" s="26" t="s">
        <v>5954</v>
      </c>
      <c r="G1644" s="26" t="s">
        <v>6388</v>
      </c>
      <c r="H1644" s="26" t="s">
        <v>37</v>
      </c>
      <c r="I1644" s="26" t="s">
        <v>38</v>
      </c>
      <c r="J1644" s="26" t="s">
        <v>6389</v>
      </c>
      <c r="K1644" s="26" t="s">
        <v>6390</v>
      </c>
      <c r="L1644" s="26">
        <v>0</v>
      </c>
      <c r="M1644" s="26">
        <v>0</v>
      </c>
      <c r="N1644" s="26">
        <v>0</v>
      </c>
      <c r="O1644" s="26">
        <v>1420000</v>
      </c>
      <c r="P1644" s="26" t="s">
        <v>41</v>
      </c>
      <c r="Q1644" s="26" t="s">
        <v>42</v>
      </c>
      <c r="R1644" s="26"/>
      <c r="S1644" s="26"/>
      <c r="T1644" s="26"/>
      <c r="U1644" s="26"/>
      <c r="V1644" s="26" t="s">
        <v>43</v>
      </c>
      <c r="W1644" s="26"/>
      <c r="X1644" s="26"/>
    </row>
    <row r="1645" spans="1:24">
      <c r="A1645" s="26" t="s">
        <v>31</v>
      </c>
      <c r="B1645" s="26" t="s">
        <v>6391</v>
      </c>
      <c r="C1645" s="26" t="s">
        <v>6392</v>
      </c>
      <c r="D1645" s="26">
        <f t="shared" si="28"/>
        <v>-1</v>
      </c>
      <c r="E1645" s="26" t="s">
        <v>34</v>
      </c>
      <c r="F1645" s="26" t="s">
        <v>5954</v>
      </c>
      <c r="G1645" s="26" t="s">
        <v>6393</v>
      </c>
      <c r="H1645" s="26" t="s">
        <v>37</v>
      </c>
      <c r="I1645" s="26" t="s">
        <v>38</v>
      </c>
      <c r="J1645" s="26" t="s">
        <v>6389</v>
      </c>
      <c r="K1645" s="26" t="s">
        <v>6390</v>
      </c>
      <c r="L1645" s="26">
        <v>96900</v>
      </c>
      <c r="M1645" s="26">
        <v>0</v>
      </c>
      <c r="N1645" s="26">
        <v>0</v>
      </c>
      <c r="O1645" s="26">
        <v>606900</v>
      </c>
      <c r="P1645" s="26" t="s">
        <v>41</v>
      </c>
      <c r="Q1645" s="26" t="s">
        <v>42</v>
      </c>
      <c r="R1645" s="26"/>
      <c r="S1645" s="26"/>
      <c r="T1645" s="26"/>
      <c r="U1645" s="26"/>
      <c r="V1645" s="26" t="s">
        <v>43</v>
      </c>
      <c r="W1645" s="26"/>
      <c r="X1645" s="26"/>
    </row>
    <row r="1646" spans="1:24">
      <c r="A1646" s="26" t="s">
        <v>31</v>
      </c>
      <c r="B1646" s="26" t="s">
        <v>6394</v>
      </c>
      <c r="C1646" s="26" t="s">
        <v>6395</v>
      </c>
      <c r="D1646" s="26">
        <f t="shared" si="28"/>
        <v>-1</v>
      </c>
      <c r="E1646" s="26" t="s">
        <v>34</v>
      </c>
      <c r="F1646" s="26" t="s">
        <v>5954</v>
      </c>
      <c r="G1646" s="26" t="s">
        <v>6396</v>
      </c>
      <c r="H1646" s="26" t="s">
        <v>37</v>
      </c>
      <c r="I1646" s="26" t="s">
        <v>38</v>
      </c>
      <c r="J1646" s="26" t="s">
        <v>5950</v>
      </c>
      <c r="K1646" s="26" t="s">
        <v>5951</v>
      </c>
      <c r="L1646" s="26">
        <v>61750</v>
      </c>
      <c r="M1646" s="26">
        <v>0</v>
      </c>
      <c r="N1646" s="26">
        <v>0</v>
      </c>
      <c r="O1646" s="26">
        <v>386750</v>
      </c>
      <c r="P1646" s="26" t="s">
        <v>41</v>
      </c>
      <c r="Q1646" s="26" t="s">
        <v>42</v>
      </c>
      <c r="R1646" s="26"/>
      <c r="S1646" s="26"/>
      <c r="T1646" s="26"/>
      <c r="U1646" s="26"/>
      <c r="V1646" s="26" t="s">
        <v>43</v>
      </c>
      <c r="W1646" s="26"/>
      <c r="X1646" s="26"/>
    </row>
    <row r="1647" spans="1:24">
      <c r="A1647" s="26" t="s">
        <v>31</v>
      </c>
      <c r="B1647" s="26" t="s">
        <v>6397</v>
      </c>
      <c r="C1647" s="26" t="s">
        <v>6398</v>
      </c>
      <c r="D1647" s="26">
        <f t="shared" si="28"/>
        <v>-1</v>
      </c>
      <c r="E1647" s="26" t="s">
        <v>34</v>
      </c>
      <c r="F1647" s="26" t="s">
        <v>5954</v>
      </c>
      <c r="G1647" s="26" t="s">
        <v>6388</v>
      </c>
      <c r="H1647" s="26" t="s">
        <v>37</v>
      </c>
      <c r="I1647" s="26" t="s">
        <v>38</v>
      </c>
      <c r="J1647" s="26" t="s">
        <v>6399</v>
      </c>
      <c r="K1647" s="26" t="s">
        <v>6400</v>
      </c>
      <c r="L1647" s="26">
        <v>0</v>
      </c>
      <c r="M1647" s="26">
        <v>0</v>
      </c>
      <c r="N1647" s="26">
        <v>0</v>
      </c>
      <c r="O1647" s="26">
        <v>7281522</v>
      </c>
      <c r="P1647" s="26" t="s">
        <v>41</v>
      </c>
      <c r="Q1647" s="26" t="s">
        <v>42</v>
      </c>
      <c r="R1647" s="26"/>
      <c r="S1647" s="26"/>
      <c r="T1647" s="26"/>
      <c r="U1647" s="26"/>
      <c r="V1647" s="26" t="s">
        <v>43</v>
      </c>
      <c r="W1647" s="26"/>
      <c r="X1647" s="26"/>
    </row>
    <row r="1648" spans="1:24">
      <c r="A1648" s="26" t="s">
        <v>31</v>
      </c>
      <c r="B1648" s="26" t="s">
        <v>6401</v>
      </c>
      <c r="C1648" s="26" t="s">
        <v>6402</v>
      </c>
      <c r="D1648" s="26">
        <f t="shared" si="28"/>
        <v>-1</v>
      </c>
      <c r="E1648" s="26" t="s">
        <v>34</v>
      </c>
      <c r="F1648" s="26" t="s">
        <v>5954</v>
      </c>
      <c r="G1648" s="26" t="s">
        <v>6403</v>
      </c>
      <c r="H1648" s="26" t="s">
        <v>37</v>
      </c>
      <c r="I1648" s="26" t="s">
        <v>38</v>
      </c>
      <c r="J1648" s="26" t="s">
        <v>6404</v>
      </c>
      <c r="K1648" s="26" t="s">
        <v>6405</v>
      </c>
      <c r="L1648" s="26">
        <v>151050</v>
      </c>
      <c r="M1648" s="26">
        <v>0</v>
      </c>
      <c r="N1648" s="26">
        <v>0</v>
      </c>
      <c r="O1648" s="26">
        <v>946050</v>
      </c>
      <c r="P1648" s="26" t="s">
        <v>41</v>
      </c>
      <c r="Q1648" s="26" t="s">
        <v>42</v>
      </c>
      <c r="R1648" s="26"/>
      <c r="S1648" s="26"/>
      <c r="T1648" s="26"/>
      <c r="U1648" s="26"/>
      <c r="V1648" s="26" t="s">
        <v>43</v>
      </c>
      <c r="W1648" s="26"/>
      <c r="X1648" s="26"/>
    </row>
    <row r="1649" spans="1:24">
      <c r="A1649" s="26" t="s">
        <v>31</v>
      </c>
      <c r="B1649" s="26" t="s">
        <v>6406</v>
      </c>
      <c r="C1649" s="26" t="s">
        <v>6407</v>
      </c>
      <c r="D1649" s="26">
        <f t="shared" si="28"/>
        <v>-1</v>
      </c>
      <c r="E1649" s="26" t="s">
        <v>34</v>
      </c>
      <c r="F1649" s="26" t="s">
        <v>5954</v>
      </c>
      <c r="G1649" s="26" t="s">
        <v>6408</v>
      </c>
      <c r="H1649" s="26" t="s">
        <v>37</v>
      </c>
      <c r="I1649" s="26" t="s">
        <v>38</v>
      </c>
      <c r="J1649" s="26" t="s">
        <v>6409</v>
      </c>
      <c r="K1649" s="26" t="s">
        <v>6410</v>
      </c>
      <c r="L1649" s="26">
        <v>1788356</v>
      </c>
      <c r="M1649" s="26">
        <v>0</v>
      </c>
      <c r="N1649" s="26">
        <v>0</v>
      </c>
      <c r="O1649" s="26">
        <v>11200756</v>
      </c>
      <c r="P1649" s="26" t="s">
        <v>41</v>
      </c>
      <c r="Q1649" s="26" t="s">
        <v>42</v>
      </c>
      <c r="R1649" s="26"/>
      <c r="S1649" s="26"/>
      <c r="T1649" s="26"/>
      <c r="U1649" s="26"/>
      <c r="V1649" s="26" t="s">
        <v>43</v>
      </c>
      <c r="W1649" s="26"/>
      <c r="X1649" s="26"/>
    </row>
    <row r="1650" spans="1:24">
      <c r="A1650" s="26" t="s">
        <v>31</v>
      </c>
      <c r="B1650" s="26" t="s">
        <v>6411</v>
      </c>
      <c r="C1650" s="26" t="s">
        <v>6412</v>
      </c>
      <c r="D1650" s="26">
        <f t="shared" si="28"/>
        <v>-1</v>
      </c>
      <c r="E1650" s="26" t="s">
        <v>34</v>
      </c>
      <c r="F1650" s="26" t="s">
        <v>5954</v>
      </c>
      <c r="G1650" s="26" t="s">
        <v>6413</v>
      </c>
      <c r="H1650" s="26" t="s">
        <v>37</v>
      </c>
      <c r="I1650" s="26" t="s">
        <v>38</v>
      </c>
      <c r="J1650" s="26" t="s">
        <v>6384</v>
      </c>
      <c r="K1650" s="26" t="s">
        <v>6385</v>
      </c>
      <c r="L1650" s="26">
        <v>55500.14</v>
      </c>
      <c r="M1650" s="26">
        <v>0</v>
      </c>
      <c r="N1650" s="26">
        <v>0</v>
      </c>
      <c r="O1650" s="26">
        <v>356006.14</v>
      </c>
      <c r="P1650" s="26" t="s">
        <v>41</v>
      </c>
      <c r="Q1650" s="26" t="s">
        <v>42</v>
      </c>
      <c r="R1650" s="26"/>
      <c r="S1650" s="26"/>
      <c r="T1650" s="26"/>
      <c r="U1650" s="26"/>
      <c r="V1650" s="26" t="s">
        <v>43</v>
      </c>
      <c r="W1650" s="26"/>
      <c r="X1650" s="26"/>
    </row>
    <row r="1651" spans="1:24">
      <c r="A1651" s="32" t="s">
        <v>31</v>
      </c>
      <c r="B1651" s="32" t="s">
        <v>6414</v>
      </c>
      <c r="C1651" s="32" t="s">
        <v>6415</v>
      </c>
      <c r="D1651" s="32">
        <f t="shared" si="28"/>
        <v>-1</v>
      </c>
      <c r="E1651" s="32" t="s">
        <v>34</v>
      </c>
      <c r="F1651" s="32" t="s">
        <v>5954</v>
      </c>
      <c r="G1651" s="32" t="s">
        <v>6416</v>
      </c>
      <c r="H1651" s="32" t="s">
        <v>37</v>
      </c>
      <c r="I1651" s="32" t="s">
        <v>38</v>
      </c>
      <c r="J1651" s="32" t="s">
        <v>4036</v>
      </c>
      <c r="K1651" s="32" t="s">
        <v>4037</v>
      </c>
      <c r="L1651" s="32">
        <v>110116.21</v>
      </c>
      <c r="M1651" s="32">
        <v>0</v>
      </c>
      <c r="N1651" s="32">
        <v>0</v>
      </c>
      <c r="O1651" s="32">
        <v>689675.21</v>
      </c>
      <c r="P1651" s="32" t="s">
        <v>41</v>
      </c>
      <c r="Q1651" s="32" t="s">
        <v>42</v>
      </c>
      <c r="R1651" s="26" t="s">
        <v>43</v>
      </c>
      <c r="S1651" s="26"/>
      <c r="T1651" s="26"/>
      <c r="U1651" s="26"/>
      <c r="V1651" s="26"/>
      <c r="W1651" s="26"/>
      <c r="X1651" s="26"/>
    </row>
    <row r="1652" spans="1:24">
      <c r="A1652" s="32" t="s">
        <v>31</v>
      </c>
      <c r="B1652" s="32" t="s">
        <v>6417</v>
      </c>
      <c r="C1652" s="32" t="s">
        <v>6418</v>
      </c>
      <c r="D1652" s="32">
        <f t="shared" si="28"/>
        <v>-1</v>
      </c>
      <c r="E1652" s="32" t="s">
        <v>34</v>
      </c>
      <c r="F1652" s="32" t="s">
        <v>5954</v>
      </c>
      <c r="G1652" s="32" t="s">
        <v>6419</v>
      </c>
      <c r="H1652" s="32" t="s">
        <v>37</v>
      </c>
      <c r="I1652" s="32" t="s">
        <v>38</v>
      </c>
      <c r="J1652" s="32" t="s">
        <v>4036</v>
      </c>
      <c r="K1652" s="32" t="s">
        <v>4037</v>
      </c>
      <c r="L1652" s="32">
        <v>52281.16</v>
      </c>
      <c r="M1652" s="32">
        <v>0</v>
      </c>
      <c r="N1652" s="32">
        <v>0</v>
      </c>
      <c r="O1652" s="32">
        <v>327445.15999999997</v>
      </c>
      <c r="P1652" s="32" t="s">
        <v>41</v>
      </c>
      <c r="Q1652" s="32" t="s">
        <v>42</v>
      </c>
      <c r="R1652" s="26" t="s">
        <v>43</v>
      </c>
      <c r="S1652" s="26"/>
      <c r="T1652" s="26"/>
      <c r="U1652" s="26"/>
      <c r="V1652" s="26"/>
      <c r="W1652" s="26"/>
      <c r="X1652" s="26"/>
    </row>
    <row r="1653" spans="1:24">
      <c r="A1653" s="32" t="s">
        <v>31</v>
      </c>
      <c r="B1653" s="32" t="s">
        <v>6420</v>
      </c>
      <c r="C1653" s="32" t="s">
        <v>6421</v>
      </c>
      <c r="D1653" s="32">
        <f t="shared" si="28"/>
        <v>-1</v>
      </c>
      <c r="E1653" s="32" t="s">
        <v>34</v>
      </c>
      <c r="F1653" s="32" t="s">
        <v>5954</v>
      </c>
      <c r="G1653" s="32" t="s">
        <v>6422</v>
      </c>
      <c r="H1653" s="32" t="s">
        <v>37</v>
      </c>
      <c r="I1653" s="32" t="s">
        <v>38</v>
      </c>
      <c r="J1653" s="32" t="s">
        <v>4036</v>
      </c>
      <c r="K1653" s="32" t="s">
        <v>4037</v>
      </c>
      <c r="L1653" s="32">
        <v>35476.230000000003</v>
      </c>
      <c r="M1653" s="32">
        <v>0</v>
      </c>
      <c r="N1653" s="32">
        <v>0</v>
      </c>
      <c r="O1653" s="32">
        <v>230593.23</v>
      </c>
      <c r="P1653" s="32" t="s">
        <v>41</v>
      </c>
      <c r="Q1653" s="32" t="s">
        <v>42</v>
      </c>
      <c r="R1653" s="26" t="s">
        <v>43</v>
      </c>
      <c r="S1653" s="26"/>
      <c r="T1653" s="26"/>
      <c r="U1653" s="26"/>
      <c r="V1653" s="26"/>
      <c r="W1653" s="26"/>
      <c r="X1653" s="26"/>
    </row>
    <row r="1654" spans="1:24">
      <c r="A1654" s="32" t="s">
        <v>31</v>
      </c>
      <c r="B1654" s="32" t="s">
        <v>6423</v>
      </c>
      <c r="C1654" s="32" t="s">
        <v>6424</v>
      </c>
      <c r="D1654" s="32">
        <f t="shared" si="28"/>
        <v>-1</v>
      </c>
      <c r="E1654" s="32" t="s">
        <v>34</v>
      </c>
      <c r="F1654" s="32" t="s">
        <v>5954</v>
      </c>
      <c r="G1654" s="32" t="s">
        <v>6425</v>
      </c>
      <c r="H1654" s="32" t="s">
        <v>37</v>
      </c>
      <c r="I1654" s="32" t="s">
        <v>38</v>
      </c>
      <c r="J1654" s="32" t="s">
        <v>4036</v>
      </c>
      <c r="K1654" s="32" t="s">
        <v>4037</v>
      </c>
      <c r="L1654" s="32">
        <v>58061.53</v>
      </c>
      <c r="M1654" s="32">
        <v>0</v>
      </c>
      <c r="N1654" s="32">
        <v>0</v>
      </c>
      <c r="O1654" s="32">
        <v>372048.53</v>
      </c>
      <c r="P1654" s="32" t="s">
        <v>41</v>
      </c>
      <c r="Q1654" s="32" t="s">
        <v>42</v>
      </c>
      <c r="R1654" s="26" t="s">
        <v>43</v>
      </c>
      <c r="S1654" s="26"/>
      <c r="T1654" s="26"/>
      <c r="U1654" s="26"/>
      <c r="V1654" s="26"/>
      <c r="W1654" s="26"/>
      <c r="X1654" s="26"/>
    </row>
    <row r="1655" spans="1:24">
      <c r="A1655" s="32" t="s">
        <v>31</v>
      </c>
      <c r="B1655" s="32" t="s">
        <v>6426</v>
      </c>
      <c r="C1655" s="32" t="s">
        <v>6427</v>
      </c>
      <c r="D1655" s="32">
        <f t="shared" si="28"/>
        <v>-1</v>
      </c>
      <c r="E1655" s="32" t="s">
        <v>34</v>
      </c>
      <c r="F1655" s="32" t="s">
        <v>5954</v>
      </c>
      <c r="G1655" s="32" t="s">
        <v>6428</v>
      </c>
      <c r="H1655" s="32" t="s">
        <v>37</v>
      </c>
      <c r="I1655" s="32" t="s">
        <v>38</v>
      </c>
      <c r="J1655" s="32" t="s">
        <v>4036</v>
      </c>
      <c r="K1655" s="32" t="s">
        <v>4037</v>
      </c>
      <c r="L1655" s="32">
        <v>17829.22</v>
      </c>
      <c r="M1655" s="32">
        <v>0</v>
      </c>
      <c r="N1655" s="32">
        <v>0</v>
      </c>
      <c r="O1655" s="32">
        <v>111667.22</v>
      </c>
      <c r="P1655" s="32" t="s">
        <v>41</v>
      </c>
      <c r="Q1655" s="32" t="s">
        <v>42</v>
      </c>
      <c r="R1655" s="26" t="s">
        <v>43</v>
      </c>
      <c r="S1655" s="26"/>
      <c r="T1655" s="26"/>
      <c r="U1655" s="26"/>
      <c r="V1655" s="26"/>
      <c r="W1655" s="26"/>
      <c r="X1655" s="26"/>
    </row>
    <row r="1656" spans="1:24">
      <c r="A1656" s="32" t="s">
        <v>31</v>
      </c>
      <c r="B1656" s="32" t="s">
        <v>6429</v>
      </c>
      <c r="C1656" s="32" t="s">
        <v>6430</v>
      </c>
      <c r="D1656" s="32">
        <f t="shared" si="28"/>
        <v>-1</v>
      </c>
      <c r="E1656" s="32" t="s">
        <v>34</v>
      </c>
      <c r="F1656" s="32" t="s">
        <v>5954</v>
      </c>
      <c r="G1656" s="32" t="s">
        <v>6431</v>
      </c>
      <c r="H1656" s="32" t="s">
        <v>37</v>
      </c>
      <c r="I1656" s="32" t="s">
        <v>38</v>
      </c>
      <c r="J1656" s="32" t="s">
        <v>4036</v>
      </c>
      <c r="K1656" s="32" t="s">
        <v>4037</v>
      </c>
      <c r="L1656" s="32">
        <v>6137.76</v>
      </c>
      <c r="M1656" s="32">
        <v>0</v>
      </c>
      <c r="N1656" s="32">
        <v>0</v>
      </c>
      <c r="O1656" s="32">
        <v>46841.760000000002</v>
      </c>
      <c r="P1656" s="32" t="s">
        <v>41</v>
      </c>
      <c r="Q1656" s="32" t="s">
        <v>42</v>
      </c>
      <c r="R1656" s="26" t="s">
        <v>43</v>
      </c>
      <c r="S1656" s="26"/>
      <c r="T1656" s="26"/>
      <c r="U1656" s="26"/>
      <c r="V1656" s="26"/>
      <c r="W1656" s="26"/>
      <c r="X1656" s="26"/>
    </row>
    <row r="1657" spans="1:24">
      <c r="A1657" s="32" t="s">
        <v>31</v>
      </c>
      <c r="B1657" s="32" t="s">
        <v>6432</v>
      </c>
      <c r="C1657" s="32" t="s">
        <v>6433</v>
      </c>
      <c r="D1657" s="32">
        <f t="shared" si="28"/>
        <v>-1</v>
      </c>
      <c r="E1657" s="32" t="s">
        <v>34</v>
      </c>
      <c r="F1657" s="32" t="s">
        <v>5954</v>
      </c>
      <c r="G1657" s="32" t="s">
        <v>6434</v>
      </c>
      <c r="H1657" s="32" t="s">
        <v>37</v>
      </c>
      <c r="I1657" s="32" t="s">
        <v>38</v>
      </c>
      <c r="J1657" s="32" t="s">
        <v>4036</v>
      </c>
      <c r="K1657" s="32" t="s">
        <v>4037</v>
      </c>
      <c r="L1657" s="32">
        <v>3446.41</v>
      </c>
      <c r="M1657" s="32">
        <v>0</v>
      </c>
      <c r="N1657" s="32">
        <v>0</v>
      </c>
      <c r="O1657" s="32">
        <v>21585.41</v>
      </c>
      <c r="P1657" s="32" t="s">
        <v>41</v>
      </c>
      <c r="Q1657" s="32" t="s">
        <v>42</v>
      </c>
      <c r="R1657" s="26" t="s">
        <v>43</v>
      </c>
      <c r="S1657" s="26"/>
      <c r="T1657" s="26"/>
      <c r="U1657" s="26"/>
      <c r="V1657" s="26"/>
      <c r="W1657" s="26"/>
      <c r="X1657" s="26"/>
    </row>
    <row r="1658" spans="1:24">
      <c r="A1658" s="32" t="s">
        <v>31</v>
      </c>
      <c r="B1658" s="32" t="s">
        <v>6435</v>
      </c>
      <c r="C1658" s="32" t="s">
        <v>6436</v>
      </c>
      <c r="D1658" s="32">
        <f t="shared" si="28"/>
        <v>-1</v>
      </c>
      <c r="E1658" s="32" t="s">
        <v>34</v>
      </c>
      <c r="F1658" s="32" t="s">
        <v>5954</v>
      </c>
      <c r="G1658" s="32" t="s">
        <v>6437</v>
      </c>
      <c r="H1658" s="32" t="s">
        <v>37</v>
      </c>
      <c r="I1658" s="32" t="s">
        <v>38</v>
      </c>
      <c r="J1658" s="32" t="s">
        <v>4036</v>
      </c>
      <c r="K1658" s="32" t="s">
        <v>4037</v>
      </c>
      <c r="L1658" s="32">
        <v>19995.03</v>
      </c>
      <c r="M1658" s="32">
        <v>0</v>
      </c>
      <c r="N1658" s="32">
        <v>0</v>
      </c>
      <c r="O1658" s="32">
        <v>125232.03</v>
      </c>
      <c r="P1658" s="32" t="s">
        <v>41</v>
      </c>
      <c r="Q1658" s="32" t="s">
        <v>42</v>
      </c>
      <c r="R1658" s="26" t="s">
        <v>43</v>
      </c>
      <c r="S1658" s="26"/>
      <c r="T1658" s="26"/>
      <c r="U1658" s="26"/>
      <c r="V1658" s="26"/>
      <c r="W1658" s="26"/>
      <c r="X1658" s="26"/>
    </row>
    <row r="1659" spans="1:24">
      <c r="A1659" s="32" t="s">
        <v>31</v>
      </c>
      <c r="B1659" s="32" t="s">
        <v>6438</v>
      </c>
      <c r="C1659" s="32" t="s">
        <v>6439</v>
      </c>
      <c r="D1659" s="32">
        <f t="shared" si="28"/>
        <v>-1</v>
      </c>
      <c r="E1659" s="32" t="s">
        <v>34</v>
      </c>
      <c r="F1659" s="32" t="s">
        <v>5954</v>
      </c>
      <c r="G1659" s="32" t="s">
        <v>6440</v>
      </c>
      <c r="H1659" s="32" t="s">
        <v>37</v>
      </c>
      <c r="I1659" s="32" t="s">
        <v>38</v>
      </c>
      <c r="J1659" s="32" t="s">
        <v>4036</v>
      </c>
      <c r="K1659" s="32" t="s">
        <v>4037</v>
      </c>
      <c r="L1659" s="32">
        <v>6388.18</v>
      </c>
      <c r="M1659" s="32">
        <v>0</v>
      </c>
      <c r="N1659" s="32">
        <v>0</v>
      </c>
      <c r="O1659" s="32">
        <v>40010.18</v>
      </c>
      <c r="P1659" s="32" t="s">
        <v>41</v>
      </c>
      <c r="Q1659" s="32" t="s">
        <v>42</v>
      </c>
      <c r="R1659" s="26" t="s">
        <v>43</v>
      </c>
      <c r="S1659" s="26"/>
      <c r="T1659" s="26"/>
      <c r="U1659" s="26"/>
      <c r="V1659" s="26"/>
      <c r="W1659" s="26"/>
      <c r="X1659" s="26"/>
    </row>
    <row r="1660" spans="1:24">
      <c r="A1660" s="32" t="s">
        <v>31</v>
      </c>
      <c r="B1660" s="32" t="s">
        <v>6441</v>
      </c>
      <c r="C1660" s="32" t="s">
        <v>6442</v>
      </c>
      <c r="D1660" s="32">
        <f t="shared" si="28"/>
        <v>-1</v>
      </c>
      <c r="E1660" s="32" t="s">
        <v>34</v>
      </c>
      <c r="F1660" s="32" t="s">
        <v>5954</v>
      </c>
      <c r="G1660" s="32" t="s">
        <v>6443</v>
      </c>
      <c r="H1660" s="32" t="s">
        <v>37</v>
      </c>
      <c r="I1660" s="32" t="s">
        <v>38</v>
      </c>
      <c r="J1660" s="32" t="s">
        <v>4036</v>
      </c>
      <c r="K1660" s="32" t="s">
        <v>4037</v>
      </c>
      <c r="L1660" s="32">
        <v>15587.79</v>
      </c>
      <c r="M1660" s="32">
        <v>0</v>
      </c>
      <c r="N1660" s="32">
        <v>0</v>
      </c>
      <c r="O1660" s="32">
        <v>97628.79</v>
      </c>
      <c r="P1660" s="32" t="s">
        <v>41</v>
      </c>
      <c r="Q1660" s="32" t="s">
        <v>42</v>
      </c>
      <c r="R1660" s="26" t="s">
        <v>43</v>
      </c>
      <c r="S1660" s="26"/>
      <c r="T1660" s="26"/>
      <c r="U1660" s="26"/>
      <c r="V1660" s="26"/>
      <c r="W1660" s="26"/>
      <c r="X1660" s="26"/>
    </row>
    <row r="1661" spans="1:24">
      <c r="A1661" s="32" t="s">
        <v>31</v>
      </c>
      <c r="B1661" s="32" t="s">
        <v>6444</v>
      </c>
      <c r="C1661" s="32" t="s">
        <v>6445</v>
      </c>
      <c r="D1661" s="32">
        <f t="shared" si="28"/>
        <v>-1</v>
      </c>
      <c r="E1661" s="32" t="s">
        <v>34</v>
      </c>
      <c r="F1661" s="32" t="s">
        <v>5954</v>
      </c>
      <c r="G1661" s="32" t="s">
        <v>6446</v>
      </c>
      <c r="H1661" s="32" t="s">
        <v>37</v>
      </c>
      <c r="I1661" s="32" t="s">
        <v>38</v>
      </c>
      <c r="J1661" s="32" t="s">
        <v>6447</v>
      </c>
      <c r="K1661" s="32" t="s">
        <v>6448</v>
      </c>
      <c r="L1661" s="32">
        <v>969</v>
      </c>
      <c r="M1661" s="32">
        <v>0</v>
      </c>
      <c r="N1661" s="32">
        <v>0</v>
      </c>
      <c r="O1661" s="32">
        <v>6069</v>
      </c>
      <c r="P1661" s="32" t="s">
        <v>41</v>
      </c>
      <c r="Q1661" s="32" t="s">
        <v>42</v>
      </c>
      <c r="R1661" s="26" t="s">
        <v>43</v>
      </c>
      <c r="S1661" s="26"/>
      <c r="T1661" s="26"/>
      <c r="U1661" s="26"/>
      <c r="V1661" s="26"/>
      <c r="W1661" s="26"/>
      <c r="X1661" s="26"/>
    </row>
    <row r="1662" spans="1:24">
      <c r="A1662" s="32" t="s">
        <v>31</v>
      </c>
      <c r="B1662" s="32" t="s">
        <v>6449</v>
      </c>
      <c r="C1662" s="32" t="s">
        <v>6450</v>
      </c>
      <c r="D1662" s="32">
        <f t="shared" si="28"/>
        <v>-1</v>
      </c>
      <c r="E1662" s="32" t="s">
        <v>34</v>
      </c>
      <c r="F1662" s="32" t="s">
        <v>5954</v>
      </c>
      <c r="G1662" s="32" t="s">
        <v>6451</v>
      </c>
      <c r="H1662" s="32" t="s">
        <v>37</v>
      </c>
      <c r="I1662" s="32" t="s">
        <v>38</v>
      </c>
      <c r="J1662" s="32" t="s">
        <v>6447</v>
      </c>
      <c r="K1662" s="32" t="s">
        <v>6448</v>
      </c>
      <c r="L1662" s="32">
        <v>49227.29</v>
      </c>
      <c r="M1662" s="32">
        <v>0</v>
      </c>
      <c r="N1662" s="32">
        <v>0</v>
      </c>
      <c r="O1662" s="32">
        <v>311090.28999999998</v>
      </c>
      <c r="P1662" s="32" t="s">
        <v>41</v>
      </c>
      <c r="Q1662" s="32" t="s">
        <v>42</v>
      </c>
      <c r="R1662" s="26" t="s">
        <v>43</v>
      </c>
      <c r="S1662" s="26"/>
      <c r="T1662" s="26"/>
      <c r="U1662" s="26"/>
      <c r="V1662" s="26"/>
      <c r="W1662" s="26"/>
      <c r="X1662" s="26"/>
    </row>
    <row r="1663" spans="1:24">
      <c r="A1663" s="32" t="s">
        <v>31</v>
      </c>
      <c r="B1663" s="32" t="s">
        <v>6452</v>
      </c>
      <c r="C1663" s="32" t="s">
        <v>6453</v>
      </c>
      <c r="D1663" s="32">
        <f t="shared" si="28"/>
        <v>-1</v>
      </c>
      <c r="E1663" s="32" t="s">
        <v>34</v>
      </c>
      <c r="F1663" s="32" t="s">
        <v>5954</v>
      </c>
      <c r="G1663" s="32" t="s">
        <v>6454</v>
      </c>
      <c r="H1663" s="32" t="s">
        <v>37</v>
      </c>
      <c r="I1663" s="32" t="s">
        <v>38</v>
      </c>
      <c r="J1663" s="32" t="s">
        <v>6447</v>
      </c>
      <c r="K1663" s="32" t="s">
        <v>6448</v>
      </c>
      <c r="L1663" s="32">
        <v>28494.87</v>
      </c>
      <c r="M1663" s="32">
        <v>0</v>
      </c>
      <c r="N1663" s="32">
        <v>0</v>
      </c>
      <c r="O1663" s="32">
        <v>181239.87</v>
      </c>
      <c r="P1663" s="32" t="s">
        <v>41</v>
      </c>
      <c r="Q1663" s="32" t="s">
        <v>42</v>
      </c>
      <c r="R1663" s="26" t="s">
        <v>43</v>
      </c>
      <c r="S1663" s="26"/>
      <c r="T1663" s="26"/>
      <c r="U1663" s="26"/>
      <c r="V1663" s="26"/>
      <c r="W1663" s="26"/>
      <c r="X1663" s="26"/>
    </row>
    <row r="1664" spans="1:24">
      <c r="A1664" s="32" t="s">
        <v>31</v>
      </c>
      <c r="B1664" s="32" t="s">
        <v>6455</v>
      </c>
      <c r="C1664" s="32" t="s">
        <v>6456</v>
      </c>
      <c r="D1664" s="32">
        <f t="shared" si="28"/>
        <v>-1</v>
      </c>
      <c r="E1664" s="32" t="s">
        <v>34</v>
      </c>
      <c r="F1664" s="32" t="s">
        <v>5954</v>
      </c>
      <c r="G1664" s="32" t="s">
        <v>6457</v>
      </c>
      <c r="H1664" s="32" t="s">
        <v>37</v>
      </c>
      <c r="I1664" s="32" t="s">
        <v>38</v>
      </c>
      <c r="J1664" s="32" t="s">
        <v>6447</v>
      </c>
      <c r="K1664" s="32" t="s">
        <v>6448</v>
      </c>
      <c r="L1664" s="32">
        <v>14265.01</v>
      </c>
      <c r="M1664" s="32">
        <v>0</v>
      </c>
      <c r="N1664" s="32">
        <v>0</v>
      </c>
      <c r="O1664" s="32">
        <v>97744.01</v>
      </c>
      <c r="P1664" s="32" t="s">
        <v>41</v>
      </c>
      <c r="Q1664" s="32" t="s">
        <v>42</v>
      </c>
      <c r="R1664" s="26" t="s">
        <v>43</v>
      </c>
      <c r="S1664" s="26"/>
      <c r="T1664" s="26"/>
      <c r="U1664" s="26"/>
      <c r="V1664" s="26"/>
      <c r="W1664" s="26"/>
      <c r="X1664" s="26"/>
    </row>
    <row r="1665" spans="1:24">
      <c r="A1665" s="31" t="s">
        <v>31</v>
      </c>
      <c r="B1665" s="31" t="s">
        <v>6458</v>
      </c>
      <c r="C1665" s="31" t="s">
        <v>6459</v>
      </c>
      <c r="D1665" s="31">
        <f t="shared" si="28"/>
        <v>-1</v>
      </c>
      <c r="E1665" s="31" t="s">
        <v>34</v>
      </c>
      <c r="F1665" s="31" t="s">
        <v>5954</v>
      </c>
      <c r="G1665" s="31" t="s">
        <v>6460</v>
      </c>
      <c r="H1665" s="31" t="s">
        <v>37</v>
      </c>
      <c r="I1665" s="31" t="s">
        <v>38</v>
      </c>
      <c r="J1665" s="31" t="s">
        <v>6447</v>
      </c>
      <c r="K1665" s="31" t="s">
        <v>6448</v>
      </c>
      <c r="L1665" s="31">
        <v>59382.03</v>
      </c>
      <c r="M1665" s="31">
        <v>0</v>
      </c>
      <c r="N1665" s="31">
        <v>0</v>
      </c>
      <c r="O1665" s="31">
        <v>374691.03</v>
      </c>
      <c r="P1665" s="31" t="s">
        <v>41</v>
      </c>
      <c r="Q1665" s="31" t="s">
        <v>42</v>
      </c>
      <c r="R1665" s="26"/>
      <c r="S1665" s="26"/>
      <c r="T1665" s="26"/>
      <c r="U1665" s="26" t="s">
        <v>43</v>
      </c>
      <c r="V1665" s="26"/>
      <c r="W1665" s="26"/>
      <c r="X1665" s="26"/>
    </row>
    <row r="1666" spans="1:24">
      <c r="A1666" s="34" t="s">
        <v>31</v>
      </c>
      <c r="B1666" s="34" t="s">
        <v>6461</v>
      </c>
      <c r="C1666" s="34" t="s">
        <v>6462</v>
      </c>
      <c r="D1666" s="34">
        <f t="shared" si="28"/>
        <v>-1</v>
      </c>
      <c r="E1666" s="34" t="s">
        <v>34</v>
      </c>
      <c r="F1666" s="34" t="s">
        <v>6463</v>
      </c>
      <c r="G1666" s="34" t="s">
        <v>6464</v>
      </c>
      <c r="H1666" s="34" t="s">
        <v>37</v>
      </c>
      <c r="I1666" s="34" t="s">
        <v>38</v>
      </c>
      <c r="J1666" s="34" t="s">
        <v>4621</v>
      </c>
      <c r="K1666" s="34" t="s">
        <v>4622</v>
      </c>
      <c r="L1666" s="34">
        <v>19722</v>
      </c>
      <c r="M1666" s="34">
        <v>0</v>
      </c>
      <c r="N1666" s="34">
        <v>0</v>
      </c>
      <c r="O1666" s="34">
        <v>164270</v>
      </c>
      <c r="P1666" s="34" t="s">
        <v>41</v>
      </c>
      <c r="Q1666" s="34" t="s">
        <v>42</v>
      </c>
      <c r="R1666" s="26"/>
      <c r="S1666" s="26"/>
      <c r="T1666" s="26" t="s">
        <v>43</v>
      </c>
      <c r="U1666" s="26"/>
      <c r="V1666" s="26"/>
      <c r="W1666" s="26"/>
      <c r="X1666" s="26"/>
    </row>
    <row r="1667" spans="1:24">
      <c r="A1667" s="26" t="s">
        <v>31</v>
      </c>
      <c r="B1667" s="26" t="s">
        <v>6465</v>
      </c>
      <c r="C1667" s="26" t="s">
        <v>6466</v>
      </c>
      <c r="D1667" s="26">
        <f t="shared" si="28"/>
        <v>-1</v>
      </c>
      <c r="E1667" s="26" t="s">
        <v>34</v>
      </c>
      <c r="F1667" s="26" t="s">
        <v>6463</v>
      </c>
      <c r="G1667" s="26" t="s">
        <v>6467</v>
      </c>
      <c r="H1667" s="26" t="s">
        <v>37</v>
      </c>
      <c r="I1667" s="26" t="s">
        <v>38</v>
      </c>
      <c r="J1667" s="26" t="s">
        <v>6468</v>
      </c>
      <c r="K1667" s="26" t="s">
        <v>6469</v>
      </c>
      <c r="L1667" s="26">
        <v>703950</v>
      </c>
      <c r="M1667" s="26">
        <v>0</v>
      </c>
      <c r="N1667" s="26">
        <v>0</v>
      </c>
      <c r="O1667" s="26">
        <v>4408950</v>
      </c>
      <c r="P1667" s="26" t="s">
        <v>41</v>
      </c>
      <c r="Q1667" s="26" t="s">
        <v>42</v>
      </c>
      <c r="R1667" s="26"/>
      <c r="S1667" s="26"/>
      <c r="T1667" s="26"/>
      <c r="U1667" s="26"/>
      <c r="V1667" s="26" t="s">
        <v>43</v>
      </c>
      <c r="W1667" s="26"/>
      <c r="X1667" s="26"/>
    </row>
    <row r="1668" spans="1:24">
      <c r="A1668" s="33" t="s">
        <v>31</v>
      </c>
      <c r="B1668" s="33" t="s">
        <v>6470</v>
      </c>
      <c r="C1668" s="33" t="s">
        <v>6471</v>
      </c>
      <c r="D1668" s="33">
        <f t="shared" si="28"/>
        <v>-1</v>
      </c>
      <c r="E1668" s="33" t="s">
        <v>34</v>
      </c>
      <c r="F1668" s="33" t="s">
        <v>6463</v>
      </c>
      <c r="G1668" s="33" t="s">
        <v>6472</v>
      </c>
      <c r="H1668" s="33" t="s">
        <v>37</v>
      </c>
      <c r="I1668" s="33" t="s">
        <v>38</v>
      </c>
      <c r="J1668" s="33" t="s">
        <v>1722</v>
      </c>
      <c r="K1668" s="33" t="s">
        <v>1723</v>
      </c>
      <c r="L1668" s="33">
        <v>117173</v>
      </c>
      <c r="M1668" s="33">
        <v>0</v>
      </c>
      <c r="N1668" s="33">
        <v>0</v>
      </c>
      <c r="O1668" s="33">
        <v>733873</v>
      </c>
      <c r="P1668" s="33" t="s">
        <v>41</v>
      </c>
      <c r="Q1668" s="33" t="s">
        <v>42</v>
      </c>
      <c r="R1668" s="26" t="s">
        <v>43</v>
      </c>
      <c r="S1668" s="26"/>
      <c r="T1668" s="26"/>
      <c r="U1668" s="26"/>
      <c r="V1668" s="26"/>
      <c r="W1668" s="26"/>
      <c r="X1668" s="26"/>
    </row>
    <row r="1669" spans="1:24">
      <c r="A1669" s="34" t="s">
        <v>31</v>
      </c>
      <c r="B1669" s="34" t="s">
        <v>6473</v>
      </c>
      <c r="C1669" s="34" t="s">
        <v>6474</v>
      </c>
      <c r="D1669" s="34">
        <f t="shared" si="28"/>
        <v>-1</v>
      </c>
      <c r="E1669" s="34" t="s">
        <v>34</v>
      </c>
      <c r="F1669" s="34" t="s">
        <v>6463</v>
      </c>
      <c r="G1669" s="34" t="s">
        <v>6475</v>
      </c>
      <c r="H1669" s="34" t="s">
        <v>37</v>
      </c>
      <c r="I1669" s="34" t="s">
        <v>38</v>
      </c>
      <c r="J1669" s="34" t="s">
        <v>2822</v>
      </c>
      <c r="K1669" s="34" t="s">
        <v>2823</v>
      </c>
      <c r="L1669" s="34">
        <v>121020.12</v>
      </c>
      <c r="M1669" s="34">
        <v>0</v>
      </c>
      <c r="N1669" s="34">
        <v>0</v>
      </c>
      <c r="O1669" s="34">
        <v>757968.12</v>
      </c>
      <c r="P1669" s="34" t="s">
        <v>41</v>
      </c>
      <c r="Q1669" s="34" t="s">
        <v>42</v>
      </c>
      <c r="R1669" s="26"/>
      <c r="S1669" s="26"/>
      <c r="T1669" s="26" t="s">
        <v>43</v>
      </c>
      <c r="U1669" s="26"/>
      <c r="V1669" s="26"/>
      <c r="W1669" s="26"/>
      <c r="X1669" s="26"/>
    </row>
    <row r="1670" spans="1:24">
      <c r="A1670" s="31" t="s">
        <v>31</v>
      </c>
      <c r="B1670" s="31" t="s">
        <v>6476</v>
      </c>
      <c r="C1670" s="31" t="s">
        <v>6477</v>
      </c>
      <c r="D1670" s="31">
        <f t="shared" si="28"/>
        <v>-1</v>
      </c>
      <c r="E1670" s="31" t="s">
        <v>34</v>
      </c>
      <c r="F1670" s="31" t="s">
        <v>6463</v>
      </c>
      <c r="G1670" s="31" t="s">
        <v>6478</v>
      </c>
      <c r="H1670" s="31" t="s">
        <v>37</v>
      </c>
      <c r="I1670" s="31" t="s">
        <v>38</v>
      </c>
      <c r="J1670" s="31" t="s">
        <v>793</v>
      </c>
      <c r="K1670" s="31" t="s">
        <v>794</v>
      </c>
      <c r="L1670" s="31">
        <v>683620</v>
      </c>
      <c r="M1670" s="31">
        <v>0</v>
      </c>
      <c r="N1670" s="31">
        <v>0</v>
      </c>
      <c r="O1670" s="31">
        <v>4281620</v>
      </c>
      <c r="P1670" s="31" t="s">
        <v>41</v>
      </c>
      <c r="Q1670" s="31" t="s">
        <v>42</v>
      </c>
      <c r="R1670" s="26"/>
      <c r="S1670" s="26"/>
      <c r="T1670" s="26"/>
      <c r="U1670" s="26" t="s">
        <v>43</v>
      </c>
      <c r="V1670" s="26"/>
      <c r="W1670" s="26"/>
      <c r="X1670" s="26"/>
    </row>
    <row r="1671" spans="1:24">
      <c r="A1671" s="26" t="s">
        <v>31</v>
      </c>
      <c r="B1671" s="26" t="s">
        <v>6479</v>
      </c>
      <c r="C1671" s="26" t="s">
        <v>6480</v>
      </c>
      <c r="D1671" s="26">
        <f t="shared" si="28"/>
        <v>-1</v>
      </c>
      <c r="E1671" s="26" t="s">
        <v>34</v>
      </c>
      <c r="F1671" s="26" t="s">
        <v>6463</v>
      </c>
      <c r="G1671" s="26" t="s">
        <v>6481</v>
      </c>
      <c r="H1671" s="26" t="s">
        <v>37</v>
      </c>
      <c r="I1671" s="26" t="s">
        <v>38</v>
      </c>
      <c r="J1671" s="26" t="s">
        <v>6482</v>
      </c>
      <c r="K1671" s="26" t="s">
        <v>6483</v>
      </c>
      <c r="L1671" s="26">
        <v>112100</v>
      </c>
      <c r="M1671" s="26">
        <v>0</v>
      </c>
      <c r="N1671" s="26">
        <v>0</v>
      </c>
      <c r="O1671" s="26">
        <v>702100</v>
      </c>
      <c r="P1671" s="26" t="s">
        <v>41</v>
      </c>
      <c r="Q1671" s="26" t="s">
        <v>42</v>
      </c>
      <c r="R1671" s="26"/>
      <c r="S1671" s="26"/>
      <c r="T1671" s="26"/>
      <c r="U1671" s="26"/>
      <c r="V1671" s="26" t="s">
        <v>43</v>
      </c>
      <c r="W1671" s="26"/>
      <c r="X1671" s="26"/>
    </row>
    <row r="1672" spans="1:24">
      <c r="A1672" s="32" t="s">
        <v>31</v>
      </c>
      <c r="B1672" s="32" t="s">
        <v>6484</v>
      </c>
      <c r="C1672" s="32" t="s">
        <v>6485</v>
      </c>
      <c r="D1672" s="32">
        <f t="shared" si="28"/>
        <v>-1</v>
      </c>
      <c r="E1672" s="32" t="s">
        <v>34</v>
      </c>
      <c r="F1672" s="32" t="s">
        <v>6463</v>
      </c>
      <c r="G1672" s="32" t="s">
        <v>6486</v>
      </c>
      <c r="H1672" s="32" t="s">
        <v>37</v>
      </c>
      <c r="I1672" s="32" t="s">
        <v>38</v>
      </c>
      <c r="J1672" s="32" t="s">
        <v>6487</v>
      </c>
      <c r="K1672" s="32" t="s">
        <v>6488</v>
      </c>
      <c r="L1672" s="32">
        <v>171000</v>
      </c>
      <c r="M1672" s="32">
        <v>0</v>
      </c>
      <c r="N1672" s="32">
        <v>0</v>
      </c>
      <c r="O1672" s="32">
        <v>1071000</v>
      </c>
      <c r="P1672" s="32" t="s">
        <v>41</v>
      </c>
      <c r="Q1672" s="32" t="s">
        <v>42</v>
      </c>
      <c r="R1672" s="26" t="s">
        <v>43</v>
      </c>
      <c r="S1672" s="26"/>
      <c r="T1672" s="26"/>
      <c r="U1672" s="26"/>
      <c r="V1672" s="26"/>
      <c r="W1672" s="26"/>
      <c r="X1672" s="26"/>
    </row>
    <row r="1673" spans="1:24">
      <c r="A1673" s="32" t="s">
        <v>31</v>
      </c>
      <c r="B1673" s="32" t="s">
        <v>6489</v>
      </c>
      <c r="C1673" s="32" t="s">
        <v>6490</v>
      </c>
      <c r="D1673" s="32">
        <f t="shared" si="28"/>
        <v>-1</v>
      </c>
      <c r="E1673" s="32" t="s">
        <v>34</v>
      </c>
      <c r="F1673" s="32" t="s">
        <v>6463</v>
      </c>
      <c r="G1673" s="32" t="s">
        <v>6491</v>
      </c>
      <c r="H1673" s="32" t="s">
        <v>37</v>
      </c>
      <c r="I1673" s="32" t="s">
        <v>38</v>
      </c>
      <c r="J1673" s="32" t="s">
        <v>6492</v>
      </c>
      <c r="K1673" s="32" t="s">
        <v>6493</v>
      </c>
      <c r="L1673" s="32">
        <v>26647500</v>
      </c>
      <c r="M1673" s="32">
        <v>0</v>
      </c>
      <c r="N1673" s="32">
        <v>0</v>
      </c>
      <c r="O1673" s="32">
        <v>166897500</v>
      </c>
      <c r="P1673" s="32" t="s">
        <v>41</v>
      </c>
      <c r="Q1673" s="32" t="s">
        <v>42</v>
      </c>
      <c r="R1673" s="26" t="s">
        <v>43</v>
      </c>
      <c r="S1673" s="26"/>
      <c r="T1673" s="26"/>
      <c r="U1673" s="26"/>
      <c r="V1673" s="26"/>
      <c r="W1673" s="26"/>
      <c r="X1673" s="26"/>
    </row>
    <row r="1674" spans="1:24">
      <c r="A1674" s="32" t="s">
        <v>31</v>
      </c>
      <c r="B1674" s="32" t="s">
        <v>6494</v>
      </c>
      <c r="C1674" s="32" t="s">
        <v>6495</v>
      </c>
      <c r="D1674" s="32">
        <f t="shared" si="28"/>
        <v>-1</v>
      </c>
      <c r="E1674" s="32" t="s">
        <v>34</v>
      </c>
      <c r="F1674" s="32" t="s">
        <v>6463</v>
      </c>
      <c r="G1674" s="32" t="s">
        <v>6496</v>
      </c>
      <c r="H1674" s="32" t="s">
        <v>37</v>
      </c>
      <c r="I1674" s="32" t="s">
        <v>38</v>
      </c>
      <c r="J1674" s="32" t="s">
        <v>1629</v>
      </c>
      <c r="K1674" s="32" t="s">
        <v>1630</v>
      </c>
      <c r="L1674" s="32">
        <v>318250</v>
      </c>
      <c r="M1674" s="32">
        <v>0</v>
      </c>
      <c r="N1674" s="32">
        <v>0</v>
      </c>
      <c r="O1674" s="32">
        <v>1993250</v>
      </c>
      <c r="P1674" s="32" t="s">
        <v>41</v>
      </c>
      <c r="Q1674" s="32" t="s">
        <v>42</v>
      </c>
      <c r="R1674" s="26" t="s">
        <v>43</v>
      </c>
      <c r="S1674" s="26"/>
      <c r="T1674" s="26"/>
      <c r="U1674" s="26"/>
      <c r="V1674" s="26"/>
      <c r="W1674" s="26"/>
      <c r="X1674" s="26"/>
    </row>
    <row r="1675" spans="1:24">
      <c r="A1675" s="32" t="s">
        <v>31</v>
      </c>
      <c r="B1675" s="32" t="s">
        <v>6497</v>
      </c>
      <c r="C1675" s="32" t="s">
        <v>6498</v>
      </c>
      <c r="D1675" s="32">
        <f t="shared" si="28"/>
        <v>-1</v>
      </c>
      <c r="E1675" s="32" t="s">
        <v>34</v>
      </c>
      <c r="F1675" s="32" t="s">
        <v>6463</v>
      </c>
      <c r="G1675" s="32" t="s">
        <v>6499</v>
      </c>
      <c r="H1675" s="32" t="s">
        <v>37</v>
      </c>
      <c r="I1675" s="32" t="s">
        <v>38</v>
      </c>
      <c r="J1675" s="32" t="s">
        <v>1629</v>
      </c>
      <c r="K1675" s="32" t="s">
        <v>1630</v>
      </c>
      <c r="L1675" s="32">
        <v>461092</v>
      </c>
      <c r="M1675" s="32">
        <v>0</v>
      </c>
      <c r="N1675" s="32">
        <v>0</v>
      </c>
      <c r="O1675" s="32">
        <v>2887892</v>
      </c>
      <c r="P1675" s="32" t="s">
        <v>41</v>
      </c>
      <c r="Q1675" s="32" t="s">
        <v>42</v>
      </c>
      <c r="R1675" s="26" t="s">
        <v>43</v>
      </c>
      <c r="S1675" s="26"/>
      <c r="T1675" s="26"/>
      <c r="U1675" s="26"/>
      <c r="V1675" s="26"/>
      <c r="W1675" s="26"/>
      <c r="X1675" s="26"/>
    </row>
    <row r="1676" spans="1:24">
      <c r="A1676" s="26" t="s">
        <v>31</v>
      </c>
      <c r="B1676" s="26" t="s">
        <v>6500</v>
      </c>
      <c r="C1676" s="26" t="s">
        <v>6501</v>
      </c>
      <c r="D1676" s="26">
        <f t="shared" si="28"/>
        <v>-1</v>
      </c>
      <c r="E1676" s="26" t="s">
        <v>34</v>
      </c>
      <c r="F1676" s="26" t="s">
        <v>6463</v>
      </c>
      <c r="G1676" s="26" t="s">
        <v>6502</v>
      </c>
      <c r="H1676" s="26" t="s">
        <v>37</v>
      </c>
      <c r="I1676" s="26" t="s">
        <v>38</v>
      </c>
      <c r="J1676" s="26" t="s">
        <v>6503</v>
      </c>
      <c r="K1676" s="26" t="s">
        <v>6504</v>
      </c>
      <c r="L1676" s="26">
        <v>154071</v>
      </c>
      <c r="M1676" s="26">
        <v>0</v>
      </c>
      <c r="N1676" s="26">
        <v>0</v>
      </c>
      <c r="O1676" s="26">
        <v>964971</v>
      </c>
      <c r="P1676" s="26" t="s">
        <v>41</v>
      </c>
      <c r="Q1676" s="26" t="s">
        <v>42</v>
      </c>
      <c r="R1676" s="26"/>
      <c r="S1676" s="26"/>
      <c r="T1676" s="26"/>
      <c r="U1676" s="26"/>
      <c r="V1676" s="26" t="s">
        <v>43</v>
      </c>
      <c r="W1676" s="26"/>
      <c r="X1676" s="26"/>
    </row>
    <row r="1677" spans="1:24">
      <c r="A1677" s="32" t="s">
        <v>31</v>
      </c>
      <c r="B1677" s="32" t="s">
        <v>6505</v>
      </c>
      <c r="C1677" s="32" t="s">
        <v>6506</v>
      </c>
      <c r="D1677" s="32">
        <f t="shared" si="28"/>
        <v>-1</v>
      </c>
      <c r="E1677" s="32" t="s">
        <v>34</v>
      </c>
      <c r="F1677" s="32" t="s">
        <v>6463</v>
      </c>
      <c r="G1677" s="32" t="s">
        <v>6507</v>
      </c>
      <c r="H1677" s="32" t="s">
        <v>37</v>
      </c>
      <c r="I1677" s="32" t="s">
        <v>38</v>
      </c>
      <c r="J1677" s="32" t="s">
        <v>5976</v>
      </c>
      <c r="K1677" s="32" t="s">
        <v>5977</v>
      </c>
      <c r="L1677" s="32">
        <v>71060</v>
      </c>
      <c r="M1677" s="32">
        <v>0</v>
      </c>
      <c r="N1677" s="32">
        <v>0</v>
      </c>
      <c r="O1677" s="32">
        <v>445060</v>
      </c>
      <c r="P1677" s="32" t="s">
        <v>41</v>
      </c>
      <c r="Q1677" s="32" t="s">
        <v>42</v>
      </c>
      <c r="R1677" s="26" t="s">
        <v>43</v>
      </c>
      <c r="S1677" s="26"/>
      <c r="T1677" s="26"/>
      <c r="U1677" s="26"/>
      <c r="V1677" s="26"/>
      <c r="W1677" s="26"/>
      <c r="X1677" s="26"/>
    </row>
    <row r="1678" spans="1:24">
      <c r="A1678" s="32" t="s">
        <v>31</v>
      </c>
      <c r="B1678" s="32" t="s">
        <v>6508</v>
      </c>
      <c r="C1678" s="32" t="s">
        <v>6509</v>
      </c>
      <c r="D1678" s="32">
        <f t="shared" si="28"/>
        <v>-1</v>
      </c>
      <c r="E1678" s="32" t="s">
        <v>34</v>
      </c>
      <c r="F1678" s="32" t="s">
        <v>6463</v>
      </c>
      <c r="G1678" s="32" t="s">
        <v>6510</v>
      </c>
      <c r="H1678" s="32" t="s">
        <v>37</v>
      </c>
      <c r="I1678" s="32" t="s">
        <v>38</v>
      </c>
      <c r="J1678" s="32" t="s">
        <v>6051</v>
      </c>
      <c r="K1678" s="32" t="s">
        <v>6052</v>
      </c>
      <c r="L1678" s="32">
        <v>1153587.6599999999</v>
      </c>
      <c r="M1678" s="32">
        <v>0</v>
      </c>
      <c r="N1678" s="32">
        <v>0</v>
      </c>
      <c r="O1678" s="32">
        <v>7225101.6600000001</v>
      </c>
      <c r="P1678" s="32" t="s">
        <v>41</v>
      </c>
      <c r="Q1678" s="32" t="s">
        <v>42</v>
      </c>
      <c r="R1678" s="26" t="s">
        <v>43</v>
      </c>
      <c r="S1678" s="26"/>
      <c r="T1678" s="26"/>
      <c r="U1678" s="26"/>
      <c r="V1678" s="26"/>
      <c r="W1678" s="26"/>
      <c r="X1678" s="26"/>
    </row>
    <row r="1679" spans="1:24">
      <c r="A1679" s="26" t="s">
        <v>31</v>
      </c>
      <c r="B1679" s="26" t="s">
        <v>6511</v>
      </c>
      <c r="C1679" s="26" t="s">
        <v>6512</v>
      </c>
      <c r="D1679" s="26">
        <f t="shared" si="28"/>
        <v>-1</v>
      </c>
      <c r="E1679" s="26" t="s">
        <v>34</v>
      </c>
      <c r="F1679" s="26" t="s">
        <v>6463</v>
      </c>
      <c r="G1679" s="26" t="s">
        <v>6513</v>
      </c>
      <c r="H1679" s="26" t="s">
        <v>37</v>
      </c>
      <c r="I1679" s="26" t="s">
        <v>38</v>
      </c>
      <c r="J1679" s="26" t="s">
        <v>3191</v>
      </c>
      <c r="K1679" s="26" t="s">
        <v>3192</v>
      </c>
      <c r="L1679" s="26">
        <v>606972.9</v>
      </c>
      <c r="M1679" s="26">
        <v>0</v>
      </c>
      <c r="N1679" s="26">
        <v>0</v>
      </c>
      <c r="O1679" s="26">
        <v>4077042.9</v>
      </c>
      <c r="P1679" s="26" t="s">
        <v>41</v>
      </c>
      <c r="Q1679" s="26" t="s">
        <v>42</v>
      </c>
      <c r="R1679" s="26"/>
      <c r="S1679" s="26"/>
      <c r="T1679" s="26"/>
      <c r="U1679" s="26"/>
      <c r="V1679" s="26" t="s">
        <v>43</v>
      </c>
      <c r="W1679" s="26"/>
      <c r="X1679" s="26"/>
    </row>
    <row r="1680" spans="1:24">
      <c r="A1680" s="32" t="s">
        <v>31</v>
      </c>
      <c r="B1680" s="32" t="s">
        <v>6514</v>
      </c>
      <c r="C1680" s="32" t="s">
        <v>6515</v>
      </c>
      <c r="D1680" s="32">
        <f t="shared" si="28"/>
        <v>-1</v>
      </c>
      <c r="E1680" s="32" t="s">
        <v>34</v>
      </c>
      <c r="F1680" s="32" t="s">
        <v>6463</v>
      </c>
      <c r="G1680" s="32" t="s">
        <v>6516</v>
      </c>
      <c r="H1680" s="32" t="s">
        <v>37</v>
      </c>
      <c r="I1680" s="32" t="s">
        <v>38</v>
      </c>
      <c r="J1680" s="32" t="s">
        <v>383</v>
      </c>
      <c r="K1680" s="32" t="s">
        <v>384</v>
      </c>
      <c r="L1680" s="32">
        <v>57095</v>
      </c>
      <c r="M1680" s="32">
        <v>0</v>
      </c>
      <c r="N1680" s="32">
        <v>0</v>
      </c>
      <c r="O1680" s="32">
        <v>357595</v>
      </c>
      <c r="P1680" s="32" t="s">
        <v>41</v>
      </c>
      <c r="Q1680" s="32" t="s">
        <v>42</v>
      </c>
      <c r="R1680" s="26" t="s">
        <v>43</v>
      </c>
      <c r="S1680" s="26"/>
      <c r="T1680" s="26"/>
      <c r="U1680" s="26"/>
      <c r="V1680" s="26"/>
      <c r="W1680" s="26"/>
      <c r="X1680" s="26"/>
    </row>
    <row r="1681" spans="1:24">
      <c r="A1681" s="35" t="s">
        <v>31</v>
      </c>
      <c r="B1681" s="35" t="s">
        <v>6517</v>
      </c>
      <c r="C1681" s="35" t="s">
        <v>6518</v>
      </c>
      <c r="D1681" s="35">
        <f t="shared" si="28"/>
        <v>-1</v>
      </c>
      <c r="E1681" s="35" t="s">
        <v>34</v>
      </c>
      <c r="F1681" s="35" t="s">
        <v>6463</v>
      </c>
      <c r="G1681" s="35" t="s">
        <v>6519</v>
      </c>
      <c r="H1681" s="35" t="s">
        <v>37</v>
      </c>
      <c r="I1681" s="35" t="s">
        <v>38</v>
      </c>
      <c r="J1681" s="35" t="s">
        <v>4214</v>
      </c>
      <c r="K1681" s="35" t="s">
        <v>4215</v>
      </c>
      <c r="L1681" s="35">
        <v>0</v>
      </c>
      <c r="M1681" s="35">
        <v>0</v>
      </c>
      <c r="N1681" s="35">
        <v>0</v>
      </c>
      <c r="O1681" s="35">
        <v>2372000</v>
      </c>
      <c r="P1681" s="35" t="s">
        <v>41</v>
      </c>
      <c r="Q1681" s="35" t="s">
        <v>42</v>
      </c>
      <c r="R1681" s="26"/>
      <c r="S1681" s="26"/>
      <c r="T1681" s="26"/>
      <c r="U1681" s="26"/>
      <c r="V1681" s="26"/>
      <c r="W1681" s="35" t="s">
        <v>43</v>
      </c>
      <c r="X1681" s="28">
        <v>46080</v>
      </c>
    </row>
    <row r="1682" spans="1:24">
      <c r="A1682" s="26" t="s">
        <v>31</v>
      </c>
      <c r="B1682" s="26" t="s">
        <v>6520</v>
      </c>
      <c r="C1682" s="26" t="s">
        <v>6521</v>
      </c>
      <c r="D1682" s="26">
        <f t="shared" si="28"/>
        <v>-1</v>
      </c>
      <c r="E1682" s="26" t="s">
        <v>34</v>
      </c>
      <c r="F1682" s="26" t="s">
        <v>6463</v>
      </c>
      <c r="G1682" s="26" t="s">
        <v>6522</v>
      </c>
      <c r="H1682" s="26" t="s">
        <v>37</v>
      </c>
      <c r="I1682" s="26" t="s">
        <v>38</v>
      </c>
      <c r="J1682" s="26" t="s">
        <v>5950</v>
      </c>
      <c r="K1682" s="26" t="s">
        <v>5951</v>
      </c>
      <c r="L1682" s="26">
        <v>64550.6</v>
      </c>
      <c r="M1682" s="26">
        <v>0</v>
      </c>
      <c r="N1682" s="26">
        <v>0</v>
      </c>
      <c r="O1682" s="26">
        <v>491890.6</v>
      </c>
      <c r="P1682" s="26" t="s">
        <v>41</v>
      </c>
      <c r="Q1682" s="26" t="s">
        <v>42</v>
      </c>
      <c r="R1682" s="26"/>
      <c r="S1682" s="26"/>
      <c r="T1682" s="26"/>
      <c r="U1682" s="26"/>
      <c r="V1682" s="26" t="s">
        <v>43</v>
      </c>
      <c r="W1682" s="26"/>
      <c r="X1682" s="26"/>
    </row>
    <row r="1683" spans="1:24">
      <c r="A1683" s="32" t="s">
        <v>31</v>
      </c>
      <c r="B1683" s="32" t="s">
        <v>6523</v>
      </c>
      <c r="C1683" s="32" t="s">
        <v>6524</v>
      </c>
      <c r="D1683" s="32">
        <f t="shared" si="28"/>
        <v>-1</v>
      </c>
      <c r="E1683" s="32" t="s">
        <v>34</v>
      </c>
      <c r="F1683" s="32" t="s">
        <v>6463</v>
      </c>
      <c r="G1683" s="32" t="s">
        <v>6525</v>
      </c>
      <c r="H1683" s="32" t="s">
        <v>37</v>
      </c>
      <c r="I1683" s="32" t="s">
        <v>38</v>
      </c>
      <c r="J1683" s="32" t="s">
        <v>2402</v>
      </c>
      <c r="K1683" s="32" t="s">
        <v>2403</v>
      </c>
      <c r="L1683" s="32">
        <v>18981</v>
      </c>
      <c r="M1683" s="32">
        <v>0</v>
      </c>
      <c r="N1683" s="32">
        <v>0</v>
      </c>
      <c r="O1683" s="32">
        <v>118881</v>
      </c>
      <c r="P1683" s="32" t="s">
        <v>41</v>
      </c>
      <c r="Q1683" s="32" t="s">
        <v>42</v>
      </c>
      <c r="R1683" s="26" t="s">
        <v>43</v>
      </c>
      <c r="S1683" s="26"/>
      <c r="T1683" s="26"/>
      <c r="U1683" s="26"/>
      <c r="V1683" s="26"/>
      <c r="W1683" s="26"/>
      <c r="X1683" s="26"/>
    </row>
    <row r="1684" spans="1:24">
      <c r="A1684" s="26" t="s">
        <v>31</v>
      </c>
      <c r="B1684" s="26" t="s">
        <v>6526</v>
      </c>
      <c r="C1684" s="26" t="s">
        <v>6527</v>
      </c>
      <c r="D1684" s="26">
        <f t="shared" si="28"/>
        <v>-1</v>
      </c>
      <c r="E1684" s="26" t="s">
        <v>34</v>
      </c>
      <c r="F1684" s="26" t="s">
        <v>6463</v>
      </c>
      <c r="G1684" s="26" t="s">
        <v>6528</v>
      </c>
      <c r="H1684" s="26" t="s">
        <v>37</v>
      </c>
      <c r="I1684" s="26" t="s">
        <v>38</v>
      </c>
      <c r="J1684" s="26" t="s">
        <v>6529</v>
      </c>
      <c r="K1684" s="26" t="s">
        <v>6530</v>
      </c>
      <c r="L1684" s="26">
        <v>183084</v>
      </c>
      <c r="M1684" s="26">
        <v>0</v>
      </c>
      <c r="N1684" s="26">
        <v>0</v>
      </c>
      <c r="O1684" s="26">
        <v>1146684</v>
      </c>
      <c r="P1684" s="26" t="s">
        <v>41</v>
      </c>
      <c r="Q1684" s="26" t="s">
        <v>42</v>
      </c>
      <c r="R1684" s="26"/>
      <c r="S1684" s="26"/>
      <c r="T1684" s="26"/>
      <c r="U1684" s="26"/>
      <c r="V1684" s="26" t="s">
        <v>43</v>
      </c>
      <c r="W1684" s="26"/>
      <c r="X1684" s="26"/>
    </row>
    <row r="1685" spans="1:24">
      <c r="A1685" s="26" t="s">
        <v>31</v>
      </c>
      <c r="B1685" s="26" t="s">
        <v>6531</v>
      </c>
      <c r="C1685" s="26" t="s">
        <v>6532</v>
      </c>
      <c r="D1685" s="26">
        <f t="shared" si="28"/>
        <v>-1</v>
      </c>
      <c r="E1685" s="26" t="s">
        <v>34</v>
      </c>
      <c r="F1685" s="26" t="s">
        <v>6463</v>
      </c>
      <c r="G1685" s="26" t="s">
        <v>6533</v>
      </c>
      <c r="H1685" s="26" t="s">
        <v>37</v>
      </c>
      <c r="I1685" s="26" t="s">
        <v>38</v>
      </c>
      <c r="J1685" s="26" t="s">
        <v>6534</v>
      </c>
      <c r="K1685" s="26" t="s">
        <v>6535</v>
      </c>
      <c r="L1685" s="26">
        <v>19000</v>
      </c>
      <c r="M1685" s="26">
        <v>0</v>
      </c>
      <c r="N1685" s="26">
        <v>0</v>
      </c>
      <c r="O1685" s="26">
        <v>119000</v>
      </c>
      <c r="P1685" s="26" t="s">
        <v>41</v>
      </c>
      <c r="Q1685" s="26" t="s">
        <v>42</v>
      </c>
      <c r="R1685" s="26"/>
      <c r="S1685" s="26"/>
      <c r="T1685" s="26"/>
      <c r="U1685" s="26"/>
      <c r="V1685" s="26" t="s">
        <v>43</v>
      </c>
      <c r="W1685" s="26"/>
      <c r="X1685" s="26"/>
    </row>
    <row r="1686" spans="1:24">
      <c r="A1686" s="35" t="s">
        <v>31</v>
      </c>
      <c r="B1686" s="35" t="s">
        <v>6536</v>
      </c>
      <c r="C1686" s="35" t="s">
        <v>6537</v>
      </c>
      <c r="D1686" s="35">
        <f t="shared" si="28"/>
        <v>-1</v>
      </c>
      <c r="E1686" s="35" t="s">
        <v>34</v>
      </c>
      <c r="F1686" s="35" t="s">
        <v>6463</v>
      </c>
      <c r="G1686" s="35" t="s">
        <v>6538</v>
      </c>
      <c r="H1686" s="35" t="s">
        <v>37</v>
      </c>
      <c r="I1686" s="35" t="s">
        <v>38</v>
      </c>
      <c r="J1686" s="35" t="s">
        <v>499</v>
      </c>
      <c r="K1686" s="35" t="s">
        <v>500</v>
      </c>
      <c r="L1686" s="35">
        <v>2315340</v>
      </c>
      <c r="M1686" s="35">
        <v>0</v>
      </c>
      <c r="N1686" s="35">
        <v>0</v>
      </c>
      <c r="O1686" s="35">
        <v>14501340</v>
      </c>
      <c r="P1686" s="35" t="s">
        <v>41</v>
      </c>
      <c r="Q1686" s="35" t="s">
        <v>42</v>
      </c>
      <c r="R1686" s="26"/>
      <c r="S1686" s="26"/>
      <c r="T1686" s="26"/>
      <c r="U1686" s="26"/>
      <c r="V1686" s="26"/>
      <c r="W1686" s="35" t="s">
        <v>43</v>
      </c>
      <c r="X1686" s="26" t="s">
        <v>6539</v>
      </c>
    </row>
    <row r="1687" spans="1:24">
      <c r="A1687" s="26" t="s">
        <v>31</v>
      </c>
      <c r="B1687" s="26" t="s">
        <v>6540</v>
      </c>
      <c r="C1687" s="26" t="s">
        <v>6541</v>
      </c>
      <c r="D1687" s="26">
        <f t="shared" si="28"/>
        <v>-1</v>
      </c>
      <c r="E1687" s="26" t="s">
        <v>34</v>
      </c>
      <c r="F1687" s="26" t="s">
        <v>6463</v>
      </c>
      <c r="G1687" s="26" t="s">
        <v>6542</v>
      </c>
      <c r="H1687" s="26" t="s">
        <v>37</v>
      </c>
      <c r="I1687" s="26" t="s">
        <v>38</v>
      </c>
      <c r="J1687" s="26" t="s">
        <v>840</v>
      </c>
      <c r="K1687" s="26" t="s">
        <v>841</v>
      </c>
      <c r="L1687" s="26">
        <v>932250.2</v>
      </c>
      <c r="M1687" s="26">
        <v>0</v>
      </c>
      <c r="N1687" s="26">
        <v>0</v>
      </c>
      <c r="O1687" s="26">
        <v>5838830.2000000002</v>
      </c>
      <c r="P1687" s="26" t="s">
        <v>41</v>
      </c>
      <c r="Q1687" s="26" t="s">
        <v>42</v>
      </c>
      <c r="R1687" s="26"/>
      <c r="S1687" s="26"/>
      <c r="T1687" s="26"/>
      <c r="U1687" s="26"/>
      <c r="V1687" s="26" t="s">
        <v>43</v>
      </c>
      <c r="W1687" s="26"/>
      <c r="X1687" s="26"/>
    </row>
    <row r="1688" spans="1:24">
      <c r="A1688" s="26" t="s">
        <v>31</v>
      </c>
      <c r="B1688" s="26" t="s">
        <v>6543</v>
      </c>
      <c r="C1688" s="26" t="s">
        <v>6544</v>
      </c>
      <c r="D1688" s="26">
        <f t="shared" si="28"/>
        <v>-1</v>
      </c>
      <c r="E1688" s="26" t="s">
        <v>34</v>
      </c>
      <c r="F1688" s="26" t="s">
        <v>6463</v>
      </c>
      <c r="G1688" s="26" t="s">
        <v>6545</v>
      </c>
      <c r="H1688" s="26" t="s">
        <v>37</v>
      </c>
      <c r="I1688" s="26" t="s">
        <v>38</v>
      </c>
      <c r="J1688" s="26" t="s">
        <v>769</v>
      </c>
      <c r="K1688" s="26" t="s">
        <v>770</v>
      </c>
      <c r="L1688" s="26">
        <v>41040</v>
      </c>
      <c r="M1688" s="26">
        <v>0</v>
      </c>
      <c r="N1688" s="26">
        <v>0</v>
      </c>
      <c r="O1688" s="26">
        <v>257040</v>
      </c>
      <c r="P1688" s="26" t="s">
        <v>41</v>
      </c>
      <c r="Q1688" s="26" t="s">
        <v>42</v>
      </c>
      <c r="R1688" s="26"/>
      <c r="S1688" s="26"/>
      <c r="T1688" s="26"/>
      <c r="U1688" s="26"/>
      <c r="V1688" s="26" t="s">
        <v>43</v>
      </c>
      <c r="W1688" s="26"/>
      <c r="X1688" s="26"/>
    </row>
    <row r="1689" spans="1:24">
      <c r="A1689" s="26" t="s">
        <v>31</v>
      </c>
      <c r="B1689" s="26" t="s">
        <v>6546</v>
      </c>
      <c r="C1689" s="26" t="s">
        <v>6547</v>
      </c>
      <c r="D1689" s="26">
        <f t="shared" si="28"/>
        <v>-1</v>
      </c>
      <c r="E1689" s="26" t="s">
        <v>34</v>
      </c>
      <c r="F1689" s="26" t="s">
        <v>6463</v>
      </c>
      <c r="G1689" s="26" t="s">
        <v>6548</v>
      </c>
      <c r="H1689" s="26" t="s">
        <v>37</v>
      </c>
      <c r="I1689" s="26" t="s">
        <v>38</v>
      </c>
      <c r="J1689" s="26" t="s">
        <v>2017</v>
      </c>
      <c r="K1689" s="26" t="s">
        <v>2018</v>
      </c>
      <c r="L1689" s="26">
        <v>1721213.04</v>
      </c>
      <c r="M1689" s="26">
        <v>0</v>
      </c>
      <c r="N1689" s="26">
        <v>0</v>
      </c>
      <c r="O1689" s="26">
        <v>10780229.039999999</v>
      </c>
      <c r="P1689" s="26" t="s">
        <v>41</v>
      </c>
      <c r="Q1689" s="26" t="s">
        <v>42</v>
      </c>
      <c r="R1689" s="26"/>
      <c r="S1689" s="26"/>
      <c r="T1689" s="26"/>
      <c r="U1689" s="26"/>
      <c r="V1689" s="26" t="s">
        <v>43</v>
      </c>
      <c r="W1689" s="26"/>
      <c r="X1689" s="26"/>
    </row>
    <row r="1690" spans="1:24">
      <c r="A1690" s="26" t="s">
        <v>31</v>
      </c>
      <c r="B1690" s="26" t="s">
        <v>6549</v>
      </c>
      <c r="C1690" s="26" t="s">
        <v>6550</v>
      </c>
      <c r="D1690" s="26">
        <f t="shared" si="28"/>
        <v>-1</v>
      </c>
      <c r="E1690" s="26" t="s">
        <v>34</v>
      </c>
      <c r="F1690" s="26" t="s">
        <v>6463</v>
      </c>
      <c r="G1690" s="26" t="s">
        <v>6551</v>
      </c>
      <c r="H1690" s="26" t="s">
        <v>37</v>
      </c>
      <c r="I1690" s="26" t="s">
        <v>38</v>
      </c>
      <c r="J1690" s="26" t="s">
        <v>6552</v>
      </c>
      <c r="K1690" s="26" t="s">
        <v>6553</v>
      </c>
      <c r="L1690" s="26">
        <v>6346</v>
      </c>
      <c r="M1690" s="26">
        <v>0</v>
      </c>
      <c r="N1690" s="26">
        <v>0</v>
      </c>
      <c r="O1690" s="26">
        <v>39746</v>
      </c>
      <c r="P1690" s="26" t="s">
        <v>41</v>
      </c>
      <c r="Q1690" s="26" t="s">
        <v>42</v>
      </c>
      <c r="R1690" s="26"/>
      <c r="S1690" s="26"/>
      <c r="T1690" s="26"/>
      <c r="U1690" s="26"/>
      <c r="V1690" s="26" t="s">
        <v>43</v>
      </c>
      <c r="W1690" s="26"/>
      <c r="X1690" s="26"/>
    </row>
    <row r="1691" spans="1:24">
      <c r="A1691" s="26" t="s">
        <v>31</v>
      </c>
      <c r="B1691" s="26" t="s">
        <v>6554</v>
      </c>
      <c r="C1691" s="26" t="s">
        <v>6555</v>
      </c>
      <c r="D1691" s="26">
        <f t="shared" si="28"/>
        <v>-1</v>
      </c>
      <c r="E1691" s="26" t="s">
        <v>34</v>
      </c>
      <c r="F1691" s="26" t="s">
        <v>6463</v>
      </c>
      <c r="G1691" s="26" t="s">
        <v>6556</v>
      </c>
      <c r="H1691" s="26" t="s">
        <v>37</v>
      </c>
      <c r="I1691" s="26" t="s">
        <v>38</v>
      </c>
      <c r="J1691" s="26" t="s">
        <v>6552</v>
      </c>
      <c r="K1691" s="26" t="s">
        <v>6553</v>
      </c>
      <c r="L1691" s="26">
        <v>34030</v>
      </c>
      <c r="M1691" s="26">
        <v>0</v>
      </c>
      <c r="N1691" s="26">
        <v>0</v>
      </c>
      <c r="O1691" s="26">
        <v>714630</v>
      </c>
      <c r="P1691" s="26" t="s">
        <v>41</v>
      </c>
      <c r="Q1691" s="26" t="s">
        <v>42</v>
      </c>
      <c r="R1691" s="26"/>
      <c r="S1691" s="26"/>
      <c r="T1691" s="26"/>
      <c r="U1691" s="26"/>
      <c r="V1691" s="26" t="s">
        <v>43</v>
      </c>
      <c r="W1691" s="26"/>
      <c r="X1691" s="26"/>
    </row>
    <row r="1692" spans="1:24">
      <c r="A1692" s="32" t="s">
        <v>31</v>
      </c>
      <c r="B1692" s="32" t="s">
        <v>6557</v>
      </c>
      <c r="C1692" s="32" t="s">
        <v>6558</v>
      </c>
      <c r="D1692" s="32">
        <f t="shared" si="28"/>
        <v>-1</v>
      </c>
      <c r="E1692" s="32" t="s">
        <v>34</v>
      </c>
      <c r="F1692" s="32" t="s">
        <v>6463</v>
      </c>
      <c r="G1692" s="32" t="s">
        <v>6559</v>
      </c>
      <c r="H1692" s="32" t="s">
        <v>37</v>
      </c>
      <c r="I1692" s="32" t="s">
        <v>38</v>
      </c>
      <c r="J1692" s="32" t="s">
        <v>6552</v>
      </c>
      <c r="K1692" s="32" t="s">
        <v>6553</v>
      </c>
      <c r="L1692" s="32">
        <v>147367.99</v>
      </c>
      <c r="M1692" s="32">
        <v>0</v>
      </c>
      <c r="N1692" s="32">
        <v>0</v>
      </c>
      <c r="O1692" s="32">
        <v>922988.99</v>
      </c>
      <c r="P1692" s="32" t="s">
        <v>41</v>
      </c>
      <c r="Q1692" s="32" t="s">
        <v>42</v>
      </c>
      <c r="R1692" s="26" t="s">
        <v>43</v>
      </c>
      <c r="S1692" s="26"/>
      <c r="T1692" s="26"/>
      <c r="U1692" s="26"/>
      <c r="V1692" s="26"/>
      <c r="W1692" s="26"/>
      <c r="X1692" s="26"/>
    </row>
    <row r="1693" spans="1:24">
      <c r="A1693" s="32" t="s">
        <v>31</v>
      </c>
      <c r="B1693" s="32" t="s">
        <v>6560</v>
      </c>
      <c r="C1693" s="32" t="s">
        <v>6561</v>
      </c>
      <c r="D1693" s="32">
        <f t="shared" si="28"/>
        <v>-1</v>
      </c>
      <c r="E1693" s="32" t="s">
        <v>34</v>
      </c>
      <c r="F1693" s="32" t="s">
        <v>6463</v>
      </c>
      <c r="G1693" s="32" t="s">
        <v>6562</v>
      </c>
      <c r="H1693" s="32" t="s">
        <v>37</v>
      </c>
      <c r="I1693" s="32" t="s">
        <v>38</v>
      </c>
      <c r="J1693" s="32" t="s">
        <v>6552</v>
      </c>
      <c r="K1693" s="32" t="s">
        <v>6553</v>
      </c>
      <c r="L1693" s="32">
        <v>49358.2</v>
      </c>
      <c r="M1693" s="32">
        <v>0</v>
      </c>
      <c r="N1693" s="32">
        <v>0</v>
      </c>
      <c r="O1693" s="32">
        <v>309138.2</v>
      </c>
      <c r="P1693" s="32" t="s">
        <v>41</v>
      </c>
      <c r="Q1693" s="32" t="s">
        <v>42</v>
      </c>
      <c r="R1693" s="26" t="s">
        <v>43</v>
      </c>
      <c r="S1693" s="26"/>
      <c r="T1693" s="26"/>
      <c r="U1693" s="26"/>
      <c r="V1693" s="26"/>
      <c r="W1693" s="26"/>
      <c r="X1693" s="26"/>
    </row>
    <row r="1694" spans="1:24">
      <c r="A1694" s="32" t="s">
        <v>31</v>
      </c>
      <c r="B1694" s="32" t="s">
        <v>6563</v>
      </c>
      <c r="C1694" s="32" t="s">
        <v>6564</v>
      </c>
      <c r="D1694" s="32">
        <f t="shared" si="28"/>
        <v>-1</v>
      </c>
      <c r="E1694" s="32" t="s">
        <v>34</v>
      </c>
      <c r="F1694" s="32" t="s">
        <v>6463</v>
      </c>
      <c r="G1694" s="32" t="s">
        <v>6565</v>
      </c>
      <c r="H1694" s="32" t="s">
        <v>37</v>
      </c>
      <c r="I1694" s="32" t="s">
        <v>38</v>
      </c>
      <c r="J1694" s="32" t="s">
        <v>6566</v>
      </c>
      <c r="K1694" s="32" t="s">
        <v>6567</v>
      </c>
      <c r="L1694" s="32">
        <v>80750</v>
      </c>
      <c r="M1694" s="32">
        <v>0</v>
      </c>
      <c r="N1694" s="32">
        <v>0</v>
      </c>
      <c r="O1694" s="32">
        <v>1695750</v>
      </c>
      <c r="P1694" s="32" t="s">
        <v>41</v>
      </c>
      <c r="Q1694" s="32" t="s">
        <v>42</v>
      </c>
      <c r="R1694" s="26" t="s">
        <v>43</v>
      </c>
      <c r="S1694" s="26"/>
      <c r="T1694" s="26"/>
      <c r="U1694" s="26"/>
      <c r="V1694" s="26"/>
      <c r="W1694" s="26"/>
      <c r="X1694" s="26"/>
    </row>
    <row r="1695" spans="1:24">
      <c r="A1695" s="32" t="s">
        <v>31</v>
      </c>
      <c r="B1695" s="32" t="s">
        <v>6568</v>
      </c>
      <c r="C1695" s="32" t="s">
        <v>6569</v>
      </c>
      <c r="D1695" s="32">
        <f t="shared" si="28"/>
        <v>-1</v>
      </c>
      <c r="E1695" s="32" t="s">
        <v>34</v>
      </c>
      <c r="F1695" s="32" t="s">
        <v>6463</v>
      </c>
      <c r="G1695" s="32" t="s">
        <v>6570</v>
      </c>
      <c r="H1695" s="32" t="s">
        <v>37</v>
      </c>
      <c r="I1695" s="32" t="s">
        <v>38</v>
      </c>
      <c r="J1695" s="32" t="s">
        <v>6566</v>
      </c>
      <c r="K1695" s="32" t="s">
        <v>6567</v>
      </c>
      <c r="L1695" s="32">
        <v>143993.4</v>
      </c>
      <c r="M1695" s="32">
        <v>0</v>
      </c>
      <c r="N1695" s="32">
        <v>0</v>
      </c>
      <c r="O1695" s="32">
        <v>901853.4</v>
      </c>
      <c r="P1695" s="32" t="s">
        <v>41</v>
      </c>
      <c r="Q1695" s="32" t="s">
        <v>42</v>
      </c>
      <c r="R1695" s="26" t="s">
        <v>43</v>
      </c>
      <c r="S1695" s="26"/>
      <c r="T1695" s="26"/>
      <c r="U1695" s="26"/>
      <c r="V1695" s="26"/>
      <c r="W1695" s="26"/>
      <c r="X1695" s="26"/>
    </row>
    <row r="1696" spans="1:24">
      <c r="A1696" s="32" t="s">
        <v>31</v>
      </c>
      <c r="B1696" s="32" t="s">
        <v>6571</v>
      </c>
      <c r="C1696" s="32" t="s">
        <v>6572</v>
      </c>
      <c r="D1696" s="32">
        <f t="shared" si="28"/>
        <v>-1</v>
      </c>
      <c r="E1696" s="32" t="s">
        <v>34</v>
      </c>
      <c r="F1696" s="32" t="s">
        <v>6463</v>
      </c>
      <c r="G1696" s="32" t="s">
        <v>6573</v>
      </c>
      <c r="H1696" s="32" t="s">
        <v>37</v>
      </c>
      <c r="I1696" s="32" t="s">
        <v>38</v>
      </c>
      <c r="J1696" s="32" t="s">
        <v>2415</v>
      </c>
      <c r="K1696" s="32" t="s">
        <v>2416</v>
      </c>
      <c r="L1696" s="32">
        <v>114271.7</v>
      </c>
      <c r="M1696" s="32">
        <v>0</v>
      </c>
      <c r="N1696" s="32">
        <v>0</v>
      </c>
      <c r="O1696" s="32">
        <v>715701.7</v>
      </c>
      <c r="P1696" s="32" t="s">
        <v>41</v>
      </c>
      <c r="Q1696" s="32" t="s">
        <v>42</v>
      </c>
      <c r="R1696" s="26" t="s">
        <v>43</v>
      </c>
      <c r="S1696" s="26"/>
      <c r="T1696" s="26"/>
      <c r="U1696" s="26"/>
      <c r="V1696" s="26"/>
      <c r="W1696" s="26"/>
      <c r="X1696" s="26"/>
    </row>
    <row r="1697" spans="1:24">
      <c r="A1697" s="32" t="s">
        <v>31</v>
      </c>
      <c r="B1697" s="32" t="s">
        <v>6574</v>
      </c>
      <c r="C1697" s="32" t="s">
        <v>6575</v>
      </c>
      <c r="D1697" s="32">
        <f t="shared" si="28"/>
        <v>-1</v>
      </c>
      <c r="E1697" s="32" t="s">
        <v>34</v>
      </c>
      <c r="F1697" s="32" t="s">
        <v>6463</v>
      </c>
      <c r="G1697" s="32" t="s">
        <v>6576</v>
      </c>
      <c r="H1697" s="32" t="s">
        <v>37</v>
      </c>
      <c r="I1697" s="32" t="s">
        <v>38</v>
      </c>
      <c r="J1697" s="32" t="s">
        <v>880</v>
      </c>
      <c r="K1697" s="32" t="s">
        <v>881</v>
      </c>
      <c r="L1697" s="32">
        <v>400323.35</v>
      </c>
      <c r="M1697" s="32">
        <v>0</v>
      </c>
      <c r="N1697" s="32">
        <v>0</v>
      </c>
      <c r="O1697" s="32">
        <v>2507288.35</v>
      </c>
      <c r="P1697" s="32" t="s">
        <v>41</v>
      </c>
      <c r="Q1697" s="32" t="s">
        <v>42</v>
      </c>
      <c r="R1697" s="26" t="s">
        <v>43</v>
      </c>
      <c r="S1697" s="26"/>
      <c r="T1697" s="26"/>
      <c r="U1697" s="26"/>
      <c r="V1697" s="26"/>
      <c r="W1697" s="26"/>
      <c r="X1697" s="26"/>
    </row>
    <row r="1698" spans="1:24">
      <c r="A1698" s="26" t="s">
        <v>31</v>
      </c>
      <c r="B1698" s="26" t="s">
        <v>6577</v>
      </c>
      <c r="C1698" s="26" t="s">
        <v>6578</v>
      </c>
      <c r="D1698" s="26">
        <f t="shared" si="28"/>
        <v>-1</v>
      </c>
      <c r="E1698" s="26" t="s">
        <v>34</v>
      </c>
      <c r="F1698" s="26" t="s">
        <v>6463</v>
      </c>
      <c r="G1698" s="26" t="s">
        <v>6579</v>
      </c>
      <c r="H1698" s="26" t="s">
        <v>37</v>
      </c>
      <c r="I1698" s="26" t="s">
        <v>38</v>
      </c>
      <c r="J1698" s="26" t="s">
        <v>5562</v>
      </c>
      <c r="K1698" s="26" t="s">
        <v>5563</v>
      </c>
      <c r="L1698" s="26">
        <v>209953.8</v>
      </c>
      <c r="M1698" s="26">
        <v>0</v>
      </c>
      <c r="N1698" s="26">
        <v>0</v>
      </c>
      <c r="O1698" s="26">
        <v>1314973.8</v>
      </c>
      <c r="P1698" s="26" t="s">
        <v>41</v>
      </c>
      <c r="Q1698" s="26" t="s">
        <v>42</v>
      </c>
      <c r="R1698" s="26"/>
      <c r="S1698" s="26"/>
      <c r="T1698" s="26"/>
      <c r="U1698" s="26"/>
      <c r="V1698" s="26" t="s">
        <v>43</v>
      </c>
      <c r="W1698" s="26"/>
      <c r="X1698" s="26"/>
    </row>
    <row r="1699" spans="1:24">
      <c r="A1699" s="26" t="s">
        <v>31</v>
      </c>
      <c r="B1699" s="26" t="s">
        <v>6580</v>
      </c>
      <c r="C1699" s="26" t="s">
        <v>6581</v>
      </c>
      <c r="D1699" s="26">
        <f t="shared" si="28"/>
        <v>-1</v>
      </c>
      <c r="E1699" s="26" t="s">
        <v>34</v>
      </c>
      <c r="F1699" s="26" t="s">
        <v>6463</v>
      </c>
      <c r="G1699" s="26" t="s">
        <v>6582</v>
      </c>
      <c r="H1699" s="26" t="s">
        <v>37</v>
      </c>
      <c r="I1699" s="26" t="s">
        <v>38</v>
      </c>
      <c r="J1699" s="26" t="s">
        <v>5562</v>
      </c>
      <c r="K1699" s="26" t="s">
        <v>5563</v>
      </c>
      <c r="L1699" s="26">
        <v>2507126.5699999998</v>
      </c>
      <c r="M1699" s="26">
        <v>0</v>
      </c>
      <c r="N1699" s="26">
        <v>0</v>
      </c>
      <c r="O1699" s="26">
        <v>15702529.57</v>
      </c>
      <c r="P1699" s="26" t="s">
        <v>41</v>
      </c>
      <c r="Q1699" s="26" t="s">
        <v>42</v>
      </c>
      <c r="R1699" s="26"/>
      <c r="S1699" s="26"/>
      <c r="T1699" s="26"/>
      <c r="U1699" s="26"/>
      <c r="V1699" s="26" t="s">
        <v>43</v>
      </c>
      <c r="W1699" s="26"/>
      <c r="X1699" s="26"/>
    </row>
    <row r="1700" spans="1:24">
      <c r="A1700" s="26" t="s">
        <v>31</v>
      </c>
      <c r="B1700" s="26" t="s">
        <v>6583</v>
      </c>
      <c r="C1700" s="26" t="s">
        <v>6584</v>
      </c>
      <c r="D1700" s="26">
        <f t="shared" si="28"/>
        <v>-1</v>
      </c>
      <c r="E1700" s="26" t="s">
        <v>34</v>
      </c>
      <c r="F1700" s="26" t="s">
        <v>6463</v>
      </c>
      <c r="G1700" s="26" t="s">
        <v>6585</v>
      </c>
      <c r="H1700" s="26" t="s">
        <v>37</v>
      </c>
      <c r="I1700" s="26" t="s">
        <v>38</v>
      </c>
      <c r="J1700" s="26" t="s">
        <v>6586</v>
      </c>
      <c r="K1700" s="26" t="s">
        <v>6587</v>
      </c>
      <c r="L1700" s="26">
        <v>268755</v>
      </c>
      <c r="M1700" s="26">
        <v>0</v>
      </c>
      <c r="N1700" s="26">
        <v>0</v>
      </c>
      <c r="O1700" s="26">
        <v>1683255</v>
      </c>
      <c r="P1700" s="26" t="s">
        <v>41</v>
      </c>
      <c r="Q1700" s="26" t="s">
        <v>42</v>
      </c>
      <c r="R1700" s="26"/>
      <c r="S1700" s="26"/>
      <c r="T1700" s="26"/>
      <c r="U1700" s="26"/>
      <c r="V1700" s="26" t="s">
        <v>43</v>
      </c>
      <c r="W1700" s="26"/>
      <c r="X1700" s="26"/>
    </row>
    <row r="1701" spans="1:24">
      <c r="A1701" s="26" t="s">
        <v>31</v>
      </c>
      <c r="B1701" s="26" t="s">
        <v>6588</v>
      </c>
      <c r="C1701" s="26" t="s">
        <v>6589</v>
      </c>
      <c r="D1701" s="26">
        <f t="shared" si="28"/>
        <v>-1</v>
      </c>
      <c r="E1701" s="26" t="s">
        <v>34</v>
      </c>
      <c r="F1701" s="26" t="s">
        <v>6463</v>
      </c>
      <c r="G1701" s="26" t="s">
        <v>6590</v>
      </c>
      <c r="H1701" s="26" t="s">
        <v>37</v>
      </c>
      <c r="I1701" s="26" t="s">
        <v>38</v>
      </c>
      <c r="J1701" s="26" t="s">
        <v>2260</v>
      </c>
      <c r="K1701" s="26" t="s">
        <v>2261</v>
      </c>
      <c r="L1701" s="26">
        <v>52945</v>
      </c>
      <c r="M1701" s="26">
        <v>0</v>
      </c>
      <c r="N1701" s="26">
        <v>0</v>
      </c>
      <c r="O1701" s="26">
        <v>682045</v>
      </c>
      <c r="P1701" s="26" t="s">
        <v>41</v>
      </c>
      <c r="Q1701" s="26" t="s">
        <v>42</v>
      </c>
      <c r="R1701" s="26"/>
      <c r="S1701" s="26"/>
      <c r="T1701" s="26"/>
      <c r="U1701" s="26"/>
      <c r="V1701" s="26" t="s">
        <v>43</v>
      </c>
      <c r="W1701" s="26"/>
      <c r="X1701" s="26"/>
    </row>
    <row r="1702" spans="1:24">
      <c r="A1702" s="26" t="s">
        <v>31</v>
      </c>
      <c r="B1702" s="26" t="s">
        <v>6591</v>
      </c>
      <c r="C1702" s="26" t="s">
        <v>6592</v>
      </c>
      <c r="D1702" s="26">
        <f t="shared" si="28"/>
        <v>-1</v>
      </c>
      <c r="E1702" s="26" t="s">
        <v>34</v>
      </c>
      <c r="F1702" s="26" t="s">
        <v>6463</v>
      </c>
      <c r="G1702" s="26" t="s">
        <v>6593</v>
      </c>
      <c r="H1702" s="26" t="s">
        <v>37</v>
      </c>
      <c r="I1702" s="26" t="s">
        <v>38</v>
      </c>
      <c r="J1702" s="26" t="s">
        <v>1619</v>
      </c>
      <c r="K1702" s="26" t="s">
        <v>1620</v>
      </c>
      <c r="L1702" s="26">
        <v>7346.35</v>
      </c>
      <c r="M1702" s="26">
        <v>0</v>
      </c>
      <c r="N1702" s="26">
        <v>0</v>
      </c>
      <c r="O1702" s="26">
        <v>188301.35</v>
      </c>
      <c r="P1702" s="26" t="s">
        <v>41</v>
      </c>
      <c r="Q1702" s="26" t="s">
        <v>42</v>
      </c>
      <c r="R1702" s="26"/>
      <c r="S1702" s="26"/>
      <c r="T1702" s="26"/>
      <c r="U1702" s="26"/>
      <c r="V1702" s="26" t="s">
        <v>43</v>
      </c>
      <c r="W1702" s="26"/>
      <c r="X1702" s="26"/>
    </row>
    <row r="1703" spans="1:24">
      <c r="A1703" s="26" t="s">
        <v>31</v>
      </c>
      <c r="B1703" s="26" t="s">
        <v>6594</v>
      </c>
      <c r="C1703" s="26" t="s">
        <v>6595</v>
      </c>
      <c r="D1703" s="26">
        <f t="shared" si="28"/>
        <v>-1</v>
      </c>
      <c r="E1703" s="26" t="s">
        <v>34</v>
      </c>
      <c r="F1703" s="26" t="s">
        <v>6463</v>
      </c>
      <c r="G1703" s="26" t="s">
        <v>6596</v>
      </c>
      <c r="H1703" s="26" t="s">
        <v>37</v>
      </c>
      <c r="I1703" s="26" t="s">
        <v>38</v>
      </c>
      <c r="J1703" s="26" t="s">
        <v>6597</v>
      </c>
      <c r="K1703" s="26" t="s">
        <v>6598</v>
      </c>
      <c r="L1703" s="26">
        <v>83600</v>
      </c>
      <c r="M1703" s="26">
        <v>0</v>
      </c>
      <c r="N1703" s="26">
        <v>0</v>
      </c>
      <c r="O1703" s="26">
        <v>523600</v>
      </c>
      <c r="P1703" s="26" t="s">
        <v>41</v>
      </c>
      <c r="Q1703" s="26" t="s">
        <v>42</v>
      </c>
      <c r="R1703" s="26"/>
      <c r="S1703" s="26"/>
      <c r="T1703" s="26"/>
      <c r="U1703" s="26"/>
      <c r="V1703" s="26" t="s">
        <v>43</v>
      </c>
      <c r="W1703" s="26"/>
      <c r="X1703" s="26"/>
    </row>
    <row r="1704" spans="1:24">
      <c r="A1704" s="32" t="s">
        <v>31</v>
      </c>
      <c r="B1704" s="32" t="s">
        <v>6599</v>
      </c>
      <c r="C1704" s="32" t="s">
        <v>6600</v>
      </c>
      <c r="D1704" s="32">
        <f t="shared" si="28"/>
        <v>-1</v>
      </c>
      <c r="E1704" s="32" t="s">
        <v>34</v>
      </c>
      <c r="F1704" s="32" t="s">
        <v>6463</v>
      </c>
      <c r="G1704" s="32" t="s">
        <v>6601</v>
      </c>
      <c r="H1704" s="32" t="s">
        <v>37</v>
      </c>
      <c r="I1704" s="32" t="s">
        <v>38</v>
      </c>
      <c r="J1704" s="32" t="s">
        <v>788</v>
      </c>
      <c r="K1704" s="32" t="s">
        <v>789</v>
      </c>
      <c r="L1704" s="32">
        <v>817112.1</v>
      </c>
      <c r="M1704" s="32">
        <v>0</v>
      </c>
      <c r="N1704" s="32">
        <v>0</v>
      </c>
      <c r="O1704" s="32">
        <v>5133862.0999999996</v>
      </c>
      <c r="P1704" s="32" t="s">
        <v>41</v>
      </c>
      <c r="Q1704" s="32" t="s">
        <v>42</v>
      </c>
      <c r="R1704" s="26" t="s">
        <v>43</v>
      </c>
      <c r="S1704" s="26"/>
      <c r="T1704" s="26"/>
      <c r="U1704" s="26"/>
      <c r="V1704" s="26"/>
      <c r="W1704" s="26"/>
      <c r="X1704" s="26"/>
    </row>
    <row r="1705" spans="1:24">
      <c r="A1705" s="32" t="s">
        <v>31</v>
      </c>
      <c r="B1705" s="32" t="s">
        <v>6602</v>
      </c>
      <c r="C1705" s="32" t="s">
        <v>6603</v>
      </c>
      <c r="D1705" s="32">
        <f t="shared" ref="D1705:D1768" si="29">C1705-C1706</f>
        <v>-1</v>
      </c>
      <c r="E1705" s="32" t="s">
        <v>34</v>
      </c>
      <c r="F1705" s="32" t="s">
        <v>6463</v>
      </c>
      <c r="G1705" s="32" t="s">
        <v>6604</v>
      </c>
      <c r="H1705" s="32" t="s">
        <v>37</v>
      </c>
      <c r="I1705" s="32" t="s">
        <v>38</v>
      </c>
      <c r="J1705" s="32" t="s">
        <v>383</v>
      </c>
      <c r="K1705" s="32" t="s">
        <v>384</v>
      </c>
      <c r="L1705" s="32">
        <v>738530</v>
      </c>
      <c r="M1705" s="32">
        <v>0</v>
      </c>
      <c r="N1705" s="32">
        <v>0</v>
      </c>
      <c r="O1705" s="32">
        <v>4625530</v>
      </c>
      <c r="P1705" s="32" t="s">
        <v>41</v>
      </c>
      <c r="Q1705" s="32" t="s">
        <v>42</v>
      </c>
      <c r="R1705" s="26" t="s">
        <v>43</v>
      </c>
      <c r="S1705" s="26"/>
      <c r="T1705" s="26"/>
      <c r="U1705" s="26"/>
      <c r="V1705" s="26"/>
      <c r="W1705" s="26"/>
      <c r="X1705" s="26"/>
    </row>
    <row r="1706" spans="1:24">
      <c r="A1706" s="26" t="s">
        <v>31</v>
      </c>
      <c r="B1706" s="26" t="s">
        <v>6605</v>
      </c>
      <c r="C1706" s="26" t="s">
        <v>6606</v>
      </c>
      <c r="D1706" s="26">
        <f t="shared" si="29"/>
        <v>-1</v>
      </c>
      <c r="E1706" s="26" t="s">
        <v>34</v>
      </c>
      <c r="F1706" s="26" t="s">
        <v>6463</v>
      </c>
      <c r="G1706" s="26" t="s">
        <v>6607</v>
      </c>
      <c r="H1706" s="26" t="s">
        <v>37</v>
      </c>
      <c r="I1706" s="26" t="s">
        <v>38</v>
      </c>
      <c r="J1706" s="26" t="s">
        <v>5704</v>
      </c>
      <c r="K1706" s="26" t="s">
        <v>5705</v>
      </c>
      <c r="L1706" s="26">
        <v>120615.42</v>
      </c>
      <c r="M1706" s="26">
        <v>0</v>
      </c>
      <c r="N1706" s="26">
        <v>0</v>
      </c>
      <c r="O1706" s="26">
        <v>755433.42</v>
      </c>
      <c r="P1706" s="26" t="s">
        <v>41</v>
      </c>
      <c r="Q1706" s="26" t="s">
        <v>42</v>
      </c>
      <c r="R1706" s="26"/>
      <c r="S1706" s="26"/>
      <c r="T1706" s="26"/>
      <c r="U1706" s="26"/>
      <c r="V1706" s="26" t="s">
        <v>43</v>
      </c>
      <c r="W1706" s="26"/>
      <c r="X1706" s="26"/>
    </row>
    <row r="1707" spans="1:24">
      <c r="A1707" s="26" t="s">
        <v>31</v>
      </c>
      <c r="B1707" s="26" t="s">
        <v>6608</v>
      </c>
      <c r="C1707" s="26" t="s">
        <v>6609</v>
      </c>
      <c r="D1707" s="26">
        <f t="shared" si="29"/>
        <v>-1</v>
      </c>
      <c r="E1707" s="26" t="s">
        <v>34</v>
      </c>
      <c r="F1707" s="26" t="s">
        <v>6463</v>
      </c>
      <c r="G1707" s="26" t="s">
        <v>6610</v>
      </c>
      <c r="H1707" s="26" t="s">
        <v>37</v>
      </c>
      <c r="I1707" s="26" t="s">
        <v>38</v>
      </c>
      <c r="J1707" s="26" t="s">
        <v>2511</v>
      </c>
      <c r="K1707" s="26" t="s">
        <v>2512</v>
      </c>
      <c r="L1707" s="26">
        <v>31558.43</v>
      </c>
      <c r="M1707" s="26">
        <v>0</v>
      </c>
      <c r="N1707" s="26">
        <v>0</v>
      </c>
      <c r="O1707" s="26">
        <v>197655.43</v>
      </c>
      <c r="P1707" s="26" t="s">
        <v>41</v>
      </c>
      <c r="Q1707" s="26" t="s">
        <v>42</v>
      </c>
      <c r="R1707" s="26"/>
      <c r="S1707" s="26"/>
      <c r="T1707" s="26"/>
      <c r="U1707" s="26"/>
      <c r="V1707" s="26" t="s">
        <v>43</v>
      </c>
      <c r="W1707" s="26"/>
      <c r="X1707" s="26"/>
    </row>
    <row r="1708" spans="1:24">
      <c r="A1708" s="31" t="s">
        <v>31</v>
      </c>
      <c r="B1708" s="31" t="s">
        <v>6611</v>
      </c>
      <c r="C1708" s="31" t="s">
        <v>6612</v>
      </c>
      <c r="D1708" s="31">
        <f t="shared" si="29"/>
        <v>-1</v>
      </c>
      <c r="E1708" s="31" t="s">
        <v>34</v>
      </c>
      <c r="F1708" s="31" t="s">
        <v>6463</v>
      </c>
      <c r="G1708" s="31" t="s">
        <v>6613</v>
      </c>
      <c r="H1708" s="31" t="s">
        <v>37</v>
      </c>
      <c r="I1708" s="31" t="s">
        <v>38</v>
      </c>
      <c r="J1708" s="31" t="s">
        <v>793</v>
      </c>
      <c r="K1708" s="31" t="s">
        <v>794</v>
      </c>
      <c r="L1708" s="31">
        <v>17670</v>
      </c>
      <c r="M1708" s="31">
        <v>0</v>
      </c>
      <c r="N1708" s="31">
        <v>0</v>
      </c>
      <c r="O1708" s="31">
        <v>110670</v>
      </c>
      <c r="P1708" s="31" t="s">
        <v>41</v>
      </c>
      <c r="Q1708" s="31" t="s">
        <v>42</v>
      </c>
      <c r="R1708" s="26"/>
      <c r="S1708" s="26"/>
      <c r="T1708" s="26"/>
      <c r="U1708" s="26" t="s">
        <v>43</v>
      </c>
      <c r="V1708" s="26"/>
      <c r="W1708" s="26"/>
      <c r="X1708" s="26"/>
    </row>
    <row r="1709" spans="1:24">
      <c r="A1709" s="32" t="s">
        <v>31</v>
      </c>
      <c r="B1709" s="32" t="s">
        <v>6614</v>
      </c>
      <c r="C1709" s="32" t="s">
        <v>6615</v>
      </c>
      <c r="D1709" s="32">
        <f t="shared" si="29"/>
        <v>-1</v>
      </c>
      <c r="E1709" s="32" t="s">
        <v>34</v>
      </c>
      <c r="F1709" s="32" t="s">
        <v>6463</v>
      </c>
      <c r="G1709" s="32" t="s">
        <v>6616</v>
      </c>
      <c r="H1709" s="32" t="s">
        <v>37</v>
      </c>
      <c r="I1709" s="32" t="s">
        <v>38</v>
      </c>
      <c r="J1709" s="32" t="s">
        <v>6617</v>
      </c>
      <c r="K1709" s="32" t="s">
        <v>6618</v>
      </c>
      <c r="L1709" s="32">
        <v>237789.56</v>
      </c>
      <c r="M1709" s="32">
        <v>0</v>
      </c>
      <c r="N1709" s="32">
        <v>0</v>
      </c>
      <c r="O1709" s="32">
        <v>1489313.56</v>
      </c>
      <c r="P1709" s="32" t="s">
        <v>41</v>
      </c>
      <c r="Q1709" s="32" t="s">
        <v>42</v>
      </c>
      <c r="R1709" s="26" t="s">
        <v>43</v>
      </c>
      <c r="S1709" s="26"/>
      <c r="T1709" s="26"/>
      <c r="U1709" s="26"/>
      <c r="V1709" s="26"/>
      <c r="W1709" s="26"/>
      <c r="X1709" s="26"/>
    </row>
    <row r="1710" spans="1:24">
      <c r="A1710" s="32" t="s">
        <v>31</v>
      </c>
      <c r="B1710" s="32" t="s">
        <v>6619</v>
      </c>
      <c r="C1710" s="32" t="s">
        <v>6620</v>
      </c>
      <c r="D1710" s="32">
        <f t="shared" si="29"/>
        <v>-1</v>
      </c>
      <c r="E1710" s="32" t="s">
        <v>34</v>
      </c>
      <c r="F1710" s="32" t="s">
        <v>6463</v>
      </c>
      <c r="G1710" s="32" t="s">
        <v>6621</v>
      </c>
      <c r="H1710" s="32" t="s">
        <v>37</v>
      </c>
      <c r="I1710" s="32" t="s">
        <v>38</v>
      </c>
      <c r="J1710" s="32" t="s">
        <v>6617</v>
      </c>
      <c r="K1710" s="32" t="s">
        <v>6618</v>
      </c>
      <c r="L1710" s="32">
        <v>98979.93</v>
      </c>
      <c r="M1710" s="32">
        <v>0</v>
      </c>
      <c r="N1710" s="32">
        <v>0</v>
      </c>
      <c r="O1710" s="32">
        <v>619926.93000000005</v>
      </c>
      <c r="P1710" s="32" t="s">
        <v>41</v>
      </c>
      <c r="Q1710" s="32" t="s">
        <v>42</v>
      </c>
      <c r="R1710" s="26" t="s">
        <v>43</v>
      </c>
      <c r="S1710" s="26"/>
      <c r="T1710" s="26"/>
      <c r="U1710" s="26"/>
      <c r="V1710" s="26"/>
      <c r="W1710" s="26"/>
      <c r="X1710" s="26"/>
    </row>
    <row r="1711" spans="1:24">
      <c r="A1711" s="35" t="s">
        <v>31</v>
      </c>
      <c r="B1711" s="35" t="s">
        <v>6622</v>
      </c>
      <c r="C1711" s="35" t="s">
        <v>6623</v>
      </c>
      <c r="D1711" s="35">
        <f t="shared" si="29"/>
        <v>-1</v>
      </c>
      <c r="E1711" s="35" t="s">
        <v>34</v>
      </c>
      <c r="F1711" s="35" t="s">
        <v>6463</v>
      </c>
      <c r="G1711" s="35" t="s">
        <v>6624</v>
      </c>
      <c r="H1711" s="35" t="s">
        <v>37</v>
      </c>
      <c r="I1711" s="35" t="s">
        <v>38</v>
      </c>
      <c r="J1711" s="35" t="s">
        <v>1634</v>
      </c>
      <c r="K1711" s="35" t="s">
        <v>1635</v>
      </c>
      <c r="L1711" s="35">
        <v>978500</v>
      </c>
      <c r="M1711" s="35">
        <v>0</v>
      </c>
      <c r="N1711" s="35">
        <v>0</v>
      </c>
      <c r="O1711" s="35">
        <v>6128500</v>
      </c>
      <c r="P1711" s="35" t="s">
        <v>41</v>
      </c>
      <c r="Q1711" s="35" t="s">
        <v>42</v>
      </c>
      <c r="R1711" s="26"/>
      <c r="S1711" s="26"/>
      <c r="T1711" s="26"/>
      <c r="U1711" s="26"/>
      <c r="V1711" s="26"/>
      <c r="W1711" s="35" t="s">
        <v>43</v>
      </c>
      <c r="X1711" s="26" t="s">
        <v>647</v>
      </c>
    </row>
    <row r="1712" spans="1:24">
      <c r="A1712" s="34" t="s">
        <v>31</v>
      </c>
      <c r="B1712" s="34" t="s">
        <v>6625</v>
      </c>
      <c r="C1712" s="34" t="s">
        <v>6626</v>
      </c>
      <c r="D1712" s="34">
        <f t="shared" si="29"/>
        <v>-1</v>
      </c>
      <c r="E1712" s="34" t="s">
        <v>34</v>
      </c>
      <c r="F1712" s="34" t="s">
        <v>6463</v>
      </c>
      <c r="G1712" s="34" t="s">
        <v>6627</v>
      </c>
      <c r="H1712" s="34" t="s">
        <v>37</v>
      </c>
      <c r="I1712" s="34" t="s">
        <v>38</v>
      </c>
      <c r="J1712" s="34" t="s">
        <v>6628</v>
      </c>
      <c r="K1712" s="34" t="s">
        <v>6629</v>
      </c>
      <c r="L1712" s="34">
        <v>36100</v>
      </c>
      <c r="M1712" s="34">
        <v>0</v>
      </c>
      <c r="N1712" s="34">
        <v>0</v>
      </c>
      <c r="O1712" s="34">
        <v>226100</v>
      </c>
      <c r="P1712" s="34" t="s">
        <v>41</v>
      </c>
      <c r="Q1712" s="34" t="s">
        <v>42</v>
      </c>
      <c r="R1712" s="26"/>
      <c r="S1712" s="26"/>
      <c r="T1712" s="26" t="s">
        <v>43</v>
      </c>
      <c r="U1712" s="26"/>
      <c r="V1712" s="26"/>
      <c r="W1712" s="26"/>
      <c r="X1712" s="26"/>
    </row>
    <row r="1713" spans="1:24">
      <c r="A1713" s="26" t="s">
        <v>31</v>
      </c>
      <c r="B1713" s="26" t="s">
        <v>6630</v>
      </c>
      <c r="C1713" s="26" t="s">
        <v>6631</v>
      </c>
      <c r="D1713" s="26">
        <f t="shared" si="29"/>
        <v>-1</v>
      </c>
      <c r="E1713" s="26" t="s">
        <v>34</v>
      </c>
      <c r="F1713" s="26" t="s">
        <v>6463</v>
      </c>
      <c r="G1713" s="26" t="s">
        <v>6632</v>
      </c>
      <c r="H1713" s="26" t="s">
        <v>37</v>
      </c>
      <c r="I1713" s="26" t="s">
        <v>38</v>
      </c>
      <c r="J1713" s="26" t="s">
        <v>4836</v>
      </c>
      <c r="K1713" s="26" t="s">
        <v>4837</v>
      </c>
      <c r="L1713" s="26">
        <v>0</v>
      </c>
      <c r="M1713" s="26">
        <v>0</v>
      </c>
      <c r="N1713" s="26">
        <v>0</v>
      </c>
      <c r="O1713" s="26">
        <v>825000</v>
      </c>
      <c r="P1713" s="26" t="s">
        <v>41</v>
      </c>
      <c r="Q1713" s="26" t="s">
        <v>42</v>
      </c>
      <c r="R1713" s="26"/>
      <c r="S1713" s="26"/>
      <c r="T1713" s="26"/>
      <c r="U1713" s="26"/>
      <c r="V1713" s="26" t="s">
        <v>43</v>
      </c>
      <c r="W1713" s="26"/>
      <c r="X1713" s="26"/>
    </row>
    <row r="1714" spans="1:24">
      <c r="A1714" s="26" t="s">
        <v>31</v>
      </c>
      <c r="B1714" s="26" t="s">
        <v>6633</v>
      </c>
      <c r="C1714" s="26" t="s">
        <v>6634</v>
      </c>
      <c r="D1714" s="26">
        <f t="shared" si="29"/>
        <v>-1</v>
      </c>
      <c r="E1714" s="26" t="s">
        <v>34</v>
      </c>
      <c r="F1714" s="26" t="s">
        <v>6463</v>
      </c>
      <c r="G1714" s="26" t="s">
        <v>6635</v>
      </c>
      <c r="H1714" s="26" t="s">
        <v>37</v>
      </c>
      <c r="I1714" s="26" t="s">
        <v>38</v>
      </c>
      <c r="J1714" s="26" t="s">
        <v>4836</v>
      </c>
      <c r="K1714" s="26" t="s">
        <v>4837</v>
      </c>
      <c r="L1714" s="26">
        <v>0</v>
      </c>
      <c r="M1714" s="26">
        <v>0</v>
      </c>
      <c r="N1714" s="26">
        <v>0</v>
      </c>
      <c r="O1714" s="26">
        <v>275000</v>
      </c>
      <c r="P1714" s="26" t="s">
        <v>41</v>
      </c>
      <c r="Q1714" s="26" t="s">
        <v>42</v>
      </c>
      <c r="R1714" s="26"/>
      <c r="S1714" s="26"/>
      <c r="T1714" s="26"/>
      <c r="U1714" s="26"/>
      <c r="V1714" s="26" t="s">
        <v>43</v>
      </c>
      <c r="W1714" s="26"/>
      <c r="X1714" s="26"/>
    </row>
    <row r="1715" spans="1:24">
      <c r="A1715" s="26" t="s">
        <v>31</v>
      </c>
      <c r="B1715" s="26" t="s">
        <v>6636</v>
      </c>
      <c r="C1715" s="26" t="s">
        <v>6637</v>
      </c>
      <c r="D1715" s="26">
        <f t="shared" si="29"/>
        <v>-1</v>
      </c>
      <c r="E1715" s="26" t="s">
        <v>34</v>
      </c>
      <c r="F1715" s="26" t="s">
        <v>6463</v>
      </c>
      <c r="G1715" s="26" t="s">
        <v>6638</v>
      </c>
      <c r="H1715" s="26" t="s">
        <v>37</v>
      </c>
      <c r="I1715" s="26" t="s">
        <v>38</v>
      </c>
      <c r="J1715" s="26" t="s">
        <v>4836</v>
      </c>
      <c r="K1715" s="26" t="s">
        <v>4837</v>
      </c>
      <c r="L1715" s="26">
        <v>0</v>
      </c>
      <c r="M1715" s="26">
        <v>0</v>
      </c>
      <c r="N1715" s="26">
        <v>0</v>
      </c>
      <c r="O1715" s="26">
        <v>250000</v>
      </c>
      <c r="P1715" s="26" t="s">
        <v>41</v>
      </c>
      <c r="Q1715" s="26" t="s">
        <v>42</v>
      </c>
      <c r="R1715" s="26"/>
      <c r="S1715" s="26"/>
      <c r="T1715" s="26"/>
      <c r="U1715" s="26"/>
      <c r="V1715" s="26" t="s">
        <v>43</v>
      </c>
      <c r="W1715" s="26"/>
      <c r="X1715" s="26"/>
    </row>
    <row r="1716" spans="1:24">
      <c r="A1716" s="26" t="s">
        <v>31</v>
      </c>
      <c r="B1716" s="26" t="s">
        <v>6639</v>
      </c>
      <c r="C1716" s="26" t="s">
        <v>6640</v>
      </c>
      <c r="D1716" s="26">
        <f t="shared" si="29"/>
        <v>-1</v>
      </c>
      <c r="E1716" s="26" t="s">
        <v>34</v>
      </c>
      <c r="F1716" s="26" t="s">
        <v>6463</v>
      </c>
      <c r="G1716" s="26" t="s">
        <v>6641</v>
      </c>
      <c r="H1716" s="26" t="s">
        <v>37</v>
      </c>
      <c r="I1716" s="26" t="s">
        <v>38</v>
      </c>
      <c r="J1716" s="26" t="s">
        <v>6642</v>
      </c>
      <c r="K1716" s="26" t="s">
        <v>6643</v>
      </c>
      <c r="L1716" s="26">
        <v>608815.48</v>
      </c>
      <c r="M1716" s="26">
        <v>0</v>
      </c>
      <c r="N1716" s="26">
        <v>0</v>
      </c>
      <c r="O1716" s="26">
        <v>3813107.48</v>
      </c>
      <c r="P1716" s="26" t="s">
        <v>41</v>
      </c>
      <c r="Q1716" s="26" t="s">
        <v>42</v>
      </c>
      <c r="R1716" s="26"/>
      <c r="S1716" s="26"/>
      <c r="T1716" s="26"/>
      <c r="U1716" s="26"/>
      <c r="V1716" s="26" t="s">
        <v>43</v>
      </c>
      <c r="W1716" s="26"/>
      <c r="X1716" s="26"/>
    </row>
    <row r="1717" spans="1:24">
      <c r="A1717" s="26" t="s">
        <v>31</v>
      </c>
      <c r="B1717" s="26" t="s">
        <v>6644</v>
      </c>
      <c r="C1717" s="26" t="s">
        <v>6645</v>
      </c>
      <c r="D1717" s="26">
        <f t="shared" si="29"/>
        <v>-1</v>
      </c>
      <c r="E1717" s="26" t="s">
        <v>34</v>
      </c>
      <c r="F1717" s="26" t="s">
        <v>6463</v>
      </c>
      <c r="G1717" s="26" t="s">
        <v>6646</v>
      </c>
      <c r="H1717" s="26" t="s">
        <v>37</v>
      </c>
      <c r="I1717" s="26" t="s">
        <v>38</v>
      </c>
      <c r="J1717" s="26" t="s">
        <v>729</v>
      </c>
      <c r="K1717" s="26" t="s">
        <v>730</v>
      </c>
      <c r="L1717" s="26">
        <v>157871</v>
      </c>
      <c r="M1717" s="26">
        <v>0</v>
      </c>
      <c r="N1717" s="26">
        <v>0</v>
      </c>
      <c r="O1717" s="26">
        <v>988771</v>
      </c>
      <c r="P1717" s="26" t="s">
        <v>41</v>
      </c>
      <c r="Q1717" s="26" t="s">
        <v>42</v>
      </c>
      <c r="R1717" s="26"/>
      <c r="S1717" s="26"/>
      <c r="T1717" s="26"/>
      <c r="U1717" s="26"/>
      <c r="V1717" s="26" t="s">
        <v>43</v>
      </c>
      <c r="W1717" s="26"/>
      <c r="X1717" s="26"/>
    </row>
    <row r="1718" spans="1:24">
      <c r="A1718" s="26" t="s">
        <v>31</v>
      </c>
      <c r="B1718" s="26" t="s">
        <v>6647</v>
      </c>
      <c r="C1718" s="26" t="s">
        <v>6648</v>
      </c>
      <c r="D1718" s="26">
        <f t="shared" si="29"/>
        <v>-1</v>
      </c>
      <c r="E1718" s="26" t="s">
        <v>34</v>
      </c>
      <c r="F1718" s="26" t="s">
        <v>6463</v>
      </c>
      <c r="G1718" s="26" t="s">
        <v>6649</v>
      </c>
      <c r="H1718" s="26" t="s">
        <v>37</v>
      </c>
      <c r="I1718" s="26" t="s">
        <v>38</v>
      </c>
      <c r="J1718" s="26" t="s">
        <v>6650</v>
      </c>
      <c r="K1718" s="26" t="s">
        <v>6651</v>
      </c>
      <c r="L1718" s="26">
        <v>71259.45</v>
      </c>
      <c r="M1718" s="26">
        <v>0</v>
      </c>
      <c r="N1718" s="26">
        <v>0</v>
      </c>
      <c r="O1718" s="26">
        <v>464634.45</v>
      </c>
      <c r="P1718" s="26" t="s">
        <v>41</v>
      </c>
      <c r="Q1718" s="26" t="s">
        <v>42</v>
      </c>
      <c r="R1718" s="26"/>
      <c r="S1718" s="26"/>
      <c r="T1718" s="26"/>
      <c r="U1718" s="26"/>
      <c r="V1718" s="26" t="s">
        <v>43</v>
      </c>
      <c r="W1718" s="26"/>
      <c r="X1718" s="26"/>
    </row>
    <row r="1719" spans="1:24">
      <c r="A1719" s="26" t="s">
        <v>31</v>
      </c>
      <c r="B1719" s="26" t="s">
        <v>6652</v>
      </c>
      <c r="C1719" s="26" t="s">
        <v>6653</v>
      </c>
      <c r="D1719" s="26">
        <f t="shared" si="29"/>
        <v>-1</v>
      </c>
      <c r="E1719" s="26" t="s">
        <v>34</v>
      </c>
      <c r="F1719" s="26" t="s">
        <v>6463</v>
      </c>
      <c r="G1719" s="26" t="s">
        <v>6654</v>
      </c>
      <c r="H1719" s="26" t="s">
        <v>37</v>
      </c>
      <c r="I1719" s="26" t="s">
        <v>38</v>
      </c>
      <c r="J1719" s="26" t="s">
        <v>5002</v>
      </c>
      <c r="K1719" s="26" t="s">
        <v>5003</v>
      </c>
      <c r="L1719" s="26">
        <v>1246628</v>
      </c>
      <c r="M1719" s="26">
        <v>0</v>
      </c>
      <c r="N1719" s="26">
        <v>0</v>
      </c>
      <c r="O1719" s="26">
        <v>7807828</v>
      </c>
      <c r="P1719" s="26" t="s">
        <v>41</v>
      </c>
      <c r="Q1719" s="26" t="s">
        <v>42</v>
      </c>
      <c r="R1719" s="26"/>
      <c r="S1719" s="26"/>
      <c r="T1719" s="26"/>
      <c r="U1719" s="26"/>
      <c r="V1719" s="26" t="s">
        <v>43</v>
      </c>
      <c r="W1719" s="26"/>
      <c r="X1719" s="26"/>
    </row>
    <row r="1720" spans="1:24">
      <c r="A1720" s="32" t="s">
        <v>31</v>
      </c>
      <c r="B1720" s="32" t="s">
        <v>6655</v>
      </c>
      <c r="C1720" s="32" t="s">
        <v>6656</v>
      </c>
      <c r="D1720" s="32">
        <f t="shared" si="29"/>
        <v>-1</v>
      </c>
      <c r="E1720" s="32" t="s">
        <v>34</v>
      </c>
      <c r="F1720" s="32" t="s">
        <v>6463</v>
      </c>
      <c r="G1720" s="32" t="s">
        <v>6657</v>
      </c>
      <c r="H1720" s="32" t="s">
        <v>37</v>
      </c>
      <c r="I1720" s="32" t="s">
        <v>38</v>
      </c>
      <c r="J1720" s="32" t="s">
        <v>6658</v>
      </c>
      <c r="K1720" s="32" t="s">
        <v>6659</v>
      </c>
      <c r="L1720" s="32">
        <v>50032.7</v>
      </c>
      <c r="M1720" s="32">
        <v>0</v>
      </c>
      <c r="N1720" s="32">
        <v>0</v>
      </c>
      <c r="O1720" s="32">
        <v>313362.7</v>
      </c>
      <c r="P1720" s="32" t="s">
        <v>41</v>
      </c>
      <c r="Q1720" s="32" t="s">
        <v>42</v>
      </c>
      <c r="R1720" s="26" t="s">
        <v>43</v>
      </c>
      <c r="S1720" s="26"/>
      <c r="T1720" s="26"/>
      <c r="U1720" s="26"/>
      <c r="V1720" s="26"/>
      <c r="W1720" s="26"/>
      <c r="X1720" s="26"/>
    </row>
    <row r="1721" spans="1:24">
      <c r="A1721" s="26" t="s">
        <v>31</v>
      </c>
      <c r="B1721" s="26" t="s">
        <v>6660</v>
      </c>
      <c r="C1721" s="26" t="s">
        <v>6661</v>
      </c>
      <c r="D1721" s="26">
        <f t="shared" si="29"/>
        <v>-1</v>
      </c>
      <c r="E1721" s="26" t="s">
        <v>34</v>
      </c>
      <c r="F1721" s="26" t="s">
        <v>6463</v>
      </c>
      <c r="G1721" s="26" t="s">
        <v>6662</v>
      </c>
      <c r="H1721" s="26" t="s">
        <v>37</v>
      </c>
      <c r="I1721" s="26" t="s">
        <v>38</v>
      </c>
      <c r="J1721" s="26" t="s">
        <v>6663</v>
      </c>
      <c r="K1721" s="26" t="s">
        <v>6664</v>
      </c>
      <c r="L1721" s="26">
        <v>3054820</v>
      </c>
      <c r="M1721" s="26">
        <v>0</v>
      </c>
      <c r="N1721" s="26">
        <v>0</v>
      </c>
      <c r="O1721" s="26">
        <v>19132820</v>
      </c>
      <c r="P1721" s="26" t="s">
        <v>41</v>
      </c>
      <c r="Q1721" s="26" t="s">
        <v>42</v>
      </c>
      <c r="R1721" s="26"/>
      <c r="S1721" s="26"/>
      <c r="T1721" s="26"/>
      <c r="U1721" s="26"/>
      <c r="V1721" s="26" t="s">
        <v>43</v>
      </c>
      <c r="W1721" s="26"/>
      <c r="X1721" s="26"/>
    </row>
    <row r="1722" spans="1:24">
      <c r="A1722" s="33" t="s">
        <v>31</v>
      </c>
      <c r="B1722" s="33" t="s">
        <v>6665</v>
      </c>
      <c r="C1722" s="33" t="s">
        <v>6666</v>
      </c>
      <c r="D1722" s="33">
        <f t="shared" si="29"/>
        <v>-1</v>
      </c>
      <c r="E1722" s="33" t="s">
        <v>34</v>
      </c>
      <c r="F1722" s="33" t="s">
        <v>6463</v>
      </c>
      <c r="G1722" s="33" t="s">
        <v>6667</v>
      </c>
      <c r="H1722" s="33" t="s">
        <v>37</v>
      </c>
      <c r="I1722" s="33" t="s">
        <v>38</v>
      </c>
      <c r="J1722" s="33" t="s">
        <v>1666</v>
      </c>
      <c r="K1722" s="33" t="s">
        <v>1667</v>
      </c>
      <c r="L1722" s="33">
        <v>3755371</v>
      </c>
      <c r="M1722" s="33">
        <v>0</v>
      </c>
      <c r="N1722" s="33">
        <v>0</v>
      </c>
      <c r="O1722" s="33">
        <v>27000481.5</v>
      </c>
      <c r="P1722" s="33" t="s">
        <v>41</v>
      </c>
      <c r="Q1722" s="33" t="s">
        <v>42</v>
      </c>
      <c r="R1722" s="26"/>
      <c r="S1722" s="26" t="s">
        <v>43</v>
      </c>
      <c r="T1722" s="26"/>
      <c r="U1722" s="26"/>
      <c r="V1722" s="26"/>
      <c r="W1722" s="26"/>
      <c r="X1722" s="26"/>
    </row>
    <row r="1723" spans="1:24">
      <c r="A1723" s="26" t="s">
        <v>31</v>
      </c>
      <c r="B1723" s="26" t="s">
        <v>6668</v>
      </c>
      <c r="C1723" s="26" t="s">
        <v>6669</v>
      </c>
      <c r="D1723" s="26">
        <f t="shared" si="29"/>
        <v>-1</v>
      </c>
      <c r="E1723" s="26" t="s">
        <v>34</v>
      </c>
      <c r="F1723" s="26" t="s">
        <v>6463</v>
      </c>
      <c r="G1723" s="26" t="s">
        <v>6670</v>
      </c>
      <c r="H1723" s="26" t="s">
        <v>37</v>
      </c>
      <c r="I1723" s="26" t="s">
        <v>38</v>
      </c>
      <c r="J1723" s="26" t="s">
        <v>6671</v>
      </c>
      <c r="K1723" s="26" t="s">
        <v>6672</v>
      </c>
      <c r="L1723" s="26">
        <v>4653.4799999999996</v>
      </c>
      <c r="M1723" s="26">
        <v>0</v>
      </c>
      <c r="N1723" s="26">
        <v>0</v>
      </c>
      <c r="O1723" s="26">
        <v>29145.48</v>
      </c>
      <c r="P1723" s="26" t="s">
        <v>41</v>
      </c>
      <c r="Q1723" s="26" t="s">
        <v>42</v>
      </c>
      <c r="R1723" s="26"/>
      <c r="S1723" s="26"/>
      <c r="T1723" s="26"/>
      <c r="U1723" s="26"/>
      <c r="V1723" s="26" t="s">
        <v>43</v>
      </c>
      <c r="W1723" s="26"/>
      <c r="X1723" s="26"/>
    </row>
    <row r="1724" spans="1:24">
      <c r="A1724" s="32" t="s">
        <v>31</v>
      </c>
      <c r="B1724" s="32" t="s">
        <v>6673</v>
      </c>
      <c r="C1724" s="32" t="s">
        <v>6674</v>
      </c>
      <c r="D1724" s="32">
        <f t="shared" si="29"/>
        <v>-1</v>
      </c>
      <c r="E1724" s="32" t="s">
        <v>34</v>
      </c>
      <c r="F1724" s="32" t="s">
        <v>6463</v>
      </c>
      <c r="G1724" s="32" t="s">
        <v>6675</v>
      </c>
      <c r="H1724" s="32" t="s">
        <v>37</v>
      </c>
      <c r="I1724" s="32" t="s">
        <v>38</v>
      </c>
      <c r="J1724" s="32" t="s">
        <v>6676</v>
      </c>
      <c r="K1724" s="32" t="s">
        <v>6677</v>
      </c>
      <c r="L1724" s="32">
        <v>968240</v>
      </c>
      <c r="M1724" s="32">
        <v>0</v>
      </c>
      <c r="N1724" s="32">
        <v>0</v>
      </c>
      <c r="O1724" s="32">
        <v>6064240</v>
      </c>
      <c r="P1724" s="32" t="s">
        <v>41</v>
      </c>
      <c r="Q1724" s="32" t="s">
        <v>42</v>
      </c>
      <c r="R1724" s="26" t="s">
        <v>43</v>
      </c>
      <c r="S1724" s="26"/>
      <c r="T1724" s="26"/>
      <c r="U1724" s="26"/>
      <c r="V1724" s="26"/>
      <c r="W1724" s="26"/>
      <c r="X1724" s="26"/>
    </row>
    <row r="1725" spans="1:24">
      <c r="A1725" s="26" t="s">
        <v>31</v>
      </c>
      <c r="B1725" s="26" t="s">
        <v>6678</v>
      </c>
      <c r="C1725" s="26" t="s">
        <v>6679</v>
      </c>
      <c r="D1725" s="26">
        <f t="shared" si="29"/>
        <v>-1</v>
      </c>
      <c r="E1725" s="26" t="s">
        <v>34</v>
      </c>
      <c r="F1725" s="26" t="s">
        <v>6463</v>
      </c>
      <c r="G1725" s="26" t="s">
        <v>6680</v>
      </c>
      <c r="H1725" s="26" t="s">
        <v>37</v>
      </c>
      <c r="I1725" s="26" t="s">
        <v>38</v>
      </c>
      <c r="J1725" s="26" t="s">
        <v>6681</v>
      </c>
      <c r="K1725" s="26" t="s">
        <v>6682</v>
      </c>
      <c r="L1725" s="26">
        <v>30590</v>
      </c>
      <c r="M1725" s="26">
        <v>0</v>
      </c>
      <c r="N1725" s="26">
        <v>0</v>
      </c>
      <c r="O1725" s="26">
        <v>191590</v>
      </c>
      <c r="P1725" s="26" t="s">
        <v>41</v>
      </c>
      <c r="Q1725" s="26" t="s">
        <v>42</v>
      </c>
      <c r="R1725" s="26"/>
      <c r="S1725" s="26"/>
      <c r="T1725" s="26"/>
      <c r="U1725" s="26"/>
      <c r="V1725" s="26" t="s">
        <v>43</v>
      </c>
      <c r="W1725" s="26"/>
      <c r="X1725" s="26"/>
    </row>
    <row r="1726" spans="1:24">
      <c r="A1726" s="26" t="s">
        <v>31</v>
      </c>
      <c r="B1726" s="26" t="s">
        <v>6683</v>
      </c>
      <c r="C1726" s="26" t="s">
        <v>6684</v>
      </c>
      <c r="D1726" s="26">
        <f t="shared" si="29"/>
        <v>-1</v>
      </c>
      <c r="E1726" s="26" t="s">
        <v>34</v>
      </c>
      <c r="F1726" s="26" t="s">
        <v>6463</v>
      </c>
      <c r="G1726" s="26" t="s">
        <v>6685</v>
      </c>
      <c r="H1726" s="26" t="s">
        <v>37</v>
      </c>
      <c r="I1726" s="26" t="s">
        <v>38</v>
      </c>
      <c r="J1726" s="26" t="s">
        <v>3100</v>
      </c>
      <c r="K1726" s="26" t="s">
        <v>3101</v>
      </c>
      <c r="L1726" s="26">
        <v>132768.01</v>
      </c>
      <c r="M1726" s="26">
        <v>0</v>
      </c>
      <c r="N1726" s="26">
        <v>0</v>
      </c>
      <c r="O1726" s="26">
        <v>831547.01</v>
      </c>
      <c r="P1726" s="26" t="s">
        <v>41</v>
      </c>
      <c r="Q1726" s="26" t="s">
        <v>42</v>
      </c>
      <c r="R1726" s="26"/>
      <c r="S1726" s="26"/>
      <c r="T1726" s="26"/>
      <c r="U1726" s="26"/>
      <c r="V1726" s="26" t="s">
        <v>43</v>
      </c>
      <c r="W1726" s="26"/>
      <c r="X1726" s="26"/>
    </row>
    <row r="1727" spans="1:24">
      <c r="A1727" s="32" t="s">
        <v>31</v>
      </c>
      <c r="B1727" s="32" t="s">
        <v>6686</v>
      </c>
      <c r="C1727" s="32" t="s">
        <v>6687</v>
      </c>
      <c r="D1727" s="32">
        <f t="shared" si="29"/>
        <v>-1</v>
      </c>
      <c r="E1727" s="32" t="s">
        <v>34</v>
      </c>
      <c r="F1727" s="32" t="s">
        <v>6463</v>
      </c>
      <c r="G1727" s="32" t="s">
        <v>6688</v>
      </c>
      <c r="H1727" s="32" t="s">
        <v>37</v>
      </c>
      <c r="I1727" s="32" t="s">
        <v>38</v>
      </c>
      <c r="J1727" s="32" t="s">
        <v>69</v>
      </c>
      <c r="K1727" s="32" t="s">
        <v>70</v>
      </c>
      <c r="L1727" s="32">
        <v>2594.4499999999998</v>
      </c>
      <c r="M1727" s="32">
        <v>0</v>
      </c>
      <c r="N1727" s="32">
        <v>0</v>
      </c>
      <c r="O1727" s="32">
        <v>16249.45</v>
      </c>
      <c r="P1727" s="32" t="s">
        <v>41</v>
      </c>
      <c r="Q1727" s="32" t="s">
        <v>42</v>
      </c>
      <c r="R1727" s="26" t="s">
        <v>43</v>
      </c>
      <c r="S1727" s="26"/>
      <c r="T1727" s="26"/>
      <c r="U1727" s="26"/>
      <c r="V1727" s="26"/>
      <c r="W1727" s="26"/>
      <c r="X1727" s="26"/>
    </row>
    <row r="1728" spans="1:24">
      <c r="A1728" s="26" t="s">
        <v>31</v>
      </c>
      <c r="B1728" s="26" t="s">
        <v>6689</v>
      </c>
      <c r="C1728" s="26" t="s">
        <v>6690</v>
      </c>
      <c r="D1728" s="26">
        <f t="shared" si="29"/>
        <v>-1</v>
      </c>
      <c r="E1728" s="26" t="s">
        <v>34</v>
      </c>
      <c r="F1728" s="26" t="s">
        <v>6463</v>
      </c>
      <c r="G1728" s="26" t="s">
        <v>6691</v>
      </c>
      <c r="H1728" s="26" t="s">
        <v>37</v>
      </c>
      <c r="I1728" s="26" t="s">
        <v>38</v>
      </c>
      <c r="J1728" s="26" t="s">
        <v>845</v>
      </c>
      <c r="K1728" s="26" t="s">
        <v>3689</v>
      </c>
      <c r="L1728" s="26">
        <v>27550</v>
      </c>
      <c r="M1728" s="26">
        <v>0</v>
      </c>
      <c r="N1728" s="26">
        <v>0</v>
      </c>
      <c r="O1728" s="26">
        <v>172550</v>
      </c>
      <c r="P1728" s="26" t="s">
        <v>41</v>
      </c>
      <c r="Q1728" s="26" t="s">
        <v>42</v>
      </c>
      <c r="R1728" s="26"/>
      <c r="S1728" s="26"/>
      <c r="T1728" s="26"/>
      <c r="U1728" s="26"/>
      <c r="V1728" s="26" t="s">
        <v>43</v>
      </c>
      <c r="W1728" s="26"/>
      <c r="X1728" s="26"/>
    </row>
    <row r="1729" spans="1:24">
      <c r="A1729" s="32" t="s">
        <v>31</v>
      </c>
      <c r="B1729" s="32" t="s">
        <v>6692</v>
      </c>
      <c r="C1729" s="32" t="s">
        <v>6693</v>
      </c>
      <c r="D1729" s="32">
        <f t="shared" si="29"/>
        <v>-1</v>
      </c>
      <c r="E1729" s="32" t="s">
        <v>34</v>
      </c>
      <c r="F1729" s="32" t="s">
        <v>6463</v>
      </c>
      <c r="G1729" s="32" t="s">
        <v>6694</v>
      </c>
      <c r="H1729" s="32" t="s">
        <v>37</v>
      </c>
      <c r="I1729" s="32" t="s">
        <v>38</v>
      </c>
      <c r="J1729" s="32" t="s">
        <v>845</v>
      </c>
      <c r="K1729" s="32" t="s">
        <v>3689</v>
      </c>
      <c r="L1729" s="32">
        <v>110200</v>
      </c>
      <c r="M1729" s="32">
        <v>0</v>
      </c>
      <c r="N1729" s="32">
        <v>0</v>
      </c>
      <c r="O1729" s="32">
        <v>690200</v>
      </c>
      <c r="P1729" s="32" t="s">
        <v>41</v>
      </c>
      <c r="Q1729" s="32" t="s">
        <v>42</v>
      </c>
      <c r="R1729" s="26" t="s">
        <v>43</v>
      </c>
      <c r="S1729" s="26"/>
      <c r="T1729" s="26"/>
      <c r="U1729" s="26"/>
      <c r="V1729" s="26"/>
      <c r="W1729" s="26"/>
      <c r="X1729" s="26"/>
    </row>
    <row r="1730" spans="1:24">
      <c r="A1730" s="26" t="s">
        <v>31</v>
      </c>
      <c r="B1730" s="26" t="s">
        <v>6695</v>
      </c>
      <c r="C1730" s="26" t="s">
        <v>6696</v>
      </c>
      <c r="D1730" s="26">
        <f t="shared" si="29"/>
        <v>-1</v>
      </c>
      <c r="E1730" s="26" t="s">
        <v>34</v>
      </c>
      <c r="F1730" s="26" t="s">
        <v>6463</v>
      </c>
      <c r="G1730" s="26" t="s">
        <v>6697</v>
      </c>
      <c r="H1730" s="26" t="s">
        <v>37</v>
      </c>
      <c r="I1730" s="26" t="s">
        <v>38</v>
      </c>
      <c r="J1730" s="26" t="s">
        <v>845</v>
      </c>
      <c r="K1730" s="26" t="s">
        <v>3689</v>
      </c>
      <c r="L1730" s="26">
        <v>27550</v>
      </c>
      <c r="M1730" s="26">
        <v>0</v>
      </c>
      <c r="N1730" s="26">
        <v>0</v>
      </c>
      <c r="O1730" s="26">
        <v>172550</v>
      </c>
      <c r="P1730" s="26" t="s">
        <v>41</v>
      </c>
      <c r="Q1730" s="26" t="s">
        <v>42</v>
      </c>
      <c r="R1730" s="26"/>
      <c r="S1730" s="26"/>
      <c r="T1730" s="26"/>
      <c r="U1730" s="26"/>
      <c r="V1730" s="26" t="s">
        <v>43</v>
      </c>
      <c r="W1730" s="26"/>
      <c r="X1730" s="26"/>
    </row>
    <row r="1731" spans="1:24">
      <c r="A1731" s="32" t="s">
        <v>31</v>
      </c>
      <c r="B1731" s="32" t="s">
        <v>6698</v>
      </c>
      <c r="C1731" s="32" t="s">
        <v>6699</v>
      </c>
      <c r="D1731" s="32">
        <f t="shared" si="29"/>
        <v>-1</v>
      </c>
      <c r="E1731" s="32" t="s">
        <v>34</v>
      </c>
      <c r="F1731" s="32" t="s">
        <v>6463</v>
      </c>
      <c r="G1731" s="32" t="s">
        <v>6700</v>
      </c>
      <c r="H1731" s="32" t="s">
        <v>37</v>
      </c>
      <c r="I1731" s="32" t="s">
        <v>38</v>
      </c>
      <c r="J1731" s="32" t="s">
        <v>994</v>
      </c>
      <c r="K1731" s="32" t="s">
        <v>995</v>
      </c>
      <c r="L1731" s="32">
        <v>4437098.5</v>
      </c>
      <c r="M1731" s="32">
        <v>0</v>
      </c>
      <c r="N1731" s="32">
        <v>0</v>
      </c>
      <c r="O1731" s="32">
        <v>27790248.5</v>
      </c>
      <c r="P1731" s="32" t="s">
        <v>41</v>
      </c>
      <c r="Q1731" s="32" t="s">
        <v>42</v>
      </c>
      <c r="R1731" s="26" t="s">
        <v>43</v>
      </c>
      <c r="S1731" s="26"/>
      <c r="T1731" s="26"/>
      <c r="U1731" s="26"/>
      <c r="V1731" s="26"/>
      <c r="W1731" s="26"/>
      <c r="X1731" s="26"/>
    </row>
    <row r="1732" spans="1:24">
      <c r="A1732" s="26" t="s">
        <v>31</v>
      </c>
      <c r="B1732" s="26" t="s">
        <v>6701</v>
      </c>
      <c r="C1732" s="26" t="s">
        <v>6702</v>
      </c>
      <c r="D1732" s="26">
        <f t="shared" si="29"/>
        <v>-1</v>
      </c>
      <c r="E1732" s="26" t="s">
        <v>34</v>
      </c>
      <c r="F1732" s="26" t="s">
        <v>6463</v>
      </c>
      <c r="G1732" s="26" t="s">
        <v>6703</v>
      </c>
      <c r="H1732" s="26" t="s">
        <v>37</v>
      </c>
      <c r="I1732" s="26" t="s">
        <v>38</v>
      </c>
      <c r="J1732" s="26" t="s">
        <v>6704</v>
      </c>
      <c r="K1732" s="26" t="s">
        <v>6705</v>
      </c>
      <c r="L1732" s="26">
        <v>25555</v>
      </c>
      <c r="M1732" s="26">
        <v>0</v>
      </c>
      <c r="N1732" s="26">
        <v>0</v>
      </c>
      <c r="O1732" s="26">
        <v>160055</v>
      </c>
      <c r="P1732" s="26" t="s">
        <v>41</v>
      </c>
      <c r="Q1732" s="26" t="s">
        <v>42</v>
      </c>
      <c r="R1732" s="26"/>
      <c r="S1732" s="26"/>
      <c r="T1732" s="26"/>
      <c r="U1732" s="26"/>
      <c r="V1732" s="26" t="s">
        <v>43</v>
      </c>
      <c r="W1732" s="26"/>
      <c r="X1732" s="26"/>
    </row>
    <row r="1733" spans="1:24">
      <c r="A1733" s="34" t="s">
        <v>31</v>
      </c>
      <c r="B1733" s="34" t="s">
        <v>6706</v>
      </c>
      <c r="C1733" s="34" t="s">
        <v>6707</v>
      </c>
      <c r="D1733" s="34">
        <f t="shared" si="29"/>
        <v>-1</v>
      </c>
      <c r="E1733" s="34" t="s">
        <v>34</v>
      </c>
      <c r="F1733" s="34" t="s">
        <v>6463</v>
      </c>
      <c r="G1733" s="34" t="s">
        <v>6708</v>
      </c>
      <c r="H1733" s="34" t="s">
        <v>37</v>
      </c>
      <c r="I1733" s="34" t="s">
        <v>38</v>
      </c>
      <c r="J1733" s="34" t="s">
        <v>4057</v>
      </c>
      <c r="K1733" s="34" t="s">
        <v>4058</v>
      </c>
      <c r="L1733" s="34">
        <v>25813704</v>
      </c>
      <c r="M1733" s="34">
        <v>0</v>
      </c>
      <c r="N1733" s="34">
        <v>0</v>
      </c>
      <c r="O1733" s="34">
        <v>161675304</v>
      </c>
      <c r="P1733" s="34" t="s">
        <v>41</v>
      </c>
      <c r="Q1733" s="34" t="s">
        <v>42</v>
      </c>
      <c r="R1733" s="26"/>
      <c r="S1733" s="26"/>
      <c r="T1733" s="26" t="s">
        <v>43</v>
      </c>
      <c r="U1733" s="26"/>
      <c r="V1733" s="26"/>
      <c r="W1733" s="26"/>
      <c r="X1733" s="26"/>
    </row>
    <row r="1734" spans="1:24">
      <c r="A1734" s="26" t="s">
        <v>31</v>
      </c>
      <c r="B1734" s="26" t="s">
        <v>6709</v>
      </c>
      <c r="C1734" s="26" t="s">
        <v>6710</v>
      </c>
      <c r="D1734" s="26">
        <f t="shared" si="29"/>
        <v>-1</v>
      </c>
      <c r="E1734" s="26" t="s">
        <v>34</v>
      </c>
      <c r="F1734" s="26" t="s">
        <v>6463</v>
      </c>
      <c r="G1734" s="26" t="s">
        <v>6711</v>
      </c>
      <c r="H1734" s="26" t="s">
        <v>37</v>
      </c>
      <c r="I1734" s="26" t="s">
        <v>38</v>
      </c>
      <c r="J1734" s="26" t="s">
        <v>6712</v>
      </c>
      <c r="K1734" s="26" t="s">
        <v>6713</v>
      </c>
      <c r="L1734" s="26">
        <v>492670</v>
      </c>
      <c r="M1734" s="26">
        <v>0</v>
      </c>
      <c r="N1734" s="26">
        <v>0</v>
      </c>
      <c r="O1734" s="26">
        <v>3085670</v>
      </c>
      <c r="P1734" s="26" t="s">
        <v>41</v>
      </c>
      <c r="Q1734" s="26" t="s">
        <v>42</v>
      </c>
      <c r="R1734" s="26"/>
      <c r="S1734" s="26"/>
      <c r="T1734" s="26"/>
      <c r="U1734" s="26"/>
      <c r="V1734" s="26" t="s">
        <v>43</v>
      </c>
      <c r="W1734" s="26"/>
      <c r="X1734" s="26"/>
    </row>
    <row r="1735" spans="1:24">
      <c r="A1735" s="26" t="s">
        <v>31</v>
      </c>
      <c r="B1735" s="26" t="s">
        <v>6714</v>
      </c>
      <c r="C1735" s="26" t="s">
        <v>6715</v>
      </c>
      <c r="D1735" s="26">
        <f t="shared" si="29"/>
        <v>-1</v>
      </c>
      <c r="E1735" s="26" t="s">
        <v>34</v>
      </c>
      <c r="F1735" s="26" t="s">
        <v>6463</v>
      </c>
      <c r="G1735" s="26" t="s">
        <v>6716</v>
      </c>
      <c r="H1735" s="26" t="s">
        <v>37</v>
      </c>
      <c r="I1735" s="26" t="s">
        <v>38</v>
      </c>
      <c r="J1735" s="26" t="s">
        <v>6717</v>
      </c>
      <c r="K1735" s="26" t="s">
        <v>6718</v>
      </c>
      <c r="L1735" s="26">
        <v>495140</v>
      </c>
      <c r="M1735" s="26">
        <v>0</v>
      </c>
      <c r="N1735" s="26">
        <v>0</v>
      </c>
      <c r="O1735" s="26">
        <v>3101140</v>
      </c>
      <c r="P1735" s="26" t="s">
        <v>41</v>
      </c>
      <c r="Q1735" s="26" t="s">
        <v>42</v>
      </c>
      <c r="R1735" s="26"/>
      <c r="S1735" s="26"/>
      <c r="T1735" s="26"/>
      <c r="U1735" s="26"/>
      <c r="V1735" s="26" t="s">
        <v>43</v>
      </c>
      <c r="W1735" s="26"/>
      <c r="X1735" s="26"/>
    </row>
    <row r="1736" spans="1:24">
      <c r="A1736" s="26" t="s">
        <v>31</v>
      </c>
      <c r="B1736" s="26" t="s">
        <v>6719</v>
      </c>
      <c r="C1736" s="26" t="s">
        <v>6720</v>
      </c>
      <c r="D1736" s="26">
        <f t="shared" si="29"/>
        <v>-1</v>
      </c>
      <c r="E1736" s="26" t="s">
        <v>34</v>
      </c>
      <c r="F1736" s="26" t="s">
        <v>6463</v>
      </c>
      <c r="G1736" s="26" t="s">
        <v>6721</v>
      </c>
      <c r="H1736" s="26" t="s">
        <v>37</v>
      </c>
      <c r="I1736" s="26" t="s">
        <v>38</v>
      </c>
      <c r="J1736" s="26" t="s">
        <v>6704</v>
      </c>
      <c r="K1736" s="26" t="s">
        <v>6705</v>
      </c>
      <c r="L1736" s="26">
        <v>34361.5</v>
      </c>
      <c r="M1736" s="26">
        <v>0</v>
      </c>
      <c r="N1736" s="26">
        <v>0</v>
      </c>
      <c r="O1736" s="26">
        <v>215211.5</v>
      </c>
      <c r="P1736" s="26" t="s">
        <v>41</v>
      </c>
      <c r="Q1736" s="26" t="s">
        <v>42</v>
      </c>
      <c r="R1736" s="26"/>
      <c r="S1736" s="26"/>
      <c r="T1736" s="26"/>
      <c r="U1736" s="26"/>
      <c r="V1736" s="26" t="s">
        <v>43</v>
      </c>
      <c r="W1736" s="26"/>
      <c r="X1736" s="26"/>
    </row>
    <row r="1737" spans="1:24">
      <c r="A1737" s="26" t="s">
        <v>31</v>
      </c>
      <c r="B1737" s="26" t="s">
        <v>6722</v>
      </c>
      <c r="C1737" s="26" t="s">
        <v>6723</v>
      </c>
      <c r="D1737" s="26">
        <f t="shared" si="29"/>
        <v>-1</v>
      </c>
      <c r="E1737" s="26" t="s">
        <v>34</v>
      </c>
      <c r="F1737" s="26" t="s">
        <v>6463</v>
      </c>
      <c r="G1737" s="26" t="s">
        <v>6724</v>
      </c>
      <c r="H1737" s="26" t="s">
        <v>37</v>
      </c>
      <c r="I1737" s="26" t="s">
        <v>38</v>
      </c>
      <c r="J1737" s="26" t="s">
        <v>3464</v>
      </c>
      <c r="K1737" s="26" t="s">
        <v>3465</v>
      </c>
      <c r="L1737" s="26">
        <v>0</v>
      </c>
      <c r="M1737" s="26">
        <v>0</v>
      </c>
      <c r="N1737" s="26">
        <v>0</v>
      </c>
      <c r="O1737" s="26">
        <v>4030360</v>
      </c>
      <c r="P1737" s="26" t="s">
        <v>41</v>
      </c>
      <c r="Q1737" s="26" t="s">
        <v>42</v>
      </c>
      <c r="R1737" s="26"/>
      <c r="S1737" s="26"/>
      <c r="T1737" s="26"/>
      <c r="U1737" s="26"/>
      <c r="V1737" s="26" t="s">
        <v>43</v>
      </c>
      <c r="W1737" s="26"/>
      <c r="X1737" s="26"/>
    </row>
    <row r="1738" spans="1:24">
      <c r="A1738" s="26" t="s">
        <v>31</v>
      </c>
      <c r="B1738" s="26" t="s">
        <v>6725</v>
      </c>
      <c r="C1738" s="26" t="s">
        <v>6726</v>
      </c>
      <c r="D1738" s="26">
        <f t="shared" si="29"/>
        <v>-1</v>
      </c>
      <c r="E1738" s="26" t="s">
        <v>34</v>
      </c>
      <c r="F1738" s="26" t="s">
        <v>6463</v>
      </c>
      <c r="G1738" s="26" t="s">
        <v>6727</v>
      </c>
      <c r="H1738" s="26" t="s">
        <v>37</v>
      </c>
      <c r="I1738" s="26" t="s">
        <v>38</v>
      </c>
      <c r="J1738" s="26" t="s">
        <v>4165</v>
      </c>
      <c r="K1738" s="26" t="s">
        <v>4166</v>
      </c>
      <c r="L1738" s="26">
        <v>0</v>
      </c>
      <c r="M1738" s="26">
        <v>0</v>
      </c>
      <c r="N1738" s="26">
        <v>0</v>
      </c>
      <c r="O1738" s="26">
        <v>19800</v>
      </c>
      <c r="P1738" s="26" t="s">
        <v>41</v>
      </c>
      <c r="Q1738" s="26" t="s">
        <v>42</v>
      </c>
      <c r="R1738" s="26"/>
      <c r="S1738" s="26"/>
      <c r="T1738" s="26"/>
      <c r="U1738" s="26"/>
      <c r="V1738" s="26" t="s">
        <v>43</v>
      </c>
      <c r="W1738" s="26"/>
      <c r="X1738" s="26"/>
    </row>
    <row r="1739" spans="1:24">
      <c r="A1739" s="32" t="s">
        <v>31</v>
      </c>
      <c r="B1739" s="32" t="s">
        <v>6728</v>
      </c>
      <c r="C1739" s="32" t="s">
        <v>6729</v>
      </c>
      <c r="D1739" s="32">
        <f t="shared" si="29"/>
        <v>-1</v>
      </c>
      <c r="E1739" s="32" t="s">
        <v>34</v>
      </c>
      <c r="F1739" s="32" t="s">
        <v>6730</v>
      </c>
      <c r="G1739" s="32" t="s">
        <v>6731</v>
      </c>
      <c r="H1739" s="32" t="s">
        <v>37</v>
      </c>
      <c r="I1739" s="32" t="s">
        <v>38</v>
      </c>
      <c r="J1739" s="32" t="s">
        <v>1834</v>
      </c>
      <c r="K1739" s="32" t="s">
        <v>1835</v>
      </c>
      <c r="L1739" s="32">
        <v>30590</v>
      </c>
      <c r="M1739" s="32">
        <v>0</v>
      </c>
      <c r="N1739" s="32">
        <v>0</v>
      </c>
      <c r="O1739" s="32">
        <v>191590</v>
      </c>
      <c r="P1739" s="32" t="s">
        <v>41</v>
      </c>
      <c r="Q1739" s="32" t="s">
        <v>42</v>
      </c>
      <c r="R1739" s="26" t="s">
        <v>43</v>
      </c>
      <c r="S1739" s="26"/>
      <c r="T1739" s="26"/>
      <c r="U1739" s="26"/>
      <c r="V1739" s="26"/>
      <c r="W1739" s="26"/>
      <c r="X1739" s="26"/>
    </row>
    <row r="1740" spans="1:24">
      <c r="A1740" s="32" t="s">
        <v>31</v>
      </c>
      <c r="B1740" s="32" t="s">
        <v>6732</v>
      </c>
      <c r="C1740" s="32" t="s">
        <v>6733</v>
      </c>
      <c r="D1740" s="32">
        <f t="shared" si="29"/>
        <v>-1</v>
      </c>
      <c r="E1740" s="32" t="s">
        <v>34</v>
      </c>
      <c r="F1740" s="32" t="s">
        <v>6730</v>
      </c>
      <c r="G1740" s="32" t="s">
        <v>6734</v>
      </c>
      <c r="H1740" s="32" t="s">
        <v>37</v>
      </c>
      <c r="I1740" s="32" t="s">
        <v>38</v>
      </c>
      <c r="J1740" s="32" t="s">
        <v>1834</v>
      </c>
      <c r="K1740" s="32" t="s">
        <v>1835</v>
      </c>
      <c r="L1740" s="32">
        <v>3705</v>
      </c>
      <c r="M1740" s="32">
        <v>0</v>
      </c>
      <c r="N1740" s="32">
        <v>0</v>
      </c>
      <c r="O1740" s="32">
        <v>23205</v>
      </c>
      <c r="P1740" s="32" t="s">
        <v>41</v>
      </c>
      <c r="Q1740" s="32" t="s">
        <v>42</v>
      </c>
      <c r="R1740" s="26" t="s">
        <v>43</v>
      </c>
      <c r="S1740" s="26"/>
      <c r="T1740" s="26"/>
      <c r="U1740" s="26"/>
      <c r="V1740" s="26"/>
      <c r="W1740" s="26"/>
      <c r="X1740" s="26"/>
    </row>
    <row r="1741" spans="1:24">
      <c r="A1741" s="26" t="s">
        <v>31</v>
      </c>
      <c r="B1741" s="26" t="s">
        <v>6735</v>
      </c>
      <c r="C1741" s="26" t="s">
        <v>6736</v>
      </c>
      <c r="D1741" s="26">
        <f t="shared" si="29"/>
        <v>-1</v>
      </c>
      <c r="E1741" s="26" t="s">
        <v>34</v>
      </c>
      <c r="F1741" s="26" t="s">
        <v>6730</v>
      </c>
      <c r="G1741" s="26" t="s">
        <v>6737</v>
      </c>
      <c r="H1741" s="26" t="s">
        <v>37</v>
      </c>
      <c r="I1741" s="26" t="s">
        <v>38</v>
      </c>
      <c r="J1741" s="26" t="s">
        <v>3812</v>
      </c>
      <c r="K1741" s="26" t="s">
        <v>3813</v>
      </c>
      <c r="L1741" s="26">
        <v>43700</v>
      </c>
      <c r="M1741" s="26">
        <v>0</v>
      </c>
      <c r="N1741" s="26">
        <v>0</v>
      </c>
      <c r="O1741" s="26">
        <v>273700</v>
      </c>
      <c r="P1741" s="26" t="s">
        <v>41</v>
      </c>
      <c r="Q1741" s="26" t="s">
        <v>42</v>
      </c>
      <c r="R1741" s="26"/>
      <c r="S1741" s="26"/>
      <c r="T1741" s="26"/>
      <c r="U1741" s="26"/>
      <c r="V1741" s="26" t="s">
        <v>43</v>
      </c>
      <c r="W1741" s="26"/>
      <c r="X1741" s="26"/>
    </row>
    <row r="1742" spans="1:24">
      <c r="A1742" s="26" t="s">
        <v>31</v>
      </c>
      <c r="B1742" s="26" t="s">
        <v>6738</v>
      </c>
      <c r="C1742" s="26" t="s">
        <v>6739</v>
      </c>
      <c r="D1742" s="26">
        <f t="shared" si="29"/>
        <v>-1</v>
      </c>
      <c r="E1742" s="26" t="s">
        <v>34</v>
      </c>
      <c r="F1742" s="26" t="s">
        <v>6730</v>
      </c>
      <c r="G1742" s="26" t="s">
        <v>6740</v>
      </c>
      <c r="H1742" s="26" t="s">
        <v>37</v>
      </c>
      <c r="I1742" s="26" t="s">
        <v>38</v>
      </c>
      <c r="J1742" s="26" t="s">
        <v>6741</v>
      </c>
      <c r="K1742" s="26" t="s">
        <v>6742</v>
      </c>
      <c r="L1742" s="26">
        <v>30536.799999999999</v>
      </c>
      <c r="M1742" s="26">
        <v>0</v>
      </c>
      <c r="N1742" s="26">
        <v>0</v>
      </c>
      <c r="O1742" s="26">
        <v>191256.8</v>
      </c>
      <c r="P1742" s="26" t="s">
        <v>41</v>
      </c>
      <c r="Q1742" s="26" t="s">
        <v>42</v>
      </c>
      <c r="R1742" s="26"/>
      <c r="S1742" s="26"/>
      <c r="T1742" s="26"/>
      <c r="U1742" s="26"/>
      <c r="V1742" s="26" t="s">
        <v>43</v>
      </c>
      <c r="W1742" s="26"/>
      <c r="X1742" s="26"/>
    </row>
    <row r="1743" spans="1:24">
      <c r="A1743" s="26" t="s">
        <v>31</v>
      </c>
      <c r="B1743" s="26" t="s">
        <v>6743</v>
      </c>
      <c r="C1743" s="26" t="s">
        <v>6744</v>
      </c>
      <c r="D1743" s="26">
        <f t="shared" si="29"/>
        <v>-1</v>
      </c>
      <c r="E1743" s="26" t="s">
        <v>34</v>
      </c>
      <c r="F1743" s="26" t="s">
        <v>6730</v>
      </c>
      <c r="G1743" s="26" t="s">
        <v>6745</v>
      </c>
      <c r="H1743" s="26" t="s">
        <v>37</v>
      </c>
      <c r="I1743" s="26" t="s">
        <v>38</v>
      </c>
      <c r="J1743" s="26" t="s">
        <v>6741</v>
      </c>
      <c r="K1743" s="26" t="s">
        <v>6742</v>
      </c>
      <c r="L1743" s="26">
        <v>110386.32</v>
      </c>
      <c r="M1743" s="26">
        <v>0</v>
      </c>
      <c r="N1743" s="26">
        <v>0</v>
      </c>
      <c r="O1743" s="26">
        <v>767114.32</v>
      </c>
      <c r="P1743" s="26" t="s">
        <v>41</v>
      </c>
      <c r="Q1743" s="26" t="s">
        <v>42</v>
      </c>
      <c r="R1743" s="26"/>
      <c r="S1743" s="26"/>
      <c r="T1743" s="26"/>
      <c r="U1743" s="26"/>
      <c r="V1743" s="26" t="s">
        <v>43</v>
      </c>
      <c r="W1743" s="26"/>
      <c r="X1743" s="26"/>
    </row>
    <row r="1744" spans="1:24">
      <c r="A1744" s="26" t="s">
        <v>31</v>
      </c>
      <c r="B1744" s="26" t="s">
        <v>6746</v>
      </c>
      <c r="C1744" s="26" t="s">
        <v>6747</v>
      </c>
      <c r="D1744" s="26">
        <f t="shared" si="29"/>
        <v>-1</v>
      </c>
      <c r="E1744" s="26" t="s">
        <v>34</v>
      </c>
      <c r="F1744" s="26" t="s">
        <v>6730</v>
      </c>
      <c r="G1744" s="26" t="s">
        <v>6748</v>
      </c>
      <c r="H1744" s="26" t="s">
        <v>37</v>
      </c>
      <c r="I1744" s="26" t="s">
        <v>38</v>
      </c>
      <c r="J1744" s="26" t="s">
        <v>5769</v>
      </c>
      <c r="K1744" s="26" t="s">
        <v>5770</v>
      </c>
      <c r="L1744" s="26">
        <v>441056.18</v>
      </c>
      <c r="M1744" s="26">
        <v>0</v>
      </c>
      <c r="N1744" s="26">
        <v>0</v>
      </c>
      <c r="O1744" s="26">
        <v>2956678.18</v>
      </c>
      <c r="P1744" s="26" t="s">
        <v>41</v>
      </c>
      <c r="Q1744" s="26" t="s">
        <v>42</v>
      </c>
      <c r="R1744" s="26"/>
      <c r="S1744" s="26"/>
      <c r="T1744" s="26"/>
      <c r="U1744" s="26"/>
      <c r="V1744" s="26" t="s">
        <v>43</v>
      </c>
      <c r="W1744" s="26"/>
      <c r="X1744" s="26"/>
    </row>
    <row r="1745" spans="1:24">
      <c r="A1745" s="31" t="s">
        <v>31</v>
      </c>
      <c r="B1745" s="31" t="s">
        <v>6749</v>
      </c>
      <c r="C1745" s="31" t="s">
        <v>6750</v>
      </c>
      <c r="D1745" s="31">
        <f t="shared" si="29"/>
        <v>-1</v>
      </c>
      <c r="E1745" s="31" t="s">
        <v>34</v>
      </c>
      <c r="F1745" s="31" t="s">
        <v>6730</v>
      </c>
      <c r="G1745" s="31" t="s">
        <v>6751</v>
      </c>
      <c r="H1745" s="31" t="s">
        <v>37</v>
      </c>
      <c r="I1745" s="31" t="s">
        <v>38</v>
      </c>
      <c r="J1745" s="31" t="s">
        <v>6752</v>
      </c>
      <c r="K1745" s="31" t="s">
        <v>6753</v>
      </c>
      <c r="L1745" s="31">
        <v>1559459.47</v>
      </c>
      <c r="M1745" s="31">
        <v>0</v>
      </c>
      <c r="N1745" s="31">
        <v>0</v>
      </c>
      <c r="O1745" s="31">
        <v>63519020.890000001</v>
      </c>
      <c r="P1745" s="31" t="s">
        <v>41</v>
      </c>
      <c r="Q1745" s="31" t="s">
        <v>42</v>
      </c>
      <c r="R1745" s="26"/>
      <c r="S1745" s="26"/>
      <c r="T1745" s="26"/>
      <c r="U1745" s="26" t="s">
        <v>43</v>
      </c>
      <c r="V1745" s="26"/>
      <c r="W1745" s="26"/>
      <c r="X1745" s="26"/>
    </row>
    <row r="1746" spans="1:24">
      <c r="A1746" s="26" t="s">
        <v>31</v>
      </c>
      <c r="B1746" s="26" t="s">
        <v>6754</v>
      </c>
      <c r="C1746" s="26" t="s">
        <v>6755</v>
      </c>
      <c r="D1746" s="26">
        <f t="shared" si="29"/>
        <v>-1</v>
      </c>
      <c r="E1746" s="26" t="s">
        <v>34</v>
      </c>
      <c r="F1746" s="26" t="s">
        <v>6730</v>
      </c>
      <c r="G1746" s="26" t="s">
        <v>6756</v>
      </c>
      <c r="H1746" s="26" t="s">
        <v>37</v>
      </c>
      <c r="I1746" s="26" t="s">
        <v>38</v>
      </c>
      <c r="J1746" s="26" t="s">
        <v>6757</v>
      </c>
      <c r="K1746" s="26" t="s">
        <v>6758</v>
      </c>
      <c r="L1746" s="26">
        <v>17100</v>
      </c>
      <c r="M1746" s="26">
        <v>0</v>
      </c>
      <c r="N1746" s="26">
        <v>0</v>
      </c>
      <c r="O1746" s="26">
        <v>107100</v>
      </c>
      <c r="P1746" s="26" t="s">
        <v>41</v>
      </c>
      <c r="Q1746" s="26" t="s">
        <v>42</v>
      </c>
      <c r="R1746" s="26"/>
      <c r="S1746" s="26"/>
      <c r="T1746" s="26"/>
      <c r="U1746" s="26"/>
      <c r="V1746" s="26" t="s">
        <v>43</v>
      </c>
      <c r="W1746" s="26"/>
      <c r="X1746" s="26"/>
    </row>
    <row r="1747" spans="1:24">
      <c r="A1747" s="31" t="s">
        <v>31</v>
      </c>
      <c r="B1747" s="31" t="s">
        <v>6759</v>
      </c>
      <c r="C1747" s="31" t="s">
        <v>6760</v>
      </c>
      <c r="D1747" s="31">
        <f t="shared" si="29"/>
        <v>-1</v>
      </c>
      <c r="E1747" s="31" t="s">
        <v>34</v>
      </c>
      <c r="F1747" s="31" t="s">
        <v>6730</v>
      </c>
      <c r="G1747" s="31" t="s">
        <v>6761</v>
      </c>
      <c r="H1747" s="31" t="s">
        <v>37</v>
      </c>
      <c r="I1747" s="31" t="s">
        <v>38</v>
      </c>
      <c r="J1747" s="31" t="s">
        <v>6752</v>
      </c>
      <c r="K1747" s="31" t="s">
        <v>6753</v>
      </c>
      <c r="L1747" s="31">
        <v>11772316.67</v>
      </c>
      <c r="M1747" s="31">
        <v>0</v>
      </c>
      <c r="N1747" s="31">
        <v>0</v>
      </c>
      <c r="O1747" s="31">
        <v>73731878.090000004</v>
      </c>
      <c r="P1747" s="31" t="s">
        <v>41</v>
      </c>
      <c r="Q1747" s="31" t="s">
        <v>42</v>
      </c>
      <c r="R1747" s="26"/>
      <c r="S1747" s="26"/>
      <c r="T1747" s="26"/>
      <c r="U1747" s="26" t="s">
        <v>43</v>
      </c>
      <c r="V1747" s="26"/>
      <c r="W1747" s="26"/>
      <c r="X1747" s="26"/>
    </row>
    <row r="1748" spans="1:24">
      <c r="A1748" s="32" t="s">
        <v>31</v>
      </c>
      <c r="B1748" s="32" t="s">
        <v>6762</v>
      </c>
      <c r="C1748" s="32" t="s">
        <v>6763</v>
      </c>
      <c r="D1748" s="32">
        <f t="shared" si="29"/>
        <v>-1</v>
      </c>
      <c r="E1748" s="32" t="s">
        <v>34</v>
      </c>
      <c r="F1748" s="32" t="s">
        <v>6730</v>
      </c>
      <c r="G1748" s="32" t="s">
        <v>6764</v>
      </c>
      <c r="H1748" s="32" t="s">
        <v>37</v>
      </c>
      <c r="I1748" s="32" t="s">
        <v>38</v>
      </c>
      <c r="J1748" s="32" t="s">
        <v>764</v>
      </c>
      <c r="K1748" s="32" t="s">
        <v>765</v>
      </c>
      <c r="L1748" s="32">
        <v>1520</v>
      </c>
      <c r="M1748" s="32">
        <v>0</v>
      </c>
      <c r="N1748" s="32">
        <v>0</v>
      </c>
      <c r="O1748" s="32">
        <v>9520</v>
      </c>
      <c r="P1748" s="32" t="s">
        <v>41</v>
      </c>
      <c r="Q1748" s="32" t="s">
        <v>42</v>
      </c>
      <c r="R1748" s="26" t="s">
        <v>43</v>
      </c>
      <c r="S1748" s="26"/>
      <c r="T1748" s="26"/>
      <c r="U1748" s="26"/>
      <c r="V1748" s="26"/>
      <c r="W1748" s="26"/>
      <c r="X1748" s="26"/>
    </row>
    <row r="1749" spans="1:24">
      <c r="A1749" s="26" t="s">
        <v>31</v>
      </c>
      <c r="B1749" s="26" t="s">
        <v>6765</v>
      </c>
      <c r="C1749" s="26" t="s">
        <v>6766</v>
      </c>
      <c r="D1749" s="26">
        <f t="shared" si="29"/>
        <v>-1</v>
      </c>
      <c r="E1749" s="26" t="s">
        <v>34</v>
      </c>
      <c r="F1749" s="26" t="s">
        <v>6730</v>
      </c>
      <c r="G1749" s="26" t="s">
        <v>6767</v>
      </c>
      <c r="H1749" s="26" t="s">
        <v>37</v>
      </c>
      <c r="I1749" s="26" t="s">
        <v>38</v>
      </c>
      <c r="J1749" s="26" t="s">
        <v>793</v>
      </c>
      <c r="K1749" s="26" t="s">
        <v>794</v>
      </c>
      <c r="L1749" s="26">
        <v>19000</v>
      </c>
      <c r="M1749" s="26">
        <v>0</v>
      </c>
      <c r="N1749" s="26">
        <v>0</v>
      </c>
      <c r="O1749" s="26">
        <v>119000</v>
      </c>
      <c r="P1749" s="26" t="s">
        <v>41</v>
      </c>
      <c r="Q1749" s="26" t="s">
        <v>42</v>
      </c>
      <c r="R1749" s="26"/>
      <c r="S1749" s="26"/>
      <c r="T1749" s="26"/>
      <c r="U1749" s="26"/>
      <c r="V1749" s="26" t="s">
        <v>43</v>
      </c>
      <c r="W1749" s="26"/>
      <c r="X1749" s="26"/>
    </row>
    <row r="1750" spans="1:24">
      <c r="A1750" s="32" t="s">
        <v>31</v>
      </c>
      <c r="B1750" s="32" t="s">
        <v>6768</v>
      </c>
      <c r="C1750" s="32" t="s">
        <v>6769</v>
      </c>
      <c r="D1750" s="32">
        <f t="shared" si="29"/>
        <v>-1</v>
      </c>
      <c r="E1750" s="32" t="s">
        <v>34</v>
      </c>
      <c r="F1750" s="32" t="s">
        <v>6730</v>
      </c>
      <c r="G1750" s="32" t="s">
        <v>6770</v>
      </c>
      <c r="H1750" s="32" t="s">
        <v>37</v>
      </c>
      <c r="I1750" s="32" t="s">
        <v>38</v>
      </c>
      <c r="J1750" s="32" t="s">
        <v>1803</v>
      </c>
      <c r="K1750" s="32" t="s">
        <v>1804</v>
      </c>
      <c r="L1750" s="32">
        <v>319200</v>
      </c>
      <c r="M1750" s="32">
        <v>0</v>
      </c>
      <c r="N1750" s="32">
        <v>0</v>
      </c>
      <c r="O1750" s="32">
        <v>1999200</v>
      </c>
      <c r="P1750" s="32" t="s">
        <v>41</v>
      </c>
      <c r="Q1750" s="32" t="s">
        <v>42</v>
      </c>
      <c r="R1750" s="26" t="s">
        <v>43</v>
      </c>
      <c r="S1750" s="26"/>
      <c r="T1750" s="26"/>
      <c r="U1750" s="26"/>
      <c r="V1750" s="26"/>
      <c r="W1750" s="26"/>
      <c r="X1750" s="26"/>
    </row>
    <row r="1751" spans="1:24">
      <c r="A1751" s="26" t="s">
        <v>31</v>
      </c>
      <c r="B1751" s="26" t="s">
        <v>6771</v>
      </c>
      <c r="C1751" s="26" t="s">
        <v>6772</v>
      </c>
      <c r="D1751" s="26">
        <f t="shared" si="29"/>
        <v>-1</v>
      </c>
      <c r="E1751" s="26" t="s">
        <v>34</v>
      </c>
      <c r="F1751" s="26" t="s">
        <v>6730</v>
      </c>
      <c r="G1751" s="26" t="s">
        <v>6773</v>
      </c>
      <c r="H1751" s="26" t="s">
        <v>37</v>
      </c>
      <c r="I1751" s="26" t="s">
        <v>38</v>
      </c>
      <c r="J1751" s="26" t="s">
        <v>6774</v>
      </c>
      <c r="K1751" s="26" t="s">
        <v>6775</v>
      </c>
      <c r="L1751" s="26">
        <v>212412.4</v>
      </c>
      <c r="M1751" s="26">
        <v>0</v>
      </c>
      <c r="N1751" s="26">
        <v>0</v>
      </c>
      <c r="O1751" s="26">
        <v>1330372.3999999999</v>
      </c>
      <c r="P1751" s="26" t="s">
        <v>41</v>
      </c>
      <c r="Q1751" s="26" t="s">
        <v>42</v>
      </c>
      <c r="R1751" s="26"/>
      <c r="S1751" s="26"/>
      <c r="T1751" s="26"/>
      <c r="U1751" s="26"/>
      <c r="V1751" s="26" t="s">
        <v>43</v>
      </c>
      <c r="W1751" s="26"/>
      <c r="X1751" s="26"/>
    </row>
    <row r="1752" spans="1:24">
      <c r="A1752" s="35" t="s">
        <v>31</v>
      </c>
      <c r="B1752" s="35" t="s">
        <v>6776</v>
      </c>
      <c r="C1752" s="35" t="s">
        <v>6777</v>
      </c>
      <c r="D1752" s="35">
        <f t="shared" si="29"/>
        <v>-1</v>
      </c>
      <c r="E1752" s="35" t="s">
        <v>34</v>
      </c>
      <c r="F1752" s="35" t="s">
        <v>6730</v>
      </c>
      <c r="G1752" s="35" t="s">
        <v>6778</v>
      </c>
      <c r="H1752" s="35" t="s">
        <v>37</v>
      </c>
      <c r="I1752" s="35" t="s">
        <v>38</v>
      </c>
      <c r="J1752" s="35" t="s">
        <v>6779</v>
      </c>
      <c r="K1752" s="35" t="s">
        <v>6780</v>
      </c>
      <c r="L1752" s="35">
        <v>5985126.3499999996</v>
      </c>
      <c r="M1752" s="35">
        <v>0</v>
      </c>
      <c r="N1752" s="35">
        <v>0</v>
      </c>
      <c r="O1752" s="35">
        <v>37485791.350000001</v>
      </c>
      <c r="P1752" s="35" t="s">
        <v>41</v>
      </c>
      <c r="Q1752" s="35" t="s">
        <v>42</v>
      </c>
      <c r="R1752" s="26"/>
      <c r="S1752" s="26"/>
      <c r="T1752" s="26"/>
      <c r="U1752" s="26"/>
      <c r="V1752" s="26"/>
      <c r="W1752" s="35" t="s">
        <v>628</v>
      </c>
      <c r="X1752" s="26" t="s">
        <v>6781</v>
      </c>
    </row>
    <row r="1753" spans="1:24">
      <c r="A1753" s="32" t="s">
        <v>31</v>
      </c>
      <c r="B1753" s="32" t="s">
        <v>6782</v>
      </c>
      <c r="C1753" s="32" t="s">
        <v>6783</v>
      </c>
      <c r="D1753" s="32">
        <f t="shared" si="29"/>
        <v>-1</v>
      </c>
      <c r="E1753" s="32" t="s">
        <v>34</v>
      </c>
      <c r="F1753" s="32" t="s">
        <v>6730</v>
      </c>
      <c r="G1753" s="32" t="s">
        <v>6784</v>
      </c>
      <c r="H1753" s="32" t="s">
        <v>37</v>
      </c>
      <c r="I1753" s="32" t="s">
        <v>38</v>
      </c>
      <c r="J1753" s="32" t="s">
        <v>6785</v>
      </c>
      <c r="K1753" s="32" t="s">
        <v>6786</v>
      </c>
      <c r="L1753" s="32">
        <v>142500</v>
      </c>
      <c r="M1753" s="32">
        <v>0</v>
      </c>
      <c r="N1753" s="32">
        <v>0</v>
      </c>
      <c r="O1753" s="32">
        <v>892500</v>
      </c>
      <c r="P1753" s="32" t="s">
        <v>41</v>
      </c>
      <c r="Q1753" s="32" t="s">
        <v>42</v>
      </c>
      <c r="R1753" s="26" t="s">
        <v>43</v>
      </c>
      <c r="S1753" s="26"/>
      <c r="T1753" s="26"/>
      <c r="U1753" s="26"/>
      <c r="V1753" s="26"/>
      <c r="W1753" s="26"/>
      <c r="X1753" s="26"/>
    </row>
    <row r="1754" spans="1:24">
      <c r="A1754" s="26" t="s">
        <v>31</v>
      </c>
      <c r="B1754" s="26" t="s">
        <v>6787</v>
      </c>
      <c r="C1754" s="26" t="s">
        <v>6788</v>
      </c>
      <c r="D1754" s="26">
        <f t="shared" si="29"/>
        <v>-1</v>
      </c>
      <c r="E1754" s="26" t="s">
        <v>34</v>
      </c>
      <c r="F1754" s="26" t="s">
        <v>6730</v>
      </c>
      <c r="G1754" s="26" t="s">
        <v>6789</v>
      </c>
      <c r="H1754" s="26" t="s">
        <v>37</v>
      </c>
      <c r="I1754" s="26" t="s">
        <v>38</v>
      </c>
      <c r="J1754" s="26" t="s">
        <v>1610</v>
      </c>
      <c r="K1754" s="26" t="s">
        <v>1611</v>
      </c>
      <c r="L1754" s="26">
        <v>3670800</v>
      </c>
      <c r="M1754" s="26">
        <v>0</v>
      </c>
      <c r="N1754" s="26">
        <v>0</v>
      </c>
      <c r="O1754" s="26">
        <v>22990800</v>
      </c>
      <c r="P1754" s="26" t="s">
        <v>41</v>
      </c>
      <c r="Q1754" s="26" t="s">
        <v>42</v>
      </c>
      <c r="R1754" s="26"/>
      <c r="S1754" s="26"/>
      <c r="T1754" s="26"/>
      <c r="U1754" s="26"/>
      <c r="V1754" s="26" t="s">
        <v>43</v>
      </c>
      <c r="W1754" s="26"/>
      <c r="X1754" s="26"/>
    </row>
    <row r="1755" spans="1:24">
      <c r="A1755" s="26" t="s">
        <v>31</v>
      </c>
      <c r="B1755" s="26" t="s">
        <v>6790</v>
      </c>
      <c r="C1755" s="26" t="s">
        <v>6791</v>
      </c>
      <c r="D1755" s="26">
        <f t="shared" si="29"/>
        <v>-1</v>
      </c>
      <c r="E1755" s="26" t="s">
        <v>34</v>
      </c>
      <c r="F1755" s="26" t="s">
        <v>6730</v>
      </c>
      <c r="G1755" s="26" t="s">
        <v>6792</v>
      </c>
      <c r="H1755" s="26" t="s">
        <v>37</v>
      </c>
      <c r="I1755" s="26" t="s">
        <v>38</v>
      </c>
      <c r="J1755" s="26" t="s">
        <v>2430</v>
      </c>
      <c r="K1755" s="26" t="s">
        <v>6100</v>
      </c>
      <c r="L1755" s="26">
        <v>5030177.99</v>
      </c>
      <c r="M1755" s="26">
        <v>0</v>
      </c>
      <c r="N1755" s="26">
        <v>0</v>
      </c>
      <c r="O1755" s="26">
        <v>31504798.989999998</v>
      </c>
      <c r="P1755" s="26" t="s">
        <v>41</v>
      </c>
      <c r="Q1755" s="26" t="s">
        <v>42</v>
      </c>
      <c r="R1755" s="26"/>
      <c r="S1755" s="26"/>
      <c r="T1755" s="26"/>
      <c r="U1755" s="26"/>
      <c r="V1755" s="26" t="s">
        <v>43</v>
      </c>
      <c r="W1755" s="26"/>
      <c r="X1755" s="26"/>
    </row>
    <row r="1756" spans="1:24">
      <c r="A1756" s="32" t="s">
        <v>31</v>
      </c>
      <c r="B1756" s="32" t="s">
        <v>6793</v>
      </c>
      <c r="C1756" s="32" t="s">
        <v>6794</v>
      </c>
      <c r="D1756" s="32">
        <f t="shared" si="29"/>
        <v>-1</v>
      </c>
      <c r="E1756" s="32" t="s">
        <v>34</v>
      </c>
      <c r="F1756" s="32" t="s">
        <v>6730</v>
      </c>
      <c r="G1756" s="32" t="s">
        <v>6795</v>
      </c>
      <c r="H1756" s="32" t="s">
        <v>37</v>
      </c>
      <c r="I1756" s="32" t="s">
        <v>38</v>
      </c>
      <c r="J1756" s="32" t="s">
        <v>6796</v>
      </c>
      <c r="K1756" s="32" t="s">
        <v>6797</v>
      </c>
      <c r="L1756" s="32">
        <v>0</v>
      </c>
      <c r="M1756" s="32">
        <v>0</v>
      </c>
      <c r="N1756" s="32">
        <v>0</v>
      </c>
      <c r="O1756" s="32">
        <v>8504848</v>
      </c>
      <c r="P1756" s="32" t="s">
        <v>41</v>
      </c>
      <c r="Q1756" s="32" t="s">
        <v>42</v>
      </c>
      <c r="R1756" s="26" t="s">
        <v>628</v>
      </c>
      <c r="S1756" s="26"/>
      <c r="T1756" s="26"/>
      <c r="U1756" s="26"/>
      <c r="V1756" s="26"/>
      <c r="W1756" s="26"/>
      <c r="X1756" s="26"/>
    </row>
    <row r="1757" spans="1:24">
      <c r="A1757" s="26" t="s">
        <v>31</v>
      </c>
      <c r="B1757" s="26" t="s">
        <v>6798</v>
      </c>
      <c r="C1757" s="26" t="s">
        <v>6799</v>
      </c>
      <c r="D1757" s="26">
        <f t="shared" si="29"/>
        <v>-1</v>
      </c>
      <c r="E1757" s="26" t="s">
        <v>34</v>
      </c>
      <c r="F1757" s="26" t="s">
        <v>6730</v>
      </c>
      <c r="G1757" s="26" t="s">
        <v>6795</v>
      </c>
      <c r="H1757" s="26" t="s">
        <v>37</v>
      </c>
      <c r="I1757" s="26" t="s">
        <v>38</v>
      </c>
      <c r="J1757" s="26" t="s">
        <v>6800</v>
      </c>
      <c r="K1757" s="26" t="s">
        <v>6801</v>
      </c>
      <c r="L1757" s="26">
        <v>136016.46</v>
      </c>
      <c r="M1757" s="26">
        <v>0</v>
      </c>
      <c r="N1757" s="26">
        <v>0</v>
      </c>
      <c r="O1757" s="26">
        <v>1612574.46</v>
      </c>
      <c r="P1757" s="26" t="s">
        <v>41</v>
      </c>
      <c r="Q1757" s="26" t="s">
        <v>42</v>
      </c>
      <c r="R1757" s="26"/>
      <c r="S1757" s="26"/>
      <c r="T1757" s="26"/>
      <c r="U1757" s="26"/>
      <c r="V1757" s="26" t="s">
        <v>43</v>
      </c>
      <c r="W1757" s="26"/>
      <c r="X1757" s="26"/>
    </row>
    <row r="1758" spans="1:24">
      <c r="A1758" s="26" t="s">
        <v>31</v>
      </c>
      <c r="B1758" s="26" t="s">
        <v>6802</v>
      </c>
      <c r="C1758" s="26" t="s">
        <v>6803</v>
      </c>
      <c r="D1758" s="26">
        <f t="shared" si="29"/>
        <v>-1</v>
      </c>
      <c r="E1758" s="26" t="s">
        <v>34</v>
      </c>
      <c r="F1758" s="26" t="s">
        <v>6730</v>
      </c>
      <c r="G1758" s="26" t="s">
        <v>6804</v>
      </c>
      <c r="H1758" s="26" t="s">
        <v>37</v>
      </c>
      <c r="I1758" s="26" t="s">
        <v>38</v>
      </c>
      <c r="J1758" s="26" t="s">
        <v>1647</v>
      </c>
      <c r="K1758" s="26" t="s">
        <v>1648</v>
      </c>
      <c r="L1758" s="26">
        <v>189297</v>
      </c>
      <c r="M1758" s="26">
        <v>0</v>
      </c>
      <c r="N1758" s="26">
        <v>0</v>
      </c>
      <c r="O1758" s="26">
        <v>1185597</v>
      </c>
      <c r="P1758" s="26" t="s">
        <v>41</v>
      </c>
      <c r="Q1758" s="26" t="s">
        <v>42</v>
      </c>
      <c r="R1758" s="26"/>
      <c r="S1758" s="26"/>
      <c r="T1758" s="26"/>
      <c r="U1758" s="26"/>
      <c r="V1758" s="26" t="s">
        <v>43</v>
      </c>
      <c r="W1758" s="26"/>
      <c r="X1758" s="26"/>
    </row>
    <row r="1759" spans="1:24">
      <c r="A1759" s="26" t="s">
        <v>31</v>
      </c>
      <c r="B1759" s="26" t="s">
        <v>6805</v>
      </c>
      <c r="C1759" s="26" t="s">
        <v>6806</v>
      </c>
      <c r="D1759" s="26">
        <f t="shared" si="29"/>
        <v>-1</v>
      </c>
      <c r="E1759" s="26" t="s">
        <v>34</v>
      </c>
      <c r="F1759" s="26" t="s">
        <v>6730</v>
      </c>
      <c r="G1759" s="26" t="s">
        <v>6807</v>
      </c>
      <c r="H1759" s="26" t="s">
        <v>37</v>
      </c>
      <c r="I1759" s="26" t="s">
        <v>38</v>
      </c>
      <c r="J1759" s="26" t="s">
        <v>6808</v>
      </c>
      <c r="K1759" s="26" t="s">
        <v>6809</v>
      </c>
      <c r="L1759" s="26">
        <v>0</v>
      </c>
      <c r="M1759" s="26">
        <v>0</v>
      </c>
      <c r="N1759" s="26">
        <v>0</v>
      </c>
      <c r="O1759" s="26">
        <v>445000</v>
      </c>
      <c r="P1759" s="26" t="s">
        <v>41</v>
      </c>
      <c r="Q1759" s="26" t="s">
        <v>42</v>
      </c>
      <c r="R1759" s="26"/>
      <c r="S1759" s="26"/>
      <c r="T1759" s="26"/>
      <c r="U1759" s="26"/>
      <c r="V1759" s="26" t="s">
        <v>43</v>
      </c>
      <c r="W1759" s="26"/>
      <c r="X1759" s="26"/>
    </row>
    <row r="1760" spans="1:24">
      <c r="A1760" s="26" t="s">
        <v>31</v>
      </c>
      <c r="B1760" s="26" t="s">
        <v>6810</v>
      </c>
      <c r="C1760" s="26" t="s">
        <v>6811</v>
      </c>
      <c r="D1760" s="26">
        <f t="shared" si="29"/>
        <v>-1</v>
      </c>
      <c r="E1760" s="26" t="s">
        <v>34</v>
      </c>
      <c r="F1760" s="26" t="s">
        <v>6730</v>
      </c>
      <c r="G1760" s="26" t="s">
        <v>6812</v>
      </c>
      <c r="H1760" s="26" t="s">
        <v>37</v>
      </c>
      <c r="I1760" s="26" t="s">
        <v>38</v>
      </c>
      <c r="J1760" s="26" t="s">
        <v>1647</v>
      </c>
      <c r="K1760" s="26" t="s">
        <v>1648</v>
      </c>
      <c r="L1760" s="26">
        <v>49089</v>
      </c>
      <c r="M1760" s="26">
        <v>0</v>
      </c>
      <c r="N1760" s="26">
        <v>0</v>
      </c>
      <c r="O1760" s="26">
        <v>557189</v>
      </c>
      <c r="P1760" s="26" t="s">
        <v>41</v>
      </c>
      <c r="Q1760" s="26" t="s">
        <v>42</v>
      </c>
      <c r="R1760" s="26"/>
      <c r="S1760" s="26"/>
      <c r="T1760" s="26"/>
      <c r="U1760" s="26"/>
      <c r="V1760" s="26" t="s">
        <v>43</v>
      </c>
      <c r="W1760" s="26"/>
      <c r="X1760" s="26"/>
    </row>
    <row r="1761" spans="1:24">
      <c r="A1761" s="26" t="s">
        <v>31</v>
      </c>
      <c r="B1761" s="26" t="s">
        <v>6813</v>
      </c>
      <c r="C1761" s="26" t="s">
        <v>6814</v>
      </c>
      <c r="D1761" s="26">
        <f t="shared" si="29"/>
        <v>-1</v>
      </c>
      <c r="E1761" s="26" t="s">
        <v>34</v>
      </c>
      <c r="F1761" s="26" t="s">
        <v>6730</v>
      </c>
      <c r="G1761" s="26" t="s">
        <v>6815</v>
      </c>
      <c r="H1761" s="26" t="s">
        <v>37</v>
      </c>
      <c r="I1761" s="26" t="s">
        <v>38</v>
      </c>
      <c r="J1761" s="26" t="s">
        <v>1647</v>
      </c>
      <c r="K1761" s="26" t="s">
        <v>1648</v>
      </c>
      <c r="L1761" s="26">
        <v>49875</v>
      </c>
      <c r="M1761" s="26">
        <v>0</v>
      </c>
      <c r="N1761" s="26">
        <v>0</v>
      </c>
      <c r="O1761" s="26">
        <v>312375</v>
      </c>
      <c r="P1761" s="26" t="s">
        <v>41</v>
      </c>
      <c r="Q1761" s="26" t="s">
        <v>42</v>
      </c>
      <c r="R1761" s="26"/>
      <c r="S1761" s="26"/>
      <c r="T1761" s="26"/>
      <c r="U1761" s="26"/>
      <c r="V1761" s="26" t="s">
        <v>43</v>
      </c>
      <c r="W1761" s="26"/>
      <c r="X1761" s="26"/>
    </row>
    <row r="1762" spans="1:24">
      <c r="A1762" s="26" t="s">
        <v>31</v>
      </c>
      <c r="B1762" s="26" t="s">
        <v>6816</v>
      </c>
      <c r="C1762" s="26" t="s">
        <v>6817</v>
      </c>
      <c r="D1762" s="26">
        <f t="shared" si="29"/>
        <v>-1</v>
      </c>
      <c r="E1762" s="26" t="s">
        <v>34</v>
      </c>
      <c r="F1762" s="26" t="s">
        <v>6730</v>
      </c>
      <c r="G1762" s="26" t="s">
        <v>6818</v>
      </c>
      <c r="H1762" s="26" t="s">
        <v>37</v>
      </c>
      <c r="I1762" s="26" t="s">
        <v>38</v>
      </c>
      <c r="J1762" s="26" t="s">
        <v>1647</v>
      </c>
      <c r="K1762" s="26" t="s">
        <v>1648</v>
      </c>
      <c r="L1762" s="26">
        <v>6678.5</v>
      </c>
      <c r="M1762" s="26">
        <v>0</v>
      </c>
      <c r="N1762" s="26">
        <v>0</v>
      </c>
      <c r="O1762" s="26">
        <v>46678.5</v>
      </c>
      <c r="P1762" s="26" t="s">
        <v>41</v>
      </c>
      <c r="Q1762" s="26" t="s">
        <v>42</v>
      </c>
      <c r="R1762" s="26"/>
      <c r="S1762" s="26"/>
      <c r="T1762" s="26"/>
      <c r="U1762" s="26"/>
      <c r="V1762" s="26" t="s">
        <v>43</v>
      </c>
      <c r="W1762" s="26"/>
      <c r="X1762" s="26"/>
    </row>
    <row r="1763" spans="1:24">
      <c r="A1763" s="26" t="s">
        <v>31</v>
      </c>
      <c r="B1763" s="26" t="s">
        <v>6819</v>
      </c>
      <c r="C1763" s="26" t="s">
        <v>6820</v>
      </c>
      <c r="D1763" s="26">
        <f t="shared" si="29"/>
        <v>-1</v>
      </c>
      <c r="E1763" s="26" t="s">
        <v>34</v>
      </c>
      <c r="F1763" s="26" t="s">
        <v>6730</v>
      </c>
      <c r="G1763" s="26" t="s">
        <v>6821</v>
      </c>
      <c r="H1763" s="26" t="s">
        <v>37</v>
      </c>
      <c r="I1763" s="26" t="s">
        <v>38</v>
      </c>
      <c r="J1763" s="26" t="s">
        <v>1647</v>
      </c>
      <c r="K1763" s="26" t="s">
        <v>1648</v>
      </c>
      <c r="L1763" s="26">
        <v>60464</v>
      </c>
      <c r="M1763" s="26">
        <v>0</v>
      </c>
      <c r="N1763" s="26">
        <v>0</v>
      </c>
      <c r="O1763" s="26">
        <v>650264</v>
      </c>
      <c r="P1763" s="26" t="s">
        <v>41</v>
      </c>
      <c r="Q1763" s="26" t="s">
        <v>42</v>
      </c>
      <c r="R1763" s="26"/>
      <c r="S1763" s="26"/>
      <c r="T1763" s="26"/>
      <c r="U1763" s="26"/>
      <c r="V1763" s="26" t="s">
        <v>43</v>
      </c>
      <c r="W1763" s="26"/>
      <c r="X1763" s="26"/>
    </row>
    <row r="1764" spans="1:24">
      <c r="A1764" s="26" t="s">
        <v>31</v>
      </c>
      <c r="B1764" s="26" t="s">
        <v>6822</v>
      </c>
      <c r="C1764" s="26" t="s">
        <v>6823</v>
      </c>
      <c r="D1764" s="26">
        <f t="shared" si="29"/>
        <v>-1</v>
      </c>
      <c r="E1764" s="26" t="s">
        <v>34</v>
      </c>
      <c r="F1764" s="26" t="s">
        <v>6730</v>
      </c>
      <c r="G1764" s="26" t="s">
        <v>6824</v>
      </c>
      <c r="H1764" s="26" t="s">
        <v>37</v>
      </c>
      <c r="I1764" s="26" t="s">
        <v>38</v>
      </c>
      <c r="J1764" s="26" t="s">
        <v>3009</v>
      </c>
      <c r="K1764" s="26" t="s">
        <v>3010</v>
      </c>
      <c r="L1764" s="26">
        <v>348279.5</v>
      </c>
      <c r="M1764" s="26">
        <v>0</v>
      </c>
      <c r="N1764" s="26">
        <v>0</v>
      </c>
      <c r="O1764" s="26">
        <v>2181329.5</v>
      </c>
      <c r="P1764" s="26" t="s">
        <v>41</v>
      </c>
      <c r="Q1764" s="26" t="s">
        <v>42</v>
      </c>
      <c r="R1764" s="26"/>
      <c r="S1764" s="26"/>
      <c r="T1764" s="26"/>
      <c r="U1764" s="26"/>
      <c r="V1764" s="26" t="s">
        <v>43</v>
      </c>
      <c r="W1764" s="26"/>
      <c r="X1764" s="26"/>
    </row>
    <row r="1765" spans="1:24">
      <c r="A1765" s="26" t="s">
        <v>31</v>
      </c>
      <c r="B1765" s="26" t="s">
        <v>6825</v>
      </c>
      <c r="C1765" s="26" t="s">
        <v>6826</v>
      </c>
      <c r="D1765" s="26">
        <f t="shared" si="29"/>
        <v>-1</v>
      </c>
      <c r="E1765" s="26" t="s">
        <v>34</v>
      </c>
      <c r="F1765" s="26" t="s">
        <v>6730</v>
      </c>
      <c r="G1765" s="26" t="s">
        <v>6827</v>
      </c>
      <c r="H1765" s="26" t="s">
        <v>37</v>
      </c>
      <c r="I1765" s="26" t="s">
        <v>38</v>
      </c>
      <c r="J1765" s="26" t="s">
        <v>600</v>
      </c>
      <c r="K1765" s="26" t="s">
        <v>601</v>
      </c>
      <c r="L1765" s="26">
        <v>29355</v>
      </c>
      <c r="M1765" s="26">
        <v>0</v>
      </c>
      <c r="N1765" s="26">
        <v>0</v>
      </c>
      <c r="O1765" s="26">
        <v>183855</v>
      </c>
      <c r="P1765" s="26" t="s">
        <v>41</v>
      </c>
      <c r="Q1765" s="26" t="s">
        <v>42</v>
      </c>
      <c r="R1765" s="26"/>
      <c r="S1765" s="26"/>
      <c r="T1765" s="26"/>
      <c r="U1765" s="26"/>
      <c r="V1765" s="26" t="s">
        <v>43</v>
      </c>
      <c r="W1765" s="26"/>
      <c r="X1765" s="26"/>
    </row>
    <row r="1766" spans="1:24">
      <c r="A1766" s="26" t="s">
        <v>31</v>
      </c>
      <c r="B1766" s="26" t="s">
        <v>6828</v>
      </c>
      <c r="C1766" s="26" t="s">
        <v>6829</v>
      </c>
      <c r="D1766" s="26">
        <f t="shared" si="29"/>
        <v>-1</v>
      </c>
      <c r="E1766" s="26" t="s">
        <v>34</v>
      </c>
      <c r="F1766" s="26" t="s">
        <v>6730</v>
      </c>
      <c r="G1766" s="26" t="s">
        <v>6830</v>
      </c>
      <c r="H1766" s="26" t="s">
        <v>37</v>
      </c>
      <c r="I1766" s="26" t="s">
        <v>38</v>
      </c>
      <c r="J1766" s="26" t="s">
        <v>6831</v>
      </c>
      <c r="K1766" s="26" t="s">
        <v>6832</v>
      </c>
      <c r="L1766" s="26">
        <v>169100</v>
      </c>
      <c r="M1766" s="26">
        <v>0</v>
      </c>
      <c r="N1766" s="26">
        <v>0</v>
      </c>
      <c r="O1766" s="26">
        <v>1059100</v>
      </c>
      <c r="P1766" s="26" t="s">
        <v>41</v>
      </c>
      <c r="Q1766" s="26" t="s">
        <v>42</v>
      </c>
      <c r="R1766" s="26"/>
      <c r="S1766" s="26"/>
      <c r="T1766" s="26"/>
      <c r="U1766" s="26"/>
      <c r="V1766" s="26" t="s">
        <v>43</v>
      </c>
      <c r="W1766" s="26"/>
      <c r="X1766" s="26"/>
    </row>
    <row r="1767" spans="1:24">
      <c r="A1767" s="26" t="s">
        <v>31</v>
      </c>
      <c r="B1767" s="26" t="s">
        <v>6833</v>
      </c>
      <c r="C1767" s="26" t="s">
        <v>6834</v>
      </c>
      <c r="D1767" s="26">
        <f t="shared" si="29"/>
        <v>-1</v>
      </c>
      <c r="E1767" s="26" t="s">
        <v>34</v>
      </c>
      <c r="F1767" s="26" t="s">
        <v>6730</v>
      </c>
      <c r="G1767" s="26" t="s">
        <v>6835</v>
      </c>
      <c r="H1767" s="26" t="s">
        <v>37</v>
      </c>
      <c r="I1767" s="26" t="s">
        <v>38</v>
      </c>
      <c r="J1767" s="26" t="s">
        <v>3801</v>
      </c>
      <c r="K1767" s="26" t="s">
        <v>3802</v>
      </c>
      <c r="L1767" s="26">
        <v>51205</v>
      </c>
      <c r="M1767" s="26">
        <v>0</v>
      </c>
      <c r="N1767" s="26">
        <v>0</v>
      </c>
      <c r="O1767" s="26">
        <v>320705</v>
      </c>
      <c r="P1767" s="26" t="s">
        <v>41</v>
      </c>
      <c r="Q1767" s="26" t="s">
        <v>42</v>
      </c>
      <c r="R1767" s="26"/>
      <c r="S1767" s="26"/>
      <c r="T1767" s="26"/>
      <c r="U1767" s="26"/>
      <c r="V1767" s="26" t="s">
        <v>43</v>
      </c>
      <c r="W1767" s="26"/>
      <c r="X1767" s="26"/>
    </row>
    <row r="1768" spans="1:24">
      <c r="A1768" s="26" t="s">
        <v>31</v>
      </c>
      <c r="B1768" s="26" t="s">
        <v>6836</v>
      </c>
      <c r="C1768" s="26" t="s">
        <v>6837</v>
      </c>
      <c r="D1768" s="26">
        <f t="shared" si="29"/>
        <v>-1</v>
      </c>
      <c r="E1768" s="26" t="s">
        <v>34</v>
      </c>
      <c r="F1768" s="26" t="s">
        <v>6730</v>
      </c>
      <c r="G1768" s="26" t="s">
        <v>6838</v>
      </c>
      <c r="H1768" s="26" t="s">
        <v>37</v>
      </c>
      <c r="I1768" s="26" t="s">
        <v>38</v>
      </c>
      <c r="J1768" s="26" t="s">
        <v>6839</v>
      </c>
      <c r="K1768" s="26" t="s">
        <v>6840</v>
      </c>
      <c r="L1768" s="26">
        <v>67644</v>
      </c>
      <c r="M1768" s="26">
        <v>0</v>
      </c>
      <c r="N1768" s="26">
        <v>0</v>
      </c>
      <c r="O1768" s="26">
        <v>458444</v>
      </c>
      <c r="P1768" s="26" t="s">
        <v>41</v>
      </c>
      <c r="Q1768" s="26" t="s">
        <v>42</v>
      </c>
      <c r="R1768" s="26"/>
      <c r="S1768" s="26"/>
      <c r="T1768" s="26"/>
      <c r="U1768" s="26"/>
      <c r="V1768" s="26" t="s">
        <v>43</v>
      </c>
      <c r="W1768" s="26"/>
      <c r="X1768" s="26"/>
    </row>
    <row r="1769" spans="1:24">
      <c r="A1769" s="26" t="s">
        <v>31</v>
      </c>
      <c r="B1769" s="26" t="s">
        <v>6841</v>
      </c>
      <c r="C1769" s="26" t="s">
        <v>6842</v>
      </c>
      <c r="D1769" s="26">
        <f t="shared" ref="D1769:D1832" si="30">C1769-C1770</f>
        <v>-1</v>
      </c>
      <c r="E1769" s="26" t="s">
        <v>34</v>
      </c>
      <c r="F1769" s="26" t="s">
        <v>6730</v>
      </c>
      <c r="G1769" s="26" t="s">
        <v>6843</v>
      </c>
      <c r="H1769" s="26" t="s">
        <v>37</v>
      </c>
      <c r="I1769" s="26" t="s">
        <v>38</v>
      </c>
      <c r="J1769" s="26" t="s">
        <v>2352</v>
      </c>
      <c r="K1769" s="26" t="s">
        <v>2353</v>
      </c>
      <c r="L1769" s="26">
        <v>102600</v>
      </c>
      <c r="M1769" s="26">
        <v>0</v>
      </c>
      <c r="N1769" s="26">
        <v>0</v>
      </c>
      <c r="O1769" s="26">
        <v>642600</v>
      </c>
      <c r="P1769" s="26" t="s">
        <v>41</v>
      </c>
      <c r="Q1769" s="26" t="s">
        <v>42</v>
      </c>
      <c r="R1769" s="26"/>
      <c r="S1769" s="26"/>
      <c r="T1769" s="26"/>
      <c r="U1769" s="26"/>
      <c r="V1769" s="26" t="s">
        <v>43</v>
      </c>
      <c r="W1769" s="26"/>
      <c r="X1769" s="26"/>
    </row>
    <row r="1770" spans="1:24">
      <c r="A1770" s="26" t="s">
        <v>31</v>
      </c>
      <c r="B1770" s="26" t="s">
        <v>6844</v>
      </c>
      <c r="C1770" s="26" t="s">
        <v>6845</v>
      </c>
      <c r="D1770" s="26">
        <f t="shared" si="30"/>
        <v>-1</v>
      </c>
      <c r="E1770" s="26" t="s">
        <v>34</v>
      </c>
      <c r="F1770" s="26" t="s">
        <v>6730</v>
      </c>
      <c r="G1770" s="26" t="s">
        <v>6846</v>
      </c>
      <c r="H1770" s="26" t="s">
        <v>37</v>
      </c>
      <c r="I1770" s="26" t="s">
        <v>38</v>
      </c>
      <c r="J1770" s="26" t="s">
        <v>845</v>
      </c>
      <c r="K1770" s="26" t="s">
        <v>3689</v>
      </c>
      <c r="L1770" s="26">
        <v>27550</v>
      </c>
      <c r="M1770" s="26">
        <v>0</v>
      </c>
      <c r="N1770" s="26">
        <v>0</v>
      </c>
      <c r="O1770" s="26">
        <v>172550</v>
      </c>
      <c r="P1770" s="26" t="s">
        <v>41</v>
      </c>
      <c r="Q1770" s="26" t="s">
        <v>42</v>
      </c>
      <c r="R1770" s="26"/>
      <c r="S1770" s="26"/>
      <c r="T1770" s="26"/>
      <c r="U1770" s="26"/>
      <c r="V1770" s="26" t="s">
        <v>43</v>
      </c>
      <c r="W1770" s="26"/>
      <c r="X1770" s="26"/>
    </row>
    <row r="1771" spans="1:24">
      <c r="A1771" s="26" t="s">
        <v>31</v>
      </c>
      <c r="B1771" s="26" t="s">
        <v>6847</v>
      </c>
      <c r="C1771" s="26" t="s">
        <v>6848</v>
      </c>
      <c r="D1771" s="26">
        <f t="shared" si="30"/>
        <v>-1</v>
      </c>
      <c r="E1771" s="26" t="s">
        <v>34</v>
      </c>
      <c r="F1771" s="26" t="s">
        <v>6730</v>
      </c>
      <c r="G1771" s="26" t="s">
        <v>6849</v>
      </c>
      <c r="H1771" s="26" t="s">
        <v>37</v>
      </c>
      <c r="I1771" s="26" t="s">
        <v>38</v>
      </c>
      <c r="J1771" s="26" t="s">
        <v>845</v>
      </c>
      <c r="K1771" s="26" t="s">
        <v>3689</v>
      </c>
      <c r="L1771" s="26">
        <v>27550</v>
      </c>
      <c r="M1771" s="26">
        <v>0</v>
      </c>
      <c r="N1771" s="26">
        <v>0</v>
      </c>
      <c r="O1771" s="26">
        <v>172550</v>
      </c>
      <c r="P1771" s="26" t="s">
        <v>41</v>
      </c>
      <c r="Q1771" s="26" t="s">
        <v>42</v>
      </c>
      <c r="R1771" s="26"/>
      <c r="S1771" s="26"/>
      <c r="T1771" s="26"/>
      <c r="U1771" s="26"/>
      <c r="V1771" s="26" t="s">
        <v>43</v>
      </c>
      <c r="W1771" s="26"/>
      <c r="X1771" s="26"/>
    </row>
    <row r="1772" spans="1:24">
      <c r="A1772" s="26" t="s">
        <v>31</v>
      </c>
      <c r="B1772" s="26" t="s">
        <v>6850</v>
      </c>
      <c r="C1772" s="26" t="s">
        <v>6851</v>
      </c>
      <c r="D1772" s="26">
        <f t="shared" si="30"/>
        <v>-1</v>
      </c>
      <c r="E1772" s="26" t="s">
        <v>34</v>
      </c>
      <c r="F1772" s="26" t="s">
        <v>6730</v>
      </c>
      <c r="G1772" s="26" t="s">
        <v>6852</v>
      </c>
      <c r="H1772" s="26" t="s">
        <v>37</v>
      </c>
      <c r="I1772" s="26" t="s">
        <v>38</v>
      </c>
      <c r="J1772" s="26" t="s">
        <v>845</v>
      </c>
      <c r="K1772" s="26" t="s">
        <v>3689</v>
      </c>
      <c r="L1772" s="26">
        <v>27550</v>
      </c>
      <c r="M1772" s="26">
        <v>0</v>
      </c>
      <c r="N1772" s="26">
        <v>0</v>
      </c>
      <c r="O1772" s="26">
        <v>172550</v>
      </c>
      <c r="P1772" s="26" t="s">
        <v>41</v>
      </c>
      <c r="Q1772" s="26" t="s">
        <v>42</v>
      </c>
      <c r="R1772" s="26"/>
      <c r="S1772" s="26"/>
      <c r="T1772" s="26"/>
      <c r="U1772" s="26"/>
      <c r="V1772" s="26" t="s">
        <v>43</v>
      </c>
      <c r="W1772" s="26"/>
      <c r="X1772" s="26"/>
    </row>
    <row r="1773" spans="1:24">
      <c r="A1773" s="26" t="s">
        <v>31</v>
      </c>
      <c r="B1773" s="26" t="s">
        <v>6853</v>
      </c>
      <c r="C1773" s="26" t="s">
        <v>6854</v>
      </c>
      <c r="D1773" s="26">
        <f t="shared" si="30"/>
        <v>-1</v>
      </c>
      <c r="E1773" s="26" t="s">
        <v>34</v>
      </c>
      <c r="F1773" s="26" t="s">
        <v>6730</v>
      </c>
      <c r="G1773" s="26" t="s">
        <v>6855</v>
      </c>
      <c r="H1773" s="26" t="s">
        <v>37</v>
      </c>
      <c r="I1773" s="26" t="s">
        <v>38</v>
      </c>
      <c r="J1773" s="26" t="s">
        <v>845</v>
      </c>
      <c r="K1773" s="26" t="s">
        <v>3689</v>
      </c>
      <c r="L1773" s="26">
        <v>27550</v>
      </c>
      <c r="M1773" s="26">
        <v>0</v>
      </c>
      <c r="N1773" s="26">
        <v>0</v>
      </c>
      <c r="O1773" s="26">
        <v>172550</v>
      </c>
      <c r="P1773" s="26" t="s">
        <v>41</v>
      </c>
      <c r="Q1773" s="26" t="s">
        <v>42</v>
      </c>
      <c r="R1773" s="26"/>
      <c r="S1773" s="26"/>
      <c r="T1773" s="26"/>
      <c r="U1773" s="26"/>
      <c r="V1773" s="26" t="s">
        <v>43</v>
      </c>
      <c r="W1773" s="26"/>
      <c r="X1773" s="26"/>
    </row>
    <row r="1774" spans="1:24">
      <c r="A1774" s="26" t="s">
        <v>31</v>
      </c>
      <c r="B1774" s="26" t="s">
        <v>6856</v>
      </c>
      <c r="C1774" s="26" t="s">
        <v>6857</v>
      </c>
      <c r="D1774" s="26">
        <f t="shared" si="30"/>
        <v>-1</v>
      </c>
      <c r="E1774" s="26" t="s">
        <v>34</v>
      </c>
      <c r="F1774" s="26" t="s">
        <v>6730</v>
      </c>
      <c r="G1774" s="26" t="s">
        <v>6858</v>
      </c>
      <c r="H1774" s="26" t="s">
        <v>37</v>
      </c>
      <c r="I1774" s="26" t="s">
        <v>38</v>
      </c>
      <c r="J1774" s="26" t="s">
        <v>1748</v>
      </c>
      <c r="K1774" s="26" t="s">
        <v>1749</v>
      </c>
      <c r="L1774" s="26">
        <v>60610</v>
      </c>
      <c r="M1774" s="26">
        <v>0</v>
      </c>
      <c r="N1774" s="26">
        <v>0</v>
      </c>
      <c r="O1774" s="26">
        <v>379610</v>
      </c>
      <c r="P1774" s="26" t="s">
        <v>41</v>
      </c>
      <c r="Q1774" s="26" t="s">
        <v>42</v>
      </c>
      <c r="R1774" s="26"/>
      <c r="S1774" s="26"/>
      <c r="T1774" s="26"/>
      <c r="U1774" s="26"/>
      <c r="V1774" s="26" t="s">
        <v>43</v>
      </c>
      <c r="W1774" s="26"/>
      <c r="X1774" s="26"/>
    </row>
    <row r="1775" spans="1:24">
      <c r="A1775" s="26" t="s">
        <v>31</v>
      </c>
      <c r="B1775" s="26" t="s">
        <v>6859</v>
      </c>
      <c r="C1775" s="26" t="s">
        <v>6860</v>
      </c>
      <c r="D1775" s="26">
        <f t="shared" si="30"/>
        <v>-1</v>
      </c>
      <c r="E1775" s="26" t="s">
        <v>34</v>
      </c>
      <c r="F1775" s="26" t="s">
        <v>6730</v>
      </c>
      <c r="G1775" s="26" t="s">
        <v>6861</v>
      </c>
      <c r="H1775" s="26" t="s">
        <v>37</v>
      </c>
      <c r="I1775" s="26" t="s">
        <v>38</v>
      </c>
      <c r="J1775" s="26" t="s">
        <v>6862</v>
      </c>
      <c r="K1775" s="26" t="s">
        <v>6863</v>
      </c>
      <c r="L1775" s="26">
        <v>85693.8</v>
      </c>
      <c r="M1775" s="26">
        <v>0</v>
      </c>
      <c r="N1775" s="26">
        <v>0</v>
      </c>
      <c r="O1775" s="26">
        <v>618033.80000000005</v>
      </c>
      <c r="P1775" s="26" t="s">
        <v>41</v>
      </c>
      <c r="Q1775" s="26" t="s">
        <v>42</v>
      </c>
      <c r="R1775" s="26"/>
      <c r="S1775" s="26"/>
      <c r="T1775" s="26"/>
      <c r="U1775" s="26"/>
      <c r="V1775" s="26" t="s">
        <v>43</v>
      </c>
      <c r="W1775" s="26"/>
      <c r="X1775" s="26"/>
    </row>
    <row r="1776" spans="1:24">
      <c r="A1776" s="32" t="s">
        <v>31</v>
      </c>
      <c r="B1776" s="32" t="s">
        <v>6864</v>
      </c>
      <c r="C1776" s="32" t="s">
        <v>6865</v>
      </c>
      <c r="D1776" s="32">
        <f t="shared" si="30"/>
        <v>-1</v>
      </c>
      <c r="E1776" s="32" t="s">
        <v>34</v>
      </c>
      <c r="F1776" s="32" t="s">
        <v>6730</v>
      </c>
      <c r="G1776" s="32" t="s">
        <v>6866</v>
      </c>
      <c r="H1776" s="32" t="s">
        <v>37</v>
      </c>
      <c r="I1776" s="32" t="s">
        <v>38</v>
      </c>
      <c r="J1776" s="32" t="s">
        <v>6867</v>
      </c>
      <c r="K1776" s="32" t="s">
        <v>6868</v>
      </c>
      <c r="L1776" s="32">
        <v>1176860</v>
      </c>
      <c r="M1776" s="32">
        <v>0</v>
      </c>
      <c r="N1776" s="32">
        <v>0</v>
      </c>
      <c r="O1776" s="32">
        <v>7370860</v>
      </c>
      <c r="P1776" s="32" t="s">
        <v>41</v>
      </c>
      <c r="Q1776" s="32" t="s">
        <v>42</v>
      </c>
      <c r="R1776" s="26" t="s">
        <v>628</v>
      </c>
      <c r="S1776" s="26"/>
      <c r="T1776" s="26"/>
      <c r="U1776" s="26"/>
      <c r="V1776" s="26"/>
      <c r="W1776" s="26"/>
      <c r="X1776" s="26"/>
    </row>
    <row r="1777" spans="1:24">
      <c r="A1777" s="26" t="s">
        <v>31</v>
      </c>
      <c r="B1777" s="26" t="s">
        <v>6869</v>
      </c>
      <c r="C1777" s="26" t="s">
        <v>6870</v>
      </c>
      <c r="D1777" s="26">
        <f t="shared" si="30"/>
        <v>-1</v>
      </c>
      <c r="E1777" s="26" t="s">
        <v>34</v>
      </c>
      <c r="F1777" s="26" t="s">
        <v>6730</v>
      </c>
      <c r="G1777" s="26" t="s">
        <v>6871</v>
      </c>
      <c r="H1777" s="26" t="s">
        <v>37</v>
      </c>
      <c r="I1777" s="26" t="s">
        <v>38</v>
      </c>
      <c r="J1777" s="26" t="s">
        <v>2297</v>
      </c>
      <c r="K1777" s="26" t="s">
        <v>2298</v>
      </c>
      <c r="L1777" s="26">
        <v>53200</v>
      </c>
      <c r="M1777" s="26">
        <v>0</v>
      </c>
      <c r="N1777" s="26">
        <v>0</v>
      </c>
      <c r="O1777" s="26">
        <v>333200</v>
      </c>
      <c r="P1777" s="26" t="s">
        <v>41</v>
      </c>
      <c r="Q1777" s="26" t="s">
        <v>42</v>
      </c>
      <c r="R1777" s="26"/>
      <c r="S1777" s="26"/>
      <c r="T1777" s="26"/>
      <c r="U1777" s="26"/>
      <c r="V1777" s="26" t="s">
        <v>43</v>
      </c>
      <c r="W1777" s="26"/>
      <c r="X1777" s="26"/>
    </row>
    <row r="1778" spans="1:24">
      <c r="A1778" s="26" t="s">
        <v>31</v>
      </c>
      <c r="B1778" s="26" t="s">
        <v>6872</v>
      </c>
      <c r="C1778" s="26" t="s">
        <v>6873</v>
      </c>
      <c r="D1778" s="26">
        <f t="shared" si="30"/>
        <v>-1</v>
      </c>
      <c r="E1778" s="26" t="s">
        <v>34</v>
      </c>
      <c r="F1778" s="26" t="s">
        <v>6730</v>
      </c>
      <c r="G1778" s="26" t="s">
        <v>6874</v>
      </c>
      <c r="H1778" s="26" t="s">
        <v>37</v>
      </c>
      <c r="I1778" s="26" t="s">
        <v>38</v>
      </c>
      <c r="J1778" s="26" t="s">
        <v>6875</v>
      </c>
      <c r="K1778" s="26" t="s">
        <v>6876</v>
      </c>
      <c r="L1778" s="26">
        <v>206336.2</v>
      </c>
      <c r="M1778" s="26">
        <v>0</v>
      </c>
      <c r="N1778" s="26">
        <v>0</v>
      </c>
      <c r="O1778" s="26">
        <v>1292316.2</v>
      </c>
      <c r="P1778" s="26" t="s">
        <v>41</v>
      </c>
      <c r="Q1778" s="26" t="s">
        <v>42</v>
      </c>
      <c r="R1778" s="26"/>
      <c r="S1778" s="26"/>
      <c r="T1778" s="26"/>
      <c r="U1778" s="26"/>
      <c r="V1778" s="26" t="s">
        <v>43</v>
      </c>
      <c r="W1778" s="26"/>
      <c r="X1778" s="26"/>
    </row>
    <row r="1779" spans="1:24">
      <c r="A1779" s="26" t="s">
        <v>31</v>
      </c>
      <c r="B1779" s="26" t="s">
        <v>6877</v>
      </c>
      <c r="C1779" s="26" t="s">
        <v>6878</v>
      </c>
      <c r="D1779" s="26">
        <f t="shared" si="30"/>
        <v>-1</v>
      </c>
      <c r="E1779" s="26" t="s">
        <v>34</v>
      </c>
      <c r="F1779" s="26" t="s">
        <v>6730</v>
      </c>
      <c r="G1779" s="26" t="s">
        <v>6879</v>
      </c>
      <c r="H1779" s="26" t="s">
        <v>37</v>
      </c>
      <c r="I1779" s="26" t="s">
        <v>38</v>
      </c>
      <c r="J1779" s="26" t="s">
        <v>6880</v>
      </c>
      <c r="K1779" s="26" t="s">
        <v>6881</v>
      </c>
      <c r="L1779" s="26">
        <v>67374</v>
      </c>
      <c r="M1779" s="26">
        <v>0</v>
      </c>
      <c r="N1779" s="26">
        <v>0</v>
      </c>
      <c r="O1779" s="26">
        <v>421974</v>
      </c>
      <c r="P1779" s="26" t="s">
        <v>41</v>
      </c>
      <c r="Q1779" s="26" t="s">
        <v>42</v>
      </c>
      <c r="R1779" s="26"/>
      <c r="S1779" s="26"/>
      <c r="T1779" s="26"/>
      <c r="U1779" s="26"/>
      <c r="V1779" s="26" t="s">
        <v>43</v>
      </c>
      <c r="W1779" s="26"/>
      <c r="X1779" s="26"/>
    </row>
    <row r="1780" spans="1:24">
      <c r="A1780" s="26" t="s">
        <v>31</v>
      </c>
      <c r="B1780" s="26" t="s">
        <v>6882</v>
      </c>
      <c r="C1780" s="26" t="s">
        <v>6883</v>
      </c>
      <c r="D1780" s="26">
        <f t="shared" si="30"/>
        <v>-1</v>
      </c>
      <c r="E1780" s="26" t="s">
        <v>34</v>
      </c>
      <c r="F1780" s="26" t="s">
        <v>6730</v>
      </c>
      <c r="G1780" s="26" t="s">
        <v>6884</v>
      </c>
      <c r="H1780" s="26" t="s">
        <v>37</v>
      </c>
      <c r="I1780" s="26" t="s">
        <v>38</v>
      </c>
      <c r="J1780" s="26" t="s">
        <v>1584</v>
      </c>
      <c r="K1780" s="26" t="s">
        <v>1585</v>
      </c>
      <c r="L1780" s="26">
        <v>27550</v>
      </c>
      <c r="M1780" s="26">
        <v>0</v>
      </c>
      <c r="N1780" s="26">
        <v>0</v>
      </c>
      <c r="O1780" s="26">
        <v>172550</v>
      </c>
      <c r="P1780" s="26" t="s">
        <v>41</v>
      </c>
      <c r="Q1780" s="26" t="s">
        <v>42</v>
      </c>
      <c r="R1780" s="26"/>
      <c r="S1780" s="26"/>
      <c r="T1780" s="26"/>
      <c r="U1780" s="26"/>
      <c r="V1780" s="26" t="s">
        <v>43</v>
      </c>
      <c r="W1780" s="26"/>
      <c r="X1780" s="26"/>
    </row>
    <row r="1781" spans="1:24">
      <c r="A1781" s="35" t="s">
        <v>31</v>
      </c>
      <c r="B1781" s="35" t="s">
        <v>6885</v>
      </c>
      <c r="C1781" s="35" t="s">
        <v>6886</v>
      </c>
      <c r="D1781" s="35">
        <f t="shared" si="30"/>
        <v>-1</v>
      </c>
      <c r="E1781" s="35" t="s">
        <v>34</v>
      </c>
      <c r="F1781" s="35" t="s">
        <v>6730</v>
      </c>
      <c r="G1781" s="35" t="s">
        <v>6887</v>
      </c>
      <c r="H1781" s="35" t="s">
        <v>37</v>
      </c>
      <c r="I1781" s="35" t="s">
        <v>38</v>
      </c>
      <c r="J1781" s="35" t="s">
        <v>6888</v>
      </c>
      <c r="K1781" s="35" t="s">
        <v>6889</v>
      </c>
      <c r="L1781" s="35">
        <v>16764.650000000001</v>
      </c>
      <c r="M1781" s="35">
        <v>0</v>
      </c>
      <c r="N1781" s="35">
        <v>0</v>
      </c>
      <c r="O1781" s="35">
        <v>104999.65</v>
      </c>
      <c r="P1781" s="35" t="s">
        <v>41</v>
      </c>
      <c r="Q1781" s="35" t="s">
        <v>42</v>
      </c>
      <c r="R1781" s="26"/>
      <c r="S1781" s="26"/>
      <c r="T1781" s="26"/>
      <c r="U1781" s="26"/>
      <c r="V1781" s="26"/>
      <c r="W1781" s="35" t="s">
        <v>628</v>
      </c>
      <c r="X1781" s="26" t="s">
        <v>5225</v>
      </c>
    </row>
    <row r="1782" spans="1:24">
      <c r="A1782" s="26" t="s">
        <v>31</v>
      </c>
      <c r="B1782" s="26" t="s">
        <v>6890</v>
      </c>
      <c r="C1782" s="26" t="s">
        <v>6891</v>
      </c>
      <c r="D1782" s="26">
        <f t="shared" si="30"/>
        <v>-1</v>
      </c>
      <c r="E1782" s="26" t="s">
        <v>34</v>
      </c>
      <c r="F1782" s="26" t="s">
        <v>6730</v>
      </c>
      <c r="G1782" s="26" t="s">
        <v>6892</v>
      </c>
      <c r="H1782" s="26" t="s">
        <v>37</v>
      </c>
      <c r="I1782" s="26" t="s">
        <v>38</v>
      </c>
      <c r="J1782" s="26" t="s">
        <v>1722</v>
      </c>
      <c r="K1782" s="26" t="s">
        <v>1723</v>
      </c>
      <c r="L1782" s="26">
        <v>85871.64</v>
      </c>
      <c r="M1782" s="26">
        <v>0</v>
      </c>
      <c r="N1782" s="26">
        <v>0</v>
      </c>
      <c r="O1782" s="26">
        <v>537827.64</v>
      </c>
      <c r="P1782" s="26" t="s">
        <v>41</v>
      </c>
      <c r="Q1782" s="26" t="s">
        <v>42</v>
      </c>
      <c r="R1782" s="26"/>
      <c r="S1782" s="26"/>
      <c r="T1782" s="26"/>
      <c r="U1782" s="26"/>
      <c r="V1782" s="26" t="s">
        <v>43</v>
      </c>
      <c r="W1782" s="26"/>
      <c r="X1782" s="26"/>
    </row>
    <row r="1783" spans="1:24">
      <c r="A1783" s="26" t="s">
        <v>31</v>
      </c>
      <c r="B1783" s="26" t="s">
        <v>6893</v>
      </c>
      <c r="C1783" s="26" t="s">
        <v>6894</v>
      </c>
      <c r="D1783" s="26">
        <f t="shared" si="30"/>
        <v>-1</v>
      </c>
      <c r="E1783" s="26" t="s">
        <v>34</v>
      </c>
      <c r="F1783" s="26" t="s">
        <v>6730</v>
      </c>
      <c r="G1783" s="26" t="s">
        <v>6895</v>
      </c>
      <c r="H1783" s="26" t="s">
        <v>37</v>
      </c>
      <c r="I1783" s="26" t="s">
        <v>38</v>
      </c>
      <c r="J1783" s="26" t="s">
        <v>3581</v>
      </c>
      <c r="K1783" s="26" t="s">
        <v>3582</v>
      </c>
      <c r="L1783" s="26">
        <v>54720</v>
      </c>
      <c r="M1783" s="26">
        <v>0</v>
      </c>
      <c r="N1783" s="26">
        <v>0</v>
      </c>
      <c r="O1783" s="26">
        <v>342720</v>
      </c>
      <c r="P1783" s="26" t="s">
        <v>41</v>
      </c>
      <c r="Q1783" s="26" t="s">
        <v>42</v>
      </c>
      <c r="R1783" s="26"/>
      <c r="S1783" s="26"/>
      <c r="T1783" s="26"/>
      <c r="U1783" s="26"/>
      <c r="V1783" s="26" t="s">
        <v>43</v>
      </c>
      <c r="W1783" s="26"/>
      <c r="X1783" s="26"/>
    </row>
    <row r="1784" spans="1:24">
      <c r="A1784" s="32" t="s">
        <v>31</v>
      </c>
      <c r="B1784" s="32" t="s">
        <v>6896</v>
      </c>
      <c r="C1784" s="32" t="s">
        <v>6897</v>
      </c>
      <c r="D1784" s="32">
        <f t="shared" si="30"/>
        <v>-1</v>
      </c>
      <c r="E1784" s="32" t="s">
        <v>34</v>
      </c>
      <c r="F1784" s="32" t="s">
        <v>6730</v>
      </c>
      <c r="G1784" s="32" t="s">
        <v>6898</v>
      </c>
      <c r="H1784" s="32" t="s">
        <v>37</v>
      </c>
      <c r="I1784" s="32" t="s">
        <v>38</v>
      </c>
      <c r="J1784" s="32" t="s">
        <v>1803</v>
      </c>
      <c r="K1784" s="32" t="s">
        <v>1804</v>
      </c>
      <c r="L1784" s="32">
        <v>57000</v>
      </c>
      <c r="M1784" s="32">
        <v>0</v>
      </c>
      <c r="N1784" s="32">
        <v>0</v>
      </c>
      <c r="O1784" s="32">
        <v>357000</v>
      </c>
      <c r="P1784" s="32" t="s">
        <v>41</v>
      </c>
      <c r="Q1784" s="32" t="s">
        <v>42</v>
      </c>
      <c r="R1784" s="26" t="s">
        <v>628</v>
      </c>
      <c r="S1784" s="26"/>
      <c r="T1784" s="26"/>
      <c r="U1784" s="26"/>
      <c r="V1784" s="26"/>
      <c r="W1784" s="26"/>
      <c r="X1784" s="26"/>
    </row>
    <row r="1785" spans="1:24">
      <c r="A1785" s="35" t="s">
        <v>31</v>
      </c>
      <c r="B1785" s="35" t="s">
        <v>6899</v>
      </c>
      <c r="C1785" s="35" t="s">
        <v>6900</v>
      </c>
      <c r="D1785" s="35">
        <f t="shared" si="30"/>
        <v>-1</v>
      </c>
      <c r="E1785" s="35" t="s">
        <v>34</v>
      </c>
      <c r="F1785" s="35" t="s">
        <v>6730</v>
      </c>
      <c r="G1785" s="35" t="s">
        <v>6901</v>
      </c>
      <c r="H1785" s="35" t="s">
        <v>37</v>
      </c>
      <c r="I1785" s="35" t="s">
        <v>38</v>
      </c>
      <c r="J1785" s="35" t="s">
        <v>6902</v>
      </c>
      <c r="K1785" s="35" t="s">
        <v>6903</v>
      </c>
      <c r="L1785" s="35">
        <v>51376</v>
      </c>
      <c r="M1785" s="35">
        <v>0</v>
      </c>
      <c r="N1785" s="35">
        <v>0</v>
      </c>
      <c r="O1785" s="35">
        <v>321776</v>
      </c>
      <c r="P1785" s="35" t="s">
        <v>41</v>
      </c>
      <c r="Q1785" s="35" t="s">
        <v>42</v>
      </c>
      <c r="R1785" s="26"/>
      <c r="S1785" s="26"/>
      <c r="T1785" s="26"/>
      <c r="U1785" s="26"/>
      <c r="V1785" s="26"/>
      <c r="W1785" s="35" t="s">
        <v>43</v>
      </c>
      <c r="X1785" s="26" t="s">
        <v>647</v>
      </c>
    </row>
    <row r="1786" spans="1:24">
      <c r="A1786" s="26" t="s">
        <v>31</v>
      </c>
      <c r="B1786" s="26" t="s">
        <v>6904</v>
      </c>
      <c r="C1786" s="26" t="s">
        <v>6905</v>
      </c>
      <c r="D1786" s="26">
        <f t="shared" si="30"/>
        <v>-1</v>
      </c>
      <c r="E1786" s="26" t="s">
        <v>34</v>
      </c>
      <c r="F1786" s="26" t="s">
        <v>6730</v>
      </c>
      <c r="G1786" s="26" t="s">
        <v>6906</v>
      </c>
      <c r="H1786" s="26" t="s">
        <v>37</v>
      </c>
      <c r="I1786" s="26" t="s">
        <v>38</v>
      </c>
      <c r="J1786" s="26" t="s">
        <v>1351</v>
      </c>
      <c r="K1786" s="26" t="s">
        <v>1352</v>
      </c>
      <c r="L1786" s="26">
        <v>107671.8</v>
      </c>
      <c r="M1786" s="26">
        <v>0</v>
      </c>
      <c r="N1786" s="26">
        <v>0</v>
      </c>
      <c r="O1786" s="26">
        <v>714891.8</v>
      </c>
      <c r="P1786" s="26" t="s">
        <v>41</v>
      </c>
      <c r="Q1786" s="26" t="s">
        <v>42</v>
      </c>
      <c r="R1786" s="26"/>
      <c r="S1786" s="26"/>
      <c r="T1786" s="26"/>
      <c r="U1786" s="26"/>
      <c r="V1786" s="26" t="s">
        <v>43</v>
      </c>
      <c r="W1786" s="26"/>
      <c r="X1786" s="26"/>
    </row>
    <row r="1787" spans="1:24">
      <c r="A1787" s="26" t="s">
        <v>31</v>
      </c>
      <c r="B1787" s="26" t="s">
        <v>6907</v>
      </c>
      <c r="C1787" s="26" t="s">
        <v>6908</v>
      </c>
      <c r="D1787" s="26">
        <f t="shared" si="30"/>
        <v>-1</v>
      </c>
      <c r="E1787" s="26" t="s">
        <v>34</v>
      </c>
      <c r="F1787" s="26" t="s">
        <v>6730</v>
      </c>
      <c r="G1787" s="26" t="s">
        <v>6909</v>
      </c>
      <c r="H1787" s="26" t="s">
        <v>37</v>
      </c>
      <c r="I1787" s="26" t="s">
        <v>38</v>
      </c>
      <c r="J1787" s="26" t="s">
        <v>494</v>
      </c>
      <c r="K1787" s="26" t="s">
        <v>495</v>
      </c>
      <c r="L1787" s="26">
        <v>8550</v>
      </c>
      <c r="M1787" s="26">
        <v>0</v>
      </c>
      <c r="N1787" s="26">
        <v>0</v>
      </c>
      <c r="O1787" s="26">
        <v>67050</v>
      </c>
      <c r="P1787" s="26" t="s">
        <v>41</v>
      </c>
      <c r="Q1787" s="26" t="s">
        <v>42</v>
      </c>
      <c r="R1787" s="26"/>
      <c r="S1787" s="26"/>
      <c r="T1787" s="26"/>
      <c r="U1787" s="26"/>
      <c r="V1787" s="26" t="s">
        <v>43</v>
      </c>
      <c r="W1787" s="26"/>
      <c r="X1787" s="26"/>
    </row>
    <row r="1788" spans="1:24">
      <c r="A1788" s="26" t="s">
        <v>31</v>
      </c>
      <c r="B1788" s="26" t="s">
        <v>6910</v>
      </c>
      <c r="C1788" s="26" t="s">
        <v>6911</v>
      </c>
      <c r="D1788" s="26">
        <f t="shared" si="30"/>
        <v>-1</v>
      </c>
      <c r="E1788" s="26" t="s">
        <v>34</v>
      </c>
      <c r="F1788" s="26" t="s">
        <v>6730</v>
      </c>
      <c r="G1788" s="26" t="s">
        <v>6912</v>
      </c>
      <c r="H1788" s="26" t="s">
        <v>37</v>
      </c>
      <c r="I1788" s="26" t="s">
        <v>38</v>
      </c>
      <c r="J1788" s="26" t="s">
        <v>1722</v>
      </c>
      <c r="K1788" s="26" t="s">
        <v>1723</v>
      </c>
      <c r="L1788" s="26">
        <v>17011.080000000002</v>
      </c>
      <c r="M1788" s="26">
        <v>0</v>
      </c>
      <c r="N1788" s="26">
        <v>0</v>
      </c>
      <c r="O1788" s="26">
        <v>106543.08</v>
      </c>
      <c r="P1788" s="26" t="s">
        <v>41</v>
      </c>
      <c r="Q1788" s="26" t="s">
        <v>42</v>
      </c>
      <c r="R1788" s="26"/>
      <c r="S1788" s="26"/>
      <c r="T1788" s="26"/>
      <c r="U1788" s="26"/>
      <c r="V1788" s="26" t="s">
        <v>43</v>
      </c>
      <c r="W1788" s="26"/>
      <c r="X1788" s="26"/>
    </row>
    <row r="1789" spans="1:24">
      <c r="A1789" s="26" t="s">
        <v>31</v>
      </c>
      <c r="B1789" s="26" t="s">
        <v>6913</v>
      </c>
      <c r="C1789" s="26" t="s">
        <v>6914</v>
      </c>
      <c r="D1789" s="26">
        <f t="shared" si="30"/>
        <v>-1</v>
      </c>
      <c r="E1789" s="26" t="s">
        <v>34</v>
      </c>
      <c r="F1789" s="26" t="s">
        <v>6730</v>
      </c>
      <c r="G1789" s="26" t="s">
        <v>6915</v>
      </c>
      <c r="H1789" s="26" t="s">
        <v>37</v>
      </c>
      <c r="I1789" s="26" t="s">
        <v>38</v>
      </c>
      <c r="J1789" s="26" t="s">
        <v>2563</v>
      </c>
      <c r="K1789" s="26" t="s">
        <v>2564</v>
      </c>
      <c r="L1789" s="26">
        <v>0</v>
      </c>
      <c r="M1789" s="26">
        <v>0</v>
      </c>
      <c r="N1789" s="26">
        <v>0</v>
      </c>
      <c r="O1789" s="26">
        <v>12408167.08</v>
      </c>
      <c r="P1789" s="26" t="s">
        <v>41</v>
      </c>
      <c r="Q1789" s="26" t="s">
        <v>42</v>
      </c>
      <c r="R1789" s="26"/>
      <c r="S1789" s="26"/>
      <c r="T1789" s="26"/>
      <c r="U1789" s="26"/>
      <c r="V1789" s="26" t="s">
        <v>43</v>
      </c>
      <c r="W1789" s="26"/>
      <c r="X1789" s="26"/>
    </row>
    <row r="1790" spans="1:24">
      <c r="A1790" s="26" t="s">
        <v>31</v>
      </c>
      <c r="B1790" s="26" t="s">
        <v>6916</v>
      </c>
      <c r="C1790" s="26" t="s">
        <v>6917</v>
      </c>
      <c r="D1790" s="26">
        <f t="shared" si="30"/>
        <v>-1</v>
      </c>
      <c r="E1790" s="26" t="s">
        <v>34</v>
      </c>
      <c r="F1790" s="26" t="s">
        <v>6730</v>
      </c>
      <c r="G1790" s="26" t="s">
        <v>6918</v>
      </c>
      <c r="H1790" s="26" t="s">
        <v>37</v>
      </c>
      <c r="I1790" s="26" t="s">
        <v>38</v>
      </c>
      <c r="J1790" s="26" t="s">
        <v>6919</v>
      </c>
      <c r="K1790" s="26" t="s">
        <v>6920</v>
      </c>
      <c r="L1790" s="26">
        <v>1314534</v>
      </c>
      <c r="M1790" s="26">
        <v>0</v>
      </c>
      <c r="N1790" s="26">
        <v>0</v>
      </c>
      <c r="O1790" s="26">
        <v>8233134</v>
      </c>
      <c r="P1790" s="26" t="s">
        <v>41</v>
      </c>
      <c r="Q1790" s="26" t="s">
        <v>42</v>
      </c>
      <c r="R1790" s="26"/>
      <c r="S1790" s="26"/>
      <c r="T1790" s="26"/>
      <c r="U1790" s="26"/>
      <c r="V1790" s="26" t="s">
        <v>43</v>
      </c>
      <c r="W1790" s="26"/>
      <c r="X1790" s="26"/>
    </row>
    <row r="1791" spans="1:24">
      <c r="A1791" s="26" t="s">
        <v>31</v>
      </c>
      <c r="B1791" s="26" t="s">
        <v>6921</v>
      </c>
      <c r="C1791" s="26" t="s">
        <v>6922</v>
      </c>
      <c r="D1791" s="26">
        <f t="shared" si="30"/>
        <v>3</v>
      </c>
      <c r="E1791" s="26" t="s">
        <v>34</v>
      </c>
      <c r="F1791" s="26" t="s">
        <v>6730</v>
      </c>
      <c r="G1791" s="26" t="s">
        <v>6923</v>
      </c>
      <c r="H1791" s="26" t="s">
        <v>37</v>
      </c>
      <c r="I1791" s="26" t="s">
        <v>38</v>
      </c>
      <c r="J1791" s="26" t="s">
        <v>1424</v>
      </c>
      <c r="K1791" s="26" t="s">
        <v>1425</v>
      </c>
      <c r="L1791" s="26">
        <v>555161</v>
      </c>
      <c r="M1791" s="26">
        <v>0</v>
      </c>
      <c r="N1791" s="26">
        <v>0</v>
      </c>
      <c r="O1791" s="26">
        <v>3477061</v>
      </c>
      <c r="P1791" s="26" t="s">
        <v>41</v>
      </c>
      <c r="Q1791" s="26" t="s">
        <v>42</v>
      </c>
      <c r="R1791" s="26"/>
      <c r="S1791" s="26"/>
      <c r="T1791" s="26"/>
      <c r="U1791" s="26"/>
      <c r="V1791" s="26" t="s">
        <v>43</v>
      </c>
      <c r="W1791" s="26"/>
      <c r="X1791" s="26"/>
    </row>
    <row r="1792" spans="1:24" ht="18.75">
      <c r="A1792" s="26" t="s">
        <v>31</v>
      </c>
      <c r="B1792" s="26" t="s">
        <v>6910</v>
      </c>
      <c r="C1792" s="26" t="s">
        <v>6911</v>
      </c>
      <c r="D1792" s="26">
        <f t="shared" si="30"/>
        <v>-1</v>
      </c>
      <c r="E1792" s="26" t="s">
        <v>34</v>
      </c>
      <c r="F1792" s="26" t="s">
        <v>6730</v>
      </c>
      <c r="G1792" s="26" t="s">
        <v>6912</v>
      </c>
      <c r="H1792" s="26" t="s">
        <v>37</v>
      </c>
      <c r="I1792" s="26" t="s">
        <v>38</v>
      </c>
      <c r="J1792" s="26" t="s">
        <v>1722</v>
      </c>
      <c r="K1792" s="26" t="s">
        <v>1723</v>
      </c>
      <c r="L1792" s="26">
        <v>17011.080000000002</v>
      </c>
      <c r="M1792" s="26">
        <v>0</v>
      </c>
      <c r="N1792" s="26">
        <v>0</v>
      </c>
      <c r="O1792" s="26">
        <v>106543.08</v>
      </c>
      <c r="P1792" s="26" t="s">
        <v>41</v>
      </c>
      <c r="Q1792" s="26" t="s">
        <v>42</v>
      </c>
      <c r="R1792" s="25"/>
      <c r="S1792" s="25"/>
      <c r="T1792" s="25"/>
      <c r="U1792" s="25"/>
      <c r="V1792" s="26" t="s">
        <v>43</v>
      </c>
      <c r="W1792" s="24"/>
      <c r="X1792" s="25"/>
    </row>
    <row r="1793" spans="1:24" ht="18.75">
      <c r="A1793" s="26" t="s">
        <v>31</v>
      </c>
      <c r="B1793" s="26" t="s">
        <v>6913</v>
      </c>
      <c r="C1793" s="26" t="s">
        <v>6914</v>
      </c>
      <c r="D1793" s="26">
        <f t="shared" si="30"/>
        <v>-1</v>
      </c>
      <c r="E1793" s="26" t="s">
        <v>34</v>
      </c>
      <c r="F1793" s="26" t="s">
        <v>6730</v>
      </c>
      <c r="G1793" s="26" t="s">
        <v>6915</v>
      </c>
      <c r="H1793" s="26" t="s">
        <v>37</v>
      </c>
      <c r="I1793" s="26" t="s">
        <v>38</v>
      </c>
      <c r="J1793" s="26" t="s">
        <v>2563</v>
      </c>
      <c r="K1793" s="26" t="s">
        <v>2564</v>
      </c>
      <c r="L1793" s="26">
        <v>0</v>
      </c>
      <c r="M1793" s="26">
        <v>0</v>
      </c>
      <c r="N1793" s="26">
        <v>0</v>
      </c>
      <c r="O1793" s="26">
        <v>12408167.08</v>
      </c>
      <c r="P1793" s="26" t="s">
        <v>41</v>
      </c>
      <c r="Q1793" s="26" t="s">
        <v>42</v>
      </c>
      <c r="R1793" s="25"/>
      <c r="S1793" s="25"/>
      <c r="T1793" s="25"/>
      <c r="U1793" s="24"/>
      <c r="V1793" s="26" t="s">
        <v>43</v>
      </c>
      <c r="W1793" s="25"/>
      <c r="X1793" s="25"/>
    </row>
    <row r="1794" spans="1:24" ht="18.75">
      <c r="A1794" s="26" t="s">
        <v>31</v>
      </c>
      <c r="B1794" s="26" t="s">
        <v>6916</v>
      </c>
      <c r="C1794" s="26" t="s">
        <v>6917</v>
      </c>
      <c r="D1794" s="26">
        <f t="shared" si="30"/>
        <v>-1</v>
      </c>
      <c r="E1794" s="26" t="s">
        <v>34</v>
      </c>
      <c r="F1794" s="26" t="s">
        <v>6730</v>
      </c>
      <c r="G1794" s="26" t="s">
        <v>6918</v>
      </c>
      <c r="H1794" s="26" t="s">
        <v>37</v>
      </c>
      <c r="I1794" s="26" t="s">
        <v>38</v>
      </c>
      <c r="J1794" s="26" t="s">
        <v>6919</v>
      </c>
      <c r="K1794" s="26" t="s">
        <v>6920</v>
      </c>
      <c r="L1794" s="26">
        <v>1314534</v>
      </c>
      <c r="M1794" s="26">
        <v>0</v>
      </c>
      <c r="N1794" s="26">
        <v>0</v>
      </c>
      <c r="O1794" s="26">
        <v>8233134</v>
      </c>
      <c r="P1794" s="26" t="s">
        <v>41</v>
      </c>
      <c r="Q1794" s="26" t="s">
        <v>42</v>
      </c>
      <c r="R1794" s="25"/>
      <c r="S1794" s="25"/>
      <c r="T1794" s="25"/>
      <c r="U1794" s="24"/>
      <c r="V1794" s="26" t="s">
        <v>43</v>
      </c>
      <c r="W1794" s="25"/>
      <c r="X1794" s="25"/>
    </row>
    <row r="1795" spans="1:24" ht="18.75">
      <c r="A1795" s="26" t="s">
        <v>31</v>
      </c>
      <c r="B1795" s="26" t="s">
        <v>6921</v>
      </c>
      <c r="C1795" s="26" t="s">
        <v>6922</v>
      </c>
      <c r="D1795" s="26">
        <f t="shared" si="30"/>
        <v>-1</v>
      </c>
      <c r="E1795" s="26" t="s">
        <v>34</v>
      </c>
      <c r="F1795" s="26" t="s">
        <v>6730</v>
      </c>
      <c r="G1795" s="26" t="s">
        <v>6923</v>
      </c>
      <c r="H1795" s="26" t="s">
        <v>37</v>
      </c>
      <c r="I1795" s="26" t="s">
        <v>38</v>
      </c>
      <c r="J1795" s="26" t="s">
        <v>1424</v>
      </c>
      <c r="K1795" s="26" t="s">
        <v>1425</v>
      </c>
      <c r="L1795" s="26">
        <v>555161</v>
      </c>
      <c r="M1795" s="26">
        <v>0</v>
      </c>
      <c r="N1795" s="26">
        <v>0</v>
      </c>
      <c r="O1795" s="26">
        <v>3477061</v>
      </c>
      <c r="P1795" s="26" t="s">
        <v>41</v>
      </c>
      <c r="Q1795" s="26" t="s">
        <v>42</v>
      </c>
      <c r="R1795" s="24"/>
      <c r="S1795" s="24"/>
      <c r="T1795" s="24"/>
      <c r="U1795" s="24"/>
      <c r="V1795" s="26" t="s">
        <v>43</v>
      </c>
      <c r="W1795" s="24"/>
      <c r="X1795" s="25"/>
    </row>
    <row r="1796" spans="1:24" ht="18.75">
      <c r="A1796" s="26" t="s">
        <v>31</v>
      </c>
      <c r="B1796" s="26" t="s">
        <v>6924</v>
      </c>
      <c r="C1796" s="26" t="s">
        <v>6925</v>
      </c>
      <c r="D1796" s="26">
        <f t="shared" si="30"/>
        <v>-1</v>
      </c>
      <c r="E1796" s="26" t="s">
        <v>34</v>
      </c>
      <c r="F1796" s="26" t="s">
        <v>6730</v>
      </c>
      <c r="G1796" s="26" t="s">
        <v>6926</v>
      </c>
      <c r="H1796" s="26" t="s">
        <v>37</v>
      </c>
      <c r="I1796" s="26" t="s">
        <v>38</v>
      </c>
      <c r="J1796" s="26" t="s">
        <v>5950</v>
      </c>
      <c r="K1796" s="26" t="s">
        <v>5951</v>
      </c>
      <c r="L1796" s="26">
        <v>149729</v>
      </c>
      <c r="M1796" s="26">
        <v>0</v>
      </c>
      <c r="N1796" s="26">
        <v>0</v>
      </c>
      <c r="O1796" s="26">
        <v>1291829</v>
      </c>
      <c r="P1796" s="26" t="s">
        <v>41</v>
      </c>
      <c r="Q1796" s="26" t="s">
        <v>42</v>
      </c>
      <c r="R1796" s="24"/>
      <c r="S1796" s="24"/>
      <c r="T1796" s="24"/>
      <c r="U1796" s="24"/>
      <c r="V1796" s="26" t="s">
        <v>43</v>
      </c>
      <c r="W1796" s="24"/>
      <c r="X1796" s="25"/>
    </row>
    <row r="1797" spans="1:24" ht="18.75">
      <c r="A1797" s="26" t="s">
        <v>31</v>
      </c>
      <c r="B1797" s="26" t="s">
        <v>6927</v>
      </c>
      <c r="C1797" s="26" t="s">
        <v>6928</v>
      </c>
      <c r="D1797" s="26">
        <f t="shared" si="30"/>
        <v>-1</v>
      </c>
      <c r="E1797" s="26" t="s">
        <v>34</v>
      </c>
      <c r="F1797" s="26" t="s">
        <v>6730</v>
      </c>
      <c r="G1797" s="26" t="s">
        <v>6929</v>
      </c>
      <c r="H1797" s="26" t="s">
        <v>37</v>
      </c>
      <c r="I1797" s="26" t="s">
        <v>38</v>
      </c>
      <c r="J1797" s="26" t="s">
        <v>2484</v>
      </c>
      <c r="K1797" s="26" t="s">
        <v>2485</v>
      </c>
      <c r="L1797" s="26">
        <v>24213.98</v>
      </c>
      <c r="M1797" s="26">
        <v>0</v>
      </c>
      <c r="N1797" s="26">
        <v>0</v>
      </c>
      <c r="O1797" s="26">
        <v>248038.98</v>
      </c>
      <c r="P1797" s="26" t="s">
        <v>41</v>
      </c>
      <c r="Q1797" s="26" t="s">
        <v>42</v>
      </c>
      <c r="R1797" s="25"/>
      <c r="S1797" s="25"/>
      <c r="T1797" s="25"/>
      <c r="U1797" s="25"/>
      <c r="V1797" s="26" t="s">
        <v>43</v>
      </c>
      <c r="W1797" s="24"/>
      <c r="X1797" s="25"/>
    </row>
    <row r="1798" spans="1:24" ht="18.75">
      <c r="A1798" s="26" t="s">
        <v>31</v>
      </c>
      <c r="B1798" s="26" t="s">
        <v>6930</v>
      </c>
      <c r="C1798" s="26" t="s">
        <v>6931</v>
      </c>
      <c r="D1798" s="26">
        <f t="shared" si="30"/>
        <v>-1</v>
      </c>
      <c r="E1798" s="26" t="s">
        <v>34</v>
      </c>
      <c r="F1798" s="26" t="s">
        <v>6730</v>
      </c>
      <c r="G1798" s="26" t="s">
        <v>6932</v>
      </c>
      <c r="H1798" s="26" t="s">
        <v>37</v>
      </c>
      <c r="I1798" s="26" t="s">
        <v>38</v>
      </c>
      <c r="J1798" s="26" t="s">
        <v>4634</v>
      </c>
      <c r="K1798" s="26" t="s">
        <v>4635</v>
      </c>
      <c r="L1798" s="26">
        <v>39931.54</v>
      </c>
      <c r="M1798" s="26">
        <v>0</v>
      </c>
      <c r="N1798" s="26">
        <v>0</v>
      </c>
      <c r="O1798" s="26">
        <v>250097.54</v>
      </c>
      <c r="P1798" s="26" t="s">
        <v>41</v>
      </c>
      <c r="Q1798" s="26" t="s">
        <v>42</v>
      </c>
      <c r="R1798" s="25"/>
      <c r="S1798" s="25"/>
      <c r="T1798" s="25"/>
      <c r="U1798" s="25"/>
      <c r="V1798" s="26" t="s">
        <v>43</v>
      </c>
      <c r="W1798" s="24"/>
      <c r="X1798" s="25"/>
    </row>
    <row r="1799" spans="1:24" ht="18.75">
      <c r="A1799" s="26" t="s">
        <v>31</v>
      </c>
      <c r="B1799" s="26" t="s">
        <v>6933</v>
      </c>
      <c r="C1799" s="26" t="s">
        <v>6934</v>
      </c>
      <c r="D1799" s="26">
        <f t="shared" si="30"/>
        <v>-1</v>
      </c>
      <c r="E1799" s="26" t="s">
        <v>34</v>
      </c>
      <c r="F1799" s="26" t="s">
        <v>6730</v>
      </c>
      <c r="G1799" s="26" t="s">
        <v>6935</v>
      </c>
      <c r="H1799" s="26" t="s">
        <v>37</v>
      </c>
      <c r="I1799" s="26" t="s">
        <v>38</v>
      </c>
      <c r="J1799" s="26" t="s">
        <v>2590</v>
      </c>
      <c r="K1799" s="26" t="s">
        <v>2591</v>
      </c>
      <c r="L1799" s="26">
        <v>3590380.6</v>
      </c>
      <c r="M1799" s="26">
        <v>0</v>
      </c>
      <c r="N1799" s="26">
        <v>0</v>
      </c>
      <c r="O1799" s="26">
        <v>22487120.600000001</v>
      </c>
      <c r="P1799" s="26" t="s">
        <v>41</v>
      </c>
      <c r="Q1799" s="26" t="s">
        <v>42</v>
      </c>
      <c r="R1799" s="24"/>
      <c r="S1799" s="24"/>
      <c r="T1799" s="24"/>
      <c r="U1799" s="24"/>
      <c r="V1799" s="26" t="s">
        <v>43</v>
      </c>
      <c r="W1799" s="24"/>
      <c r="X1799" s="25"/>
    </row>
    <row r="1800" spans="1:24" ht="18.75">
      <c r="A1800" s="26" t="s">
        <v>31</v>
      </c>
      <c r="B1800" s="26" t="s">
        <v>6936</v>
      </c>
      <c r="C1800" s="26" t="s">
        <v>6937</v>
      </c>
      <c r="D1800" s="26">
        <f t="shared" si="30"/>
        <v>-1</v>
      </c>
      <c r="E1800" s="26" t="s">
        <v>34</v>
      </c>
      <c r="F1800" s="26" t="s">
        <v>6730</v>
      </c>
      <c r="G1800" s="26" t="s">
        <v>6938</v>
      </c>
      <c r="H1800" s="26" t="s">
        <v>37</v>
      </c>
      <c r="I1800" s="26" t="s">
        <v>38</v>
      </c>
      <c r="J1800" s="26" t="s">
        <v>4214</v>
      </c>
      <c r="K1800" s="26" t="s">
        <v>4215</v>
      </c>
      <c r="L1800" s="26">
        <v>142500</v>
      </c>
      <c r="M1800" s="26">
        <v>0</v>
      </c>
      <c r="N1800" s="26">
        <v>0</v>
      </c>
      <c r="O1800" s="26">
        <v>892500</v>
      </c>
      <c r="P1800" s="26" t="s">
        <v>41</v>
      </c>
      <c r="Q1800" s="26" t="s">
        <v>42</v>
      </c>
      <c r="R1800" s="25"/>
      <c r="S1800" s="25"/>
      <c r="T1800" s="25"/>
      <c r="U1800" s="25"/>
      <c r="V1800" s="26" t="s">
        <v>43</v>
      </c>
      <c r="W1800" s="24"/>
      <c r="X1800" s="25"/>
    </row>
    <row r="1801" spans="1:24" ht="18.75">
      <c r="A1801" s="35" t="s">
        <v>31</v>
      </c>
      <c r="B1801" s="35" t="s">
        <v>6939</v>
      </c>
      <c r="C1801" s="35" t="s">
        <v>6940</v>
      </c>
      <c r="D1801" s="35">
        <f t="shared" si="30"/>
        <v>-1</v>
      </c>
      <c r="E1801" s="35" t="s">
        <v>34</v>
      </c>
      <c r="F1801" s="35" t="s">
        <v>6730</v>
      </c>
      <c r="G1801" s="35" t="s">
        <v>6941</v>
      </c>
      <c r="H1801" s="35" t="s">
        <v>37</v>
      </c>
      <c r="I1801" s="35" t="s">
        <v>38</v>
      </c>
      <c r="J1801" s="35" t="s">
        <v>6942</v>
      </c>
      <c r="K1801" s="35" t="s">
        <v>6943</v>
      </c>
      <c r="L1801" s="35">
        <v>0</v>
      </c>
      <c r="M1801" s="35">
        <v>0</v>
      </c>
      <c r="N1801" s="35">
        <v>0</v>
      </c>
      <c r="O1801" s="35">
        <v>2191227</v>
      </c>
      <c r="P1801" s="35" t="s">
        <v>41</v>
      </c>
      <c r="Q1801" s="35" t="s">
        <v>42</v>
      </c>
      <c r="R1801" s="25"/>
      <c r="S1801" s="25"/>
      <c r="T1801" s="25"/>
      <c r="U1801" s="25"/>
      <c r="V1801" s="26"/>
      <c r="W1801" s="24" t="s">
        <v>43</v>
      </c>
      <c r="X1801" s="25" t="s">
        <v>6944</v>
      </c>
    </row>
    <row r="1802" spans="1:24" ht="18.75">
      <c r="A1802" s="35" t="s">
        <v>31</v>
      </c>
      <c r="B1802" s="35" t="s">
        <v>6945</v>
      </c>
      <c r="C1802" s="35" t="s">
        <v>6946</v>
      </c>
      <c r="D1802" s="35">
        <f t="shared" si="30"/>
        <v>-1</v>
      </c>
      <c r="E1802" s="35" t="s">
        <v>34</v>
      </c>
      <c r="F1802" s="35" t="s">
        <v>6730</v>
      </c>
      <c r="G1802" s="35" t="s">
        <v>6947</v>
      </c>
      <c r="H1802" s="35" t="s">
        <v>37</v>
      </c>
      <c r="I1802" s="35" t="s">
        <v>38</v>
      </c>
      <c r="J1802" s="35" t="s">
        <v>5692</v>
      </c>
      <c r="K1802" s="35" t="s">
        <v>5693</v>
      </c>
      <c r="L1802" s="35">
        <v>0</v>
      </c>
      <c r="M1802" s="35">
        <v>0</v>
      </c>
      <c r="N1802" s="35">
        <v>0</v>
      </c>
      <c r="O1802" s="35">
        <v>1234200</v>
      </c>
      <c r="P1802" s="35" t="s">
        <v>41</v>
      </c>
      <c r="Q1802" s="35" t="s">
        <v>42</v>
      </c>
      <c r="R1802" s="25"/>
      <c r="S1802" s="25"/>
      <c r="T1802" s="25"/>
      <c r="U1802" s="25"/>
      <c r="V1802" s="26"/>
      <c r="W1802" s="24" t="s">
        <v>43</v>
      </c>
      <c r="X1802" s="25" t="s">
        <v>6539</v>
      </c>
    </row>
    <row r="1803" spans="1:24" ht="18.75">
      <c r="A1803" s="26" t="s">
        <v>31</v>
      </c>
      <c r="B1803" s="26" t="s">
        <v>6948</v>
      </c>
      <c r="C1803" s="26" t="s">
        <v>6949</v>
      </c>
      <c r="D1803" s="26">
        <f t="shared" si="30"/>
        <v>-1</v>
      </c>
      <c r="E1803" s="26" t="s">
        <v>34</v>
      </c>
      <c r="F1803" s="26" t="s">
        <v>6730</v>
      </c>
      <c r="G1803" s="26" t="s">
        <v>6950</v>
      </c>
      <c r="H1803" s="26" t="s">
        <v>37</v>
      </c>
      <c r="I1803" s="26" t="s">
        <v>38</v>
      </c>
      <c r="J1803" s="26" t="s">
        <v>6951</v>
      </c>
      <c r="K1803" s="26" t="s">
        <v>6952</v>
      </c>
      <c r="L1803" s="26">
        <v>40916.5</v>
      </c>
      <c r="M1803" s="26">
        <v>0</v>
      </c>
      <c r="N1803" s="26">
        <v>0</v>
      </c>
      <c r="O1803" s="26">
        <v>256266.5</v>
      </c>
      <c r="P1803" s="26" t="s">
        <v>41</v>
      </c>
      <c r="Q1803" s="26" t="s">
        <v>42</v>
      </c>
      <c r="R1803" s="25"/>
      <c r="S1803" s="25"/>
      <c r="T1803" s="25"/>
      <c r="U1803" s="25"/>
      <c r="V1803" s="26" t="s">
        <v>43</v>
      </c>
      <c r="W1803" s="24"/>
      <c r="X1803" s="25"/>
    </row>
    <row r="1804" spans="1:24" ht="18.75">
      <c r="A1804" s="26" t="s">
        <v>31</v>
      </c>
      <c r="B1804" s="26" t="s">
        <v>6953</v>
      </c>
      <c r="C1804" s="26" t="s">
        <v>6954</v>
      </c>
      <c r="D1804" s="26">
        <f t="shared" si="30"/>
        <v>-1</v>
      </c>
      <c r="E1804" s="26" t="s">
        <v>34</v>
      </c>
      <c r="F1804" s="26" t="s">
        <v>6730</v>
      </c>
      <c r="G1804" s="26" t="s">
        <v>6955</v>
      </c>
      <c r="H1804" s="26" t="s">
        <v>37</v>
      </c>
      <c r="I1804" s="26" t="s">
        <v>38</v>
      </c>
      <c r="J1804" s="26" t="s">
        <v>6956</v>
      </c>
      <c r="K1804" s="26" t="s">
        <v>6957</v>
      </c>
      <c r="L1804" s="26">
        <v>163807461.46000001</v>
      </c>
      <c r="M1804" s="26">
        <v>0</v>
      </c>
      <c r="N1804" s="26">
        <v>0</v>
      </c>
      <c r="O1804" s="26">
        <v>1025951995.46</v>
      </c>
      <c r="P1804" s="26" t="s">
        <v>41</v>
      </c>
      <c r="Q1804" s="26" t="s">
        <v>42</v>
      </c>
      <c r="R1804" s="25"/>
      <c r="S1804" s="25"/>
      <c r="T1804" s="25"/>
      <c r="U1804" s="25"/>
      <c r="V1804" s="26" t="s">
        <v>43</v>
      </c>
      <c r="W1804" s="24"/>
      <c r="X1804" s="25"/>
    </row>
    <row r="1805" spans="1:24" ht="18.75">
      <c r="A1805" s="26" t="s">
        <v>31</v>
      </c>
      <c r="B1805" s="26" t="s">
        <v>6958</v>
      </c>
      <c r="C1805" s="26" t="s">
        <v>6959</v>
      </c>
      <c r="D1805" s="26">
        <f t="shared" si="30"/>
        <v>-1</v>
      </c>
      <c r="E1805" s="26" t="s">
        <v>34</v>
      </c>
      <c r="F1805" s="26" t="s">
        <v>6730</v>
      </c>
      <c r="G1805" s="26" t="s">
        <v>6960</v>
      </c>
      <c r="H1805" s="26" t="s">
        <v>37</v>
      </c>
      <c r="I1805" s="26" t="s">
        <v>38</v>
      </c>
      <c r="J1805" s="26" t="s">
        <v>6961</v>
      </c>
      <c r="K1805" s="26" t="s">
        <v>6962</v>
      </c>
      <c r="L1805" s="26">
        <v>371204.71</v>
      </c>
      <c r="M1805" s="26">
        <v>0</v>
      </c>
      <c r="N1805" s="26">
        <v>0</v>
      </c>
      <c r="O1805" s="26">
        <v>2324913.71</v>
      </c>
      <c r="P1805" s="26" t="s">
        <v>41</v>
      </c>
      <c r="Q1805" s="26" t="s">
        <v>42</v>
      </c>
      <c r="R1805" s="24"/>
      <c r="S1805" s="25"/>
      <c r="T1805" s="24"/>
      <c r="U1805" s="24"/>
      <c r="V1805" s="26" t="s">
        <v>43</v>
      </c>
      <c r="W1805" s="24"/>
      <c r="X1805" s="25"/>
    </row>
    <row r="1806" spans="1:24" ht="18.75">
      <c r="A1806" s="26" t="s">
        <v>31</v>
      </c>
      <c r="B1806" s="26" t="s">
        <v>6963</v>
      </c>
      <c r="C1806" s="26" t="s">
        <v>6964</v>
      </c>
      <c r="D1806" s="26">
        <f t="shared" si="30"/>
        <v>-1</v>
      </c>
      <c r="E1806" s="26" t="s">
        <v>34</v>
      </c>
      <c r="F1806" s="26" t="s">
        <v>6730</v>
      </c>
      <c r="G1806" s="26" t="s">
        <v>6965</v>
      </c>
      <c r="H1806" s="26" t="s">
        <v>37</v>
      </c>
      <c r="I1806" s="26" t="s">
        <v>38</v>
      </c>
      <c r="J1806" s="26" t="s">
        <v>880</v>
      </c>
      <c r="K1806" s="26" t="s">
        <v>881</v>
      </c>
      <c r="L1806" s="26">
        <v>854951.55</v>
      </c>
      <c r="M1806" s="26">
        <v>0</v>
      </c>
      <c r="N1806" s="26">
        <v>0</v>
      </c>
      <c r="O1806" s="26">
        <v>5355846.55</v>
      </c>
      <c r="P1806" s="26" t="s">
        <v>41</v>
      </c>
      <c r="Q1806" s="26" t="s">
        <v>42</v>
      </c>
      <c r="R1806" s="25"/>
      <c r="S1806" s="25"/>
      <c r="T1806" s="25"/>
      <c r="U1806" s="25"/>
      <c r="V1806" s="26" t="s">
        <v>43</v>
      </c>
      <c r="W1806" s="24"/>
      <c r="X1806" s="25"/>
    </row>
    <row r="1807" spans="1:24" ht="18.75">
      <c r="A1807" s="26" t="s">
        <v>31</v>
      </c>
      <c r="B1807" s="26" t="s">
        <v>6966</v>
      </c>
      <c r="C1807" s="26" t="s">
        <v>6967</v>
      </c>
      <c r="D1807" s="26">
        <f t="shared" si="30"/>
        <v>-1</v>
      </c>
      <c r="E1807" s="26" t="s">
        <v>34</v>
      </c>
      <c r="F1807" s="26" t="s">
        <v>6730</v>
      </c>
      <c r="G1807" s="26" t="s">
        <v>6968</v>
      </c>
      <c r="H1807" s="26" t="s">
        <v>37</v>
      </c>
      <c r="I1807" s="26" t="s">
        <v>38</v>
      </c>
      <c r="J1807" s="26" t="s">
        <v>6969</v>
      </c>
      <c r="K1807" s="26" t="s">
        <v>6970</v>
      </c>
      <c r="L1807" s="26">
        <v>456000</v>
      </c>
      <c r="M1807" s="26">
        <v>0</v>
      </c>
      <c r="N1807" s="26">
        <v>0</v>
      </c>
      <c r="O1807" s="26">
        <v>2856000</v>
      </c>
      <c r="P1807" s="26" t="s">
        <v>41</v>
      </c>
      <c r="Q1807" s="26" t="s">
        <v>42</v>
      </c>
      <c r="R1807" s="24"/>
      <c r="S1807" s="25"/>
      <c r="T1807" s="24"/>
      <c r="U1807" s="24"/>
      <c r="V1807" s="26" t="s">
        <v>43</v>
      </c>
      <c r="W1807" s="24"/>
      <c r="X1807" s="25"/>
    </row>
    <row r="1808" spans="1:24" ht="18.75">
      <c r="A1808" s="26" t="s">
        <v>31</v>
      </c>
      <c r="B1808" s="26" t="s">
        <v>6971</v>
      </c>
      <c r="C1808" s="26" t="s">
        <v>6972</v>
      </c>
      <c r="D1808" s="26">
        <f t="shared" si="30"/>
        <v>-1</v>
      </c>
      <c r="E1808" s="26" t="s">
        <v>34</v>
      </c>
      <c r="F1808" s="26" t="s">
        <v>6730</v>
      </c>
      <c r="G1808" s="26" t="s">
        <v>6973</v>
      </c>
      <c r="H1808" s="26" t="s">
        <v>37</v>
      </c>
      <c r="I1808" s="26" t="s">
        <v>38</v>
      </c>
      <c r="J1808" s="26" t="s">
        <v>6969</v>
      </c>
      <c r="K1808" s="26" t="s">
        <v>6970</v>
      </c>
      <c r="L1808" s="26">
        <v>481460</v>
      </c>
      <c r="M1808" s="26">
        <v>0</v>
      </c>
      <c r="N1808" s="26">
        <v>0</v>
      </c>
      <c r="O1808" s="26">
        <v>3015460</v>
      </c>
      <c r="P1808" s="26" t="s">
        <v>41</v>
      </c>
      <c r="Q1808" s="26" t="s">
        <v>42</v>
      </c>
      <c r="R1808" s="25"/>
      <c r="S1808" s="25"/>
      <c r="T1808" s="25"/>
      <c r="U1808" s="24"/>
      <c r="V1808" s="26" t="s">
        <v>43</v>
      </c>
      <c r="W1808" s="25"/>
      <c r="X1808" s="25"/>
    </row>
    <row r="1809" spans="1:24" ht="18.75">
      <c r="A1809" s="35" t="s">
        <v>31</v>
      </c>
      <c r="B1809" s="35" t="s">
        <v>6974</v>
      </c>
      <c r="C1809" s="35" t="s">
        <v>6975</v>
      </c>
      <c r="D1809" s="35">
        <f t="shared" si="30"/>
        <v>-1</v>
      </c>
      <c r="E1809" s="35" t="s">
        <v>34</v>
      </c>
      <c r="F1809" s="35" t="s">
        <v>6730</v>
      </c>
      <c r="G1809" s="35" t="s">
        <v>6976</v>
      </c>
      <c r="H1809" s="35" t="s">
        <v>37</v>
      </c>
      <c r="I1809" s="35" t="s">
        <v>38</v>
      </c>
      <c r="J1809" s="35" t="s">
        <v>6977</v>
      </c>
      <c r="K1809" s="35" t="s">
        <v>6978</v>
      </c>
      <c r="L1809" s="35">
        <v>19000</v>
      </c>
      <c r="M1809" s="35">
        <v>0</v>
      </c>
      <c r="N1809" s="35">
        <v>0</v>
      </c>
      <c r="O1809" s="35">
        <v>119000</v>
      </c>
      <c r="P1809" s="35" t="s">
        <v>41</v>
      </c>
      <c r="Q1809" s="35" t="s">
        <v>42</v>
      </c>
      <c r="R1809" s="25"/>
      <c r="S1809" s="25"/>
      <c r="T1809" s="25"/>
      <c r="U1809" s="25"/>
      <c r="V1809" s="26"/>
      <c r="W1809" s="24" t="s">
        <v>43</v>
      </c>
      <c r="X1809" s="25" t="s">
        <v>501</v>
      </c>
    </row>
    <row r="1810" spans="1:24" ht="18.75">
      <c r="A1810" s="26" t="s">
        <v>31</v>
      </c>
      <c r="B1810" s="26" t="s">
        <v>6979</v>
      </c>
      <c r="C1810" s="26" t="s">
        <v>6980</v>
      </c>
      <c r="D1810" s="26">
        <f t="shared" si="30"/>
        <v>-1</v>
      </c>
      <c r="E1810" s="26" t="s">
        <v>34</v>
      </c>
      <c r="F1810" s="26" t="s">
        <v>6730</v>
      </c>
      <c r="G1810" s="26" t="s">
        <v>6981</v>
      </c>
      <c r="H1810" s="26" t="s">
        <v>37</v>
      </c>
      <c r="I1810" s="26" t="s">
        <v>38</v>
      </c>
      <c r="J1810" s="26" t="s">
        <v>3229</v>
      </c>
      <c r="K1810" s="26" t="s">
        <v>3230</v>
      </c>
      <c r="L1810" s="26">
        <v>87400</v>
      </c>
      <c r="M1810" s="26">
        <v>0</v>
      </c>
      <c r="N1810" s="26">
        <v>0</v>
      </c>
      <c r="O1810" s="26">
        <v>547400</v>
      </c>
      <c r="P1810" s="26" t="s">
        <v>41</v>
      </c>
      <c r="Q1810" s="26" t="s">
        <v>42</v>
      </c>
      <c r="R1810" s="25"/>
      <c r="S1810" s="25"/>
      <c r="T1810" s="25"/>
      <c r="U1810" s="25"/>
      <c r="V1810" s="26" t="s">
        <v>43</v>
      </c>
      <c r="W1810" s="24"/>
      <c r="X1810" s="25"/>
    </row>
    <row r="1811" spans="1:24" ht="18.75">
      <c r="A1811" s="26" t="s">
        <v>31</v>
      </c>
      <c r="B1811" s="26" t="s">
        <v>6982</v>
      </c>
      <c r="C1811" s="26" t="s">
        <v>6983</v>
      </c>
      <c r="D1811" s="26">
        <f t="shared" si="30"/>
        <v>-1</v>
      </c>
      <c r="E1811" s="26" t="s">
        <v>34</v>
      </c>
      <c r="F1811" s="26" t="s">
        <v>6984</v>
      </c>
      <c r="G1811" s="26" t="s">
        <v>6985</v>
      </c>
      <c r="H1811" s="26" t="s">
        <v>37</v>
      </c>
      <c r="I1811" s="26" t="s">
        <v>38</v>
      </c>
      <c r="J1811" s="26" t="s">
        <v>6986</v>
      </c>
      <c r="K1811" s="26" t="s">
        <v>6987</v>
      </c>
      <c r="L1811" s="26">
        <v>3724000</v>
      </c>
      <c r="M1811" s="26">
        <v>0</v>
      </c>
      <c r="N1811" s="26">
        <v>0</v>
      </c>
      <c r="O1811" s="26">
        <v>23324000</v>
      </c>
      <c r="P1811" s="26" t="s">
        <v>41</v>
      </c>
      <c r="Q1811" s="26" t="s">
        <v>42</v>
      </c>
      <c r="R1811" s="25"/>
      <c r="S1811" s="25"/>
      <c r="T1811" s="25"/>
      <c r="U1811" s="25"/>
      <c r="V1811" s="26" t="s">
        <v>43</v>
      </c>
      <c r="W1811" s="24"/>
      <c r="X1811" s="25"/>
    </row>
    <row r="1812" spans="1:24" ht="18.75">
      <c r="A1812" s="26" t="s">
        <v>31</v>
      </c>
      <c r="B1812" s="26" t="s">
        <v>6988</v>
      </c>
      <c r="C1812" s="26" t="s">
        <v>6989</v>
      </c>
      <c r="D1812" s="26">
        <f t="shared" si="30"/>
        <v>-1</v>
      </c>
      <c r="E1812" s="26" t="s">
        <v>34</v>
      </c>
      <c r="F1812" s="26" t="s">
        <v>6984</v>
      </c>
      <c r="G1812" s="26" t="s">
        <v>6990</v>
      </c>
      <c r="H1812" s="26" t="s">
        <v>37</v>
      </c>
      <c r="I1812" s="26" t="s">
        <v>38</v>
      </c>
      <c r="J1812" s="26" t="s">
        <v>944</v>
      </c>
      <c r="K1812" s="26" t="s">
        <v>945</v>
      </c>
      <c r="L1812" s="26">
        <v>151620</v>
      </c>
      <c r="M1812" s="26">
        <v>0</v>
      </c>
      <c r="N1812" s="26">
        <v>0</v>
      </c>
      <c r="O1812" s="26">
        <v>949620</v>
      </c>
      <c r="P1812" s="26" t="s">
        <v>41</v>
      </c>
      <c r="Q1812" s="26" t="s">
        <v>42</v>
      </c>
      <c r="R1812" s="24"/>
      <c r="S1812" s="25"/>
      <c r="T1812" s="24"/>
      <c r="U1812" s="24"/>
      <c r="V1812" s="26" t="s">
        <v>43</v>
      </c>
      <c r="W1812" s="24"/>
      <c r="X1812" s="25"/>
    </row>
    <row r="1813" spans="1:24" ht="18.75">
      <c r="A1813" s="26" t="s">
        <v>31</v>
      </c>
      <c r="B1813" s="26" t="s">
        <v>6991</v>
      </c>
      <c r="C1813" s="26" t="s">
        <v>6992</v>
      </c>
      <c r="D1813" s="26">
        <f t="shared" si="30"/>
        <v>-1</v>
      </c>
      <c r="E1813" s="26" t="s">
        <v>34</v>
      </c>
      <c r="F1813" s="26" t="s">
        <v>6984</v>
      </c>
      <c r="G1813" s="26" t="s">
        <v>6993</v>
      </c>
      <c r="H1813" s="26" t="s">
        <v>37</v>
      </c>
      <c r="I1813" s="26" t="s">
        <v>38</v>
      </c>
      <c r="J1813" s="26" t="s">
        <v>6994</v>
      </c>
      <c r="K1813" s="26" t="s">
        <v>6995</v>
      </c>
      <c r="L1813" s="26">
        <v>96770.89</v>
      </c>
      <c r="M1813" s="26">
        <v>0</v>
      </c>
      <c r="N1813" s="26">
        <v>0</v>
      </c>
      <c r="O1813" s="26">
        <v>743415.89</v>
      </c>
      <c r="P1813" s="26" t="s">
        <v>41</v>
      </c>
      <c r="Q1813" s="26" t="s">
        <v>42</v>
      </c>
      <c r="R1813" s="25"/>
      <c r="S1813" s="25"/>
      <c r="T1813" s="25"/>
      <c r="U1813" s="25"/>
      <c r="V1813" s="26" t="s">
        <v>43</v>
      </c>
      <c r="W1813" s="24"/>
      <c r="X1813" s="25"/>
    </row>
    <row r="1814" spans="1:24" ht="18.75">
      <c r="A1814" s="26" t="s">
        <v>31</v>
      </c>
      <c r="B1814" s="26" t="s">
        <v>6996</v>
      </c>
      <c r="C1814" s="26" t="s">
        <v>6997</v>
      </c>
      <c r="D1814" s="26">
        <f t="shared" si="30"/>
        <v>-1</v>
      </c>
      <c r="E1814" s="26" t="s">
        <v>34</v>
      </c>
      <c r="F1814" s="26" t="s">
        <v>6984</v>
      </c>
      <c r="G1814" s="26" t="s">
        <v>6998</v>
      </c>
      <c r="H1814" s="26" t="s">
        <v>37</v>
      </c>
      <c r="I1814" s="26" t="s">
        <v>38</v>
      </c>
      <c r="J1814" s="26" t="s">
        <v>6999</v>
      </c>
      <c r="K1814" s="26" t="s">
        <v>7000</v>
      </c>
      <c r="L1814" s="26">
        <v>2507240</v>
      </c>
      <c r="M1814" s="26">
        <v>0</v>
      </c>
      <c r="N1814" s="26">
        <v>0</v>
      </c>
      <c r="O1814" s="26">
        <v>15703240</v>
      </c>
      <c r="P1814" s="26" t="s">
        <v>41</v>
      </c>
      <c r="Q1814" s="26" t="s">
        <v>42</v>
      </c>
      <c r="R1814" s="25"/>
      <c r="S1814" s="25"/>
      <c r="T1814" s="25"/>
      <c r="U1814" s="25"/>
      <c r="V1814" s="26" t="s">
        <v>43</v>
      </c>
      <c r="W1814" s="24"/>
      <c r="X1814" s="25"/>
    </row>
    <row r="1815" spans="1:24" ht="18.75">
      <c r="A1815" s="26" t="s">
        <v>31</v>
      </c>
      <c r="B1815" s="26" t="s">
        <v>7001</v>
      </c>
      <c r="C1815" s="26" t="s">
        <v>7002</v>
      </c>
      <c r="D1815" s="26">
        <f t="shared" si="30"/>
        <v>-1</v>
      </c>
      <c r="E1815" s="26" t="s">
        <v>34</v>
      </c>
      <c r="F1815" s="26" t="s">
        <v>6984</v>
      </c>
      <c r="G1815" s="26" t="s">
        <v>7003</v>
      </c>
      <c r="H1815" s="26" t="s">
        <v>37</v>
      </c>
      <c r="I1815" s="26" t="s">
        <v>38</v>
      </c>
      <c r="J1815" s="26" t="s">
        <v>6027</v>
      </c>
      <c r="K1815" s="26" t="s">
        <v>6028</v>
      </c>
      <c r="L1815" s="26">
        <v>94867</v>
      </c>
      <c r="M1815" s="26">
        <v>0</v>
      </c>
      <c r="N1815" s="26">
        <v>0</v>
      </c>
      <c r="O1815" s="26">
        <v>594167</v>
      </c>
      <c r="P1815" s="26" t="s">
        <v>41</v>
      </c>
      <c r="Q1815" s="26" t="s">
        <v>42</v>
      </c>
      <c r="R1815" s="25"/>
      <c r="S1815" s="25"/>
      <c r="T1815" s="25"/>
      <c r="U1815" s="25"/>
      <c r="V1815" s="26" t="s">
        <v>43</v>
      </c>
      <c r="W1815" s="24"/>
      <c r="X1815" s="25"/>
    </row>
    <row r="1816" spans="1:24" ht="18.75">
      <c r="A1816" s="26" t="s">
        <v>31</v>
      </c>
      <c r="B1816" s="26" t="s">
        <v>7004</v>
      </c>
      <c r="C1816" s="26" t="s">
        <v>7005</v>
      </c>
      <c r="D1816" s="26">
        <f t="shared" si="30"/>
        <v>-1</v>
      </c>
      <c r="E1816" s="26" t="s">
        <v>34</v>
      </c>
      <c r="F1816" s="26" t="s">
        <v>6984</v>
      </c>
      <c r="G1816" s="26" t="s">
        <v>7006</v>
      </c>
      <c r="H1816" s="26" t="s">
        <v>37</v>
      </c>
      <c r="I1816" s="26" t="s">
        <v>38</v>
      </c>
      <c r="J1816" s="26" t="s">
        <v>7007</v>
      </c>
      <c r="K1816" s="26" t="s">
        <v>7008</v>
      </c>
      <c r="L1816" s="26">
        <v>228570</v>
      </c>
      <c r="M1816" s="26">
        <v>0</v>
      </c>
      <c r="N1816" s="26">
        <v>0</v>
      </c>
      <c r="O1816" s="26">
        <v>1431570</v>
      </c>
      <c r="P1816" s="26" t="s">
        <v>41</v>
      </c>
      <c r="Q1816" s="26" t="s">
        <v>42</v>
      </c>
      <c r="R1816" s="25"/>
      <c r="S1816" s="25"/>
      <c r="T1816" s="25"/>
      <c r="U1816" s="25"/>
      <c r="V1816" s="26" t="s">
        <v>43</v>
      </c>
      <c r="W1816" s="24"/>
      <c r="X1816" s="25"/>
    </row>
    <row r="1817" spans="1:24" ht="18.75">
      <c r="A1817" s="26" t="s">
        <v>31</v>
      </c>
      <c r="B1817" s="26" t="s">
        <v>7009</v>
      </c>
      <c r="C1817" s="26" t="s">
        <v>7010</v>
      </c>
      <c r="D1817" s="26">
        <f t="shared" si="30"/>
        <v>-1</v>
      </c>
      <c r="E1817" s="26" t="s">
        <v>34</v>
      </c>
      <c r="F1817" s="26" t="s">
        <v>6984</v>
      </c>
      <c r="G1817" s="26" t="s">
        <v>7011</v>
      </c>
      <c r="H1817" s="26" t="s">
        <v>37</v>
      </c>
      <c r="I1817" s="26" t="s">
        <v>38</v>
      </c>
      <c r="J1817" s="26" t="s">
        <v>7012</v>
      </c>
      <c r="K1817" s="26" t="s">
        <v>7013</v>
      </c>
      <c r="L1817" s="26">
        <v>513270.75</v>
      </c>
      <c r="M1817" s="26">
        <v>0</v>
      </c>
      <c r="N1817" s="26">
        <v>0</v>
      </c>
      <c r="O1817" s="26">
        <v>3214695.75</v>
      </c>
      <c r="P1817" s="26" t="s">
        <v>41</v>
      </c>
      <c r="Q1817" s="26" t="s">
        <v>42</v>
      </c>
      <c r="R1817" s="25"/>
      <c r="S1817" s="25"/>
      <c r="T1817" s="25"/>
      <c r="U1817" s="25"/>
      <c r="V1817" s="26" t="s">
        <v>43</v>
      </c>
      <c r="W1817" s="24"/>
      <c r="X1817" s="25"/>
    </row>
    <row r="1818" spans="1:24" ht="18.75">
      <c r="A1818" s="26" t="s">
        <v>31</v>
      </c>
      <c r="B1818" s="26" t="s">
        <v>7014</v>
      </c>
      <c r="C1818" s="26" t="s">
        <v>7015</v>
      </c>
      <c r="D1818" s="26">
        <f t="shared" si="30"/>
        <v>-1</v>
      </c>
      <c r="E1818" s="26" t="s">
        <v>34</v>
      </c>
      <c r="F1818" s="26" t="s">
        <v>6984</v>
      </c>
      <c r="G1818" s="26" t="s">
        <v>7016</v>
      </c>
      <c r="H1818" s="26" t="s">
        <v>37</v>
      </c>
      <c r="I1818" s="26" t="s">
        <v>38</v>
      </c>
      <c r="J1818" s="26" t="s">
        <v>7017</v>
      </c>
      <c r="K1818" s="26" t="s">
        <v>7018</v>
      </c>
      <c r="L1818" s="26">
        <v>68562.45</v>
      </c>
      <c r="M1818" s="26">
        <v>0</v>
      </c>
      <c r="N1818" s="26">
        <v>0</v>
      </c>
      <c r="O1818" s="26">
        <v>429417.45</v>
      </c>
      <c r="P1818" s="26" t="s">
        <v>41</v>
      </c>
      <c r="Q1818" s="26" t="s">
        <v>42</v>
      </c>
      <c r="R1818" s="24"/>
      <c r="S1818" s="24"/>
      <c r="T1818" s="24"/>
      <c r="U1818" s="24"/>
      <c r="V1818" s="26" t="s">
        <v>43</v>
      </c>
      <c r="W1818" s="24"/>
      <c r="X1818" s="25"/>
    </row>
    <row r="1819" spans="1:24" ht="18.75">
      <c r="A1819" s="26" t="s">
        <v>31</v>
      </c>
      <c r="B1819" s="26" t="s">
        <v>7019</v>
      </c>
      <c r="C1819" s="26" t="s">
        <v>7020</v>
      </c>
      <c r="D1819" s="26">
        <f t="shared" si="30"/>
        <v>-1</v>
      </c>
      <c r="E1819" s="26" t="s">
        <v>34</v>
      </c>
      <c r="F1819" s="26" t="s">
        <v>6984</v>
      </c>
      <c r="G1819" s="26" t="s">
        <v>7021</v>
      </c>
      <c r="H1819" s="26" t="s">
        <v>37</v>
      </c>
      <c r="I1819" s="26" t="s">
        <v>38</v>
      </c>
      <c r="J1819" s="26" t="s">
        <v>4930</v>
      </c>
      <c r="K1819" s="26" t="s">
        <v>4931</v>
      </c>
      <c r="L1819" s="26">
        <v>56760.6</v>
      </c>
      <c r="M1819" s="26">
        <v>0</v>
      </c>
      <c r="N1819" s="26">
        <v>0</v>
      </c>
      <c r="O1819" s="26">
        <v>717552.6</v>
      </c>
      <c r="P1819" s="26" t="s">
        <v>41</v>
      </c>
      <c r="Q1819" s="26" t="s">
        <v>42</v>
      </c>
      <c r="R1819" s="25"/>
      <c r="S1819" s="25"/>
      <c r="T1819" s="25"/>
      <c r="U1819" s="25"/>
      <c r="V1819" s="26" t="s">
        <v>43</v>
      </c>
      <c r="W1819" s="24"/>
      <c r="X1819" s="25"/>
    </row>
    <row r="1820" spans="1:24" ht="18.75">
      <c r="A1820" s="26" t="s">
        <v>31</v>
      </c>
      <c r="B1820" s="26" t="s">
        <v>7022</v>
      </c>
      <c r="C1820" s="26" t="s">
        <v>7023</v>
      </c>
      <c r="D1820" s="26">
        <f t="shared" si="30"/>
        <v>-1</v>
      </c>
      <c r="E1820" s="26" t="s">
        <v>34</v>
      </c>
      <c r="F1820" s="26" t="s">
        <v>6984</v>
      </c>
      <c r="G1820" s="26" t="s">
        <v>7024</v>
      </c>
      <c r="H1820" s="26" t="s">
        <v>37</v>
      </c>
      <c r="I1820" s="26" t="s">
        <v>38</v>
      </c>
      <c r="J1820" s="26" t="s">
        <v>7012</v>
      </c>
      <c r="K1820" s="26" t="s">
        <v>7013</v>
      </c>
      <c r="L1820" s="26">
        <v>24662</v>
      </c>
      <c r="M1820" s="26">
        <v>0</v>
      </c>
      <c r="N1820" s="26">
        <v>0</v>
      </c>
      <c r="O1820" s="26">
        <v>154462</v>
      </c>
      <c r="P1820" s="26" t="s">
        <v>41</v>
      </c>
      <c r="Q1820" s="26" t="s">
        <v>42</v>
      </c>
      <c r="R1820" s="25"/>
      <c r="S1820" s="25"/>
      <c r="T1820" s="25"/>
      <c r="U1820" s="25"/>
      <c r="V1820" s="26" t="s">
        <v>43</v>
      </c>
      <c r="W1820" s="24"/>
      <c r="X1820" s="25"/>
    </row>
    <row r="1821" spans="1:24" ht="18.75">
      <c r="A1821" s="26" t="s">
        <v>31</v>
      </c>
      <c r="B1821" s="26" t="s">
        <v>7025</v>
      </c>
      <c r="C1821" s="26" t="s">
        <v>7026</v>
      </c>
      <c r="D1821" s="26">
        <f t="shared" si="30"/>
        <v>-1</v>
      </c>
      <c r="E1821" s="26" t="s">
        <v>34</v>
      </c>
      <c r="F1821" s="26" t="s">
        <v>6984</v>
      </c>
      <c r="G1821" s="26" t="s">
        <v>7024</v>
      </c>
      <c r="H1821" s="26" t="s">
        <v>37</v>
      </c>
      <c r="I1821" s="26" t="s">
        <v>38</v>
      </c>
      <c r="J1821" s="26" t="s">
        <v>7027</v>
      </c>
      <c r="K1821" s="26" t="s">
        <v>7028</v>
      </c>
      <c r="L1821" s="26">
        <v>151620</v>
      </c>
      <c r="M1821" s="26">
        <v>0</v>
      </c>
      <c r="N1821" s="26">
        <v>0</v>
      </c>
      <c r="O1821" s="26">
        <v>949620</v>
      </c>
      <c r="P1821" s="26" t="s">
        <v>41</v>
      </c>
      <c r="Q1821" s="26" t="s">
        <v>42</v>
      </c>
      <c r="R1821" s="25"/>
      <c r="S1821" s="25"/>
      <c r="T1821" s="25"/>
      <c r="U1821" s="25"/>
      <c r="V1821" s="26" t="s">
        <v>43</v>
      </c>
      <c r="W1821" s="24"/>
      <c r="X1821" s="25"/>
    </row>
    <row r="1822" spans="1:24" ht="18.75">
      <c r="A1822" s="26" t="s">
        <v>31</v>
      </c>
      <c r="B1822" s="26" t="s">
        <v>7029</v>
      </c>
      <c r="C1822" s="26" t="s">
        <v>7030</v>
      </c>
      <c r="D1822" s="26">
        <f t="shared" si="30"/>
        <v>-1</v>
      </c>
      <c r="E1822" s="26" t="s">
        <v>34</v>
      </c>
      <c r="F1822" s="26" t="s">
        <v>6984</v>
      </c>
      <c r="G1822" s="26" t="s">
        <v>7031</v>
      </c>
      <c r="H1822" s="26" t="s">
        <v>37</v>
      </c>
      <c r="I1822" s="26" t="s">
        <v>38</v>
      </c>
      <c r="J1822" s="26" t="s">
        <v>685</v>
      </c>
      <c r="K1822" s="26" t="s">
        <v>686</v>
      </c>
      <c r="L1822" s="26">
        <v>1052220</v>
      </c>
      <c r="M1822" s="26">
        <v>0</v>
      </c>
      <c r="N1822" s="26">
        <v>0</v>
      </c>
      <c r="O1822" s="26">
        <v>6590220</v>
      </c>
      <c r="P1822" s="26" t="s">
        <v>41</v>
      </c>
      <c r="Q1822" s="26" t="s">
        <v>42</v>
      </c>
      <c r="R1822" s="25"/>
      <c r="S1822" s="25"/>
      <c r="T1822" s="25"/>
      <c r="U1822" s="25"/>
      <c r="V1822" s="26" t="s">
        <v>43</v>
      </c>
      <c r="W1822" s="24"/>
      <c r="X1822" s="25"/>
    </row>
    <row r="1823" spans="1:24" ht="18.75">
      <c r="A1823" s="26" t="s">
        <v>31</v>
      </c>
      <c r="B1823" s="26" t="s">
        <v>7032</v>
      </c>
      <c r="C1823" s="26" t="s">
        <v>7033</v>
      </c>
      <c r="D1823" s="26">
        <f t="shared" si="30"/>
        <v>-1</v>
      </c>
      <c r="E1823" s="26" t="s">
        <v>34</v>
      </c>
      <c r="F1823" s="26" t="s">
        <v>6984</v>
      </c>
      <c r="G1823" s="26" t="s">
        <v>7034</v>
      </c>
      <c r="H1823" s="26" t="s">
        <v>37</v>
      </c>
      <c r="I1823" s="26" t="s">
        <v>38</v>
      </c>
      <c r="J1823" s="26" t="s">
        <v>3944</v>
      </c>
      <c r="K1823" s="26" t="s">
        <v>3945</v>
      </c>
      <c r="L1823" s="26">
        <v>848046</v>
      </c>
      <c r="M1823" s="26">
        <v>0</v>
      </c>
      <c r="N1823" s="26">
        <v>0</v>
      </c>
      <c r="O1823" s="26">
        <v>5311446</v>
      </c>
      <c r="P1823" s="26" t="s">
        <v>41</v>
      </c>
      <c r="Q1823" s="26" t="s">
        <v>42</v>
      </c>
      <c r="R1823" s="25"/>
      <c r="S1823" s="25"/>
      <c r="T1823" s="25"/>
      <c r="U1823" s="25"/>
      <c r="V1823" s="26" t="s">
        <v>43</v>
      </c>
      <c r="W1823" s="24"/>
      <c r="X1823" s="25"/>
    </row>
    <row r="1824" spans="1:24" ht="18.75">
      <c r="A1824" s="26" t="s">
        <v>31</v>
      </c>
      <c r="B1824" s="26" t="s">
        <v>7035</v>
      </c>
      <c r="C1824" s="26" t="s">
        <v>7036</v>
      </c>
      <c r="D1824" s="26">
        <f t="shared" si="30"/>
        <v>-1</v>
      </c>
      <c r="E1824" s="26" t="s">
        <v>34</v>
      </c>
      <c r="F1824" s="26" t="s">
        <v>6984</v>
      </c>
      <c r="G1824" s="26" t="s">
        <v>7037</v>
      </c>
      <c r="H1824" s="26" t="s">
        <v>37</v>
      </c>
      <c r="I1824" s="26" t="s">
        <v>38</v>
      </c>
      <c r="J1824" s="26" t="s">
        <v>7038</v>
      </c>
      <c r="K1824" s="26" t="s">
        <v>7039</v>
      </c>
      <c r="L1824" s="26">
        <v>107965.03</v>
      </c>
      <c r="M1824" s="26">
        <v>0</v>
      </c>
      <c r="N1824" s="26">
        <v>0</v>
      </c>
      <c r="O1824" s="26">
        <v>676202.03</v>
      </c>
      <c r="P1824" s="26" t="s">
        <v>41</v>
      </c>
      <c r="Q1824" s="26" t="s">
        <v>42</v>
      </c>
      <c r="R1824" s="25"/>
      <c r="S1824" s="25"/>
      <c r="T1824" s="25"/>
      <c r="U1824" s="25"/>
      <c r="V1824" s="26" t="s">
        <v>43</v>
      </c>
      <c r="W1824" s="24"/>
      <c r="X1824" s="25"/>
    </row>
    <row r="1825" spans="1:24" ht="18.75">
      <c r="A1825" s="26" t="s">
        <v>31</v>
      </c>
      <c r="B1825" s="26" t="s">
        <v>7040</v>
      </c>
      <c r="C1825" s="26" t="s">
        <v>7041</v>
      </c>
      <c r="D1825" s="26">
        <f t="shared" si="30"/>
        <v>-1</v>
      </c>
      <c r="E1825" s="26" t="s">
        <v>34</v>
      </c>
      <c r="F1825" s="26" t="s">
        <v>6984</v>
      </c>
      <c r="G1825" s="26" t="s">
        <v>7042</v>
      </c>
      <c r="H1825" s="26" t="s">
        <v>37</v>
      </c>
      <c r="I1825" s="26" t="s">
        <v>38</v>
      </c>
      <c r="J1825" s="26" t="s">
        <v>1698</v>
      </c>
      <c r="K1825" s="26" t="s">
        <v>1699</v>
      </c>
      <c r="L1825" s="26">
        <v>46791.3</v>
      </c>
      <c r="M1825" s="26">
        <v>0</v>
      </c>
      <c r="N1825" s="26">
        <v>0</v>
      </c>
      <c r="O1825" s="26">
        <v>327485.3</v>
      </c>
      <c r="P1825" s="26" t="s">
        <v>41</v>
      </c>
      <c r="Q1825" s="26" t="s">
        <v>42</v>
      </c>
      <c r="R1825" s="24"/>
      <c r="S1825" s="24"/>
      <c r="T1825" s="24"/>
      <c r="U1825" s="24"/>
      <c r="V1825" s="26" t="s">
        <v>43</v>
      </c>
      <c r="W1825" s="24"/>
      <c r="X1825" s="25"/>
    </row>
    <row r="1826" spans="1:24" ht="18.75">
      <c r="A1826" s="26" t="s">
        <v>31</v>
      </c>
      <c r="B1826" s="26" t="s">
        <v>7043</v>
      </c>
      <c r="C1826" s="26" t="s">
        <v>7044</v>
      </c>
      <c r="D1826" s="26">
        <f t="shared" si="30"/>
        <v>-1</v>
      </c>
      <c r="E1826" s="26" t="s">
        <v>34</v>
      </c>
      <c r="F1826" s="26" t="s">
        <v>6984</v>
      </c>
      <c r="G1826" s="26" t="s">
        <v>7045</v>
      </c>
      <c r="H1826" s="26" t="s">
        <v>37</v>
      </c>
      <c r="I1826" s="26" t="s">
        <v>38</v>
      </c>
      <c r="J1826" s="26" t="s">
        <v>1698</v>
      </c>
      <c r="K1826" s="26" t="s">
        <v>1699</v>
      </c>
      <c r="L1826" s="26">
        <v>13300</v>
      </c>
      <c r="M1826" s="26">
        <v>0</v>
      </c>
      <c r="N1826" s="26">
        <v>0</v>
      </c>
      <c r="O1826" s="26">
        <v>83300</v>
      </c>
      <c r="P1826" s="26" t="s">
        <v>41</v>
      </c>
      <c r="Q1826" s="26" t="s">
        <v>42</v>
      </c>
      <c r="R1826" s="25"/>
      <c r="S1826" s="25"/>
      <c r="T1826" s="25"/>
      <c r="U1826" s="25"/>
      <c r="V1826" s="26" t="s">
        <v>43</v>
      </c>
      <c r="W1826" s="24"/>
      <c r="X1826" s="25"/>
    </row>
    <row r="1827" spans="1:24" ht="18.75">
      <c r="A1827" s="26" t="s">
        <v>31</v>
      </c>
      <c r="B1827" s="26" t="s">
        <v>7046</v>
      </c>
      <c r="C1827" s="26" t="s">
        <v>7047</v>
      </c>
      <c r="D1827" s="26">
        <f t="shared" si="30"/>
        <v>-1</v>
      </c>
      <c r="E1827" s="26" t="s">
        <v>34</v>
      </c>
      <c r="F1827" s="26" t="s">
        <v>6984</v>
      </c>
      <c r="G1827" s="26" t="s">
        <v>7048</v>
      </c>
      <c r="H1827" s="26" t="s">
        <v>37</v>
      </c>
      <c r="I1827" s="26" t="s">
        <v>38</v>
      </c>
      <c r="J1827" s="26" t="s">
        <v>3191</v>
      </c>
      <c r="K1827" s="26" t="s">
        <v>3192</v>
      </c>
      <c r="L1827" s="26">
        <v>358159.57</v>
      </c>
      <c r="M1827" s="26">
        <v>0</v>
      </c>
      <c r="N1827" s="26">
        <v>0</v>
      </c>
      <c r="O1827" s="26">
        <v>2465522.5699999998</v>
      </c>
      <c r="P1827" s="26" t="s">
        <v>41</v>
      </c>
      <c r="Q1827" s="26" t="s">
        <v>42</v>
      </c>
      <c r="R1827" s="24"/>
      <c r="S1827" s="24"/>
      <c r="T1827" s="24"/>
      <c r="U1827" s="24"/>
      <c r="V1827" s="26" t="s">
        <v>43</v>
      </c>
      <c r="W1827" s="24"/>
      <c r="X1827" s="25"/>
    </row>
    <row r="1828" spans="1:24" ht="18.75">
      <c r="A1828" s="26" t="s">
        <v>31</v>
      </c>
      <c r="B1828" s="26" t="s">
        <v>7049</v>
      </c>
      <c r="C1828" s="26" t="s">
        <v>7050</v>
      </c>
      <c r="D1828" s="26">
        <f t="shared" si="30"/>
        <v>-1</v>
      </c>
      <c r="E1828" s="26" t="s">
        <v>34</v>
      </c>
      <c r="F1828" s="26" t="s">
        <v>6984</v>
      </c>
      <c r="G1828" s="26" t="s">
        <v>7051</v>
      </c>
      <c r="H1828" s="26" t="s">
        <v>37</v>
      </c>
      <c r="I1828" s="26" t="s">
        <v>38</v>
      </c>
      <c r="J1828" s="26" t="s">
        <v>1619</v>
      </c>
      <c r="K1828" s="26" t="s">
        <v>1620</v>
      </c>
      <c r="L1828" s="26">
        <v>916750</v>
      </c>
      <c r="M1828" s="26">
        <v>0</v>
      </c>
      <c r="N1828" s="26">
        <v>0</v>
      </c>
      <c r="O1828" s="26">
        <v>5741750</v>
      </c>
      <c r="P1828" s="26" t="s">
        <v>41</v>
      </c>
      <c r="Q1828" s="26" t="s">
        <v>42</v>
      </c>
      <c r="R1828" s="25"/>
      <c r="S1828" s="25"/>
      <c r="T1828" s="25"/>
      <c r="U1828" s="25"/>
      <c r="V1828" s="26" t="s">
        <v>43</v>
      </c>
      <c r="W1828" s="24"/>
      <c r="X1828" s="25"/>
    </row>
    <row r="1829" spans="1:24" ht="18.75">
      <c r="A1829" s="26" t="s">
        <v>31</v>
      </c>
      <c r="B1829" s="26" t="s">
        <v>7052</v>
      </c>
      <c r="C1829" s="26" t="s">
        <v>7053</v>
      </c>
      <c r="D1829" s="26">
        <f t="shared" si="30"/>
        <v>-1</v>
      </c>
      <c r="E1829" s="26" t="s">
        <v>34</v>
      </c>
      <c r="F1829" s="26" t="s">
        <v>6984</v>
      </c>
      <c r="G1829" s="26" t="s">
        <v>7054</v>
      </c>
      <c r="H1829" s="26" t="s">
        <v>37</v>
      </c>
      <c r="I1829" s="26" t="s">
        <v>38</v>
      </c>
      <c r="J1829" s="26" t="s">
        <v>4375</v>
      </c>
      <c r="K1829" s="26" t="s">
        <v>4376</v>
      </c>
      <c r="L1829" s="26">
        <v>3828500</v>
      </c>
      <c r="M1829" s="26">
        <v>0</v>
      </c>
      <c r="N1829" s="26">
        <v>0</v>
      </c>
      <c r="O1829" s="26">
        <v>23978500</v>
      </c>
      <c r="P1829" s="26" t="s">
        <v>41</v>
      </c>
      <c r="Q1829" s="26" t="s">
        <v>42</v>
      </c>
      <c r="R1829" s="25"/>
      <c r="S1829" s="25"/>
      <c r="T1829" s="25"/>
      <c r="U1829" s="25"/>
      <c r="V1829" s="26" t="s">
        <v>43</v>
      </c>
      <c r="W1829" s="24"/>
      <c r="X1829" s="25"/>
    </row>
    <row r="1830" spans="1:24" ht="18.75">
      <c r="A1830" s="35" t="s">
        <v>31</v>
      </c>
      <c r="B1830" s="35" t="s">
        <v>7055</v>
      </c>
      <c r="C1830" s="35" t="s">
        <v>7056</v>
      </c>
      <c r="D1830" s="35">
        <f t="shared" si="30"/>
        <v>-1</v>
      </c>
      <c r="E1830" s="35" t="s">
        <v>34</v>
      </c>
      <c r="F1830" s="35" t="s">
        <v>6984</v>
      </c>
      <c r="G1830" s="35" t="s">
        <v>7057</v>
      </c>
      <c r="H1830" s="35" t="s">
        <v>37</v>
      </c>
      <c r="I1830" s="35" t="s">
        <v>38</v>
      </c>
      <c r="J1830" s="35" t="s">
        <v>499</v>
      </c>
      <c r="K1830" s="35" t="s">
        <v>500</v>
      </c>
      <c r="L1830" s="35">
        <v>51300</v>
      </c>
      <c r="M1830" s="35">
        <v>0</v>
      </c>
      <c r="N1830" s="35">
        <v>0</v>
      </c>
      <c r="O1830" s="35">
        <v>321300</v>
      </c>
      <c r="P1830" s="35" t="s">
        <v>41</v>
      </c>
      <c r="Q1830" s="35" t="s">
        <v>42</v>
      </c>
      <c r="R1830" s="25"/>
      <c r="S1830" s="25"/>
      <c r="T1830" s="25"/>
      <c r="U1830" s="25"/>
      <c r="V1830" s="26"/>
      <c r="W1830" s="24" t="s">
        <v>43</v>
      </c>
      <c r="X1830" s="25" t="s">
        <v>1625</v>
      </c>
    </row>
    <row r="1831" spans="1:24" ht="18.75">
      <c r="A1831" s="26" t="s">
        <v>31</v>
      </c>
      <c r="B1831" s="26" t="s">
        <v>7058</v>
      </c>
      <c r="C1831" s="26" t="s">
        <v>7059</v>
      </c>
      <c r="D1831" s="26">
        <f t="shared" si="30"/>
        <v>-1</v>
      </c>
      <c r="E1831" s="26" t="s">
        <v>34</v>
      </c>
      <c r="F1831" s="26" t="s">
        <v>6984</v>
      </c>
      <c r="G1831" s="26" t="s">
        <v>7060</v>
      </c>
      <c r="H1831" s="26" t="s">
        <v>37</v>
      </c>
      <c r="I1831" s="26" t="s">
        <v>38</v>
      </c>
      <c r="J1831" s="26" t="s">
        <v>3441</v>
      </c>
      <c r="K1831" s="26" t="s">
        <v>3442</v>
      </c>
      <c r="L1831" s="26">
        <v>180373.27</v>
      </c>
      <c r="M1831" s="26">
        <v>0</v>
      </c>
      <c r="N1831" s="26">
        <v>0</v>
      </c>
      <c r="O1831" s="26">
        <v>1129706.27</v>
      </c>
      <c r="P1831" s="26" t="s">
        <v>41</v>
      </c>
      <c r="Q1831" s="26" t="s">
        <v>42</v>
      </c>
      <c r="R1831" s="24"/>
      <c r="S1831" s="24"/>
      <c r="T1831" s="24"/>
      <c r="U1831" s="24"/>
      <c r="V1831" s="26" t="s">
        <v>43</v>
      </c>
      <c r="W1831" s="24"/>
      <c r="X1831" s="25"/>
    </row>
    <row r="1832" spans="1:24" ht="18.75">
      <c r="A1832" s="26" t="s">
        <v>31</v>
      </c>
      <c r="B1832" s="26" t="s">
        <v>7061</v>
      </c>
      <c r="C1832" s="26" t="s">
        <v>7062</v>
      </c>
      <c r="D1832" s="26">
        <f t="shared" si="30"/>
        <v>-1</v>
      </c>
      <c r="E1832" s="26" t="s">
        <v>34</v>
      </c>
      <c r="F1832" s="26" t="s">
        <v>6984</v>
      </c>
      <c r="G1832" s="26" t="s">
        <v>7063</v>
      </c>
      <c r="H1832" s="26" t="s">
        <v>37</v>
      </c>
      <c r="I1832" s="26" t="s">
        <v>38</v>
      </c>
      <c r="J1832" s="26" t="s">
        <v>1134</v>
      </c>
      <c r="K1832" s="26" t="s">
        <v>1135</v>
      </c>
      <c r="L1832" s="26">
        <v>2185000</v>
      </c>
      <c r="M1832" s="26">
        <v>0</v>
      </c>
      <c r="N1832" s="26">
        <v>0</v>
      </c>
      <c r="O1832" s="26">
        <v>13685000</v>
      </c>
      <c r="P1832" s="26" t="s">
        <v>41</v>
      </c>
      <c r="Q1832" s="26" t="s">
        <v>42</v>
      </c>
      <c r="R1832" s="25"/>
      <c r="S1832" s="25"/>
      <c r="T1832" s="25"/>
      <c r="U1832" s="25"/>
      <c r="V1832" s="26" t="s">
        <v>43</v>
      </c>
      <c r="W1832" s="24"/>
      <c r="X1832" s="25"/>
    </row>
    <row r="1833" spans="1:24" ht="18.75">
      <c r="A1833" s="26" t="s">
        <v>31</v>
      </c>
      <c r="B1833" s="26" t="s">
        <v>7064</v>
      </c>
      <c r="C1833" s="26" t="s">
        <v>7065</v>
      </c>
      <c r="D1833" s="26">
        <f t="shared" ref="D1833:D1896" si="31">C1833-C1834</f>
        <v>-1</v>
      </c>
      <c r="E1833" s="26" t="s">
        <v>34</v>
      </c>
      <c r="F1833" s="26" t="s">
        <v>6984</v>
      </c>
      <c r="G1833" s="26" t="s">
        <v>7066</v>
      </c>
      <c r="H1833" s="26" t="s">
        <v>37</v>
      </c>
      <c r="I1833" s="26" t="s">
        <v>38</v>
      </c>
      <c r="J1833" s="26" t="s">
        <v>3733</v>
      </c>
      <c r="K1833" s="26" t="s">
        <v>3734</v>
      </c>
      <c r="L1833" s="26">
        <v>0</v>
      </c>
      <c r="M1833" s="26">
        <v>0</v>
      </c>
      <c r="N1833" s="26">
        <v>0</v>
      </c>
      <c r="O1833" s="26">
        <v>3353945</v>
      </c>
      <c r="P1833" s="26" t="s">
        <v>41</v>
      </c>
      <c r="Q1833" s="26" t="s">
        <v>42</v>
      </c>
      <c r="R1833" s="25"/>
      <c r="S1833" s="25"/>
      <c r="T1833" s="25"/>
      <c r="U1833" s="25"/>
      <c r="V1833" s="26" t="s">
        <v>43</v>
      </c>
      <c r="W1833" s="24"/>
      <c r="X1833" s="25"/>
    </row>
    <row r="1834" spans="1:24" ht="18.75">
      <c r="A1834" s="26" t="s">
        <v>31</v>
      </c>
      <c r="B1834" s="26" t="s">
        <v>7067</v>
      </c>
      <c r="C1834" s="26" t="s">
        <v>7068</v>
      </c>
      <c r="D1834" s="26">
        <f t="shared" si="31"/>
        <v>-1</v>
      </c>
      <c r="E1834" s="26" t="s">
        <v>34</v>
      </c>
      <c r="F1834" s="26" t="s">
        <v>6984</v>
      </c>
      <c r="G1834" s="26" t="s">
        <v>7069</v>
      </c>
      <c r="H1834" s="26" t="s">
        <v>37</v>
      </c>
      <c r="I1834" s="26" t="s">
        <v>38</v>
      </c>
      <c r="J1834" s="26" t="s">
        <v>7070</v>
      </c>
      <c r="K1834" s="26" t="s">
        <v>7071</v>
      </c>
      <c r="L1834" s="26">
        <v>0</v>
      </c>
      <c r="M1834" s="26">
        <v>0</v>
      </c>
      <c r="N1834" s="26">
        <v>0</v>
      </c>
      <c r="O1834" s="26">
        <v>2369000</v>
      </c>
      <c r="P1834" s="26" t="s">
        <v>41</v>
      </c>
      <c r="Q1834" s="26" t="s">
        <v>42</v>
      </c>
      <c r="R1834" s="25"/>
      <c r="S1834" s="25"/>
      <c r="T1834" s="25"/>
      <c r="U1834" s="25"/>
      <c r="V1834" s="26" t="s">
        <v>43</v>
      </c>
      <c r="W1834" s="24"/>
      <c r="X1834" s="25"/>
    </row>
    <row r="1835" spans="1:24" ht="18.75">
      <c r="A1835" s="35" t="s">
        <v>31</v>
      </c>
      <c r="B1835" s="35" t="s">
        <v>7072</v>
      </c>
      <c r="C1835" s="35" t="s">
        <v>7073</v>
      </c>
      <c r="D1835" s="35">
        <f t="shared" si="31"/>
        <v>-1</v>
      </c>
      <c r="E1835" s="35" t="s">
        <v>34</v>
      </c>
      <c r="F1835" s="35" t="s">
        <v>6984</v>
      </c>
      <c r="G1835" s="35" t="s">
        <v>7074</v>
      </c>
      <c r="H1835" s="35" t="s">
        <v>37</v>
      </c>
      <c r="I1835" s="35" t="s">
        <v>38</v>
      </c>
      <c r="J1835" s="35" t="s">
        <v>5924</v>
      </c>
      <c r="K1835" s="35" t="s">
        <v>5925</v>
      </c>
      <c r="L1835" s="35">
        <v>0</v>
      </c>
      <c r="M1835" s="35">
        <v>0</v>
      </c>
      <c r="N1835" s="35">
        <v>0</v>
      </c>
      <c r="O1835" s="35">
        <v>7107000</v>
      </c>
      <c r="P1835" s="35" t="s">
        <v>41</v>
      </c>
      <c r="Q1835" s="35" t="s">
        <v>42</v>
      </c>
      <c r="R1835" s="24"/>
      <c r="S1835" s="24"/>
      <c r="T1835" s="24"/>
      <c r="U1835" s="24"/>
      <c r="V1835" s="26"/>
      <c r="W1835" s="24" t="s">
        <v>43</v>
      </c>
      <c r="X1835" s="25" t="s">
        <v>1984</v>
      </c>
    </row>
    <row r="1836" spans="1:24" ht="18.75">
      <c r="A1836" s="26" t="s">
        <v>31</v>
      </c>
      <c r="B1836" s="26" t="s">
        <v>7075</v>
      </c>
      <c r="C1836" s="26" t="s">
        <v>7076</v>
      </c>
      <c r="D1836" s="26">
        <f t="shared" si="31"/>
        <v>-1</v>
      </c>
      <c r="E1836" s="26" t="s">
        <v>34</v>
      </c>
      <c r="F1836" s="26" t="s">
        <v>6984</v>
      </c>
      <c r="G1836" s="26" t="s">
        <v>7077</v>
      </c>
      <c r="H1836" s="26" t="s">
        <v>37</v>
      </c>
      <c r="I1836" s="26" t="s">
        <v>38</v>
      </c>
      <c r="J1836" s="26" t="s">
        <v>5950</v>
      </c>
      <c r="K1836" s="26" t="s">
        <v>5951</v>
      </c>
      <c r="L1836" s="26">
        <v>275965.5</v>
      </c>
      <c r="M1836" s="26">
        <v>0</v>
      </c>
      <c r="N1836" s="26">
        <v>0</v>
      </c>
      <c r="O1836" s="26">
        <v>1729715.5</v>
      </c>
      <c r="P1836" s="26" t="s">
        <v>41</v>
      </c>
      <c r="Q1836" s="26" t="s">
        <v>42</v>
      </c>
      <c r="R1836" s="24"/>
      <c r="S1836" s="24"/>
      <c r="T1836" s="24"/>
      <c r="U1836" s="24"/>
      <c r="V1836" s="26" t="s">
        <v>43</v>
      </c>
      <c r="W1836" s="24"/>
      <c r="X1836" s="25"/>
    </row>
    <row r="1837" spans="1:24" ht="18.75">
      <c r="A1837" s="26" t="s">
        <v>31</v>
      </c>
      <c r="B1837" s="26" t="s">
        <v>7078</v>
      </c>
      <c r="C1837" s="26" t="s">
        <v>7079</v>
      </c>
      <c r="D1837" s="26">
        <f t="shared" si="31"/>
        <v>-1</v>
      </c>
      <c r="E1837" s="26" t="s">
        <v>34</v>
      </c>
      <c r="F1837" s="26" t="s">
        <v>6984</v>
      </c>
      <c r="G1837" s="26" t="s">
        <v>7080</v>
      </c>
      <c r="H1837" s="26" t="s">
        <v>37</v>
      </c>
      <c r="I1837" s="26" t="s">
        <v>38</v>
      </c>
      <c r="J1837" s="26" t="s">
        <v>7081</v>
      </c>
      <c r="K1837" s="26" t="s">
        <v>7082</v>
      </c>
      <c r="L1837" s="26">
        <v>15770916.75</v>
      </c>
      <c r="M1837" s="26">
        <v>0</v>
      </c>
      <c r="N1837" s="26">
        <v>0</v>
      </c>
      <c r="O1837" s="26">
        <v>98775741.75</v>
      </c>
      <c r="P1837" s="26" t="s">
        <v>41</v>
      </c>
      <c r="Q1837" s="26" t="s">
        <v>42</v>
      </c>
      <c r="R1837" s="25"/>
      <c r="S1837" s="25"/>
      <c r="T1837" s="25"/>
      <c r="U1837" s="25"/>
      <c r="V1837" s="26" t="s">
        <v>43</v>
      </c>
      <c r="W1837" s="24"/>
      <c r="X1837" s="25"/>
    </row>
    <row r="1838" spans="1:24" ht="18.75">
      <c r="A1838" s="35" t="s">
        <v>31</v>
      </c>
      <c r="B1838" s="35" t="s">
        <v>7083</v>
      </c>
      <c r="C1838" s="35" t="s">
        <v>7084</v>
      </c>
      <c r="D1838" s="35">
        <f t="shared" si="31"/>
        <v>-1</v>
      </c>
      <c r="E1838" s="35" t="s">
        <v>34</v>
      </c>
      <c r="F1838" s="35" t="s">
        <v>6984</v>
      </c>
      <c r="G1838" s="35" t="s">
        <v>7085</v>
      </c>
      <c r="H1838" s="35" t="s">
        <v>37</v>
      </c>
      <c r="I1838" s="35" t="s">
        <v>38</v>
      </c>
      <c r="J1838" s="35" t="s">
        <v>5911</v>
      </c>
      <c r="K1838" s="35" t="s">
        <v>5912</v>
      </c>
      <c r="L1838" s="35">
        <v>1802910</v>
      </c>
      <c r="M1838" s="35">
        <v>0</v>
      </c>
      <c r="N1838" s="35">
        <v>0</v>
      </c>
      <c r="O1838" s="35">
        <v>11291910</v>
      </c>
      <c r="P1838" s="35" t="s">
        <v>41</v>
      </c>
      <c r="Q1838" s="35" t="s">
        <v>42</v>
      </c>
      <c r="R1838" s="24"/>
      <c r="S1838" s="24"/>
      <c r="T1838" s="24"/>
      <c r="U1838" s="24"/>
      <c r="V1838" s="26"/>
      <c r="W1838" s="24" t="s">
        <v>43</v>
      </c>
      <c r="X1838" s="25" t="s">
        <v>647</v>
      </c>
    </row>
    <row r="1839" spans="1:24" ht="18.75">
      <c r="A1839" s="26" t="s">
        <v>31</v>
      </c>
      <c r="B1839" s="26" t="s">
        <v>7086</v>
      </c>
      <c r="C1839" s="26" t="s">
        <v>7087</v>
      </c>
      <c r="D1839" s="26">
        <f t="shared" si="31"/>
        <v>-1</v>
      </c>
      <c r="E1839" s="26" t="s">
        <v>34</v>
      </c>
      <c r="F1839" s="26" t="s">
        <v>6984</v>
      </c>
      <c r="G1839" s="26" t="s">
        <v>7088</v>
      </c>
      <c r="H1839" s="26" t="s">
        <v>37</v>
      </c>
      <c r="I1839" s="26" t="s">
        <v>38</v>
      </c>
      <c r="J1839" s="26" t="s">
        <v>2011</v>
      </c>
      <c r="K1839" s="26" t="s">
        <v>2012</v>
      </c>
      <c r="L1839" s="26">
        <v>99826.95</v>
      </c>
      <c r="M1839" s="26">
        <v>0</v>
      </c>
      <c r="N1839" s="26">
        <v>0</v>
      </c>
      <c r="O1839" s="26">
        <v>625231.94999999995</v>
      </c>
      <c r="P1839" s="26" t="s">
        <v>41</v>
      </c>
      <c r="Q1839" s="26" t="s">
        <v>42</v>
      </c>
      <c r="R1839" s="24"/>
      <c r="S1839" s="25"/>
      <c r="T1839" s="24"/>
      <c r="U1839" s="24"/>
      <c r="V1839" s="26" t="s">
        <v>43</v>
      </c>
      <c r="W1839" s="24"/>
      <c r="X1839" s="25"/>
    </row>
    <row r="1840" spans="1:24" ht="18.75">
      <c r="A1840" s="26" t="s">
        <v>31</v>
      </c>
      <c r="B1840" s="26" t="s">
        <v>7089</v>
      </c>
      <c r="C1840" s="26" t="s">
        <v>7090</v>
      </c>
      <c r="D1840" s="26">
        <f t="shared" si="31"/>
        <v>-1</v>
      </c>
      <c r="E1840" s="26" t="s">
        <v>34</v>
      </c>
      <c r="F1840" s="26" t="s">
        <v>6984</v>
      </c>
      <c r="G1840" s="26" t="s">
        <v>7091</v>
      </c>
      <c r="H1840" s="26" t="s">
        <v>37</v>
      </c>
      <c r="I1840" s="26" t="s">
        <v>38</v>
      </c>
      <c r="J1840" s="26" t="s">
        <v>7092</v>
      </c>
      <c r="K1840" s="26" t="s">
        <v>7093</v>
      </c>
      <c r="L1840" s="26">
        <v>90202.5</v>
      </c>
      <c r="M1840" s="26">
        <v>0</v>
      </c>
      <c r="N1840" s="26">
        <v>0</v>
      </c>
      <c r="O1840" s="26">
        <v>564952.5</v>
      </c>
      <c r="P1840" s="26" t="s">
        <v>41</v>
      </c>
      <c r="Q1840" s="26" t="s">
        <v>42</v>
      </c>
      <c r="R1840" s="25"/>
      <c r="S1840" s="25"/>
      <c r="T1840" s="25"/>
      <c r="U1840" s="25"/>
      <c r="V1840" s="26" t="s">
        <v>43</v>
      </c>
      <c r="W1840" s="24"/>
      <c r="X1840" s="25"/>
    </row>
    <row r="1841" spans="1:24" ht="18.75">
      <c r="A1841" s="26" t="s">
        <v>31</v>
      </c>
      <c r="B1841" s="26" t="s">
        <v>7094</v>
      </c>
      <c r="C1841" s="26" t="s">
        <v>7095</v>
      </c>
      <c r="D1841" s="26">
        <f t="shared" si="31"/>
        <v>-1</v>
      </c>
      <c r="E1841" s="26" t="s">
        <v>34</v>
      </c>
      <c r="F1841" s="26" t="s">
        <v>6984</v>
      </c>
      <c r="G1841" s="26" t="s">
        <v>7096</v>
      </c>
      <c r="H1841" s="26" t="s">
        <v>37</v>
      </c>
      <c r="I1841" s="26" t="s">
        <v>38</v>
      </c>
      <c r="J1841" s="26" t="s">
        <v>7097</v>
      </c>
      <c r="K1841" s="26" t="s">
        <v>7098</v>
      </c>
      <c r="L1841" s="26">
        <v>193414.3</v>
      </c>
      <c r="M1841" s="26">
        <v>0</v>
      </c>
      <c r="N1841" s="26">
        <v>0</v>
      </c>
      <c r="O1841" s="26">
        <v>1211384.3</v>
      </c>
      <c r="P1841" s="26" t="s">
        <v>41</v>
      </c>
      <c r="Q1841" s="26" t="s">
        <v>42</v>
      </c>
      <c r="R1841" s="24"/>
      <c r="S1841" s="24"/>
      <c r="T1841" s="24"/>
      <c r="U1841" s="24"/>
      <c r="V1841" s="26" t="s">
        <v>43</v>
      </c>
      <c r="W1841" s="24"/>
      <c r="X1841" s="25"/>
    </row>
    <row r="1842" spans="1:24" ht="18.75">
      <c r="A1842" s="26" t="s">
        <v>31</v>
      </c>
      <c r="B1842" s="26" t="s">
        <v>7099</v>
      </c>
      <c r="C1842" s="26" t="s">
        <v>7100</v>
      </c>
      <c r="D1842" s="26">
        <f t="shared" si="31"/>
        <v>-1</v>
      </c>
      <c r="E1842" s="26" t="s">
        <v>34</v>
      </c>
      <c r="F1842" s="26" t="s">
        <v>6984</v>
      </c>
      <c r="G1842" s="26" t="s">
        <v>7101</v>
      </c>
      <c r="H1842" s="26" t="s">
        <v>37</v>
      </c>
      <c r="I1842" s="26" t="s">
        <v>38</v>
      </c>
      <c r="J1842" s="26" t="s">
        <v>1424</v>
      </c>
      <c r="K1842" s="26" t="s">
        <v>1425</v>
      </c>
      <c r="L1842" s="26">
        <v>2861526.92</v>
      </c>
      <c r="M1842" s="26">
        <v>0</v>
      </c>
      <c r="N1842" s="26">
        <v>0</v>
      </c>
      <c r="O1842" s="26">
        <v>17922194.920000002</v>
      </c>
      <c r="P1842" s="26" t="s">
        <v>41</v>
      </c>
      <c r="Q1842" s="26" t="s">
        <v>42</v>
      </c>
      <c r="R1842" s="25"/>
      <c r="S1842" s="25"/>
      <c r="T1842" s="25"/>
      <c r="U1842" s="25"/>
      <c r="V1842" s="26" t="s">
        <v>43</v>
      </c>
      <c r="W1842" s="24"/>
      <c r="X1842" s="25"/>
    </row>
    <row r="1843" spans="1:24" ht="18.75">
      <c r="A1843" s="26" t="s">
        <v>31</v>
      </c>
      <c r="B1843" s="26" t="s">
        <v>7102</v>
      </c>
      <c r="C1843" s="26" t="s">
        <v>7103</v>
      </c>
      <c r="D1843" s="26">
        <f t="shared" si="31"/>
        <v>-1</v>
      </c>
      <c r="E1843" s="26" t="s">
        <v>34</v>
      </c>
      <c r="F1843" s="26" t="s">
        <v>6984</v>
      </c>
      <c r="G1843" s="26" t="s">
        <v>7104</v>
      </c>
      <c r="H1843" s="26" t="s">
        <v>37</v>
      </c>
      <c r="I1843" s="26" t="s">
        <v>38</v>
      </c>
      <c r="J1843" s="26" t="s">
        <v>6628</v>
      </c>
      <c r="K1843" s="26" t="s">
        <v>6629</v>
      </c>
      <c r="L1843" s="26">
        <v>199500</v>
      </c>
      <c r="M1843" s="26">
        <v>0</v>
      </c>
      <c r="N1843" s="26">
        <v>0</v>
      </c>
      <c r="O1843" s="26">
        <v>10149500</v>
      </c>
      <c r="P1843" s="26" t="s">
        <v>41</v>
      </c>
      <c r="Q1843" s="26" t="s">
        <v>42</v>
      </c>
      <c r="R1843" s="25"/>
      <c r="S1843" s="25"/>
      <c r="T1843" s="25"/>
      <c r="U1843" s="25"/>
      <c r="V1843" s="26" t="s">
        <v>43</v>
      </c>
      <c r="W1843" s="24"/>
      <c r="X1843" s="25"/>
    </row>
    <row r="1844" spans="1:24" ht="18.75">
      <c r="A1844" s="26" t="s">
        <v>31</v>
      </c>
      <c r="B1844" s="26" t="s">
        <v>7105</v>
      </c>
      <c r="C1844" s="26" t="s">
        <v>7106</v>
      </c>
      <c r="D1844" s="26">
        <f t="shared" si="31"/>
        <v>-1</v>
      </c>
      <c r="E1844" s="26" t="s">
        <v>34</v>
      </c>
      <c r="F1844" s="26" t="s">
        <v>6984</v>
      </c>
      <c r="G1844" s="26" t="s">
        <v>7107</v>
      </c>
      <c r="H1844" s="26" t="s">
        <v>37</v>
      </c>
      <c r="I1844" s="26" t="s">
        <v>38</v>
      </c>
      <c r="J1844" s="26" t="s">
        <v>3719</v>
      </c>
      <c r="K1844" s="26" t="s">
        <v>3720</v>
      </c>
      <c r="L1844" s="26">
        <v>137560</v>
      </c>
      <c r="M1844" s="26">
        <v>0</v>
      </c>
      <c r="N1844" s="26">
        <v>0</v>
      </c>
      <c r="O1844" s="26">
        <v>861560</v>
      </c>
      <c r="P1844" s="26" t="s">
        <v>41</v>
      </c>
      <c r="Q1844" s="26" t="s">
        <v>42</v>
      </c>
      <c r="R1844" s="24"/>
      <c r="S1844" s="24"/>
      <c r="T1844" s="24"/>
      <c r="U1844" s="24"/>
      <c r="V1844" s="26" t="s">
        <v>43</v>
      </c>
      <c r="W1844" s="24"/>
      <c r="X1844" s="25"/>
    </row>
    <row r="1845" spans="1:24" ht="18.75">
      <c r="A1845" s="26" t="s">
        <v>31</v>
      </c>
      <c r="B1845" s="26" t="s">
        <v>7108</v>
      </c>
      <c r="C1845" s="26" t="s">
        <v>7109</v>
      </c>
      <c r="D1845" s="26">
        <f t="shared" si="31"/>
        <v>-1</v>
      </c>
      <c r="E1845" s="26" t="s">
        <v>34</v>
      </c>
      <c r="F1845" s="26" t="s">
        <v>6984</v>
      </c>
      <c r="G1845" s="26" t="s">
        <v>7110</v>
      </c>
      <c r="H1845" s="26" t="s">
        <v>37</v>
      </c>
      <c r="I1845" s="26" t="s">
        <v>38</v>
      </c>
      <c r="J1845" s="26" t="s">
        <v>2114</v>
      </c>
      <c r="K1845" s="26" t="s">
        <v>3252</v>
      </c>
      <c r="L1845" s="26">
        <v>349708.3</v>
      </c>
      <c r="M1845" s="26">
        <v>0</v>
      </c>
      <c r="N1845" s="26">
        <v>0</v>
      </c>
      <c r="O1845" s="26">
        <v>2216198.2999999998</v>
      </c>
      <c r="P1845" s="26" t="s">
        <v>41</v>
      </c>
      <c r="Q1845" s="26" t="s">
        <v>42</v>
      </c>
      <c r="R1845" s="25"/>
      <c r="S1845" s="25"/>
      <c r="T1845" s="25"/>
      <c r="U1845" s="25"/>
      <c r="V1845" s="26" t="s">
        <v>43</v>
      </c>
      <c r="W1845" s="24"/>
      <c r="X1845" s="25"/>
    </row>
    <row r="1846" spans="1:24" ht="18.75">
      <c r="A1846" s="26" t="s">
        <v>31</v>
      </c>
      <c r="B1846" s="26" t="s">
        <v>7111</v>
      </c>
      <c r="C1846" s="26" t="s">
        <v>7112</v>
      </c>
      <c r="D1846" s="26">
        <f t="shared" si="31"/>
        <v>-1</v>
      </c>
      <c r="E1846" s="26" t="s">
        <v>34</v>
      </c>
      <c r="F1846" s="26" t="s">
        <v>6984</v>
      </c>
      <c r="G1846" s="26" t="s">
        <v>7113</v>
      </c>
      <c r="H1846" s="26" t="s">
        <v>37</v>
      </c>
      <c r="I1846" s="26" t="s">
        <v>38</v>
      </c>
      <c r="J1846" s="26" t="s">
        <v>2563</v>
      </c>
      <c r="K1846" s="26" t="s">
        <v>2564</v>
      </c>
      <c r="L1846" s="26">
        <v>2718884.8</v>
      </c>
      <c r="M1846" s="26">
        <v>0</v>
      </c>
      <c r="N1846" s="26">
        <v>0</v>
      </c>
      <c r="O1846" s="26">
        <v>17028804.800000001</v>
      </c>
      <c r="P1846" s="26" t="s">
        <v>41</v>
      </c>
      <c r="Q1846" s="26" t="s">
        <v>42</v>
      </c>
      <c r="R1846" s="24"/>
      <c r="S1846" s="24"/>
      <c r="T1846" s="24"/>
      <c r="U1846" s="24"/>
      <c r="V1846" s="26" t="s">
        <v>43</v>
      </c>
      <c r="W1846" s="24"/>
      <c r="X1846" s="25"/>
    </row>
    <row r="1847" spans="1:24" ht="18.75">
      <c r="A1847" s="35" t="s">
        <v>31</v>
      </c>
      <c r="B1847" s="35" t="s">
        <v>7114</v>
      </c>
      <c r="C1847" s="35" t="s">
        <v>7115</v>
      </c>
      <c r="D1847" s="35">
        <f t="shared" si="31"/>
        <v>-1</v>
      </c>
      <c r="E1847" s="35" t="s">
        <v>34</v>
      </c>
      <c r="F1847" s="35" t="s">
        <v>6984</v>
      </c>
      <c r="G1847" s="35" t="s">
        <v>7116</v>
      </c>
      <c r="H1847" s="35" t="s">
        <v>37</v>
      </c>
      <c r="I1847" s="35" t="s">
        <v>38</v>
      </c>
      <c r="J1847" s="35" t="s">
        <v>7117</v>
      </c>
      <c r="K1847" s="35" t="s">
        <v>7118</v>
      </c>
      <c r="L1847" s="35">
        <v>43781105.039999999</v>
      </c>
      <c r="M1847" s="35">
        <v>0</v>
      </c>
      <c r="N1847" s="35">
        <v>0</v>
      </c>
      <c r="O1847" s="35">
        <v>274207974.95999998</v>
      </c>
      <c r="P1847" s="35" t="s">
        <v>41</v>
      </c>
      <c r="Q1847" s="35" t="s">
        <v>42</v>
      </c>
      <c r="R1847" s="24"/>
      <c r="S1847" s="24"/>
      <c r="T1847" s="24"/>
      <c r="U1847" s="24"/>
      <c r="V1847" s="26"/>
      <c r="W1847" s="24" t="s">
        <v>43</v>
      </c>
      <c r="X1847" s="25" t="s">
        <v>4516</v>
      </c>
    </row>
    <row r="1848" spans="1:24" ht="18.75">
      <c r="A1848" s="26" t="s">
        <v>31</v>
      </c>
      <c r="B1848" s="26" t="s">
        <v>7119</v>
      </c>
      <c r="C1848" s="26" t="s">
        <v>7120</v>
      </c>
      <c r="D1848" s="26">
        <f t="shared" si="31"/>
        <v>-1</v>
      </c>
      <c r="E1848" s="26" t="s">
        <v>34</v>
      </c>
      <c r="F1848" s="26" t="s">
        <v>6984</v>
      </c>
      <c r="G1848" s="26" t="s">
        <v>7121</v>
      </c>
      <c r="H1848" s="26" t="s">
        <v>37</v>
      </c>
      <c r="I1848" s="26" t="s">
        <v>38</v>
      </c>
      <c r="J1848" s="26" t="s">
        <v>7122</v>
      </c>
      <c r="K1848" s="26" t="s">
        <v>7123</v>
      </c>
      <c r="L1848" s="26">
        <v>0</v>
      </c>
      <c r="M1848" s="26">
        <v>0</v>
      </c>
      <c r="N1848" s="26">
        <v>0</v>
      </c>
      <c r="O1848" s="26">
        <v>1278000</v>
      </c>
      <c r="P1848" s="26" t="s">
        <v>41</v>
      </c>
      <c r="Q1848" s="26" t="s">
        <v>42</v>
      </c>
      <c r="R1848" s="25"/>
      <c r="S1848" s="25"/>
      <c r="T1848" s="25"/>
      <c r="U1848" s="24"/>
      <c r="V1848" s="26" t="s">
        <v>43</v>
      </c>
      <c r="W1848" s="25"/>
      <c r="X1848" s="25"/>
    </row>
    <row r="1849" spans="1:24" ht="18.75">
      <c r="A1849" s="26" t="s">
        <v>31</v>
      </c>
      <c r="B1849" s="26" t="s">
        <v>7124</v>
      </c>
      <c r="C1849" s="26" t="s">
        <v>7125</v>
      </c>
      <c r="D1849" s="26">
        <f t="shared" si="31"/>
        <v>-1</v>
      </c>
      <c r="E1849" s="26" t="s">
        <v>34</v>
      </c>
      <c r="F1849" s="26" t="s">
        <v>6984</v>
      </c>
      <c r="G1849" s="26" t="s">
        <v>7126</v>
      </c>
      <c r="H1849" s="26" t="s">
        <v>37</v>
      </c>
      <c r="I1849" s="26" t="s">
        <v>38</v>
      </c>
      <c r="J1849" s="26" t="s">
        <v>2563</v>
      </c>
      <c r="K1849" s="26" t="s">
        <v>2564</v>
      </c>
      <c r="L1849" s="26">
        <v>716752.82</v>
      </c>
      <c r="M1849" s="26">
        <v>0</v>
      </c>
      <c r="N1849" s="26">
        <v>0</v>
      </c>
      <c r="O1849" s="26">
        <v>4489136.07</v>
      </c>
      <c r="P1849" s="26" t="s">
        <v>41</v>
      </c>
      <c r="Q1849" s="26" t="s">
        <v>42</v>
      </c>
      <c r="R1849" s="25"/>
      <c r="S1849" s="25"/>
      <c r="T1849" s="25"/>
      <c r="U1849" s="25"/>
      <c r="V1849" s="26" t="s">
        <v>43</v>
      </c>
      <c r="W1849" s="24"/>
      <c r="X1849" s="25"/>
    </row>
    <row r="1850" spans="1:24" ht="18.75">
      <c r="A1850" s="26" t="s">
        <v>31</v>
      </c>
      <c r="B1850" s="26" t="s">
        <v>7127</v>
      </c>
      <c r="C1850" s="26" t="s">
        <v>7128</v>
      </c>
      <c r="D1850" s="26">
        <f t="shared" si="31"/>
        <v>-1</v>
      </c>
      <c r="E1850" s="26" t="s">
        <v>34</v>
      </c>
      <c r="F1850" s="26" t="s">
        <v>6984</v>
      </c>
      <c r="G1850" s="26" t="s">
        <v>7129</v>
      </c>
      <c r="H1850" s="26" t="s">
        <v>37</v>
      </c>
      <c r="I1850" s="26" t="s">
        <v>38</v>
      </c>
      <c r="J1850" s="26" t="s">
        <v>1605</v>
      </c>
      <c r="K1850" s="26" t="s">
        <v>1606</v>
      </c>
      <c r="L1850" s="26">
        <v>31540</v>
      </c>
      <c r="M1850" s="26">
        <v>0</v>
      </c>
      <c r="N1850" s="26">
        <v>0</v>
      </c>
      <c r="O1850" s="26">
        <v>197540</v>
      </c>
      <c r="P1850" s="26" t="s">
        <v>41</v>
      </c>
      <c r="Q1850" s="26" t="s">
        <v>42</v>
      </c>
      <c r="R1850" s="25"/>
      <c r="S1850" s="25"/>
      <c r="T1850" s="25"/>
      <c r="U1850" s="25"/>
      <c r="V1850" s="26" t="s">
        <v>43</v>
      </c>
      <c r="W1850" s="24"/>
      <c r="X1850" s="25"/>
    </row>
    <row r="1851" spans="1:24" ht="18.75">
      <c r="A1851" s="26" t="s">
        <v>31</v>
      </c>
      <c r="B1851" s="26" t="s">
        <v>7130</v>
      </c>
      <c r="C1851" s="26" t="s">
        <v>7131</v>
      </c>
      <c r="D1851" s="26">
        <f t="shared" si="31"/>
        <v>-1</v>
      </c>
      <c r="E1851" s="26" t="s">
        <v>34</v>
      </c>
      <c r="F1851" s="26" t="s">
        <v>6984</v>
      </c>
      <c r="G1851" s="26" t="s">
        <v>7132</v>
      </c>
      <c r="H1851" s="26" t="s">
        <v>37</v>
      </c>
      <c r="I1851" s="26" t="s">
        <v>38</v>
      </c>
      <c r="J1851" s="26" t="s">
        <v>1605</v>
      </c>
      <c r="K1851" s="26" t="s">
        <v>1606</v>
      </c>
      <c r="L1851" s="26">
        <v>84420.800000000003</v>
      </c>
      <c r="M1851" s="26">
        <v>0</v>
      </c>
      <c r="N1851" s="26">
        <v>0</v>
      </c>
      <c r="O1851" s="26">
        <v>528740.80000000005</v>
      </c>
      <c r="P1851" s="26" t="s">
        <v>41</v>
      </c>
      <c r="Q1851" s="26" t="s">
        <v>42</v>
      </c>
      <c r="R1851" s="25"/>
      <c r="S1851" s="25"/>
      <c r="T1851" s="25"/>
      <c r="U1851" s="25"/>
      <c r="V1851" s="26" t="s">
        <v>43</v>
      </c>
      <c r="W1851" s="24"/>
      <c r="X1851" s="25"/>
    </row>
    <row r="1852" spans="1:24" ht="18.75">
      <c r="A1852" s="26" t="s">
        <v>31</v>
      </c>
      <c r="B1852" s="26" t="s">
        <v>7133</v>
      </c>
      <c r="C1852" s="26" t="s">
        <v>7134</v>
      </c>
      <c r="D1852" s="26">
        <f t="shared" si="31"/>
        <v>-1</v>
      </c>
      <c r="E1852" s="26" t="s">
        <v>34</v>
      </c>
      <c r="F1852" s="26" t="s">
        <v>6984</v>
      </c>
      <c r="G1852" s="26" t="s">
        <v>7135</v>
      </c>
      <c r="H1852" s="26" t="s">
        <v>37</v>
      </c>
      <c r="I1852" s="26" t="s">
        <v>38</v>
      </c>
      <c r="J1852" s="26" t="s">
        <v>4286</v>
      </c>
      <c r="K1852" s="26" t="s">
        <v>4287</v>
      </c>
      <c r="L1852" s="26">
        <v>138612.6</v>
      </c>
      <c r="M1852" s="26">
        <v>0</v>
      </c>
      <c r="N1852" s="26">
        <v>0</v>
      </c>
      <c r="O1852" s="26">
        <v>868152.6</v>
      </c>
      <c r="P1852" s="26" t="s">
        <v>41</v>
      </c>
      <c r="Q1852" s="26" t="s">
        <v>42</v>
      </c>
      <c r="R1852" s="24"/>
      <c r="S1852" s="24"/>
      <c r="T1852" s="24"/>
      <c r="U1852" s="24"/>
      <c r="V1852" s="26" t="s">
        <v>43</v>
      </c>
      <c r="W1852" s="24"/>
      <c r="X1852" s="25"/>
    </row>
    <row r="1853" spans="1:24" ht="18.75">
      <c r="A1853" s="26" t="s">
        <v>31</v>
      </c>
      <c r="B1853" s="26" t="s">
        <v>7136</v>
      </c>
      <c r="C1853" s="26" t="s">
        <v>7137</v>
      </c>
      <c r="D1853" s="26">
        <f t="shared" si="31"/>
        <v>-1</v>
      </c>
      <c r="E1853" s="26" t="s">
        <v>34</v>
      </c>
      <c r="F1853" s="26" t="s">
        <v>6984</v>
      </c>
      <c r="G1853" s="26" t="s">
        <v>7138</v>
      </c>
      <c r="H1853" s="26" t="s">
        <v>37</v>
      </c>
      <c r="I1853" s="26" t="s">
        <v>38</v>
      </c>
      <c r="J1853" s="26" t="s">
        <v>1573</v>
      </c>
      <c r="K1853" s="26" t="s">
        <v>1574</v>
      </c>
      <c r="L1853" s="26">
        <v>392735.7</v>
      </c>
      <c r="M1853" s="26">
        <v>0</v>
      </c>
      <c r="N1853" s="26">
        <v>0</v>
      </c>
      <c r="O1853" s="26">
        <v>2459765.7000000002</v>
      </c>
      <c r="P1853" s="26" t="s">
        <v>41</v>
      </c>
      <c r="Q1853" s="26" t="s">
        <v>42</v>
      </c>
      <c r="R1853" s="25"/>
      <c r="S1853" s="25"/>
      <c r="T1853" s="25"/>
      <c r="U1853" s="25"/>
      <c r="V1853" s="26" t="s">
        <v>43</v>
      </c>
      <c r="W1853" s="24"/>
      <c r="X1853" s="25"/>
    </row>
    <row r="1854" spans="1:24" ht="18.75">
      <c r="A1854" s="26" t="s">
        <v>31</v>
      </c>
      <c r="B1854" s="26" t="s">
        <v>7139</v>
      </c>
      <c r="C1854" s="26" t="s">
        <v>7140</v>
      </c>
      <c r="D1854" s="26">
        <f t="shared" si="31"/>
        <v>-1</v>
      </c>
      <c r="E1854" s="26" t="s">
        <v>34</v>
      </c>
      <c r="F1854" s="26" t="s">
        <v>6984</v>
      </c>
      <c r="G1854" s="26" t="s">
        <v>7141</v>
      </c>
      <c r="H1854" s="26" t="s">
        <v>37</v>
      </c>
      <c r="I1854" s="26" t="s">
        <v>38</v>
      </c>
      <c r="J1854" s="26" t="s">
        <v>1605</v>
      </c>
      <c r="K1854" s="26" t="s">
        <v>1606</v>
      </c>
      <c r="L1854" s="26">
        <v>204478.07</v>
      </c>
      <c r="M1854" s="26">
        <v>0</v>
      </c>
      <c r="N1854" s="26">
        <v>0</v>
      </c>
      <c r="O1854" s="26">
        <v>1573431.07</v>
      </c>
      <c r="P1854" s="26" t="s">
        <v>41</v>
      </c>
      <c r="Q1854" s="26" t="s">
        <v>42</v>
      </c>
      <c r="R1854" s="25"/>
      <c r="S1854" s="25"/>
      <c r="T1854" s="25"/>
      <c r="U1854" s="25"/>
      <c r="V1854" s="26" t="s">
        <v>43</v>
      </c>
      <c r="W1854" s="24"/>
      <c r="X1854" s="25"/>
    </row>
    <row r="1855" spans="1:24" ht="18.75">
      <c r="A1855" s="26" t="s">
        <v>31</v>
      </c>
      <c r="B1855" s="26" t="s">
        <v>7142</v>
      </c>
      <c r="C1855" s="26" t="s">
        <v>7143</v>
      </c>
      <c r="D1855" s="26">
        <f t="shared" si="31"/>
        <v>-1</v>
      </c>
      <c r="E1855" s="26" t="s">
        <v>34</v>
      </c>
      <c r="F1855" s="26" t="s">
        <v>6984</v>
      </c>
      <c r="G1855" s="26" t="s">
        <v>7144</v>
      </c>
      <c r="H1855" s="26" t="s">
        <v>37</v>
      </c>
      <c r="I1855" s="26" t="s">
        <v>38</v>
      </c>
      <c r="J1855" s="26" t="s">
        <v>7145</v>
      </c>
      <c r="K1855" s="26" t="s">
        <v>7146</v>
      </c>
      <c r="L1855" s="26">
        <v>1238877.71</v>
      </c>
      <c r="M1855" s="26">
        <v>0</v>
      </c>
      <c r="N1855" s="26">
        <v>0</v>
      </c>
      <c r="O1855" s="26">
        <v>7759286.71</v>
      </c>
      <c r="P1855" s="26" t="s">
        <v>41</v>
      </c>
      <c r="Q1855" s="26" t="s">
        <v>42</v>
      </c>
      <c r="R1855" s="25"/>
      <c r="S1855" s="25"/>
      <c r="T1855" s="25"/>
      <c r="U1855" s="25"/>
      <c r="V1855" s="26" t="s">
        <v>43</v>
      </c>
      <c r="W1855" s="24"/>
      <c r="X1855" s="25"/>
    </row>
    <row r="1856" spans="1:24" ht="18.75">
      <c r="A1856" s="26" t="s">
        <v>31</v>
      </c>
      <c r="B1856" s="26" t="s">
        <v>7147</v>
      </c>
      <c r="C1856" s="26" t="s">
        <v>7148</v>
      </c>
      <c r="D1856" s="26">
        <f t="shared" si="31"/>
        <v>-1</v>
      </c>
      <c r="E1856" s="26" t="s">
        <v>34</v>
      </c>
      <c r="F1856" s="26" t="s">
        <v>6984</v>
      </c>
      <c r="G1856" s="26" t="s">
        <v>7149</v>
      </c>
      <c r="H1856" s="26" t="s">
        <v>37</v>
      </c>
      <c r="I1856" s="26" t="s">
        <v>38</v>
      </c>
      <c r="J1856" s="26" t="s">
        <v>3719</v>
      </c>
      <c r="K1856" s="26" t="s">
        <v>3720</v>
      </c>
      <c r="L1856" s="26">
        <v>488300</v>
      </c>
      <c r="M1856" s="26">
        <v>0</v>
      </c>
      <c r="N1856" s="26">
        <v>0</v>
      </c>
      <c r="O1856" s="26">
        <v>3058300</v>
      </c>
      <c r="P1856" s="26" t="s">
        <v>41</v>
      </c>
      <c r="Q1856" s="26" t="s">
        <v>42</v>
      </c>
      <c r="R1856" s="25"/>
      <c r="S1856" s="25"/>
      <c r="T1856" s="25"/>
      <c r="U1856" s="24"/>
      <c r="V1856" s="26" t="s">
        <v>43</v>
      </c>
      <c r="W1856" s="25"/>
      <c r="X1856" s="25"/>
    </row>
    <row r="1857" spans="1:24" ht="18.75">
      <c r="A1857" s="26" t="s">
        <v>31</v>
      </c>
      <c r="B1857" s="26" t="s">
        <v>7150</v>
      </c>
      <c r="C1857" s="26" t="s">
        <v>7151</v>
      </c>
      <c r="D1857" s="26">
        <f t="shared" si="31"/>
        <v>-1</v>
      </c>
      <c r="E1857" s="26" t="s">
        <v>34</v>
      </c>
      <c r="F1857" s="26" t="s">
        <v>6984</v>
      </c>
      <c r="G1857" s="26" t="s">
        <v>7152</v>
      </c>
      <c r="H1857" s="26" t="s">
        <v>37</v>
      </c>
      <c r="I1857" s="26" t="s">
        <v>38</v>
      </c>
      <c r="J1857" s="26" t="s">
        <v>2841</v>
      </c>
      <c r="K1857" s="26" t="s">
        <v>2842</v>
      </c>
      <c r="L1857" s="26">
        <v>78698</v>
      </c>
      <c r="M1857" s="26">
        <v>0</v>
      </c>
      <c r="N1857" s="26">
        <v>0</v>
      </c>
      <c r="O1857" s="26">
        <v>492898</v>
      </c>
      <c r="P1857" s="26" t="s">
        <v>41</v>
      </c>
      <c r="Q1857" s="26" t="s">
        <v>42</v>
      </c>
      <c r="R1857" s="25"/>
      <c r="S1857" s="25"/>
      <c r="T1857" s="25"/>
      <c r="U1857" s="25"/>
      <c r="V1857" s="26" t="s">
        <v>43</v>
      </c>
      <c r="W1857" s="24"/>
      <c r="X1857" s="25"/>
    </row>
    <row r="1858" spans="1:24" ht="18.75">
      <c r="A1858" s="26" t="s">
        <v>31</v>
      </c>
      <c r="B1858" s="26" t="s">
        <v>7153</v>
      </c>
      <c r="C1858" s="26" t="s">
        <v>7154</v>
      </c>
      <c r="D1858" s="26">
        <f t="shared" si="31"/>
        <v>-1</v>
      </c>
      <c r="E1858" s="26" t="s">
        <v>34</v>
      </c>
      <c r="F1858" s="26" t="s">
        <v>6984</v>
      </c>
      <c r="G1858" s="26" t="s">
        <v>7155</v>
      </c>
      <c r="H1858" s="26" t="s">
        <v>37</v>
      </c>
      <c r="I1858" s="26" t="s">
        <v>38</v>
      </c>
      <c r="J1858" s="26" t="s">
        <v>3842</v>
      </c>
      <c r="K1858" s="26" t="s">
        <v>3843</v>
      </c>
      <c r="L1858" s="26">
        <v>20900</v>
      </c>
      <c r="M1858" s="26">
        <v>0</v>
      </c>
      <c r="N1858" s="26">
        <v>0</v>
      </c>
      <c r="O1858" s="26">
        <v>130900</v>
      </c>
      <c r="P1858" s="26" t="s">
        <v>41</v>
      </c>
      <c r="Q1858" s="26" t="s">
        <v>42</v>
      </c>
      <c r="R1858" s="24"/>
      <c r="S1858" s="24"/>
      <c r="T1858" s="24"/>
      <c r="U1858" s="24"/>
      <c r="V1858" s="26" t="s">
        <v>43</v>
      </c>
      <c r="W1858" s="24"/>
      <c r="X1858" s="25"/>
    </row>
    <row r="1859" spans="1:24" ht="18.75">
      <c r="A1859" s="26" t="s">
        <v>31</v>
      </c>
      <c r="B1859" s="26" t="s">
        <v>7156</v>
      </c>
      <c r="C1859" s="26" t="s">
        <v>7157</v>
      </c>
      <c r="D1859" s="26">
        <f t="shared" si="31"/>
        <v>-1</v>
      </c>
      <c r="E1859" s="26" t="s">
        <v>34</v>
      </c>
      <c r="F1859" s="26" t="s">
        <v>6984</v>
      </c>
      <c r="G1859" s="26" t="s">
        <v>7158</v>
      </c>
      <c r="H1859" s="26" t="s">
        <v>37</v>
      </c>
      <c r="I1859" s="26" t="s">
        <v>38</v>
      </c>
      <c r="J1859" s="26" t="s">
        <v>3120</v>
      </c>
      <c r="K1859" s="26" t="s">
        <v>3121</v>
      </c>
      <c r="L1859" s="26">
        <v>71364</v>
      </c>
      <c r="M1859" s="26">
        <v>0</v>
      </c>
      <c r="N1859" s="26">
        <v>0</v>
      </c>
      <c r="O1859" s="26">
        <v>446964</v>
      </c>
      <c r="P1859" s="26" t="s">
        <v>41</v>
      </c>
      <c r="Q1859" s="26" t="s">
        <v>42</v>
      </c>
      <c r="R1859" s="25"/>
      <c r="S1859" s="25"/>
      <c r="T1859" s="25"/>
      <c r="U1859" s="25"/>
      <c r="V1859" s="26" t="s">
        <v>43</v>
      </c>
      <c r="W1859" s="24"/>
      <c r="X1859" s="25"/>
    </row>
    <row r="1860" spans="1:24" ht="18.75">
      <c r="A1860" s="26" t="s">
        <v>31</v>
      </c>
      <c r="B1860" s="26" t="s">
        <v>7159</v>
      </c>
      <c r="C1860" s="26" t="s">
        <v>7160</v>
      </c>
      <c r="D1860" s="26">
        <f t="shared" si="31"/>
        <v>-1</v>
      </c>
      <c r="E1860" s="26" t="s">
        <v>34</v>
      </c>
      <c r="F1860" s="26" t="s">
        <v>7161</v>
      </c>
      <c r="G1860" s="26" t="s">
        <v>7162</v>
      </c>
      <c r="H1860" s="26" t="s">
        <v>37</v>
      </c>
      <c r="I1860" s="26" t="s">
        <v>38</v>
      </c>
      <c r="J1860" s="26" t="s">
        <v>1619</v>
      </c>
      <c r="K1860" s="26" t="s">
        <v>1620</v>
      </c>
      <c r="L1860" s="26">
        <v>2588940</v>
      </c>
      <c r="M1860" s="26">
        <v>0</v>
      </c>
      <c r="N1860" s="26">
        <v>0</v>
      </c>
      <c r="O1860" s="26">
        <v>16214940</v>
      </c>
      <c r="P1860" s="26" t="s">
        <v>41</v>
      </c>
      <c r="Q1860" s="26" t="s">
        <v>42</v>
      </c>
      <c r="R1860" s="25"/>
      <c r="S1860" s="25"/>
      <c r="T1860" s="25"/>
      <c r="U1860" s="25"/>
      <c r="V1860" s="26" t="s">
        <v>43</v>
      </c>
      <c r="W1860" s="24"/>
      <c r="X1860" s="25"/>
    </row>
    <row r="1861" spans="1:24" ht="18.75">
      <c r="A1861" s="26" t="s">
        <v>31</v>
      </c>
      <c r="B1861" s="26" t="s">
        <v>7163</v>
      </c>
      <c r="C1861" s="26" t="s">
        <v>7164</v>
      </c>
      <c r="D1861" s="26">
        <f t="shared" si="31"/>
        <v>-1</v>
      </c>
      <c r="E1861" s="26" t="s">
        <v>34</v>
      </c>
      <c r="F1861" s="26" t="s">
        <v>7161</v>
      </c>
      <c r="G1861" s="26" t="s">
        <v>7165</v>
      </c>
      <c r="H1861" s="26" t="s">
        <v>37</v>
      </c>
      <c r="I1861" s="26" t="s">
        <v>38</v>
      </c>
      <c r="J1861" s="26" t="s">
        <v>1619</v>
      </c>
      <c r="K1861" s="26" t="s">
        <v>1620</v>
      </c>
      <c r="L1861" s="26">
        <v>961780</v>
      </c>
      <c r="M1861" s="26">
        <v>0</v>
      </c>
      <c r="N1861" s="26">
        <v>0</v>
      </c>
      <c r="O1861" s="26">
        <v>6023780</v>
      </c>
      <c r="P1861" s="26" t="s">
        <v>41</v>
      </c>
      <c r="Q1861" s="26" t="s">
        <v>42</v>
      </c>
      <c r="R1861" s="25"/>
      <c r="S1861" s="25"/>
      <c r="T1861" s="25"/>
      <c r="U1861" s="24"/>
      <c r="V1861" s="26" t="s">
        <v>43</v>
      </c>
      <c r="W1861" s="24"/>
      <c r="X1861" s="25"/>
    </row>
    <row r="1862" spans="1:24" ht="18.75">
      <c r="A1862" s="26" t="s">
        <v>31</v>
      </c>
      <c r="B1862" s="26" t="s">
        <v>7166</v>
      </c>
      <c r="C1862" s="26" t="s">
        <v>7167</v>
      </c>
      <c r="D1862" s="26">
        <f t="shared" si="31"/>
        <v>-1</v>
      </c>
      <c r="E1862" s="26" t="s">
        <v>34</v>
      </c>
      <c r="F1862" s="26" t="s">
        <v>7161</v>
      </c>
      <c r="G1862" s="26" t="s">
        <v>7168</v>
      </c>
      <c r="H1862" s="26" t="s">
        <v>37</v>
      </c>
      <c r="I1862" s="26" t="s">
        <v>38</v>
      </c>
      <c r="J1862" s="26" t="s">
        <v>1619</v>
      </c>
      <c r="K1862" s="26" t="s">
        <v>1620</v>
      </c>
      <c r="L1862" s="26">
        <v>169100</v>
      </c>
      <c r="M1862" s="26">
        <v>0</v>
      </c>
      <c r="N1862" s="26">
        <v>0</v>
      </c>
      <c r="O1862" s="26">
        <v>1059100</v>
      </c>
      <c r="P1862" s="26" t="s">
        <v>41</v>
      </c>
      <c r="Q1862" s="26" t="s">
        <v>42</v>
      </c>
      <c r="R1862" s="25"/>
      <c r="S1862" s="25"/>
      <c r="T1862" s="25"/>
      <c r="U1862" s="25"/>
      <c r="V1862" s="26" t="s">
        <v>43</v>
      </c>
      <c r="W1862" s="24"/>
      <c r="X1862" s="25"/>
    </row>
    <row r="1863" spans="1:24" ht="18.75">
      <c r="A1863" s="35" t="s">
        <v>31</v>
      </c>
      <c r="B1863" s="35" t="s">
        <v>7169</v>
      </c>
      <c r="C1863" s="35" t="s">
        <v>7170</v>
      </c>
      <c r="D1863" s="35">
        <f t="shared" si="31"/>
        <v>-1</v>
      </c>
      <c r="E1863" s="35" t="s">
        <v>34</v>
      </c>
      <c r="F1863" s="35" t="s">
        <v>7161</v>
      </c>
      <c r="G1863" s="35" t="s">
        <v>7171</v>
      </c>
      <c r="H1863" s="35" t="s">
        <v>37</v>
      </c>
      <c r="I1863" s="35" t="s">
        <v>38</v>
      </c>
      <c r="J1863" s="35" t="s">
        <v>499</v>
      </c>
      <c r="K1863" s="35" t="s">
        <v>500</v>
      </c>
      <c r="L1863" s="35">
        <v>771780</v>
      </c>
      <c r="M1863" s="35">
        <v>0</v>
      </c>
      <c r="N1863" s="35">
        <v>0</v>
      </c>
      <c r="O1863" s="35">
        <v>4833780</v>
      </c>
      <c r="P1863" s="35" t="s">
        <v>41</v>
      </c>
      <c r="Q1863" s="35" t="s">
        <v>42</v>
      </c>
      <c r="R1863" s="24"/>
      <c r="S1863" s="24"/>
      <c r="T1863" s="24"/>
      <c r="U1863" s="24"/>
      <c r="V1863" s="26"/>
      <c r="W1863" s="24" t="s">
        <v>43</v>
      </c>
      <c r="X1863" s="25" t="s">
        <v>501</v>
      </c>
    </row>
    <row r="1864" spans="1:24" ht="18.75">
      <c r="A1864" s="26" t="s">
        <v>31</v>
      </c>
      <c r="B1864" s="26" t="s">
        <v>7172</v>
      </c>
      <c r="C1864" s="26" t="s">
        <v>7173</v>
      </c>
      <c r="D1864" s="26">
        <f t="shared" si="31"/>
        <v>-1</v>
      </c>
      <c r="E1864" s="26" t="s">
        <v>34</v>
      </c>
      <c r="F1864" s="26" t="s">
        <v>7161</v>
      </c>
      <c r="G1864" s="26" t="s">
        <v>7174</v>
      </c>
      <c r="H1864" s="26" t="s">
        <v>37</v>
      </c>
      <c r="I1864" s="26" t="s">
        <v>38</v>
      </c>
      <c r="J1864" s="26" t="s">
        <v>2202</v>
      </c>
      <c r="K1864" s="26" t="s">
        <v>2203</v>
      </c>
      <c r="L1864" s="26">
        <v>624150</v>
      </c>
      <c r="M1864" s="26">
        <v>0</v>
      </c>
      <c r="N1864" s="26">
        <v>0</v>
      </c>
      <c r="O1864" s="26">
        <v>18609150</v>
      </c>
      <c r="P1864" s="26" t="s">
        <v>41</v>
      </c>
      <c r="Q1864" s="26" t="s">
        <v>42</v>
      </c>
      <c r="R1864" s="25"/>
      <c r="S1864" s="25"/>
      <c r="T1864" s="25"/>
      <c r="U1864" s="25"/>
      <c r="V1864" s="26" t="s">
        <v>43</v>
      </c>
      <c r="W1864" s="24"/>
      <c r="X1864" s="25"/>
    </row>
    <row r="1865" spans="1:24" ht="18.75">
      <c r="A1865" s="26" t="s">
        <v>31</v>
      </c>
      <c r="B1865" s="26" t="s">
        <v>7175</v>
      </c>
      <c r="C1865" s="26" t="s">
        <v>7176</v>
      </c>
      <c r="D1865" s="26">
        <f t="shared" si="31"/>
        <v>-1</v>
      </c>
      <c r="E1865" s="26" t="s">
        <v>34</v>
      </c>
      <c r="F1865" s="26" t="s">
        <v>7161</v>
      </c>
      <c r="G1865" s="26" t="s">
        <v>7177</v>
      </c>
      <c r="H1865" s="26" t="s">
        <v>37</v>
      </c>
      <c r="I1865" s="26" t="s">
        <v>38</v>
      </c>
      <c r="J1865" s="26" t="s">
        <v>3196</v>
      </c>
      <c r="K1865" s="26" t="s">
        <v>3197</v>
      </c>
      <c r="L1865" s="26">
        <v>102410</v>
      </c>
      <c r="M1865" s="26">
        <v>0</v>
      </c>
      <c r="N1865" s="26">
        <v>0</v>
      </c>
      <c r="O1865" s="26">
        <v>641410</v>
      </c>
      <c r="P1865" s="26" t="s">
        <v>41</v>
      </c>
      <c r="Q1865" s="26" t="s">
        <v>42</v>
      </c>
      <c r="R1865" s="24"/>
      <c r="S1865" s="24"/>
      <c r="T1865" s="24"/>
      <c r="U1865" s="24"/>
      <c r="V1865" s="26" t="s">
        <v>43</v>
      </c>
      <c r="W1865" s="24"/>
      <c r="X1865" s="25"/>
    </row>
    <row r="1866" spans="1:24" ht="18.75">
      <c r="A1866" s="26" t="s">
        <v>31</v>
      </c>
      <c r="B1866" s="26" t="s">
        <v>7178</v>
      </c>
      <c r="C1866" s="26" t="s">
        <v>7179</v>
      </c>
      <c r="D1866" s="26">
        <f t="shared" si="31"/>
        <v>-1</v>
      </c>
      <c r="E1866" s="26" t="s">
        <v>34</v>
      </c>
      <c r="F1866" s="26" t="s">
        <v>7161</v>
      </c>
      <c r="G1866" s="26" t="s">
        <v>7180</v>
      </c>
      <c r="H1866" s="26" t="s">
        <v>37</v>
      </c>
      <c r="I1866" s="26" t="s">
        <v>38</v>
      </c>
      <c r="J1866" s="26" t="s">
        <v>1910</v>
      </c>
      <c r="K1866" s="26" t="s">
        <v>1911</v>
      </c>
      <c r="L1866" s="26">
        <v>85500</v>
      </c>
      <c r="M1866" s="26">
        <v>0</v>
      </c>
      <c r="N1866" s="26">
        <v>0</v>
      </c>
      <c r="O1866" s="26">
        <v>535500</v>
      </c>
      <c r="P1866" s="26" t="s">
        <v>41</v>
      </c>
      <c r="Q1866" s="26" t="s">
        <v>42</v>
      </c>
      <c r="R1866" s="25"/>
      <c r="S1866" s="25"/>
      <c r="T1866" s="25"/>
      <c r="U1866" s="25"/>
      <c r="V1866" s="26" t="s">
        <v>43</v>
      </c>
      <c r="W1866" s="24"/>
      <c r="X1866" s="25"/>
    </row>
    <row r="1867" spans="1:24" ht="18.75">
      <c r="A1867" s="26" t="s">
        <v>31</v>
      </c>
      <c r="B1867" s="26" t="s">
        <v>7181</v>
      </c>
      <c r="C1867" s="26" t="s">
        <v>7182</v>
      </c>
      <c r="D1867" s="26">
        <f t="shared" si="31"/>
        <v>-1</v>
      </c>
      <c r="E1867" s="26" t="s">
        <v>34</v>
      </c>
      <c r="F1867" s="26" t="s">
        <v>7161</v>
      </c>
      <c r="G1867" s="26" t="s">
        <v>7183</v>
      </c>
      <c r="H1867" s="26" t="s">
        <v>37</v>
      </c>
      <c r="I1867" s="26" t="s">
        <v>38</v>
      </c>
      <c r="J1867" s="26" t="s">
        <v>1818</v>
      </c>
      <c r="K1867" s="26" t="s">
        <v>1819</v>
      </c>
      <c r="L1867" s="26">
        <v>48825</v>
      </c>
      <c r="M1867" s="26">
        <v>0</v>
      </c>
      <c r="N1867" s="26">
        <v>0</v>
      </c>
      <c r="O1867" s="26">
        <v>318325</v>
      </c>
      <c r="P1867" s="26" t="s">
        <v>41</v>
      </c>
      <c r="Q1867" s="26" t="s">
        <v>42</v>
      </c>
      <c r="R1867" s="25"/>
      <c r="S1867" s="25"/>
      <c r="T1867" s="25"/>
      <c r="U1867" s="25"/>
      <c r="V1867" s="26" t="s">
        <v>43</v>
      </c>
      <c r="W1867" s="24"/>
      <c r="X1867" s="25"/>
    </row>
    <row r="1868" spans="1:24" ht="18.75">
      <c r="A1868" s="26" t="s">
        <v>31</v>
      </c>
      <c r="B1868" s="26" t="s">
        <v>7184</v>
      </c>
      <c r="C1868" s="26" t="s">
        <v>7185</v>
      </c>
      <c r="D1868" s="26">
        <f t="shared" si="31"/>
        <v>-1</v>
      </c>
      <c r="E1868" s="26" t="s">
        <v>34</v>
      </c>
      <c r="F1868" s="26" t="s">
        <v>7161</v>
      </c>
      <c r="G1868" s="26" t="s">
        <v>7186</v>
      </c>
      <c r="H1868" s="26" t="s">
        <v>37</v>
      </c>
      <c r="I1868" s="26" t="s">
        <v>38</v>
      </c>
      <c r="J1868" s="26" t="s">
        <v>7187</v>
      </c>
      <c r="K1868" s="26" t="s">
        <v>7188</v>
      </c>
      <c r="L1868" s="26">
        <v>53200</v>
      </c>
      <c r="M1868" s="26">
        <v>0</v>
      </c>
      <c r="N1868" s="26">
        <v>0</v>
      </c>
      <c r="O1868" s="26">
        <v>333200</v>
      </c>
      <c r="P1868" s="26" t="s">
        <v>41</v>
      </c>
      <c r="Q1868" s="26" t="s">
        <v>42</v>
      </c>
      <c r="R1868" s="25"/>
      <c r="S1868" s="25"/>
      <c r="T1868" s="25"/>
      <c r="U1868" s="25"/>
      <c r="V1868" s="26" t="s">
        <v>43</v>
      </c>
      <c r="W1868" s="24"/>
      <c r="X1868" s="25"/>
    </row>
    <row r="1869" spans="1:24" ht="18.75">
      <c r="A1869" s="26" t="s">
        <v>31</v>
      </c>
      <c r="B1869" s="26" t="s">
        <v>7189</v>
      </c>
      <c r="C1869" s="26" t="s">
        <v>7190</v>
      </c>
      <c r="D1869" s="26">
        <f t="shared" si="31"/>
        <v>-1</v>
      </c>
      <c r="E1869" s="26" t="s">
        <v>34</v>
      </c>
      <c r="F1869" s="26" t="s">
        <v>7161</v>
      </c>
      <c r="G1869" s="26" t="s">
        <v>7191</v>
      </c>
      <c r="H1869" s="26" t="s">
        <v>37</v>
      </c>
      <c r="I1869" s="26" t="s">
        <v>38</v>
      </c>
      <c r="J1869" s="26" t="s">
        <v>2297</v>
      </c>
      <c r="K1869" s="26" t="s">
        <v>2298</v>
      </c>
      <c r="L1869" s="26">
        <v>342000</v>
      </c>
      <c r="M1869" s="26">
        <v>0</v>
      </c>
      <c r="N1869" s="26">
        <v>0</v>
      </c>
      <c r="O1869" s="26">
        <v>2142000</v>
      </c>
      <c r="P1869" s="26" t="s">
        <v>41</v>
      </c>
      <c r="Q1869" s="26" t="s">
        <v>42</v>
      </c>
      <c r="R1869" s="24"/>
      <c r="S1869" s="24"/>
      <c r="T1869" s="24"/>
      <c r="U1869" s="24"/>
      <c r="V1869" s="26" t="s">
        <v>43</v>
      </c>
      <c r="W1869" s="24"/>
      <c r="X1869" s="25"/>
    </row>
    <row r="1870" spans="1:24" ht="18.75">
      <c r="A1870" s="26" t="s">
        <v>31</v>
      </c>
      <c r="B1870" s="26" t="s">
        <v>7192</v>
      </c>
      <c r="C1870" s="26" t="s">
        <v>7193</v>
      </c>
      <c r="D1870" s="26">
        <f t="shared" si="31"/>
        <v>-1</v>
      </c>
      <c r="E1870" s="26" t="s">
        <v>34</v>
      </c>
      <c r="F1870" s="26" t="s">
        <v>7161</v>
      </c>
      <c r="G1870" s="26" t="s">
        <v>7194</v>
      </c>
      <c r="H1870" s="26" t="s">
        <v>37</v>
      </c>
      <c r="I1870" s="26" t="s">
        <v>38</v>
      </c>
      <c r="J1870" s="26" t="s">
        <v>1619</v>
      </c>
      <c r="K1870" s="26" t="s">
        <v>1620</v>
      </c>
      <c r="L1870" s="26">
        <v>63840</v>
      </c>
      <c r="M1870" s="26">
        <v>0</v>
      </c>
      <c r="N1870" s="26">
        <v>0</v>
      </c>
      <c r="O1870" s="26">
        <v>399840</v>
      </c>
      <c r="P1870" s="26" t="s">
        <v>41</v>
      </c>
      <c r="Q1870" s="26" t="s">
        <v>42</v>
      </c>
      <c r="R1870" s="24"/>
      <c r="S1870" s="24"/>
      <c r="T1870" s="24"/>
      <c r="U1870" s="24"/>
      <c r="V1870" s="26" t="s">
        <v>43</v>
      </c>
      <c r="W1870" s="24"/>
      <c r="X1870" s="25"/>
    </row>
    <row r="1871" spans="1:24" ht="18.75">
      <c r="A1871" s="26" t="s">
        <v>31</v>
      </c>
      <c r="B1871" s="26" t="s">
        <v>7195</v>
      </c>
      <c r="C1871" s="26" t="s">
        <v>7196</v>
      </c>
      <c r="D1871" s="26">
        <f t="shared" si="31"/>
        <v>-1</v>
      </c>
      <c r="E1871" s="26" t="s">
        <v>34</v>
      </c>
      <c r="F1871" s="26" t="s">
        <v>7161</v>
      </c>
      <c r="G1871" s="26" t="s">
        <v>7197</v>
      </c>
      <c r="H1871" s="26" t="s">
        <v>37</v>
      </c>
      <c r="I1871" s="26" t="s">
        <v>38</v>
      </c>
      <c r="J1871" s="26" t="s">
        <v>5095</v>
      </c>
      <c r="K1871" s="26" t="s">
        <v>5096</v>
      </c>
      <c r="L1871" s="26">
        <v>9880</v>
      </c>
      <c r="M1871" s="26">
        <v>0</v>
      </c>
      <c r="N1871" s="26">
        <v>0</v>
      </c>
      <c r="O1871" s="26">
        <v>1627880</v>
      </c>
      <c r="P1871" s="26" t="s">
        <v>41</v>
      </c>
      <c r="Q1871" s="26" t="s">
        <v>42</v>
      </c>
      <c r="R1871" s="24"/>
      <c r="S1871" s="24"/>
      <c r="T1871" s="24"/>
      <c r="U1871" s="24"/>
      <c r="V1871" s="26" t="s">
        <v>43</v>
      </c>
      <c r="W1871" s="24"/>
      <c r="X1871" s="25"/>
    </row>
    <row r="1872" spans="1:24" ht="18.75">
      <c r="A1872" s="26" t="s">
        <v>31</v>
      </c>
      <c r="B1872" s="26" t="s">
        <v>7198</v>
      </c>
      <c r="C1872" s="26" t="s">
        <v>7199</v>
      </c>
      <c r="D1872" s="26">
        <f t="shared" si="31"/>
        <v>-1</v>
      </c>
      <c r="E1872" s="26" t="s">
        <v>34</v>
      </c>
      <c r="F1872" s="26" t="s">
        <v>7161</v>
      </c>
      <c r="G1872" s="26" t="s">
        <v>7200</v>
      </c>
      <c r="H1872" s="26" t="s">
        <v>37</v>
      </c>
      <c r="I1872" s="26" t="s">
        <v>38</v>
      </c>
      <c r="J1872" s="26" t="s">
        <v>2352</v>
      </c>
      <c r="K1872" s="26" t="s">
        <v>2353</v>
      </c>
      <c r="L1872" s="26">
        <v>32414</v>
      </c>
      <c r="M1872" s="26">
        <v>0</v>
      </c>
      <c r="N1872" s="26">
        <v>0</v>
      </c>
      <c r="O1872" s="26">
        <v>203014</v>
      </c>
      <c r="P1872" s="26" t="s">
        <v>41</v>
      </c>
      <c r="Q1872" s="26" t="s">
        <v>42</v>
      </c>
      <c r="R1872" s="25"/>
      <c r="S1872" s="25"/>
      <c r="T1872" s="25"/>
      <c r="U1872" s="25"/>
      <c r="V1872" s="26" t="s">
        <v>43</v>
      </c>
      <c r="W1872" s="24"/>
      <c r="X1872" s="25"/>
    </row>
    <row r="1873" spans="1:24" ht="18.75">
      <c r="A1873" s="26" t="s">
        <v>31</v>
      </c>
      <c r="B1873" s="26" t="s">
        <v>7201</v>
      </c>
      <c r="C1873" s="26" t="s">
        <v>7202</v>
      </c>
      <c r="D1873" s="26">
        <f t="shared" si="31"/>
        <v>-1</v>
      </c>
      <c r="E1873" s="26" t="s">
        <v>34</v>
      </c>
      <c r="F1873" s="26" t="s">
        <v>7161</v>
      </c>
      <c r="G1873" s="26" t="s">
        <v>7203</v>
      </c>
      <c r="H1873" s="26" t="s">
        <v>37</v>
      </c>
      <c r="I1873" s="26" t="s">
        <v>38</v>
      </c>
      <c r="J1873" s="26" t="s">
        <v>611</v>
      </c>
      <c r="K1873" s="26" t="s">
        <v>612</v>
      </c>
      <c r="L1873" s="26">
        <v>204155</v>
      </c>
      <c r="M1873" s="26">
        <v>0</v>
      </c>
      <c r="N1873" s="26">
        <v>0</v>
      </c>
      <c r="O1873" s="26">
        <v>1278655</v>
      </c>
      <c r="P1873" s="26" t="s">
        <v>41</v>
      </c>
      <c r="Q1873" s="26" t="s">
        <v>42</v>
      </c>
      <c r="R1873" s="25"/>
      <c r="S1873" s="25"/>
      <c r="T1873" s="25"/>
      <c r="U1873" s="25"/>
      <c r="V1873" s="26" t="s">
        <v>43</v>
      </c>
      <c r="W1873" s="24"/>
      <c r="X1873" s="25"/>
    </row>
    <row r="1874" spans="1:24" ht="18.75">
      <c r="A1874" s="26" t="s">
        <v>31</v>
      </c>
      <c r="B1874" s="26" t="s">
        <v>7204</v>
      </c>
      <c r="C1874" s="26" t="s">
        <v>7205</v>
      </c>
      <c r="D1874" s="26">
        <f t="shared" si="31"/>
        <v>-1</v>
      </c>
      <c r="E1874" s="26" t="s">
        <v>34</v>
      </c>
      <c r="F1874" s="26" t="s">
        <v>7161</v>
      </c>
      <c r="G1874" s="26" t="s">
        <v>7206</v>
      </c>
      <c r="H1874" s="26" t="s">
        <v>37</v>
      </c>
      <c r="I1874" s="26" t="s">
        <v>38</v>
      </c>
      <c r="J1874" s="26" t="s">
        <v>7207</v>
      </c>
      <c r="K1874" s="26" t="s">
        <v>7208</v>
      </c>
      <c r="L1874" s="26">
        <v>198718.91</v>
      </c>
      <c r="M1874" s="26">
        <v>0</v>
      </c>
      <c r="N1874" s="26">
        <v>0</v>
      </c>
      <c r="O1874" s="26">
        <v>1244607.9099999999</v>
      </c>
      <c r="P1874" s="26" t="s">
        <v>41</v>
      </c>
      <c r="Q1874" s="26" t="s">
        <v>42</v>
      </c>
      <c r="R1874" s="25"/>
      <c r="S1874" s="25"/>
      <c r="T1874" s="25"/>
      <c r="U1874" s="25"/>
      <c r="V1874" s="26" t="s">
        <v>43</v>
      </c>
      <c r="W1874" s="24"/>
      <c r="X1874" s="25"/>
    </row>
    <row r="1875" spans="1:24" ht="18.75">
      <c r="A1875" s="26" t="s">
        <v>31</v>
      </c>
      <c r="B1875" s="26" t="s">
        <v>7209</v>
      </c>
      <c r="C1875" s="26" t="s">
        <v>7210</v>
      </c>
      <c r="D1875" s="26">
        <f t="shared" si="31"/>
        <v>-1</v>
      </c>
      <c r="E1875" s="26" t="s">
        <v>34</v>
      </c>
      <c r="F1875" s="26" t="s">
        <v>7161</v>
      </c>
      <c r="G1875" s="26" t="s">
        <v>7211</v>
      </c>
      <c r="H1875" s="26" t="s">
        <v>37</v>
      </c>
      <c r="I1875" s="26" t="s">
        <v>38</v>
      </c>
      <c r="J1875" s="26" t="s">
        <v>6831</v>
      </c>
      <c r="K1875" s="26" t="s">
        <v>6832</v>
      </c>
      <c r="L1875" s="26">
        <v>26410</v>
      </c>
      <c r="M1875" s="26">
        <v>0</v>
      </c>
      <c r="N1875" s="26">
        <v>0</v>
      </c>
      <c r="O1875" s="26">
        <v>165410</v>
      </c>
      <c r="P1875" s="26" t="s">
        <v>41</v>
      </c>
      <c r="Q1875" s="26" t="s">
        <v>42</v>
      </c>
      <c r="R1875" s="25"/>
      <c r="S1875" s="25"/>
      <c r="T1875" s="25"/>
      <c r="U1875" s="25"/>
      <c r="V1875" s="26" t="s">
        <v>43</v>
      </c>
      <c r="W1875" s="24"/>
      <c r="X1875" s="25"/>
    </row>
    <row r="1876" spans="1:24" ht="18.75">
      <c r="A1876" s="26" t="s">
        <v>31</v>
      </c>
      <c r="B1876" s="26" t="s">
        <v>7212</v>
      </c>
      <c r="C1876" s="26" t="s">
        <v>7213</v>
      </c>
      <c r="D1876" s="26">
        <f t="shared" si="31"/>
        <v>-1</v>
      </c>
      <c r="E1876" s="26" t="s">
        <v>34</v>
      </c>
      <c r="F1876" s="26" t="s">
        <v>7161</v>
      </c>
      <c r="G1876" s="26" t="s">
        <v>7214</v>
      </c>
      <c r="H1876" s="26" t="s">
        <v>37</v>
      </c>
      <c r="I1876" s="26" t="s">
        <v>38</v>
      </c>
      <c r="J1876" s="26" t="s">
        <v>581</v>
      </c>
      <c r="K1876" s="26" t="s">
        <v>582</v>
      </c>
      <c r="L1876" s="26">
        <v>13300</v>
      </c>
      <c r="M1876" s="26">
        <v>0</v>
      </c>
      <c r="N1876" s="26">
        <v>0</v>
      </c>
      <c r="O1876" s="26">
        <v>83300</v>
      </c>
      <c r="P1876" s="26" t="s">
        <v>41</v>
      </c>
      <c r="Q1876" s="26" t="s">
        <v>42</v>
      </c>
      <c r="R1876" s="25"/>
      <c r="S1876" s="25"/>
      <c r="T1876" s="25"/>
      <c r="U1876" s="25"/>
      <c r="V1876" s="26" t="s">
        <v>43</v>
      </c>
      <c r="W1876" s="24"/>
      <c r="X1876" s="25"/>
    </row>
    <row r="1877" spans="1:24" ht="18.75">
      <c r="A1877" s="26" t="s">
        <v>31</v>
      </c>
      <c r="B1877" s="26" t="s">
        <v>7215</v>
      </c>
      <c r="C1877" s="26" t="s">
        <v>7216</v>
      </c>
      <c r="D1877" s="26">
        <f t="shared" si="31"/>
        <v>-1</v>
      </c>
      <c r="E1877" s="26" t="s">
        <v>34</v>
      </c>
      <c r="F1877" s="26" t="s">
        <v>7161</v>
      </c>
      <c r="G1877" s="26" t="s">
        <v>7217</v>
      </c>
      <c r="H1877" s="26" t="s">
        <v>37</v>
      </c>
      <c r="I1877" s="26" t="s">
        <v>38</v>
      </c>
      <c r="J1877" s="26" t="s">
        <v>592</v>
      </c>
      <c r="K1877" s="26" t="s">
        <v>593</v>
      </c>
      <c r="L1877" s="26">
        <v>115615</v>
      </c>
      <c r="M1877" s="26">
        <v>0</v>
      </c>
      <c r="N1877" s="26">
        <v>0</v>
      </c>
      <c r="O1877" s="26">
        <v>724115</v>
      </c>
      <c r="P1877" s="26" t="s">
        <v>41</v>
      </c>
      <c r="Q1877" s="26" t="s">
        <v>42</v>
      </c>
      <c r="R1877" s="25"/>
      <c r="S1877" s="25"/>
      <c r="T1877" s="25"/>
      <c r="U1877" s="25"/>
      <c r="V1877" s="26" t="s">
        <v>43</v>
      </c>
      <c r="W1877" s="24"/>
      <c r="X1877" s="25"/>
    </row>
    <row r="1878" spans="1:24" ht="18.75">
      <c r="A1878" s="26" t="s">
        <v>31</v>
      </c>
      <c r="B1878" s="26" t="s">
        <v>7218</v>
      </c>
      <c r="C1878" s="26" t="s">
        <v>7219</v>
      </c>
      <c r="D1878" s="26">
        <f t="shared" si="31"/>
        <v>-1</v>
      </c>
      <c r="E1878" s="26" t="s">
        <v>34</v>
      </c>
      <c r="F1878" s="26" t="s">
        <v>7161</v>
      </c>
      <c r="G1878" s="26" t="s">
        <v>7220</v>
      </c>
      <c r="H1878" s="26" t="s">
        <v>37</v>
      </c>
      <c r="I1878" s="26" t="s">
        <v>38</v>
      </c>
      <c r="J1878" s="26" t="s">
        <v>6191</v>
      </c>
      <c r="K1878" s="26" t="s">
        <v>6192</v>
      </c>
      <c r="L1878" s="26">
        <v>7790</v>
      </c>
      <c r="M1878" s="26">
        <v>0</v>
      </c>
      <c r="N1878" s="26">
        <v>0</v>
      </c>
      <c r="O1878" s="26">
        <v>48790</v>
      </c>
      <c r="P1878" s="26" t="s">
        <v>41</v>
      </c>
      <c r="Q1878" s="26" t="s">
        <v>42</v>
      </c>
      <c r="R1878" s="24"/>
      <c r="S1878" s="24"/>
      <c r="T1878" s="24"/>
      <c r="U1878" s="24"/>
      <c r="V1878" s="26" t="s">
        <v>43</v>
      </c>
      <c r="W1878" s="24"/>
      <c r="X1878" s="25"/>
    </row>
    <row r="1879" spans="1:24" ht="18.75">
      <c r="A1879" s="26" t="s">
        <v>31</v>
      </c>
      <c r="B1879" s="26" t="s">
        <v>7221</v>
      </c>
      <c r="C1879" s="26" t="s">
        <v>7222</v>
      </c>
      <c r="D1879" s="26">
        <f t="shared" si="31"/>
        <v>-1</v>
      </c>
      <c r="E1879" s="26" t="s">
        <v>34</v>
      </c>
      <c r="F1879" s="26" t="s">
        <v>7161</v>
      </c>
      <c r="G1879" s="26" t="s">
        <v>7223</v>
      </c>
      <c r="H1879" s="26" t="s">
        <v>37</v>
      </c>
      <c r="I1879" s="26" t="s">
        <v>38</v>
      </c>
      <c r="J1879" s="26" t="s">
        <v>581</v>
      </c>
      <c r="K1879" s="26" t="s">
        <v>582</v>
      </c>
      <c r="L1879" s="26">
        <v>88160</v>
      </c>
      <c r="M1879" s="26">
        <v>0</v>
      </c>
      <c r="N1879" s="26">
        <v>0</v>
      </c>
      <c r="O1879" s="26">
        <v>552160</v>
      </c>
      <c r="P1879" s="26" t="s">
        <v>41</v>
      </c>
      <c r="Q1879" s="26" t="s">
        <v>42</v>
      </c>
      <c r="R1879" s="24"/>
      <c r="S1879" s="24"/>
      <c r="T1879" s="24"/>
      <c r="U1879" s="24"/>
      <c r="V1879" s="26" t="s">
        <v>43</v>
      </c>
      <c r="W1879" s="24"/>
      <c r="X1879" s="25"/>
    </row>
    <row r="1880" spans="1:24" ht="18.75">
      <c r="A1880" s="26" t="s">
        <v>31</v>
      </c>
      <c r="B1880" s="26" t="s">
        <v>7224</v>
      </c>
      <c r="C1880" s="26" t="s">
        <v>7225</v>
      </c>
      <c r="D1880" s="26">
        <f t="shared" si="31"/>
        <v>-1</v>
      </c>
      <c r="E1880" s="26" t="s">
        <v>34</v>
      </c>
      <c r="F1880" s="26" t="s">
        <v>7161</v>
      </c>
      <c r="G1880" s="26" t="s">
        <v>7226</v>
      </c>
      <c r="H1880" s="26" t="s">
        <v>37</v>
      </c>
      <c r="I1880" s="26" t="s">
        <v>38</v>
      </c>
      <c r="J1880" s="26" t="s">
        <v>581</v>
      </c>
      <c r="K1880" s="26" t="s">
        <v>582</v>
      </c>
      <c r="L1880" s="26">
        <v>110010</v>
      </c>
      <c r="M1880" s="26">
        <v>0</v>
      </c>
      <c r="N1880" s="26">
        <v>0</v>
      </c>
      <c r="O1880" s="26">
        <v>689010</v>
      </c>
      <c r="P1880" s="26" t="s">
        <v>41</v>
      </c>
      <c r="Q1880" s="26" t="s">
        <v>42</v>
      </c>
      <c r="R1880" s="25"/>
      <c r="S1880" s="25"/>
      <c r="T1880" s="25"/>
      <c r="U1880" s="25"/>
      <c r="V1880" s="26" t="s">
        <v>43</v>
      </c>
      <c r="W1880" s="24"/>
      <c r="X1880" s="25"/>
    </row>
    <row r="1881" spans="1:24" ht="18.75">
      <c r="A1881" s="26" t="s">
        <v>31</v>
      </c>
      <c r="B1881" s="26" t="s">
        <v>7227</v>
      </c>
      <c r="C1881" s="26" t="s">
        <v>7228</v>
      </c>
      <c r="D1881" s="26">
        <f t="shared" si="31"/>
        <v>-1</v>
      </c>
      <c r="E1881" s="26" t="s">
        <v>34</v>
      </c>
      <c r="F1881" s="26" t="s">
        <v>7161</v>
      </c>
      <c r="G1881" s="26" t="s">
        <v>7229</v>
      </c>
      <c r="H1881" s="26" t="s">
        <v>37</v>
      </c>
      <c r="I1881" s="26" t="s">
        <v>38</v>
      </c>
      <c r="J1881" s="26" t="s">
        <v>7230</v>
      </c>
      <c r="K1881" s="26" t="s">
        <v>7231</v>
      </c>
      <c r="L1881" s="26">
        <v>504419.6</v>
      </c>
      <c r="M1881" s="26">
        <v>0</v>
      </c>
      <c r="N1881" s="26">
        <v>0</v>
      </c>
      <c r="O1881" s="26">
        <v>3159259.6</v>
      </c>
      <c r="P1881" s="26" t="s">
        <v>41</v>
      </c>
      <c r="Q1881" s="26" t="s">
        <v>42</v>
      </c>
      <c r="R1881" s="25"/>
      <c r="S1881" s="25"/>
      <c r="T1881" s="25"/>
      <c r="U1881" s="25"/>
      <c r="V1881" s="26" t="s">
        <v>43</v>
      </c>
      <c r="W1881" s="24"/>
      <c r="X1881" s="25"/>
    </row>
    <row r="1882" spans="1:24" ht="18.75">
      <c r="A1882" s="26" t="s">
        <v>31</v>
      </c>
      <c r="B1882" s="26" t="s">
        <v>7232</v>
      </c>
      <c r="C1882" s="26" t="s">
        <v>7233</v>
      </c>
      <c r="D1882" s="26">
        <f t="shared" si="31"/>
        <v>-1</v>
      </c>
      <c r="E1882" s="26" t="s">
        <v>34</v>
      </c>
      <c r="F1882" s="26" t="s">
        <v>7161</v>
      </c>
      <c r="G1882" s="26" t="s">
        <v>7234</v>
      </c>
      <c r="H1882" s="26" t="s">
        <v>37</v>
      </c>
      <c r="I1882" s="26" t="s">
        <v>38</v>
      </c>
      <c r="J1882" s="26" t="s">
        <v>7235</v>
      </c>
      <c r="K1882" s="26" t="s">
        <v>7236</v>
      </c>
      <c r="L1882" s="26">
        <v>2188443.75</v>
      </c>
      <c r="M1882" s="26">
        <v>0</v>
      </c>
      <c r="N1882" s="26">
        <v>0</v>
      </c>
      <c r="O1882" s="26">
        <v>13706568.75</v>
      </c>
      <c r="P1882" s="26" t="s">
        <v>41</v>
      </c>
      <c r="Q1882" s="26" t="s">
        <v>42</v>
      </c>
      <c r="R1882" s="25"/>
      <c r="S1882" s="25"/>
      <c r="T1882" s="25"/>
      <c r="U1882" s="25"/>
      <c r="V1882" s="26" t="s">
        <v>43</v>
      </c>
      <c r="W1882" s="24"/>
      <c r="X1882" s="25"/>
    </row>
    <row r="1883" spans="1:24" ht="18.75">
      <c r="A1883" s="26" t="s">
        <v>31</v>
      </c>
      <c r="B1883" s="26" t="s">
        <v>7237</v>
      </c>
      <c r="C1883" s="26" t="s">
        <v>7238</v>
      </c>
      <c r="D1883" s="26">
        <f t="shared" si="31"/>
        <v>-1</v>
      </c>
      <c r="E1883" s="26" t="s">
        <v>34</v>
      </c>
      <c r="F1883" s="26" t="s">
        <v>7161</v>
      </c>
      <c r="G1883" s="26" t="s">
        <v>7239</v>
      </c>
      <c r="H1883" s="26" t="s">
        <v>37</v>
      </c>
      <c r="I1883" s="26" t="s">
        <v>38</v>
      </c>
      <c r="J1883" s="26" t="s">
        <v>525</v>
      </c>
      <c r="K1883" s="26" t="s">
        <v>526</v>
      </c>
      <c r="L1883" s="26">
        <v>31207500</v>
      </c>
      <c r="M1883" s="26">
        <v>0</v>
      </c>
      <c r="N1883" s="26">
        <v>0</v>
      </c>
      <c r="O1883" s="26">
        <v>195457500</v>
      </c>
      <c r="P1883" s="26" t="s">
        <v>41</v>
      </c>
      <c r="Q1883" s="26" t="s">
        <v>42</v>
      </c>
      <c r="R1883" s="25"/>
      <c r="S1883" s="25"/>
      <c r="T1883" s="25"/>
      <c r="U1883" s="25"/>
      <c r="V1883" s="26" t="s">
        <v>43</v>
      </c>
      <c r="W1883" s="24"/>
      <c r="X1883" s="25"/>
    </row>
    <row r="1884" spans="1:24" ht="18.75">
      <c r="A1884" s="26" t="s">
        <v>31</v>
      </c>
      <c r="B1884" s="26" t="s">
        <v>7240</v>
      </c>
      <c r="C1884" s="26" t="s">
        <v>7241</v>
      </c>
      <c r="D1884" s="26">
        <f t="shared" si="31"/>
        <v>-1</v>
      </c>
      <c r="E1884" s="26" t="s">
        <v>34</v>
      </c>
      <c r="F1884" s="26" t="s">
        <v>7161</v>
      </c>
      <c r="G1884" s="26" t="s">
        <v>7242</v>
      </c>
      <c r="H1884" s="26" t="s">
        <v>37</v>
      </c>
      <c r="I1884" s="26" t="s">
        <v>38</v>
      </c>
      <c r="J1884" s="26" t="s">
        <v>7243</v>
      </c>
      <c r="K1884" s="26" t="s">
        <v>7244</v>
      </c>
      <c r="L1884" s="26">
        <v>34960</v>
      </c>
      <c r="M1884" s="26">
        <v>0</v>
      </c>
      <c r="N1884" s="26">
        <v>0</v>
      </c>
      <c r="O1884" s="26">
        <v>218960</v>
      </c>
      <c r="P1884" s="26" t="s">
        <v>41</v>
      </c>
      <c r="Q1884" s="26" t="s">
        <v>42</v>
      </c>
      <c r="R1884" s="25"/>
      <c r="S1884" s="25"/>
      <c r="T1884" s="25"/>
      <c r="U1884" s="25"/>
      <c r="V1884" s="26" t="s">
        <v>43</v>
      </c>
      <c r="W1884" s="24"/>
      <c r="X1884" s="25"/>
    </row>
    <row r="1885" spans="1:24" ht="18.75">
      <c r="A1885" s="26" t="s">
        <v>31</v>
      </c>
      <c r="B1885" s="26" t="s">
        <v>7245</v>
      </c>
      <c r="C1885" s="26" t="s">
        <v>7246</v>
      </c>
      <c r="D1885" s="26">
        <f t="shared" si="31"/>
        <v>-1</v>
      </c>
      <c r="E1885" s="26" t="s">
        <v>34</v>
      </c>
      <c r="F1885" s="26" t="s">
        <v>7161</v>
      </c>
      <c r="G1885" s="26" t="s">
        <v>7247</v>
      </c>
      <c r="H1885" s="26" t="s">
        <v>37</v>
      </c>
      <c r="I1885" s="26" t="s">
        <v>38</v>
      </c>
      <c r="J1885" s="26" t="s">
        <v>3037</v>
      </c>
      <c r="K1885" s="26" t="s">
        <v>3038</v>
      </c>
      <c r="L1885" s="26">
        <v>63460</v>
      </c>
      <c r="M1885" s="26">
        <v>0</v>
      </c>
      <c r="N1885" s="26">
        <v>0</v>
      </c>
      <c r="O1885" s="26">
        <v>397460</v>
      </c>
      <c r="P1885" s="26" t="s">
        <v>41</v>
      </c>
      <c r="Q1885" s="26" t="s">
        <v>42</v>
      </c>
      <c r="R1885" s="25"/>
      <c r="S1885" s="25"/>
      <c r="T1885" s="25"/>
      <c r="U1885" s="25"/>
      <c r="V1885" s="26" t="s">
        <v>43</v>
      </c>
      <c r="W1885" s="24"/>
      <c r="X1885" s="25"/>
    </row>
    <row r="1886" spans="1:24" ht="18.75">
      <c r="A1886" s="26" t="s">
        <v>31</v>
      </c>
      <c r="B1886" s="26" t="s">
        <v>7248</v>
      </c>
      <c r="C1886" s="26" t="s">
        <v>7249</v>
      </c>
      <c r="D1886" s="26">
        <f t="shared" si="31"/>
        <v>-1</v>
      </c>
      <c r="E1886" s="26" t="s">
        <v>34</v>
      </c>
      <c r="F1886" s="26" t="s">
        <v>7161</v>
      </c>
      <c r="G1886" s="26" t="s">
        <v>7250</v>
      </c>
      <c r="H1886" s="26" t="s">
        <v>37</v>
      </c>
      <c r="I1886" s="26" t="s">
        <v>38</v>
      </c>
      <c r="J1886" s="26" t="s">
        <v>2284</v>
      </c>
      <c r="K1886" s="26" t="s">
        <v>2285</v>
      </c>
      <c r="L1886" s="26">
        <v>142728</v>
      </c>
      <c r="M1886" s="26">
        <v>0</v>
      </c>
      <c r="N1886" s="26">
        <v>0</v>
      </c>
      <c r="O1886" s="26">
        <v>893928</v>
      </c>
      <c r="P1886" s="26" t="s">
        <v>41</v>
      </c>
      <c r="Q1886" s="26" t="s">
        <v>42</v>
      </c>
      <c r="R1886" s="25"/>
      <c r="S1886" s="25"/>
      <c r="T1886" s="25"/>
      <c r="U1886" s="25"/>
      <c r="V1886" s="26" t="s">
        <v>43</v>
      </c>
      <c r="W1886" s="24"/>
      <c r="X1886" s="25"/>
    </row>
    <row r="1887" spans="1:24" ht="18.75">
      <c r="A1887" s="26" t="s">
        <v>31</v>
      </c>
      <c r="B1887" s="26" t="s">
        <v>7251</v>
      </c>
      <c r="C1887" s="26" t="s">
        <v>7252</v>
      </c>
      <c r="D1887" s="26">
        <f t="shared" si="31"/>
        <v>-1</v>
      </c>
      <c r="E1887" s="26" t="s">
        <v>34</v>
      </c>
      <c r="F1887" s="26" t="s">
        <v>7161</v>
      </c>
      <c r="G1887" s="26" t="s">
        <v>7253</v>
      </c>
      <c r="H1887" s="26" t="s">
        <v>37</v>
      </c>
      <c r="I1887" s="26" t="s">
        <v>38</v>
      </c>
      <c r="J1887" s="26" t="s">
        <v>5950</v>
      </c>
      <c r="K1887" s="26" t="s">
        <v>5951</v>
      </c>
      <c r="L1887" s="26">
        <v>85519</v>
      </c>
      <c r="M1887" s="26">
        <v>0</v>
      </c>
      <c r="N1887" s="26">
        <v>0</v>
      </c>
      <c r="O1887" s="26">
        <v>535619</v>
      </c>
      <c r="P1887" s="26" t="s">
        <v>41</v>
      </c>
      <c r="Q1887" s="26" t="s">
        <v>42</v>
      </c>
      <c r="R1887" s="25"/>
      <c r="S1887" s="25"/>
      <c r="T1887" s="25"/>
      <c r="U1887" s="25"/>
      <c r="V1887" s="26" t="s">
        <v>43</v>
      </c>
      <c r="W1887" s="24"/>
      <c r="X1887" s="25"/>
    </row>
    <row r="1888" spans="1:24" ht="18.75">
      <c r="A1888" s="26" t="s">
        <v>31</v>
      </c>
      <c r="B1888" s="26" t="s">
        <v>7254</v>
      </c>
      <c r="C1888" s="26" t="s">
        <v>7255</v>
      </c>
      <c r="D1888" s="26">
        <f t="shared" si="31"/>
        <v>-1</v>
      </c>
      <c r="E1888" s="26" t="s">
        <v>34</v>
      </c>
      <c r="F1888" s="26" t="s">
        <v>7161</v>
      </c>
      <c r="G1888" s="26" t="s">
        <v>7256</v>
      </c>
      <c r="H1888" s="26" t="s">
        <v>37</v>
      </c>
      <c r="I1888" s="26" t="s">
        <v>38</v>
      </c>
      <c r="J1888" s="26" t="s">
        <v>7257</v>
      </c>
      <c r="K1888" s="26" t="s">
        <v>7258</v>
      </c>
      <c r="L1888" s="26">
        <v>6649095.5999999996</v>
      </c>
      <c r="M1888" s="26">
        <v>0</v>
      </c>
      <c r="N1888" s="26">
        <v>0</v>
      </c>
      <c r="O1888" s="26">
        <v>41644335.600000001</v>
      </c>
      <c r="P1888" s="26" t="s">
        <v>41</v>
      </c>
      <c r="Q1888" s="26" t="s">
        <v>42</v>
      </c>
      <c r="R1888" s="25"/>
      <c r="S1888" s="25"/>
      <c r="T1888" s="25"/>
      <c r="U1888" s="25"/>
      <c r="V1888" s="26" t="s">
        <v>43</v>
      </c>
      <c r="W1888" s="24"/>
      <c r="X1888" s="25"/>
    </row>
    <row r="1889" spans="1:24" ht="18.75">
      <c r="A1889" s="26" t="s">
        <v>31</v>
      </c>
      <c r="B1889" s="26" t="s">
        <v>7259</v>
      </c>
      <c r="C1889" s="26" t="s">
        <v>7260</v>
      </c>
      <c r="D1889" s="26">
        <f t="shared" si="31"/>
        <v>-1</v>
      </c>
      <c r="E1889" s="26" t="s">
        <v>34</v>
      </c>
      <c r="F1889" s="26" t="s">
        <v>7161</v>
      </c>
      <c r="G1889" s="26" t="s">
        <v>7261</v>
      </c>
      <c r="H1889" s="26" t="s">
        <v>37</v>
      </c>
      <c r="I1889" s="26" t="s">
        <v>38</v>
      </c>
      <c r="J1889" s="26" t="s">
        <v>7262</v>
      </c>
      <c r="K1889" s="26" t="s">
        <v>7263</v>
      </c>
      <c r="L1889" s="26">
        <v>176871</v>
      </c>
      <c r="M1889" s="26">
        <v>0</v>
      </c>
      <c r="N1889" s="26">
        <v>0</v>
      </c>
      <c r="O1889" s="26">
        <v>1107771</v>
      </c>
      <c r="P1889" s="26" t="s">
        <v>41</v>
      </c>
      <c r="Q1889" s="26" t="s">
        <v>42</v>
      </c>
      <c r="R1889" s="25"/>
      <c r="S1889" s="25"/>
      <c r="T1889" s="25"/>
      <c r="U1889" s="25"/>
      <c r="V1889" s="26" t="s">
        <v>43</v>
      </c>
      <c r="W1889" s="24"/>
      <c r="X1889" s="25"/>
    </row>
    <row r="1890" spans="1:24" ht="18.75">
      <c r="A1890" s="35" t="s">
        <v>31</v>
      </c>
      <c r="B1890" s="35" t="s">
        <v>7264</v>
      </c>
      <c r="C1890" s="35" t="s">
        <v>7265</v>
      </c>
      <c r="D1890" s="35">
        <f t="shared" si="31"/>
        <v>-1</v>
      </c>
      <c r="E1890" s="35" t="s">
        <v>34</v>
      </c>
      <c r="F1890" s="35" t="s">
        <v>7161</v>
      </c>
      <c r="G1890" s="35" t="s">
        <v>7266</v>
      </c>
      <c r="H1890" s="35" t="s">
        <v>37</v>
      </c>
      <c r="I1890" s="35" t="s">
        <v>38</v>
      </c>
      <c r="J1890" s="35" t="s">
        <v>7267</v>
      </c>
      <c r="K1890" s="35" t="s">
        <v>7268</v>
      </c>
      <c r="L1890" s="35">
        <v>0</v>
      </c>
      <c r="M1890" s="35">
        <v>0</v>
      </c>
      <c r="N1890" s="35">
        <v>0</v>
      </c>
      <c r="O1890" s="35">
        <v>37672200</v>
      </c>
      <c r="P1890" s="35" t="s">
        <v>41</v>
      </c>
      <c r="Q1890" s="35" t="s">
        <v>42</v>
      </c>
      <c r="R1890" s="25"/>
      <c r="S1890" s="25"/>
      <c r="T1890" s="25"/>
      <c r="U1890" s="25"/>
      <c r="V1890" s="26"/>
      <c r="W1890" s="24" t="s">
        <v>43</v>
      </c>
      <c r="X1890" s="25" t="s">
        <v>501</v>
      </c>
    </row>
    <row r="1891" spans="1:24" ht="18.75">
      <c r="A1891" s="26" t="s">
        <v>31</v>
      </c>
      <c r="B1891" s="26" t="s">
        <v>7269</v>
      </c>
      <c r="C1891" s="26" t="s">
        <v>7270</v>
      </c>
      <c r="D1891" s="26">
        <f t="shared" si="31"/>
        <v>-1</v>
      </c>
      <c r="E1891" s="26" t="s">
        <v>34</v>
      </c>
      <c r="F1891" s="26" t="s">
        <v>7161</v>
      </c>
      <c r="G1891" s="26" t="s">
        <v>7271</v>
      </c>
      <c r="H1891" s="26" t="s">
        <v>37</v>
      </c>
      <c r="I1891" s="26" t="s">
        <v>38</v>
      </c>
      <c r="J1891" s="26" t="s">
        <v>7092</v>
      </c>
      <c r="K1891" s="26" t="s">
        <v>7093</v>
      </c>
      <c r="L1891" s="26">
        <v>45125</v>
      </c>
      <c r="M1891" s="26">
        <v>0</v>
      </c>
      <c r="N1891" s="26">
        <v>0</v>
      </c>
      <c r="O1891" s="26">
        <v>282625</v>
      </c>
      <c r="P1891" s="26" t="s">
        <v>41</v>
      </c>
      <c r="Q1891" s="26" t="s">
        <v>42</v>
      </c>
      <c r="R1891" s="24"/>
      <c r="S1891" s="24"/>
      <c r="T1891" s="24"/>
      <c r="U1891" s="24"/>
      <c r="V1891" s="26" t="s">
        <v>43</v>
      </c>
      <c r="W1891" s="24"/>
      <c r="X1891" s="25"/>
    </row>
    <row r="1892" spans="1:24" ht="18.75">
      <c r="A1892" s="35" t="s">
        <v>31</v>
      </c>
      <c r="B1892" s="35" t="s">
        <v>7272</v>
      </c>
      <c r="C1892" s="35" t="s">
        <v>7273</v>
      </c>
      <c r="D1892" s="35">
        <f t="shared" si="31"/>
        <v>-1</v>
      </c>
      <c r="E1892" s="35" t="s">
        <v>34</v>
      </c>
      <c r="F1892" s="35" t="s">
        <v>7161</v>
      </c>
      <c r="G1892" s="35" t="s">
        <v>7274</v>
      </c>
      <c r="H1892" s="35" t="s">
        <v>37</v>
      </c>
      <c r="I1892" s="35" t="s">
        <v>38</v>
      </c>
      <c r="J1892" s="35" t="s">
        <v>7275</v>
      </c>
      <c r="K1892" s="35" t="s">
        <v>7276</v>
      </c>
      <c r="L1892" s="35">
        <v>44257.46</v>
      </c>
      <c r="M1892" s="35">
        <v>0</v>
      </c>
      <c r="N1892" s="35">
        <v>0</v>
      </c>
      <c r="O1892" s="35">
        <v>277191.46000000002</v>
      </c>
      <c r="P1892" s="35" t="s">
        <v>41</v>
      </c>
      <c r="Q1892" s="35" t="s">
        <v>42</v>
      </c>
      <c r="R1892" s="25"/>
      <c r="S1892" s="25"/>
      <c r="T1892" s="25"/>
      <c r="U1892" s="25"/>
      <c r="V1892" s="26"/>
      <c r="W1892" s="24" t="s">
        <v>43</v>
      </c>
      <c r="X1892" s="25" t="s">
        <v>7277</v>
      </c>
    </row>
    <row r="1893" spans="1:24" ht="18.75">
      <c r="A1893" s="26" t="s">
        <v>31</v>
      </c>
      <c r="B1893" s="26" t="s">
        <v>7278</v>
      </c>
      <c r="C1893" s="26" t="s">
        <v>7279</v>
      </c>
      <c r="D1893" s="26">
        <f t="shared" si="31"/>
        <v>-1</v>
      </c>
      <c r="E1893" s="26" t="s">
        <v>34</v>
      </c>
      <c r="F1893" s="26" t="s">
        <v>7161</v>
      </c>
      <c r="G1893" s="26" t="s">
        <v>7280</v>
      </c>
      <c r="H1893" s="26" t="s">
        <v>37</v>
      </c>
      <c r="I1893" s="26" t="s">
        <v>38</v>
      </c>
      <c r="J1893" s="26" t="s">
        <v>5562</v>
      </c>
      <c r="K1893" s="26" t="s">
        <v>5563</v>
      </c>
      <c r="L1893" s="26">
        <v>203040.65</v>
      </c>
      <c r="M1893" s="26">
        <v>0</v>
      </c>
      <c r="N1893" s="26">
        <v>0</v>
      </c>
      <c r="O1893" s="26">
        <v>1271675.6499999999</v>
      </c>
      <c r="P1893" s="26" t="s">
        <v>41</v>
      </c>
      <c r="Q1893" s="26" t="s">
        <v>42</v>
      </c>
      <c r="R1893" s="24"/>
      <c r="S1893" s="24"/>
      <c r="T1893" s="24"/>
      <c r="U1893" s="24"/>
      <c r="V1893" s="26" t="s">
        <v>43</v>
      </c>
      <c r="W1893" s="24"/>
      <c r="X1893" s="25"/>
    </row>
    <row r="1894" spans="1:24" ht="18.75">
      <c r="A1894" s="26" t="s">
        <v>31</v>
      </c>
      <c r="B1894" s="26" t="s">
        <v>7281</v>
      </c>
      <c r="C1894" s="26" t="s">
        <v>7282</v>
      </c>
      <c r="D1894" s="26">
        <f t="shared" si="31"/>
        <v>-1</v>
      </c>
      <c r="E1894" s="26" t="s">
        <v>34</v>
      </c>
      <c r="F1894" s="26" t="s">
        <v>7161</v>
      </c>
      <c r="G1894" s="26" t="s">
        <v>7283</v>
      </c>
      <c r="H1894" s="26" t="s">
        <v>37</v>
      </c>
      <c r="I1894" s="26" t="s">
        <v>38</v>
      </c>
      <c r="J1894" s="26" t="s">
        <v>5562</v>
      </c>
      <c r="K1894" s="26" t="s">
        <v>5563</v>
      </c>
      <c r="L1894" s="26">
        <v>1301500</v>
      </c>
      <c r="M1894" s="26">
        <v>0</v>
      </c>
      <c r="N1894" s="26">
        <v>0</v>
      </c>
      <c r="O1894" s="26">
        <v>8151500</v>
      </c>
      <c r="P1894" s="26" t="s">
        <v>41</v>
      </c>
      <c r="Q1894" s="26" t="s">
        <v>42</v>
      </c>
      <c r="R1894" s="24"/>
      <c r="S1894" s="24"/>
      <c r="T1894" s="24"/>
      <c r="U1894" s="24"/>
      <c r="V1894" s="26" t="s">
        <v>43</v>
      </c>
      <c r="W1894" s="24"/>
      <c r="X1894" s="25"/>
    </row>
    <row r="1895" spans="1:24" ht="18.75">
      <c r="A1895" s="26" t="s">
        <v>31</v>
      </c>
      <c r="B1895" s="26" t="s">
        <v>7284</v>
      </c>
      <c r="C1895" s="26" t="s">
        <v>7285</v>
      </c>
      <c r="D1895" s="26">
        <f t="shared" si="31"/>
        <v>-1</v>
      </c>
      <c r="E1895" s="26" t="s">
        <v>34</v>
      </c>
      <c r="F1895" s="26" t="s">
        <v>7161</v>
      </c>
      <c r="G1895" s="26" t="s">
        <v>7286</v>
      </c>
      <c r="H1895" s="26" t="s">
        <v>37</v>
      </c>
      <c r="I1895" s="26" t="s">
        <v>38</v>
      </c>
      <c r="J1895" s="26" t="s">
        <v>6919</v>
      </c>
      <c r="K1895" s="26" t="s">
        <v>6920</v>
      </c>
      <c r="L1895" s="26">
        <v>596315</v>
      </c>
      <c r="M1895" s="26">
        <v>0</v>
      </c>
      <c r="N1895" s="26">
        <v>0</v>
      </c>
      <c r="O1895" s="26">
        <v>3734815</v>
      </c>
      <c r="P1895" s="26" t="s">
        <v>41</v>
      </c>
      <c r="Q1895" s="26" t="s">
        <v>42</v>
      </c>
      <c r="R1895" s="25"/>
      <c r="S1895" s="25"/>
      <c r="T1895" s="25"/>
      <c r="U1895" s="25"/>
      <c r="V1895" s="26" t="s">
        <v>43</v>
      </c>
      <c r="W1895" s="24"/>
      <c r="X1895" s="25"/>
    </row>
    <row r="1896" spans="1:24" ht="18.75">
      <c r="A1896" s="26" t="s">
        <v>31</v>
      </c>
      <c r="B1896" s="26" t="s">
        <v>7287</v>
      </c>
      <c r="C1896" s="26" t="s">
        <v>7288</v>
      </c>
      <c r="D1896" s="26">
        <f t="shared" si="31"/>
        <v>-1</v>
      </c>
      <c r="E1896" s="26" t="s">
        <v>34</v>
      </c>
      <c r="F1896" s="26" t="s">
        <v>7161</v>
      </c>
      <c r="G1896" s="26" t="s">
        <v>7289</v>
      </c>
      <c r="H1896" s="26" t="s">
        <v>37</v>
      </c>
      <c r="I1896" s="26" t="s">
        <v>38</v>
      </c>
      <c r="J1896" s="26" t="s">
        <v>5981</v>
      </c>
      <c r="K1896" s="26" t="s">
        <v>5982</v>
      </c>
      <c r="L1896" s="26">
        <v>14782</v>
      </c>
      <c r="M1896" s="26">
        <v>0</v>
      </c>
      <c r="N1896" s="26">
        <v>0</v>
      </c>
      <c r="O1896" s="26">
        <v>92582</v>
      </c>
      <c r="P1896" s="26" t="s">
        <v>41</v>
      </c>
      <c r="Q1896" s="26" t="s">
        <v>42</v>
      </c>
      <c r="R1896" s="24"/>
      <c r="S1896" s="24"/>
      <c r="T1896" s="24"/>
      <c r="U1896" s="24"/>
      <c r="V1896" s="26" t="s">
        <v>43</v>
      </c>
      <c r="W1896" s="24"/>
      <c r="X1896" s="25"/>
    </row>
    <row r="1897" spans="1:24" ht="18.75">
      <c r="A1897" s="26" t="s">
        <v>31</v>
      </c>
      <c r="B1897" s="26" t="s">
        <v>7290</v>
      </c>
      <c r="C1897" s="26" t="s">
        <v>7291</v>
      </c>
      <c r="D1897" s="26">
        <f t="shared" ref="D1897:D1955" si="32">C1897-C1898</f>
        <v>-1</v>
      </c>
      <c r="E1897" s="26" t="s">
        <v>34</v>
      </c>
      <c r="F1897" s="26" t="s">
        <v>7161</v>
      </c>
      <c r="G1897" s="26" t="s">
        <v>7292</v>
      </c>
      <c r="H1897" s="26" t="s">
        <v>37</v>
      </c>
      <c r="I1897" s="26" t="s">
        <v>38</v>
      </c>
      <c r="J1897" s="26" t="s">
        <v>2624</v>
      </c>
      <c r="K1897" s="26" t="s">
        <v>2625</v>
      </c>
      <c r="L1897" s="26">
        <v>21831</v>
      </c>
      <c r="M1897" s="26">
        <v>0</v>
      </c>
      <c r="N1897" s="26">
        <v>0</v>
      </c>
      <c r="O1897" s="26">
        <v>136731</v>
      </c>
      <c r="P1897" s="26" t="s">
        <v>41</v>
      </c>
      <c r="Q1897" s="26" t="s">
        <v>42</v>
      </c>
      <c r="R1897" s="24"/>
      <c r="S1897" s="24"/>
      <c r="T1897" s="24"/>
      <c r="U1897" s="24"/>
      <c r="V1897" s="26" t="s">
        <v>43</v>
      </c>
      <c r="W1897" s="24"/>
      <c r="X1897" s="25"/>
    </row>
    <row r="1898" spans="1:24" ht="18.75">
      <c r="A1898" s="35" t="s">
        <v>31</v>
      </c>
      <c r="B1898" s="35" t="s">
        <v>7293</v>
      </c>
      <c r="C1898" s="35" t="s">
        <v>7294</v>
      </c>
      <c r="D1898" s="35">
        <f t="shared" si="32"/>
        <v>-1</v>
      </c>
      <c r="E1898" s="35" t="s">
        <v>34</v>
      </c>
      <c r="F1898" s="35" t="s">
        <v>7161</v>
      </c>
      <c r="G1898" s="35" t="s">
        <v>7295</v>
      </c>
      <c r="H1898" s="35" t="s">
        <v>37</v>
      </c>
      <c r="I1898" s="35" t="s">
        <v>38</v>
      </c>
      <c r="J1898" s="35" t="s">
        <v>7296</v>
      </c>
      <c r="K1898" s="35" t="s">
        <v>7297</v>
      </c>
      <c r="L1898" s="35">
        <v>821180</v>
      </c>
      <c r="M1898" s="35">
        <v>0</v>
      </c>
      <c r="N1898" s="35">
        <v>0</v>
      </c>
      <c r="O1898" s="35">
        <v>5143180</v>
      </c>
      <c r="P1898" s="35" t="s">
        <v>41</v>
      </c>
      <c r="Q1898" s="35" t="s">
        <v>42</v>
      </c>
      <c r="R1898" s="24"/>
      <c r="S1898" s="24"/>
      <c r="T1898" s="24"/>
      <c r="U1898" s="24"/>
      <c r="V1898" s="26"/>
      <c r="W1898" s="24" t="s">
        <v>43</v>
      </c>
      <c r="X1898" s="25" t="s">
        <v>647</v>
      </c>
    </row>
    <row r="1899" spans="1:24" ht="18.75">
      <c r="A1899" s="26" t="s">
        <v>31</v>
      </c>
      <c r="B1899" s="26" t="s">
        <v>7298</v>
      </c>
      <c r="C1899" s="26" t="s">
        <v>7299</v>
      </c>
      <c r="D1899" s="26">
        <f t="shared" si="32"/>
        <v>-1</v>
      </c>
      <c r="E1899" s="26" t="s">
        <v>34</v>
      </c>
      <c r="F1899" s="26" t="s">
        <v>7161</v>
      </c>
      <c r="G1899" s="26" t="s">
        <v>7300</v>
      </c>
      <c r="H1899" s="26" t="s">
        <v>37</v>
      </c>
      <c r="I1899" s="26" t="s">
        <v>38</v>
      </c>
      <c r="J1899" s="26" t="s">
        <v>6839</v>
      </c>
      <c r="K1899" s="26" t="s">
        <v>6840</v>
      </c>
      <c r="L1899" s="26">
        <v>102904</v>
      </c>
      <c r="M1899" s="26">
        <v>0</v>
      </c>
      <c r="N1899" s="26">
        <v>0</v>
      </c>
      <c r="O1899" s="26">
        <v>694804</v>
      </c>
      <c r="P1899" s="26" t="s">
        <v>41</v>
      </c>
      <c r="Q1899" s="26" t="s">
        <v>42</v>
      </c>
      <c r="R1899" s="24"/>
      <c r="S1899" s="25"/>
      <c r="T1899" s="24"/>
      <c r="U1899" s="24"/>
      <c r="V1899" s="26" t="s">
        <v>43</v>
      </c>
      <c r="W1899" s="24"/>
      <c r="X1899" s="25"/>
    </row>
    <row r="1900" spans="1:24" ht="18.75">
      <c r="A1900" s="26" t="s">
        <v>31</v>
      </c>
      <c r="B1900" s="26" t="s">
        <v>7301</v>
      </c>
      <c r="C1900" s="26" t="s">
        <v>7302</v>
      </c>
      <c r="D1900" s="26">
        <f t="shared" si="32"/>
        <v>-1</v>
      </c>
      <c r="E1900" s="26" t="s">
        <v>34</v>
      </c>
      <c r="F1900" s="26" t="s">
        <v>7161</v>
      </c>
      <c r="G1900" s="26" t="s">
        <v>7303</v>
      </c>
      <c r="H1900" s="26" t="s">
        <v>37</v>
      </c>
      <c r="I1900" s="26" t="s">
        <v>38</v>
      </c>
      <c r="J1900" s="26" t="s">
        <v>1808</v>
      </c>
      <c r="K1900" s="26" t="s">
        <v>1809</v>
      </c>
      <c r="L1900" s="26">
        <v>115710</v>
      </c>
      <c r="M1900" s="26">
        <v>0</v>
      </c>
      <c r="N1900" s="26">
        <v>0</v>
      </c>
      <c r="O1900" s="26">
        <v>724710</v>
      </c>
      <c r="P1900" s="26" t="s">
        <v>41</v>
      </c>
      <c r="Q1900" s="26" t="s">
        <v>42</v>
      </c>
      <c r="R1900" s="25"/>
      <c r="S1900" s="25"/>
      <c r="T1900" s="25"/>
      <c r="U1900" s="25"/>
      <c r="V1900" s="26" t="s">
        <v>43</v>
      </c>
      <c r="W1900" s="24"/>
      <c r="X1900" s="25"/>
    </row>
    <row r="1901" spans="1:24" ht="18.75">
      <c r="A1901" s="26" t="s">
        <v>31</v>
      </c>
      <c r="B1901" s="26" t="s">
        <v>7304</v>
      </c>
      <c r="C1901" s="26" t="s">
        <v>7305</v>
      </c>
      <c r="D1901" s="26">
        <f t="shared" si="32"/>
        <v>-1</v>
      </c>
      <c r="E1901" s="26" t="s">
        <v>34</v>
      </c>
      <c r="F1901" s="26" t="s">
        <v>7161</v>
      </c>
      <c r="G1901" s="26" t="s">
        <v>7306</v>
      </c>
      <c r="H1901" s="26" t="s">
        <v>37</v>
      </c>
      <c r="I1901" s="26" t="s">
        <v>38</v>
      </c>
      <c r="J1901" s="26" t="s">
        <v>1808</v>
      </c>
      <c r="K1901" s="26" t="s">
        <v>1809</v>
      </c>
      <c r="L1901" s="26">
        <v>72580</v>
      </c>
      <c r="M1901" s="26">
        <v>0</v>
      </c>
      <c r="N1901" s="26">
        <v>0</v>
      </c>
      <c r="O1901" s="26">
        <v>454580</v>
      </c>
      <c r="P1901" s="26" t="s">
        <v>41</v>
      </c>
      <c r="Q1901" s="26" t="s">
        <v>42</v>
      </c>
      <c r="R1901" s="25"/>
      <c r="S1901" s="25"/>
      <c r="T1901" s="25"/>
      <c r="U1901" s="25"/>
      <c r="V1901" s="26" t="s">
        <v>43</v>
      </c>
      <c r="W1901" s="24"/>
      <c r="X1901" s="25"/>
    </row>
    <row r="1902" spans="1:24" ht="18.75">
      <c r="A1902" s="26" t="s">
        <v>31</v>
      </c>
      <c r="B1902" s="26" t="s">
        <v>7307</v>
      </c>
      <c r="C1902" s="26" t="s">
        <v>7308</v>
      </c>
      <c r="D1902" s="26">
        <f t="shared" si="32"/>
        <v>-1</v>
      </c>
      <c r="E1902" s="26" t="s">
        <v>34</v>
      </c>
      <c r="F1902" s="26" t="s">
        <v>7161</v>
      </c>
      <c r="G1902" s="26" t="s">
        <v>7309</v>
      </c>
      <c r="H1902" s="26" t="s">
        <v>37</v>
      </c>
      <c r="I1902" s="26" t="s">
        <v>38</v>
      </c>
      <c r="J1902" s="26" t="s">
        <v>7310</v>
      </c>
      <c r="K1902" s="26" t="s">
        <v>7311</v>
      </c>
      <c r="L1902" s="26">
        <v>59546</v>
      </c>
      <c r="M1902" s="26">
        <v>0</v>
      </c>
      <c r="N1902" s="26">
        <v>0</v>
      </c>
      <c r="O1902" s="26">
        <v>372946</v>
      </c>
      <c r="P1902" s="26" t="s">
        <v>41</v>
      </c>
      <c r="Q1902" s="26" t="s">
        <v>42</v>
      </c>
      <c r="R1902" s="24"/>
      <c r="S1902" s="25"/>
      <c r="T1902" s="24"/>
      <c r="U1902" s="24"/>
      <c r="V1902" s="26" t="s">
        <v>43</v>
      </c>
      <c r="W1902" s="24"/>
      <c r="X1902" s="25"/>
    </row>
    <row r="1903" spans="1:24" ht="18.75">
      <c r="A1903" s="26" t="s">
        <v>31</v>
      </c>
      <c r="B1903" s="26" t="s">
        <v>7312</v>
      </c>
      <c r="C1903" s="26" t="s">
        <v>7313</v>
      </c>
      <c r="D1903" s="26">
        <f t="shared" si="32"/>
        <v>-1</v>
      </c>
      <c r="E1903" s="26" t="s">
        <v>34</v>
      </c>
      <c r="F1903" s="26" t="s">
        <v>7161</v>
      </c>
      <c r="G1903" s="26" t="s">
        <v>7314</v>
      </c>
      <c r="H1903" s="26" t="s">
        <v>37</v>
      </c>
      <c r="I1903" s="26" t="s">
        <v>38</v>
      </c>
      <c r="J1903" s="26" t="s">
        <v>1818</v>
      </c>
      <c r="K1903" s="26" t="s">
        <v>1819</v>
      </c>
      <c r="L1903" s="26">
        <v>114000</v>
      </c>
      <c r="M1903" s="26">
        <v>0</v>
      </c>
      <c r="N1903" s="26">
        <v>0</v>
      </c>
      <c r="O1903" s="26">
        <v>714000</v>
      </c>
      <c r="P1903" s="26" t="s">
        <v>41</v>
      </c>
      <c r="Q1903" s="26" t="s">
        <v>42</v>
      </c>
      <c r="R1903" s="24"/>
      <c r="S1903" s="25"/>
      <c r="T1903" s="24"/>
      <c r="U1903" s="24"/>
      <c r="V1903" s="26" t="s">
        <v>43</v>
      </c>
      <c r="W1903" s="24"/>
      <c r="X1903" s="25"/>
    </row>
    <row r="1904" spans="1:24" ht="18.75">
      <c r="A1904" s="26" t="s">
        <v>31</v>
      </c>
      <c r="B1904" s="26" t="s">
        <v>7315</v>
      </c>
      <c r="C1904" s="26" t="s">
        <v>7316</v>
      </c>
      <c r="D1904" s="26">
        <f t="shared" si="32"/>
        <v>-1</v>
      </c>
      <c r="E1904" s="26" t="s">
        <v>34</v>
      </c>
      <c r="F1904" s="26" t="s">
        <v>7161</v>
      </c>
      <c r="G1904" s="26" t="s">
        <v>7317</v>
      </c>
      <c r="H1904" s="26" t="s">
        <v>37</v>
      </c>
      <c r="I1904" s="26" t="s">
        <v>38</v>
      </c>
      <c r="J1904" s="26" t="s">
        <v>5809</v>
      </c>
      <c r="K1904" s="26" t="s">
        <v>5810</v>
      </c>
      <c r="L1904" s="26">
        <v>989900</v>
      </c>
      <c r="M1904" s="26">
        <v>0</v>
      </c>
      <c r="N1904" s="26">
        <v>0</v>
      </c>
      <c r="O1904" s="26">
        <v>6199900</v>
      </c>
      <c r="P1904" s="26" t="s">
        <v>41</v>
      </c>
      <c r="Q1904" s="26" t="s">
        <v>42</v>
      </c>
      <c r="R1904" s="25"/>
      <c r="S1904" s="25"/>
      <c r="T1904" s="25"/>
      <c r="U1904" s="25"/>
      <c r="V1904" s="26" t="s">
        <v>43</v>
      </c>
      <c r="W1904" s="24"/>
      <c r="X1904" s="25"/>
    </row>
    <row r="1905" spans="1:24" ht="18.75">
      <c r="A1905" s="35" t="s">
        <v>31</v>
      </c>
      <c r="B1905" s="35" t="s">
        <v>7318</v>
      </c>
      <c r="C1905" s="35" t="s">
        <v>7319</v>
      </c>
      <c r="D1905" s="35">
        <f t="shared" si="32"/>
        <v>-1</v>
      </c>
      <c r="E1905" s="35" t="s">
        <v>34</v>
      </c>
      <c r="F1905" s="35" t="s">
        <v>7161</v>
      </c>
      <c r="G1905" s="35" t="s">
        <v>7320</v>
      </c>
      <c r="H1905" s="35" t="s">
        <v>37</v>
      </c>
      <c r="I1905" s="35" t="s">
        <v>38</v>
      </c>
      <c r="J1905" s="35" t="s">
        <v>7321</v>
      </c>
      <c r="K1905" s="35" t="s">
        <v>7322</v>
      </c>
      <c r="L1905" s="35">
        <v>106077</v>
      </c>
      <c r="M1905" s="35">
        <v>0</v>
      </c>
      <c r="N1905" s="35">
        <v>0</v>
      </c>
      <c r="O1905" s="35">
        <v>681777</v>
      </c>
      <c r="P1905" s="35" t="s">
        <v>41</v>
      </c>
      <c r="Q1905" s="35" t="s">
        <v>42</v>
      </c>
      <c r="R1905" s="25"/>
      <c r="S1905" s="25"/>
      <c r="T1905" s="25"/>
      <c r="U1905" s="25"/>
      <c r="V1905" s="26"/>
      <c r="W1905" s="24" t="s">
        <v>43</v>
      </c>
      <c r="X1905" s="25" t="s">
        <v>5225</v>
      </c>
    </row>
    <row r="1906" spans="1:24" ht="18.75">
      <c r="A1906" s="26" t="s">
        <v>31</v>
      </c>
      <c r="B1906" s="26" t="s">
        <v>7323</v>
      </c>
      <c r="C1906" s="26" t="s">
        <v>7324</v>
      </c>
      <c r="D1906" s="26">
        <f t="shared" si="32"/>
        <v>-1</v>
      </c>
      <c r="E1906" s="26" t="s">
        <v>34</v>
      </c>
      <c r="F1906" s="26" t="s">
        <v>7161</v>
      </c>
      <c r="G1906" s="26" t="s">
        <v>7325</v>
      </c>
      <c r="H1906" s="26" t="s">
        <v>37</v>
      </c>
      <c r="I1906" s="26" t="s">
        <v>38</v>
      </c>
      <c r="J1906" s="26" t="s">
        <v>7326</v>
      </c>
      <c r="K1906" s="26" t="s">
        <v>7327</v>
      </c>
      <c r="L1906" s="26">
        <v>77566.55</v>
      </c>
      <c r="M1906" s="26">
        <v>0</v>
      </c>
      <c r="N1906" s="26">
        <v>0</v>
      </c>
      <c r="O1906" s="26">
        <v>501092.55</v>
      </c>
      <c r="P1906" s="26" t="s">
        <v>41</v>
      </c>
      <c r="Q1906" s="26" t="s">
        <v>42</v>
      </c>
      <c r="R1906" s="25"/>
      <c r="S1906" s="25"/>
      <c r="T1906" s="25"/>
      <c r="U1906" s="25"/>
      <c r="V1906" s="26" t="s">
        <v>43</v>
      </c>
      <c r="W1906" s="24"/>
      <c r="X1906" s="25"/>
    </row>
    <row r="1907" spans="1:24" ht="18.75">
      <c r="A1907" s="26" t="s">
        <v>31</v>
      </c>
      <c r="B1907" s="26" t="s">
        <v>7328</v>
      </c>
      <c r="C1907" s="26" t="s">
        <v>7329</v>
      </c>
      <c r="D1907" s="26">
        <f t="shared" si="32"/>
        <v>-1</v>
      </c>
      <c r="E1907" s="26" t="s">
        <v>34</v>
      </c>
      <c r="F1907" s="26" t="s">
        <v>7161</v>
      </c>
      <c r="G1907" s="26" t="s">
        <v>7330</v>
      </c>
      <c r="H1907" s="26" t="s">
        <v>37</v>
      </c>
      <c r="I1907" s="26" t="s">
        <v>38</v>
      </c>
      <c r="J1907" s="26" t="s">
        <v>7331</v>
      </c>
      <c r="K1907" s="26" t="s">
        <v>7332</v>
      </c>
      <c r="L1907" s="26">
        <v>240300</v>
      </c>
      <c r="M1907" s="26">
        <v>0</v>
      </c>
      <c r="N1907" s="26">
        <v>0</v>
      </c>
      <c r="O1907" s="26">
        <v>5046300</v>
      </c>
      <c r="P1907" s="26" t="s">
        <v>41</v>
      </c>
      <c r="Q1907" s="26" t="s">
        <v>42</v>
      </c>
      <c r="R1907" s="25"/>
      <c r="S1907" s="25"/>
      <c r="T1907" s="25"/>
      <c r="U1907" s="25"/>
      <c r="V1907" s="26" t="s">
        <v>43</v>
      </c>
      <c r="W1907" s="24"/>
      <c r="X1907" s="25"/>
    </row>
    <row r="1908" spans="1:24" ht="18.75">
      <c r="A1908" s="26" t="s">
        <v>31</v>
      </c>
      <c r="B1908" s="26" t="s">
        <v>7333</v>
      </c>
      <c r="C1908" s="26" t="s">
        <v>7334</v>
      </c>
      <c r="D1908" s="26">
        <f t="shared" si="32"/>
        <v>-1</v>
      </c>
      <c r="E1908" s="26" t="s">
        <v>34</v>
      </c>
      <c r="F1908" s="26" t="s">
        <v>7161</v>
      </c>
      <c r="G1908" s="26" t="s">
        <v>7335</v>
      </c>
      <c r="H1908" s="26" t="s">
        <v>37</v>
      </c>
      <c r="I1908" s="26" t="s">
        <v>38</v>
      </c>
      <c r="J1908" s="26" t="s">
        <v>7336</v>
      </c>
      <c r="K1908" s="26" t="s">
        <v>7337</v>
      </c>
      <c r="L1908" s="26">
        <v>932178</v>
      </c>
      <c r="M1908" s="26">
        <v>0</v>
      </c>
      <c r="N1908" s="26">
        <v>0</v>
      </c>
      <c r="O1908" s="26">
        <v>5838378</v>
      </c>
      <c r="P1908" s="26" t="s">
        <v>41</v>
      </c>
      <c r="Q1908" s="26" t="s">
        <v>42</v>
      </c>
      <c r="R1908" s="25"/>
      <c r="S1908" s="25"/>
      <c r="T1908" s="25"/>
      <c r="U1908" s="25"/>
      <c r="V1908" s="26" t="s">
        <v>43</v>
      </c>
      <c r="W1908" s="24"/>
      <c r="X1908" s="25"/>
    </row>
    <row r="1909" spans="1:24" ht="18.75">
      <c r="A1909" s="26" t="s">
        <v>31</v>
      </c>
      <c r="B1909" s="26" t="s">
        <v>7338</v>
      </c>
      <c r="C1909" s="26" t="s">
        <v>7339</v>
      </c>
      <c r="D1909" s="26">
        <f t="shared" si="32"/>
        <v>-1</v>
      </c>
      <c r="E1909" s="26" t="s">
        <v>34</v>
      </c>
      <c r="F1909" s="26" t="s">
        <v>7161</v>
      </c>
      <c r="G1909" s="26" t="s">
        <v>7340</v>
      </c>
      <c r="H1909" s="26" t="s">
        <v>37</v>
      </c>
      <c r="I1909" s="26" t="s">
        <v>38</v>
      </c>
      <c r="J1909" s="26" t="s">
        <v>7336</v>
      </c>
      <c r="K1909" s="26" t="s">
        <v>7337</v>
      </c>
      <c r="L1909" s="26">
        <v>903406.68</v>
      </c>
      <c r="M1909" s="26">
        <v>0</v>
      </c>
      <c r="N1909" s="26">
        <v>0</v>
      </c>
      <c r="O1909" s="26">
        <v>5658178.6799999997</v>
      </c>
      <c r="P1909" s="26" t="s">
        <v>41</v>
      </c>
      <c r="Q1909" s="26" t="s">
        <v>42</v>
      </c>
      <c r="R1909" s="24"/>
      <c r="S1909" s="25"/>
      <c r="T1909" s="24"/>
      <c r="U1909" s="24"/>
      <c r="V1909" s="26" t="s">
        <v>43</v>
      </c>
      <c r="W1909" s="24"/>
      <c r="X1909" s="25"/>
    </row>
    <row r="1910" spans="1:24" ht="18.75">
      <c r="A1910" s="26" t="s">
        <v>31</v>
      </c>
      <c r="B1910" s="26" t="s">
        <v>7341</v>
      </c>
      <c r="C1910" s="26" t="s">
        <v>7342</v>
      </c>
      <c r="D1910" s="26">
        <f t="shared" si="32"/>
        <v>-1</v>
      </c>
      <c r="E1910" s="26" t="s">
        <v>34</v>
      </c>
      <c r="F1910" s="26" t="s">
        <v>7161</v>
      </c>
      <c r="G1910" s="26" t="s">
        <v>7343</v>
      </c>
      <c r="H1910" s="26" t="s">
        <v>37</v>
      </c>
      <c r="I1910" s="26" t="s">
        <v>38</v>
      </c>
      <c r="J1910" s="26" t="s">
        <v>7344</v>
      </c>
      <c r="K1910" s="26" t="s">
        <v>7345</v>
      </c>
      <c r="L1910" s="26">
        <v>144020</v>
      </c>
      <c r="M1910" s="26">
        <v>0</v>
      </c>
      <c r="N1910" s="26">
        <v>0</v>
      </c>
      <c r="O1910" s="26">
        <v>902020</v>
      </c>
      <c r="P1910" s="26" t="s">
        <v>41</v>
      </c>
      <c r="Q1910" s="26" t="s">
        <v>42</v>
      </c>
      <c r="R1910" s="25"/>
      <c r="S1910" s="25"/>
      <c r="T1910" s="25"/>
      <c r="U1910" s="25"/>
      <c r="V1910" s="26" t="s">
        <v>43</v>
      </c>
      <c r="W1910" s="24"/>
      <c r="X1910" s="25"/>
    </row>
    <row r="1911" spans="1:24" ht="18.75">
      <c r="A1911" s="26" t="s">
        <v>31</v>
      </c>
      <c r="B1911" s="26" t="s">
        <v>7346</v>
      </c>
      <c r="C1911" s="26" t="s">
        <v>7347</v>
      </c>
      <c r="D1911" s="26">
        <f t="shared" si="32"/>
        <v>-1</v>
      </c>
      <c r="E1911" s="26" t="s">
        <v>34</v>
      </c>
      <c r="F1911" s="26" t="s">
        <v>7161</v>
      </c>
      <c r="G1911" s="26" t="s">
        <v>7348</v>
      </c>
      <c r="H1911" s="26" t="s">
        <v>37</v>
      </c>
      <c r="I1911" s="26" t="s">
        <v>38</v>
      </c>
      <c r="J1911" s="26" t="s">
        <v>7336</v>
      </c>
      <c r="K1911" s="26" t="s">
        <v>7337</v>
      </c>
      <c r="L1911" s="26">
        <v>854620</v>
      </c>
      <c r="M1911" s="26">
        <v>0</v>
      </c>
      <c r="N1911" s="26">
        <v>0</v>
      </c>
      <c r="O1911" s="26">
        <v>5352620</v>
      </c>
      <c r="P1911" s="26" t="s">
        <v>41</v>
      </c>
      <c r="Q1911" s="26" t="s">
        <v>42</v>
      </c>
      <c r="R1911" s="25"/>
      <c r="S1911" s="25"/>
      <c r="T1911" s="25"/>
      <c r="U1911" s="25"/>
      <c r="V1911" s="26" t="s">
        <v>43</v>
      </c>
      <c r="W1911" s="24"/>
      <c r="X1911" s="25"/>
    </row>
    <row r="1912" spans="1:24" ht="18.75">
      <c r="A1912" s="26" t="s">
        <v>31</v>
      </c>
      <c r="B1912" s="26" t="s">
        <v>7349</v>
      </c>
      <c r="C1912" s="26" t="s">
        <v>7350</v>
      </c>
      <c r="D1912" s="26">
        <f t="shared" si="32"/>
        <v>-1</v>
      </c>
      <c r="E1912" s="26" t="s">
        <v>34</v>
      </c>
      <c r="F1912" s="26" t="s">
        <v>7351</v>
      </c>
      <c r="G1912" s="26" t="s">
        <v>7352</v>
      </c>
      <c r="H1912" s="26" t="s">
        <v>37</v>
      </c>
      <c r="I1912" s="26" t="s">
        <v>38</v>
      </c>
      <c r="J1912" s="26" t="s">
        <v>7353</v>
      </c>
      <c r="K1912" s="26" t="s">
        <v>7354</v>
      </c>
      <c r="L1912" s="26">
        <v>10821.7</v>
      </c>
      <c r="M1912" s="26">
        <v>0</v>
      </c>
      <c r="N1912" s="26">
        <v>0</v>
      </c>
      <c r="O1912" s="26">
        <v>67778</v>
      </c>
      <c r="P1912" s="26" t="s">
        <v>41</v>
      </c>
      <c r="Q1912" s="26" t="s">
        <v>42</v>
      </c>
      <c r="R1912" s="25"/>
      <c r="S1912" s="25"/>
      <c r="T1912" s="25"/>
      <c r="U1912" s="25"/>
      <c r="V1912" s="26" t="s">
        <v>43</v>
      </c>
      <c r="W1912" s="24"/>
      <c r="X1912" s="25"/>
    </row>
    <row r="1913" spans="1:24" ht="18.75">
      <c r="A1913" s="26" t="s">
        <v>31</v>
      </c>
      <c r="B1913" s="26" t="s">
        <v>7355</v>
      </c>
      <c r="C1913" s="26" t="s">
        <v>7356</v>
      </c>
      <c r="D1913" s="26">
        <f t="shared" si="32"/>
        <v>-1</v>
      </c>
      <c r="E1913" s="26" t="s">
        <v>34</v>
      </c>
      <c r="F1913" s="26" t="s">
        <v>7351</v>
      </c>
      <c r="G1913" s="26" t="s">
        <v>7357</v>
      </c>
      <c r="H1913" s="26" t="s">
        <v>37</v>
      </c>
      <c r="I1913" s="26" t="s">
        <v>38</v>
      </c>
      <c r="J1913" s="26" t="s">
        <v>7358</v>
      </c>
      <c r="K1913" s="26" t="s">
        <v>7359</v>
      </c>
      <c r="L1913" s="26">
        <v>92378</v>
      </c>
      <c r="M1913" s="26">
        <v>0</v>
      </c>
      <c r="N1913" s="26">
        <v>0</v>
      </c>
      <c r="O1913" s="26">
        <v>578578</v>
      </c>
      <c r="P1913" s="26" t="s">
        <v>41</v>
      </c>
      <c r="Q1913" s="26" t="s">
        <v>42</v>
      </c>
      <c r="R1913" s="25"/>
      <c r="S1913" s="25"/>
      <c r="T1913" s="25"/>
      <c r="U1913" s="25"/>
      <c r="V1913" s="26" t="s">
        <v>43</v>
      </c>
      <c r="W1913" s="24"/>
      <c r="X1913" s="25"/>
    </row>
    <row r="1914" spans="1:24" ht="18.75">
      <c r="A1914" s="26" t="s">
        <v>31</v>
      </c>
      <c r="B1914" s="26" t="s">
        <v>7360</v>
      </c>
      <c r="C1914" s="26" t="s">
        <v>7361</v>
      </c>
      <c r="D1914" s="26">
        <f t="shared" si="32"/>
        <v>-1</v>
      </c>
      <c r="E1914" s="26" t="s">
        <v>34</v>
      </c>
      <c r="F1914" s="26" t="s">
        <v>7351</v>
      </c>
      <c r="G1914" s="26" t="s">
        <v>7362</v>
      </c>
      <c r="H1914" s="26" t="s">
        <v>37</v>
      </c>
      <c r="I1914" s="26" t="s">
        <v>38</v>
      </c>
      <c r="J1914" s="26" t="s">
        <v>7363</v>
      </c>
      <c r="K1914" s="26" t="s">
        <v>7364</v>
      </c>
      <c r="L1914" s="26">
        <v>1872640</v>
      </c>
      <c r="M1914" s="26">
        <v>0</v>
      </c>
      <c r="N1914" s="26">
        <v>0</v>
      </c>
      <c r="O1914" s="26">
        <v>11728640</v>
      </c>
      <c r="P1914" s="26" t="s">
        <v>41</v>
      </c>
      <c r="Q1914" s="26" t="s">
        <v>42</v>
      </c>
      <c r="R1914" s="25"/>
      <c r="S1914" s="25"/>
      <c r="T1914" s="25"/>
      <c r="U1914" s="25"/>
      <c r="V1914" s="26" t="s">
        <v>43</v>
      </c>
      <c r="W1914" s="24"/>
      <c r="X1914" s="25"/>
    </row>
    <row r="1915" spans="1:24" ht="18.75">
      <c r="A1915" s="26" t="s">
        <v>31</v>
      </c>
      <c r="B1915" s="26" t="s">
        <v>7365</v>
      </c>
      <c r="C1915" s="26" t="s">
        <v>7366</v>
      </c>
      <c r="D1915" s="26">
        <f t="shared" si="32"/>
        <v>-1</v>
      </c>
      <c r="E1915" s="26" t="s">
        <v>34</v>
      </c>
      <c r="F1915" s="26" t="s">
        <v>7351</v>
      </c>
      <c r="G1915" s="26" t="s">
        <v>7367</v>
      </c>
      <c r="H1915" s="26" t="s">
        <v>37</v>
      </c>
      <c r="I1915" s="26" t="s">
        <v>38</v>
      </c>
      <c r="J1915" s="26" t="s">
        <v>621</v>
      </c>
      <c r="K1915" s="26" t="s">
        <v>622</v>
      </c>
      <c r="L1915" s="26">
        <v>339074</v>
      </c>
      <c r="M1915" s="26">
        <v>0</v>
      </c>
      <c r="N1915" s="26">
        <v>0</v>
      </c>
      <c r="O1915" s="26">
        <v>2123674</v>
      </c>
      <c r="P1915" s="26" t="s">
        <v>41</v>
      </c>
      <c r="Q1915" s="26" t="s">
        <v>42</v>
      </c>
      <c r="R1915" s="25"/>
      <c r="S1915" s="25"/>
      <c r="T1915" s="25"/>
      <c r="U1915" s="25"/>
      <c r="V1915" s="26" t="s">
        <v>43</v>
      </c>
      <c r="W1915" s="24"/>
      <c r="X1915" s="25"/>
    </row>
    <row r="1916" spans="1:24" ht="18.75">
      <c r="A1916" s="26" t="s">
        <v>31</v>
      </c>
      <c r="B1916" s="26" t="s">
        <v>7368</v>
      </c>
      <c r="C1916" s="26" t="s">
        <v>7369</v>
      </c>
      <c r="D1916" s="26">
        <f t="shared" si="32"/>
        <v>-1</v>
      </c>
      <c r="E1916" s="26" t="s">
        <v>34</v>
      </c>
      <c r="F1916" s="26" t="s">
        <v>7351</v>
      </c>
      <c r="G1916" s="26" t="s">
        <v>7370</v>
      </c>
      <c r="H1916" s="26" t="s">
        <v>37</v>
      </c>
      <c r="I1916" s="26" t="s">
        <v>38</v>
      </c>
      <c r="J1916" s="26" t="s">
        <v>6796</v>
      </c>
      <c r="K1916" s="26" t="s">
        <v>6797</v>
      </c>
      <c r="L1916" s="26">
        <v>204630</v>
      </c>
      <c r="M1916" s="26">
        <v>0</v>
      </c>
      <c r="N1916" s="26">
        <v>0</v>
      </c>
      <c r="O1916" s="26">
        <v>1281630</v>
      </c>
      <c r="P1916" s="26" t="s">
        <v>41</v>
      </c>
      <c r="Q1916" s="26" t="s">
        <v>42</v>
      </c>
      <c r="R1916" s="25"/>
      <c r="S1916" s="25"/>
      <c r="T1916" s="25"/>
      <c r="U1916" s="25"/>
      <c r="V1916" s="26" t="s">
        <v>43</v>
      </c>
      <c r="W1916" s="24"/>
      <c r="X1916" s="25"/>
    </row>
    <row r="1917" spans="1:24" ht="18.75">
      <c r="A1917" s="26" t="s">
        <v>31</v>
      </c>
      <c r="B1917" s="26" t="s">
        <v>7371</v>
      </c>
      <c r="C1917" s="26" t="s">
        <v>7372</v>
      </c>
      <c r="D1917" s="26">
        <f t="shared" si="32"/>
        <v>-1</v>
      </c>
      <c r="E1917" s="26" t="s">
        <v>34</v>
      </c>
      <c r="F1917" s="26" t="s">
        <v>7351</v>
      </c>
      <c r="G1917" s="26" t="s">
        <v>7373</v>
      </c>
      <c r="H1917" s="26" t="s">
        <v>37</v>
      </c>
      <c r="I1917" s="26" t="s">
        <v>38</v>
      </c>
      <c r="J1917" s="26" t="s">
        <v>7374</v>
      </c>
      <c r="K1917" s="26" t="s">
        <v>7375</v>
      </c>
      <c r="L1917" s="26">
        <v>81924.2</v>
      </c>
      <c r="M1917" s="26">
        <v>0</v>
      </c>
      <c r="N1917" s="26">
        <v>0</v>
      </c>
      <c r="O1917" s="26">
        <v>513104.2</v>
      </c>
      <c r="P1917" s="26" t="s">
        <v>41</v>
      </c>
      <c r="Q1917" s="26" t="s">
        <v>42</v>
      </c>
      <c r="R1917" s="25"/>
      <c r="S1917" s="25"/>
      <c r="T1917" s="25"/>
      <c r="U1917" s="25"/>
      <c r="V1917" s="26" t="s">
        <v>43</v>
      </c>
      <c r="W1917" s="24"/>
      <c r="X1917" s="25"/>
    </row>
    <row r="1918" spans="1:24" ht="18.75">
      <c r="A1918" s="26" t="s">
        <v>31</v>
      </c>
      <c r="B1918" s="26" t="s">
        <v>7376</v>
      </c>
      <c r="C1918" s="26" t="s">
        <v>7377</v>
      </c>
      <c r="D1918" s="26">
        <f t="shared" si="32"/>
        <v>-1</v>
      </c>
      <c r="E1918" s="26" t="s">
        <v>34</v>
      </c>
      <c r="F1918" s="26" t="s">
        <v>7351</v>
      </c>
      <c r="G1918" s="26" t="s">
        <v>7378</v>
      </c>
      <c r="H1918" s="26" t="s">
        <v>37</v>
      </c>
      <c r="I1918" s="26" t="s">
        <v>38</v>
      </c>
      <c r="J1918" s="26" t="s">
        <v>7379</v>
      </c>
      <c r="K1918" s="26" t="s">
        <v>7380</v>
      </c>
      <c r="L1918" s="26">
        <v>0</v>
      </c>
      <c r="M1918" s="26">
        <v>0</v>
      </c>
      <c r="N1918" s="26">
        <v>0</v>
      </c>
      <c r="O1918" s="26">
        <v>9244558</v>
      </c>
      <c r="P1918" s="26" t="s">
        <v>41</v>
      </c>
      <c r="Q1918" s="26" t="s">
        <v>42</v>
      </c>
      <c r="R1918" s="25"/>
      <c r="S1918" s="25"/>
      <c r="T1918" s="25"/>
      <c r="U1918" s="25"/>
      <c r="V1918" s="26" t="s">
        <v>43</v>
      </c>
      <c r="W1918" s="24"/>
      <c r="X1918" s="25"/>
    </row>
    <row r="1919" spans="1:24" ht="18.75">
      <c r="A1919" s="26" t="s">
        <v>31</v>
      </c>
      <c r="B1919" s="26" t="s">
        <v>7381</v>
      </c>
      <c r="C1919" s="26" t="s">
        <v>7382</v>
      </c>
      <c r="D1919" s="26">
        <f t="shared" si="32"/>
        <v>-1</v>
      </c>
      <c r="E1919" s="26" t="s">
        <v>34</v>
      </c>
      <c r="F1919" s="26" t="s">
        <v>7351</v>
      </c>
      <c r="G1919" s="26" t="s">
        <v>7383</v>
      </c>
      <c r="H1919" s="26" t="s">
        <v>37</v>
      </c>
      <c r="I1919" s="26" t="s">
        <v>38</v>
      </c>
      <c r="J1919" s="26" t="s">
        <v>7384</v>
      </c>
      <c r="K1919" s="26" t="s">
        <v>7385</v>
      </c>
      <c r="L1919" s="26">
        <v>29087</v>
      </c>
      <c r="M1919" s="26">
        <v>0</v>
      </c>
      <c r="N1919" s="26">
        <v>0</v>
      </c>
      <c r="O1919" s="26">
        <v>610827</v>
      </c>
      <c r="P1919" s="26" t="s">
        <v>41</v>
      </c>
      <c r="Q1919" s="26" t="s">
        <v>42</v>
      </c>
      <c r="R1919" s="25"/>
      <c r="S1919" s="25"/>
      <c r="T1919" s="25"/>
      <c r="U1919" s="25"/>
      <c r="V1919" s="26" t="s">
        <v>43</v>
      </c>
      <c r="W1919" s="24"/>
      <c r="X1919" s="25"/>
    </row>
    <row r="1920" spans="1:24" ht="18.75">
      <c r="A1920" s="26" t="s">
        <v>31</v>
      </c>
      <c r="B1920" s="26" t="s">
        <v>7386</v>
      </c>
      <c r="C1920" s="26" t="s">
        <v>7387</v>
      </c>
      <c r="D1920" s="26">
        <f t="shared" si="32"/>
        <v>-1</v>
      </c>
      <c r="E1920" s="26" t="s">
        <v>34</v>
      </c>
      <c r="F1920" s="26" t="s">
        <v>7351</v>
      </c>
      <c r="G1920" s="26" t="s">
        <v>7388</v>
      </c>
      <c r="H1920" s="26" t="s">
        <v>37</v>
      </c>
      <c r="I1920" s="26" t="s">
        <v>38</v>
      </c>
      <c r="J1920" s="26" t="s">
        <v>7379</v>
      </c>
      <c r="K1920" s="26" t="s">
        <v>7380</v>
      </c>
      <c r="L1920" s="26">
        <v>0</v>
      </c>
      <c r="M1920" s="26">
        <v>0</v>
      </c>
      <c r="N1920" s="26">
        <v>0</v>
      </c>
      <c r="O1920" s="26">
        <v>9244558</v>
      </c>
      <c r="P1920" s="26" t="s">
        <v>41</v>
      </c>
      <c r="Q1920" s="26" t="s">
        <v>42</v>
      </c>
      <c r="R1920" s="24"/>
      <c r="S1920" s="24"/>
      <c r="T1920" s="24"/>
      <c r="U1920" s="24"/>
      <c r="V1920" s="26" t="s">
        <v>43</v>
      </c>
      <c r="W1920" s="24"/>
      <c r="X1920" s="25"/>
    </row>
    <row r="1921" spans="1:24" ht="18.75">
      <c r="A1921" s="26" t="s">
        <v>31</v>
      </c>
      <c r="B1921" s="26" t="s">
        <v>7389</v>
      </c>
      <c r="C1921" s="26" t="s">
        <v>7390</v>
      </c>
      <c r="D1921" s="26">
        <f t="shared" si="32"/>
        <v>-1</v>
      </c>
      <c r="E1921" s="26" t="s">
        <v>34</v>
      </c>
      <c r="F1921" s="26" t="s">
        <v>7351</v>
      </c>
      <c r="G1921" s="26" t="s">
        <v>7391</v>
      </c>
      <c r="H1921" s="26" t="s">
        <v>37</v>
      </c>
      <c r="I1921" s="26" t="s">
        <v>38</v>
      </c>
      <c r="J1921" s="26" t="s">
        <v>5692</v>
      </c>
      <c r="K1921" s="26" t="s">
        <v>5693</v>
      </c>
      <c r="L1921" s="26">
        <v>1512514</v>
      </c>
      <c r="M1921" s="26">
        <v>0</v>
      </c>
      <c r="N1921" s="26">
        <v>0</v>
      </c>
      <c r="O1921" s="26">
        <v>9473114</v>
      </c>
      <c r="P1921" s="26" t="s">
        <v>41</v>
      </c>
      <c r="Q1921" s="26" t="s">
        <v>42</v>
      </c>
      <c r="R1921" s="25"/>
      <c r="S1921" s="25"/>
      <c r="T1921" s="25"/>
      <c r="U1921" s="25"/>
      <c r="V1921" s="26" t="s">
        <v>43</v>
      </c>
      <c r="W1921" s="24"/>
      <c r="X1921" s="25"/>
    </row>
    <row r="1922" spans="1:24" ht="18.75">
      <c r="A1922" s="26" t="s">
        <v>31</v>
      </c>
      <c r="B1922" s="26" t="s">
        <v>7392</v>
      </c>
      <c r="C1922" s="26" t="s">
        <v>7393</v>
      </c>
      <c r="D1922" s="26">
        <f t="shared" si="32"/>
        <v>-1</v>
      </c>
      <c r="E1922" s="26" t="s">
        <v>34</v>
      </c>
      <c r="F1922" s="26" t="s">
        <v>7351</v>
      </c>
      <c r="G1922" s="26" t="s">
        <v>7394</v>
      </c>
      <c r="H1922" s="26" t="s">
        <v>37</v>
      </c>
      <c r="I1922" s="26" t="s">
        <v>38</v>
      </c>
      <c r="J1922" s="26" t="s">
        <v>5692</v>
      </c>
      <c r="K1922" s="26" t="s">
        <v>5693</v>
      </c>
      <c r="L1922" s="26">
        <v>1655869</v>
      </c>
      <c r="M1922" s="26">
        <v>0</v>
      </c>
      <c r="N1922" s="26">
        <v>0</v>
      </c>
      <c r="O1922" s="26">
        <v>10370969</v>
      </c>
      <c r="P1922" s="26" t="s">
        <v>41</v>
      </c>
      <c r="Q1922" s="26" t="s">
        <v>42</v>
      </c>
      <c r="R1922" s="25"/>
      <c r="S1922" s="25"/>
      <c r="T1922" s="25"/>
      <c r="U1922" s="25"/>
      <c r="V1922" s="26" t="s">
        <v>43</v>
      </c>
      <c r="W1922" s="24"/>
      <c r="X1922" s="25"/>
    </row>
    <row r="1923" spans="1:24" ht="18.75">
      <c r="A1923" s="26" t="s">
        <v>31</v>
      </c>
      <c r="B1923" s="26" t="s">
        <v>7395</v>
      </c>
      <c r="C1923" s="26" t="s">
        <v>7396</v>
      </c>
      <c r="D1923" s="26">
        <f t="shared" si="32"/>
        <v>-1</v>
      </c>
      <c r="E1923" s="26" t="s">
        <v>34</v>
      </c>
      <c r="F1923" s="26" t="s">
        <v>7351</v>
      </c>
      <c r="G1923" s="26" t="s">
        <v>7397</v>
      </c>
      <c r="H1923" s="26" t="s">
        <v>37</v>
      </c>
      <c r="I1923" s="26" t="s">
        <v>38</v>
      </c>
      <c r="J1923" s="26" t="s">
        <v>1766</v>
      </c>
      <c r="K1923" s="26" t="s">
        <v>1767</v>
      </c>
      <c r="L1923" s="26">
        <v>409451.9</v>
      </c>
      <c r="M1923" s="26">
        <v>0</v>
      </c>
      <c r="N1923" s="26">
        <v>0</v>
      </c>
      <c r="O1923" s="26">
        <v>2564461.9</v>
      </c>
      <c r="P1923" s="26" t="s">
        <v>41</v>
      </c>
      <c r="Q1923" s="26" t="s">
        <v>42</v>
      </c>
      <c r="R1923" s="25"/>
      <c r="S1923" s="25"/>
      <c r="T1923" s="25"/>
      <c r="U1923" s="24"/>
      <c r="V1923" s="26" t="s">
        <v>43</v>
      </c>
      <c r="W1923" s="25"/>
      <c r="X1923" s="25"/>
    </row>
    <row r="1924" spans="1:24" ht="18.75">
      <c r="A1924" s="26" t="s">
        <v>31</v>
      </c>
      <c r="B1924" s="26" t="s">
        <v>7398</v>
      </c>
      <c r="C1924" s="26" t="s">
        <v>7399</v>
      </c>
      <c r="D1924" s="26">
        <f t="shared" si="32"/>
        <v>-1</v>
      </c>
      <c r="E1924" s="26" t="s">
        <v>34</v>
      </c>
      <c r="F1924" s="26" t="s">
        <v>7351</v>
      </c>
      <c r="G1924" s="26" t="s">
        <v>7400</v>
      </c>
      <c r="H1924" s="26" t="s">
        <v>37</v>
      </c>
      <c r="I1924" s="26" t="s">
        <v>38</v>
      </c>
      <c r="J1924" s="26" t="s">
        <v>7379</v>
      </c>
      <c r="K1924" s="26" t="s">
        <v>7380</v>
      </c>
      <c r="L1924" s="26">
        <v>0</v>
      </c>
      <c r="M1924" s="26">
        <v>0</v>
      </c>
      <c r="N1924" s="26">
        <v>0</v>
      </c>
      <c r="O1924" s="26">
        <v>4622279</v>
      </c>
      <c r="P1924" s="26" t="s">
        <v>41</v>
      </c>
      <c r="Q1924" s="26" t="s">
        <v>42</v>
      </c>
      <c r="R1924" s="25"/>
      <c r="S1924" s="25"/>
      <c r="T1924" s="25"/>
      <c r="U1924" s="24"/>
      <c r="V1924" s="26" t="s">
        <v>43</v>
      </c>
      <c r="W1924" s="25"/>
      <c r="X1924" s="25"/>
    </row>
    <row r="1925" spans="1:24" ht="18.75">
      <c r="A1925" s="26" t="s">
        <v>31</v>
      </c>
      <c r="B1925" s="26" t="s">
        <v>7401</v>
      </c>
      <c r="C1925" s="26" t="s">
        <v>7402</v>
      </c>
      <c r="D1925" s="26">
        <f t="shared" si="32"/>
        <v>-1</v>
      </c>
      <c r="E1925" s="26" t="s">
        <v>34</v>
      </c>
      <c r="F1925" s="26" t="s">
        <v>7351</v>
      </c>
      <c r="G1925" s="26" t="s">
        <v>7403</v>
      </c>
      <c r="H1925" s="26" t="s">
        <v>37</v>
      </c>
      <c r="I1925" s="26" t="s">
        <v>38</v>
      </c>
      <c r="J1925" s="26" t="s">
        <v>2624</v>
      </c>
      <c r="K1925" s="26" t="s">
        <v>2625</v>
      </c>
      <c r="L1925" s="26">
        <v>513000</v>
      </c>
      <c r="M1925" s="26">
        <v>0</v>
      </c>
      <c r="N1925" s="26">
        <v>0</v>
      </c>
      <c r="O1925" s="26">
        <v>3213000</v>
      </c>
      <c r="P1925" s="26" t="s">
        <v>41</v>
      </c>
      <c r="Q1925" s="26" t="s">
        <v>42</v>
      </c>
      <c r="R1925" s="25"/>
      <c r="S1925" s="25"/>
      <c r="T1925" s="25"/>
      <c r="U1925" s="24"/>
      <c r="V1925" s="26" t="s">
        <v>43</v>
      </c>
      <c r="W1925" s="25"/>
      <c r="X1925" s="25"/>
    </row>
    <row r="1926" spans="1:24" ht="18.75">
      <c r="A1926" s="26" t="s">
        <v>31</v>
      </c>
      <c r="B1926" s="26" t="s">
        <v>7404</v>
      </c>
      <c r="C1926" s="26" t="s">
        <v>7405</v>
      </c>
      <c r="D1926" s="26">
        <f t="shared" si="32"/>
        <v>-1</v>
      </c>
      <c r="E1926" s="26" t="s">
        <v>34</v>
      </c>
      <c r="F1926" s="26" t="s">
        <v>7351</v>
      </c>
      <c r="G1926" s="26" t="s">
        <v>7406</v>
      </c>
      <c r="H1926" s="26" t="s">
        <v>37</v>
      </c>
      <c r="I1926" s="26" t="s">
        <v>38</v>
      </c>
      <c r="J1926" s="26" t="s">
        <v>3406</v>
      </c>
      <c r="K1926" s="26" t="s">
        <v>3407</v>
      </c>
      <c r="L1926" s="26">
        <v>755636.46</v>
      </c>
      <c r="M1926" s="26">
        <v>0</v>
      </c>
      <c r="N1926" s="26">
        <v>0</v>
      </c>
      <c r="O1926" s="26">
        <v>4732670.46</v>
      </c>
      <c r="P1926" s="26" t="s">
        <v>41</v>
      </c>
      <c r="Q1926" s="26" t="s">
        <v>42</v>
      </c>
      <c r="R1926" s="25"/>
      <c r="S1926" s="25"/>
      <c r="T1926" s="25"/>
      <c r="U1926" s="24"/>
      <c r="V1926" s="26" t="s">
        <v>43</v>
      </c>
      <c r="W1926" s="25"/>
      <c r="X1926" s="25"/>
    </row>
    <row r="1927" spans="1:24" ht="18.75">
      <c r="A1927" s="26" t="s">
        <v>31</v>
      </c>
      <c r="B1927" s="26" t="s">
        <v>7407</v>
      </c>
      <c r="C1927" s="26" t="s">
        <v>7408</v>
      </c>
      <c r="D1927" s="26">
        <f t="shared" si="32"/>
        <v>-1</v>
      </c>
      <c r="E1927" s="26" t="s">
        <v>34</v>
      </c>
      <c r="F1927" s="26" t="s">
        <v>7351</v>
      </c>
      <c r="G1927" s="26" t="s">
        <v>7409</v>
      </c>
      <c r="H1927" s="26" t="s">
        <v>37</v>
      </c>
      <c r="I1927" s="26" t="s">
        <v>38</v>
      </c>
      <c r="J1927" s="26" t="s">
        <v>7410</v>
      </c>
      <c r="K1927" s="26" t="s">
        <v>7411</v>
      </c>
      <c r="L1927" s="26">
        <v>26111.32</v>
      </c>
      <c r="M1927" s="26">
        <v>0</v>
      </c>
      <c r="N1927" s="26">
        <v>0</v>
      </c>
      <c r="O1927" s="26">
        <v>163539.32</v>
      </c>
      <c r="P1927" s="26" t="s">
        <v>41</v>
      </c>
      <c r="Q1927" s="26" t="s">
        <v>42</v>
      </c>
      <c r="R1927" s="25"/>
      <c r="S1927" s="25"/>
      <c r="T1927" s="25"/>
      <c r="U1927" s="24"/>
      <c r="V1927" s="26" t="s">
        <v>43</v>
      </c>
      <c r="W1927" s="25"/>
      <c r="X1927" s="25"/>
    </row>
    <row r="1928" spans="1:24" ht="18.75">
      <c r="A1928" s="26" t="s">
        <v>31</v>
      </c>
      <c r="B1928" s="26" t="s">
        <v>7412</v>
      </c>
      <c r="C1928" s="26" t="s">
        <v>7413</v>
      </c>
      <c r="D1928" s="26">
        <f t="shared" si="32"/>
        <v>-1</v>
      </c>
      <c r="E1928" s="26" t="s">
        <v>34</v>
      </c>
      <c r="F1928" s="26" t="s">
        <v>7351</v>
      </c>
      <c r="G1928" s="26" t="s">
        <v>7414</v>
      </c>
      <c r="H1928" s="26" t="s">
        <v>37</v>
      </c>
      <c r="I1928" s="26" t="s">
        <v>38</v>
      </c>
      <c r="J1928" s="26" t="s">
        <v>7415</v>
      </c>
      <c r="K1928" s="26" t="s">
        <v>7416</v>
      </c>
      <c r="L1928" s="26">
        <v>237734.73</v>
      </c>
      <c r="M1928" s="26">
        <v>0</v>
      </c>
      <c r="N1928" s="26">
        <v>0</v>
      </c>
      <c r="O1928" s="26">
        <v>1648691.73</v>
      </c>
      <c r="P1928" s="26" t="s">
        <v>41</v>
      </c>
      <c r="Q1928" s="26" t="s">
        <v>42</v>
      </c>
      <c r="R1928" s="25"/>
      <c r="S1928" s="25"/>
      <c r="T1928" s="25"/>
      <c r="U1928" s="24"/>
      <c r="V1928" s="26" t="s">
        <v>43</v>
      </c>
      <c r="W1928" s="25"/>
      <c r="X1928" s="25"/>
    </row>
    <row r="1929" spans="1:24" ht="18.75">
      <c r="A1929" s="26" t="s">
        <v>31</v>
      </c>
      <c r="B1929" s="26" t="s">
        <v>7417</v>
      </c>
      <c r="C1929" s="26" t="s">
        <v>7418</v>
      </c>
      <c r="D1929" s="26">
        <f t="shared" si="32"/>
        <v>-1</v>
      </c>
      <c r="E1929" s="26" t="s">
        <v>34</v>
      </c>
      <c r="F1929" s="26" t="s">
        <v>7351</v>
      </c>
      <c r="G1929" s="26" t="s">
        <v>7419</v>
      </c>
      <c r="H1929" s="26" t="s">
        <v>37</v>
      </c>
      <c r="I1929" s="26" t="s">
        <v>38</v>
      </c>
      <c r="J1929" s="26" t="s">
        <v>3100</v>
      </c>
      <c r="K1929" s="26" t="s">
        <v>3101</v>
      </c>
      <c r="L1929" s="26">
        <v>568856.19999999995</v>
      </c>
      <c r="M1929" s="26">
        <v>0</v>
      </c>
      <c r="N1929" s="26">
        <v>0</v>
      </c>
      <c r="O1929" s="26">
        <v>3562836.2</v>
      </c>
      <c r="P1929" s="26" t="s">
        <v>41</v>
      </c>
      <c r="Q1929" s="26" t="s">
        <v>42</v>
      </c>
      <c r="R1929" s="25"/>
      <c r="S1929" s="25"/>
      <c r="T1929" s="25"/>
      <c r="U1929" s="24"/>
      <c r="V1929" s="26" t="s">
        <v>43</v>
      </c>
      <c r="W1929" s="25"/>
      <c r="X1929" s="25"/>
    </row>
    <row r="1930" spans="1:24" ht="18.75">
      <c r="A1930" s="26" t="s">
        <v>31</v>
      </c>
      <c r="B1930" s="26" t="s">
        <v>7420</v>
      </c>
      <c r="C1930" s="26" t="s">
        <v>7421</v>
      </c>
      <c r="D1930" s="26">
        <f t="shared" si="32"/>
        <v>-1</v>
      </c>
      <c r="E1930" s="26" t="s">
        <v>34</v>
      </c>
      <c r="F1930" s="26" t="s">
        <v>7351</v>
      </c>
      <c r="G1930" s="26" t="s">
        <v>7422</v>
      </c>
      <c r="H1930" s="26" t="s">
        <v>37</v>
      </c>
      <c r="I1930" s="26" t="s">
        <v>38</v>
      </c>
      <c r="J1930" s="26" t="s">
        <v>7423</v>
      </c>
      <c r="K1930" s="26" t="s">
        <v>7424</v>
      </c>
      <c r="L1930" s="26">
        <v>0</v>
      </c>
      <c r="M1930" s="26">
        <v>0</v>
      </c>
      <c r="N1930" s="26">
        <v>0</v>
      </c>
      <c r="O1930" s="26">
        <v>4487840</v>
      </c>
      <c r="P1930" s="26" t="s">
        <v>41</v>
      </c>
      <c r="Q1930" s="26" t="s">
        <v>42</v>
      </c>
      <c r="R1930" s="25"/>
      <c r="S1930" s="25"/>
      <c r="T1930" s="25"/>
      <c r="U1930" s="24"/>
      <c r="V1930" s="26" t="s">
        <v>43</v>
      </c>
      <c r="W1930" s="25"/>
      <c r="X1930" s="25"/>
    </row>
    <row r="1931" spans="1:24" ht="18.75">
      <c r="A1931" s="26" t="s">
        <v>31</v>
      </c>
      <c r="B1931" s="26" t="s">
        <v>7425</v>
      </c>
      <c r="C1931" s="26" t="s">
        <v>7426</v>
      </c>
      <c r="D1931" s="26">
        <f t="shared" si="32"/>
        <v>-1</v>
      </c>
      <c r="E1931" s="26" t="s">
        <v>34</v>
      </c>
      <c r="F1931" s="26" t="s">
        <v>7351</v>
      </c>
      <c r="G1931" s="26" t="s">
        <v>7427</v>
      </c>
      <c r="H1931" s="26" t="s">
        <v>37</v>
      </c>
      <c r="I1931" s="26" t="s">
        <v>38</v>
      </c>
      <c r="J1931" s="26" t="s">
        <v>7428</v>
      </c>
      <c r="K1931" s="26" t="s">
        <v>7429</v>
      </c>
      <c r="L1931" s="26">
        <v>0</v>
      </c>
      <c r="M1931" s="26">
        <v>0</v>
      </c>
      <c r="N1931" s="26">
        <v>0</v>
      </c>
      <c r="O1931" s="26">
        <v>4588360</v>
      </c>
      <c r="P1931" s="26" t="s">
        <v>41</v>
      </c>
      <c r="Q1931" s="26" t="s">
        <v>42</v>
      </c>
      <c r="R1931" s="25"/>
      <c r="S1931" s="25"/>
      <c r="T1931" s="25"/>
      <c r="U1931" s="24"/>
      <c r="V1931" s="26" t="s">
        <v>43</v>
      </c>
      <c r="W1931" s="25"/>
      <c r="X1931" s="25"/>
    </row>
    <row r="1932" spans="1:24" ht="18.75">
      <c r="A1932" s="26" t="s">
        <v>31</v>
      </c>
      <c r="B1932" s="26" t="s">
        <v>7430</v>
      </c>
      <c r="C1932" s="26" t="s">
        <v>7431</v>
      </c>
      <c r="D1932" s="26">
        <f t="shared" si="32"/>
        <v>-1</v>
      </c>
      <c r="E1932" s="26" t="s">
        <v>34</v>
      </c>
      <c r="F1932" s="26" t="s">
        <v>7351</v>
      </c>
      <c r="G1932" s="26" t="s">
        <v>7432</v>
      </c>
      <c r="H1932" s="26" t="s">
        <v>37</v>
      </c>
      <c r="I1932" s="26" t="s">
        <v>38</v>
      </c>
      <c r="J1932" s="26" t="s">
        <v>7423</v>
      </c>
      <c r="K1932" s="26" t="s">
        <v>7424</v>
      </c>
      <c r="L1932" s="26">
        <v>0</v>
      </c>
      <c r="M1932" s="26">
        <v>0</v>
      </c>
      <c r="N1932" s="26">
        <v>0</v>
      </c>
      <c r="O1932" s="26">
        <v>927677</v>
      </c>
      <c r="P1932" s="26" t="s">
        <v>41</v>
      </c>
      <c r="Q1932" s="26" t="s">
        <v>42</v>
      </c>
      <c r="R1932" s="24"/>
      <c r="S1932" s="24"/>
      <c r="T1932" s="24"/>
      <c r="U1932" s="24"/>
      <c r="V1932" s="26" t="s">
        <v>43</v>
      </c>
      <c r="W1932" s="24"/>
      <c r="X1932" s="25"/>
    </row>
    <row r="1933" spans="1:24" ht="18.75">
      <c r="A1933" s="26" t="s">
        <v>31</v>
      </c>
      <c r="B1933" s="26" t="s">
        <v>7433</v>
      </c>
      <c r="C1933" s="26" t="s">
        <v>7434</v>
      </c>
      <c r="D1933" s="26">
        <f t="shared" si="32"/>
        <v>-1</v>
      </c>
      <c r="E1933" s="26" t="s">
        <v>34</v>
      </c>
      <c r="F1933" s="26" t="s">
        <v>7351</v>
      </c>
      <c r="G1933" s="26" t="s">
        <v>7435</v>
      </c>
      <c r="H1933" s="26" t="s">
        <v>37</v>
      </c>
      <c r="I1933" s="26" t="s">
        <v>38</v>
      </c>
      <c r="J1933" s="26" t="s">
        <v>7423</v>
      </c>
      <c r="K1933" s="26" t="s">
        <v>7424</v>
      </c>
      <c r="L1933" s="26">
        <v>404584.67</v>
      </c>
      <c r="M1933" s="26">
        <v>0</v>
      </c>
      <c r="N1933" s="26">
        <v>0</v>
      </c>
      <c r="O1933" s="26">
        <v>2533977.67</v>
      </c>
      <c r="P1933" s="26" t="s">
        <v>41</v>
      </c>
      <c r="Q1933" s="26" t="s">
        <v>42</v>
      </c>
      <c r="R1933" s="25"/>
      <c r="S1933" s="25"/>
      <c r="T1933" s="25"/>
      <c r="U1933" s="25"/>
      <c r="V1933" s="26" t="s">
        <v>43</v>
      </c>
      <c r="W1933" s="24"/>
      <c r="X1933" s="25"/>
    </row>
    <row r="1934" spans="1:24" ht="18.75">
      <c r="A1934" s="26" t="s">
        <v>31</v>
      </c>
      <c r="B1934" s="26" t="s">
        <v>7436</v>
      </c>
      <c r="C1934" s="26" t="s">
        <v>7437</v>
      </c>
      <c r="D1934" s="26">
        <f t="shared" si="32"/>
        <v>-1</v>
      </c>
      <c r="E1934" s="26" t="s">
        <v>34</v>
      </c>
      <c r="F1934" s="26" t="s">
        <v>7351</v>
      </c>
      <c r="G1934" s="26" t="s">
        <v>7438</v>
      </c>
      <c r="H1934" s="26" t="s">
        <v>37</v>
      </c>
      <c r="I1934" s="26" t="s">
        <v>38</v>
      </c>
      <c r="J1934" s="26" t="s">
        <v>7439</v>
      </c>
      <c r="K1934" s="26" t="s">
        <v>7440</v>
      </c>
      <c r="L1934" s="26">
        <v>27360</v>
      </c>
      <c r="M1934" s="26">
        <v>0</v>
      </c>
      <c r="N1934" s="26">
        <v>0</v>
      </c>
      <c r="O1934" s="26">
        <v>171360</v>
      </c>
      <c r="P1934" s="26" t="s">
        <v>41</v>
      </c>
      <c r="Q1934" s="26" t="s">
        <v>42</v>
      </c>
      <c r="R1934" s="24"/>
      <c r="S1934" s="25"/>
      <c r="T1934" s="24"/>
      <c r="U1934" s="24"/>
      <c r="V1934" s="26" t="s">
        <v>43</v>
      </c>
      <c r="W1934" s="24"/>
      <c r="X1934" s="25"/>
    </row>
    <row r="1935" spans="1:24" ht="18.75">
      <c r="A1935" s="26" t="s">
        <v>31</v>
      </c>
      <c r="B1935" s="26" t="s">
        <v>7441</v>
      </c>
      <c r="C1935" s="26" t="s">
        <v>7442</v>
      </c>
      <c r="D1935" s="26">
        <f t="shared" si="32"/>
        <v>-1</v>
      </c>
      <c r="E1935" s="26" t="s">
        <v>34</v>
      </c>
      <c r="F1935" s="26" t="s">
        <v>7351</v>
      </c>
      <c r="G1935" s="26" t="s">
        <v>7443</v>
      </c>
      <c r="H1935" s="26" t="s">
        <v>37</v>
      </c>
      <c r="I1935" s="26" t="s">
        <v>38</v>
      </c>
      <c r="J1935" s="26" t="s">
        <v>1105</v>
      </c>
      <c r="K1935" s="26" t="s">
        <v>1106</v>
      </c>
      <c r="L1935" s="26">
        <v>35910</v>
      </c>
      <c r="M1935" s="26">
        <v>0</v>
      </c>
      <c r="N1935" s="26">
        <v>0</v>
      </c>
      <c r="O1935" s="26">
        <v>224910</v>
      </c>
      <c r="P1935" s="26" t="s">
        <v>41</v>
      </c>
      <c r="Q1935" s="26" t="s">
        <v>42</v>
      </c>
      <c r="R1935" s="25"/>
      <c r="S1935" s="25"/>
      <c r="T1935" s="25"/>
      <c r="U1935" s="25"/>
      <c r="V1935" s="26" t="s">
        <v>43</v>
      </c>
      <c r="W1935" s="24"/>
      <c r="X1935" s="25"/>
    </row>
    <row r="1936" spans="1:24" ht="18.75">
      <c r="A1936" s="26" t="s">
        <v>31</v>
      </c>
      <c r="B1936" s="26" t="s">
        <v>7444</v>
      </c>
      <c r="C1936" s="26" t="s">
        <v>7445</v>
      </c>
      <c r="D1936" s="26">
        <f t="shared" si="32"/>
        <v>-1</v>
      </c>
      <c r="E1936" s="26" t="s">
        <v>34</v>
      </c>
      <c r="F1936" s="26" t="s">
        <v>7351</v>
      </c>
      <c r="G1936" s="26" t="s">
        <v>7446</v>
      </c>
      <c r="H1936" s="26" t="s">
        <v>37</v>
      </c>
      <c r="I1936" s="26" t="s">
        <v>38</v>
      </c>
      <c r="J1936" s="26" t="s">
        <v>2624</v>
      </c>
      <c r="K1936" s="26" t="s">
        <v>2625</v>
      </c>
      <c r="L1936" s="26">
        <v>418000</v>
      </c>
      <c r="M1936" s="26">
        <v>0</v>
      </c>
      <c r="N1936" s="26">
        <v>0</v>
      </c>
      <c r="O1936" s="26">
        <v>2618000</v>
      </c>
      <c r="P1936" s="26" t="s">
        <v>41</v>
      </c>
      <c r="Q1936" s="26" t="s">
        <v>42</v>
      </c>
      <c r="R1936" s="25"/>
      <c r="S1936" s="25"/>
      <c r="T1936" s="25"/>
      <c r="U1936" s="25"/>
      <c r="V1936" s="26" t="s">
        <v>43</v>
      </c>
      <c r="W1936" s="24"/>
      <c r="X1936" s="25"/>
    </row>
    <row r="1937" spans="1:24" ht="18.75">
      <c r="A1937" s="35" t="s">
        <v>31</v>
      </c>
      <c r="B1937" s="35" t="s">
        <v>7447</v>
      </c>
      <c r="C1937" s="35" t="s">
        <v>7448</v>
      </c>
      <c r="D1937" s="35">
        <f t="shared" si="32"/>
        <v>-1</v>
      </c>
      <c r="E1937" s="35" t="s">
        <v>34</v>
      </c>
      <c r="F1937" s="35" t="s">
        <v>7351</v>
      </c>
      <c r="G1937" s="35" t="s">
        <v>7449</v>
      </c>
      <c r="H1937" s="35" t="s">
        <v>37</v>
      </c>
      <c r="I1937" s="35" t="s">
        <v>38</v>
      </c>
      <c r="J1937" s="35" t="s">
        <v>499</v>
      </c>
      <c r="K1937" s="35" t="s">
        <v>500</v>
      </c>
      <c r="L1937" s="35">
        <v>351500</v>
      </c>
      <c r="M1937" s="35">
        <v>0</v>
      </c>
      <c r="N1937" s="35">
        <v>0</v>
      </c>
      <c r="O1937" s="35">
        <v>2201500</v>
      </c>
      <c r="P1937" s="35" t="s">
        <v>41</v>
      </c>
      <c r="Q1937" s="35" t="s">
        <v>42</v>
      </c>
      <c r="R1937" s="25"/>
      <c r="S1937" s="25"/>
      <c r="T1937" s="25"/>
      <c r="U1937" s="25"/>
      <c r="V1937" s="26"/>
      <c r="W1937" s="24" t="s">
        <v>43</v>
      </c>
      <c r="X1937" s="25" t="s">
        <v>501</v>
      </c>
    </row>
    <row r="1938" spans="1:24" ht="18.75">
      <c r="A1938" s="35" t="s">
        <v>31</v>
      </c>
      <c r="B1938" s="35" t="s">
        <v>7450</v>
      </c>
      <c r="C1938" s="35" t="s">
        <v>7451</v>
      </c>
      <c r="D1938" s="35">
        <f t="shared" si="32"/>
        <v>-1</v>
      </c>
      <c r="E1938" s="35" t="s">
        <v>34</v>
      </c>
      <c r="F1938" s="35" t="s">
        <v>7351</v>
      </c>
      <c r="G1938" s="35" t="s">
        <v>7452</v>
      </c>
      <c r="H1938" s="35" t="s">
        <v>37</v>
      </c>
      <c r="I1938" s="35" t="s">
        <v>38</v>
      </c>
      <c r="J1938" s="35" t="s">
        <v>499</v>
      </c>
      <c r="K1938" s="35" t="s">
        <v>500</v>
      </c>
      <c r="L1938" s="35">
        <v>756200</v>
      </c>
      <c r="M1938" s="35">
        <v>0</v>
      </c>
      <c r="N1938" s="35">
        <v>0</v>
      </c>
      <c r="O1938" s="35">
        <v>4736200</v>
      </c>
      <c r="P1938" s="35" t="s">
        <v>41</v>
      </c>
      <c r="Q1938" s="35" t="s">
        <v>42</v>
      </c>
      <c r="R1938" s="25"/>
      <c r="S1938" s="25"/>
      <c r="T1938" s="25"/>
      <c r="U1938" s="25"/>
      <c r="V1938" s="26"/>
      <c r="W1938" s="24" t="s">
        <v>43</v>
      </c>
      <c r="X1938" s="25" t="s">
        <v>4516</v>
      </c>
    </row>
    <row r="1939" spans="1:24" ht="18.75">
      <c r="A1939" s="26" t="s">
        <v>31</v>
      </c>
      <c r="B1939" s="26" t="s">
        <v>7453</v>
      </c>
      <c r="C1939" s="26" t="s">
        <v>7454</v>
      </c>
      <c r="D1939" s="26">
        <f t="shared" si="32"/>
        <v>-1</v>
      </c>
      <c r="E1939" s="26" t="s">
        <v>34</v>
      </c>
      <c r="F1939" s="26" t="s">
        <v>7351</v>
      </c>
      <c r="G1939" s="26" t="s">
        <v>7455</v>
      </c>
      <c r="H1939" s="26" t="s">
        <v>37</v>
      </c>
      <c r="I1939" s="26" t="s">
        <v>38</v>
      </c>
      <c r="J1939" s="26" t="s">
        <v>6961</v>
      </c>
      <c r="K1939" s="26" t="s">
        <v>6962</v>
      </c>
      <c r="L1939" s="26">
        <v>2278267.39</v>
      </c>
      <c r="M1939" s="26">
        <v>0</v>
      </c>
      <c r="N1939" s="26">
        <v>0</v>
      </c>
      <c r="O1939" s="26">
        <v>14269148.390000001</v>
      </c>
      <c r="P1939" s="26" t="s">
        <v>41</v>
      </c>
      <c r="Q1939" s="26" t="s">
        <v>42</v>
      </c>
      <c r="R1939" s="24"/>
      <c r="S1939" s="25"/>
      <c r="T1939" s="24"/>
      <c r="U1939" s="24"/>
      <c r="V1939" s="26" t="s">
        <v>43</v>
      </c>
      <c r="W1939" s="24"/>
      <c r="X1939" s="25"/>
    </row>
    <row r="1940" spans="1:24" ht="18.75">
      <c r="A1940" s="26" t="s">
        <v>31</v>
      </c>
      <c r="B1940" s="26" t="s">
        <v>7456</v>
      </c>
      <c r="C1940" s="26" t="s">
        <v>7457</v>
      </c>
      <c r="D1940" s="26">
        <f t="shared" si="32"/>
        <v>-1</v>
      </c>
      <c r="E1940" s="26" t="s">
        <v>34</v>
      </c>
      <c r="F1940" s="26" t="s">
        <v>7458</v>
      </c>
      <c r="G1940" s="26" t="s">
        <v>7459</v>
      </c>
      <c r="H1940" s="26" t="s">
        <v>37</v>
      </c>
      <c r="I1940" s="26" t="s">
        <v>38</v>
      </c>
      <c r="J1940" s="26" t="s">
        <v>4243</v>
      </c>
      <c r="K1940" s="26" t="s">
        <v>4244</v>
      </c>
      <c r="L1940" s="26">
        <v>728545.5</v>
      </c>
      <c r="M1940" s="26">
        <v>0</v>
      </c>
      <c r="N1940" s="26">
        <v>0</v>
      </c>
      <c r="O1940" s="26">
        <v>4562995.5</v>
      </c>
      <c r="P1940" s="26" t="s">
        <v>41</v>
      </c>
      <c r="Q1940" s="26" t="s">
        <v>42</v>
      </c>
      <c r="R1940" s="25"/>
      <c r="S1940" s="25"/>
      <c r="T1940" s="25"/>
      <c r="U1940" s="25"/>
      <c r="V1940" s="26" t="s">
        <v>43</v>
      </c>
      <c r="W1940" s="24"/>
      <c r="X1940" s="25"/>
    </row>
    <row r="1941" spans="1:24" ht="18.75">
      <c r="A1941" s="26" t="s">
        <v>31</v>
      </c>
      <c r="B1941" s="26" t="s">
        <v>7460</v>
      </c>
      <c r="C1941" s="26" t="s">
        <v>7461</v>
      </c>
      <c r="D1941" s="26">
        <f t="shared" si="32"/>
        <v>-1</v>
      </c>
      <c r="E1941" s="26" t="s">
        <v>34</v>
      </c>
      <c r="F1941" s="26" t="s">
        <v>7458</v>
      </c>
      <c r="G1941" s="26" t="s">
        <v>7462</v>
      </c>
      <c r="H1941" s="26" t="s">
        <v>37</v>
      </c>
      <c r="I1941" s="26" t="s">
        <v>38</v>
      </c>
      <c r="J1941" s="26" t="s">
        <v>7463</v>
      </c>
      <c r="K1941" s="26" t="s">
        <v>7464</v>
      </c>
      <c r="L1941" s="26">
        <v>185250</v>
      </c>
      <c r="M1941" s="26">
        <v>0</v>
      </c>
      <c r="N1941" s="26">
        <v>0</v>
      </c>
      <c r="O1941" s="26">
        <v>1160250</v>
      </c>
      <c r="P1941" s="26" t="s">
        <v>41</v>
      </c>
      <c r="Q1941" s="26" t="s">
        <v>42</v>
      </c>
      <c r="R1941" s="25"/>
      <c r="S1941" s="25"/>
      <c r="T1941" s="25"/>
      <c r="U1941" s="25"/>
      <c r="V1941" s="26" t="s">
        <v>43</v>
      </c>
      <c r="W1941" s="24"/>
      <c r="X1941" s="25"/>
    </row>
    <row r="1942" spans="1:24" ht="18.75">
      <c r="A1942" s="26" t="s">
        <v>31</v>
      </c>
      <c r="B1942" s="26" t="s">
        <v>7465</v>
      </c>
      <c r="C1942" s="26" t="s">
        <v>7466</v>
      </c>
      <c r="D1942" s="26">
        <f t="shared" si="32"/>
        <v>-1</v>
      </c>
      <c r="E1942" s="26" t="s">
        <v>34</v>
      </c>
      <c r="F1942" s="26" t="s">
        <v>7458</v>
      </c>
      <c r="G1942" s="26" t="s">
        <v>7467</v>
      </c>
      <c r="H1942" s="26" t="s">
        <v>37</v>
      </c>
      <c r="I1942" s="26" t="s">
        <v>38</v>
      </c>
      <c r="J1942" s="26" t="s">
        <v>7468</v>
      </c>
      <c r="K1942" s="26" t="s">
        <v>7469</v>
      </c>
      <c r="L1942" s="26">
        <v>0</v>
      </c>
      <c r="M1942" s="26">
        <v>0</v>
      </c>
      <c r="N1942" s="26">
        <v>0</v>
      </c>
      <c r="O1942" s="26">
        <v>4342009</v>
      </c>
      <c r="P1942" s="26" t="s">
        <v>41</v>
      </c>
      <c r="Q1942" s="26" t="s">
        <v>42</v>
      </c>
      <c r="R1942" s="25"/>
      <c r="S1942" s="25"/>
      <c r="T1942" s="25"/>
      <c r="U1942" s="25"/>
      <c r="V1942" s="26" t="s">
        <v>43</v>
      </c>
      <c r="W1942" s="24"/>
      <c r="X1942" s="25"/>
    </row>
    <row r="1943" spans="1:24" ht="18.75">
      <c r="A1943" s="26" t="s">
        <v>31</v>
      </c>
      <c r="B1943" s="26" t="s">
        <v>7470</v>
      </c>
      <c r="C1943" s="26" t="s">
        <v>7471</v>
      </c>
      <c r="D1943" s="26">
        <f t="shared" si="32"/>
        <v>-1</v>
      </c>
      <c r="E1943" s="26" t="s">
        <v>34</v>
      </c>
      <c r="F1943" s="26" t="s">
        <v>7458</v>
      </c>
      <c r="G1943" s="26" t="s">
        <v>7472</v>
      </c>
      <c r="H1943" s="26" t="s">
        <v>37</v>
      </c>
      <c r="I1943" s="26" t="s">
        <v>38</v>
      </c>
      <c r="J1943" s="26" t="s">
        <v>7473</v>
      </c>
      <c r="K1943" s="26" t="s">
        <v>7474</v>
      </c>
      <c r="L1943" s="26">
        <v>295149.52</v>
      </c>
      <c r="M1943" s="26">
        <v>0</v>
      </c>
      <c r="N1943" s="26">
        <v>0</v>
      </c>
      <c r="O1943" s="26">
        <v>2375557.52</v>
      </c>
      <c r="P1943" s="26" t="s">
        <v>41</v>
      </c>
      <c r="Q1943" s="26" t="s">
        <v>42</v>
      </c>
      <c r="R1943" s="25"/>
      <c r="S1943" s="25"/>
      <c r="T1943" s="25"/>
      <c r="U1943" s="25"/>
      <c r="V1943" s="26" t="s">
        <v>43</v>
      </c>
      <c r="W1943" s="24"/>
      <c r="X1943" s="25"/>
    </row>
    <row r="1944" spans="1:24" ht="18.75">
      <c r="A1944" s="26" t="s">
        <v>31</v>
      </c>
      <c r="B1944" s="26" t="s">
        <v>7475</v>
      </c>
      <c r="C1944" s="26" t="s">
        <v>7476</v>
      </c>
      <c r="D1944" s="26">
        <f t="shared" si="32"/>
        <v>-1</v>
      </c>
      <c r="E1944" s="26" t="s">
        <v>34</v>
      </c>
      <c r="F1944" s="26" t="s">
        <v>7458</v>
      </c>
      <c r="G1944" s="26" t="s">
        <v>7477</v>
      </c>
      <c r="H1944" s="26" t="s">
        <v>37</v>
      </c>
      <c r="I1944" s="26" t="s">
        <v>38</v>
      </c>
      <c r="J1944" s="26" t="s">
        <v>1698</v>
      </c>
      <c r="K1944" s="26" t="s">
        <v>1699</v>
      </c>
      <c r="L1944" s="26">
        <v>38000</v>
      </c>
      <c r="M1944" s="26">
        <v>0</v>
      </c>
      <c r="N1944" s="26">
        <v>0</v>
      </c>
      <c r="O1944" s="26">
        <v>238000</v>
      </c>
      <c r="P1944" s="26" t="s">
        <v>41</v>
      </c>
      <c r="Q1944" s="26" t="s">
        <v>42</v>
      </c>
      <c r="R1944" s="25"/>
      <c r="S1944" s="25"/>
      <c r="T1944" s="25"/>
      <c r="U1944" s="25"/>
      <c r="V1944" s="26" t="s">
        <v>43</v>
      </c>
      <c r="W1944" s="24"/>
      <c r="X1944" s="25"/>
    </row>
    <row r="1945" spans="1:24" ht="18.75">
      <c r="A1945" s="26" t="s">
        <v>31</v>
      </c>
      <c r="B1945" s="26" t="s">
        <v>7478</v>
      </c>
      <c r="C1945" s="26" t="s">
        <v>7479</v>
      </c>
      <c r="D1945" s="26">
        <f t="shared" si="32"/>
        <v>-1</v>
      </c>
      <c r="E1945" s="26" t="s">
        <v>34</v>
      </c>
      <c r="F1945" s="26" t="s">
        <v>7458</v>
      </c>
      <c r="G1945" s="26" t="s">
        <v>7480</v>
      </c>
      <c r="H1945" s="26" t="s">
        <v>37</v>
      </c>
      <c r="I1945" s="26" t="s">
        <v>38</v>
      </c>
      <c r="J1945" s="26" t="s">
        <v>1698</v>
      </c>
      <c r="K1945" s="26" t="s">
        <v>1699</v>
      </c>
      <c r="L1945" s="26">
        <v>73978.59</v>
      </c>
      <c r="M1945" s="26">
        <v>0</v>
      </c>
      <c r="N1945" s="26">
        <v>0</v>
      </c>
      <c r="O1945" s="26">
        <v>463339.59</v>
      </c>
      <c r="P1945" s="26" t="s">
        <v>41</v>
      </c>
      <c r="Q1945" s="26" t="s">
        <v>42</v>
      </c>
      <c r="R1945" s="25"/>
      <c r="S1945" s="25"/>
      <c r="T1945" s="25"/>
      <c r="U1945" s="25"/>
      <c r="V1945" s="26" t="s">
        <v>43</v>
      </c>
      <c r="W1945" s="24"/>
      <c r="X1945" s="25"/>
    </row>
    <row r="1946" spans="1:24" ht="18.75">
      <c r="A1946" s="26" t="s">
        <v>31</v>
      </c>
      <c r="B1946" s="26" t="s">
        <v>7481</v>
      </c>
      <c r="C1946" s="26" t="s">
        <v>7482</v>
      </c>
      <c r="D1946" s="26">
        <f t="shared" si="32"/>
        <v>-1</v>
      </c>
      <c r="E1946" s="26" t="s">
        <v>34</v>
      </c>
      <c r="F1946" s="26" t="s">
        <v>7458</v>
      </c>
      <c r="G1946" s="26" t="s">
        <v>7483</v>
      </c>
      <c r="H1946" s="26" t="s">
        <v>37</v>
      </c>
      <c r="I1946" s="26" t="s">
        <v>38</v>
      </c>
      <c r="J1946" s="26" t="s">
        <v>4044</v>
      </c>
      <c r="K1946" s="26" t="s">
        <v>4045</v>
      </c>
      <c r="L1946" s="26">
        <v>102970.22</v>
      </c>
      <c r="M1946" s="26">
        <v>0</v>
      </c>
      <c r="N1946" s="26">
        <v>0</v>
      </c>
      <c r="O1946" s="26">
        <v>806838.22</v>
      </c>
      <c r="P1946" s="26" t="s">
        <v>41</v>
      </c>
      <c r="Q1946" s="26" t="s">
        <v>42</v>
      </c>
      <c r="R1946" s="25"/>
      <c r="S1946" s="25"/>
      <c r="T1946" s="25"/>
      <c r="U1946" s="25"/>
      <c r="V1946" s="26" t="s">
        <v>43</v>
      </c>
      <c r="W1946" s="24"/>
      <c r="X1946" s="25"/>
    </row>
    <row r="1947" spans="1:24" ht="18.75">
      <c r="A1947" s="26" t="s">
        <v>31</v>
      </c>
      <c r="B1947" s="26" t="s">
        <v>7484</v>
      </c>
      <c r="C1947" s="26" t="s">
        <v>7485</v>
      </c>
      <c r="D1947" s="26">
        <f t="shared" si="32"/>
        <v>-1</v>
      </c>
      <c r="E1947" s="26" t="s">
        <v>34</v>
      </c>
      <c r="F1947" s="26" t="s">
        <v>7458</v>
      </c>
      <c r="G1947" s="26" t="s">
        <v>7486</v>
      </c>
      <c r="H1947" s="26" t="s">
        <v>37</v>
      </c>
      <c r="I1947" s="26" t="s">
        <v>38</v>
      </c>
      <c r="J1947" s="26" t="s">
        <v>7487</v>
      </c>
      <c r="K1947" s="26" t="s">
        <v>7488</v>
      </c>
      <c r="L1947" s="26">
        <v>312911</v>
      </c>
      <c r="M1947" s="26">
        <v>0</v>
      </c>
      <c r="N1947" s="26">
        <v>0</v>
      </c>
      <c r="O1947" s="26">
        <v>1959811</v>
      </c>
      <c r="P1947" s="26" t="s">
        <v>41</v>
      </c>
      <c r="Q1947" s="26" t="s">
        <v>42</v>
      </c>
      <c r="R1947" s="25"/>
      <c r="S1947" s="25"/>
      <c r="T1947" s="25"/>
      <c r="U1947" s="25"/>
      <c r="V1947" s="26" t="s">
        <v>43</v>
      </c>
      <c r="W1947" s="24"/>
      <c r="X1947" s="25"/>
    </row>
    <row r="1948" spans="1:24" ht="18.75">
      <c r="A1948" s="26" t="s">
        <v>31</v>
      </c>
      <c r="B1948" s="26" t="s">
        <v>7489</v>
      </c>
      <c r="C1948" s="26" t="s">
        <v>7490</v>
      </c>
      <c r="D1948" s="26">
        <f t="shared" si="32"/>
        <v>-1</v>
      </c>
      <c r="E1948" s="26" t="s">
        <v>34</v>
      </c>
      <c r="F1948" s="26" t="s">
        <v>7458</v>
      </c>
      <c r="G1948" s="26" t="s">
        <v>7491</v>
      </c>
      <c r="H1948" s="26" t="s">
        <v>37</v>
      </c>
      <c r="I1948" s="26" t="s">
        <v>38</v>
      </c>
      <c r="J1948" s="26" t="s">
        <v>7492</v>
      </c>
      <c r="K1948" s="26" t="s">
        <v>7493</v>
      </c>
      <c r="L1948" s="26">
        <v>0</v>
      </c>
      <c r="M1948" s="26">
        <v>0</v>
      </c>
      <c r="N1948" s="26">
        <v>0</v>
      </c>
      <c r="O1948" s="26">
        <v>1742700</v>
      </c>
      <c r="P1948" s="26" t="s">
        <v>41</v>
      </c>
      <c r="Q1948" s="26" t="s">
        <v>42</v>
      </c>
      <c r="R1948" s="25"/>
      <c r="S1948" s="25"/>
      <c r="T1948" s="25"/>
      <c r="U1948" s="25"/>
      <c r="V1948" s="26" t="s">
        <v>43</v>
      </c>
      <c r="W1948" s="24"/>
      <c r="X1948" s="25"/>
    </row>
    <row r="1949" spans="1:24" ht="18.75">
      <c r="A1949" s="26" t="s">
        <v>31</v>
      </c>
      <c r="B1949" s="26" t="s">
        <v>7494</v>
      </c>
      <c r="C1949" s="26" t="s">
        <v>7495</v>
      </c>
      <c r="D1949" s="26">
        <f t="shared" si="32"/>
        <v>-1</v>
      </c>
      <c r="E1949" s="26" t="s">
        <v>34</v>
      </c>
      <c r="F1949" s="26" t="s">
        <v>7458</v>
      </c>
      <c r="G1949" s="26" t="s">
        <v>7496</v>
      </c>
      <c r="H1949" s="26" t="s">
        <v>37</v>
      </c>
      <c r="I1949" s="26" t="s">
        <v>38</v>
      </c>
      <c r="J1949" s="26" t="s">
        <v>5095</v>
      </c>
      <c r="K1949" s="26" t="s">
        <v>5096</v>
      </c>
      <c r="L1949" s="26">
        <v>1994620</v>
      </c>
      <c r="M1949" s="26">
        <v>0</v>
      </c>
      <c r="N1949" s="26">
        <v>0</v>
      </c>
      <c r="O1949" s="26">
        <v>12492620</v>
      </c>
      <c r="P1949" s="26" t="s">
        <v>41</v>
      </c>
      <c r="Q1949" s="26" t="s">
        <v>42</v>
      </c>
      <c r="R1949" s="25"/>
      <c r="S1949" s="25"/>
      <c r="T1949" s="25"/>
      <c r="U1949" s="25"/>
      <c r="V1949" s="26" t="s">
        <v>43</v>
      </c>
      <c r="W1949" s="24"/>
      <c r="X1949" s="25"/>
    </row>
    <row r="1950" spans="1:24" ht="18.75">
      <c r="A1950" s="26" t="s">
        <v>31</v>
      </c>
      <c r="B1950" s="26" t="s">
        <v>7497</v>
      </c>
      <c r="C1950" s="26" t="s">
        <v>7498</v>
      </c>
      <c r="D1950" s="26">
        <f t="shared" si="32"/>
        <v>-1</v>
      </c>
      <c r="E1950" s="26" t="s">
        <v>34</v>
      </c>
      <c r="F1950" s="26" t="s">
        <v>7458</v>
      </c>
      <c r="G1950" s="26" t="s">
        <v>7499</v>
      </c>
      <c r="H1950" s="26" t="s">
        <v>37</v>
      </c>
      <c r="I1950" s="26" t="s">
        <v>38</v>
      </c>
      <c r="J1950" s="26" t="s">
        <v>7500</v>
      </c>
      <c r="K1950" s="26" t="s">
        <v>7501</v>
      </c>
      <c r="L1950" s="26">
        <v>217953.37</v>
      </c>
      <c r="M1950" s="26">
        <v>0</v>
      </c>
      <c r="N1950" s="26">
        <v>0</v>
      </c>
      <c r="O1950" s="26">
        <v>1365076.37</v>
      </c>
      <c r="P1950" s="26" t="s">
        <v>41</v>
      </c>
      <c r="Q1950" s="26" t="s">
        <v>42</v>
      </c>
      <c r="R1950" s="25"/>
      <c r="S1950" s="25"/>
      <c r="T1950" s="25"/>
      <c r="U1950" s="25"/>
      <c r="V1950" s="26" t="s">
        <v>43</v>
      </c>
      <c r="W1950" s="24"/>
      <c r="X1950" s="25"/>
    </row>
    <row r="1951" spans="1:24" ht="18.75">
      <c r="A1951" s="35" t="s">
        <v>31</v>
      </c>
      <c r="B1951" s="35" t="s">
        <v>7502</v>
      </c>
      <c r="C1951" s="35" t="s">
        <v>7503</v>
      </c>
      <c r="D1951" s="35">
        <f t="shared" si="32"/>
        <v>-1</v>
      </c>
      <c r="E1951" s="35" t="s">
        <v>34</v>
      </c>
      <c r="F1951" s="35" t="s">
        <v>7458</v>
      </c>
      <c r="G1951" s="35" t="s">
        <v>7504</v>
      </c>
      <c r="H1951" s="35" t="s">
        <v>37</v>
      </c>
      <c r="I1951" s="35" t="s">
        <v>38</v>
      </c>
      <c r="J1951" s="35" t="s">
        <v>7117</v>
      </c>
      <c r="K1951" s="35" t="s">
        <v>7118</v>
      </c>
      <c r="L1951" s="35">
        <v>858452.87</v>
      </c>
      <c r="M1951" s="35">
        <v>0</v>
      </c>
      <c r="N1951" s="35">
        <v>0</v>
      </c>
      <c r="O1951" s="35">
        <v>5376625.8700000001</v>
      </c>
      <c r="P1951" s="35" t="s">
        <v>41</v>
      </c>
      <c r="Q1951" s="35" t="s">
        <v>42</v>
      </c>
      <c r="R1951" s="25"/>
      <c r="S1951" s="25"/>
      <c r="T1951" s="25"/>
      <c r="U1951" s="25"/>
      <c r="V1951" s="26"/>
      <c r="W1951" s="24" t="s">
        <v>43</v>
      </c>
      <c r="X1951" s="25" t="s">
        <v>7505</v>
      </c>
    </row>
    <row r="1952" spans="1:24" ht="18.75">
      <c r="A1952" s="26" t="s">
        <v>31</v>
      </c>
      <c r="B1952" s="26" t="s">
        <v>7506</v>
      </c>
      <c r="C1952" s="26" t="s">
        <v>7507</v>
      </c>
      <c r="D1952" s="26">
        <f t="shared" si="32"/>
        <v>-1</v>
      </c>
      <c r="E1952" s="26" t="s">
        <v>34</v>
      </c>
      <c r="F1952" s="26" t="s">
        <v>7458</v>
      </c>
      <c r="G1952" s="26" t="s">
        <v>7508</v>
      </c>
      <c r="H1952" s="26" t="s">
        <v>37</v>
      </c>
      <c r="I1952" s="26" t="s">
        <v>38</v>
      </c>
      <c r="J1952" s="26" t="s">
        <v>1597</v>
      </c>
      <c r="K1952" s="26" t="s">
        <v>1598</v>
      </c>
      <c r="L1952" s="26">
        <v>0</v>
      </c>
      <c r="M1952" s="26">
        <v>0</v>
      </c>
      <c r="N1952" s="26">
        <v>0</v>
      </c>
      <c r="O1952" s="26">
        <v>2325000</v>
      </c>
      <c r="P1952" s="26" t="s">
        <v>41</v>
      </c>
      <c r="Q1952" s="26" t="s">
        <v>42</v>
      </c>
      <c r="R1952" s="25"/>
      <c r="S1952" s="25"/>
      <c r="T1952" s="25"/>
      <c r="U1952" s="25"/>
      <c r="V1952" s="26" t="s">
        <v>43</v>
      </c>
      <c r="W1952" s="24"/>
      <c r="X1952" s="25"/>
    </row>
    <row r="1953" spans="1:24" ht="18.75">
      <c r="A1953" s="26" t="s">
        <v>31</v>
      </c>
      <c r="B1953" s="26" t="s">
        <v>7509</v>
      </c>
      <c r="C1953" s="26" t="s">
        <v>7510</v>
      </c>
      <c r="D1953" s="26">
        <f t="shared" si="32"/>
        <v>-1</v>
      </c>
      <c r="E1953" s="26" t="s">
        <v>34</v>
      </c>
      <c r="F1953" s="26" t="s">
        <v>7458</v>
      </c>
      <c r="G1953" s="26" t="s">
        <v>7511</v>
      </c>
      <c r="H1953" s="26" t="s">
        <v>37</v>
      </c>
      <c r="I1953" s="26" t="s">
        <v>38</v>
      </c>
      <c r="J1953" s="26" t="s">
        <v>7512</v>
      </c>
      <c r="K1953" s="26" t="s">
        <v>7513</v>
      </c>
      <c r="L1953" s="26">
        <v>63840</v>
      </c>
      <c r="M1953" s="26">
        <v>0</v>
      </c>
      <c r="N1953" s="26">
        <v>0</v>
      </c>
      <c r="O1953" s="26">
        <v>399840</v>
      </c>
      <c r="P1953" s="26" t="s">
        <v>41</v>
      </c>
      <c r="Q1953" s="26" t="s">
        <v>42</v>
      </c>
      <c r="R1953" s="25"/>
      <c r="S1953" s="25"/>
      <c r="T1953" s="25"/>
      <c r="U1953" s="25"/>
      <c r="V1953" s="26" t="s">
        <v>43</v>
      </c>
      <c r="W1953" s="24"/>
      <c r="X1953" s="25"/>
    </row>
    <row r="1954" spans="1:24" ht="18.75">
      <c r="A1954" s="26" t="s">
        <v>31</v>
      </c>
      <c r="B1954" s="26" t="s">
        <v>7514</v>
      </c>
      <c r="C1954" s="26" t="s">
        <v>7515</v>
      </c>
      <c r="D1954" s="26">
        <f t="shared" si="32"/>
        <v>-1</v>
      </c>
      <c r="E1954" s="26" t="s">
        <v>34</v>
      </c>
      <c r="F1954" s="26" t="s">
        <v>7458</v>
      </c>
      <c r="G1954" s="26" t="s">
        <v>7516</v>
      </c>
      <c r="H1954" s="26" t="s">
        <v>37</v>
      </c>
      <c r="I1954" s="26" t="s">
        <v>38</v>
      </c>
      <c r="J1954" s="26" t="s">
        <v>7517</v>
      </c>
      <c r="K1954" s="26" t="s">
        <v>7518</v>
      </c>
      <c r="L1954" s="26">
        <v>311600</v>
      </c>
      <c r="M1954" s="26">
        <v>0</v>
      </c>
      <c r="N1954" s="26">
        <v>0</v>
      </c>
      <c r="O1954" s="26">
        <v>1951600</v>
      </c>
      <c r="P1954" s="26" t="s">
        <v>41</v>
      </c>
      <c r="Q1954" s="26" t="s">
        <v>42</v>
      </c>
      <c r="R1954" s="25"/>
      <c r="S1954" s="25"/>
      <c r="T1954" s="25"/>
      <c r="U1954" s="25"/>
      <c r="V1954" s="26" t="s">
        <v>43</v>
      </c>
      <c r="W1954" s="24"/>
      <c r="X1954" s="25"/>
    </row>
    <row r="1955" spans="1:24" ht="18.75">
      <c r="A1955" s="26" t="s">
        <v>31</v>
      </c>
      <c r="B1955" s="26" t="s">
        <v>7519</v>
      </c>
      <c r="C1955" s="26" t="s">
        <v>7520</v>
      </c>
      <c r="D1955" s="26">
        <f t="shared" si="32"/>
        <v>107596</v>
      </c>
      <c r="E1955" s="26" t="s">
        <v>34</v>
      </c>
      <c r="F1955" s="26" t="s">
        <v>7458</v>
      </c>
      <c r="G1955" s="26" t="s">
        <v>7521</v>
      </c>
      <c r="H1955" s="26" t="s">
        <v>37</v>
      </c>
      <c r="I1955" s="26" t="s">
        <v>38</v>
      </c>
      <c r="J1955" s="26" t="s">
        <v>3037</v>
      </c>
      <c r="K1955" s="26" t="s">
        <v>3038</v>
      </c>
      <c r="L1955" s="26">
        <v>142880</v>
      </c>
      <c r="M1955" s="26">
        <v>0</v>
      </c>
      <c r="N1955" s="26">
        <v>0</v>
      </c>
      <c r="O1955" s="26">
        <v>894880</v>
      </c>
      <c r="P1955" s="26" t="s">
        <v>41</v>
      </c>
      <c r="Q1955" s="26" t="s">
        <v>42</v>
      </c>
      <c r="R1955" s="25"/>
      <c r="S1955" s="25"/>
      <c r="T1955" s="25"/>
      <c r="U1955" s="25"/>
      <c r="V1955" s="26" t="s">
        <v>43</v>
      </c>
      <c r="W1955" s="24"/>
      <c r="X1955" s="25"/>
    </row>
    <row r="1956" spans="1:24" ht="18.75">
      <c r="A1956" s="26"/>
      <c r="B1956" s="26"/>
      <c r="C1956" s="27"/>
      <c r="D1956" s="26"/>
      <c r="E1956" s="26"/>
      <c r="F1956" s="28"/>
      <c r="G1956" s="30"/>
      <c r="H1956" s="26"/>
      <c r="I1956" s="26"/>
      <c r="J1956" s="26"/>
      <c r="K1956" s="26"/>
      <c r="L1956" s="25"/>
      <c r="M1956" s="25"/>
      <c r="N1956" s="25"/>
      <c r="O1956" s="25"/>
      <c r="P1956" s="26"/>
      <c r="Q1956" s="26"/>
      <c r="R1956" s="24"/>
      <c r="S1956" s="25"/>
      <c r="T1956" s="24"/>
      <c r="U1956" s="24"/>
      <c r="V1956" s="24"/>
      <c r="W1956" s="24"/>
      <c r="X1956" s="25"/>
    </row>
    <row r="1957" spans="1:24" ht="18.75">
      <c r="A1957" s="26"/>
      <c r="B1957" s="26"/>
      <c r="C1957" s="27"/>
      <c r="D1957" s="26"/>
      <c r="E1957" s="26"/>
      <c r="F1957" s="28"/>
      <c r="G1957" s="30"/>
      <c r="H1957" s="26"/>
      <c r="I1957" s="26"/>
      <c r="J1957" s="26"/>
      <c r="K1957" s="26"/>
      <c r="L1957" s="25"/>
      <c r="M1957" s="25"/>
      <c r="N1957" s="25"/>
      <c r="O1957" s="25"/>
      <c r="P1957" s="26"/>
      <c r="Q1957" s="26"/>
      <c r="R1957" s="25"/>
      <c r="S1957" s="25"/>
      <c r="T1957" s="25"/>
      <c r="U1957" s="25"/>
      <c r="V1957" s="25"/>
      <c r="W1957" s="24"/>
      <c r="X1957" s="25"/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1620-57A8-452F-8A0A-AA483E573DCB}">
  <dimension ref="A1:X4"/>
  <sheetViews>
    <sheetView workbookViewId="0">
      <selection activeCell="D9" sqref="D9"/>
    </sheetView>
  </sheetViews>
  <sheetFormatPr defaultRowHeight="15"/>
  <cols>
    <col min="1" max="1" width="21" bestFit="1" customWidth="1"/>
    <col min="2" max="2" width="104.42578125" bestFit="1" customWidth="1"/>
    <col min="4" max="4" width="12.42578125" bestFit="1" customWidth="1"/>
    <col min="5" max="5" width="9.28515625" bestFit="1" customWidth="1"/>
    <col min="6" max="6" width="16.140625" bestFit="1" customWidth="1"/>
    <col min="7" max="7" width="19.5703125" bestFit="1" customWidth="1"/>
    <col min="8" max="8" width="13" bestFit="1" customWidth="1"/>
    <col min="9" max="9" width="17.42578125" bestFit="1" customWidth="1"/>
    <col min="10" max="10" width="15" bestFit="1" customWidth="1"/>
    <col min="11" max="11" width="93.5703125" bestFit="1" customWidth="1"/>
    <col min="16" max="16" width="24.42578125" bestFit="1" customWidth="1"/>
    <col min="18" max="20" width="10.85546875" bestFit="1" customWidth="1"/>
    <col min="21" max="21" width="14.42578125" bestFit="1" customWidth="1"/>
    <col min="22" max="22" width="12.85546875" bestFit="1" customWidth="1"/>
    <col min="23" max="23" width="23.42578125" bestFit="1" customWidth="1"/>
    <col min="24" max="24" width="18.7109375" bestFit="1" customWidth="1"/>
  </cols>
  <sheetData>
    <row r="1" spans="1:24">
      <c r="A1" s="40" t="s">
        <v>7522</v>
      </c>
    </row>
    <row r="3" spans="1:24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4</v>
      </c>
      <c r="S3" t="s">
        <v>26</v>
      </c>
      <c r="T3" t="s">
        <v>27</v>
      </c>
      <c r="U3" t="s">
        <v>28</v>
      </c>
      <c r="V3" t="s">
        <v>3</v>
      </c>
      <c r="W3" t="s">
        <v>29</v>
      </c>
      <c r="X3" t="s">
        <v>30</v>
      </c>
    </row>
    <row r="4" spans="1:24">
      <c r="A4" t="s">
        <v>31</v>
      </c>
      <c r="B4" t="s">
        <v>6235</v>
      </c>
      <c r="C4" t="s">
        <v>6236</v>
      </c>
      <c r="D4">
        <v>-1</v>
      </c>
      <c r="E4" t="s">
        <v>34</v>
      </c>
      <c r="F4" t="s">
        <v>5954</v>
      </c>
      <c r="G4" t="s">
        <v>6237</v>
      </c>
      <c r="H4" t="s">
        <v>37</v>
      </c>
      <c r="I4" t="s">
        <v>38</v>
      </c>
      <c r="J4" t="s">
        <v>6238</v>
      </c>
      <c r="K4" t="s">
        <v>6239</v>
      </c>
      <c r="L4">
        <v>798000</v>
      </c>
      <c r="M4">
        <v>0</v>
      </c>
      <c r="N4">
        <v>0</v>
      </c>
      <c r="O4">
        <v>4998000</v>
      </c>
      <c r="P4" t="s">
        <v>41</v>
      </c>
      <c r="Q4" t="s">
        <v>42</v>
      </c>
      <c r="R4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A0B5-F0BE-43B4-9C63-7309C9196FE8}">
  <dimension ref="A1:D1674"/>
  <sheetViews>
    <sheetView workbookViewId="0">
      <selection activeCell="C14" sqref="C14"/>
    </sheetView>
  </sheetViews>
  <sheetFormatPr defaultColWidth="9.140625" defaultRowHeight="15"/>
  <cols>
    <col min="1" max="1" width="91.5703125" style="23" bestFit="1" customWidth="1"/>
    <col min="2" max="2" width="23.85546875" style="20" bestFit="1" customWidth="1"/>
    <col min="3" max="3" width="18.42578125" bestFit="1" customWidth="1"/>
    <col min="4" max="4" width="18.28515625" bestFit="1" customWidth="1"/>
  </cols>
  <sheetData>
    <row r="1" spans="1:4">
      <c r="A1" s="22" t="s">
        <v>4</v>
      </c>
      <c r="B1" s="20" t="s">
        <v>7523</v>
      </c>
    </row>
    <row r="3" spans="1:4">
      <c r="A3" s="22" t="s">
        <v>19</v>
      </c>
      <c r="B3" s="21" t="s">
        <v>11</v>
      </c>
      <c r="C3" t="s">
        <v>7524</v>
      </c>
      <c r="D3" t="s">
        <v>7525</v>
      </c>
    </row>
    <row r="4" spans="1:4">
      <c r="A4" s="23" t="s">
        <v>343</v>
      </c>
      <c r="B4" t="s">
        <v>5430</v>
      </c>
      <c r="C4">
        <v>1</v>
      </c>
      <c r="D4" s="19">
        <v>108290</v>
      </c>
    </row>
    <row r="5" spans="1:4">
      <c r="A5" s="23" t="s">
        <v>7526</v>
      </c>
      <c r="B5" s="23"/>
      <c r="C5">
        <v>1</v>
      </c>
      <c r="D5" s="19">
        <v>108290</v>
      </c>
    </row>
    <row r="6" spans="1:4">
      <c r="A6" s="23" t="s">
        <v>384</v>
      </c>
      <c r="B6" t="s">
        <v>5850</v>
      </c>
      <c r="C6">
        <v>1</v>
      </c>
      <c r="D6" s="19">
        <v>27331780</v>
      </c>
    </row>
    <row r="7" spans="1:4">
      <c r="B7" t="s">
        <v>6515</v>
      </c>
      <c r="C7">
        <v>1</v>
      </c>
      <c r="D7" s="19">
        <v>357595</v>
      </c>
    </row>
    <row r="8" spans="1:4">
      <c r="B8" t="s">
        <v>6603</v>
      </c>
      <c r="C8">
        <v>1</v>
      </c>
      <c r="D8" s="19">
        <v>4625530</v>
      </c>
    </row>
    <row r="9" spans="1:4">
      <c r="A9" s="23" t="s">
        <v>7527</v>
      </c>
      <c r="B9" s="23"/>
      <c r="C9">
        <v>3</v>
      </c>
      <c r="D9" s="19">
        <v>32314905</v>
      </c>
    </row>
    <row r="10" spans="1:4">
      <c r="A10" t="s">
        <v>521</v>
      </c>
      <c r="B10"/>
      <c r="C10">
        <v>1</v>
      </c>
      <c r="D10" s="19">
        <v>10143722.75</v>
      </c>
    </row>
    <row r="11" spans="1:4">
      <c r="A11" t="s">
        <v>6868</v>
      </c>
      <c r="B11" t="s">
        <v>6865</v>
      </c>
      <c r="C11">
        <v>1</v>
      </c>
      <c r="D11" s="19">
        <v>7370860</v>
      </c>
    </row>
    <row r="12" spans="1:4">
      <c r="A12" s="20" t="s">
        <v>7528</v>
      </c>
      <c r="C12">
        <v>1</v>
      </c>
      <c r="D12" s="19">
        <v>7370860</v>
      </c>
    </row>
    <row r="13" spans="1:4">
      <c r="A13" s="23" t="s">
        <v>6239</v>
      </c>
      <c r="B13" t="s">
        <v>6236</v>
      </c>
      <c r="C13">
        <v>1</v>
      </c>
      <c r="D13" s="19">
        <v>4998000</v>
      </c>
    </row>
    <row r="14" spans="1:4">
      <c r="A14" s="23" t="s">
        <v>7529</v>
      </c>
      <c r="B14" s="23"/>
      <c r="C14">
        <v>1</v>
      </c>
      <c r="D14" s="19">
        <v>4998000</v>
      </c>
    </row>
    <row r="15" spans="1:4">
      <c r="A15" t="s">
        <v>472</v>
      </c>
      <c r="B15" t="s">
        <v>3425</v>
      </c>
      <c r="C15">
        <v>1</v>
      </c>
      <c r="D15" s="19">
        <v>2903659.5</v>
      </c>
    </row>
    <row r="16" spans="1:4">
      <c r="A16" s="20" t="s">
        <v>7530</v>
      </c>
      <c r="C16">
        <v>1</v>
      </c>
      <c r="D16" s="19">
        <v>2903659.5</v>
      </c>
    </row>
    <row r="17" spans="1:4">
      <c r="A17" s="23" t="s">
        <v>2002</v>
      </c>
      <c r="B17" t="s">
        <v>1999</v>
      </c>
      <c r="C17">
        <v>1</v>
      </c>
      <c r="D17" s="19">
        <v>587021.05000000005</v>
      </c>
    </row>
    <row r="18" spans="1:4">
      <c r="B18" t="s">
        <v>4839</v>
      </c>
      <c r="C18">
        <v>1</v>
      </c>
      <c r="D18" s="19">
        <v>587021.05000000005</v>
      </c>
    </row>
    <row r="19" spans="1:4">
      <c r="B19" t="s">
        <v>5513</v>
      </c>
      <c r="C19">
        <v>1</v>
      </c>
      <c r="D19" s="19">
        <v>2771997.9</v>
      </c>
    </row>
    <row r="20" spans="1:4">
      <c r="A20" s="23" t="s">
        <v>7531</v>
      </c>
      <c r="B20" s="23"/>
      <c r="C20">
        <v>3</v>
      </c>
      <c r="D20" s="19">
        <v>3946040</v>
      </c>
    </row>
    <row r="21" spans="1:4">
      <c r="A21" s="23" t="s">
        <v>5727</v>
      </c>
      <c r="B21" t="s">
        <v>5724</v>
      </c>
      <c r="C21">
        <v>1</v>
      </c>
      <c r="D21" s="19">
        <v>1301979</v>
      </c>
    </row>
    <row r="22" spans="1:4">
      <c r="A22" s="23" t="s">
        <v>7532</v>
      </c>
      <c r="B22" s="23"/>
      <c r="C22">
        <v>1</v>
      </c>
      <c r="D22" s="19">
        <v>1301979</v>
      </c>
    </row>
    <row r="23" spans="1:4">
      <c r="A23" s="23" t="s">
        <v>1111</v>
      </c>
      <c r="B23" t="s">
        <v>1108</v>
      </c>
      <c r="C23">
        <v>1</v>
      </c>
      <c r="D23" s="19">
        <v>196350</v>
      </c>
    </row>
    <row r="24" spans="1:4">
      <c r="B24" t="s">
        <v>1113</v>
      </c>
      <c r="C24">
        <v>1</v>
      </c>
      <c r="D24" s="19">
        <v>196350</v>
      </c>
    </row>
    <row r="25" spans="1:4">
      <c r="B25" t="s">
        <v>1948</v>
      </c>
      <c r="C25">
        <v>1</v>
      </c>
      <c r="D25" s="19">
        <v>113050</v>
      </c>
    </row>
    <row r="26" spans="1:4">
      <c r="A26" s="23" t="s">
        <v>7533</v>
      </c>
      <c r="B26" s="23"/>
      <c r="C26">
        <v>3</v>
      </c>
      <c r="D26" s="19">
        <v>505750</v>
      </c>
    </row>
    <row r="27" spans="1:4">
      <c r="A27" s="23" t="s">
        <v>328</v>
      </c>
      <c r="B27" t="s">
        <v>325</v>
      </c>
      <c r="C27">
        <v>1</v>
      </c>
      <c r="D27" s="19">
        <v>535500</v>
      </c>
    </row>
    <row r="28" spans="1:4">
      <c r="B28" t="s">
        <v>1798</v>
      </c>
      <c r="C28">
        <v>1</v>
      </c>
      <c r="D28" s="19">
        <v>267750</v>
      </c>
    </row>
    <row r="29" spans="1:4">
      <c r="A29" s="23" t="s">
        <v>7534</v>
      </c>
      <c r="B29" s="23"/>
      <c r="C29">
        <v>2</v>
      </c>
      <c r="D29" s="19">
        <v>803250</v>
      </c>
    </row>
    <row r="30" spans="1:4">
      <c r="A30" s="23" t="s">
        <v>657</v>
      </c>
      <c r="B30" t="s">
        <v>654</v>
      </c>
      <c r="C30">
        <v>1</v>
      </c>
      <c r="D30" s="19">
        <v>999600</v>
      </c>
    </row>
    <row r="31" spans="1:4">
      <c r="B31" t="s">
        <v>659</v>
      </c>
      <c r="C31">
        <v>1</v>
      </c>
      <c r="D31" s="19">
        <v>4819500</v>
      </c>
    </row>
    <row r="32" spans="1:4">
      <c r="B32" t="s">
        <v>3658</v>
      </c>
      <c r="C32">
        <v>1</v>
      </c>
      <c r="D32" s="19">
        <v>39139897.299999997</v>
      </c>
    </row>
    <row r="33" spans="1:4">
      <c r="A33" s="23" t="s">
        <v>7535</v>
      </c>
      <c r="B33" s="23"/>
      <c r="C33">
        <v>3</v>
      </c>
      <c r="D33" s="19">
        <v>44958997.299999997</v>
      </c>
    </row>
    <row r="34" spans="1:4">
      <c r="A34" s="23" t="s">
        <v>5969</v>
      </c>
      <c r="B34" t="s">
        <v>5966</v>
      </c>
      <c r="C34">
        <v>1</v>
      </c>
      <c r="D34" s="19">
        <v>772905</v>
      </c>
    </row>
    <row r="35" spans="1:4">
      <c r="A35" s="23" t="s">
        <v>7536</v>
      </c>
      <c r="B35" s="23"/>
      <c r="C35">
        <v>1</v>
      </c>
      <c r="D35" s="19">
        <v>772905</v>
      </c>
    </row>
    <row r="36" spans="1:4">
      <c r="A36" s="23" t="s">
        <v>881</v>
      </c>
      <c r="B36" t="s">
        <v>878</v>
      </c>
      <c r="C36">
        <v>1</v>
      </c>
      <c r="D36" s="19">
        <v>666572.55000000005</v>
      </c>
    </row>
    <row r="37" spans="1:4">
      <c r="B37" t="s">
        <v>6575</v>
      </c>
      <c r="C37">
        <v>1</v>
      </c>
      <c r="D37" s="19">
        <v>2507288.35</v>
      </c>
    </row>
    <row r="38" spans="1:4">
      <c r="A38" s="23" t="s">
        <v>7537</v>
      </c>
      <c r="B38" s="23"/>
      <c r="C38">
        <v>2</v>
      </c>
      <c r="D38" s="19">
        <v>3173860.9000000004</v>
      </c>
    </row>
    <row r="39" spans="1:4">
      <c r="A39" s="23" t="s">
        <v>2672</v>
      </c>
      <c r="B39" t="s">
        <v>6216</v>
      </c>
      <c r="C39">
        <v>1</v>
      </c>
      <c r="D39" s="19">
        <v>370222.09</v>
      </c>
    </row>
    <row r="40" spans="1:4">
      <c r="A40" s="23" t="s">
        <v>7538</v>
      </c>
      <c r="B40" s="23"/>
      <c r="C40">
        <v>1</v>
      </c>
      <c r="D40" s="19">
        <v>370222.09</v>
      </c>
    </row>
    <row r="41" spans="1:4">
      <c r="A41" s="23" t="s">
        <v>622</v>
      </c>
      <c r="B41" t="s">
        <v>2962</v>
      </c>
      <c r="C41">
        <v>1</v>
      </c>
      <c r="D41" s="19">
        <v>252945</v>
      </c>
    </row>
    <row r="42" spans="1:4">
      <c r="B42" t="s">
        <v>5048</v>
      </c>
      <c r="C42">
        <v>1</v>
      </c>
      <c r="D42" s="19">
        <v>180642</v>
      </c>
    </row>
    <row r="43" spans="1:4">
      <c r="B43" t="s">
        <v>5627</v>
      </c>
      <c r="C43">
        <v>1</v>
      </c>
      <c r="D43" s="19">
        <v>702873.5</v>
      </c>
    </row>
    <row r="44" spans="1:4">
      <c r="A44" s="23" t="s">
        <v>7539</v>
      </c>
      <c r="B44" s="23"/>
      <c r="C44">
        <v>3</v>
      </c>
      <c r="D44" s="19">
        <v>1136460.5</v>
      </c>
    </row>
    <row r="45" spans="1:4">
      <c r="A45" t="s">
        <v>5977</v>
      </c>
      <c r="B45" t="s">
        <v>5974</v>
      </c>
      <c r="C45">
        <v>1</v>
      </c>
      <c r="D45" s="19">
        <v>868700</v>
      </c>
    </row>
    <row r="46" spans="1:4">
      <c r="A46"/>
      <c r="B46" t="s">
        <v>6506</v>
      </c>
      <c r="C46">
        <v>1</v>
      </c>
      <c r="D46" s="19">
        <v>445060</v>
      </c>
    </row>
    <row r="47" spans="1:4">
      <c r="A47" s="20" t="s">
        <v>7540</v>
      </c>
      <c r="C47">
        <v>2</v>
      </c>
      <c r="D47" s="19">
        <v>1313760</v>
      </c>
    </row>
    <row r="48" spans="1:4">
      <c r="A48" s="23" t="s">
        <v>127</v>
      </c>
      <c r="B48" t="s">
        <v>2674</v>
      </c>
      <c r="C48">
        <v>1</v>
      </c>
      <c r="D48" s="19">
        <v>1460454.87</v>
      </c>
    </row>
    <row r="49" spans="1:4">
      <c r="B49" t="s">
        <v>4907</v>
      </c>
      <c r="C49">
        <v>1</v>
      </c>
      <c r="D49" s="19">
        <v>1535483.18</v>
      </c>
    </row>
    <row r="50" spans="1:4">
      <c r="B50" t="s">
        <v>4913</v>
      </c>
      <c r="C50">
        <v>1</v>
      </c>
      <c r="D50" s="19">
        <v>25204900.91</v>
      </c>
    </row>
    <row r="51" spans="1:4">
      <c r="B51" t="s">
        <v>6225</v>
      </c>
      <c r="C51">
        <v>1</v>
      </c>
      <c r="D51" s="19">
        <v>489136.41</v>
      </c>
    </row>
    <row r="52" spans="1:4">
      <c r="A52" s="23" t="s">
        <v>7541</v>
      </c>
      <c r="B52" s="23"/>
      <c r="C52">
        <v>4</v>
      </c>
      <c r="D52" s="19">
        <v>28689975.370000001</v>
      </c>
    </row>
    <row r="53" spans="1:4">
      <c r="A53" t="s">
        <v>6231</v>
      </c>
      <c r="B53" t="s">
        <v>6228</v>
      </c>
      <c r="C53">
        <v>1</v>
      </c>
      <c r="D53" s="19">
        <v>370222.09</v>
      </c>
    </row>
    <row r="54" spans="1:4">
      <c r="A54"/>
      <c r="B54" t="s">
        <v>6233</v>
      </c>
      <c r="C54">
        <v>1</v>
      </c>
      <c r="D54" s="19">
        <v>370222.09</v>
      </c>
    </row>
    <row r="55" spans="1:4">
      <c r="A55" s="20" t="s">
        <v>7542</v>
      </c>
      <c r="C55">
        <v>2</v>
      </c>
      <c r="D55" s="19">
        <v>740444.18</v>
      </c>
    </row>
    <row r="56" spans="1:4">
      <c r="A56" s="23" t="s">
        <v>1163</v>
      </c>
      <c r="B56" t="s">
        <v>1160</v>
      </c>
      <c r="C56">
        <v>1</v>
      </c>
      <c r="D56" s="19">
        <v>1892887.78</v>
      </c>
    </row>
    <row r="57" spans="1:4">
      <c r="A57" s="23" t="s">
        <v>7543</v>
      </c>
      <c r="B57" s="23"/>
      <c r="C57">
        <v>1</v>
      </c>
      <c r="D57" s="19">
        <v>1892887.78</v>
      </c>
    </row>
    <row r="58" spans="1:4">
      <c r="A58" s="23" t="s">
        <v>3460</v>
      </c>
      <c r="B58" t="s">
        <v>3457</v>
      </c>
      <c r="C58">
        <v>1</v>
      </c>
      <c r="D58" s="19">
        <v>379205.1</v>
      </c>
    </row>
    <row r="59" spans="1:4">
      <c r="A59" s="23" t="s">
        <v>7544</v>
      </c>
      <c r="B59" s="23"/>
      <c r="C59">
        <v>1</v>
      </c>
      <c r="D59" s="19">
        <v>379205.1</v>
      </c>
    </row>
    <row r="60" spans="1:4">
      <c r="A60" t="s">
        <v>1804</v>
      </c>
      <c r="B60" t="s">
        <v>1801</v>
      </c>
      <c r="C60">
        <v>1</v>
      </c>
      <c r="D60" s="19">
        <v>13863500</v>
      </c>
    </row>
    <row r="61" spans="1:4">
      <c r="A61"/>
      <c r="B61" t="s">
        <v>6186</v>
      </c>
      <c r="C61">
        <v>1</v>
      </c>
      <c r="D61" s="19">
        <v>4069919</v>
      </c>
    </row>
    <row r="62" spans="1:4">
      <c r="A62"/>
      <c r="B62" t="s">
        <v>6769</v>
      </c>
      <c r="C62">
        <v>1</v>
      </c>
      <c r="D62" s="19">
        <v>1999200</v>
      </c>
    </row>
    <row r="63" spans="1:4">
      <c r="A63"/>
      <c r="B63" t="s">
        <v>6897</v>
      </c>
      <c r="C63">
        <v>1</v>
      </c>
      <c r="D63" s="19">
        <v>357000</v>
      </c>
    </row>
    <row r="64" spans="1:4">
      <c r="A64" s="20" t="s">
        <v>7545</v>
      </c>
      <c r="C64">
        <v>4</v>
      </c>
      <c r="D64" s="19">
        <v>20289619</v>
      </c>
    </row>
    <row r="65" spans="1:4">
      <c r="A65" s="23" t="s">
        <v>1243</v>
      </c>
      <c r="B65" t="s">
        <v>4910</v>
      </c>
      <c r="C65">
        <v>1</v>
      </c>
      <c r="D65" s="19">
        <v>124600.14</v>
      </c>
    </row>
    <row r="66" spans="1:4">
      <c r="A66" s="23" t="s">
        <v>7546</v>
      </c>
      <c r="B66" s="23"/>
      <c r="C66">
        <v>1</v>
      </c>
      <c r="D66" s="19">
        <v>124600.14</v>
      </c>
    </row>
    <row r="67" spans="1:4">
      <c r="A67" s="23" t="s">
        <v>4781</v>
      </c>
      <c r="B67" t="s">
        <v>4778</v>
      </c>
      <c r="C67">
        <v>1</v>
      </c>
      <c r="D67" s="19">
        <v>70123606</v>
      </c>
    </row>
    <row r="68" spans="1:4">
      <c r="B68" t="s">
        <v>5721</v>
      </c>
      <c r="C68">
        <v>1</v>
      </c>
      <c r="D68" s="19">
        <v>2588250</v>
      </c>
    </row>
    <row r="69" spans="1:4">
      <c r="B69" t="s">
        <v>5751</v>
      </c>
      <c r="C69">
        <v>1</v>
      </c>
      <c r="D69" s="19">
        <v>89250</v>
      </c>
    </row>
    <row r="70" spans="1:4">
      <c r="A70" s="23" t="s">
        <v>7547</v>
      </c>
      <c r="B70" s="23"/>
      <c r="C70">
        <v>3</v>
      </c>
      <c r="D70" s="19">
        <v>72801106</v>
      </c>
    </row>
    <row r="71" spans="1:4">
      <c r="A71" t="s">
        <v>4117</v>
      </c>
      <c r="B71" t="s">
        <v>4114</v>
      </c>
      <c r="C71">
        <v>1</v>
      </c>
      <c r="D71" s="19">
        <v>1059100</v>
      </c>
    </row>
    <row r="72" spans="1:4">
      <c r="A72" s="20" t="s">
        <v>7548</v>
      </c>
      <c r="C72">
        <v>1</v>
      </c>
      <c r="D72" s="19">
        <v>1059100</v>
      </c>
    </row>
    <row r="73" spans="1:4">
      <c r="A73" s="23" t="s">
        <v>2408</v>
      </c>
      <c r="B73" t="s">
        <v>2405</v>
      </c>
      <c r="C73">
        <v>1</v>
      </c>
      <c r="D73" s="19">
        <v>116441.5</v>
      </c>
    </row>
    <row r="74" spans="1:4">
      <c r="B74" t="s">
        <v>2410</v>
      </c>
      <c r="C74">
        <v>1</v>
      </c>
      <c r="D74" s="19">
        <v>154235.9</v>
      </c>
    </row>
    <row r="75" spans="1:4">
      <c r="A75" s="23" t="s">
        <v>7549</v>
      </c>
      <c r="B75" s="23"/>
      <c r="C75">
        <v>2</v>
      </c>
      <c r="D75" s="19">
        <v>270677.40000000002</v>
      </c>
    </row>
    <row r="76" spans="1:4">
      <c r="A76" s="23" t="s">
        <v>190</v>
      </c>
      <c r="B76" t="s">
        <v>2553</v>
      </c>
      <c r="C76">
        <v>1</v>
      </c>
      <c r="D76" s="19">
        <v>15333336</v>
      </c>
    </row>
    <row r="77" spans="1:4">
      <c r="B77" t="s">
        <v>2650</v>
      </c>
      <c r="C77">
        <v>1</v>
      </c>
      <c r="D77" s="19">
        <v>6542844</v>
      </c>
    </row>
    <row r="78" spans="1:4">
      <c r="B78" t="s">
        <v>5023</v>
      </c>
      <c r="C78">
        <v>1</v>
      </c>
      <c r="D78" s="19">
        <v>34500006</v>
      </c>
    </row>
    <row r="79" spans="1:4">
      <c r="A79" s="23" t="s">
        <v>7550</v>
      </c>
      <c r="B79" s="23"/>
      <c r="C79">
        <v>3</v>
      </c>
      <c r="D79" s="19">
        <v>56376186</v>
      </c>
    </row>
    <row r="80" spans="1:4">
      <c r="A80" t="s">
        <v>770</v>
      </c>
      <c r="B80" t="s">
        <v>4271</v>
      </c>
      <c r="C80">
        <v>1</v>
      </c>
      <c r="D80" s="19">
        <v>509544</v>
      </c>
    </row>
    <row r="81" spans="1:4">
      <c r="A81" s="20" t="s">
        <v>7551</v>
      </c>
      <c r="C81">
        <v>1</v>
      </c>
      <c r="D81" s="19">
        <v>509544</v>
      </c>
    </row>
    <row r="82" spans="1:4">
      <c r="A82" s="23" t="s">
        <v>3243</v>
      </c>
      <c r="B82" t="s">
        <v>4744</v>
      </c>
      <c r="C82">
        <v>1</v>
      </c>
      <c r="D82" s="19">
        <v>4161828.02</v>
      </c>
    </row>
    <row r="83" spans="1:4">
      <c r="A83" s="23" t="s">
        <v>7552</v>
      </c>
      <c r="B83" s="23"/>
      <c r="C83">
        <v>1</v>
      </c>
      <c r="D83" s="19">
        <v>4161828.02</v>
      </c>
    </row>
    <row r="84" spans="1:4">
      <c r="A84" s="23" t="s">
        <v>195</v>
      </c>
      <c r="B84" t="s">
        <v>192</v>
      </c>
      <c r="C84">
        <v>1</v>
      </c>
      <c r="D84" s="19">
        <v>10642618.630000001</v>
      </c>
    </row>
    <row r="85" spans="1:4">
      <c r="B85" t="s">
        <v>214</v>
      </c>
      <c r="C85">
        <v>1</v>
      </c>
      <c r="D85" s="19">
        <v>7666668</v>
      </c>
    </row>
    <row r="86" spans="1:4">
      <c r="B86" t="s">
        <v>217</v>
      </c>
      <c r="C86">
        <v>1</v>
      </c>
      <c r="D86" s="19">
        <v>25314619.449999999</v>
      </c>
    </row>
    <row r="87" spans="1:4">
      <c r="B87" t="s">
        <v>220</v>
      </c>
      <c r="C87">
        <v>1</v>
      </c>
      <c r="D87" s="19">
        <v>38333340</v>
      </c>
    </row>
    <row r="88" spans="1:4">
      <c r="B88" t="s">
        <v>227</v>
      </c>
      <c r="C88">
        <v>1</v>
      </c>
      <c r="D88" s="19">
        <v>37035843.5</v>
      </c>
    </row>
    <row r="89" spans="1:4">
      <c r="B89" t="s">
        <v>237</v>
      </c>
      <c r="C89">
        <v>1</v>
      </c>
      <c r="D89" s="19">
        <v>68656280.75</v>
      </c>
    </row>
    <row r="90" spans="1:4">
      <c r="B90" t="s">
        <v>284</v>
      </c>
      <c r="C90">
        <v>1</v>
      </c>
      <c r="D90" s="19">
        <v>4361896</v>
      </c>
    </row>
    <row r="91" spans="1:4">
      <c r="B91" t="s">
        <v>287</v>
      </c>
      <c r="C91">
        <v>1</v>
      </c>
      <c r="D91" s="19">
        <v>2314615.4500000002</v>
      </c>
    </row>
    <row r="92" spans="1:4">
      <c r="B92" t="s">
        <v>290</v>
      </c>
      <c r="C92">
        <v>1</v>
      </c>
      <c r="D92" s="19">
        <v>37076116</v>
      </c>
    </row>
    <row r="93" spans="1:4">
      <c r="B93" t="s">
        <v>2546</v>
      </c>
      <c r="C93">
        <v>1</v>
      </c>
      <c r="D93" s="19">
        <v>4495563.45</v>
      </c>
    </row>
    <row r="94" spans="1:4">
      <c r="B94" t="s">
        <v>2550</v>
      </c>
      <c r="C94">
        <v>1</v>
      </c>
      <c r="D94" s="19">
        <v>48916528.149999999</v>
      </c>
    </row>
    <row r="95" spans="1:4">
      <c r="B95" t="s">
        <v>2656</v>
      </c>
      <c r="C95">
        <v>1</v>
      </c>
      <c r="D95" s="19">
        <v>38680125.399999999</v>
      </c>
    </row>
    <row r="96" spans="1:4">
      <c r="B96" t="s">
        <v>2659</v>
      </c>
      <c r="C96">
        <v>1</v>
      </c>
      <c r="D96" s="19">
        <v>39623774.270000003</v>
      </c>
    </row>
    <row r="97" spans="1:4">
      <c r="B97" t="s">
        <v>2666</v>
      </c>
      <c r="C97">
        <v>1</v>
      </c>
      <c r="D97" s="19">
        <v>39925940</v>
      </c>
    </row>
    <row r="98" spans="1:4">
      <c r="B98" t="s">
        <v>2677</v>
      </c>
      <c r="C98">
        <v>1</v>
      </c>
      <c r="D98" s="19">
        <v>30090000.850000001</v>
      </c>
    </row>
    <row r="99" spans="1:4">
      <c r="B99" t="s">
        <v>2680</v>
      </c>
      <c r="C99">
        <v>1</v>
      </c>
      <c r="D99" s="19">
        <v>4629230.9000000004</v>
      </c>
    </row>
    <row r="100" spans="1:4">
      <c r="B100" t="s">
        <v>2696</v>
      </c>
      <c r="C100">
        <v>1</v>
      </c>
      <c r="D100" s="19">
        <v>5750001</v>
      </c>
    </row>
    <row r="101" spans="1:4">
      <c r="B101" t="s">
        <v>2699</v>
      </c>
      <c r="C101">
        <v>1</v>
      </c>
      <c r="D101" s="19">
        <v>12295898.9</v>
      </c>
    </row>
    <row r="102" spans="1:4">
      <c r="B102" t="s">
        <v>2702</v>
      </c>
      <c r="C102">
        <v>1</v>
      </c>
      <c r="D102" s="19">
        <v>16176524.699999999</v>
      </c>
    </row>
    <row r="103" spans="1:4">
      <c r="B103" t="s">
        <v>2767</v>
      </c>
      <c r="C103">
        <v>1</v>
      </c>
      <c r="D103" s="19">
        <v>76053635.420000002</v>
      </c>
    </row>
    <row r="104" spans="1:4">
      <c r="B104" t="s">
        <v>2951</v>
      </c>
      <c r="C104">
        <v>1</v>
      </c>
      <c r="D104" s="19">
        <v>11165485</v>
      </c>
    </row>
    <row r="105" spans="1:4">
      <c r="B105" t="s">
        <v>3341</v>
      </c>
      <c r="C105">
        <v>1</v>
      </c>
      <c r="D105" s="19">
        <v>535294.13</v>
      </c>
    </row>
    <row r="106" spans="1:4">
      <c r="B106" t="s">
        <v>3576</v>
      </c>
      <c r="C106">
        <v>1</v>
      </c>
      <c r="D106" s="19">
        <v>11425552.949999999</v>
      </c>
    </row>
    <row r="107" spans="1:4">
      <c r="B107" t="s">
        <v>4887</v>
      </c>
      <c r="C107">
        <v>1</v>
      </c>
      <c r="D107" s="19">
        <v>152666360</v>
      </c>
    </row>
    <row r="108" spans="1:4">
      <c r="B108" t="s">
        <v>5026</v>
      </c>
      <c r="C108">
        <v>1</v>
      </c>
      <c r="D108" s="19">
        <v>11500002</v>
      </c>
    </row>
    <row r="109" spans="1:4">
      <c r="B109" t="s">
        <v>5029</v>
      </c>
      <c r="C109">
        <v>1</v>
      </c>
      <c r="D109" s="19">
        <v>4231282.45</v>
      </c>
    </row>
    <row r="110" spans="1:4">
      <c r="A110" s="23" t="s">
        <v>7553</v>
      </c>
      <c r="B110" s="23"/>
      <c r="C110">
        <v>26</v>
      </c>
      <c r="D110" s="19">
        <v>739563197.3499999</v>
      </c>
    </row>
    <row r="111" spans="1:4">
      <c r="A111" s="23" t="s">
        <v>185</v>
      </c>
      <c r="B111" t="s">
        <v>182</v>
      </c>
      <c r="C111">
        <v>1</v>
      </c>
      <c r="D111" s="19">
        <v>3017519.89</v>
      </c>
    </row>
    <row r="112" spans="1:4">
      <c r="B112" t="s">
        <v>4074</v>
      </c>
      <c r="C112">
        <v>1</v>
      </c>
      <c r="D112" s="19">
        <v>135980477.36000001</v>
      </c>
    </row>
    <row r="113" spans="1:4">
      <c r="B113" t="s">
        <v>4289</v>
      </c>
      <c r="C113">
        <v>1</v>
      </c>
      <c r="D113" s="19">
        <v>43109124.5</v>
      </c>
    </row>
    <row r="114" spans="1:4">
      <c r="B114" t="s">
        <v>4351</v>
      </c>
      <c r="C114">
        <v>1</v>
      </c>
      <c r="D114" s="19">
        <v>46292309</v>
      </c>
    </row>
    <row r="115" spans="1:4">
      <c r="B115" t="s">
        <v>4354</v>
      </c>
      <c r="C115">
        <v>1</v>
      </c>
      <c r="D115" s="19">
        <v>7666668</v>
      </c>
    </row>
    <row r="116" spans="1:4">
      <c r="B116" t="s">
        <v>4357</v>
      </c>
      <c r="C116">
        <v>1</v>
      </c>
      <c r="D116" s="19">
        <v>15333336</v>
      </c>
    </row>
    <row r="117" spans="1:4">
      <c r="B117" t="s">
        <v>4408</v>
      </c>
      <c r="C117">
        <v>1</v>
      </c>
      <c r="D117" s="19">
        <v>1916667</v>
      </c>
    </row>
    <row r="118" spans="1:4">
      <c r="B118" t="s">
        <v>4411</v>
      </c>
      <c r="C118">
        <v>1</v>
      </c>
      <c r="D118" s="19">
        <v>19166670</v>
      </c>
    </row>
    <row r="119" spans="1:4">
      <c r="B119" t="s">
        <v>4414</v>
      </c>
      <c r="C119">
        <v>1</v>
      </c>
      <c r="D119" s="19">
        <v>8462564.9000000004</v>
      </c>
    </row>
    <row r="120" spans="1:4">
      <c r="B120" t="s">
        <v>4417</v>
      </c>
      <c r="C120">
        <v>1</v>
      </c>
      <c r="D120" s="19">
        <v>9583335</v>
      </c>
    </row>
    <row r="121" spans="1:4">
      <c r="B121" t="s">
        <v>4534</v>
      </c>
      <c r="C121">
        <v>1</v>
      </c>
      <c r="D121" s="19">
        <v>32714220</v>
      </c>
    </row>
    <row r="122" spans="1:4">
      <c r="B122" t="s">
        <v>4713</v>
      </c>
      <c r="C122">
        <v>1</v>
      </c>
      <c r="D122" s="19">
        <v>6943846.3499999996</v>
      </c>
    </row>
    <row r="123" spans="1:4">
      <c r="A123" s="23" t="s">
        <v>7554</v>
      </c>
      <c r="B123" s="23"/>
      <c r="C123">
        <v>12</v>
      </c>
      <c r="D123" s="19">
        <v>330186738</v>
      </c>
    </row>
    <row r="124" spans="1:4">
      <c r="A124" s="23" t="s">
        <v>368</v>
      </c>
      <c r="B124" t="s">
        <v>365</v>
      </c>
      <c r="C124">
        <v>1</v>
      </c>
      <c r="D124" s="19">
        <v>3176110</v>
      </c>
    </row>
    <row r="125" spans="1:4">
      <c r="B125" t="s">
        <v>370</v>
      </c>
      <c r="C125">
        <v>1</v>
      </c>
      <c r="D125" s="19">
        <v>2826250</v>
      </c>
    </row>
    <row r="126" spans="1:4">
      <c r="A126" s="23" t="s">
        <v>7555</v>
      </c>
      <c r="B126" s="23"/>
      <c r="C126">
        <v>2</v>
      </c>
      <c r="D126" s="19">
        <v>6002360</v>
      </c>
    </row>
    <row r="127" spans="1:4">
      <c r="A127" s="23" t="s">
        <v>1444</v>
      </c>
      <c r="B127" t="s">
        <v>1441</v>
      </c>
      <c r="C127">
        <v>1</v>
      </c>
      <c r="D127" s="19">
        <v>1047543</v>
      </c>
    </row>
    <row r="128" spans="1:4">
      <c r="B128" t="s">
        <v>2806</v>
      </c>
      <c r="C128">
        <v>1</v>
      </c>
      <c r="D128" s="19">
        <v>57023514.799999997</v>
      </c>
    </row>
    <row r="129" spans="1:4">
      <c r="A129" s="23" t="s">
        <v>7556</v>
      </c>
      <c r="B129" s="23"/>
      <c r="C129">
        <v>2</v>
      </c>
      <c r="D129" s="19">
        <v>58071057.799999997</v>
      </c>
    </row>
    <row r="130" spans="1:4">
      <c r="A130" t="s">
        <v>1047</v>
      </c>
      <c r="B130" t="s">
        <v>1044</v>
      </c>
      <c r="C130">
        <v>1</v>
      </c>
      <c r="D130" s="19">
        <v>266536.2</v>
      </c>
    </row>
    <row r="131" spans="1:4">
      <c r="A131" s="20" t="s">
        <v>7557</v>
      </c>
      <c r="C131">
        <v>1</v>
      </c>
      <c r="D131" s="19">
        <v>266536.2</v>
      </c>
    </row>
    <row r="132" spans="1:4">
      <c r="A132" t="s">
        <v>3958</v>
      </c>
      <c r="B132" t="s">
        <v>3955</v>
      </c>
      <c r="C132">
        <v>1</v>
      </c>
      <c r="D132" s="19">
        <v>1229270</v>
      </c>
    </row>
    <row r="133" spans="1:4">
      <c r="A133" s="20" t="s">
        <v>7558</v>
      </c>
      <c r="C133">
        <v>1</v>
      </c>
      <c r="D133" s="19">
        <v>1229270</v>
      </c>
    </row>
    <row r="134" spans="1:4">
      <c r="A134" t="s">
        <v>6488</v>
      </c>
      <c r="B134" t="s">
        <v>6485</v>
      </c>
      <c r="C134">
        <v>1</v>
      </c>
      <c r="D134" s="19">
        <v>1071000</v>
      </c>
    </row>
    <row r="135" spans="1:4">
      <c r="A135" s="20" t="s">
        <v>7559</v>
      </c>
      <c r="C135">
        <v>1</v>
      </c>
      <c r="D135" s="19">
        <v>1071000</v>
      </c>
    </row>
    <row r="136" spans="1:4">
      <c r="A136" t="s">
        <v>1482</v>
      </c>
      <c r="B136" t="s">
        <v>1479</v>
      </c>
      <c r="C136">
        <v>1</v>
      </c>
      <c r="D136" s="19">
        <v>668780</v>
      </c>
    </row>
    <row r="137" spans="1:4">
      <c r="A137"/>
      <c r="B137" t="s">
        <v>1484</v>
      </c>
      <c r="C137">
        <v>1</v>
      </c>
      <c r="D137" s="19">
        <v>445060</v>
      </c>
    </row>
    <row r="138" spans="1:4">
      <c r="A138"/>
      <c r="B138" t="s">
        <v>1487</v>
      </c>
      <c r="C138">
        <v>1</v>
      </c>
      <c r="D138" s="19">
        <v>445060</v>
      </c>
    </row>
    <row r="139" spans="1:4">
      <c r="A139"/>
      <c r="B139" t="s">
        <v>1490</v>
      </c>
      <c r="C139">
        <v>1</v>
      </c>
      <c r="D139" s="19">
        <v>778260</v>
      </c>
    </row>
    <row r="140" spans="1:4">
      <c r="A140"/>
      <c r="B140" t="s">
        <v>1493</v>
      </c>
      <c r="C140">
        <v>1</v>
      </c>
      <c r="D140" s="19">
        <v>445060</v>
      </c>
    </row>
    <row r="141" spans="1:4">
      <c r="A141"/>
      <c r="B141" t="s">
        <v>1496</v>
      </c>
      <c r="C141">
        <v>1</v>
      </c>
      <c r="D141" s="19">
        <v>445060</v>
      </c>
    </row>
    <row r="142" spans="1:4">
      <c r="A142"/>
      <c r="B142" t="s">
        <v>1499</v>
      </c>
      <c r="C142">
        <v>1</v>
      </c>
      <c r="D142" s="19">
        <v>2225300</v>
      </c>
    </row>
    <row r="143" spans="1:4">
      <c r="A143"/>
      <c r="B143" t="s">
        <v>1502</v>
      </c>
      <c r="C143">
        <v>1</v>
      </c>
      <c r="D143" s="19">
        <v>223720</v>
      </c>
    </row>
    <row r="144" spans="1:4">
      <c r="A144"/>
      <c r="B144" t="s">
        <v>1505</v>
      </c>
      <c r="C144">
        <v>1</v>
      </c>
      <c r="D144" s="19">
        <v>223720</v>
      </c>
    </row>
    <row r="145" spans="1:4">
      <c r="A145"/>
      <c r="B145" t="s">
        <v>1508</v>
      </c>
      <c r="C145">
        <v>1</v>
      </c>
      <c r="D145" s="19">
        <v>447440</v>
      </c>
    </row>
    <row r="146" spans="1:4">
      <c r="A146"/>
      <c r="B146" t="s">
        <v>1511</v>
      </c>
      <c r="C146">
        <v>1</v>
      </c>
      <c r="D146" s="19">
        <v>335580</v>
      </c>
    </row>
    <row r="147" spans="1:4">
      <c r="A147"/>
      <c r="B147" t="s">
        <v>1514</v>
      </c>
      <c r="C147">
        <v>1</v>
      </c>
      <c r="D147" s="19">
        <v>999600</v>
      </c>
    </row>
    <row r="148" spans="1:4">
      <c r="A148"/>
      <c r="B148" t="s">
        <v>1517</v>
      </c>
      <c r="C148">
        <v>1</v>
      </c>
      <c r="D148" s="19">
        <v>333200</v>
      </c>
    </row>
    <row r="149" spans="1:4">
      <c r="A149"/>
      <c r="B149" t="s">
        <v>1520</v>
      </c>
      <c r="C149">
        <v>1</v>
      </c>
      <c r="D149" s="19">
        <v>333200</v>
      </c>
    </row>
    <row r="150" spans="1:4">
      <c r="A150"/>
      <c r="B150" t="s">
        <v>1523</v>
      </c>
      <c r="C150">
        <v>1</v>
      </c>
      <c r="D150" s="19">
        <v>333200</v>
      </c>
    </row>
    <row r="151" spans="1:4">
      <c r="A151"/>
      <c r="B151" t="s">
        <v>1526</v>
      </c>
      <c r="C151">
        <v>1</v>
      </c>
      <c r="D151" s="19">
        <v>333200</v>
      </c>
    </row>
    <row r="152" spans="1:4">
      <c r="A152"/>
      <c r="B152" t="s">
        <v>1529</v>
      </c>
      <c r="C152">
        <v>1</v>
      </c>
      <c r="D152" s="19">
        <v>333200</v>
      </c>
    </row>
    <row r="153" spans="1:4">
      <c r="A153"/>
      <c r="B153" t="s">
        <v>1532</v>
      </c>
      <c r="C153">
        <v>1</v>
      </c>
      <c r="D153" s="19">
        <v>333200</v>
      </c>
    </row>
    <row r="154" spans="1:4">
      <c r="A154"/>
      <c r="B154" t="s">
        <v>1535</v>
      </c>
      <c r="C154">
        <v>1</v>
      </c>
      <c r="D154" s="19">
        <v>333200</v>
      </c>
    </row>
    <row r="155" spans="1:4">
      <c r="A155"/>
      <c r="B155" t="s">
        <v>1538</v>
      </c>
      <c r="C155">
        <v>1</v>
      </c>
      <c r="D155" s="19">
        <v>666400</v>
      </c>
    </row>
    <row r="156" spans="1:4">
      <c r="A156"/>
      <c r="B156" t="s">
        <v>1541</v>
      </c>
      <c r="C156">
        <v>1</v>
      </c>
      <c r="D156" s="19">
        <v>333200</v>
      </c>
    </row>
    <row r="157" spans="1:4">
      <c r="A157"/>
      <c r="B157" t="s">
        <v>1544</v>
      </c>
      <c r="C157">
        <v>1</v>
      </c>
      <c r="D157" s="19">
        <v>57698.34</v>
      </c>
    </row>
    <row r="158" spans="1:4">
      <c r="A158"/>
      <c r="B158" t="s">
        <v>1547</v>
      </c>
      <c r="C158">
        <v>1</v>
      </c>
      <c r="D158" s="19">
        <v>57698.34</v>
      </c>
    </row>
    <row r="159" spans="1:4">
      <c r="A159"/>
      <c r="B159" t="s">
        <v>1550</v>
      </c>
      <c r="C159">
        <v>1</v>
      </c>
      <c r="D159" s="19">
        <v>57698.34</v>
      </c>
    </row>
    <row r="160" spans="1:4">
      <c r="A160"/>
      <c r="B160" t="s">
        <v>1553</v>
      </c>
      <c r="C160">
        <v>1</v>
      </c>
      <c r="D160" s="19">
        <v>57698.34</v>
      </c>
    </row>
    <row r="161" spans="1:4">
      <c r="A161"/>
      <c r="B161" t="s">
        <v>1556</v>
      </c>
      <c r="C161">
        <v>1</v>
      </c>
      <c r="D161" s="19">
        <v>57698.34</v>
      </c>
    </row>
    <row r="162" spans="1:4">
      <c r="A162"/>
      <c r="B162" t="s">
        <v>3260</v>
      </c>
      <c r="C162">
        <v>1</v>
      </c>
      <c r="D162" s="19">
        <v>535979.56999999995</v>
      </c>
    </row>
    <row r="163" spans="1:4">
      <c r="A163"/>
      <c r="B163" t="s">
        <v>3476</v>
      </c>
      <c r="C163">
        <v>1</v>
      </c>
      <c r="D163" s="19">
        <v>4781420</v>
      </c>
    </row>
    <row r="164" spans="1:4">
      <c r="A164" s="20" t="s">
        <v>7560</v>
      </c>
      <c r="C164">
        <v>28</v>
      </c>
      <c r="D164" s="19">
        <v>16620531.27</v>
      </c>
    </row>
    <row r="165" spans="1:4">
      <c r="A165" t="s">
        <v>531</v>
      </c>
      <c r="B165" t="s">
        <v>5393</v>
      </c>
      <c r="C165">
        <v>1</v>
      </c>
      <c r="D165" s="19">
        <v>1436925</v>
      </c>
    </row>
    <row r="166" spans="1:4">
      <c r="A166" s="20" t="s">
        <v>7561</v>
      </c>
      <c r="C166">
        <v>1</v>
      </c>
      <c r="D166" s="19">
        <v>1436925</v>
      </c>
    </row>
    <row r="167" spans="1:4">
      <c r="A167" s="23" t="s">
        <v>2694</v>
      </c>
      <c r="B167" t="s">
        <v>2691</v>
      </c>
      <c r="C167">
        <v>1</v>
      </c>
      <c r="D167" s="19">
        <v>783826.82</v>
      </c>
    </row>
    <row r="168" spans="1:4">
      <c r="A168" s="23" t="s">
        <v>7562</v>
      </c>
      <c r="B168" s="23"/>
      <c r="C168">
        <v>1</v>
      </c>
      <c r="D168" s="19">
        <v>783826.82</v>
      </c>
    </row>
    <row r="169" spans="1:4">
      <c r="A169" t="s">
        <v>1477</v>
      </c>
      <c r="B169" t="s">
        <v>1474</v>
      </c>
      <c r="C169">
        <v>1</v>
      </c>
      <c r="D169" s="19">
        <v>106314.6</v>
      </c>
    </row>
    <row r="170" spans="1:4">
      <c r="A170"/>
      <c r="B170" t="s">
        <v>2138</v>
      </c>
      <c r="C170">
        <v>1</v>
      </c>
      <c r="D170" s="19">
        <v>283017.7</v>
      </c>
    </row>
    <row r="171" spans="1:4">
      <c r="A171"/>
      <c r="B171" t="s">
        <v>6345</v>
      </c>
      <c r="C171">
        <v>1</v>
      </c>
      <c r="D171" s="19">
        <v>717927</v>
      </c>
    </row>
    <row r="172" spans="1:4">
      <c r="A172" s="20" t="s">
        <v>7563</v>
      </c>
      <c r="C172">
        <v>3</v>
      </c>
      <c r="D172" s="19">
        <v>1107259.3</v>
      </c>
    </row>
    <row r="173" spans="1:4">
      <c r="A173" s="23" t="s">
        <v>3452</v>
      </c>
      <c r="B173" t="s">
        <v>5458</v>
      </c>
      <c r="C173">
        <v>1</v>
      </c>
      <c r="D173" s="19">
        <v>6295516.5</v>
      </c>
    </row>
    <row r="174" spans="1:4">
      <c r="A174" s="23" t="s">
        <v>7564</v>
      </c>
      <c r="B174" s="23"/>
      <c r="C174">
        <v>1</v>
      </c>
      <c r="D174" s="19">
        <v>6295516.5</v>
      </c>
    </row>
    <row r="175" spans="1:4">
      <c r="A175" t="s">
        <v>4037</v>
      </c>
      <c r="B175" t="s">
        <v>4034</v>
      </c>
      <c r="C175">
        <v>1</v>
      </c>
      <c r="D175" s="19">
        <v>126349.23</v>
      </c>
    </row>
    <row r="176" spans="1:4">
      <c r="A176"/>
      <c r="B176" t="s">
        <v>6415</v>
      </c>
      <c r="C176">
        <v>1</v>
      </c>
      <c r="D176" s="19">
        <v>689675.21</v>
      </c>
    </row>
    <row r="177" spans="1:4">
      <c r="A177"/>
      <c r="B177" t="s">
        <v>6418</v>
      </c>
      <c r="C177">
        <v>1</v>
      </c>
      <c r="D177" s="19">
        <v>327445.15999999997</v>
      </c>
    </row>
    <row r="178" spans="1:4">
      <c r="A178"/>
      <c r="B178" t="s">
        <v>6421</v>
      </c>
      <c r="C178">
        <v>1</v>
      </c>
      <c r="D178" s="19">
        <v>230593.23</v>
      </c>
    </row>
    <row r="179" spans="1:4">
      <c r="A179"/>
      <c r="B179" t="s">
        <v>6424</v>
      </c>
      <c r="C179">
        <v>1</v>
      </c>
      <c r="D179" s="19">
        <v>372048.53</v>
      </c>
    </row>
    <row r="180" spans="1:4">
      <c r="A180"/>
      <c r="B180" t="s">
        <v>6427</v>
      </c>
      <c r="C180">
        <v>1</v>
      </c>
      <c r="D180" s="19">
        <v>111667.22</v>
      </c>
    </row>
    <row r="181" spans="1:4">
      <c r="A181"/>
      <c r="B181" t="s">
        <v>6430</v>
      </c>
      <c r="C181">
        <v>1</v>
      </c>
      <c r="D181" s="19">
        <v>46841.760000000002</v>
      </c>
    </row>
    <row r="182" spans="1:4">
      <c r="A182"/>
      <c r="B182" t="s">
        <v>6433</v>
      </c>
      <c r="C182">
        <v>1</v>
      </c>
      <c r="D182" s="19">
        <v>21585.41</v>
      </c>
    </row>
    <row r="183" spans="1:4">
      <c r="A183"/>
      <c r="B183" t="s">
        <v>6436</v>
      </c>
      <c r="C183">
        <v>1</v>
      </c>
      <c r="D183" s="19">
        <v>125232.03</v>
      </c>
    </row>
    <row r="184" spans="1:4">
      <c r="A184"/>
      <c r="B184" t="s">
        <v>6439</v>
      </c>
      <c r="C184">
        <v>1</v>
      </c>
      <c r="D184" s="19">
        <v>40010.18</v>
      </c>
    </row>
    <row r="185" spans="1:4">
      <c r="A185"/>
      <c r="B185" t="s">
        <v>6442</v>
      </c>
      <c r="C185">
        <v>1</v>
      </c>
      <c r="D185" s="19">
        <v>97628.79</v>
      </c>
    </row>
    <row r="186" spans="1:4">
      <c r="A186" s="20" t="s">
        <v>7565</v>
      </c>
      <c r="C186">
        <v>11</v>
      </c>
      <c r="D186" s="19">
        <v>2189076.7499999995</v>
      </c>
    </row>
    <row r="187" spans="1:4">
      <c r="A187" s="23" t="s">
        <v>1870</v>
      </c>
      <c r="B187" t="s">
        <v>1872</v>
      </c>
      <c r="C187">
        <v>1</v>
      </c>
      <c r="D187" s="19">
        <v>122024.98</v>
      </c>
    </row>
    <row r="188" spans="1:4">
      <c r="B188" t="s">
        <v>1919</v>
      </c>
      <c r="C188">
        <v>1</v>
      </c>
      <c r="D188" s="19">
        <v>806820</v>
      </c>
    </row>
    <row r="189" spans="1:4">
      <c r="B189" t="s">
        <v>1940</v>
      </c>
      <c r="C189">
        <v>1</v>
      </c>
      <c r="D189" s="19">
        <v>434012.04</v>
      </c>
    </row>
    <row r="190" spans="1:4">
      <c r="B190" t="s">
        <v>2061</v>
      </c>
      <c r="C190">
        <v>1</v>
      </c>
      <c r="D190" s="19">
        <v>1030897</v>
      </c>
    </row>
    <row r="191" spans="1:4">
      <c r="B191" t="s">
        <v>3087</v>
      </c>
      <c r="C191">
        <v>1</v>
      </c>
      <c r="D191" s="19">
        <v>167305</v>
      </c>
    </row>
    <row r="192" spans="1:4">
      <c r="B192" t="s">
        <v>4973</v>
      </c>
      <c r="C192">
        <v>1</v>
      </c>
      <c r="D192" s="19">
        <v>914217.5</v>
      </c>
    </row>
    <row r="193" spans="1:4">
      <c r="B193" t="s">
        <v>6166</v>
      </c>
      <c r="C193">
        <v>1</v>
      </c>
      <c r="D193" s="19">
        <v>2279287.92</v>
      </c>
    </row>
    <row r="194" spans="1:4">
      <c r="A194" s="23" t="s">
        <v>7566</v>
      </c>
      <c r="B194" s="23"/>
      <c r="C194">
        <v>7</v>
      </c>
      <c r="D194" s="19">
        <v>5754564.4399999995</v>
      </c>
    </row>
    <row r="195" spans="1:4">
      <c r="A195" t="s">
        <v>6052</v>
      </c>
      <c r="B195" t="s">
        <v>6049</v>
      </c>
      <c r="C195">
        <v>1</v>
      </c>
      <c r="D195" s="19">
        <v>2393297.06</v>
      </c>
    </row>
    <row r="196" spans="1:4">
      <c r="A196"/>
      <c r="B196" t="s">
        <v>6509</v>
      </c>
      <c r="C196">
        <v>1</v>
      </c>
      <c r="D196" s="19">
        <v>7225101.6600000001</v>
      </c>
    </row>
    <row r="197" spans="1:4">
      <c r="A197" s="20" t="s">
        <v>7567</v>
      </c>
      <c r="C197">
        <v>2</v>
      </c>
      <c r="D197" s="19">
        <v>9618398.7200000007</v>
      </c>
    </row>
    <row r="198" spans="1:4">
      <c r="A198" s="23" t="s">
        <v>70</v>
      </c>
      <c r="B198" t="s">
        <v>4181</v>
      </c>
      <c r="C198">
        <v>1</v>
      </c>
      <c r="D198" s="19">
        <v>261252.6</v>
      </c>
    </row>
    <row r="199" spans="1:4">
      <c r="B199" t="s">
        <v>4814</v>
      </c>
      <c r="C199">
        <v>1</v>
      </c>
      <c r="D199" s="19">
        <v>212693.46</v>
      </c>
    </row>
    <row r="200" spans="1:4">
      <c r="B200" t="s">
        <v>4820</v>
      </c>
      <c r="C200">
        <v>1</v>
      </c>
      <c r="D200" s="19">
        <v>341956.02</v>
      </c>
    </row>
    <row r="201" spans="1:4">
      <c r="B201" t="s">
        <v>4985</v>
      </c>
      <c r="C201">
        <v>1</v>
      </c>
      <c r="D201" s="19">
        <v>4151453.04</v>
      </c>
    </row>
    <row r="202" spans="1:4">
      <c r="B202" t="s">
        <v>5587</v>
      </c>
      <c r="C202">
        <v>1</v>
      </c>
      <c r="D202" s="19">
        <v>67092.2</v>
      </c>
    </row>
    <row r="203" spans="1:4">
      <c r="B203" t="s">
        <v>6687</v>
      </c>
      <c r="C203">
        <v>1</v>
      </c>
      <c r="D203" s="19">
        <v>16249.45</v>
      </c>
    </row>
    <row r="204" spans="1:4">
      <c r="A204" s="23" t="s">
        <v>7568</v>
      </c>
      <c r="B204" s="23"/>
      <c r="C204">
        <v>6</v>
      </c>
      <c r="D204" s="19">
        <v>5050696.7700000005</v>
      </c>
    </row>
    <row r="205" spans="1:4">
      <c r="A205" s="23" t="s">
        <v>3516</v>
      </c>
      <c r="B205" t="s">
        <v>3513</v>
      </c>
      <c r="C205">
        <v>1</v>
      </c>
      <c r="D205" s="19">
        <v>4151777.91</v>
      </c>
    </row>
    <row r="206" spans="1:4">
      <c r="B206" t="s">
        <v>3518</v>
      </c>
      <c r="C206">
        <v>1</v>
      </c>
      <c r="D206" s="19">
        <v>9900854.7400000002</v>
      </c>
    </row>
    <row r="207" spans="1:4">
      <c r="B207" t="s">
        <v>5156</v>
      </c>
      <c r="C207">
        <v>1</v>
      </c>
      <c r="D207" s="19">
        <v>107975.84</v>
      </c>
    </row>
    <row r="208" spans="1:4">
      <c r="B208" t="s">
        <v>6252</v>
      </c>
      <c r="C208">
        <v>1</v>
      </c>
      <c r="D208" s="19">
        <v>1111460</v>
      </c>
    </row>
    <row r="209" spans="1:4">
      <c r="B209" t="s">
        <v>6263</v>
      </c>
      <c r="C209">
        <v>1</v>
      </c>
      <c r="D209" s="19">
        <v>412763.4</v>
      </c>
    </row>
    <row r="210" spans="1:4">
      <c r="B210" t="s">
        <v>6282</v>
      </c>
      <c r="C210">
        <v>1</v>
      </c>
      <c r="D210" s="19">
        <v>297500</v>
      </c>
    </row>
    <row r="211" spans="1:4">
      <c r="A211" s="23" t="s">
        <v>7569</v>
      </c>
      <c r="B211" s="23"/>
      <c r="C211">
        <v>6</v>
      </c>
      <c r="D211" s="19">
        <v>15982331.890000001</v>
      </c>
    </row>
    <row r="212" spans="1:4">
      <c r="A212" s="23" t="s">
        <v>866</v>
      </c>
      <c r="B212" t="s">
        <v>863</v>
      </c>
      <c r="C212">
        <v>1</v>
      </c>
      <c r="D212" s="19">
        <v>6713980</v>
      </c>
    </row>
    <row r="213" spans="1:4">
      <c r="B213" t="s">
        <v>2082</v>
      </c>
      <c r="C213">
        <v>1</v>
      </c>
      <c r="D213" s="19">
        <v>670922</v>
      </c>
    </row>
    <row r="214" spans="1:4">
      <c r="B214" t="s">
        <v>3492</v>
      </c>
      <c r="C214">
        <v>1</v>
      </c>
      <c r="D214" s="19">
        <v>4147150</v>
      </c>
    </row>
    <row r="215" spans="1:4">
      <c r="A215" s="23" t="s">
        <v>7570</v>
      </c>
      <c r="B215" s="23"/>
      <c r="C215">
        <v>3</v>
      </c>
      <c r="D215" s="19">
        <v>11532052</v>
      </c>
    </row>
    <row r="216" spans="1:4">
      <c r="A216" s="23" t="s">
        <v>3739</v>
      </c>
      <c r="B216" t="s">
        <v>3834</v>
      </c>
      <c r="C216">
        <v>1</v>
      </c>
      <c r="D216" s="19">
        <v>8128562.75</v>
      </c>
    </row>
    <row r="217" spans="1:4">
      <c r="A217" s="23" t="s">
        <v>7571</v>
      </c>
      <c r="B217" s="23"/>
      <c r="C217">
        <v>1</v>
      </c>
      <c r="D217" s="19">
        <v>8128562.75</v>
      </c>
    </row>
    <row r="218" spans="1:4">
      <c r="A218" s="23" t="s">
        <v>323</v>
      </c>
      <c r="B218" t="s">
        <v>320</v>
      </c>
      <c r="C218">
        <v>1</v>
      </c>
      <c r="D218" s="19">
        <v>1166200</v>
      </c>
    </row>
    <row r="219" spans="1:4">
      <c r="B219" t="s">
        <v>2828</v>
      </c>
      <c r="C219">
        <v>1</v>
      </c>
      <c r="D219" s="19">
        <v>2332400</v>
      </c>
    </row>
    <row r="220" spans="1:4">
      <c r="B220" t="s">
        <v>2992</v>
      </c>
      <c r="C220">
        <v>1</v>
      </c>
      <c r="D220" s="19">
        <v>12828200</v>
      </c>
    </row>
    <row r="221" spans="1:4">
      <c r="B221" t="s">
        <v>4556</v>
      </c>
      <c r="C221">
        <v>1</v>
      </c>
      <c r="D221" s="19">
        <v>12828200</v>
      </c>
    </row>
    <row r="222" spans="1:4">
      <c r="B222" t="s">
        <v>6241</v>
      </c>
      <c r="C222">
        <v>1</v>
      </c>
      <c r="D222" s="19">
        <v>1159060</v>
      </c>
    </row>
    <row r="223" spans="1:4">
      <c r="B223" t="s">
        <v>6348</v>
      </c>
      <c r="C223">
        <v>1</v>
      </c>
      <c r="D223" s="19">
        <v>5729850</v>
      </c>
    </row>
    <row r="224" spans="1:4">
      <c r="A224" s="23" t="s">
        <v>7572</v>
      </c>
      <c r="B224" s="23"/>
      <c r="C224">
        <v>6</v>
      </c>
      <c r="D224" s="19">
        <v>36043910</v>
      </c>
    </row>
    <row r="225" spans="1:4">
      <c r="A225" s="23" t="s">
        <v>2416</v>
      </c>
      <c r="B225" t="s">
        <v>2413</v>
      </c>
      <c r="C225">
        <v>1</v>
      </c>
      <c r="D225" s="19">
        <v>906661</v>
      </c>
    </row>
    <row r="226" spans="1:4">
      <c r="B226" t="s">
        <v>4348</v>
      </c>
      <c r="C226">
        <v>1</v>
      </c>
      <c r="D226" s="19">
        <v>315350</v>
      </c>
    </row>
    <row r="227" spans="1:4">
      <c r="B227" t="s">
        <v>5319</v>
      </c>
      <c r="C227">
        <v>1</v>
      </c>
      <c r="D227" s="19">
        <v>1593844</v>
      </c>
    </row>
    <row r="228" spans="1:4">
      <c r="B228" t="s">
        <v>5687</v>
      </c>
      <c r="C228">
        <v>1</v>
      </c>
      <c r="D228" s="19">
        <v>2176504.0499999998</v>
      </c>
    </row>
    <row r="229" spans="1:4">
      <c r="B229" t="s">
        <v>6572</v>
      </c>
      <c r="C229">
        <v>1</v>
      </c>
      <c r="D229" s="19">
        <v>715701.7</v>
      </c>
    </row>
    <row r="230" spans="1:4">
      <c r="A230" s="23" t="s">
        <v>7573</v>
      </c>
      <c r="B230" s="23"/>
      <c r="C230">
        <v>5</v>
      </c>
      <c r="D230" s="19">
        <v>5708060.75</v>
      </c>
    </row>
    <row r="231" spans="1:4">
      <c r="A231" s="23" t="s">
        <v>5202</v>
      </c>
      <c r="B231" t="s">
        <v>5200</v>
      </c>
      <c r="C231">
        <v>1</v>
      </c>
      <c r="D231" s="19">
        <v>879410</v>
      </c>
    </row>
    <row r="232" spans="1:4">
      <c r="A232" s="23" t="s">
        <v>7574</v>
      </c>
      <c r="B232" s="23"/>
      <c r="C232">
        <v>1</v>
      </c>
      <c r="D232" s="19">
        <v>879410</v>
      </c>
    </row>
    <row r="233" spans="1:4">
      <c r="A233" t="s">
        <v>1723</v>
      </c>
      <c r="B233" t="s">
        <v>1720</v>
      </c>
      <c r="C233">
        <v>1</v>
      </c>
      <c r="D233" s="19">
        <v>49504</v>
      </c>
    </row>
    <row r="234" spans="1:4">
      <c r="A234"/>
      <c r="B234" t="s">
        <v>6471</v>
      </c>
      <c r="C234">
        <v>1</v>
      </c>
      <c r="D234" s="19">
        <v>733873</v>
      </c>
    </row>
    <row r="235" spans="1:4">
      <c r="A235" s="20" t="s">
        <v>7575</v>
      </c>
      <c r="C235">
        <v>2</v>
      </c>
      <c r="D235" s="19">
        <v>783377</v>
      </c>
    </row>
    <row r="236" spans="1:4">
      <c r="A236" t="s">
        <v>2885</v>
      </c>
      <c r="B236" t="s">
        <v>4916</v>
      </c>
      <c r="C236">
        <v>1</v>
      </c>
      <c r="D236" s="19">
        <v>1088448</v>
      </c>
    </row>
    <row r="237" spans="1:4">
      <c r="A237"/>
      <c r="B237" t="s">
        <v>6199</v>
      </c>
      <c r="C237">
        <v>1</v>
      </c>
      <c r="D237" s="19">
        <v>49706.3</v>
      </c>
    </row>
    <row r="238" spans="1:4">
      <c r="A238" s="20" t="s">
        <v>7576</v>
      </c>
      <c r="C238">
        <v>2</v>
      </c>
      <c r="D238" s="19">
        <v>1138154.3</v>
      </c>
    </row>
    <row r="239" spans="1:4">
      <c r="A239" s="23" t="s">
        <v>765</v>
      </c>
      <c r="B239" t="s">
        <v>3570</v>
      </c>
      <c r="C239">
        <v>1</v>
      </c>
      <c r="D239" s="19">
        <v>89737.9</v>
      </c>
    </row>
    <row r="240" spans="1:4">
      <c r="B240" t="s">
        <v>3669</v>
      </c>
      <c r="C240">
        <v>1</v>
      </c>
      <c r="D240" s="19">
        <v>785697.9</v>
      </c>
    </row>
    <row r="241" spans="1:4">
      <c r="B241" t="s">
        <v>3898</v>
      </c>
      <c r="C241">
        <v>1</v>
      </c>
      <c r="D241" s="19">
        <v>169575</v>
      </c>
    </row>
    <row r="242" spans="1:4">
      <c r="B242" t="s">
        <v>3934</v>
      </c>
      <c r="C242">
        <v>1</v>
      </c>
      <c r="D242" s="19">
        <v>285600</v>
      </c>
    </row>
    <row r="243" spans="1:4">
      <c r="B243" t="s">
        <v>4039</v>
      </c>
      <c r="C243">
        <v>1</v>
      </c>
      <c r="D243" s="19">
        <v>518023.66</v>
      </c>
    </row>
    <row r="244" spans="1:4">
      <c r="B244" t="s">
        <v>4047</v>
      </c>
      <c r="C244">
        <v>1</v>
      </c>
      <c r="D244" s="19">
        <v>293511.12</v>
      </c>
    </row>
    <row r="245" spans="1:4">
      <c r="B245" t="s">
        <v>4273</v>
      </c>
      <c r="C245">
        <v>1</v>
      </c>
      <c r="D245" s="19">
        <v>178500</v>
      </c>
    </row>
    <row r="246" spans="1:4">
      <c r="B246" t="s">
        <v>4448</v>
      </c>
      <c r="C246">
        <v>1</v>
      </c>
      <c r="D246" s="19">
        <v>78694.7</v>
      </c>
    </row>
    <row r="247" spans="1:4">
      <c r="B247" t="s">
        <v>4715</v>
      </c>
      <c r="C247">
        <v>1</v>
      </c>
      <c r="D247" s="19">
        <v>119000</v>
      </c>
    </row>
    <row r="248" spans="1:4">
      <c r="B248" t="s">
        <v>6763</v>
      </c>
      <c r="C248">
        <v>1</v>
      </c>
      <c r="D248" s="19">
        <v>9520</v>
      </c>
    </row>
    <row r="249" spans="1:4">
      <c r="A249" s="23" t="s">
        <v>7577</v>
      </c>
      <c r="B249" s="23"/>
      <c r="C249">
        <v>10</v>
      </c>
      <c r="D249" s="19">
        <v>2527860.2800000003</v>
      </c>
    </row>
    <row r="250" spans="1:4">
      <c r="A250" s="23" t="s">
        <v>593</v>
      </c>
      <c r="B250" t="s">
        <v>590</v>
      </c>
      <c r="C250">
        <v>1</v>
      </c>
      <c r="D250" s="19">
        <v>2356200</v>
      </c>
    </row>
    <row r="251" spans="1:4">
      <c r="B251" t="s">
        <v>595</v>
      </c>
      <c r="C251">
        <v>1</v>
      </c>
      <c r="D251" s="19">
        <v>1838728.5</v>
      </c>
    </row>
    <row r="252" spans="1:4">
      <c r="B252" t="s">
        <v>1669</v>
      </c>
      <c r="C252">
        <v>1</v>
      </c>
      <c r="D252" s="19">
        <v>84490</v>
      </c>
    </row>
    <row r="253" spans="1:4">
      <c r="A253" s="23" t="s">
        <v>7578</v>
      </c>
      <c r="B253" s="23"/>
      <c r="C253">
        <v>3</v>
      </c>
      <c r="D253" s="19">
        <v>4279418.5</v>
      </c>
    </row>
    <row r="254" spans="1:4">
      <c r="A254" t="s">
        <v>794</v>
      </c>
      <c r="B254" t="s">
        <v>2688</v>
      </c>
      <c r="C254">
        <v>1</v>
      </c>
      <c r="D254" s="19">
        <v>119000</v>
      </c>
    </row>
    <row r="255" spans="1:4">
      <c r="A255" s="20" t="s">
        <v>7579</v>
      </c>
      <c r="C255">
        <v>1</v>
      </c>
      <c r="D255" s="19">
        <v>119000</v>
      </c>
    </row>
    <row r="256" spans="1:4">
      <c r="A256" s="23" t="s">
        <v>995</v>
      </c>
      <c r="B256" t="s">
        <v>6699</v>
      </c>
      <c r="C256">
        <v>1</v>
      </c>
      <c r="D256" s="19">
        <v>27790248.5</v>
      </c>
    </row>
    <row r="257" spans="1:4">
      <c r="A257" s="23" t="s">
        <v>7580</v>
      </c>
      <c r="B257" s="23"/>
      <c r="C257">
        <v>1</v>
      </c>
      <c r="D257" s="19">
        <v>27790248.5</v>
      </c>
    </row>
    <row r="258" spans="1:4">
      <c r="A258" s="23" t="s">
        <v>4320</v>
      </c>
      <c r="B258" t="s">
        <v>4317</v>
      </c>
      <c r="C258">
        <v>1</v>
      </c>
      <c r="D258" s="19">
        <v>892500</v>
      </c>
    </row>
    <row r="259" spans="1:4">
      <c r="A259" s="23" t="s">
        <v>7581</v>
      </c>
      <c r="B259" s="23"/>
      <c r="C259">
        <v>1</v>
      </c>
      <c r="D259" s="19">
        <v>892500</v>
      </c>
    </row>
    <row r="260" spans="1:4">
      <c r="A260" s="23" t="s">
        <v>376</v>
      </c>
      <c r="B260" t="s">
        <v>373</v>
      </c>
      <c r="C260">
        <v>1</v>
      </c>
      <c r="D260" s="19">
        <v>1689800</v>
      </c>
    </row>
    <row r="261" spans="1:4">
      <c r="B261" t="s">
        <v>378</v>
      </c>
      <c r="C261">
        <v>1</v>
      </c>
      <c r="D261" s="19">
        <v>7500656.8700000001</v>
      </c>
    </row>
    <row r="262" spans="1:4">
      <c r="B262" t="s">
        <v>386</v>
      </c>
      <c r="C262">
        <v>1</v>
      </c>
      <c r="D262" s="19">
        <v>5425329</v>
      </c>
    </row>
    <row r="263" spans="1:4">
      <c r="B263" t="s">
        <v>389</v>
      </c>
      <c r="C263">
        <v>1</v>
      </c>
      <c r="D263" s="19">
        <v>928200</v>
      </c>
    </row>
    <row r="264" spans="1:4">
      <c r="A264" s="23" t="s">
        <v>7582</v>
      </c>
      <c r="B264" s="23"/>
      <c r="C264">
        <v>4</v>
      </c>
      <c r="D264" s="19">
        <v>15543985.870000001</v>
      </c>
    </row>
    <row r="265" spans="1:4">
      <c r="A265" t="s">
        <v>6567</v>
      </c>
      <c r="B265" t="s">
        <v>6564</v>
      </c>
      <c r="C265">
        <v>1</v>
      </c>
      <c r="D265" s="19">
        <v>1695750</v>
      </c>
    </row>
    <row r="266" spans="1:4">
      <c r="A266"/>
      <c r="B266" t="s">
        <v>6569</v>
      </c>
      <c r="C266">
        <v>1</v>
      </c>
      <c r="D266" s="19">
        <v>901853.4</v>
      </c>
    </row>
    <row r="267" spans="1:4">
      <c r="A267" s="20" t="s">
        <v>7583</v>
      </c>
      <c r="C267">
        <v>2</v>
      </c>
      <c r="D267" s="19">
        <v>2597603.4</v>
      </c>
    </row>
    <row r="268" spans="1:4">
      <c r="A268" t="s">
        <v>2577</v>
      </c>
      <c r="B268" t="s">
        <v>4851</v>
      </c>
      <c r="C268">
        <v>1</v>
      </c>
      <c r="D268" s="19">
        <v>40222000</v>
      </c>
    </row>
    <row r="269" spans="1:4">
      <c r="A269" s="20" t="s">
        <v>7584</v>
      </c>
      <c r="C269">
        <v>1</v>
      </c>
      <c r="D269" s="19">
        <v>40222000</v>
      </c>
    </row>
    <row r="270" spans="1:4">
      <c r="A270" s="23" t="s">
        <v>1199</v>
      </c>
      <c r="B270" t="s">
        <v>1196</v>
      </c>
      <c r="C270">
        <v>1</v>
      </c>
      <c r="D270" s="19">
        <v>1686872.6</v>
      </c>
    </row>
    <row r="271" spans="1:4">
      <c r="B271" t="s">
        <v>1201</v>
      </c>
      <c r="C271">
        <v>1</v>
      </c>
      <c r="D271" s="19">
        <v>2087908.55</v>
      </c>
    </row>
    <row r="272" spans="1:4">
      <c r="B272" t="s">
        <v>2069</v>
      </c>
      <c r="C272">
        <v>1</v>
      </c>
      <c r="D272" s="19">
        <v>10440000</v>
      </c>
    </row>
    <row r="273" spans="1:4">
      <c r="A273" s="23" t="s">
        <v>7585</v>
      </c>
      <c r="B273" s="23"/>
      <c r="C273">
        <v>3</v>
      </c>
      <c r="D273" s="19">
        <v>14214781.15</v>
      </c>
    </row>
    <row r="274" spans="1:4">
      <c r="A274" t="s">
        <v>5167</v>
      </c>
      <c r="B274" t="s">
        <v>5164</v>
      </c>
      <c r="C274">
        <v>1</v>
      </c>
      <c r="D274" s="19">
        <v>4987251.26</v>
      </c>
    </row>
    <row r="275" spans="1:4">
      <c r="A275" s="20" t="s">
        <v>7586</v>
      </c>
      <c r="C275">
        <v>1</v>
      </c>
      <c r="D275" s="19">
        <v>4987251.26</v>
      </c>
    </row>
    <row r="276" spans="1:4">
      <c r="A276" s="23" t="s">
        <v>3121</v>
      </c>
      <c r="B276" t="s">
        <v>3119</v>
      </c>
      <c r="C276">
        <v>1</v>
      </c>
      <c r="D276" s="19">
        <v>521220</v>
      </c>
    </row>
    <row r="277" spans="1:4">
      <c r="A277" s="23" t="s">
        <v>7587</v>
      </c>
      <c r="B277" s="23"/>
      <c r="C277">
        <v>1</v>
      </c>
      <c r="D277" s="19">
        <v>521220</v>
      </c>
    </row>
    <row r="278" spans="1:4">
      <c r="A278" t="s">
        <v>1462</v>
      </c>
      <c r="B278" t="s">
        <v>1459</v>
      </c>
      <c r="C278">
        <v>1</v>
      </c>
      <c r="D278" s="19">
        <v>188229.44</v>
      </c>
    </row>
    <row r="279" spans="1:4">
      <c r="A279"/>
      <c r="B279" t="s">
        <v>4199</v>
      </c>
      <c r="C279">
        <v>1</v>
      </c>
      <c r="D279" s="19">
        <v>967529.5</v>
      </c>
    </row>
    <row r="280" spans="1:4">
      <c r="A280" s="20" t="s">
        <v>7588</v>
      </c>
      <c r="C280">
        <v>2</v>
      </c>
      <c r="D280" s="19">
        <v>1155758.94</v>
      </c>
    </row>
    <row r="281" spans="1:4">
      <c r="A281" s="23" t="s">
        <v>553</v>
      </c>
      <c r="B281" t="s">
        <v>550</v>
      </c>
      <c r="C281">
        <v>1</v>
      </c>
      <c r="D281" s="19">
        <v>749700</v>
      </c>
    </row>
    <row r="282" spans="1:4">
      <c r="A282" s="23" t="s">
        <v>7589</v>
      </c>
      <c r="B282" s="23"/>
      <c r="C282">
        <v>1</v>
      </c>
      <c r="D282" s="19">
        <v>749700</v>
      </c>
    </row>
    <row r="283" spans="1:4">
      <c r="A283" s="23" t="s">
        <v>1630</v>
      </c>
      <c r="B283" t="s">
        <v>3436</v>
      </c>
      <c r="C283">
        <v>1</v>
      </c>
      <c r="D283" s="19">
        <v>110758588</v>
      </c>
    </row>
    <row r="284" spans="1:4">
      <c r="B284" t="s">
        <v>4223</v>
      </c>
      <c r="C284">
        <v>1</v>
      </c>
      <c r="D284" s="19">
        <v>3046400</v>
      </c>
    </row>
    <row r="285" spans="1:4">
      <c r="B285" t="s">
        <v>5415</v>
      </c>
      <c r="C285">
        <v>1</v>
      </c>
      <c r="D285" s="19">
        <v>1423240</v>
      </c>
    </row>
    <row r="286" spans="1:4">
      <c r="B286" t="s">
        <v>6495</v>
      </c>
      <c r="C286">
        <v>1</v>
      </c>
      <c r="D286" s="19">
        <v>1993250</v>
      </c>
    </row>
    <row r="287" spans="1:4">
      <c r="B287" t="s">
        <v>6498</v>
      </c>
      <c r="C287">
        <v>1</v>
      </c>
      <c r="D287" s="19">
        <v>2887892</v>
      </c>
    </row>
    <row r="288" spans="1:4">
      <c r="A288" s="23" t="s">
        <v>7590</v>
      </c>
      <c r="B288" s="23"/>
      <c r="C288">
        <v>5</v>
      </c>
      <c r="D288" s="19">
        <v>120109370</v>
      </c>
    </row>
    <row r="289" spans="1:4">
      <c r="A289" t="s">
        <v>151</v>
      </c>
      <c r="B289" t="s">
        <v>148</v>
      </c>
      <c r="C289">
        <v>1</v>
      </c>
      <c r="D289" s="19">
        <v>1455274.8</v>
      </c>
    </row>
    <row r="290" spans="1:4">
      <c r="A290"/>
      <c r="B290" t="s">
        <v>2644</v>
      </c>
      <c r="C290">
        <v>1</v>
      </c>
      <c r="D290" s="19">
        <v>59500</v>
      </c>
    </row>
    <row r="291" spans="1:4">
      <c r="A291"/>
      <c r="B291" t="s">
        <v>2647</v>
      </c>
      <c r="C291">
        <v>1</v>
      </c>
      <c r="D291" s="19">
        <v>427061.25</v>
      </c>
    </row>
    <row r="292" spans="1:4">
      <c r="A292"/>
      <c r="B292" t="s">
        <v>5090</v>
      </c>
      <c r="C292">
        <v>1</v>
      </c>
      <c r="D292" s="19">
        <v>6988052.4699999997</v>
      </c>
    </row>
    <row r="293" spans="1:4">
      <c r="A293" s="20" t="s">
        <v>7591</v>
      </c>
      <c r="C293">
        <v>4</v>
      </c>
      <c r="D293" s="19">
        <v>8929888.5199999996</v>
      </c>
    </row>
    <row r="294" spans="1:4">
      <c r="A294" t="s">
        <v>1846</v>
      </c>
      <c r="B294" t="s">
        <v>1843</v>
      </c>
      <c r="C294">
        <v>1</v>
      </c>
      <c r="D294" s="19">
        <v>898000</v>
      </c>
    </row>
    <row r="295" spans="1:4">
      <c r="A295" s="20" t="s">
        <v>7592</v>
      </c>
      <c r="C295">
        <v>1</v>
      </c>
      <c r="D295" s="19">
        <v>898000</v>
      </c>
    </row>
    <row r="296" spans="1:4">
      <c r="A296" s="23" t="s">
        <v>4262</v>
      </c>
      <c r="B296" t="s">
        <v>4259</v>
      </c>
      <c r="C296">
        <v>1</v>
      </c>
      <c r="D296" s="19">
        <v>83853</v>
      </c>
    </row>
    <row r="297" spans="1:4">
      <c r="A297" s="23" t="s">
        <v>7593</v>
      </c>
      <c r="B297" s="23"/>
      <c r="C297">
        <v>1</v>
      </c>
      <c r="D297" s="19">
        <v>83853</v>
      </c>
    </row>
    <row r="298" spans="1:4">
      <c r="A298" s="23" t="s">
        <v>3697</v>
      </c>
      <c r="B298" t="s">
        <v>3694</v>
      </c>
      <c r="C298">
        <v>1</v>
      </c>
      <c r="D298" s="19">
        <v>208250</v>
      </c>
    </row>
    <row r="299" spans="1:4">
      <c r="B299" t="s">
        <v>4256</v>
      </c>
      <c r="C299">
        <v>1</v>
      </c>
      <c r="D299" s="19">
        <v>27951</v>
      </c>
    </row>
    <row r="300" spans="1:4">
      <c r="A300" s="23" t="s">
        <v>7594</v>
      </c>
      <c r="B300" s="23"/>
      <c r="C300">
        <v>2</v>
      </c>
      <c r="D300" s="19">
        <v>236201</v>
      </c>
    </row>
    <row r="301" spans="1:4">
      <c r="A301" s="23" t="s">
        <v>4269</v>
      </c>
      <c r="B301" t="s">
        <v>4266</v>
      </c>
      <c r="C301">
        <v>1</v>
      </c>
      <c r="D301" s="19">
        <v>55902</v>
      </c>
    </row>
    <row r="302" spans="1:4">
      <c r="A302" s="23" t="s">
        <v>7595</v>
      </c>
      <c r="B302" s="23"/>
      <c r="C302">
        <v>1</v>
      </c>
      <c r="D302" s="19">
        <v>55902</v>
      </c>
    </row>
    <row r="303" spans="1:4">
      <c r="A303" t="s">
        <v>6448</v>
      </c>
      <c r="B303" t="s">
        <v>6445</v>
      </c>
      <c r="C303">
        <v>1</v>
      </c>
      <c r="D303" s="19">
        <v>6069</v>
      </c>
    </row>
    <row r="304" spans="1:4">
      <c r="A304"/>
      <c r="B304" t="s">
        <v>6450</v>
      </c>
      <c r="C304">
        <v>1</v>
      </c>
      <c r="D304" s="19">
        <v>311090.28999999998</v>
      </c>
    </row>
    <row r="305" spans="1:4">
      <c r="A305"/>
      <c r="B305" t="s">
        <v>6453</v>
      </c>
      <c r="C305">
        <v>1</v>
      </c>
      <c r="D305" s="19">
        <v>181239.87</v>
      </c>
    </row>
    <row r="306" spans="1:4">
      <c r="A306"/>
      <c r="B306" t="s">
        <v>6456</v>
      </c>
      <c r="C306">
        <v>1</v>
      </c>
      <c r="D306" s="19">
        <v>97744.01</v>
      </c>
    </row>
    <row r="307" spans="1:4">
      <c r="A307" s="20" t="s">
        <v>7596</v>
      </c>
      <c r="C307">
        <v>4</v>
      </c>
      <c r="D307" s="19">
        <v>596143.16999999993</v>
      </c>
    </row>
    <row r="308" spans="1:4">
      <c r="A308" t="s">
        <v>395</v>
      </c>
      <c r="B308" t="s">
        <v>392</v>
      </c>
      <c r="C308">
        <v>1</v>
      </c>
      <c r="D308" s="19">
        <v>505750</v>
      </c>
    </row>
    <row r="309" spans="1:4">
      <c r="A309" s="20" t="s">
        <v>7597</v>
      </c>
      <c r="C309">
        <v>1</v>
      </c>
      <c r="D309" s="19">
        <v>505750</v>
      </c>
    </row>
    <row r="310" spans="1:4">
      <c r="A310" s="23" t="s">
        <v>1415</v>
      </c>
      <c r="B310" t="s">
        <v>1412</v>
      </c>
      <c r="C310">
        <v>1</v>
      </c>
      <c r="D310" s="19">
        <v>618800</v>
      </c>
    </row>
    <row r="311" spans="1:4">
      <c r="A311" s="23" t="s">
        <v>7598</v>
      </c>
      <c r="B311" s="23"/>
      <c r="C311">
        <v>1</v>
      </c>
      <c r="D311" s="19">
        <v>618800</v>
      </c>
    </row>
    <row r="312" spans="1:4">
      <c r="A312" s="23" t="s">
        <v>1042</v>
      </c>
      <c r="B312" t="s">
        <v>1039</v>
      </c>
      <c r="C312">
        <v>1</v>
      </c>
      <c r="D312" s="19">
        <v>2457718.9</v>
      </c>
    </row>
    <row r="313" spans="1:4">
      <c r="B313" t="s">
        <v>4264</v>
      </c>
      <c r="C313">
        <v>1</v>
      </c>
      <c r="D313" s="19">
        <v>111804</v>
      </c>
    </row>
    <row r="314" spans="1:4">
      <c r="A314" s="23" t="s">
        <v>7599</v>
      </c>
      <c r="B314" s="23"/>
      <c r="C314">
        <v>2</v>
      </c>
      <c r="D314" s="19">
        <v>2569522.9</v>
      </c>
    </row>
    <row r="315" spans="1:4">
      <c r="A315" s="23" t="s">
        <v>2067</v>
      </c>
      <c r="B315" t="s">
        <v>2064</v>
      </c>
      <c r="C315">
        <v>1</v>
      </c>
      <c r="D315" s="19">
        <v>567630</v>
      </c>
    </row>
    <row r="316" spans="1:4">
      <c r="B316" t="s">
        <v>4405</v>
      </c>
      <c r="C316">
        <v>1</v>
      </c>
      <c r="D316" s="19">
        <v>240380</v>
      </c>
    </row>
    <row r="317" spans="1:4">
      <c r="B317" t="s">
        <v>5606</v>
      </c>
      <c r="C317">
        <v>1</v>
      </c>
      <c r="D317" s="19">
        <v>1580888.82</v>
      </c>
    </row>
    <row r="318" spans="1:4">
      <c r="A318" s="23" t="s">
        <v>7600</v>
      </c>
      <c r="B318" s="23"/>
      <c r="C318">
        <v>3</v>
      </c>
      <c r="D318" s="19">
        <v>2388898.8200000003</v>
      </c>
    </row>
    <row r="319" spans="1:4">
      <c r="A319" s="23" t="s">
        <v>5464</v>
      </c>
      <c r="B319" t="s">
        <v>5461</v>
      </c>
      <c r="C319">
        <v>1</v>
      </c>
      <c r="D319" s="19">
        <v>1185525.6000000001</v>
      </c>
    </row>
    <row r="320" spans="1:4">
      <c r="A320" s="23" t="s">
        <v>7601</v>
      </c>
      <c r="B320" s="23"/>
      <c r="C320">
        <v>1</v>
      </c>
      <c r="D320" s="19">
        <v>1185525.6000000001</v>
      </c>
    </row>
    <row r="321" spans="1:4">
      <c r="A321" t="s">
        <v>2686</v>
      </c>
      <c r="B321" t="s">
        <v>2683</v>
      </c>
      <c r="C321">
        <v>1</v>
      </c>
      <c r="D321" s="19">
        <v>2024657.67</v>
      </c>
    </row>
    <row r="322" spans="1:4">
      <c r="A322" s="20" t="s">
        <v>7602</v>
      </c>
      <c r="C322">
        <v>1</v>
      </c>
      <c r="D322" s="19">
        <v>2024657.67</v>
      </c>
    </row>
    <row r="323" spans="1:4">
      <c r="A323" s="23" t="s">
        <v>5218</v>
      </c>
      <c r="B323" t="s">
        <v>7603</v>
      </c>
      <c r="C323">
        <v>1</v>
      </c>
      <c r="D323" s="19">
        <v>17322711</v>
      </c>
    </row>
    <row r="324" spans="1:4">
      <c r="A324" s="23" t="s">
        <v>7604</v>
      </c>
      <c r="B324" s="23"/>
      <c r="C324">
        <v>1</v>
      </c>
      <c r="D324" s="19">
        <v>17322711</v>
      </c>
    </row>
    <row r="325" spans="1:4">
      <c r="A325" t="s">
        <v>2203</v>
      </c>
      <c r="B325" t="s">
        <v>2200</v>
      </c>
      <c r="C325">
        <v>1</v>
      </c>
      <c r="D325" s="19">
        <v>1439140</v>
      </c>
    </row>
    <row r="326" spans="1:4">
      <c r="A326"/>
      <c r="B326" t="s">
        <v>3367</v>
      </c>
      <c r="C326">
        <v>1</v>
      </c>
      <c r="D326" s="19">
        <v>3937850</v>
      </c>
    </row>
    <row r="327" spans="1:4">
      <c r="A327"/>
      <c r="B327" t="s">
        <v>3928</v>
      </c>
      <c r="C327">
        <v>1</v>
      </c>
      <c r="D327" s="19">
        <v>80920</v>
      </c>
    </row>
    <row r="328" spans="1:4">
      <c r="A328"/>
      <c r="B328" t="s">
        <v>4311</v>
      </c>
      <c r="C328">
        <v>1</v>
      </c>
      <c r="D328" s="19">
        <v>3110660</v>
      </c>
    </row>
    <row r="329" spans="1:4">
      <c r="A329"/>
      <c r="B329" t="s">
        <v>4550</v>
      </c>
      <c r="C329">
        <v>1</v>
      </c>
      <c r="D329" s="19">
        <v>1575140</v>
      </c>
    </row>
    <row r="330" spans="1:4">
      <c r="A330"/>
      <c r="B330" t="s">
        <v>5901</v>
      </c>
      <c r="C330">
        <v>1</v>
      </c>
      <c r="D330" s="19">
        <v>2362710</v>
      </c>
    </row>
    <row r="331" spans="1:4">
      <c r="A331" s="20" t="s">
        <v>7605</v>
      </c>
      <c r="C331">
        <v>6</v>
      </c>
      <c r="D331" s="19">
        <v>12506420</v>
      </c>
    </row>
    <row r="332" spans="1:4">
      <c r="A332" s="23" t="s">
        <v>2499</v>
      </c>
      <c r="B332" t="s">
        <v>2496</v>
      </c>
      <c r="C332">
        <v>1</v>
      </c>
      <c r="D332" s="19">
        <v>7966314.5800000001</v>
      </c>
    </row>
    <row r="333" spans="1:4">
      <c r="B333" t="s">
        <v>3831</v>
      </c>
      <c r="C333">
        <v>1</v>
      </c>
      <c r="D333" s="19">
        <v>83181</v>
      </c>
    </row>
    <row r="334" spans="1:4">
      <c r="B334" t="s">
        <v>4735</v>
      </c>
      <c r="C334">
        <v>1</v>
      </c>
      <c r="D334" s="19">
        <v>943698.56</v>
      </c>
    </row>
    <row r="335" spans="1:4">
      <c r="B335" t="s">
        <v>5507</v>
      </c>
      <c r="C335">
        <v>1</v>
      </c>
      <c r="D335" s="19">
        <v>320539.59000000003</v>
      </c>
    </row>
    <row r="336" spans="1:4">
      <c r="B336" t="s">
        <v>5510</v>
      </c>
      <c r="C336">
        <v>1</v>
      </c>
      <c r="D336" s="19">
        <v>711489.1</v>
      </c>
    </row>
    <row r="337" spans="1:4">
      <c r="B337" t="s">
        <v>6318</v>
      </c>
      <c r="C337">
        <v>1</v>
      </c>
      <c r="D337" s="19">
        <v>294582.12</v>
      </c>
    </row>
    <row r="338" spans="1:4">
      <c r="A338" s="23" t="s">
        <v>7606</v>
      </c>
      <c r="B338" s="23"/>
      <c r="C338">
        <v>6</v>
      </c>
      <c r="D338" s="19">
        <v>10319804.949999999</v>
      </c>
    </row>
    <row r="339" spans="1:4">
      <c r="A339" s="23" t="s">
        <v>6065</v>
      </c>
      <c r="B339" t="s">
        <v>6062</v>
      </c>
      <c r="C339">
        <v>1</v>
      </c>
      <c r="D339" s="19">
        <v>541331</v>
      </c>
    </row>
    <row r="340" spans="1:4">
      <c r="A340" s="23" t="s">
        <v>7607</v>
      </c>
      <c r="B340" s="23"/>
      <c r="C340">
        <v>1</v>
      </c>
      <c r="D340" s="19">
        <v>541331</v>
      </c>
    </row>
    <row r="341" spans="1:4">
      <c r="A341" s="23" t="s">
        <v>825</v>
      </c>
      <c r="B341" t="s">
        <v>822</v>
      </c>
      <c r="C341">
        <v>1</v>
      </c>
      <c r="D341" s="19">
        <v>358550.57</v>
      </c>
    </row>
    <row r="342" spans="1:4">
      <c r="A342" s="23" t="s">
        <v>7608</v>
      </c>
      <c r="B342" s="23"/>
      <c r="C342">
        <v>1</v>
      </c>
      <c r="D342" s="19">
        <v>358550.57</v>
      </c>
    </row>
    <row r="343" spans="1:4">
      <c r="A343" s="23" t="s">
        <v>2642</v>
      </c>
      <c r="B343" t="s">
        <v>2639</v>
      </c>
      <c r="C343">
        <v>1</v>
      </c>
      <c r="D343" s="19">
        <v>3004692.85</v>
      </c>
    </row>
    <row r="344" spans="1:4">
      <c r="B344" t="s">
        <v>5595</v>
      </c>
      <c r="C344">
        <v>1</v>
      </c>
      <c r="D344" s="19">
        <v>960884.54</v>
      </c>
    </row>
    <row r="345" spans="1:4">
      <c r="A345" s="23" t="s">
        <v>7609</v>
      </c>
      <c r="B345" s="23"/>
      <c r="C345">
        <v>2</v>
      </c>
      <c r="D345" s="19">
        <v>3965577.39</v>
      </c>
    </row>
    <row r="346" spans="1:4">
      <c r="A346" s="23" t="s">
        <v>1124</v>
      </c>
      <c r="B346" t="s">
        <v>1121</v>
      </c>
      <c r="C346">
        <v>1</v>
      </c>
      <c r="D346" s="19">
        <v>303450</v>
      </c>
    </row>
    <row r="347" spans="1:4">
      <c r="B347" t="s">
        <v>1126</v>
      </c>
      <c r="C347">
        <v>1</v>
      </c>
      <c r="D347" s="19">
        <v>9710400</v>
      </c>
    </row>
    <row r="348" spans="1:4">
      <c r="B348" t="s">
        <v>1129</v>
      </c>
      <c r="C348">
        <v>1</v>
      </c>
      <c r="D348" s="19">
        <v>11245500</v>
      </c>
    </row>
    <row r="349" spans="1:4">
      <c r="B349" t="s">
        <v>5568</v>
      </c>
      <c r="C349">
        <v>1</v>
      </c>
      <c r="D349" s="19">
        <v>59500</v>
      </c>
    </row>
    <row r="350" spans="1:4">
      <c r="A350" s="23" t="s">
        <v>7610</v>
      </c>
      <c r="B350" s="23"/>
      <c r="C350">
        <v>4</v>
      </c>
      <c r="D350" s="19">
        <v>21318850</v>
      </c>
    </row>
    <row r="351" spans="1:4">
      <c r="A351" s="23" t="s">
        <v>2762</v>
      </c>
      <c r="B351" t="s">
        <v>2759</v>
      </c>
      <c r="C351">
        <v>1</v>
      </c>
      <c r="D351" s="19">
        <v>205024624</v>
      </c>
    </row>
    <row r="352" spans="1:4">
      <c r="B352" t="s">
        <v>4025</v>
      </c>
      <c r="C352">
        <v>1</v>
      </c>
      <c r="D352" s="19">
        <v>4150125</v>
      </c>
    </row>
    <row r="353" spans="1:4">
      <c r="A353" s="23" t="s">
        <v>7611</v>
      </c>
      <c r="B353" s="23"/>
      <c r="C353">
        <v>2</v>
      </c>
      <c r="D353" s="19">
        <v>209174749</v>
      </c>
    </row>
    <row r="354" spans="1:4">
      <c r="A354" s="23" t="s">
        <v>1034</v>
      </c>
      <c r="B354" t="s">
        <v>1932</v>
      </c>
      <c r="C354">
        <v>1</v>
      </c>
      <c r="D354" s="19">
        <v>30940000</v>
      </c>
    </row>
    <row r="355" spans="1:4">
      <c r="A355" s="23" t="s">
        <v>7612</v>
      </c>
      <c r="B355" s="23"/>
      <c r="C355">
        <v>1</v>
      </c>
      <c r="D355" s="19">
        <v>30940000</v>
      </c>
    </row>
    <row r="356" spans="1:4">
      <c r="A356" s="23" t="s">
        <v>582</v>
      </c>
      <c r="B356" t="s">
        <v>1642</v>
      </c>
      <c r="C356">
        <v>1</v>
      </c>
      <c r="D356" s="19">
        <v>2162527.5</v>
      </c>
    </row>
    <row r="357" spans="1:4">
      <c r="B357" t="s">
        <v>3015</v>
      </c>
      <c r="C357">
        <v>1</v>
      </c>
      <c r="D357" s="19">
        <v>239368.5</v>
      </c>
    </row>
    <row r="358" spans="1:4">
      <c r="B358" t="s">
        <v>4016</v>
      </c>
      <c r="C358">
        <v>1</v>
      </c>
      <c r="D358" s="19">
        <v>15248005.5</v>
      </c>
    </row>
    <row r="359" spans="1:4">
      <c r="B359" t="s">
        <v>4521</v>
      </c>
      <c r="C359">
        <v>1</v>
      </c>
      <c r="D359" s="19">
        <v>210630</v>
      </c>
    </row>
    <row r="360" spans="1:4">
      <c r="B360" t="s">
        <v>4524</v>
      </c>
      <c r="C360">
        <v>1</v>
      </c>
      <c r="D360" s="19">
        <v>1214454.5</v>
      </c>
    </row>
    <row r="361" spans="1:4">
      <c r="B361" t="s">
        <v>5325</v>
      </c>
      <c r="C361">
        <v>1</v>
      </c>
      <c r="D361" s="19">
        <v>238238</v>
      </c>
    </row>
    <row r="362" spans="1:4">
      <c r="A362" s="23" t="s">
        <v>7613</v>
      </c>
      <c r="B362" s="23"/>
      <c r="C362">
        <v>6</v>
      </c>
      <c r="D362" s="19">
        <v>19313224</v>
      </c>
    </row>
    <row r="363" spans="1:4">
      <c r="A363" t="s">
        <v>5705</v>
      </c>
      <c r="B363" t="s">
        <v>5702</v>
      </c>
      <c r="C363">
        <v>1</v>
      </c>
      <c r="D363" s="19">
        <v>404600</v>
      </c>
    </row>
    <row r="364" spans="1:4">
      <c r="A364" s="20" t="s">
        <v>7614</v>
      </c>
      <c r="C364">
        <v>1</v>
      </c>
      <c r="D364" s="19">
        <v>404600</v>
      </c>
    </row>
    <row r="365" spans="1:4">
      <c r="A365" t="s">
        <v>2447</v>
      </c>
      <c r="B365" t="s">
        <v>2444</v>
      </c>
      <c r="C365">
        <v>1</v>
      </c>
      <c r="D365" s="19">
        <v>324053.65999999997</v>
      </c>
    </row>
    <row r="366" spans="1:4">
      <c r="A366" t="s">
        <v>7615</v>
      </c>
      <c r="B366"/>
      <c r="C366">
        <v>1</v>
      </c>
      <c r="D366" s="19">
        <v>324053.65999999997</v>
      </c>
    </row>
    <row r="367" spans="1:4">
      <c r="A367" t="s">
        <v>3720</v>
      </c>
      <c r="B367" t="s">
        <v>3717</v>
      </c>
      <c r="C367">
        <v>1</v>
      </c>
      <c r="D367" s="19">
        <v>36079910</v>
      </c>
    </row>
    <row r="368" spans="1:4">
      <c r="A368" t="s">
        <v>7616</v>
      </c>
      <c r="B368"/>
      <c r="C368">
        <v>1</v>
      </c>
      <c r="D368" s="19">
        <v>36079910</v>
      </c>
    </row>
    <row r="369" spans="1:4">
      <c r="A369" t="s">
        <v>2337</v>
      </c>
      <c r="B369" t="s">
        <v>2334</v>
      </c>
      <c r="C369">
        <v>1</v>
      </c>
      <c r="D369" s="19">
        <v>69020</v>
      </c>
    </row>
    <row r="370" spans="1:4">
      <c r="A370"/>
      <c r="B370" t="s">
        <v>3012</v>
      </c>
      <c r="C370">
        <v>1</v>
      </c>
      <c r="D370" s="19">
        <v>7856366.7000000002</v>
      </c>
    </row>
    <row r="371" spans="1:4">
      <c r="A371" t="s">
        <v>7617</v>
      </c>
      <c r="B371"/>
      <c r="C371">
        <v>2</v>
      </c>
      <c r="D371" s="19">
        <v>7925386.7000000002</v>
      </c>
    </row>
    <row r="372" spans="1:4">
      <c r="A372" t="s">
        <v>6277</v>
      </c>
      <c r="B372" t="s">
        <v>6274</v>
      </c>
      <c r="C372">
        <v>1</v>
      </c>
      <c r="D372" s="19">
        <v>2685235</v>
      </c>
    </row>
    <row r="373" spans="1:4">
      <c r="A373" t="s">
        <v>7618</v>
      </c>
      <c r="B373"/>
      <c r="C373">
        <v>1</v>
      </c>
      <c r="D373" s="19">
        <v>2685235</v>
      </c>
    </row>
    <row r="374" spans="1:4">
      <c r="A374" t="s">
        <v>1057</v>
      </c>
      <c r="B374" t="s">
        <v>4383</v>
      </c>
      <c r="C374">
        <v>1</v>
      </c>
      <c r="D374" s="19">
        <v>193815.3</v>
      </c>
    </row>
    <row r="375" spans="1:4">
      <c r="A375" t="s">
        <v>7619</v>
      </c>
      <c r="B375"/>
      <c r="C375">
        <v>1</v>
      </c>
      <c r="D375" s="19">
        <v>193815.3</v>
      </c>
    </row>
    <row r="376" spans="1:4">
      <c r="A376" t="s">
        <v>5212</v>
      </c>
      <c r="B376" t="s">
        <v>5209</v>
      </c>
      <c r="C376">
        <v>1</v>
      </c>
      <c r="D376" s="19">
        <v>882028</v>
      </c>
    </row>
    <row r="377" spans="1:4">
      <c r="A377" t="s">
        <v>7620</v>
      </c>
      <c r="B377"/>
      <c r="C377">
        <v>1</v>
      </c>
      <c r="D377" s="19">
        <v>882028</v>
      </c>
    </row>
    <row r="378" spans="1:4">
      <c r="A378" t="s">
        <v>760</v>
      </c>
      <c r="B378" t="s">
        <v>757</v>
      </c>
      <c r="C378">
        <v>1</v>
      </c>
      <c r="D378" s="19">
        <v>505393</v>
      </c>
    </row>
    <row r="379" spans="1:4">
      <c r="A379"/>
      <c r="B379" t="s">
        <v>6046</v>
      </c>
      <c r="C379">
        <v>1</v>
      </c>
      <c r="D379" s="19">
        <v>854559.23</v>
      </c>
    </row>
    <row r="380" spans="1:4">
      <c r="A380" t="s">
        <v>7621</v>
      </c>
      <c r="B380"/>
      <c r="C380">
        <v>2</v>
      </c>
      <c r="D380" s="19">
        <v>1359952.23</v>
      </c>
    </row>
    <row r="381" spans="1:4">
      <c r="A381" t="s">
        <v>1938</v>
      </c>
      <c r="B381" t="s">
        <v>1935</v>
      </c>
      <c r="C381">
        <v>1</v>
      </c>
      <c r="D381" s="19">
        <v>210630</v>
      </c>
    </row>
    <row r="382" spans="1:4">
      <c r="A382"/>
      <c r="B382" t="s">
        <v>4969</v>
      </c>
      <c r="C382">
        <v>1</v>
      </c>
      <c r="D382" s="19">
        <v>140068.95000000001</v>
      </c>
    </row>
    <row r="383" spans="1:4">
      <c r="A383"/>
      <c r="B383" t="s">
        <v>4971</v>
      </c>
      <c r="C383">
        <v>1</v>
      </c>
      <c r="D383" s="19">
        <v>33320</v>
      </c>
    </row>
    <row r="384" spans="1:4">
      <c r="A384" t="s">
        <v>7622</v>
      </c>
      <c r="B384"/>
      <c r="C384">
        <v>3</v>
      </c>
      <c r="D384" s="19">
        <v>384018.95</v>
      </c>
    </row>
    <row r="385" spans="1:4">
      <c r="A385" t="s">
        <v>3689</v>
      </c>
      <c r="B385" t="s">
        <v>6693</v>
      </c>
      <c r="C385">
        <v>1</v>
      </c>
      <c r="D385" s="19">
        <v>690200</v>
      </c>
    </row>
    <row r="386" spans="1:4">
      <c r="A386" t="s">
        <v>7623</v>
      </c>
      <c r="B386"/>
      <c r="C386">
        <v>1</v>
      </c>
      <c r="D386" s="19">
        <v>690200</v>
      </c>
    </row>
    <row r="387" spans="1:4">
      <c r="A387" t="s">
        <v>156</v>
      </c>
      <c r="B387" t="s">
        <v>2085</v>
      </c>
      <c r="C387">
        <v>1</v>
      </c>
      <c r="D387" s="19">
        <v>654500</v>
      </c>
    </row>
    <row r="388" spans="1:4">
      <c r="A388"/>
      <c r="B388" t="s">
        <v>3417</v>
      </c>
      <c r="C388">
        <v>1</v>
      </c>
      <c r="D388" s="19">
        <v>33749311</v>
      </c>
    </row>
    <row r="389" spans="1:4">
      <c r="A389"/>
      <c r="B389" t="s">
        <v>4190</v>
      </c>
      <c r="C389">
        <v>1</v>
      </c>
      <c r="D389" s="19">
        <v>357000</v>
      </c>
    </row>
    <row r="390" spans="1:4">
      <c r="A390"/>
      <c r="B390" t="s">
        <v>4574</v>
      </c>
      <c r="C390">
        <v>1</v>
      </c>
      <c r="D390" s="19">
        <v>447916</v>
      </c>
    </row>
    <row r="391" spans="1:4">
      <c r="A391"/>
      <c r="B391" t="s">
        <v>5789</v>
      </c>
      <c r="C391">
        <v>1</v>
      </c>
      <c r="D391" s="19">
        <v>1268476</v>
      </c>
    </row>
    <row r="392" spans="1:4">
      <c r="A392" t="s">
        <v>7624</v>
      </c>
      <c r="B392"/>
      <c r="C392">
        <v>5</v>
      </c>
      <c r="D392" s="19">
        <v>36477203</v>
      </c>
    </row>
    <row r="393" spans="1:4">
      <c r="A393" t="s">
        <v>2485</v>
      </c>
      <c r="B393" t="s">
        <v>2482</v>
      </c>
      <c r="C393">
        <v>1</v>
      </c>
      <c r="D393" s="19">
        <v>254489.07</v>
      </c>
    </row>
    <row r="394" spans="1:4">
      <c r="A394"/>
      <c r="B394" t="s">
        <v>2487</v>
      </c>
      <c r="C394">
        <v>1</v>
      </c>
      <c r="D394" s="19">
        <v>201348</v>
      </c>
    </row>
    <row r="395" spans="1:4">
      <c r="A395"/>
      <c r="B395" t="s">
        <v>2490</v>
      </c>
      <c r="C395">
        <v>1</v>
      </c>
      <c r="D395" s="19">
        <v>485040.32</v>
      </c>
    </row>
    <row r="396" spans="1:4">
      <c r="A396"/>
      <c r="B396" t="s">
        <v>2493</v>
      </c>
      <c r="C396">
        <v>1</v>
      </c>
      <c r="D396" s="19">
        <v>44625</v>
      </c>
    </row>
    <row r="397" spans="1:4">
      <c r="A397"/>
      <c r="B397" t="s">
        <v>4767</v>
      </c>
      <c r="C397">
        <v>1</v>
      </c>
      <c r="D397" s="19">
        <v>289338.98</v>
      </c>
    </row>
    <row r="398" spans="1:4">
      <c r="A398"/>
      <c r="B398" t="s">
        <v>4803</v>
      </c>
      <c r="C398">
        <v>1</v>
      </c>
      <c r="D398" s="19">
        <v>2484363</v>
      </c>
    </row>
    <row r="399" spans="1:4">
      <c r="A399"/>
      <c r="B399" t="s">
        <v>5740</v>
      </c>
      <c r="C399">
        <v>1</v>
      </c>
      <c r="D399" s="19">
        <v>317809.73</v>
      </c>
    </row>
    <row r="400" spans="1:4">
      <c r="A400" t="s">
        <v>7625</v>
      </c>
      <c r="B400"/>
      <c r="C400">
        <v>7</v>
      </c>
      <c r="D400" s="19">
        <v>4077014.1</v>
      </c>
    </row>
    <row r="401" spans="1:4">
      <c r="A401" t="s">
        <v>975</v>
      </c>
      <c r="B401" t="s">
        <v>2776</v>
      </c>
      <c r="C401">
        <v>1</v>
      </c>
      <c r="D401" s="19">
        <v>822290</v>
      </c>
    </row>
    <row r="402" spans="1:4">
      <c r="A402"/>
      <c r="B402" t="s">
        <v>3383</v>
      </c>
      <c r="C402">
        <v>1</v>
      </c>
      <c r="D402" s="19">
        <v>202300</v>
      </c>
    </row>
    <row r="403" spans="1:4">
      <c r="A403"/>
      <c r="B403" t="s">
        <v>5412</v>
      </c>
      <c r="C403">
        <v>1</v>
      </c>
      <c r="D403" s="19">
        <v>331415</v>
      </c>
    </row>
    <row r="404" spans="1:4">
      <c r="A404" t="s">
        <v>7626</v>
      </c>
      <c r="B404"/>
      <c r="C404">
        <v>3</v>
      </c>
      <c r="D404" s="19">
        <v>1356005</v>
      </c>
    </row>
    <row r="405" spans="1:4">
      <c r="A405" t="s">
        <v>789</v>
      </c>
      <c r="B405" t="s">
        <v>6600</v>
      </c>
      <c r="C405">
        <v>1</v>
      </c>
      <c r="D405" s="19">
        <v>5133862.0999999996</v>
      </c>
    </row>
    <row r="406" spans="1:4">
      <c r="A406" t="s">
        <v>7627</v>
      </c>
      <c r="B406"/>
      <c r="C406">
        <v>1</v>
      </c>
      <c r="D406" s="19">
        <v>5133862.0999999996</v>
      </c>
    </row>
    <row r="407" spans="1:4">
      <c r="A407" t="s">
        <v>3848</v>
      </c>
      <c r="B407" t="s">
        <v>3845</v>
      </c>
      <c r="C407">
        <v>1</v>
      </c>
      <c r="D407" s="19">
        <v>41051430</v>
      </c>
    </row>
    <row r="408" spans="1:4">
      <c r="A408" t="s">
        <v>7628</v>
      </c>
      <c r="B408"/>
      <c r="C408">
        <v>1</v>
      </c>
      <c r="D408" s="19">
        <v>41051430</v>
      </c>
    </row>
    <row r="409" spans="1:4">
      <c r="A409" t="s">
        <v>6618</v>
      </c>
      <c r="B409" t="s">
        <v>6615</v>
      </c>
      <c r="C409">
        <v>1</v>
      </c>
      <c r="D409" s="19">
        <v>1489313.56</v>
      </c>
    </row>
    <row r="410" spans="1:4">
      <c r="A410"/>
      <c r="B410" t="s">
        <v>6620</v>
      </c>
      <c r="C410">
        <v>1</v>
      </c>
      <c r="D410" s="19">
        <v>619926.93000000005</v>
      </c>
    </row>
    <row r="411" spans="1:4">
      <c r="A411" t="s">
        <v>7629</v>
      </c>
      <c r="B411"/>
      <c r="C411">
        <v>2</v>
      </c>
      <c r="D411" s="19">
        <v>2109240.4900000002</v>
      </c>
    </row>
    <row r="412" spans="1:4">
      <c r="A412" t="s">
        <v>4703</v>
      </c>
      <c r="B412" t="s">
        <v>4700</v>
      </c>
      <c r="C412">
        <v>1</v>
      </c>
      <c r="D412" s="19">
        <v>6891885</v>
      </c>
    </row>
    <row r="413" spans="1:4">
      <c r="A413"/>
      <c r="B413" t="s">
        <v>5148</v>
      </c>
      <c r="C413">
        <v>1</v>
      </c>
      <c r="D413" s="19">
        <v>4594590</v>
      </c>
    </row>
    <row r="414" spans="1:4">
      <c r="A414"/>
      <c r="B414" t="s">
        <v>6202</v>
      </c>
      <c r="C414">
        <v>1</v>
      </c>
      <c r="D414" s="19">
        <v>6891885</v>
      </c>
    </row>
    <row r="415" spans="1:4">
      <c r="A415" t="s">
        <v>7630</v>
      </c>
      <c r="B415"/>
      <c r="C415">
        <v>3</v>
      </c>
      <c r="D415" s="19">
        <v>18378360</v>
      </c>
    </row>
    <row r="416" spans="1:4">
      <c r="A416" t="s">
        <v>5383</v>
      </c>
      <c r="B416" t="s">
        <v>5380</v>
      </c>
      <c r="C416">
        <v>1</v>
      </c>
      <c r="D416" s="19">
        <v>2052443.89</v>
      </c>
    </row>
    <row r="417" spans="1:4">
      <c r="A417" t="s">
        <v>7631</v>
      </c>
      <c r="B417"/>
      <c r="C417">
        <v>1</v>
      </c>
      <c r="D417" s="19">
        <v>2052443.89</v>
      </c>
    </row>
    <row r="418" spans="1:4">
      <c r="A418" t="s">
        <v>4652</v>
      </c>
      <c r="B418" t="s">
        <v>4649</v>
      </c>
      <c r="C418">
        <v>1</v>
      </c>
      <c r="D418" s="19">
        <v>790160</v>
      </c>
    </row>
    <row r="419" spans="1:4">
      <c r="A419" t="s">
        <v>7632</v>
      </c>
      <c r="B419"/>
      <c r="C419">
        <v>1</v>
      </c>
      <c r="D419" s="19">
        <v>790160</v>
      </c>
    </row>
    <row r="420" spans="1:4">
      <c r="A420" t="s">
        <v>3862</v>
      </c>
      <c r="B420" t="s">
        <v>6291</v>
      </c>
      <c r="C420">
        <v>1</v>
      </c>
      <c r="D420" s="19">
        <v>267750</v>
      </c>
    </row>
    <row r="421" spans="1:4">
      <c r="A421" t="s">
        <v>7633</v>
      </c>
      <c r="B421"/>
      <c r="C421">
        <v>1</v>
      </c>
      <c r="D421" s="19">
        <v>267750</v>
      </c>
    </row>
    <row r="422" spans="1:4">
      <c r="A422" t="s">
        <v>3407</v>
      </c>
      <c r="B422" t="s">
        <v>3404</v>
      </c>
      <c r="C422">
        <v>1</v>
      </c>
      <c r="D422" s="19">
        <v>386750</v>
      </c>
    </row>
    <row r="423" spans="1:4">
      <c r="A423"/>
      <c r="B423" t="s">
        <v>4685</v>
      </c>
      <c r="C423">
        <v>1</v>
      </c>
      <c r="D423" s="19">
        <v>5795300</v>
      </c>
    </row>
    <row r="424" spans="1:4">
      <c r="A424"/>
      <c r="B424" t="s">
        <v>4688</v>
      </c>
      <c r="C424">
        <v>1</v>
      </c>
      <c r="D424" s="19">
        <v>852040</v>
      </c>
    </row>
    <row r="425" spans="1:4">
      <c r="A425"/>
      <c r="B425" t="s">
        <v>5786</v>
      </c>
      <c r="C425">
        <v>1</v>
      </c>
      <c r="D425" s="19">
        <v>17592246</v>
      </c>
    </row>
    <row r="426" spans="1:4">
      <c r="A426"/>
      <c r="B426" t="s">
        <v>6336</v>
      </c>
      <c r="C426">
        <v>1</v>
      </c>
      <c r="D426" s="19">
        <v>3777060</v>
      </c>
    </row>
    <row r="427" spans="1:4">
      <c r="A427" t="s">
        <v>7634</v>
      </c>
      <c r="B427"/>
      <c r="C427">
        <v>5</v>
      </c>
      <c r="D427" s="19">
        <v>28403396</v>
      </c>
    </row>
    <row r="428" spans="1:4">
      <c r="A428" t="s">
        <v>1860</v>
      </c>
      <c r="B428" t="s">
        <v>1857</v>
      </c>
      <c r="C428">
        <v>1</v>
      </c>
      <c r="D428" s="19">
        <v>328737.5</v>
      </c>
    </row>
    <row r="429" spans="1:4">
      <c r="A429"/>
      <c r="B429" t="s">
        <v>4729</v>
      </c>
      <c r="C429">
        <v>1</v>
      </c>
      <c r="D429" s="19">
        <v>25060686</v>
      </c>
    </row>
    <row r="430" spans="1:4">
      <c r="A430" t="s">
        <v>7635</v>
      </c>
      <c r="B430"/>
      <c r="C430">
        <v>2</v>
      </c>
      <c r="D430" s="19">
        <v>25389423.5</v>
      </c>
    </row>
    <row r="431" spans="1:4">
      <c r="A431" t="s">
        <v>97</v>
      </c>
      <c r="B431" t="s">
        <v>4872</v>
      </c>
      <c r="C431">
        <v>1</v>
      </c>
      <c r="D431" s="19">
        <v>4253273.01</v>
      </c>
    </row>
    <row r="432" spans="1:4">
      <c r="A432" t="s">
        <v>7636</v>
      </c>
      <c r="B432"/>
      <c r="C432">
        <v>1</v>
      </c>
      <c r="D432" s="19">
        <v>4253273.01</v>
      </c>
    </row>
    <row r="433" spans="1:4">
      <c r="A433" t="s">
        <v>112</v>
      </c>
      <c r="B433" t="s">
        <v>109</v>
      </c>
      <c r="C433">
        <v>1</v>
      </c>
      <c r="D433" s="19">
        <v>406473.06</v>
      </c>
    </row>
    <row r="434" spans="1:4">
      <c r="A434" t="s">
        <v>7637</v>
      </c>
      <c r="B434"/>
      <c r="C434">
        <v>1</v>
      </c>
      <c r="D434" s="19">
        <v>406473.06</v>
      </c>
    </row>
    <row r="435" spans="1:4">
      <c r="A435" t="s">
        <v>302</v>
      </c>
      <c r="B435" t="s">
        <v>299</v>
      </c>
      <c r="C435">
        <v>1</v>
      </c>
      <c r="D435" s="19">
        <v>1884960</v>
      </c>
    </row>
    <row r="436" spans="1:4">
      <c r="A436" t="s">
        <v>7638</v>
      </c>
      <c r="B436"/>
      <c r="C436">
        <v>1</v>
      </c>
      <c r="D436" s="19">
        <v>1884960</v>
      </c>
    </row>
    <row r="437" spans="1:4">
      <c r="A437" t="s">
        <v>526</v>
      </c>
      <c r="B437" t="s">
        <v>523</v>
      </c>
      <c r="C437">
        <v>1</v>
      </c>
      <c r="D437" s="19">
        <v>250609.24</v>
      </c>
    </row>
    <row r="438" spans="1:4">
      <c r="A438" t="s">
        <v>7639</v>
      </c>
      <c r="B438"/>
      <c r="C438">
        <v>1</v>
      </c>
      <c r="D438" s="19">
        <v>250609.24</v>
      </c>
    </row>
    <row r="439" spans="1:4">
      <c r="A439" t="s">
        <v>558</v>
      </c>
      <c r="B439" t="s">
        <v>555</v>
      </c>
      <c r="C439">
        <v>1</v>
      </c>
      <c r="D439" s="19">
        <v>3593800</v>
      </c>
    </row>
    <row r="440" spans="1:4">
      <c r="A440"/>
      <c r="B440" t="s">
        <v>560</v>
      </c>
      <c r="C440">
        <v>1</v>
      </c>
      <c r="D440" s="19">
        <v>3017840</v>
      </c>
    </row>
    <row r="441" spans="1:4">
      <c r="A441"/>
      <c r="B441" t="s">
        <v>563</v>
      </c>
      <c r="C441">
        <v>1</v>
      </c>
      <c r="D441" s="19">
        <v>4514860</v>
      </c>
    </row>
    <row r="442" spans="1:4">
      <c r="A442" t="s">
        <v>7640</v>
      </c>
      <c r="B442"/>
      <c r="C442">
        <v>3</v>
      </c>
      <c r="D442" s="19">
        <v>11126500</v>
      </c>
    </row>
    <row r="443" spans="1:4">
      <c r="A443" t="s">
        <v>703</v>
      </c>
      <c r="B443" t="s">
        <v>5337</v>
      </c>
      <c r="C443">
        <v>1</v>
      </c>
      <c r="D443" s="19">
        <v>4224381</v>
      </c>
    </row>
    <row r="444" spans="1:4">
      <c r="A444" t="s">
        <v>7641</v>
      </c>
      <c r="B444"/>
      <c r="C444">
        <v>1</v>
      </c>
      <c r="D444" s="19">
        <v>4224381</v>
      </c>
    </row>
    <row r="445" spans="1:4">
      <c r="A445" t="s">
        <v>1072</v>
      </c>
      <c r="B445" t="s">
        <v>1069</v>
      </c>
      <c r="C445">
        <v>1</v>
      </c>
      <c r="D445" s="19">
        <v>1046486</v>
      </c>
    </row>
    <row r="446" spans="1:4">
      <c r="A446" t="s">
        <v>7642</v>
      </c>
      <c r="B446"/>
      <c r="C446">
        <v>1</v>
      </c>
      <c r="D446" s="19">
        <v>1046486</v>
      </c>
    </row>
    <row r="447" spans="1:4">
      <c r="A447" t="s">
        <v>1093</v>
      </c>
      <c r="B447" t="s">
        <v>1090</v>
      </c>
      <c r="C447">
        <v>1</v>
      </c>
      <c r="D447" s="19">
        <v>1142400</v>
      </c>
    </row>
    <row r="448" spans="1:4">
      <c r="A448"/>
      <c r="B448" t="s">
        <v>1095</v>
      </c>
      <c r="C448">
        <v>1</v>
      </c>
      <c r="D448" s="19">
        <v>761600</v>
      </c>
    </row>
    <row r="449" spans="1:4">
      <c r="A449" t="s">
        <v>7643</v>
      </c>
      <c r="B449"/>
      <c r="C449">
        <v>2</v>
      </c>
      <c r="D449" s="19">
        <v>1904000</v>
      </c>
    </row>
    <row r="450" spans="1:4">
      <c r="A450" t="s">
        <v>1194</v>
      </c>
      <c r="B450" t="s">
        <v>1191</v>
      </c>
      <c r="C450">
        <v>1</v>
      </c>
      <c r="D450" s="19">
        <v>8946001.1199999992</v>
      </c>
    </row>
    <row r="451" spans="1:4">
      <c r="A451"/>
      <c r="B451" t="s">
        <v>3063</v>
      </c>
      <c r="C451">
        <v>1</v>
      </c>
      <c r="D451" s="19">
        <v>8946001.1199999992</v>
      </c>
    </row>
    <row r="452" spans="1:4">
      <c r="A452" t="s">
        <v>7644</v>
      </c>
      <c r="B452"/>
      <c r="C452">
        <v>2</v>
      </c>
      <c r="D452" s="19">
        <v>17892002.239999998</v>
      </c>
    </row>
    <row r="453" spans="1:4">
      <c r="A453" t="s">
        <v>1224</v>
      </c>
      <c r="B453" t="s">
        <v>1221</v>
      </c>
      <c r="C453">
        <v>1</v>
      </c>
      <c r="D453" s="19">
        <v>119000</v>
      </c>
    </row>
    <row r="454" spans="1:4">
      <c r="A454"/>
      <c r="B454" t="s">
        <v>1226</v>
      </c>
      <c r="C454">
        <v>1</v>
      </c>
      <c r="D454" s="19">
        <v>8918789.3900000006</v>
      </c>
    </row>
    <row r="455" spans="1:4">
      <c r="A455"/>
      <c r="B455" t="s">
        <v>2528</v>
      </c>
      <c r="C455">
        <v>1</v>
      </c>
      <c r="D455" s="19">
        <v>5459999.6500000004</v>
      </c>
    </row>
    <row r="456" spans="1:4">
      <c r="A456"/>
      <c r="B456" t="s">
        <v>2973</v>
      </c>
      <c r="C456">
        <v>1</v>
      </c>
      <c r="D456" s="19">
        <v>416500</v>
      </c>
    </row>
    <row r="457" spans="1:4">
      <c r="A457"/>
      <c r="B457" t="s">
        <v>5930</v>
      </c>
      <c r="C457">
        <v>1</v>
      </c>
      <c r="D457" s="19">
        <v>5203870</v>
      </c>
    </row>
    <row r="458" spans="1:4">
      <c r="A458" t="s">
        <v>7645</v>
      </c>
      <c r="B458"/>
      <c r="C458">
        <v>5</v>
      </c>
      <c r="D458" s="19">
        <v>20118159.039999999</v>
      </c>
    </row>
    <row r="459" spans="1:4">
      <c r="A459" t="s">
        <v>1357</v>
      </c>
      <c r="B459" t="s">
        <v>1354</v>
      </c>
      <c r="C459">
        <v>1</v>
      </c>
      <c r="D459" s="19">
        <v>10234000</v>
      </c>
    </row>
    <row r="460" spans="1:4">
      <c r="A460" t="s">
        <v>7646</v>
      </c>
      <c r="B460"/>
      <c r="C460">
        <v>1</v>
      </c>
      <c r="D460" s="19">
        <v>10234000</v>
      </c>
    </row>
    <row r="461" spans="1:4">
      <c r="A461" t="s">
        <v>1407</v>
      </c>
      <c r="B461" t="s">
        <v>1404</v>
      </c>
      <c r="C461">
        <v>1</v>
      </c>
      <c r="D461" s="19">
        <v>1335180</v>
      </c>
    </row>
    <row r="462" spans="1:4">
      <c r="A462"/>
      <c r="B462" t="s">
        <v>1409</v>
      </c>
      <c r="C462">
        <v>1</v>
      </c>
      <c r="D462" s="19">
        <v>671160</v>
      </c>
    </row>
    <row r="463" spans="1:4">
      <c r="A463"/>
      <c r="B463" t="s">
        <v>3584</v>
      </c>
      <c r="C463">
        <v>1</v>
      </c>
      <c r="D463" s="19">
        <v>1335180</v>
      </c>
    </row>
    <row r="464" spans="1:4">
      <c r="A464" t="s">
        <v>7647</v>
      </c>
      <c r="B464"/>
      <c r="C464">
        <v>3</v>
      </c>
      <c r="D464" s="19">
        <v>3341520</v>
      </c>
    </row>
    <row r="465" spans="1:4">
      <c r="A465" t="s">
        <v>1425</v>
      </c>
      <c r="B465" t="s">
        <v>1422</v>
      </c>
      <c r="C465">
        <v>1</v>
      </c>
      <c r="D465" s="19">
        <v>48785901.640000001</v>
      </c>
    </row>
    <row r="466" spans="1:4">
      <c r="A466"/>
      <c r="B466" t="s">
        <v>5070</v>
      </c>
      <c r="C466">
        <v>1</v>
      </c>
      <c r="D466" s="19">
        <v>103292</v>
      </c>
    </row>
    <row r="467" spans="1:4">
      <c r="A467"/>
      <c r="B467" t="s">
        <v>5073</v>
      </c>
      <c r="C467">
        <v>1</v>
      </c>
      <c r="D467" s="19">
        <v>6114553.2000000002</v>
      </c>
    </row>
    <row r="468" spans="1:4">
      <c r="A468" t="s">
        <v>7648</v>
      </c>
      <c r="B468"/>
      <c r="C468">
        <v>3</v>
      </c>
      <c r="D468" s="19">
        <v>55003746.840000004</v>
      </c>
    </row>
    <row r="469" spans="1:4">
      <c r="A469" t="s">
        <v>1430</v>
      </c>
      <c r="B469" t="s">
        <v>1427</v>
      </c>
      <c r="C469">
        <v>1</v>
      </c>
      <c r="D469" s="19">
        <v>3724105</v>
      </c>
    </row>
    <row r="470" spans="1:4">
      <c r="A470"/>
      <c r="B470" t="s">
        <v>1432</v>
      </c>
      <c r="C470">
        <v>1</v>
      </c>
      <c r="D470" s="19">
        <v>11752440</v>
      </c>
    </row>
    <row r="471" spans="1:4">
      <c r="A471" t="s">
        <v>7649</v>
      </c>
      <c r="B471"/>
      <c r="C471">
        <v>2</v>
      </c>
      <c r="D471" s="19">
        <v>15476545</v>
      </c>
    </row>
    <row r="472" spans="1:4">
      <c r="A472" t="s">
        <v>1467</v>
      </c>
      <c r="B472" t="s">
        <v>3757</v>
      </c>
      <c r="C472">
        <v>1</v>
      </c>
      <c r="D472" s="19">
        <v>1164588.74</v>
      </c>
    </row>
    <row r="473" spans="1:4">
      <c r="A473"/>
      <c r="B473" t="s">
        <v>5945</v>
      </c>
      <c r="C473">
        <v>1</v>
      </c>
      <c r="D473" s="19">
        <v>897727.67</v>
      </c>
    </row>
    <row r="474" spans="1:4">
      <c r="A474" t="s">
        <v>7650</v>
      </c>
      <c r="B474"/>
      <c r="C474">
        <v>2</v>
      </c>
      <c r="D474" s="19">
        <v>2062316.4100000001</v>
      </c>
    </row>
    <row r="475" spans="1:4">
      <c r="A475" t="s">
        <v>1728</v>
      </c>
      <c r="B475" t="s">
        <v>1725</v>
      </c>
      <c r="C475">
        <v>1</v>
      </c>
      <c r="D475" s="19">
        <v>2159850</v>
      </c>
    </row>
    <row r="476" spans="1:4">
      <c r="A476"/>
      <c r="B476" t="s">
        <v>5820</v>
      </c>
      <c r="C476">
        <v>1</v>
      </c>
      <c r="D476" s="19">
        <v>1348270</v>
      </c>
    </row>
    <row r="477" spans="1:4">
      <c r="A477" t="s">
        <v>7651</v>
      </c>
      <c r="B477"/>
      <c r="C477">
        <v>2</v>
      </c>
      <c r="D477" s="19">
        <v>3508120</v>
      </c>
    </row>
    <row r="478" spans="1:4">
      <c r="A478" t="s">
        <v>1791</v>
      </c>
      <c r="B478" t="s">
        <v>5571</v>
      </c>
      <c r="C478">
        <v>1</v>
      </c>
      <c r="D478" s="19">
        <v>108290</v>
      </c>
    </row>
    <row r="479" spans="1:4">
      <c r="A479" t="s">
        <v>7652</v>
      </c>
      <c r="B479"/>
      <c r="C479">
        <v>1</v>
      </c>
      <c r="D479" s="19">
        <v>108290</v>
      </c>
    </row>
    <row r="480" spans="1:4">
      <c r="A480" t="s">
        <v>1835</v>
      </c>
      <c r="B480" t="s">
        <v>1832</v>
      </c>
      <c r="C480">
        <v>1</v>
      </c>
      <c r="D480" s="19">
        <v>2727475.24</v>
      </c>
    </row>
    <row r="481" spans="1:4">
      <c r="A481"/>
      <c r="B481" t="s">
        <v>6729</v>
      </c>
      <c r="C481">
        <v>1</v>
      </c>
      <c r="D481" s="19">
        <v>191590</v>
      </c>
    </row>
    <row r="482" spans="1:4">
      <c r="A482"/>
      <c r="B482" t="s">
        <v>6733</v>
      </c>
      <c r="C482">
        <v>1</v>
      </c>
      <c r="D482" s="19">
        <v>23205</v>
      </c>
    </row>
    <row r="483" spans="1:4">
      <c r="A483" t="s">
        <v>7653</v>
      </c>
      <c r="B483"/>
      <c r="C483">
        <v>3</v>
      </c>
      <c r="D483" s="19">
        <v>2942270.24</v>
      </c>
    </row>
    <row r="484" spans="1:4">
      <c r="A484" t="s">
        <v>1925</v>
      </c>
      <c r="B484" t="s">
        <v>1922</v>
      </c>
      <c r="C484">
        <v>1</v>
      </c>
      <c r="D484" s="19">
        <v>797300</v>
      </c>
    </row>
    <row r="485" spans="1:4">
      <c r="A485"/>
      <c r="B485" t="s">
        <v>3760</v>
      </c>
      <c r="C485">
        <v>1</v>
      </c>
      <c r="D485" s="19">
        <v>1901620</v>
      </c>
    </row>
    <row r="486" spans="1:4">
      <c r="A486"/>
      <c r="B486" t="s">
        <v>4854</v>
      </c>
      <c r="C486">
        <v>1</v>
      </c>
      <c r="D486" s="19">
        <v>9609250</v>
      </c>
    </row>
    <row r="487" spans="1:4">
      <c r="A487"/>
      <c r="B487" t="s">
        <v>5371</v>
      </c>
      <c r="C487">
        <v>1</v>
      </c>
      <c r="D487" s="19">
        <v>690200</v>
      </c>
    </row>
    <row r="488" spans="1:4">
      <c r="A488" t="s">
        <v>7654</v>
      </c>
      <c r="B488"/>
      <c r="C488">
        <v>4</v>
      </c>
      <c r="D488" s="19">
        <v>12998370</v>
      </c>
    </row>
    <row r="489" spans="1:4">
      <c r="A489" t="s">
        <v>1954</v>
      </c>
      <c r="B489" t="s">
        <v>1951</v>
      </c>
      <c r="C489">
        <v>1</v>
      </c>
      <c r="D489" s="19">
        <v>1389467.8</v>
      </c>
    </row>
    <row r="490" spans="1:4">
      <c r="A490" t="s">
        <v>7655</v>
      </c>
      <c r="B490"/>
      <c r="C490">
        <v>1</v>
      </c>
      <c r="D490" s="19">
        <v>1389467.8</v>
      </c>
    </row>
    <row r="491" spans="1:4">
      <c r="A491" t="s">
        <v>1983</v>
      </c>
      <c r="B491" t="s">
        <v>3202</v>
      </c>
      <c r="C491">
        <v>1</v>
      </c>
      <c r="D491" s="19">
        <v>3135650</v>
      </c>
    </row>
    <row r="492" spans="1:4">
      <c r="A492"/>
      <c r="B492" t="s">
        <v>4031</v>
      </c>
      <c r="C492">
        <v>1</v>
      </c>
      <c r="D492" s="19">
        <v>446250</v>
      </c>
    </row>
    <row r="493" spans="1:4">
      <c r="A493" t="s">
        <v>7656</v>
      </c>
      <c r="B493"/>
      <c r="C493">
        <v>2</v>
      </c>
      <c r="D493" s="19">
        <v>3581900</v>
      </c>
    </row>
    <row r="494" spans="1:4">
      <c r="A494" t="s">
        <v>2029</v>
      </c>
      <c r="B494" t="s">
        <v>2026</v>
      </c>
      <c r="C494">
        <v>1</v>
      </c>
      <c r="D494" s="19">
        <v>1723120</v>
      </c>
    </row>
    <row r="495" spans="1:4">
      <c r="A495"/>
      <c r="B495" t="s">
        <v>2229</v>
      </c>
      <c r="C495">
        <v>1</v>
      </c>
      <c r="D495" s="19">
        <v>7750470</v>
      </c>
    </row>
    <row r="496" spans="1:4">
      <c r="A496" t="s">
        <v>7657</v>
      </c>
      <c r="B496"/>
      <c r="C496">
        <v>2</v>
      </c>
      <c r="D496" s="19">
        <v>9473590</v>
      </c>
    </row>
    <row r="497" spans="1:4">
      <c r="A497" t="s">
        <v>2136</v>
      </c>
      <c r="B497" t="s">
        <v>3409</v>
      </c>
      <c r="C497">
        <v>1</v>
      </c>
      <c r="D497" s="19">
        <v>459773.16</v>
      </c>
    </row>
    <row r="498" spans="1:4">
      <c r="A498" t="s">
        <v>7658</v>
      </c>
      <c r="B498"/>
      <c r="C498">
        <v>1</v>
      </c>
      <c r="D498" s="19">
        <v>459773.16</v>
      </c>
    </row>
    <row r="499" spans="1:4">
      <c r="A499" t="s">
        <v>2221</v>
      </c>
      <c r="B499" t="s">
        <v>2218</v>
      </c>
      <c r="C499">
        <v>1</v>
      </c>
      <c r="D499" s="19">
        <v>226576</v>
      </c>
    </row>
    <row r="500" spans="1:4">
      <c r="A500"/>
      <c r="B500" t="s">
        <v>2223</v>
      </c>
      <c r="C500">
        <v>1</v>
      </c>
      <c r="D500" s="19">
        <v>19397</v>
      </c>
    </row>
    <row r="501" spans="1:4">
      <c r="A501" t="s">
        <v>7659</v>
      </c>
      <c r="B501"/>
      <c r="C501">
        <v>2</v>
      </c>
      <c r="D501" s="19">
        <v>245973</v>
      </c>
    </row>
    <row r="502" spans="1:4">
      <c r="A502" t="s">
        <v>2390</v>
      </c>
      <c r="B502" t="s">
        <v>2387</v>
      </c>
      <c r="C502">
        <v>1</v>
      </c>
      <c r="D502" s="19">
        <v>2965111.35</v>
      </c>
    </row>
    <row r="503" spans="1:4">
      <c r="A503" t="s">
        <v>7660</v>
      </c>
      <c r="B503"/>
      <c r="C503">
        <v>1</v>
      </c>
      <c r="D503" s="19">
        <v>2965111.35</v>
      </c>
    </row>
    <row r="504" spans="1:4">
      <c r="A504" t="s">
        <v>2403</v>
      </c>
      <c r="B504" t="s">
        <v>6524</v>
      </c>
      <c r="C504">
        <v>1</v>
      </c>
      <c r="D504" s="19">
        <v>118881</v>
      </c>
    </row>
    <row r="505" spans="1:4">
      <c r="A505" t="s">
        <v>7661</v>
      </c>
      <c r="B505"/>
      <c r="C505">
        <v>1</v>
      </c>
      <c r="D505" s="19">
        <v>118881</v>
      </c>
    </row>
    <row r="506" spans="1:4">
      <c r="A506" t="s">
        <v>2426</v>
      </c>
      <c r="B506" t="s">
        <v>2423</v>
      </c>
      <c r="C506">
        <v>1</v>
      </c>
      <c r="D506" s="19">
        <v>5099999.66</v>
      </c>
    </row>
    <row r="507" spans="1:4">
      <c r="A507" t="s">
        <v>7662</v>
      </c>
      <c r="B507"/>
      <c r="C507">
        <v>1</v>
      </c>
      <c r="D507" s="19">
        <v>5099999.66</v>
      </c>
    </row>
    <row r="508" spans="1:4">
      <c r="A508" t="s">
        <v>2504</v>
      </c>
      <c r="B508" t="s">
        <v>2501</v>
      </c>
      <c r="C508">
        <v>1</v>
      </c>
      <c r="D508" s="19">
        <v>350238.42</v>
      </c>
    </row>
    <row r="509" spans="1:4">
      <c r="A509"/>
      <c r="B509" t="s">
        <v>2636</v>
      </c>
      <c r="C509">
        <v>1</v>
      </c>
      <c r="D509" s="19">
        <v>200723.25</v>
      </c>
    </row>
    <row r="510" spans="1:4">
      <c r="A510"/>
      <c r="B510" t="s">
        <v>2930</v>
      </c>
      <c r="C510">
        <v>1</v>
      </c>
      <c r="D510" s="19">
        <v>348314.19</v>
      </c>
    </row>
    <row r="511" spans="1:4">
      <c r="A511"/>
      <c r="B511" t="s">
        <v>3984</v>
      </c>
      <c r="C511">
        <v>1</v>
      </c>
      <c r="D511" s="19">
        <v>1008911.75</v>
      </c>
    </row>
    <row r="512" spans="1:4">
      <c r="A512"/>
      <c r="B512" t="s">
        <v>5516</v>
      </c>
      <c r="C512">
        <v>1</v>
      </c>
      <c r="D512" s="19">
        <v>598264.17000000004</v>
      </c>
    </row>
    <row r="513" spans="1:4">
      <c r="A513"/>
      <c r="B513" t="s">
        <v>5661</v>
      </c>
      <c r="C513">
        <v>1</v>
      </c>
      <c r="D513" s="19">
        <v>1446202.24</v>
      </c>
    </row>
    <row r="514" spans="1:4">
      <c r="A514" t="s">
        <v>7663</v>
      </c>
      <c r="B514"/>
      <c r="C514">
        <v>6</v>
      </c>
      <c r="D514" s="19">
        <v>3952654.0199999996</v>
      </c>
    </row>
    <row r="515" spans="1:4">
      <c r="A515" t="s">
        <v>2559</v>
      </c>
      <c r="B515" t="s">
        <v>2556</v>
      </c>
      <c r="C515">
        <v>1</v>
      </c>
      <c r="D515" s="19">
        <v>1499400</v>
      </c>
    </row>
    <row r="516" spans="1:4">
      <c r="A516" t="s">
        <v>7664</v>
      </c>
      <c r="B516"/>
      <c r="C516">
        <v>1</v>
      </c>
      <c r="D516" s="19">
        <v>1499400</v>
      </c>
    </row>
    <row r="517" spans="1:4">
      <c r="A517" t="s">
        <v>2572</v>
      </c>
      <c r="B517" t="s">
        <v>2569</v>
      </c>
      <c r="C517">
        <v>1</v>
      </c>
      <c r="D517" s="19">
        <v>915586</v>
      </c>
    </row>
    <row r="518" spans="1:4">
      <c r="A518" t="s">
        <v>7665</v>
      </c>
      <c r="B518"/>
      <c r="C518">
        <v>1</v>
      </c>
      <c r="D518" s="19">
        <v>915586</v>
      </c>
    </row>
    <row r="519" spans="1:4">
      <c r="A519" t="s">
        <v>2612</v>
      </c>
      <c r="B519" t="s">
        <v>2609</v>
      </c>
      <c r="C519">
        <v>1</v>
      </c>
      <c r="D519" s="19">
        <v>1025493</v>
      </c>
    </row>
    <row r="520" spans="1:4">
      <c r="A520"/>
      <c r="B520" t="s">
        <v>2614</v>
      </c>
      <c r="C520">
        <v>1</v>
      </c>
      <c r="D520" s="19">
        <v>1045277.6</v>
      </c>
    </row>
    <row r="521" spans="1:4">
      <c r="A521"/>
      <c r="B521" t="s">
        <v>3361</v>
      </c>
      <c r="C521">
        <v>1</v>
      </c>
      <c r="D521" s="19">
        <v>2687734</v>
      </c>
    </row>
    <row r="522" spans="1:4">
      <c r="A522"/>
      <c r="B522" t="s">
        <v>4002</v>
      </c>
      <c r="C522">
        <v>1</v>
      </c>
      <c r="D522" s="19">
        <v>1636250</v>
      </c>
    </row>
    <row r="523" spans="1:4">
      <c r="A523"/>
      <c r="B523" t="s">
        <v>5115</v>
      </c>
      <c r="C523">
        <v>1</v>
      </c>
      <c r="D523" s="19">
        <v>999000</v>
      </c>
    </row>
    <row r="524" spans="1:4">
      <c r="A524"/>
      <c r="B524" t="s">
        <v>5368</v>
      </c>
      <c r="C524">
        <v>1</v>
      </c>
      <c r="D524" s="19">
        <v>2831600</v>
      </c>
    </row>
    <row r="525" spans="1:4">
      <c r="A525" t="s">
        <v>7666</v>
      </c>
      <c r="B525"/>
      <c r="C525">
        <v>6</v>
      </c>
      <c r="D525" s="19">
        <v>10225354.6</v>
      </c>
    </row>
    <row r="526" spans="1:4">
      <c r="A526" t="s">
        <v>2999</v>
      </c>
      <c r="B526" t="s">
        <v>2996</v>
      </c>
      <c r="C526">
        <v>1</v>
      </c>
      <c r="D526" s="19">
        <v>10938837</v>
      </c>
    </row>
    <row r="527" spans="1:4">
      <c r="A527" t="s">
        <v>7667</v>
      </c>
      <c r="B527"/>
      <c r="C527">
        <v>1</v>
      </c>
      <c r="D527" s="19">
        <v>10938837</v>
      </c>
    </row>
    <row r="528" spans="1:4">
      <c r="A528" t="s">
        <v>3289</v>
      </c>
      <c r="B528" t="s">
        <v>3286</v>
      </c>
      <c r="C528">
        <v>1</v>
      </c>
      <c r="D528" s="19">
        <v>74970</v>
      </c>
    </row>
    <row r="529" spans="1:4">
      <c r="A529"/>
      <c r="B529" t="s">
        <v>3291</v>
      </c>
      <c r="C529">
        <v>1</v>
      </c>
      <c r="D529" s="19">
        <v>286790</v>
      </c>
    </row>
    <row r="530" spans="1:4">
      <c r="A530" t="s">
        <v>7668</v>
      </c>
      <c r="B530"/>
      <c r="C530">
        <v>2</v>
      </c>
      <c r="D530" s="19">
        <v>361760</v>
      </c>
    </row>
    <row r="531" spans="1:4">
      <c r="A531" t="s">
        <v>3305</v>
      </c>
      <c r="B531" t="s">
        <v>3302</v>
      </c>
      <c r="C531">
        <v>1</v>
      </c>
      <c r="D531" s="19">
        <v>415120.79</v>
      </c>
    </row>
    <row r="532" spans="1:4">
      <c r="A532"/>
      <c r="B532" t="s">
        <v>3307</v>
      </c>
      <c r="C532">
        <v>1</v>
      </c>
      <c r="D532" s="19">
        <v>666144.22</v>
      </c>
    </row>
    <row r="533" spans="1:4">
      <c r="A533" t="s">
        <v>7669</v>
      </c>
      <c r="B533"/>
      <c r="C533">
        <v>2</v>
      </c>
      <c r="D533" s="19">
        <v>1081265.01</v>
      </c>
    </row>
    <row r="534" spans="1:4">
      <c r="A534" t="s">
        <v>3332</v>
      </c>
      <c r="B534" t="s">
        <v>3329</v>
      </c>
      <c r="C534">
        <v>1</v>
      </c>
      <c r="D534" s="19">
        <v>1366001</v>
      </c>
    </row>
    <row r="535" spans="1:4">
      <c r="A535" t="s">
        <v>7670</v>
      </c>
      <c r="B535"/>
      <c r="C535">
        <v>1</v>
      </c>
      <c r="D535" s="19">
        <v>1366001</v>
      </c>
    </row>
    <row r="536" spans="1:4">
      <c r="A536" t="s">
        <v>3388</v>
      </c>
      <c r="B536" t="s">
        <v>3386</v>
      </c>
      <c r="C536">
        <v>1</v>
      </c>
      <c r="D536" s="19">
        <v>437920</v>
      </c>
    </row>
    <row r="537" spans="1:4">
      <c r="A537" t="s">
        <v>7671</v>
      </c>
      <c r="B537"/>
      <c r="C537">
        <v>1</v>
      </c>
      <c r="D537" s="19">
        <v>437920</v>
      </c>
    </row>
    <row r="538" spans="1:4">
      <c r="A538" t="s">
        <v>3606</v>
      </c>
      <c r="B538" t="s">
        <v>3603</v>
      </c>
      <c r="C538">
        <v>1</v>
      </c>
      <c r="D538" s="19">
        <v>321300</v>
      </c>
    </row>
    <row r="539" spans="1:4">
      <c r="A539" t="s">
        <v>7672</v>
      </c>
      <c r="B539"/>
      <c r="C539">
        <v>1</v>
      </c>
      <c r="D539" s="19">
        <v>321300</v>
      </c>
    </row>
    <row r="540" spans="1:4">
      <c r="A540" t="s">
        <v>3684</v>
      </c>
      <c r="B540" t="s">
        <v>3681</v>
      </c>
      <c r="C540">
        <v>1</v>
      </c>
      <c r="D540" s="19">
        <v>10911110</v>
      </c>
    </row>
    <row r="541" spans="1:4">
      <c r="A541" t="s">
        <v>7673</v>
      </c>
      <c r="B541"/>
      <c r="C541">
        <v>1</v>
      </c>
      <c r="D541" s="19">
        <v>10911110</v>
      </c>
    </row>
    <row r="542" spans="1:4">
      <c r="A542" t="s">
        <v>4008</v>
      </c>
      <c r="B542" t="s">
        <v>4005</v>
      </c>
      <c r="C542">
        <v>1</v>
      </c>
      <c r="D542" s="19">
        <v>14709417.449999999</v>
      </c>
    </row>
    <row r="543" spans="1:4">
      <c r="A543" t="s">
        <v>7674</v>
      </c>
      <c r="B543"/>
      <c r="C543">
        <v>1</v>
      </c>
      <c r="D543" s="19">
        <v>14709417.449999999</v>
      </c>
    </row>
    <row r="544" spans="1:4">
      <c r="A544" t="s">
        <v>4092</v>
      </c>
      <c r="B544" t="s">
        <v>4642</v>
      </c>
      <c r="C544">
        <v>1</v>
      </c>
      <c r="D544" s="19">
        <v>2075152.94</v>
      </c>
    </row>
    <row r="545" spans="1:4">
      <c r="A545" t="s">
        <v>7675</v>
      </c>
      <c r="B545"/>
      <c r="C545">
        <v>1</v>
      </c>
      <c r="D545" s="19">
        <v>2075152.94</v>
      </c>
    </row>
    <row r="546" spans="1:4">
      <c r="A546" t="s">
        <v>4244</v>
      </c>
      <c r="B546" t="s">
        <v>4241</v>
      </c>
      <c r="C546">
        <v>1</v>
      </c>
      <c r="D546" s="19">
        <v>3652526.5</v>
      </c>
    </row>
    <row r="547" spans="1:4">
      <c r="A547" t="s">
        <v>7676</v>
      </c>
      <c r="B547"/>
      <c r="C547">
        <v>1</v>
      </c>
      <c r="D547" s="19">
        <v>3652526.5</v>
      </c>
    </row>
    <row r="548" spans="1:4">
      <c r="A548" t="s">
        <v>4304</v>
      </c>
      <c r="B548" t="s">
        <v>4301</v>
      </c>
      <c r="C548">
        <v>1</v>
      </c>
      <c r="D548" s="19">
        <v>1550570</v>
      </c>
    </row>
    <row r="549" spans="1:4">
      <c r="A549" t="s">
        <v>7677</v>
      </c>
      <c r="B549"/>
      <c r="C549">
        <v>1</v>
      </c>
      <c r="D549" s="19">
        <v>1550570</v>
      </c>
    </row>
    <row r="550" spans="1:4">
      <c r="A550" t="s">
        <v>4309</v>
      </c>
      <c r="B550" t="s">
        <v>4306</v>
      </c>
      <c r="C550">
        <v>1</v>
      </c>
      <c r="D550" s="19">
        <v>1945650</v>
      </c>
    </row>
    <row r="551" spans="1:4">
      <c r="A551" t="s">
        <v>7678</v>
      </c>
      <c r="B551"/>
      <c r="C551">
        <v>1</v>
      </c>
      <c r="D551" s="19">
        <v>1945650</v>
      </c>
    </row>
    <row r="552" spans="1:4">
      <c r="A552" t="s">
        <v>4338</v>
      </c>
      <c r="B552" t="s">
        <v>4335</v>
      </c>
      <c r="C552">
        <v>1</v>
      </c>
      <c r="D552" s="19">
        <v>30345000</v>
      </c>
    </row>
    <row r="553" spans="1:4">
      <c r="A553" t="s">
        <v>7679</v>
      </c>
      <c r="B553"/>
      <c r="C553">
        <v>1</v>
      </c>
      <c r="D553" s="19">
        <v>30345000</v>
      </c>
    </row>
    <row r="554" spans="1:4">
      <c r="A554" t="s">
        <v>4403</v>
      </c>
      <c r="B554" t="s">
        <v>4400</v>
      </c>
      <c r="C554">
        <v>1</v>
      </c>
      <c r="D554" s="19">
        <v>157203522</v>
      </c>
    </row>
    <row r="555" spans="1:4">
      <c r="A555" t="s">
        <v>7680</v>
      </c>
      <c r="B555"/>
      <c r="C555">
        <v>1</v>
      </c>
      <c r="D555" s="19">
        <v>157203522</v>
      </c>
    </row>
    <row r="556" spans="1:4">
      <c r="A556" t="s">
        <v>4426</v>
      </c>
      <c r="B556" t="s">
        <v>4423</v>
      </c>
      <c r="C556">
        <v>1</v>
      </c>
      <c r="D556" s="19">
        <v>3111850</v>
      </c>
    </row>
    <row r="557" spans="1:4">
      <c r="A557" t="s">
        <v>7681</v>
      </c>
      <c r="B557"/>
      <c r="C557">
        <v>1</v>
      </c>
      <c r="D557" s="19">
        <v>3111850</v>
      </c>
    </row>
    <row r="558" spans="1:4">
      <c r="A558" t="s">
        <v>4543</v>
      </c>
      <c r="B558" t="s">
        <v>4540</v>
      </c>
      <c r="C558">
        <v>1</v>
      </c>
      <c r="D558" s="19">
        <v>803250</v>
      </c>
    </row>
    <row r="559" spans="1:4">
      <c r="A559"/>
      <c r="B559" t="s">
        <v>5898</v>
      </c>
      <c r="C559">
        <v>1</v>
      </c>
      <c r="D559" s="19">
        <v>1309000</v>
      </c>
    </row>
    <row r="560" spans="1:4">
      <c r="A560" t="s">
        <v>7682</v>
      </c>
      <c r="B560"/>
      <c r="C560">
        <v>2</v>
      </c>
      <c r="D560" s="19">
        <v>2112250</v>
      </c>
    </row>
    <row r="561" spans="1:4">
      <c r="A561" t="s">
        <v>4759</v>
      </c>
      <c r="B561" t="s">
        <v>4756</v>
      </c>
      <c r="C561">
        <v>1</v>
      </c>
      <c r="D561" s="19">
        <v>357000</v>
      </c>
    </row>
    <row r="562" spans="1:4">
      <c r="A562" t="s">
        <v>7683</v>
      </c>
      <c r="B562"/>
      <c r="C562">
        <v>1</v>
      </c>
      <c r="D562" s="19">
        <v>357000</v>
      </c>
    </row>
    <row r="563" spans="1:4">
      <c r="A563" t="s">
        <v>4786</v>
      </c>
      <c r="B563" t="s">
        <v>4783</v>
      </c>
      <c r="C563">
        <v>1</v>
      </c>
      <c r="D563" s="19">
        <v>170947465.08000001</v>
      </c>
    </row>
    <row r="564" spans="1:4">
      <c r="A564" t="s">
        <v>7684</v>
      </c>
      <c r="B564"/>
      <c r="C564">
        <v>1</v>
      </c>
      <c r="D564" s="19">
        <v>170947465.08000001</v>
      </c>
    </row>
    <row r="565" spans="1:4">
      <c r="A565" t="s">
        <v>5008</v>
      </c>
      <c r="B565" t="s">
        <v>5005</v>
      </c>
      <c r="C565">
        <v>1</v>
      </c>
      <c r="D565" s="19">
        <v>134400.98000000001</v>
      </c>
    </row>
    <row r="566" spans="1:4">
      <c r="A566" t="s">
        <v>7685</v>
      </c>
      <c r="B566"/>
      <c r="C566">
        <v>1</v>
      </c>
      <c r="D566" s="19">
        <v>134400.98000000001</v>
      </c>
    </row>
    <row r="567" spans="1:4">
      <c r="A567" t="s">
        <v>5021</v>
      </c>
      <c r="B567" t="s">
        <v>5018</v>
      </c>
      <c r="C567">
        <v>1</v>
      </c>
      <c r="D567" s="19">
        <v>6590154.5499999998</v>
      </c>
    </row>
    <row r="568" spans="1:4">
      <c r="A568" t="s">
        <v>7686</v>
      </c>
      <c r="B568"/>
      <c r="C568">
        <v>1</v>
      </c>
      <c r="D568" s="19">
        <v>6590154.5499999998</v>
      </c>
    </row>
    <row r="569" spans="1:4">
      <c r="A569" t="s">
        <v>5035</v>
      </c>
      <c r="B569" t="s">
        <v>5032</v>
      </c>
      <c r="C569">
        <v>1</v>
      </c>
      <c r="D569" s="19">
        <v>1138830</v>
      </c>
    </row>
    <row r="570" spans="1:4">
      <c r="A570" t="s">
        <v>7687</v>
      </c>
      <c r="B570"/>
      <c r="C570">
        <v>1</v>
      </c>
      <c r="D570" s="19">
        <v>1138830</v>
      </c>
    </row>
    <row r="571" spans="1:4">
      <c r="A571" t="s">
        <v>5043</v>
      </c>
      <c r="B571" t="s">
        <v>5040</v>
      </c>
      <c r="C571">
        <v>1</v>
      </c>
      <c r="D571" s="19">
        <v>178500</v>
      </c>
    </row>
    <row r="572" spans="1:4">
      <c r="A572" t="s">
        <v>7688</v>
      </c>
      <c r="B572"/>
      <c r="C572">
        <v>1</v>
      </c>
      <c r="D572" s="19">
        <v>178500</v>
      </c>
    </row>
    <row r="573" spans="1:4">
      <c r="A573" t="s">
        <v>5162</v>
      </c>
      <c r="B573" t="s">
        <v>5159</v>
      </c>
      <c r="C573">
        <v>1</v>
      </c>
      <c r="D573" s="19">
        <v>1058558.55</v>
      </c>
    </row>
    <row r="574" spans="1:4">
      <c r="A574" t="s">
        <v>7689</v>
      </c>
      <c r="B574"/>
      <c r="C574">
        <v>1</v>
      </c>
      <c r="D574" s="19">
        <v>1058558.55</v>
      </c>
    </row>
    <row r="575" spans="1:4">
      <c r="A575" t="s">
        <v>5185</v>
      </c>
      <c r="B575" t="s">
        <v>5182</v>
      </c>
      <c r="C575">
        <v>1</v>
      </c>
      <c r="D575" s="19">
        <v>98532</v>
      </c>
    </row>
    <row r="576" spans="1:4">
      <c r="A576" t="s">
        <v>7690</v>
      </c>
      <c r="B576"/>
      <c r="C576">
        <v>1</v>
      </c>
      <c r="D576" s="19">
        <v>98532</v>
      </c>
    </row>
    <row r="577" spans="1:4">
      <c r="A577" t="s">
        <v>5267</v>
      </c>
      <c r="B577" t="s">
        <v>5263</v>
      </c>
      <c r="C577">
        <v>1</v>
      </c>
      <c r="D577" s="19">
        <v>3349850</v>
      </c>
    </row>
    <row r="578" spans="1:4">
      <c r="A578"/>
      <c r="B578" t="s">
        <v>5269</v>
      </c>
      <c r="C578">
        <v>1</v>
      </c>
      <c r="D578" s="19">
        <v>79730</v>
      </c>
    </row>
    <row r="579" spans="1:4">
      <c r="A579"/>
      <c r="B579" t="s">
        <v>5272</v>
      </c>
      <c r="C579">
        <v>1</v>
      </c>
      <c r="D579" s="19">
        <v>654500</v>
      </c>
    </row>
    <row r="580" spans="1:4">
      <c r="A580" t="s">
        <v>7691</v>
      </c>
      <c r="B580"/>
      <c r="C580">
        <v>3</v>
      </c>
      <c r="D580" s="19">
        <v>4084080</v>
      </c>
    </row>
    <row r="581" spans="1:4">
      <c r="A581" t="s">
        <v>5295</v>
      </c>
      <c r="B581" t="s">
        <v>5292</v>
      </c>
      <c r="C581">
        <v>1</v>
      </c>
      <c r="D581" s="19">
        <v>714000</v>
      </c>
    </row>
    <row r="582" spans="1:4">
      <c r="A582" t="s">
        <v>7692</v>
      </c>
      <c r="B582"/>
      <c r="C582">
        <v>1</v>
      </c>
      <c r="D582" s="19">
        <v>714000</v>
      </c>
    </row>
    <row r="583" spans="1:4">
      <c r="A583" t="s">
        <v>5577</v>
      </c>
      <c r="B583" t="s">
        <v>5574</v>
      </c>
      <c r="C583">
        <v>1</v>
      </c>
      <c r="D583" s="19">
        <v>935340</v>
      </c>
    </row>
    <row r="584" spans="1:4">
      <c r="A584" t="s">
        <v>7693</v>
      </c>
      <c r="B584"/>
      <c r="C584">
        <v>1</v>
      </c>
      <c r="D584" s="19">
        <v>935340</v>
      </c>
    </row>
    <row r="585" spans="1:4">
      <c r="A585" t="s">
        <v>5765</v>
      </c>
      <c r="B585" t="s">
        <v>5762</v>
      </c>
      <c r="C585">
        <v>1</v>
      </c>
      <c r="D585" s="19">
        <v>838950</v>
      </c>
    </row>
    <row r="586" spans="1:4">
      <c r="A586" t="s">
        <v>7694</v>
      </c>
      <c r="B586"/>
      <c r="C586">
        <v>1</v>
      </c>
      <c r="D586" s="19">
        <v>838950</v>
      </c>
    </row>
    <row r="587" spans="1:4">
      <c r="A587" t="s">
        <v>5613</v>
      </c>
      <c r="B587" t="s">
        <v>5609</v>
      </c>
      <c r="C587">
        <v>1</v>
      </c>
      <c r="D587" s="19">
        <v>352932</v>
      </c>
    </row>
    <row r="588" spans="1:4">
      <c r="A588" t="s">
        <v>7695</v>
      </c>
      <c r="B588"/>
      <c r="C588">
        <v>1</v>
      </c>
      <c r="D588" s="19">
        <v>352932</v>
      </c>
    </row>
    <row r="589" spans="1:4">
      <c r="A589" t="s">
        <v>5826</v>
      </c>
      <c r="B589" t="s">
        <v>5823</v>
      </c>
      <c r="C589">
        <v>1</v>
      </c>
      <c r="D589" s="19">
        <v>918680</v>
      </c>
    </row>
    <row r="590" spans="1:4">
      <c r="A590" t="s">
        <v>7696</v>
      </c>
      <c r="B590"/>
      <c r="C590">
        <v>1</v>
      </c>
      <c r="D590" s="19">
        <v>918680</v>
      </c>
    </row>
    <row r="591" spans="1:4">
      <c r="A591" t="s">
        <v>5856</v>
      </c>
      <c r="B591" t="s">
        <v>5853</v>
      </c>
      <c r="C591">
        <v>1</v>
      </c>
      <c r="D591" s="19">
        <v>2499000</v>
      </c>
    </row>
    <row r="592" spans="1:4">
      <c r="A592" t="s">
        <v>7697</v>
      </c>
      <c r="B592"/>
      <c r="C592">
        <v>1</v>
      </c>
      <c r="D592" s="19">
        <v>2499000</v>
      </c>
    </row>
    <row r="593" spans="1:4">
      <c r="A593" t="s">
        <v>5907</v>
      </c>
      <c r="B593" t="s">
        <v>5904</v>
      </c>
      <c r="C593">
        <v>1</v>
      </c>
      <c r="D593" s="19">
        <v>380800</v>
      </c>
    </row>
    <row r="594" spans="1:4">
      <c r="A594" t="s">
        <v>7698</v>
      </c>
      <c r="B594"/>
      <c r="C594">
        <v>1</v>
      </c>
      <c r="D594" s="19">
        <v>380800</v>
      </c>
    </row>
    <row r="595" spans="1:4">
      <c r="A595" t="s">
        <v>5917</v>
      </c>
      <c r="B595" t="s">
        <v>5914</v>
      </c>
      <c r="C595">
        <v>1</v>
      </c>
      <c r="D595" s="19">
        <v>664515</v>
      </c>
    </row>
    <row r="596" spans="1:4">
      <c r="A596" t="s">
        <v>7699</v>
      </c>
      <c r="B596"/>
      <c r="C596">
        <v>1</v>
      </c>
      <c r="D596" s="19">
        <v>664515</v>
      </c>
    </row>
    <row r="597" spans="1:4">
      <c r="A597" t="s">
        <v>6297</v>
      </c>
      <c r="B597" t="s">
        <v>6294</v>
      </c>
      <c r="C597">
        <v>1</v>
      </c>
      <c r="D597" s="19">
        <v>2831700.2</v>
      </c>
    </row>
    <row r="598" spans="1:4">
      <c r="A598" t="s">
        <v>7700</v>
      </c>
      <c r="B598"/>
      <c r="C598">
        <v>1</v>
      </c>
      <c r="D598" s="19">
        <v>2831700.2</v>
      </c>
    </row>
    <row r="599" spans="1:4">
      <c r="A599" t="s">
        <v>6493</v>
      </c>
      <c r="B599" t="s">
        <v>6490</v>
      </c>
      <c r="C599">
        <v>1</v>
      </c>
      <c r="D599" s="19">
        <v>166897500</v>
      </c>
    </row>
    <row r="600" spans="1:4">
      <c r="A600" t="s">
        <v>7701</v>
      </c>
      <c r="B600"/>
      <c r="C600">
        <v>1</v>
      </c>
      <c r="D600" s="19">
        <v>166897500</v>
      </c>
    </row>
    <row r="601" spans="1:4">
      <c r="A601" t="s">
        <v>6553</v>
      </c>
      <c r="B601" t="s">
        <v>6558</v>
      </c>
      <c r="C601">
        <v>1</v>
      </c>
      <c r="D601" s="19">
        <v>922988.99</v>
      </c>
    </row>
    <row r="602" spans="1:4">
      <c r="A602"/>
      <c r="B602" t="s">
        <v>6561</v>
      </c>
      <c r="C602">
        <v>1</v>
      </c>
      <c r="D602" s="19">
        <v>309138.2</v>
      </c>
    </row>
    <row r="603" spans="1:4">
      <c r="A603" t="s">
        <v>7702</v>
      </c>
      <c r="B603"/>
      <c r="C603">
        <v>2</v>
      </c>
      <c r="D603" s="19">
        <v>1232127.19</v>
      </c>
    </row>
    <row r="604" spans="1:4">
      <c r="A604" t="s">
        <v>6659</v>
      </c>
      <c r="B604" t="s">
        <v>6656</v>
      </c>
      <c r="C604">
        <v>1</v>
      </c>
      <c r="D604" s="19">
        <v>313362.7</v>
      </c>
    </row>
    <row r="605" spans="1:4">
      <c r="A605" t="s">
        <v>7703</v>
      </c>
      <c r="B605"/>
      <c r="C605">
        <v>1</v>
      </c>
      <c r="D605" s="19">
        <v>313362.7</v>
      </c>
    </row>
    <row r="606" spans="1:4">
      <c r="A606" t="s">
        <v>6677</v>
      </c>
      <c r="B606" t="s">
        <v>6674</v>
      </c>
      <c r="C606">
        <v>1</v>
      </c>
      <c r="D606" s="19">
        <v>6064240</v>
      </c>
    </row>
    <row r="607" spans="1:4">
      <c r="A607" t="s">
        <v>7704</v>
      </c>
      <c r="B607"/>
      <c r="C607">
        <v>1</v>
      </c>
      <c r="D607" s="19">
        <v>6064240</v>
      </c>
    </row>
    <row r="608" spans="1:4">
      <c r="A608" t="s">
        <v>6786</v>
      </c>
      <c r="B608" t="s">
        <v>6783</v>
      </c>
      <c r="C608">
        <v>1</v>
      </c>
      <c r="D608" s="19">
        <v>892500</v>
      </c>
    </row>
    <row r="609" spans="1:4">
      <c r="A609" t="s">
        <v>7705</v>
      </c>
      <c r="B609"/>
      <c r="C609">
        <v>1</v>
      </c>
      <c r="D609" s="19">
        <v>892500</v>
      </c>
    </row>
    <row r="610" spans="1:4">
      <c r="A610" t="s">
        <v>6797</v>
      </c>
      <c r="B610" t="s">
        <v>6794</v>
      </c>
      <c r="C610">
        <v>1</v>
      </c>
      <c r="D610" s="19">
        <v>8504848</v>
      </c>
    </row>
    <row r="611" spans="1:4">
      <c r="A611" t="s">
        <v>7706</v>
      </c>
      <c r="B611"/>
      <c r="C611">
        <v>1</v>
      </c>
      <c r="D611" s="19">
        <v>8504848</v>
      </c>
    </row>
    <row r="612" spans="1:4">
      <c r="A612" s="23" t="s">
        <v>7707</v>
      </c>
      <c r="B612" s="23"/>
      <c r="C612">
        <v>428</v>
      </c>
      <c r="D612" s="19">
        <v>3196303055.8699965</v>
      </c>
    </row>
    <row r="613" spans="1:4">
      <c r="A613"/>
      <c r="B613"/>
    </row>
    <row r="614" spans="1:4">
      <c r="A614"/>
      <c r="B614"/>
    </row>
    <row r="615" spans="1:4">
      <c r="A615"/>
      <c r="B615"/>
    </row>
    <row r="616" spans="1:4">
      <c r="A616"/>
      <c r="B616"/>
    </row>
    <row r="617" spans="1:4">
      <c r="A617"/>
      <c r="B617"/>
    </row>
    <row r="618" spans="1:4">
      <c r="A618"/>
      <c r="B618"/>
    </row>
    <row r="619" spans="1:4">
      <c r="A619"/>
      <c r="B619"/>
    </row>
    <row r="620" spans="1:4">
      <c r="A620"/>
      <c r="B620"/>
    </row>
    <row r="621" spans="1:4">
      <c r="A621"/>
      <c r="B621"/>
    </row>
    <row r="622" spans="1:4">
      <c r="A622"/>
      <c r="B622"/>
    </row>
    <row r="623" spans="1:4">
      <c r="A623"/>
      <c r="B623"/>
    </row>
    <row r="624" spans="1:4">
      <c r="A624"/>
      <c r="B624"/>
    </row>
    <row r="625" spans="1:2">
      <c r="A625"/>
      <c r="B625"/>
    </row>
    <row r="626" spans="1:2">
      <c r="A626"/>
      <c r="B626"/>
    </row>
    <row r="627" spans="1:2">
      <c r="A627"/>
      <c r="B627"/>
    </row>
    <row r="628" spans="1:2">
      <c r="A628"/>
      <c r="B628"/>
    </row>
    <row r="629" spans="1:2">
      <c r="A629"/>
      <c r="B629"/>
    </row>
    <row r="630" spans="1:2">
      <c r="A630"/>
      <c r="B630"/>
    </row>
    <row r="631" spans="1:2">
      <c r="A631"/>
      <c r="B631"/>
    </row>
    <row r="632" spans="1:2">
      <c r="A632"/>
      <c r="B632"/>
    </row>
    <row r="633" spans="1:2">
      <c r="A633"/>
      <c r="B633"/>
    </row>
    <row r="634" spans="1:2">
      <c r="A634"/>
      <c r="B634"/>
    </row>
    <row r="635" spans="1:2">
      <c r="A635"/>
      <c r="B635"/>
    </row>
    <row r="636" spans="1:2">
      <c r="A636"/>
      <c r="B636"/>
    </row>
    <row r="637" spans="1:2">
      <c r="A637"/>
      <c r="B637"/>
    </row>
    <row r="638" spans="1:2">
      <c r="A638"/>
      <c r="B638"/>
    </row>
    <row r="639" spans="1:2">
      <c r="A639"/>
      <c r="B639"/>
    </row>
    <row r="640" spans="1:2">
      <c r="A640"/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/>
    </row>
    <row r="1362" spans="2:2">
      <c r="B1362"/>
    </row>
    <row r="1363" spans="2:2">
      <c r="B1363"/>
    </row>
    <row r="1364" spans="2:2">
      <c r="B1364"/>
    </row>
    <row r="1365" spans="2:2">
      <c r="B1365"/>
    </row>
    <row r="1366" spans="2:2">
      <c r="B1366"/>
    </row>
    <row r="1367" spans="2:2">
      <c r="B1367"/>
    </row>
    <row r="1368" spans="2:2">
      <c r="B1368"/>
    </row>
    <row r="1369" spans="2:2">
      <c r="B1369"/>
    </row>
    <row r="1370" spans="2:2">
      <c r="B1370"/>
    </row>
    <row r="1371" spans="2:2">
      <c r="B1371"/>
    </row>
    <row r="1372" spans="2:2">
      <c r="B1372"/>
    </row>
    <row r="1373" spans="2:2">
      <c r="B1373"/>
    </row>
    <row r="1374" spans="2:2">
      <c r="B1374"/>
    </row>
    <row r="1375" spans="2:2">
      <c r="B1375"/>
    </row>
    <row r="1376" spans="2:2">
      <c r="B1376"/>
    </row>
    <row r="1377" spans="2:2">
      <c r="B1377"/>
    </row>
    <row r="1378" spans="2:2">
      <c r="B1378"/>
    </row>
    <row r="1379" spans="2:2">
      <c r="B1379"/>
    </row>
    <row r="1380" spans="2:2">
      <c r="B1380"/>
    </row>
    <row r="1381" spans="2:2">
      <c r="B1381"/>
    </row>
    <row r="1382" spans="2:2">
      <c r="B1382"/>
    </row>
    <row r="1383" spans="2:2">
      <c r="B1383"/>
    </row>
    <row r="1384" spans="2:2">
      <c r="B1384"/>
    </row>
    <row r="1385" spans="2:2">
      <c r="B1385"/>
    </row>
    <row r="1386" spans="2:2">
      <c r="B1386"/>
    </row>
    <row r="1387" spans="2:2">
      <c r="B1387"/>
    </row>
    <row r="1388" spans="2:2">
      <c r="B1388"/>
    </row>
    <row r="1389" spans="2:2">
      <c r="B1389"/>
    </row>
    <row r="1390" spans="2:2">
      <c r="B1390"/>
    </row>
    <row r="1391" spans="2:2">
      <c r="B1391"/>
    </row>
    <row r="1392" spans="2:2">
      <c r="B1392"/>
    </row>
    <row r="1393" spans="2:2">
      <c r="B1393"/>
    </row>
    <row r="1394" spans="2:2">
      <c r="B1394"/>
    </row>
    <row r="1395" spans="2:2">
      <c r="B1395"/>
    </row>
    <row r="1396" spans="2:2">
      <c r="B1396"/>
    </row>
    <row r="1397" spans="2:2">
      <c r="B1397"/>
    </row>
    <row r="1398" spans="2:2">
      <c r="B1398"/>
    </row>
    <row r="1399" spans="2:2">
      <c r="B1399"/>
    </row>
    <row r="1400" spans="2:2">
      <c r="B1400"/>
    </row>
    <row r="1401" spans="2:2">
      <c r="B1401"/>
    </row>
    <row r="1402" spans="2:2">
      <c r="B1402"/>
    </row>
    <row r="1403" spans="2:2">
      <c r="B1403"/>
    </row>
    <row r="1404" spans="2:2">
      <c r="B1404"/>
    </row>
    <row r="1405" spans="2:2">
      <c r="B1405"/>
    </row>
    <row r="1406" spans="2:2">
      <c r="B1406"/>
    </row>
    <row r="1407" spans="2:2">
      <c r="B1407"/>
    </row>
    <row r="1408" spans="2:2">
      <c r="B1408"/>
    </row>
    <row r="1409" spans="2:2">
      <c r="B1409"/>
    </row>
    <row r="1410" spans="2:2">
      <c r="B1410"/>
    </row>
    <row r="1411" spans="2:2">
      <c r="B1411"/>
    </row>
    <row r="1412" spans="2:2">
      <c r="B1412"/>
    </row>
    <row r="1413" spans="2:2">
      <c r="B1413"/>
    </row>
    <row r="1414" spans="2:2">
      <c r="B1414"/>
    </row>
    <row r="1415" spans="2:2">
      <c r="B1415"/>
    </row>
    <row r="1416" spans="2:2">
      <c r="B1416"/>
    </row>
    <row r="1417" spans="2:2">
      <c r="B1417"/>
    </row>
    <row r="1418" spans="2:2">
      <c r="B1418"/>
    </row>
    <row r="1419" spans="2:2">
      <c r="B1419"/>
    </row>
    <row r="1420" spans="2:2">
      <c r="B1420"/>
    </row>
    <row r="1421" spans="2:2">
      <c r="B1421"/>
    </row>
    <row r="1422" spans="2:2">
      <c r="B1422"/>
    </row>
    <row r="1423" spans="2:2">
      <c r="B1423"/>
    </row>
    <row r="1424" spans="2:2">
      <c r="B1424"/>
    </row>
    <row r="1425" spans="2:2">
      <c r="B1425"/>
    </row>
    <row r="1426" spans="2:2">
      <c r="B1426"/>
    </row>
    <row r="1427" spans="2:2">
      <c r="B1427"/>
    </row>
    <row r="1428" spans="2:2">
      <c r="B1428"/>
    </row>
    <row r="1429" spans="2:2">
      <c r="B1429"/>
    </row>
    <row r="1430" spans="2:2">
      <c r="B1430"/>
    </row>
    <row r="1431" spans="2:2">
      <c r="B1431"/>
    </row>
    <row r="1432" spans="2:2">
      <c r="B1432"/>
    </row>
    <row r="1433" spans="2:2">
      <c r="B1433"/>
    </row>
    <row r="1434" spans="2:2">
      <c r="B1434"/>
    </row>
    <row r="1435" spans="2:2">
      <c r="B1435"/>
    </row>
    <row r="1436" spans="2:2">
      <c r="B1436"/>
    </row>
    <row r="1437" spans="2:2">
      <c r="B1437"/>
    </row>
    <row r="1438" spans="2:2">
      <c r="B1438"/>
    </row>
    <row r="1439" spans="2:2">
      <c r="B1439"/>
    </row>
    <row r="1440" spans="2:2">
      <c r="B1440"/>
    </row>
    <row r="1441" spans="2:2">
      <c r="B1441"/>
    </row>
    <row r="1442" spans="2:2">
      <c r="B1442"/>
    </row>
    <row r="1443" spans="2:2">
      <c r="B1443"/>
    </row>
    <row r="1444" spans="2:2">
      <c r="B1444"/>
    </row>
    <row r="1445" spans="2:2">
      <c r="B1445"/>
    </row>
    <row r="1446" spans="2:2">
      <c r="B1446"/>
    </row>
    <row r="1447" spans="2:2">
      <c r="B1447"/>
    </row>
    <row r="1448" spans="2:2">
      <c r="B1448"/>
    </row>
    <row r="1449" spans="2:2">
      <c r="B1449"/>
    </row>
    <row r="1450" spans="2:2">
      <c r="B1450"/>
    </row>
    <row r="1451" spans="2:2">
      <c r="B1451"/>
    </row>
    <row r="1452" spans="2:2">
      <c r="B1452"/>
    </row>
    <row r="1453" spans="2:2">
      <c r="B1453"/>
    </row>
    <row r="1454" spans="2:2">
      <c r="B1454"/>
    </row>
    <row r="1455" spans="2:2">
      <c r="B1455"/>
    </row>
    <row r="1456" spans="2:2">
      <c r="B1456"/>
    </row>
    <row r="1457" spans="2:2">
      <c r="B1457"/>
    </row>
    <row r="1458" spans="2:2">
      <c r="B1458"/>
    </row>
    <row r="1459" spans="2:2">
      <c r="B1459"/>
    </row>
    <row r="1460" spans="2:2">
      <c r="B1460"/>
    </row>
    <row r="1461" spans="2:2">
      <c r="B1461"/>
    </row>
    <row r="1462" spans="2:2">
      <c r="B1462"/>
    </row>
    <row r="1463" spans="2:2">
      <c r="B1463"/>
    </row>
    <row r="1464" spans="2:2">
      <c r="B1464"/>
    </row>
    <row r="1465" spans="2:2">
      <c r="B1465"/>
    </row>
    <row r="1466" spans="2:2">
      <c r="B1466"/>
    </row>
    <row r="1467" spans="2:2">
      <c r="B1467"/>
    </row>
    <row r="1468" spans="2:2">
      <c r="B1468"/>
    </row>
    <row r="1469" spans="2:2">
      <c r="B1469"/>
    </row>
    <row r="1470" spans="2:2">
      <c r="B1470"/>
    </row>
    <row r="1471" spans="2:2">
      <c r="B1471"/>
    </row>
    <row r="1472" spans="2:2">
      <c r="B1472"/>
    </row>
    <row r="1473" spans="2:2">
      <c r="B1473"/>
    </row>
    <row r="1474" spans="2:2">
      <c r="B1474"/>
    </row>
    <row r="1475" spans="2:2">
      <c r="B1475"/>
    </row>
    <row r="1476" spans="2:2">
      <c r="B1476"/>
    </row>
    <row r="1477" spans="2:2">
      <c r="B1477"/>
    </row>
    <row r="1478" spans="2:2">
      <c r="B1478"/>
    </row>
    <row r="1479" spans="2:2">
      <c r="B1479"/>
    </row>
    <row r="1480" spans="2:2">
      <c r="B1480"/>
    </row>
    <row r="1481" spans="2:2">
      <c r="B1481"/>
    </row>
    <row r="1482" spans="2:2">
      <c r="B1482"/>
    </row>
    <row r="1483" spans="2:2">
      <c r="B1483"/>
    </row>
    <row r="1484" spans="2:2">
      <c r="B1484"/>
    </row>
    <row r="1485" spans="2:2">
      <c r="B1485"/>
    </row>
    <row r="1486" spans="2:2">
      <c r="B1486"/>
    </row>
    <row r="1487" spans="2:2">
      <c r="B1487"/>
    </row>
    <row r="1488" spans="2:2">
      <c r="B1488"/>
    </row>
    <row r="1489" spans="2:2">
      <c r="B1489"/>
    </row>
    <row r="1490" spans="2:2">
      <c r="B1490"/>
    </row>
    <row r="1491" spans="2:2">
      <c r="B1491"/>
    </row>
    <row r="1492" spans="2:2">
      <c r="B1492"/>
    </row>
    <row r="1493" spans="2:2">
      <c r="B1493"/>
    </row>
    <row r="1494" spans="2:2">
      <c r="B1494"/>
    </row>
    <row r="1495" spans="2:2">
      <c r="B1495"/>
    </row>
    <row r="1496" spans="2:2">
      <c r="B1496"/>
    </row>
    <row r="1497" spans="2:2">
      <c r="B1497"/>
    </row>
    <row r="1498" spans="2:2">
      <c r="B1498"/>
    </row>
    <row r="1499" spans="2:2">
      <c r="B1499"/>
    </row>
    <row r="1500" spans="2:2">
      <c r="B1500"/>
    </row>
    <row r="1501" spans="2:2">
      <c r="B1501"/>
    </row>
    <row r="1502" spans="2:2">
      <c r="B1502"/>
    </row>
    <row r="1503" spans="2:2">
      <c r="B1503"/>
    </row>
    <row r="1504" spans="2:2">
      <c r="B1504"/>
    </row>
    <row r="1505" spans="2:2">
      <c r="B1505"/>
    </row>
    <row r="1506" spans="2:2">
      <c r="B1506"/>
    </row>
    <row r="1507" spans="2:2">
      <c r="B1507"/>
    </row>
    <row r="1508" spans="2:2">
      <c r="B1508"/>
    </row>
    <row r="1509" spans="2:2">
      <c r="B1509"/>
    </row>
    <row r="1510" spans="2:2">
      <c r="B1510"/>
    </row>
    <row r="1511" spans="2:2">
      <c r="B1511"/>
    </row>
    <row r="1512" spans="2:2">
      <c r="B1512"/>
    </row>
    <row r="1513" spans="2:2">
      <c r="B1513"/>
    </row>
    <row r="1514" spans="2:2">
      <c r="B1514"/>
    </row>
    <row r="1515" spans="2:2">
      <c r="B1515"/>
    </row>
    <row r="1516" spans="2:2">
      <c r="B1516"/>
    </row>
    <row r="1517" spans="2:2">
      <c r="B1517"/>
    </row>
    <row r="1518" spans="2:2">
      <c r="B1518"/>
    </row>
    <row r="1519" spans="2:2">
      <c r="B1519"/>
    </row>
    <row r="1520" spans="2:2">
      <c r="B1520"/>
    </row>
    <row r="1521" spans="2:2">
      <c r="B1521"/>
    </row>
    <row r="1522" spans="2:2">
      <c r="B1522"/>
    </row>
    <row r="1523" spans="2:2">
      <c r="B1523"/>
    </row>
    <row r="1524" spans="2:2">
      <c r="B1524"/>
    </row>
    <row r="1525" spans="2:2">
      <c r="B1525"/>
    </row>
    <row r="1526" spans="2:2">
      <c r="B1526"/>
    </row>
    <row r="1527" spans="2:2">
      <c r="B1527"/>
    </row>
    <row r="1528" spans="2:2">
      <c r="B1528"/>
    </row>
    <row r="1529" spans="2:2">
      <c r="B1529"/>
    </row>
    <row r="1530" spans="2:2">
      <c r="B1530"/>
    </row>
    <row r="1531" spans="2:2">
      <c r="B1531"/>
    </row>
    <row r="1532" spans="2:2">
      <c r="B1532"/>
    </row>
    <row r="1533" spans="2:2">
      <c r="B1533"/>
    </row>
    <row r="1534" spans="2:2">
      <c r="B1534"/>
    </row>
    <row r="1535" spans="2:2">
      <c r="B1535"/>
    </row>
    <row r="1536" spans="2:2">
      <c r="B1536"/>
    </row>
    <row r="1537" spans="2:2">
      <c r="B1537"/>
    </row>
    <row r="1538" spans="2:2">
      <c r="B1538"/>
    </row>
    <row r="1539" spans="2:2">
      <c r="B1539"/>
    </row>
    <row r="1540" spans="2:2">
      <c r="B1540"/>
    </row>
    <row r="1541" spans="2:2">
      <c r="B1541"/>
    </row>
    <row r="1542" spans="2:2">
      <c r="B1542"/>
    </row>
    <row r="1543" spans="2:2">
      <c r="B1543"/>
    </row>
    <row r="1544" spans="2:2">
      <c r="B1544"/>
    </row>
    <row r="1545" spans="2:2">
      <c r="B1545"/>
    </row>
    <row r="1546" spans="2:2">
      <c r="B1546"/>
    </row>
    <row r="1547" spans="2:2">
      <c r="B1547"/>
    </row>
    <row r="1548" spans="2:2">
      <c r="B1548"/>
    </row>
    <row r="1549" spans="2:2">
      <c r="B1549"/>
    </row>
    <row r="1550" spans="2:2">
      <c r="B1550"/>
    </row>
    <row r="1551" spans="2:2">
      <c r="B1551"/>
    </row>
    <row r="1552" spans="2:2">
      <c r="B1552"/>
    </row>
    <row r="1553" spans="2:2">
      <c r="B1553"/>
    </row>
    <row r="1554" spans="2:2">
      <c r="B1554"/>
    </row>
    <row r="1555" spans="2:2">
      <c r="B1555"/>
    </row>
    <row r="1556" spans="2:2">
      <c r="B1556"/>
    </row>
    <row r="1557" spans="2:2">
      <c r="B1557"/>
    </row>
    <row r="1558" spans="2:2">
      <c r="B1558"/>
    </row>
    <row r="1559" spans="2:2">
      <c r="B1559"/>
    </row>
    <row r="1560" spans="2:2">
      <c r="B1560"/>
    </row>
    <row r="1561" spans="2:2">
      <c r="B1561"/>
    </row>
    <row r="1562" spans="2:2">
      <c r="B1562"/>
    </row>
    <row r="1563" spans="2:2">
      <c r="B1563"/>
    </row>
    <row r="1564" spans="2:2">
      <c r="B1564"/>
    </row>
    <row r="1565" spans="2:2">
      <c r="B1565"/>
    </row>
    <row r="1566" spans="2:2">
      <c r="B1566"/>
    </row>
    <row r="1567" spans="2:2">
      <c r="B1567"/>
    </row>
    <row r="1568" spans="2:2">
      <c r="B1568"/>
    </row>
    <row r="1569" spans="2:2">
      <c r="B1569"/>
    </row>
    <row r="1570" spans="2:2">
      <c r="B1570"/>
    </row>
    <row r="1571" spans="2:2">
      <c r="B1571"/>
    </row>
    <row r="1572" spans="2:2">
      <c r="B1572"/>
    </row>
    <row r="1573" spans="2:2">
      <c r="B1573"/>
    </row>
    <row r="1574" spans="2:2">
      <c r="B1574"/>
    </row>
    <row r="1575" spans="2:2">
      <c r="B1575"/>
    </row>
    <row r="1576" spans="2:2">
      <c r="B1576"/>
    </row>
    <row r="1577" spans="2:2">
      <c r="B1577"/>
    </row>
    <row r="1578" spans="2:2">
      <c r="B1578"/>
    </row>
    <row r="1579" spans="2:2">
      <c r="B1579"/>
    </row>
    <row r="1580" spans="2:2">
      <c r="B1580"/>
    </row>
    <row r="1581" spans="2:2">
      <c r="B1581"/>
    </row>
    <row r="1582" spans="2:2">
      <c r="B1582"/>
    </row>
    <row r="1583" spans="2:2">
      <c r="B1583"/>
    </row>
    <row r="1584" spans="2:2">
      <c r="B1584"/>
    </row>
    <row r="1585" spans="2:2">
      <c r="B1585"/>
    </row>
    <row r="1586" spans="2:2">
      <c r="B1586"/>
    </row>
    <row r="1587" spans="2:2">
      <c r="B1587"/>
    </row>
    <row r="1588" spans="2:2">
      <c r="B1588"/>
    </row>
    <row r="1589" spans="2:2">
      <c r="B1589"/>
    </row>
    <row r="1590" spans="2:2">
      <c r="B1590"/>
    </row>
    <row r="1591" spans="2:2">
      <c r="B1591"/>
    </row>
    <row r="1592" spans="2:2">
      <c r="B1592"/>
    </row>
    <row r="1593" spans="2:2">
      <c r="B1593"/>
    </row>
    <row r="1594" spans="2:2">
      <c r="B1594"/>
    </row>
    <row r="1595" spans="2:2">
      <c r="B1595"/>
    </row>
    <row r="1596" spans="2:2">
      <c r="B1596"/>
    </row>
    <row r="1597" spans="2:2">
      <c r="B1597"/>
    </row>
    <row r="1598" spans="2:2">
      <c r="B1598"/>
    </row>
    <row r="1599" spans="2:2">
      <c r="B1599"/>
    </row>
    <row r="1600" spans="2:2">
      <c r="B1600"/>
    </row>
    <row r="1601" spans="2:2">
      <c r="B1601"/>
    </row>
    <row r="1602" spans="2:2">
      <c r="B1602"/>
    </row>
    <row r="1603" spans="2:2">
      <c r="B1603"/>
    </row>
    <row r="1604" spans="2:2">
      <c r="B1604"/>
    </row>
    <row r="1605" spans="2:2">
      <c r="B1605"/>
    </row>
    <row r="1606" spans="2:2">
      <c r="B1606"/>
    </row>
    <row r="1607" spans="2:2">
      <c r="B1607"/>
    </row>
    <row r="1608" spans="2:2">
      <c r="B1608"/>
    </row>
    <row r="1609" spans="2:2">
      <c r="B1609"/>
    </row>
    <row r="1610" spans="2:2">
      <c r="B1610"/>
    </row>
    <row r="1611" spans="2:2">
      <c r="B1611"/>
    </row>
    <row r="1612" spans="2:2">
      <c r="B1612"/>
    </row>
    <row r="1613" spans="2:2">
      <c r="B1613"/>
    </row>
    <row r="1614" spans="2:2">
      <c r="B1614"/>
    </row>
    <row r="1615" spans="2:2">
      <c r="B1615"/>
    </row>
    <row r="1616" spans="2:2">
      <c r="B1616"/>
    </row>
    <row r="1617" spans="2:2">
      <c r="B1617"/>
    </row>
    <row r="1618" spans="2:2">
      <c r="B1618"/>
    </row>
    <row r="1619" spans="2:2">
      <c r="B1619"/>
    </row>
    <row r="1620" spans="2:2">
      <c r="B1620"/>
    </row>
    <row r="1621" spans="2:2">
      <c r="B1621"/>
    </row>
    <row r="1622" spans="2:2">
      <c r="B1622"/>
    </row>
    <row r="1623" spans="2:2">
      <c r="B1623"/>
    </row>
    <row r="1624" spans="2:2">
      <c r="B1624"/>
    </row>
    <row r="1625" spans="2:2">
      <c r="B1625"/>
    </row>
    <row r="1626" spans="2:2">
      <c r="B1626"/>
    </row>
    <row r="1627" spans="2:2">
      <c r="B1627"/>
    </row>
    <row r="1628" spans="2:2">
      <c r="B1628"/>
    </row>
    <row r="1629" spans="2:2">
      <c r="B1629"/>
    </row>
    <row r="1630" spans="2:2">
      <c r="B1630"/>
    </row>
    <row r="1631" spans="2:2">
      <c r="B1631"/>
    </row>
    <row r="1632" spans="2:2">
      <c r="B1632"/>
    </row>
    <row r="1633" spans="2:2">
      <c r="B1633"/>
    </row>
    <row r="1634" spans="2:2">
      <c r="B1634"/>
    </row>
    <row r="1635" spans="2:2">
      <c r="B1635"/>
    </row>
    <row r="1636" spans="2:2">
      <c r="B1636"/>
    </row>
    <row r="1637" spans="2:2">
      <c r="B1637"/>
    </row>
    <row r="1638" spans="2:2">
      <c r="B1638"/>
    </row>
    <row r="1639" spans="2:2">
      <c r="B1639"/>
    </row>
    <row r="1640" spans="2:2">
      <c r="B1640"/>
    </row>
    <row r="1641" spans="2:2">
      <c r="B1641"/>
    </row>
    <row r="1642" spans="2:2">
      <c r="B1642"/>
    </row>
    <row r="1643" spans="2:2">
      <c r="B1643"/>
    </row>
    <row r="1644" spans="2:2">
      <c r="B1644"/>
    </row>
    <row r="1645" spans="2:2">
      <c r="B1645"/>
    </row>
    <row r="1646" spans="2:2">
      <c r="B1646"/>
    </row>
    <row r="1647" spans="2:2">
      <c r="B1647"/>
    </row>
    <row r="1648" spans="2:2">
      <c r="B1648"/>
    </row>
    <row r="1649" spans="2:2">
      <c r="B1649"/>
    </row>
    <row r="1650" spans="2:2">
      <c r="B1650"/>
    </row>
    <row r="1651" spans="2:2">
      <c r="B1651"/>
    </row>
    <row r="1652" spans="2:2">
      <c r="B1652"/>
    </row>
    <row r="1653" spans="2:2">
      <c r="B1653"/>
    </row>
    <row r="1654" spans="2:2">
      <c r="B1654"/>
    </row>
    <row r="1655" spans="2:2">
      <c r="B1655"/>
    </row>
    <row r="1656" spans="2:2">
      <c r="B1656"/>
    </row>
    <row r="1657" spans="2:2">
      <c r="B1657"/>
    </row>
    <row r="1658" spans="2:2">
      <c r="B1658"/>
    </row>
    <row r="1659" spans="2:2">
      <c r="B1659"/>
    </row>
    <row r="1660" spans="2:2">
      <c r="B1660"/>
    </row>
    <row r="1661" spans="2:2">
      <c r="B1661"/>
    </row>
    <row r="1662" spans="2:2">
      <c r="B1662"/>
    </row>
    <row r="1663" spans="2:2">
      <c r="B1663"/>
    </row>
    <row r="1664" spans="2:2">
      <c r="B1664"/>
    </row>
    <row r="1665" spans="2:2">
      <c r="B1665"/>
    </row>
    <row r="1666" spans="2:2">
      <c r="B1666"/>
    </row>
    <row r="1667" spans="2:2">
      <c r="B1667"/>
    </row>
    <row r="1668" spans="2:2">
      <c r="B1668"/>
    </row>
    <row r="1669" spans="2:2">
      <c r="B1669"/>
    </row>
    <row r="1670" spans="2:2">
      <c r="B1670"/>
    </row>
    <row r="1671" spans="2:2">
      <c r="B1671"/>
    </row>
    <row r="1672" spans="2:2">
      <c r="B1672"/>
    </row>
    <row r="1673" spans="2:2">
      <c r="B1673"/>
    </row>
    <row r="1674" spans="2:2">
      <c r="B167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F5D-1CA8-4F2B-B142-10879A294A6E}">
  <dimension ref="A1:D178"/>
  <sheetViews>
    <sheetView workbookViewId="0">
      <selection activeCell="A5" sqref="A5"/>
    </sheetView>
  </sheetViews>
  <sheetFormatPr defaultColWidth="9.140625" defaultRowHeight="15"/>
  <cols>
    <col min="1" max="1" width="91.5703125" style="23" bestFit="1" customWidth="1"/>
    <col min="2" max="2" width="20.42578125" style="20" bestFit="1" customWidth="1"/>
    <col min="3" max="3" width="17.85546875" bestFit="1" customWidth="1"/>
    <col min="4" max="4" width="15.140625" bestFit="1" customWidth="1"/>
  </cols>
  <sheetData>
    <row r="1" spans="1:4">
      <c r="A1" s="22" t="s">
        <v>26</v>
      </c>
      <c r="B1" t="s">
        <v>7523</v>
      </c>
    </row>
    <row r="3" spans="1:4">
      <c r="A3" s="22" t="s">
        <v>19</v>
      </c>
      <c r="B3" s="21" t="s">
        <v>11</v>
      </c>
      <c r="C3" t="s">
        <v>7708</v>
      </c>
      <c r="D3" t="s">
        <v>7525</v>
      </c>
    </row>
    <row r="4" spans="1:4">
      <c r="A4" t="s">
        <v>1959</v>
      </c>
      <c r="B4" t="s">
        <v>1956</v>
      </c>
      <c r="C4">
        <v>1</v>
      </c>
      <c r="D4" s="19">
        <v>3168232.2</v>
      </c>
    </row>
    <row r="5" spans="1:4">
      <c r="A5" t="s">
        <v>7709</v>
      </c>
      <c r="B5"/>
      <c r="C5">
        <v>1</v>
      </c>
      <c r="D5" s="19">
        <v>3168232.2</v>
      </c>
    </row>
    <row r="6" spans="1:4">
      <c r="A6" t="s">
        <v>521</v>
      </c>
      <c r="B6" t="s">
        <v>518</v>
      </c>
      <c r="C6">
        <v>1</v>
      </c>
      <c r="D6" s="19">
        <v>3717189</v>
      </c>
    </row>
    <row r="7" spans="1:4">
      <c r="A7" t="s">
        <v>7710</v>
      </c>
      <c r="B7"/>
      <c r="C7">
        <v>1</v>
      </c>
      <c r="D7" s="19">
        <v>3717189</v>
      </c>
    </row>
    <row r="8" spans="1:4">
      <c r="A8" t="s">
        <v>53</v>
      </c>
      <c r="B8" t="s">
        <v>50</v>
      </c>
      <c r="C8">
        <v>1</v>
      </c>
      <c r="D8" s="19">
        <v>175644</v>
      </c>
    </row>
    <row r="9" spans="1:4">
      <c r="A9"/>
      <c r="B9" t="s">
        <v>55</v>
      </c>
      <c r="C9">
        <v>1</v>
      </c>
      <c r="D9" s="19">
        <v>77112</v>
      </c>
    </row>
    <row r="10" spans="1:4">
      <c r="A10" t="s">
        <v>7711</v>
      </c>
      <c r="B10"/>
      <c r="C10">
        <v>2</v>
      </c>
      <c r="D10" s="19">
        <v>252756</v>
      </c>
    </row>
    <row r="11" spans="1:4">
      <c r="A11" t="s">
        <v>622</v>
      </c>
      <c r="B11" t="s">
        <v>619</v>
      </c>
      <c r="C11">
        <v>1</v>
      </c>
      <c r="D11" s="19">
        <v>9205413.5</v>
      </c>
    </row>
    <row r="12" spans="1:4">
      <c r="A12" t="s">
        <v>7539</v>
      </c>
      <c r="B12"/>
      <c r="C12">
        <v>1</v>
      </c>
      <c r="D12" s="19">
        <v>9205413.5</v>
      </c>
    </row>
    <row r="13" spans="1:4">
      <c r="A13" s="23" t="s">
        <v>3415</v>
      </c>
      <c r="B13" t="s">
        <v>3412</v>
      </c>
      <c r="C13">
        <v>1</v>
      </c>
      <c r="D13" s="19">
        <v>26455350</v>
      </c>
    </row>
    <row r="14" spans="1:4">
      <c r="A14" s="23" t="s">
        <v>7712</v>
      </c>
      <c r="B14" s="23"/>
      <c r="C14">
        <v>1</v>
      </c>
      <c r="D14" s="19">
        <v>26455350</v>
      </c>
    </row>
    <row r="15" spans="1:4">
      <c r="A15" t="s">
        <v>4781</v>
      </c>
      <c r="B15" t="s">
        <v>4933</v>
      </c>
      <c r="C15">
        <v>1</v>
      </c>
      <c r="D15" s="19">
        <v>317206.40000000002</v>
      </c>
    </row>
    <row r="16" spans="1:4">
      <c r="A16" t="s">
        <v>7547</v>
      </c>
      <c r="B16"/>
      <c r="C16">
        <v>1</v>
      </c>
      <c r="D16" s="19">
        <v>317206.40000000002</v>
      </c>
    </row>
    <row r="17" spans="1:4">
      <c r="A17" t="s">
        <v>3953</v>
      </c>
      <c r="B17" t="s">
        <v>3950</v>
      </c>
      <c r="C17">
        <v>1</v>
      </c>
      <c r="D17" s="19">
        <v>1165819.2</v>
      </c>
    </row>
    <row r="18" spans="1:4">
      <c r="A18" t="s">
        <v>7713</v>
      </c>
      <c r="B18"/>
      <c r="C18">
        <v>1</v>
      </c>
      <c r="D18" s="19">
        <v>1165819.2</v>
      </c>
    </row>
    <row r="19" spans="1:4">
      <c r="A19" t="s">
        <v>3243</v>
      </c>
      <c r="B19" t="s">
        <v>3240</v>
      </c>
      <c r="C19">
        <v>1</v>
      </c>
      <c r="D19" s="19">
        <v>137634.21</v>
      </c>
    </row>
    <row r="20" spans="1:4">
      <c r="A20"/>
      <c r="B20" t="s">
        <v>4761</v>
      </c>
      <c r="C20">
        <v>1</v>
      </c>
      <c r="D20" s="19">
        <v>2498533.54</v>
      </c>
    </row>
    <row r="21" spans="1:4">
      <c r="A21"/>
      <c r="B21" t="s">
        <v>4764</v>
      </c>
      <c r="C21">
        <v>1</v>
      </c>
      <c r="D21" s="19">
        <v>302600</v>
      </c>
    </row>
    <row r="22" spans="1:4">
      <c r="A22"/>
      <c r="B22" t="s">
        <v>4817</v>
      </c>
      <c r="C22">
        <v>1</v>
      </c>
      <c r="D22" s="19">
        <v>624117.36</v>
      </c>
    </row>
    <row r="23" spans="1:4">
      <c r="A23"/>
      <c r="B23" t="s">
        <v>6379</v>
      </c>
      <c r="C23">
        <v>1</v>
      </c>
      <c r="D23" s="19">
        <v>291038.3</v>
      </c>
    </row>
    <row r="24" spans="1:4">
      <c r="A24" t="s">
        <v>7552</v>
      </c>
      <c r="B24"/>
      <c r="C24">
        <v>5</v>
      </c>
      <c r="D24" s="19">
        <v>3853923.4099999997</v>
      </c>
    </row>
    <row r="25" spans="1:4">
      <c r="A25" s="23" t="s">
        <v>3971</v>
      </c>
      <c r="B25" t="s">
        <v>3968</v>
      </c>
      <c r="C25">
        <v>1</v>
      </c>
      <c r="D25" s="19">
        <v>226100</v>
      </c>
    </row>
    <row r="26" spans="1:4">
      <c r="A26" s="23" t="s">
        <v>7714</v>
      </c>
      <c r="B26" s="23"/>
      <c r="C26">
        <v>1</v>
      </c>
      <c r="D26" s="19">
        <v>226100</v>
      </c>
    </row>
    <row r="27" spans="1:4">
      <c r="A27" t="s">
        <v>1978</v>
      </c>
      <c r="B27" t="s">
        <v>4831</v>
      </c>
      <c r="C27">
        <v>1</v>
      </c>
      <c r="D27" s="19">
        <v>22947127</v>
      </c>
    </row>
    <row r="28" spans="1:4">
      <c r="A28" t="s">
        <v>7715</v>
      </c>
      <c r="B28"/>
      <c r="C28">
        <v>1</v>
      </c>
      <c r="D28" s="19">
        <v>22947127</v>
      </c>
    </row>
    <row r="29" spans="1:4">
      <c r="A29" t="s">
        <v>531</v>
      </c>
      <c r="B29" t="s">
        <v>528</v>
      </c>
      <c r="C29">
        <v>1</v>
      </c>
      <c r="D29" s="19">
        <v>2420978.7000000002</v>
      </c>
    </row>
    <row r="30" spans="1:4">
      <c r="A30" t="s">
        <v>7561</v>
      </c>
      <c r="B30"/>
      <c r="C30">
        <v>1</v>
      </c>
      <c r="D30" s="19">
        <v>2420978.7000000002</v>
      </c>
    </row>
    <row r="31" spans="1:4">
      <c r="A31" t="s">
        <v>1865</v>
      </c>
      <c r="B31" t="s">
        <v>3931</v>
      </c>
      <c r="C31">
        <v>1</v>
      </c>
      <c r="D31" s="19">
        <v>6420000</v>
      </c>
    </row>
    <row r="32" spans="1:4">
      <c r="A32" t="s">
        <v>7716</v>
      </c>
      <c r="B32"/>
      <c r="C32">
        <v>1</v>
      </c>
      <c r="D32" s="19">
        <v>6420000</v>
      </c>
    </row>
    <row r="33" spans="1:4">
      <c r="A33" t="s">
        <v>3516</v>
      </c>
      <c r="B33" t="s">
        <v>3521</v>
      </c>
      <c r="C33">
        <v>1</v>
      </c>
      <c r="D33" s="19">
        <v>379930.11</v>
      </c>
    </row>
    <row r="34" spans="1:4">
      <c r="A34" t="s">
        <v>7569</v>
      </c>
      <c r="B34"/>
      <c r="C34">
        <v>1</v>
      </c>
      <c r="D34" s="19">
        <v>379930.11</v>
      </c>
    </row>
    <row r="35" spans="1:4">
      <c r="A35" s="23" t="s">
        <v>4640</v>
      </c>
      <c r="B35" t="s">
        <v>4637</v>
      </c>
      <c r="C35">
        <v>1</v>
      </c>
      <c r="D35" s="19">
        <v>166046.65</v>
      </c>
    </row>
    <row r="36" spans="1:4">
      <c r="B36" t="s">
        <v>5519</v>
      </c>
      <c r="C36">
        <v>1</v>
      </c>
      <c r="D36" s="19">
        <v>3067848.56</v>
      </c>
    </row>
    <row r="37" spans="1:4">
      <c r="B37" t="s">
        <v>6105</v>
      </c>
      <c r="C37">
        <v>1</v>
      </c>
      <c r="D37" s="19">
        <v>7224002.0999999996</v>
      </c>
    </row>
    <row r="38" spans="1:4">
      <c r="A38" s="23" t="s">
        <v>7717</v>
      </c>
      <c r="B38" s="23"/>
      <c r="C38">
        <v>3</v>
      </c>
      <c r="D38" s="19">
        <v>10457897.309999999</v>
      </c>
    </row>
    <row r="39" spans="1:4">
      <c r="A39" t="s">
        <v>3739</v>
      </c>
      <c r="B39" t="s">
        <v>3736</v>
      </c>
      <c r="C39">
        <v>1</v>
      </c>
      <c r="D39" s="19">
        <v>498610</v>
      </c>
    </row>
    <row r="40" spans="1:4">
      <c r="A40" t="s">
        <v>7571</v>
      </c>
      <c r="B40"/>
      <c r="C40">
        <v>1</v>
      </c>
      <c r="D40" s="19">
        <v>498610</v>
      </c>
    </row>
    <row r="41" spans="1:4">
      <c r="A41" s="23" t="s">
        <v>495</v>
      </c>
      <c r="B41" t="s">
        <v>492</v>
      </c>
      <c r="C41">
        <v>1</v>
      </c>
      <c r="D41" s="19">
        <v>129234</v>
      </c>
    </row>
    <row r="42" spans="1:4">
      <c r="B42" t="s">
        <v>2764</v>
      </c>
      <c r="C42">
        <v>1</v>
      </c>
      <c r="D42" s="19">
        <v>182800.66</v>
      </c>
    </row>
    <row r="43" spans="1:4">
      <c r="B43" t="s">
        <v>2916</v>
      </c>
      <c r="C43">
        <v>1</v>
      </c>
      <c r="D43" s="19">
        <v>74039.42</v>
      </c>
    </row>
    <row r="44" spans="1:4">
      <c r="B44" t="s">
        <v>3137</v>
      </c>
      <c r="C44">
        <v>1</v>
      </c>
      <c r="D44" s="19">
        <v>106921.5</v>
      </c>
    </row>
    <row r="45" spans="1:4">
      <c r="B45" t="s">
        <v>3151</v>
      </c>
      <c r="C45">
        <v>1</v>
      </c>
      <c r="D45" s="19">
        <v>116620</v>
      </c>
    </row>
    <row r="46" spans="1:4">
      <c r="A46" s="23" t="s">
        <v>7718</v>
      </c>
      <c r="B46" s="23"/>
      <c r="C46">
        <v>5</v>
      </c>
      <c r="D46" s="19">
        <v>609615.58000000007</v>
      </c>
    </row>
    <row r="47" spans="1:4">
      <c r="A47" t="s">
        <v>1723</v>
      </c>
      <c r="B47" t="s">
        <v>1967</v>
      </c>
      <c r="C47">
        <v>1</v>
      </c>
      <c r="D47" s="19">
        <v>537827.64</v>
      </c>
    </row>
    <row r="48" spans="1:4">
      <c r="A48"/>
      <c r="B48" t="s">
        <v>2893</v>
      </c>
      <c r="C48">
        <v>1</v>
      </c>
      <c r="D48" s="19">
        <v>178500</v>
      </c>
    </row>
    <row r="49" spans="1:4">
      <c r="A49"/>
      <c r="B49" t="s">
        <v>2896</v>
      </c>
      <c r="C49">
        <v>1</v>
      </c>
      <c r="D49" s="19">
        <v>116620</v>
      </c>
    </row>
    <row r="50" spans="1:4">
      <c r="A50"/>
      <c r="B50" t="s">
        <v>2899</v>
      </c>
      <c r="C50">
        <v>1</v>
      </c>
      <c r="D50" s="19">
        <v>116620</v>
      </c>
    </row>
    <row r="51" spans="1:4">
      <c r="A51"/>
      <c r="B51" t="s">
        <v>2902</v>
      </c>
      <c r="C51">
        <v>1</v>
      </c>
      <c r="D51" s="19">
        <v>116620</v>
      </c>
    </row>
    <row r="52" spans="1:4">
      <c r="A52"/>
      <c r="B52" t="s">
        <v>2905</v>
      </c>
      <c r="C52">
        <v>1</v>
      </c>
      <c r="D52" s="19">
        <v>116620</v>
      </c>
    </row>
    <row r="53" spans="1:4">
      <c r="A53"/>
      <c r="B53" t="s">
        <v>3134</v>
      </c>
      <c r="C53">
        <v>1</v>
      </c>
      <c r="D53" s="19">
        <v>35462</v>
      </c>
    </row>
    <row r="54" spans="1:4">
      <c r="A54" t="s">
        <v>7575</v>
      </c>
      <c r="B54"/>
      <c r="C54">
        <v>7</v>
      </c>
      <c r="D54" s="19">
        <v>1218269.6400000001</v>
      </c>
    </row>
    <row r="55" spans="1:4">
      <c r="A55" t="s">
        <v>395</v>
      </c>
      <c r="B55" t="s">
        <v>397</v>
      </c>
      <c r="C55">
        <v>1</v>
      </c>
      <c r="D55" s="19">
        <v>3165400</v>
      </c>
    </row>
    <row r="56" spans="1:4">
      <c r="A56"/>
      <c r="B56" t="s">
        <v>400</v>
      </c>
      <c r="C56">
        <v>1</v>
      </c>
      <c r="D56" s="19">
        <v>1142400</v>
      </c>
    </row>
    <row r="57" spans="1:4">
      <c r="A57"/>
      <c r="B57" t="s">
        <v>403</v>
      </c>
      <c r="C57">
        <v>1</v>
      </c>
      <c r="D57" s="19">
        <v>1475600</v>
      </c>
    </row>
    <row r="58" spans="1:4">
      <c r="A58"/>
      <c r="B58" t="s">
        <v>406</v>
      </c>
      <c r="C58">
        <v>1</v>
      </c>
      <c r="D58" s="19">
        <v>4046000</v>
      </c>
    </row>
    <row r="59" spans="1:4">
      <c r="A59"/>
      <c r="B59" t="s">
        <v>409</v>
      </c>
      <c r="C59">
        <v>1</v>
      </c>
      <c r="D59" s="19">
        <v>2963100</v>
      </c>
    </row>
    <row r="60" spans="1:4">
      <c r="A60"/>
      <c r="B60" t="s">
        <v>412</v>
      </c>
      <c r="C60">
        <v>1</v>
      </c>
      <c r="D60" s="19">
        <v>315350</v>
      </c>
    </row>
    <row r="61" spans="1:4">
      <c r="A61"/>
      <c r="B61" t="s">
        <v>415</v>
      </c>
      <c r="C61">
        <v>1</v>
      </c>
      <c r="D61" s="19">
        <v>2600150</v>
      </c>
    </row>
    <row r="62" spans="1:4">
      <c r="A62"/>
      <c r="B62" t="s">
        <v>418</v>
      </c>
      <c r="C62">
        <v>1</v>
      </c>
      <c r="D62" s="19">
        <v>291550</v>
      </c>
    </row>
    <row r="63" spans="1:4">
      <c r="A63"/>
      <c r="B63" t="s">
        <v>421</v>
      </c>
      <c r="C63">
        <v>1</v>
      </c>
      <c r="D63" s="19">
        <v>160650</v>
      </c>
    </row>
    <row r="64" spans="1:4">
      <c r="A64" t="s">
        <v>7597</v>
      </c>
      <c r="B64"/>
      <c r="C64">
        <v>9</v>
      </c>
      <c r="D64" s="19">
        <v>16160200</v>
      </c>
    </row>
    <row r="65" spans="1:4">
      <c r="A65" t="s">
        <v>2332</v>
      </c>
      <c r="B65" t="s">
        <v>2329</v>
      </c>
      <c r="C65">
        <v>1</v>
      </c>
      <c r="D65" s="19">
        <v>234192</v>
      </c>
    </row>
    <row r="66" spans="1:4">
      <c r="A66"/>
      <c r="B66" t="s">
        <v>6180</v>
      </c>
      <c r="C66">
        <v>1</v>
      </c>
      <c r="D66" s="19">
        <v>214200</v>
      </c>
    </row>
    <row r="67" spans="1:4">
      <c r="A67" t="s">
        <v>7719</v>
      </c>
      <c r="B67"/>
      <c r="C67">
        <v>2</v>
      </c>
      <c r="D67" s="19">
        <v>448392</v>
      </c>
    </row>
    <row r="68" spans="1:4">
      <c r="A68" t="s">
        <v>5593</v>
      </c>
      <c r="B68" t="s">
        <v>5590</v>
      </c>
      <c r="C68">
        <v>1</v>
      </c>
      <c r="D68" s="19">
        <v>2302650</v>
      </c>
    </row>
    <row r="69" spans="1:4">
      <c r="A69" t="s">
        <v>7720</v>
      </c>
      <c r="B69"/>
      <c r="C69">
        <v>1</v>
      </c>
      <c r="D69" s="19">
        <v>2302650</v>
      </c>
    </row>
    <row r="70" spans="1:4">
      <c r="A70" s="23" t="s">
        <v>2056</v>
      </c>
      <c r="B70" t="s">
        <v>2053</v>
      </c>
      <c r="C70">
        <v>1</v>
      </c>
      <c r="D70" s="19">
        <v>1055000</v>
      </c>
    </row>
    <row r="71" spans="1:4">
      <c r="B71" t="s">
        <v>2058</v>
      </c>
      <c r="C71">
        <v>1</v>
      </c>
      <c r="D71" s="19">
        <v>17136000</v>
      </c>
    </row>
    <row r="72" spans="1:4">
      <c r="B72" t="s">
        <v>2954</v>
      </c>
      <c r="C72">
        <v>1</v>
      </c>
      <c r="D72" s="19">
        <v>1810704</v>
      </c>
    </row>
    <row r="73" spans="1:4">
      <c r="B73" t="s">
        <v>3112</v>
      </c>
      <c r="C73">
        <v>1</v>
      </c>
      <c r="D73" s="19">
        <v>1386350</v>
      </c>
    </row>
    <row r="74" spans="1:4">
      <c r="B74" t="s">
        <v>4431</v>
      </c>
      <c r="C74">
        <v>1</v>
      </c>
      <c r="D74" s="19">
        <v>357000</v>
      </c>
    </row>
    <row r="75" spans="1:4">
      <c r="A75" s="23" t="s">
        <v>7721</v>
      </c>
      <c r="B75" s="23"/>
      <c r="C75">
        <v>5</v>
      </c>
      <c r="D75" s="19">
        <v>21745054</v>
      </c>
    </row>
    <row r="76" spans="1:4">
      <c r="A76" t="s">
        <v>891</v>
      </c>
      <c r="B76" t="s">
        <v>3500</v>
      </c>
      <c r="C76">
        <v>1</v>
      </c>
      <c r="D76" s="19">
        <v>524909</v>
      </c>
    </row>
    <row r="77" spans="1:4">
      <c r="A77"/>
      <c r="B77" t="s">
        <v>3914</v>
      </c>
      <c r="C77">
        <v>1</v>
      </c>
      <c r="D77" s="19">
        <v>3594402.7</v>
      </c>
    </row>
    <row r="78" spans="1:4">
      <c r="A78"/>
      <c r="B78" t="s">
        <v>6108</v>
      </c>
      <c r="C78">
        <v>1</v>
      </c>
      <c r="D78" s="19">
        <v>130295.3</v>
      </c>
    </row>
    <row r="79" spans="1:4">
      <c r="A79" t="s">
        <v>7722</v>
      </c>
      <c r="B79"/>
      <c r="C79">
        <v>3</v>
      </c>
      <c r="D79" s="19">
        <v>4249607</v>
      </c>
    </row>
    <row r="80" spans="1:4">
      <c r="A80" t="s">
        <v>427</v>
      </c>
      <c r="B80" t="s">
        <v>424</v>
      </c>
      <c r="C80">
        <v>1</v>
      </c>
      <c r="D80" s="19">
        <v>2308600</v>
      </c>
    </row>
    <row r="81" spans="1:4">
      <c r="A81" t="s">
        <v>7723</v>
      </c>
      <c r="B81"/>
      <c r="C81">
        <v>1</v>
      </c>
      <c r="D81" s="19">
        <v>2308600</v>
      </c>
    </row>
    <row r="82" spans="1:4">
      <c r="A82" t="s">
        <v>652</v>
      </c>
      <c r="B82" t="s">
        <v>649</v>
      </c>
      <c r="C82">
        <v>1</v>
      </c>
      <c r="D82" s="19">
        <v>4605300</v>
      </c>
    </row>
    <row r="83" spans="1:4">
      <c r="A83" t="s">
        <v>7724</v>
      </c>
      <c r="B83"/>
      <c r="C83">
        <v>1</v>
      </c>
      <c r="D83" s="19">
        <v>4605300</v>
      </c>
    </row>
    <row r="84" spans="1:4">
      <c r="A84" t="s">
        <v>815</v>
      </c>
      <c r="B84" t="s">
        <v>812</v>
      </c>
      <c r="C84">
        <v>1</v>
      </c>
      <c r="D84" s="19">
        <v>5759600</v>
      </c>
    </row>
    <row r="85" spans="1:4">
      <c r="A85" t="s">
        <v>7725</v>
      </c>
      <c r="B85"/>
      <c r="C85">
        <v>1</v>
      </c>
      <c r="D85" s="19">
        <v>5759600</v>
      </c>
    </row>
    <row r="86" spans="1:4">
      <c r="A86" t="s">
        <v>841</v>
      </c>
      <c r="B86" t="s">
        <v>838</v>
      </c>
      <c r="C86">
        <v>1</v>
      </c>
      <c r="D86" s="19">
        <v>7378702.0999999996</v>
      </c>
    </row>
    <row r="87" spans="1:4">
      <c r="A87" t="s">
        <v>7726</v>
      </c>
      <c r="B87"/>
      <c r="C87">
        <v>1</v>
      </c>
      <c r="D87" s="19">
        <v>7378702.0999999996</v>
      </c>
    </row>
    <row r="88" spans="1:4">
      <c r="A88" t="s">
        <v>1667</v>
      </c>
      <c r="B88" t="s">
        <v>6666</v>
      </c>
      <c r="C88">
        <v>1</v>
      </c>
      <c r="D88" s="19">
        <v>27000481.5</v>
      </c>
    </row>
    <row r="89" spans="1:4">
      <c r="A89" t="s">
        <v>7727</v>
      </c>
      <c r="B89"/>
      <c r="C89">
        <v>1</v>
      </c>
      <c r="D89" s="19">
        <v>27000481.5</v>
      </c>
    </row>
    <row r="90" spans="1:4">
      <c r="A90" t="s">
        <v>2128</v>
      </c>
      <c r="B90" t="s">
        <v>2125</v>
      </c>
      <c r="C90">
        <v>1</v>
      </c>
      <c r="D90" s="19">
        <v>1639225</v>
      </c>
    </row>
    <row r="91" spans="1:4">
      <c r="A91" t="s">
        <v>7728</v>
      </c>
      <c r="B91"/>
      <c r="C91">
        <v>1</v>
      </c>
      <c r="D91" s="19">
        <v>1639225</v>
      </c>
    </row>
    <row r="92" spans="1:4">
      <c r="A92" t="s">
        <v>2167</v>
      </c>
      <c r="B92" t="s">
        <v>2164</v>
      </c>
      <c r="C92">
        <v>1</v>
      </c>
      <c r="D92" s="19">
        <v>1356838</v>
      </c>
    </row>
    <row r="93" spans="1:4">
      <c r="A93" t="s">
        <v>7729</v>
      </c>
      <c r="B93"/>
      <c r="C93">
        <v>1</v>
      </c>
      <c r="D93" s="19">
        <v>1356838</v>
      </c>
    </row>
    <row r="94" spans="1:4">
      <c r="A94" t="s">
        <v>2180</v>
      </c>
      <c r="B94" t="s">
        <v>2177</v>
      </c>
      <c r="C94">
        <v>1</v>
      </c>
      <c r="D94" s="19">
        <v>1747681.6</v>
      </c>
    </row>
    <row r="95" spans="1:4">
      <c r="A95" t="s">
        <v>7730</v>
      </c>
      <c r="B95"/>
      <c r="C95">
        <v>1</v>
      </c>
      <c r="D95" s="19">
        <v>1747681.6</v>
      </c>
    </row>
    <row r="96" spans="1:4">
      <c r="A96" t="s">
        <v>3332</v>
      </c>
      <c r="B96" t="s">
        <v>5804</v>
      </c>
      <c r="C96">
        <v>1</v>
      </c>
      <c r="D96" s="19">
        <v>77000</v>
      </c>
    </row>
    <row r="97" spans="1:4">
      <c r="A97" t="s">
        <v>7670</v>
      </c>
      <c r="B97"/>
      <c r="C97">
        <v>1</v>
      </c>
      <c r="D97" s="19">
        <v>77000</v>
      </c>
    </row>
    <row r="98" spans="1:4">
      <c r="A98" t="s">
        <v>3423</v>
      </c>
      <c r="B98" t="s">
        <v>3420</v>
      </c>
      <c r="C98">
        <v>1</v>
      </c>
      <c r="D98" s="19">
        <v>736324.4</v>
      </c>
    </row>
    <row r="99" spans="1:4">
      <c r="A99" t="s">
        <v>7731</v>
      </c>
      <c r="B99"/>
      <c r="C99">
        <v>1</v>
      </c>
      <c r="D99" s="19">
        <v>736324.4</v>
      </c>
    </row>
    <row r="100" spans="1:4">
      <c r="A100" t="s">
        <v>4239</v>
      </c>
      <c r="B100" t="s">
        <v>4236</v>
      </c>
      <c r="C100">
        <v>1</v>
      </c>
      <c r="D100" s="19">
        <v>498877.75</v>
      </c>
    </row>
    <row r="101" spans="1:4">
      <c r="A101" t="s">
        <v>7732</v>
      </c>
      <c r="B101"/>
      <c r="C101">
        <v>1</v>
      </c>
      <c r="D101" s="19">
        <v>498877.75</v>
      </c>
    </row>
    <row r="102" spans="1:4">
      <c r="A102" t="s">
        <v>5407</v>
      </c>
      <c r="B102" t="s">
        <v>5404</v>
      </c>
      <c r="C102">
        <v>1</v>
      </c>
      <c r="D102" s="19">
        <v>778260</v>
      </c>
    </row>
    <row r="103" spans="1:4">
      <c r="A103" t="s">
        <v>7733</v>
      </c>
      <c r="B103"/>
      <c r="C103">
        <v>1</v>
      </c>
      <c r="D103" s="19">
        <v>778260</v>
      </c>
    </row>
    <row r="104" spans="1:4">
      <c r="A104" t="s">
        <v>5558</v>
      </c>
      <c r="B104" t="s">
        <v>5555</v>
      </c>
      <c r="C104">
        <v>1</v>
      </c>
      <c r="D104" s="19">
        <v>15717520</v>
      </c>
    </row>
    <row r="105" spans="1:4">
      <c r="A105" t="s">
        <v>7734</v>
      </c>
      <c r="B105"/>
      <c r="C105">
        <v>1</v>
      </c>
      <c r="D105" s="19">
        <v>15717520</v>
      </c>
    </row>
    <row r="106" spans="1:4">
      <c r="A106" t="s">
        <v>5633</v>
      </c>
      <c r="B106" t="s">
        <v>5630</v>
      </c>
      <c r="C106">
        <v>1</v>
      </c>
      <c r="D106" s="19">
        <v>1785000</v>
      </c>
    </row>
    <row r="107" spans="1:4">
      <c r="A107" t="s">
        <v>7735</v>
      </c>
      <c r="B107"/>
      <c r="C107">
        <v>1</v>
      </c>
      <c r="D107" s="19">
        <v>1785000</v>
      </c>
    </row>
    <row r="108" spans="1:4">
      <c r="A108" t="s">
        <v>6305</v>
      </c>
      <c r="B108" t="s">
        <v>6302</v>
      </c>
      <c r="C108">
        <v>1</v>
      </c>
      <c r="D108" s="19">
        <v>316379.34999999998</v>
      </c>
    </row>
    <row r="109" spans="1:4">
      <c r="A109" t="s">
        <v>7736</v>
      </c>
      <c r="B109"/>
      <c r="C109">
        <v>1</v>
      </c>
      <c r="D109" s="19">
        <v>316379.34999999998</v>
      </c>
    </row>
    <row r="110" spans="1:4">
      <c r="A110" s="23" t="s">
        <v>7707</v>
      </c>
      <c r="B110" s="23"/>
      <c r="C110">
        <v>69</v>
      </c>
      <c r="D110" s="19">
        <v>209926110.75</v>
      </c>
    </row>
    <row r="111" spans="1:4">
      <c r="A111"/>
      <c r="B111"/>
    </row>
    <row r="112" spans="1:4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D64C-49C2-41E5-8A27-EF5D09A585B3}">
  <dimension ref="A1:D1674"/>
  <sheetViews>
    <sheetView topLeftCell="A239" workbookViewId="0">
      <selection sqref="A1:A1048576"/>
    </sheetView>
  </sheetViews>
  <sheetFormatPr defaultColWidth="9.140625" defaultRowHeight="15"/>
  <cols>
    <col min="1" max="1" width="91.5703125" style="23" bestFit="1" customWidth="1"/>
    <col min="2" max="2" width="22.7109375" style="20" bestFit="1" customWidth="1"/>
    <col min="3" max="3" width="17.85546875" bestFit="1" customWidth="1"/>
    <col min="4" max="4" width="16.85546875" bestFit="1" customWidth="1"/>
  </cols>
  <sheetData>
    <row r="1" spans="1:4">
      <c r="A1" s="22" t="s">
        <v>27</v>
      </c>
      <c r="B1" s="20" t="s">
        <v>7523</v>
      </c>
    </row>
    <row r="3" spans="1:4">
      <c r="A3" s="22" t="s">
        <v>19</v>
      </c>
      <c r="B3" s="21" t="s">
        <v>11</v>
      </c>
      <c r="C3" t="s">
        <v>7737</v>
      </c>
      <c r="D3" t="s">
        <v>7525</v>
      </c>
    </row>
    <row r="4" spans="1:4">
      <c r="A4" s="23" t="s">
        <v>5693</v>
      </c>
      <c r="B4" t="s">
        <v>5690</v>
      </c>
      <c r="C4">
        <v>1</v>
      </c>
      <c r="D4" s="19">
        <v>10390128</v>
      </c>
    </row>
    <row r="5" spans="1:4">
      <c r="A5" s="23" t="s">
        <v>7738</v>
      </c>
      <c r="B5" s="23"/>
      <c r="C5">
        <v>1</v>
      </c>
      <c r="D5" s="19">
        <v>10390128</v>
      </c>
    </row>
    <row r="6" spans="1:4">
      <c r="A6" s="23" t="s">
        <v>343</v>
      </c>
      <c r="B6" t="s">
        <v>340</v>
      </c>
      <c r="C6">
        <v>1</v>
      </c>
      <c r="D6" s="19">
        <v>647360</v>
      </c>
    </row>
    <row r="7" spans="1:4">
      <c r="B7" t="s">
        <v>345</v>
      </c>
      <c r="C7">
        <v>1</v>
      </c>
      <c r="D7" s="19">
        <v>64260</v>
      </c>
    </row>
    <row r="8" spans="1:4">
      <c r="B8" t="s">
        <v>348</v>
      </c>
      <c r="C8">
        <v>1</v>
      </c>
      <c r="D8" s="19">
        <v>108290</v>
      </c>
    </row>
    <row r="9" spans="1:4">
      <c r="A9" s="23" t="s">
        <v>7526</v>
      </c>
      <c r="B9" s="23"/>
      <c r="C9">
        <v>3</v>
      </c>
      <c r="D9" s="19">
        <v>819910</v>
      </c>
    </row>
    <row r="10" spans="1:4">
      <c r="A10" s="23" t="s">
        <v>384</v>
      </c>
      <c r="B10" t="s">
        <v>381</v>
      </c>
      <c r="C10">
        <v>1</v>
      </c>
      <c r="D10" s="19">
        <v>374850</v>
      </c>
    </row>
    <row r="11" spans="1:4">
      <c r="B11" t="s">
        <v>460</v>
      </c>
      <c r="C11">
        <v>1</v>
      </c>
      <c r="D11" s="19">
        <v>541450</v>
      </c>
    </row>
    <row r="12" spans="1:4">
      <c r="B12" t="s">
        <v>463</v>
      </c>
      <c r="C12">
        <v>1</v>
      </c>
      <c r="D12" s="19">
        <v>89250</v>
      </c>
    </row>
    <row r="13" spans="1:4">
      <c r="B13" t="s">
        <v>466</v>
      </c>
      <c r="C13">
        <v>1</v>
      </c>
      <c r="D13" s="19">
        <v>29110970</v>
      </c>
    </row>
    <row r="14" spans="1:4">
      <c r="B14" t="s">
        <v>1559</v>
      </c>
      <c r="C14">
        <v>1</v>
      </c>
      <c r="D14" s="19">
        <v>1621970</v>
      </c>
    </row>
    <row r="15" spans="1:4">
      <c r="B15" t="s">
        <v>3347</v>
      </c>
      <c r="C15">
        <v>1</v>
      </c>
      <c r="D15" s="19">
        <v>5472810</v>
      </c>
    </row>
    <row r="16" spans="1:4">
      <c r="B16" t="s">
        <v>3350</v>
      </c>
      <c r="C16">
        <v>1</v>
      </c>
      <c r="D16" s="19">
        <v>401030</v>
      </c>
    </row>
    <row r="17" spans="1:4">
      <c r="B17" t="s">
        <v>4997</v>
      </c>
      <c r="C17">
        <v>1</v>
      </c>
      <c r="D17" s="19">
        <v>714000</v>
      </c>
    </row>
    <row r="18" spans="1:4">
      <c r="B18" t="s">
        <v>5772</v>
      </c>
      <c r="C18">
        <v>1</v>
      </c>
      <c r="D18" s="19">
        <v>92582</v>
      </c>
    </row>
    <row r="19" spans="1:4">
      <c r="B19" t="s">
        <v>5775</v>
      </c>
      <c r="C19">
        <v>1</v>
      </c>
      <c r="D19" s="19">
        <v>309400</v>
      </c>
    </row>
    <row r="20" spans="1:4">
      <c r="A20" s="23" t="s">
        <v>7527</v>
      </c>
      <c r="B20" s="23"/>
      <c r="C20">
        <v>10</v>
      </c>
      <c r="D20" s="19">
        <v>38728312</v>
      </c>
    </row>
    <row r="21" spans="1:4">
      <c r="A21" s="23" t="s">
        <v>4254</v>
      </c>
      <c r="B21" t="s">
        <v>4251</v>
      </c>
      <c r="C21">
        <v>1</v>
      </c>
      <c r="D21" s="19">
        <v>4786180</v>
      </c>
    </row>
    <row r="22" spans="1:4">
      <c r="A22" s="23" t="s">
        <v>7739</v>
      </c>
      <c r="B22" s="23"/>
      <c r="C22">
        <v>1</v>
      </c>
      <c r="D22" s="19">
        <v>4786180</v>
      </c>
    </row>
    <row r="23" spans="1:4">
      <c r="A23" t="s">
        <v>1028</v>
      </c>
      <c r="B23" t="s">
        <v>4022</v>
      </c>
      <c r="C23">
        <v>1</v>
      </c>
      <c r="D23" s="19">
        <v>71400</v>
      </c>
    </row>
    <row r="24" spans="1:4">
      <c r="A24"/>
      <c r="B24" t="s">
        <v>4657</v>
      </c>
      <c r="C24">
        <v>1</v>
      </c>
      <c r="D24" s="19">
        <v>18207000</v>
      </c>
    </row>
    <row r="25" spans="1:4">
      <c r="A25"/>
      <c r="B25" t="s">
        <v>4878</v>
      </c>
      <c r="C25">
        <v>1</v>
      </c>
      <c r="D25" s="19">
        <v>559300</v>
      </c>
    </row>
    <row r="26" spans="1:4">
      <c r="A26" s="20" t="s">
        <v>7740</v>
      </c>
      <c r="C26">
        <v>3</v>
      </c>
      <c r="D26" s="19">
        <v>18837700</v>
      </c>
    </row>
    <row r="27" spans="1:4">
      <c r="A27" s="23" t="s">
        <v>511</v>
      </c>
      <c r="B27" t="s">
        <v>508</v>
      </c>
      <c r="C27">
        <v>1</v>
      </c>
      <c r="D27" s="19">
        <v>393106.98</v>
      </c>
    </row>
    <row r="28" spans="1:4">
      <c r="A28" s="23" t="s">
        <v>7741</v>
      </c>
      <c r="B28" s="23"/>
      <c r="C28">
        <v>1</v>
      </c>
      <c r="D28" s="19">
        <v>393106.98</v>
      </c>
    </row>
    <row r="29" spans="1:4">
      <c r="A29" s="23" t="s">
        <v>3321</v>
      </c>
      <c r="B29" t="s">
        <v>3323</v>
      </c>
      <c r="C29">
        <v>1</v>
      </c>
      <c r="D29" s="19">
        <v>850000</v>
      </c>
    </row>
    <row r="30" spans="1:4">
      <c r="A30" s="23" t="s">
        <v>7742</v>
      </c>
      <c r="B30" s="23"/>
      <c r="C30">
        <v>1</v>
      </c>
      <c r="D30" s="19">
        <v>850000</v>
      </c>
    </row>
    <row r="31" spans="1:4">
      <c r="A31" t="s">
        <v>3498</v>
      </c>
      <c r="B31" t="s">
        <v>3495</v>
      </c>
      <c r="C31">
        <v>1</v>
      </c>
      <c r="D31" s="19">
        <v>8454950</v>
      </c>
    </row>
    <row r="32" spans="1:4">
      <c r="A32" s="20" t="s">
        <v>7743</v>
      </c>
      <c r="C32">
        <v>1</v>
      </c>
      <c r="D32" s="19">
        <v>8454950</v>
      </c>
    </row>
    <row r="33" spans="1:4">
      <c r="A33" t="s">
        <v>2620</v>
      </c>
      <c r="B33" t="s">
        <v>2617</v>
      </c>
      <c r="C33">
        <v>1</v>
      </c>
      <c r="D33" s="19">
        <v>1772862</v>
      </c>
    </row>
    <row r="34" spans="1:4">
      <c r="A34" s="20" t="s">
        <v>7744</v>
      </c>
      <c r="C34">
        <v>1</v>
      </c>
      <c r="D34" s="19">
        <v>1772862</v>
      </c>
    </row>
    <row r="35" spans="1:4">
      <c r="A35" t="s">
        <v>1135</v>
      </c>
      <c r="B35" t="s">
        <v>1132</v>
      </c>
      <c r="C35">
        <v>1</v>
      </c>
      <c r="D35" s="19">
        <v>1234000</v>
      </c>
    </row>
    <row r="36" spans="1:4">
      <c r="A36"/>
      <c r="B36" t="s">
        <v>1137</v>
      </c>
      <c r="C36">
        <v>1</v>
      </c>
      <c r="D36" s="19">
        <v>5652500</v>
      </c>
    </row>
    <row r="37" spans="1:4">
      <c r="A37"/>
      <c r="B37" t="s">
        <v>1173</v>
      </c>
      <c r="C37">
        <v>1</v>
      </c>
      <c r="D37" s="19">
        <v>6937700</v>
      </c>
    </row>
    <row r="38" spans="1:4">
      <c r="A38"/>
      <c r="B38" t="s">
        <v>1733</v>
      </c>
      <c r="C38">
        <v>1</v>
      </c>
      <c r="D38" s="19">
        <v>3427200</v>
      </c>
    </row>
    <row r="39" spans="1:4">
      <c r="A39"/>
      <c r="B39" t="s">
        <v>5603</v>
      </c>
      <c r="C39">
        <v>1</v>
      </c>
      <c r="D39" s="19">
        <v>15151675</v>
      </c>
    </row>
    <row r="40" spans="1:4">
      <c r="A40" s="20" t="s">
        <v>7745</v>
      </c>
      <c r="C40">
        <v>5</v>
      </c>
      <c r="D40" s="19">
        <v>32403075</v>
      </c>
    </row>
    <row r="41" spans="1:4">
      <c r="A41" s="23" t="s">
        <v>3821</v>
      </c>
      <c r="B41" t="s">
        <v>3818</v>
      </c>
      <c r="C41">
        <v>1</v>
      </c>
      <c r="D41" s="19">
        <v>290419.5</v>
      </c>
    </row>
    <row r="42" spans="1:4">
      <c r="A42" s="23" t="s">
        <v>7746</v>
      </c>
      <c r="B42" s="23"/>
      <c r="C42">
        <v>1</v>
      </c>
      <c r="D42" s="19">
        <v>290419.5</v>
      </c>
    </row>
    <row r="43" spans="1:4">
      <c r="A43" t="s">
        <v>612</v>
      </c>
      <c r="B43" t="s">
        <v>609</v>
      </c>
      <c r="C43">
        <v>1</v>
      </c>
      <c r="D43" s="19">
        <v>277567.5</v>
      </c>
    </row>
    <row r="44" spans="1:4">
      <c r="A44" s="20" t="s">
        <v>7747</v>
      </c>
      <c r="C44">
        <v>1</v>
      </c>
      <c r="D44" s="19">
        <v>277567.5</v>
      </c>
    </row>
    <row r="45" spans="1:4">
      <c r="A45" s="23" t="s">
        <v>53</v>
      </c>
      <c r="B45" t="s">
        <v>58</v>
      </c>
      <c r="C45">
        <v>1</v>
      </c>
      <c r="D45" s="19">
        <v>794275.02</v>
      </c>
    </row>
    <row r="46" spans="1:4">
      <c r="B46" t="s">
        <v>61</v>
      </c>
      <c r="C46">
        <v>1</v>
      </c>
      <c r="D46" s="19">
        <v>1657793.76</v>
      </c>
    </row>
    <row r="47" spans="1:4">
      <c r="B47" t="s">
        <v>64</v>
      </c>
      <c r="C47">
        <v>1</v>
      </c>
      <c r="D47" s="19">
        <v>116917.5</v>
      </c>
    </row>
    <row r="48" spans="1:4">
      <c r="B48" t="s">
        <v>1576</v>
      </c>
      <c r="C48">
        <v>1</v>
      </c>
      <c r="D48" s="19">
        <v>475945.26</v>
      </c>
    </row>
    <row r="49" spans="1:4">
      <c r="B49" t="s">
        <v>1579</v>
      </c>
      <c r="C49">
        <v>1</v>
      </c>
      <c r="D49" s="19">
        <v>154021.70000000001</v>
      </c>
    </row>
    <row r="50" spans="1:4">
      <c r="B50" t="s">
        <v>3973</v>
      </c>
      <c r="C50">
        <v>1</v>
      </c>
      <c r="D50" s="19">
        <v>258230</v>
      </c>
    </row>
    <row r="51" spans="1:4">
      <c r="B51" t="s">
        <v>4187</v>
      </c>
      <c r="C51">
        <v>1</v>
      </c>
      <c r="D51" s="19">
        <v>3196399.5</v>
      </c>
    </row>
    <row r="52" spans="1:4">
      <c r="B52" t="s">
        <v>4732</v>
      </c>
      <c r="C52">
        <v>1</v>
      </c>
      <c r="D52" s="19">
        <v>1853308.38</v>
      </c>
    </row>
    <row r="53" spans="1:4">
      <c r="B53" t="s">
        <v>5469</v>
      </c>
      <c r="C53">
        <v>1</v>
      </c>
      <c r="D53" s="19">
        <v>529516.68000000005</v>
      </c>
    </row>
    <row r="54" spans="1:4">
      <c r="B54" t="s">
        <v>5667</v>
      </c>
      <c r="C54">
        <v>1</v>
      </c>
      <c r="D54" s="19">
        <v>467075</v>
      </c>
    </row>
    <row r="55" spans="1:4">
      <c r="B55" t="s">
        <v>5664</v>
      </c>
      <c r="C55">
        <v>1</v>
      </c>
      <c r="D55" s="19">
        <v>354620</v>
      </c>
    </row>
    <row r="56" spans="1:4">
      <c r="A56" s="23" t="s">
        <v>7711</v>
      </c>
      <c r="B56" s="23"/>
      <c r="C56">
        <v>11</v>
      </c>
      <c r="D56" s="19">
        <v>9858102.8000000007</v>
      </c>
    </row>
    <row r="57" spans="1:4">
      <c r="A57" t="s">
        <v>4931</v>
      </c>
      <c r="B57" t="s">
        <v>4928</v>
      </c>
      <c r="C57">
        <v>1</v>
      </c>
      <c r="D57" s="19">
        <v>512509.2</v>
      </c>
    </row>
    <row r="58" spans="1:4">
      <c r="A58" s="20" t="s">
        <v>7748</v>
      </c>
      <c r="C58">
        <v>1</v>
      </c>
      <c r="D58" s="19">
        <v>512509.2</v>
      </c>
    </row>
    <row r="59" spans="1:4">
      <c r="A59" t="s">
        <v>40</v>
      </c>
      <c r="B59" t="s">
        <v>33</v>
      </c>
      <c r="C59">
        <v>1</v>
      </c>
      <c r="D59" s="19">
        <v>18775225</v>
      </c>
    </row>
    <row r="60" spans="1:4">
      <c r="A60" s="20" t="s">
        <v>7749</v>
      </c>
      <c r="C60">
        <v>1</v>
      </c>
      <c r="D60" s="19">
        <v>18775225</v>
      </c>
    </row>
    <row r="61" spans="1:4">
      <c r="A61" t="s">
        <v>2672</v>
      </c>
      <c r="B61" t="s">
        <v>2669</v>
      </c>
      <c r="C61">
        <v>1</v>
      </c>
      <c r="D61" s="19">
        <v>99412.6</v>
      </c>
    </row>
    <row r="62" spans="1:4">
      <c r="A62"/>
      <c r="B62" t="s">
        <v>2873</v>
      </c>
      <c r="C62">
        <v>1</v>
      </c>
      <c r="D62" s="19">
        <v>2337439.65</v>
      </c>
    </row>
    <row r="63" spans="1:4">
      <c r="A63"/>
      <c r="B63" t="s">
        <v>2879</v>
      </c>
      <c r="C63">
        <v>1</v>
      </c>
      <c r="D63" s="19">
        <v>2337439.65</v>
      </c>
    </row>
    <row r="64" spans="1:4">
      <c r="A64" s="20" t="s">
        <v>7538</v>
      </c>
      <c r="C64">
        <v>3</v>
      </c>
      <c r="D64" s="19">
        <v>4774291.9000000004</v>
      </c>
    </row>
    <row r="65" spans="1:4">
      <c r="A65" t="s">
        <v>127</v>
      </c>
      <c r="B65" t="s">
        <v>124</v>
      </c>
      <c r="C65">
        <v>1</v>
      </c>
      <c r="D65" s="19">
        <v>103634.72</v>
      </c>
    </row>
    <row r="66" spans="1:4">
      <c r="A66"/>
      <c r="B66" t="s">
        <v>748</v>
      </c>
      <c r="C66">
        <v>1</v>
      </c>
      <c r="D66" s="19">
        <v>867783.7</v>
      </c>
    </row>
    <row r="67" spans="1:4">
      <c r="A67"/>
      <c r="B67" t="s">
        <v>751</v>
      </c>
      <c r="C67">
        <v>1</v>
      </c>
      <c r="D67" s="19">
        <v>767741.59</v>
      </c>
    </row>
    <row r="68" spans="1:4">
      <c r="A68"/>
      <c r="B68" t="s">
        <v>754</v>
      </c>
      <c r="C68">
        <v>1</v>
      </c>
      <c r="D68" s="19">
        <v>14556560.76</v>
      </c>
    </row>
    <row r="69" spans="1:4">
      <c r="A69"/>
      <c r="B69" t="s">
        <v>1229</v>
      </c>
      <c r="C69">
        <v>1</v>
      </c>
      <c r="D69" s="19">
        <v>370222.09</v>
      </c>
    </row>
    <row r="70" spans="1:4">
      <c r="A70"/>
      <c r="B70" t="s">
        <v>1232</v>
      </c>
      <c r="C70">
        <v>1</v>
      </c>
      <c r="D70" s="19">
        <v>740444.18</v>
      </c>
    </row>
    <row r="71" spans="1:4">
      <c r="A71"/>
      <c r="B71" t="s">
        <v>2876</v>
      </c>
      <c r="C71">
        <v>1</v>
      </c>
      <c r="D71" s="19">
        <v>7012318.9500000002</v>
      </c>
    </row>
    <row r="72" spans="1:4">
      <c r="A72" s="20" t="s">
        <v>7541</v>
      </c>
      <c r="C72">
        <v>7</v>
      </c>
      <c r="D72" s="19">
        <v>24418705.989999998</v>
      </c>
    </row>
    <row r="73" spans="1:4">
      <c r="A73" s="23" t="s">
        <v>911</v>
      </c>
      <c r="B73" t="s">
        <v>908</v>
      </c>
      <c r="C73">
        <v>1</v>
      </c>
      <c r="D73" s="19">
        <v>436373</v>
      </c>
    </row>
    <row r="74" spans="1:4">
      <c r="B74" t="s">
        <v>925</v>
      </c>
      <c r="C74">
        <v>1</v>
      </c>
      <c r="D74" s="19">
        <v>4028328.5</v>
      </c>
    </row>
    <row r="75" spans="1:4">
      <c r="A75" s="23" t="s">
        <v>7750</v>
      </c>
      <c r="B75" s="23"/>
      <c r="C75">
        <v>2</v>
      </c>
      <c r="D75" s="19">
        <v>4464701.5</v>
      </c>
    </row>
    <row r="76" spans="1:4">
      <c r="A76" t="s">
        <v>601</v>
      </c>
      <c r="B76" t="s">
        <v>598</v>
      </c>
      <c r="C76">
        <v>1</v>
      </c>
      <c r="D76" s="19">
        <v>142800</v>
      </c>
    </row>
    <row r="77" spans="1:4">
      <c r="A77"/>
      <c r="B77" t="s">
        <v>603</v>
      </c>
      <c r="C77">
        <v>1</v>
      </c>
      <c r="D77" s="19">
        <v>147560</v>
      </c>
    </row>
    <row r="78" spans="1:4">
      <c r="A78"/>
      <c r="B78" t="s">
        <v>606</v>
      </c>
      <c r="C78">
        <v>1</v>
      </c>
      <c r="D78" s="19">
        <v>298571</v>
      </c>
    </row>
    <row r="79" spans="1:4">
      <c r="A79"/>
      <c r="B79" t="s">
        <v>1730</v>
      </c>
      <c r="C79">
        <v>1</v>
      </c>
      <c r="D79" s="19">
        <v>4331140</v>
      </c>
    </row>
    <row r="80" spans="1:4">
      <c r="A80"/>
      <c r="B80" t="s">
        <v>3001</v>
      </c>
      <c r="C80">
        <v>1</v>
      </c>
      <c r="D80" s="19">
        <v>287623</v>
      </c>
    </row>
    <row r="81" spans="1:4">
      <c r="A81"/>
      <c r="B81" t="s">
        <v>4010</v>
      </c>
      <c r="C81">
        <v>1</v>
      </c>
      <c r="D81" s="19">
        <v>1222400</v>
      </c>
    </row>
    <row r="82" spans="1:4">
      <c r="A82"/>
      <c r="B82" t="s">
        <v>4019</v>
      </c>
      <c r="C82">
        <v>1</v>
      </c>
      <c r="D82" s="19">
        <v>8717940</v>
      </c>
    </row>
    <row r="83" spans="1:4">
      <c r="A83"/>
      <c r="B83" t="s">
        <v>4518</v>
      </c>
      <c r="C83">
        <v>1</v>
      </c>
      <c r="D83" s="19">
        <v>292740</v>
      </c>
    </row>
    <row r="84" spans="1:4">
      <c r="A84"/>
      <c r="B84" t="s">
        <v>5328</v>
      </c>
      <c r="C84">
        <v>1</v>
      </c>
      <c r="D84" s="19">
        <v>1504993</v>
      </c>
    </row>
    <row r="85" spans="1:4">
      <c r="A85"/>
      <c r="B85" t="s">
        <v>5331</v>
      </c>
      <c r="C85">
        <v>1</v>
      </c>
      <c r="D85" s="19">
        <v>298571</v>
      </c>
    </row>
    <row r="86" spans="1:4">
      <c r="A86" s="20" t="s">
        <v>7751</v>
      </c>
      <c r="C86">
        <v>10</v>
      </c>
      <c r="D86" s="19">
        <v>17244338</v>
      </c>
    </row>
    <row r="87" spans="1:4">
      <c r="A87" s="23" t="s">
        <v>2253</v>
      </c>
      <c r="B87" t="s">
        <v>2250</v>
      </c>
      <c r="C87">
        <v>1</v>
      </c>
      <c r="D87" s="19">
        <v>487900</v>
      </c>
    </row>
    <row r="88" spans="1:4">
      <c r="B88" t="s">
        <v>4585</v>
      </c>
      <c r="C88">
        <v>1</v>
      </c>
      <c r="D88" s="19">
        <v>1382780</v>
      </c>
    </row>
    <row r="89" spans="1:4">
      <c r="A89" s="23" t="s">
        <v>7752</v>
      </c>
      <c r="B89" s="23"/>
      <c r="C89">
        <v>2</v>
      </c>
      <c r="D89" s="19">
        <v>1870680</v>
      </c>
    </row>
    <row r="90" spans="1:4">
      <c r="A90" t="s">
        <v>1243</v>
      </c>
      <c r="B90" t="s">
        <v>1240</v>
      </c>
      <c r="C90">
        <v>1</v>
      </c>
      <c r="D90" s="19">
        <v>164354.47</v>
      </c>
    </row>
    <row r="91" spans="1:4">
      <c r="A91"/>
      <c r="B91" t="s">
        <v>2870</v>
      </c>
      <c r="C91">
        <v>1</v>
      </c>
      <c r="D91" s="19">
        <v>2337439.65</v>
      </c>
    </row>
    <row r="92" spans="1:4">
      <c r="A92" s="20" t="s">
        <v>7546</v>
      </c>
      <c r="C92">
        <v>2</v>
      </c>
      <c r="D92" s="19">
        <v>2501794.12</v>
      </c>
    </row>
    <row r="93" spans="1:4">
      <c r="A93" t="s">
        <v>2865</v>
      </c>
      <c r="B93" t="s">
        <v>2862</v>
      </c>
      <c r="C93">
        <v>1</v>
      </c>
      <c r="D93" s="19">
        <v>4674879.3</v>
      </c>
    </row>
    <row r="94" spans="1:4">
      <c r="A94"/>
      <c r="B94" t="s">
        <v>2867</v>
      </c>
      <c r="C94">
        <v>1</v>
      </c>
      <c r="D94" s="19">
        <v>9349758.5999999996</v>
      </c>
    </row>
    <row r="95" spans="1:4">
      <c r="A95" s="20" t="s">
        <v>7753</v>
      </c>
      <c r="C95">
        <v>2</v>
      </c>
      <c r="D95" s="19">
        <v>14024637.899999999</v>
      </c>
    </row>
    <row r="96" spans="1:4">
      <c r="A96" t="s">
        <v>2720</v>
      </c>
      <c r="B96" t="s">
        <v>2717</v>
      </c>
      <c r="C96">
        <v>1</v>
      </c>
      <c r="D96" s="19">
        <v>19873000</v>
      </c>
    </row>
    <row r="97" spans="1:4">
      <c r="A97" s="20" t="s">
        <v>7754</v>
      </c>
      <c r="C97">
        <v>1</v>
      </c>
      <c r="D97" s="19">
        <v>19873000</v>
      </c>
    </row>
    <row r="98" spans="1:4">
      <c r="A98" t="s">
        <v>6023</v>
      </c>
      <c r="B98" t="s">
        <v>6020</v>
      </c>
      <c r="C98">
        <v>1</v>
      </c>
      <c r="D98" s="19">
        <v>1560229.83</v>
      </c>
    </row>
    <row r="99" spans="1:4">
      <c r="A99" s="20" t="s">
        <v>7755</v>
      </c>
      <c r="C99">
        <v>1</v>
      </c>
      <c r="D99" s="19">
        <v>1560229.83</v>
      </c>
    </row>
    <row r="100" spans="1:4">
      <c r="A100" s="23" t="s">
        <v>3979</v>
      </c>
      <c r="B100" t="s">
        <v>3976</v>
      </c>
      <c r="C100">
        <v>1</v>
      </c>
      <c r="D100" s="19">
        <v>2406744.06</v>
      </c>
    </row>
    <row r="101" spans="1:4">
      <c r="A101" s="23" t="s">
        <v>7756</v>
      </c>
      <c r="B101" s="23"/>
      <c r="C101">
        <v>1</v>
      </c>
      <c r="D101" s="19">
        <v>2406744.06</v>
      </c>
    </row>
    <row r="102" spans="1:4">
      <c r="A102" s="23" t="s">
        <v>1585</v>
      </c>
      <c r="B102" t="s">
        <v>1582</v>
      </c>
      <c r="C102">
        <v>1</v>
      </c>
      <c r="D102" s="19">
        <v>1215942</v>
      </c>
    </row>
    <row r="103" spans="1:4">
      <c r="B103" t="s">
        <v>2096</v>
      </c>
      <c r="C103">
        <v>1</v>
      </c>
      <c r="D103" s="19">
        <v>2915500</v>
      </c>
    </row>
    <row r="104" spans="1:4">
      <c r="B104" t="s">
        <v>3467</v>
      </c>
      <c r="C104">
        <v>1</v>
      </c>
      <c r="D104" s="19">
        <v>4272100</v>
      </c>
    </row>
    <row r="105" spans="1:4">
      <c r="B105" t="s">
        <v>3763</v>
      </c>
      <c r="C105">
        <v>1</v>
      </c>
      <c r="D105" s="19">
        <v>1842715</v>
      </c>
    </row>
    <row r="106" spans="1:4">
      <c r="B106" t="s">
        <v>4146</v>
      </c>
      <c r="C106">
        <v>1</v>
      </c>
      <c r="D106" s="19">
        <v>213605</v>
      </c>
    </row>
    <row r="107" spans="1:4">
      <c r="A107" s="23" t="s">
        <v>7757</v>
      </c>
      <c r="B107" s="23"/>
      <c r="C107">
        <v>5</v>
      </c>
      <c r="D107" s="19">
        <v>10459862</v>
      </c>
    </row>
    <row r="108" spans="1:4">
      <c r="A108" t="s">
        <v>4325</v>
      </c>
      <c r="B108" t="s">
        <v>4322</v>
      </c>
      <c r="C108">
        <v>1</v>
      </c>
      <c r="D108" s="19">
        <v>4068729</v>
      </c>
    </row>
    <row r="109" spans="1:4">
      <c r="A109"/>
      <c r="B109" t="s">
        <v>6139</v>
      </c>
      <c r="C109">
        <v>1</v>
      </c>
      <c r="D109" s="19">
        <v>40757500</v>
      </c>
    </row>
    <row r="110" spans="1:4">
      <c r="A110" s="20" t="s">
        <v>7758</v>
      </c>
      <c r="C110">
        <v>2</v>
      </c>
      <c r="D110" s="19">
        <v>44826229</v>
      </c>
    </row>
    <row r="111" spans="1:4">
      <c r="A111" s="23" t="s">
        <v>318</v>
      </c>
      <c r="B111" t="s">
        <v>315</v>
      </c>
      <c r="C111">
        <v>1</v>
      </c>
      <c r="D111" s="19">
        <v>7637393.8200000003</v>
      </c>
    </row>
    <row r="112" spans="1:4">
      <c r="B112" t="s">
        <v>4991</v>
      </c>
      <c r="C112">
        <v>1</v>
      </c>
      <c r="D112" s="19">
        <v>876911</v>
      </c>
    </row>
    <row r="113" spans="1:4">
      <c r="A113" s="23" t="s">
        <v>7759</v>
      </c>
      <c r="B113" s="23"/>
      <c r="C113">
        <v>2</v>
      </c>
      <c r="D113" s="19">
        <v>8514304.8200000003</v>
      </c>
    </row>
    <row r="114" spans="1:4">
      <c r="A114" t="s">
        <v>172</v>
      </c>
      <c r="B114" t="s">
        <v>169</v>
      </c>
      <c r="C114">
        <v>1</v>
      </c>
      <c r="D114" s="19">
        <v>513342.2</v>
      </c>
    </row>
    <row r="115" spans="1:4">
      <c r="A115"/>
      <c r="B115" t="s">
        <v>174</v>
      </c>
      <c r="C115">
        <v>1</v>
      </c>
      <c r="D115" s="19">
        <v>1349079.9</v>
      </c>
    </row>
    <row r="116" spans="1:4">
      <c r="A116" s="20" t="s">
        <v>7760</v>
      </c>
      <c r="C116">
        <v>2</v>
      </c>
      <c r="D116" s="19">
        <v>1862422.0999999999</v>
      </c>
    </row>
    <row r="117" spans="1:4">
      <c r="A117" s="23" t="s">
        <v>2376</v>
      </c>
      <c r="B117" t="s">
        <v>2373</v>
      </c>
      <c r="C117">
        <v>1</v>
      </c>
      <c r="D117" s="19">
        <v>258230</v>
      </c>
    </row>
    <row r="118" spans="1:4">
      <c r="A118" s="23" t="s">
        <v>7761</v>
      </c>
      <c r="B118" s="23"/>
      <c r="C118">
        <v>1</v>
      </c>
      <c r="D118" s="19">
        <v>258230</v>
      </c>
    </row>
    <row r="119" spans="1:4">
      <c r="A119" t="s">
        <v>1352</v>
      </c>
      <c r="B119" t="s">
        <v>1349</v>
      </c>
      <c r="C119">
        <v>1</v>
      </c>
      <c r="D119" s="19">
        <v>2327640</v>
      </c>
    </row>
    <row r="120" spans="1:4">
      <c r="A120"/>
      <c r="B120" t="s">
        <v>2782</v>
      </c>
      <c r="C120">
        <v>1</v>
      </c>
      <c r="D120" s="19">
        <v>219787.05</v>
      </c>
    </row>
    <row r="121" spans="1:4">
      <c r="A121"/>
      <c r="B121" t="s">
        <v>2793</v>
      </c>
      <c r="C121">
        <v>1</v>
      </c>
      <c r="D121" s="19">
        <v>581796.94999999995</v>
      </c>
    </row>
    <row r="122" spans="1:4">
      <c r="A122"/>
      <c r="B122" t="s">
        <v>4371</v>
      </c>
      <c r="C122">
        <v>1</v>
      </c>
      <c r="D122" s="19">
        <v>428400</v>
      </c>
    </row>
    <row r="123" spans="1:4">
      <c r="A123" s="20" t="s">
        <v>7762</v>
      </c>
      <c r="C123">
        <v>4</v>
      </c>
      <c r="D123" s="19">
        <v>3557624</v>
      </c>
    </row>
    <row r="124" spans="1:4">
      <c r="A124" s="23" t="s">
        <v>531</v>
      </c>
      <c r="B124" t="s">
        <v>1704</v>
      </c>
      <c r="C124">
        <v>1</v>
      </c>
      <c r="D124" s="19">
        <v>119000</v>
      </c>
    </row>
    <row r="125" spans="1:4">
      <c r="B125" t="s">
        <v>3175</v>
      </c>
      <c r="C125">
        <v>1</v>
      </c>
      <c r="D125" s="19">
        <v>806820</v>
      </c>
    </row>
    <row r="126" spans="1:4">
      <c r="B126" t="s">
        <v>5795</v>
      </c>
      <c r="C126">
        <v>1</v>
      </c>
      <c r="D126" s="19">
        <v>806820</v>
      </c>
    </row>
    <row r="127" spans="1:4">
      <c r="A127" s="23" t="s">
        <v>7561</v>
      </c>
      <c r="B127" s="23"/>
      <c r="C127">
        <v>3</v>
      </c>
      <c r="D127" s="19">
        <v>1732640</v>
      </c>
    </row>
    <row r="128" spans="1:4">
      <c r="A128" t="s">
        <v>1640</v>
      </c>
      <c r="B128" t="s">
        <v>1637</v>
      </c>
      <c r="C128">
        <v>1</v>
      </c>
      <c r="D128" s="19">
        <v>2379131.2999999998</v>
      </c>
    </row>
    <row r="129" spans="1:4">
      <c r="A129" s="20" t="s">
        <v>7763</v>
      </c>
      <c r="C129">
        <v>1</v>
      </c>
      <c r="D129" s="19">
        <v>2379131.2999999998</v>
      </c>
    </row>
    <row r="130" spans="1:4">
      <c r="A130" t="s">
        <v>3173</v>
      </c>
      <c r="B130" t="s">
        <v>3170</v>
      </c>
      <c r="C130">
        <v>1</v>
      </c>
      <c r="D130" s="19">
        <v>2380000</v>
      </c>
    </row>
    <row r="131" spans="1:4">
      <c r="A131" s="20" t="s">
        <v>7764</v>
      </c>
      <c r="C131">
        <v>1</v>
      </c>
      <c r="D131" s="19">
        <v>2380000</v>
      </c>
    </row>
    <row r="132" spans="1:4">
      <c r="A132" t="s">
        <v>1171</v>
      </c>
      <c r="B132" t="s">
        <v>1168</v>
      </c>
      <c r="C132">
        <v>1</v>
      </c>
      <c r="D132" s="19">
        <v>15013040</v>
      </c>
    </row>
    <row r="133" spans="1:4">
      <c r="A133"/>
      <c r="B133" t="s">
        <v>2364</v>
      </c>
      <c r="C133">
        <v>1</v>
      </c>
      <c r="D133" s="19">
        <v>32867800</v>
      </c>
    </row>
    <row r="134" spans="1:4">
      <c r="A134"/>
      <c r="B134" t="s">
        <v>4857</v>
      </c>
      <c r="C134">
        <v>1</v>
      </c>
      <c r="D134" s="19">
        <v>95200</v>
      </c>
    </row>
    <row r="135" spans="1:4">
      <c r="A135" s="20" t="s">
        <v>7765</v>
      </c>
      <c r="C135">
        <v>3</v>
      </c>
      <c r="D135" s="19">
        <v>47976040</v>
      </c>
    </row>
    <row r="136" spans="1:4">
      <c r="A136" t="s">
        <v>4622</v>
      </c>
      <c r="B136" t="s">
        <v>4619</v>
      </c>
      <c r="C136">
        <v>1</v>
      </c>
      <c r="D136" s="19">
        <v>64390.9</v>
      </c>
    </row>
    <row r="137" spans="1:4">
      <c r="A137"/>
      <c r="B137" t="s">
        <v>4624</v>
      </c>
      <c r="C137">
        <v>1</v>
      </c>
      <c r="D137" s="19">
        <v>163369.1</v>
      </c>
    </row>
    <row r="138" spans="1:4">
      <c r="A138"/>
      <c r="B138" t="s">
        <v>4627</v>
      </c>
      <c r="C138">
        <v>1</v>
      </c>
      <c r="D138" s="19">
        <v>856666.09</v>
      </c>
    </row>
    <row r="139" spans="1:4">
      <c r="A139"/>
      <c r="B139" t="s">
        <v>4630</v>
      </c>
      <c r="C139">
        <v>1</v>
      </c>
      <c r="D139" s="19">
        <v>526187.06000000006</v>
      </c>
    </row>
    <row r="140" spans="1:4">
      <c r="A140"/>
      <c r="B140" t="s">
        <v>5334</v>
      </c>
      <c r="C140">
        <v>1</v>
      </c>
      <c r="D140" s="19">
        <v>1663441.5</v>
      </c>
    </row>
    <row r="141" spans="1:4">
      <c r="A141"/>
      <c r="B141" t="s">
        <v>6462</v>
      </c>
      <c r="C141">
        <v>1</v>
      </c>
      <c r="D141" s="19">
        <v>164270</v>
      </c>
    </row>
    <row r="142" spans="1:4">
      <c r="A142" s="20" t="s">
        <v>7766</v>
      </c>
      <c r="C142">
        <v>6</v>
      </c>
      <c r="D142" s="19">
        <v>3438324.65</v>
      </c>
    </row>
    <row r="143" spans="1:4">
      <c r="A143" s="23" t="s">
        <v>70</v>
      </c>
      <c r="B143" t="s">
        <v>67</v>
      </c>
      <c r="C143">
        <v>1</v>
      </c>
      <c r="D143" s="19">
        <v>1521112.74</v>
      </c>
    </row>
    <row r="144" spans="1:4">
      <c r="B144" t="s">
        <v>72</v>
      </c>
      <c r="C144">
        <v>1</v>
      </c>
      <c r="D144" s="19">
        <v>372003.52</v>
      </c>
    </row>
    <row r="145" spans="2:4">
      <c r="B145" t="s">
        <v>75</v>
      </c>
      <c r="C145">
        <v>1</v>
      </c>
      <c r="D145" s="19">
        <v>769692</v>
      </c>
    </row>
    <row r="146" spans="2:4">
      <c r="B146" t="s">
        <v>78</v>
      </c>
      <c r="C146">
        <v>1</v>
      </c>
      <c r="D146" s="19">
        <v>7134711.6399999997</v>
      </c>
    </row>
    <row r="147" spans="2:4">
      <c r="B147" t="s">
        <v>640</v>
      </c>
      <c r="C147">
        <v>1</v>
      </c>
      <c r="D147" s="19">
        <v>1697723.02</v>
      </c>
    </row>
    <row r="148" spans="2:4">
      <c r="B148" t="s">
        <v>1165</v>
      </c>
      <c r="C148">
        <v>1</v>
      </c>
      <c r="D148" s="19">
        <v>4064598.51</v>
      </c>
    </row>
    <row r="149" spans="2:4">
      <c r="B149" t="s">
        <v>2630</v>
      </c>
      <c r="C149">
        <v>1</v>
      </c>
      <c r="D149" s="19">
        <v>141750.42000000001</v>
      </c>
    </row>
    <row r="150" spans="2:4">
      <c r="B150" t="s">
        <v>2633</v>
      </c>
      <c r="C150">
        <v>1</v>
      </c>
      <c r="D150" s="19">
        <v>200723.25</v>
      </c>
    </row>
    <row r="151" spans="2:4">
      <c r="B151" t="s">
        <v>2924</v>
      </c>
      <c r="C151">
        <v>1</v>
      </c>
      <c r="D151" s="19">
        <v>4064598.51</v>
      </c>
    </row>
    <row r="152" spans="2:4">
      <c r="B152" t="s">
        <v>2927</v>
      </c>
      <c r="C152">
        <v>1</v>
      </c>
      <c r="D152" s="19">
        <v>4064598.51</v>
      </c>
    </row>
    <row r="153" spans="2:4">
      <c r="B153" t="s">
        <v>2965</v>
      </c>
      <c r="C153">
        <v>1</v>
      </c>
      <c r="D153" s="19">
        <v>452624.83</v>
      </c>
    </row>
    <row r="154" spans="2:4">
      <c r="B154" t="s">
        <v>3364</v>
      </c>
      <c r="C154">
        <v>1</v>
      </c>
      <c r="D154" s="19">
        <v>4064598.51</v>
      </c>
    </row>
    <row r="155" spans="2:4">
      <c r="B155" t="s">
        <v>3608</v>
      </c>
      <c r="C155">
        <v>1</v>
      </c>
      <c r="D155" s="19">
        <v>4064598.51</v>
      </c>
    </row>
    <row r="156" spans="2:4">
      <c r="B156" t="s">
        <v>3611</v>
      </c>
      <c r="C156">
        <v>1</v>
      </c>
      <c r="D156" s="19">
        <v>4064598.51</v>
      </c>
    </row>
    <row r="157" spans="2:4">
      <c r="B157" t="s">
        <v>3614</v>
      </c>
      <c r="C157">
        <v>1</v>
      </c>
      <c r="D157" s="19">
        <v>169998.64</v>
      </c>
    </row>
    <row r="158" spans="2:4">
      <c r="B158" t="s">
        <v>4184</v>
      </c>
      <c r="C158">
        <v>1</v>
      </c>
      <c r="D158" s="19">
        <v>984531.03</v>
      </c>
    </row>
    <row r="159" spans="2:4">
      <c r="B159" t="s">
        <v>4276</v>
      </c>
      <c r="C159">
        <v>1</v>
      </c>
      <c r="D159" s="19">
        <v>481438.3</v>
      </c>
    </row>
    <row r="160" spans="2:4">
      <c r="B160" t="s">
        <v>4527</v>
      </c>
      <c r="C160">
        <v>1</v>
      </c>
      <c r="D160" s="19">
        <v>4253273.01</v>
      </c>
    </row>
    <row r="161" spans="1:4">
      <c r="B161" t="s">
        <v>4747</v>
      </c>
      <c r="C161">
        <v>1</v>
      </c>
      <c r="D161" s="19">
        <v>20245.47</v>
      </c>
    </row>
    <row r="162" spans="1:4">
      <c r="B162" t="s">
        <v>4823</v>
      </c>
      <c r="C162">
        <v>1</v>
      </c>
      <c r="D162" s="19">
        <v>46790.8</v>
      </c>
    </row>
    <row r="163" spans="1:4">
      <c r="B163" t="s">
        <v>4826</v>
      </c>
      <c r="C163">
        <v>1</v>
      </c>
      <c r="D163" s="19">
        <v>67092.2</v>
      </c>
    </row>
    <row r="164" spans="1:4">
      <c r="B164" t="s">
        <v>5535</v>
      </c>
      <c r="C164">
        <v>1</v>
      </c>
      <c r="D164" s="19">
        <v>2572448</v>
      </c>
    </row>
    <row r="165" spans="1:4">
      <c r="B165" t="s">
        <v>5847</v>
      </c>
      <c r="C165">
        <v>1</v>
      </c>
      <c r="D165" s="19">
        <v>7134711.6399999997</v>
      </c>
    </row>
    <row r="166" spans="1:4">
      <c r="A166" s="23" t="s">
        <v>7568</v>
      </c>
      <c r="B166" s="23"/>
      <c r="C166">
        <v>23</v>
      </c>
      <c r="D166" s="19">
        <v>52408461.569999985</v>
      </c>
    </row>
    <row r="167" spans="1:4">
      <c r="A167" t="s">
        <v>3656</v>
      </c>
      <c r="B167" t="s">
        <v>3653</v>
      </c>
      <c r="C167">
        <v>1</v>
      </c>
      <c r="D167" s="19">
        <v>535500</v>
      </c>
    </row>
    <row r="168" spans="1:4">
      <c r="A168" s="20" t="s">
        <v>7767</v>
      </c>
      <c r="C168">
        <v>1</v>
      </c>
      <c r="D168" s="19">
        <v>535500</v>
      </c>
    </row>
    <row r="169" spans="1:4">
      <c r="A169" s="23" t="s">
        <v>3595</v>
      </c>
      <c r="B169" t="s">
        <v>3592</v>
      </c>
      <c r="C169">
        <v>1</v>
      </c>
      <c r="D169" s="19">
        <v>803250</v>
      </c>
    </row>
    <row r="170" spans="1:4">
      <c r="A170" s="23" t="s">
        <v>7768</v>
      </c>
      <c r="B170" s="23"/>
      <c r="C170">
        <v>1</v>
      </c>
      <c r="D170" s="19">
        <v>803250</v>
      </c>
    </row>
    <row r="171" spans="1:4">
      <c r="A171" t="s">
        <v>1420</v>
      </c>
      <c r="B171" t="s">
        <v>1417</v>
      </c>
      <c r="C171">
        <v>1</v>
      </c>
      <c r="D171" s="19">
        <v>1231650</v>
      </c>
    </row>
    <row r="172" spans="1:4">
      <c r="A172" s="20" t="s">
        <v>7769</v>
      </c>
      <c r="C172">
        <v>1</v>
      </c>
      <c r="D172" s="19">
        <v>1231650</v>
      </c>
    </row>
    <row r="173" spans="1:4">
      <c r="A173" t="s">
        <v>2144</v>
      </c>
      <c r="B173" t="s">
        <v>5214</v>
      </c>
      <c r="C173">
        <v>1</v>
      </c>
      <c r="D173" s="19">
        <v>608649.30000000005</v>
      </c>
    </row>
    <row r="174" spans="1:4">
      <c r="A174" s="20" t="s">
        <v>7770</v>
      </c>
      <c r="C174">
        <v>1</v>
      </c>
      <c r="D174" s="19">
        <v>608649.30000000005</v>
      </c>
    </row>
    <row r="175" spans="1:4">
      <c r="A175" t="s">
        <v>3640</v>
      </c>
      <c r="B175" t="s">
        <v>3638</v>
      </c>
      <c r="C175">
        <v>1</v>
      </c>
      <c r="D175" s="19">
        <v>967312</v>
      </c>
    </row>
    <row r="176" spans="1:4">
      <c r="A176" s="20" t="s">
        <v>7771</v>
      </c>
      <c r="C176">
        <v>1</v>
      </c>
      <c r="D176" s="19">
        <v>967312</v>
      </c>
    </row>
    <row r="177" spans="1:4">
      <c r="A177" t="s">
        <v>4389</v>
      </c>
      <c r="B177" t="s">
        <v>5492</v>
      </c>
      <c r="C177">
        <v>1</v>
      </c>
      <c r="D177" s="19">
        <v>1062366</v>
      </c>
    </row>
    <row r="178" spans="1:4">
      <c r="A178" s="20" t="s">
        <v>7772</v>
      </c>
      <c r="C178">
        <v>1</v>
      </c>
      <c r="D178" s="19">
        <v>1062366</v>
      </c>
    </row>
    <row r="179" spans="1:4">
      <c r="A179" t="s">
        <v>1311</v>
      </c>
      <c r="B179" t="s">
        <v>1308</v>
      </c>
      <c r="C179">
        <v>1</v>
      </c>
      <c r="D179" s="19">
        <v>683058.81</v>
      </c>
    </row>
    <row r="180" spans="1:4">
      <c r="A180"/>
      <c r="B180" t="s">
        <v>1318</v>
      </c>
      <c r="C180">
        <v>1</v>
      </c>
      <c r="D180" s="19">
        <v>1666000</v>
      </c>
    </row>
    <row r="181" spans="1:4">
      <c r="A181" s="20" t="s">
        <v>7773</v>
      </c>
      <c r="C181">
        <v>2</v>
      </c>
      <c r="D181" s="19">
        <v>2349058.81</v>
      </c>
    </row>
    <row r="182" spans="1:4">
      <c r="A182" t="s">
        <v>2885</v>
      </c>
      <c r="B182" t="s">
        <v>2882</v>
      </c>
      <c r="C182">
        <v>1</v>
      </c>
      <c r="D182" s="19">
        <v>6375620.1600000001</v>
      </c>
    </row>
    <row r="183" spans="1:4">
      <c r="A183" s="20" t="s">
        <v>7576</v>
      </c>
      <c r="C183">
        <v>1</v>
      </c>
      <c r="D183" s="19">
        <v>6375620.1600000001</v>
      </c>
    </row>
    <row r="184" spans="1:4">
      <c r="A184" t="s">
        <v>432</v>
      </c>
      <c r="B184" t="s">
        <v>429</v>
      </c>
      <c r="C184">
        <v>1</v>
      </c>
      <c r="D184" s="19">
        <v>1214990</v>
      </c>
    </row>
    <row r="185" spans="1:4">
      <c r="A185"/>
      <c r="B185" t="s">
        <v>445</v>
      </c>
      <c r="C185">
        <v>1</v>
      </c>
      <c r="D185" s="19">
        <v>2350250</v>
      </c>
    </row>
    <row r="186" spans="1:4">
      <c r="A186"/>
      <c r="B186" t="s">
        <v>448</v>
      </c>
      <c r="C186">
        <v>1</v>
      </c>
      <c r="D186" s="19">
        <v>1023400</v>
      </c>
    </row>
    <row r="187" spans="1:4">
      <c r="A187"/>
      <c r="B187" t="s">
        <v>451</v>
      </c>
      <c r="C187">
        <v>1</v>
      </c>
      <c r="D187" s="19">
        <v>2021810</v>
      </c>
    </row>
    <row r="188" spans="1:4">
      <c r="A188" s="20" t="s">
        <v>7774</v>
      </c>
      <c r="C188">
        <v>4</v>
      </c>
      <c r="D188" s="19">
        <v>6610450</v>
      </c>
    </row>
    <row r="189" spans="1:4">
      <c r="A189" t="s">
        <v>4635</v>
      </c>
      <c r="B189" t="s">
        <v>4633</v>
      </c>
      <c r="C189">
        <v>1</v>
      </c>
      <c r="D189" s="19">
        <v>58643.199999999997</v>
      </c>
    </row>
    <row r="190" spans="1:4">
      <c r="A190" s="20" t="s">
        <v>7775</v>
      </c>
      <c r="C190">
        <v>1</v>
      </c>
      <c r="D190" s="19">
        <v>58643.199999999997</v>
      </c>
    </row>
    <row r="191" spans="1:4">
      <c r="A191" t="s">
        <v>765</v>
      </c>
      <c r="B191" t="s">
        <v>762</v>
      </c>
      <c r="C191">
        <v>1</v>
      </c>
      <c r="D191" s="19">
        <v>175882</v>
      </c>
    </row>
    <row r="192" spans="1:4">
      <c r="A192"/>
      <c r="B192" t="s">
        <v>1157</v>
      </c>
      <c r="C192">
        <v>1</v>
      </c>
      <c r="D192" s="19">
        <v>3955441</v>
      </c>
    </row>
    <row r="193" spans="1:4">
      <c r="A193"/>
      <c r="B193" t="s">
        <v>3573</v>
      </c>
      <c r="C193">
        <v>1</v>
      </c>
      <c r="D193" s="19">
        <v>150773</v>
      </c>
    </row>
    <row r="194" spans="1:4">
      <c r="A194"/>
      <c r="B194" t="s">
        <v>4451</v>
      </c>
      <c r="C194">
        <v>1</v>
      </c>
      <c r="D194" s="19">
        <v>415118.41</v>
      </c>
    </row>
    <row r="195" spans="1:4">
      <c r="A195"/>
      <c r="B195" t="s">
        <v>5365</v>
      </c>
      <c r="C195">
        <v>1</v>
      </c>
      <c r="D195" s="19">
        <v>2927757</v>
      </c>
    </row>
    <row r="196" spans="1:4">
      <c r="A196" s="20" t="s">
        <v>7577</v>
      </c>
      <c r="C196">
        <v>5</v>
      </c>
      <c r="D196" s="19">
        <v>7624971.4100000001</v>
      </c>
    </row>
    <row r="197" spans="1:4">
      <c r="A197" t="s">
        <v>1884</v>
      </c>
      <c r="B197" t="s">
        <v>1881</v>
      </c>
      <c r="C197">
        <v>1</v>
      </c>
      <c r="D197" s="19">
        <v>89250</v>
      </c>
    </row>
    <row r="198" spans="1:4">
      <c r="A198" s="20" t="s">
        <v>7776</v>
      </c>
      <c r="C198">
        <v>1</v>
      </c>
      <c r="D198" s="19">
        <v>89250</v>
      </c>
    </row>
    <row r="199" spans="1:4">
      <c r="A199" t="s">
        <v>1648</v>
      </c>
      <c r="B199" t="s">
        <v>1645</v>
      </c>
      <c r="C199">
        <v>1</v>
      </c>
      <c r="D199" s="19">
        <v>443394</v>
      </c>
    </row>
    <row r="200" spans="1:4">
      <c r="A200"/>
      <c r="B200" t="s">
        <v>1650</v>
      </c>
      <c r="C200">
        <v>1</v>
      </c>
      <c r="D200" s="19">
        <v>1428000</v>
      </c>
    </row>
    <row r="201" spans="1:4">
      <c r="A201"/>
      <c r="B201" t="s">
        <v>1653</v>
      </c>
      <c r="C201">
        <v>1</v>
      </c>
      <c r="D201" s="19">
        <v>833000</v>
      </c>
    </row>
    <row r="202" spans="1:4">
      <c r="A202"/>
      <c r="B202" t="s">
        <v>2339</v>
      </c>
      <c r="C202">
        <v>1</v>
      </c>
      <c r="D202" s="19">
        <v>3867143</v>
      </c>
    </row>
    <row r="203" spans="1:4">
      <c r="A203"/>
      <c r="B203" t="s">
        <v>2347</v>
      </c>
      <c r="C203">
        <v>1</v>
      </c>
      <c r="D203" s="19">
        <v>205156</v>
      </c>
    </row>
    <row r="204" spans="1:4">
      <c r="A204"/>
      <c r="B204" t="s">
        <v>3781</v>
      </c>
      <c r="C204">
        <v>1</v>
      </c>
      <c r="D204" s="19">
        <v>2311575</v>
      </c>
    </row>
    <row r="205" spans="1:4">
      <c r="A205" s="20" t="s">
        <v>7777</v>
      </c>
      <c r="C205">
        <v>6</v>
      </c>
      <c r="D205" s="19">
        <v>9088268</v>
      </c>
    </row>
    <row r="206" spans="1:4">
      <c r="A206" t="s">
        <v>995</v>
      </c>
      <c r="B206" t="s">
        <v>992</v>
      </c>
      <c r="C206">
        <v>1</v>
      </c>
      <c r="D206" s="19">
        <v>60283853</v>
      </c>
    </row>
    <row r="207" spans="1:4">
      <c r="A207" s="20" t="s">
        <v>7580</v>
      </c>
      <c r="C207">
        <v>1</v>
      </c>
      <c r="D207" s="19">
        <v>60283853</v>
      </c>
    </row>
    <row r="208" spans="1:4">
      <c r="A208" s="23" t="s">
        <v>1994</v>
      </c>
      <c r="B208" t="s">
        <v>1991</v>
      </c>
      <c r="C208">
        <v>1</v>
      </c>
      <c r="D208" s="19">
        <v>331575.65000000002</v>
      </c>
    </row>
    <row r="209" spans="1:4">
      <c r="A209" s="23" t="s">
        <v>7778</v>
      </c>
      <c r="B209" s="23"/>
      <c r="C209">
        <v>1</v>
      </c>
      <c r="D209" s="19">
        <v>331575.65000000002</v>
      </c>
    </row>
    <row r="210" spans="1:4">
      <c r="A210" s="23" t="s">
        <v>2261</v>
      </c>
      <c r="B210" t="s">
        <v>2258</v>
      </c>
      <c r="C210">
        <v>1</v>
      </c>
      <c r="D210" s="19">
        <v>2106300</v>
      </c>
    </row>
    <row r="211" spans="1:4">
      <c r="B211" t="s">
        <v>2367</v>
      </c>
      <c r="C211">
        <v>1</v>
      </c>
      <c r="D211" s="19">
        <v>1053150</v>
      </c>
    </row>
    <row r="212" spans="1:4">
      <c r="B212" t="s">
        <v>4083</v>
      </c>
      <c r="C212">
        <v>1</v>
      </c>
      <c r="D212" s="19">
        <v>1298349.5</v>
      </c>
    </row>
    <row r="213" spans="1:4">
      <c r="A213" s="23" t="s">
        <v>7779</v>
      </c>
      <c r="B213" s="23"/>
      <c r="C213">
        <v>3</v>
      </c>
      <c r="D213" s="19">
        <v>4457799.5</v>
      </c>
    </row>
    <row r="214" spans="1:4">
      <c r="A214" t="s">
        <v>708</v>
      </c>
      <c r="B214" t="s">
        <v>848</v>
      </c>
      <c r="C214">
        <v>1</v>
      </c>
      <c r="D214" s="19">
        <v>580720</v>
      </c>
    </row>
    <row r="215" spans="1:4">
      <c r="A215"/>
      <c r="B215" t="s">
        <v>854</v>
      </c>
      <c r="C215">
        <v>1</v>
      </c>
      <c r="D215" s="19">
        <v>207060</v>
      </c>
    </row>
    <row r="216" spans="1:4">
      <c r="A216"/>
      <c r="B216" t="s">
        <v>857</v>
      </c>
      <c r="C216">
        <v>1</v>
      </c>
      <c r="D216" s="19">
        <v>1751799</v>
      </c>
    </row>
    <row r="217" spans="1:4">
      <c r="A217"/>
      <c r="B217" t="s">
        <v>860</v>
      </c>
      <c r="C217">
        <v>1</v>
      </c>
      <c r="D217" s="19">
        <v>766836</v>
      </c>
    </row>
    <row r="218" spans="1:4">
      <c r="A218"/>
      <c r="B218" t="s">
        <v>1756</v>
      </c>
      <c r="C218">
        <v>1</v>
      </c>
      <c r="D218" s="19">
        <v>1139811.75</v>
      </c>
    </row>
    <row r="219" spans="1:4">
      <c r="A219"/>
      <c r="B219" t="s">
        <v>2531</v>
      </c>
      <c r="C219">
        <v>1</v>
      </c>
      <c r="D219" s="19">
        <v>7550193</v>
      </c>
    </row>
    <row r="220" spans="1:4">
      <c r="A220"/>
      <c r="B220" t="s">
        <v>2534</v>
      </c>
      <c r="C220">
        <v>1</v>
      </c>
      <c r="D220" s="19">
        <v>7550193</v>
      </c>
    </row>
    <row r="221" spans="1:4">
      <c r="A221"/>
      <c r="B221" t="s">
        <v>2976</v>
      </c>
      <c r="C221">
        <v>1</v>
      </c>
      <c r="D221" s="19">
        <v>5277650</v>
      </c>
    </row>
    <row r="222" spans="1:4">
      <c r="A222"/>
      <c r="B222" t="s">
        <v>3123</v>
      </c>
      <c r="C222">
        <v>1</v>
      </c>
      <c r="D222" s="19">
        <v>5507320</v>
      </c>
    </row>
    <row r="223" spans="1:4">
      <c r="A223"/>
      <c r="B223" t="s">
        <v>3126</v>
      </c>
      <c r="C223">
        <v>1</v>
      </c>
      <c r="D223" s="19">
        <v>5507320</v>
      </c>
    </row>
    <row r="224" spans="1:4">
      <c r="A224"/>
      <c r="B224" t="s">
        <v>3129</v>
      </c>
      <c r="C224">
        <v>1</v>
      </c>
      <c r="D224" s="19">
        <v>5507320</v>
      </c>
    </row>
    <row r="225" spans="1:4">
      <c r="A225"/>
      <c r="B225" t="s">
        <v>3815</v>
      </c>
      <c r="C225">
        <v>1</v>
      </c>
      <c r="D225" s="19">
        <v>1159834.3700000001</v>
      </c>
    </row>
    <row r="226" spans="1:4">
      <c r="A226" s="20" t="s">
        <v>7780</v>
      </c>
      <c r="C226">
        <v>12</v>
      </c>
      <c r="D226" s="19">
        <v>42506057.119999997</v>
      </c>
    </row>
    <row r="227" spans="1:4">
      <c r="A227" t="s">
        <v>903</v>
      </c>
      <c r="B227" t="s">
        <v>900</v>
      </c>
      <c r="C227">
        <v>1</v>
      </c>
      <c r="D227" s="19">
        <v>2726808</v>
      </c>
    </row>
    <row r="228" spans="1:4">
      <c r="A228"/>
      <c r="B228" t="s">
        <v>5057</v>
      </c>
      <c r="C228">
        <v>1</v>
      </c>
      <c r="D228" s="19">
        <v>1355622.8</v>
      </c>
    </row>
    <row r="229" spans="1:4">
      <c r="A229" s="20" t="s">
        <v>7781</v>
      </c>
      <c r="C229">
        <v>2</v>
      </c>
      <c r="D229" s="19">
        <v>4082430.8</v>
      </c>
    </row>
    <row r="230" spans="1:4">
      <c r="A230" s="23" t="s">
        <v>1101</v>
      </c>
      <c r="B230" t="s">
        <v>1098</v>
      </c>
      <c r="C230">
        <v>1</v>
      </c>
      <c r="D230" s="19">
        <v>2445450</v>
      </c>
    </row>
    <row r="231" spans="1:4">
      <c r="A231" s="23" t="s">
        <v>7782</v>
      </c>
      <c r="B231" s="23"/>
      <c r="C231">
        <v>1</v>
      </c>
      <c r="D231" s="19">
        <v>2445450</v>
      </c>
    </row>
    <row r="232" spans="1:4">
      <c r="A232" t="s">
        <v>940</v>
      </c>
      <c r="B232" t="s">
        <v>937</v>
      </c>
      <c r="C232">
        <v>1</v>
      </c>
      <c r="D232" s="19">
        <v>449820</v>
      </c>
    </row>
    <row r="233" spans="1:4">
      <c r="A233"/>
      <c r="B233" t="s">
        <v>2520</v>
      </c>
      <c r="C233">
        <v>1</v>
      </c>
      <c r="D233" s="19">
        <v>3391500</v>
      </c>
    </row>
    <row r="234" spans="1:4">
      <c r="A234"/>
      <c r="B234" t="s">
        <v>3032</v>
      </c>
      <c r="C234">
        <v>1</v>
      </c>
      <c r="D234" s="19">
        <v>2452590</v>
      </c>
    </row>
    <row r="235" spans="1:4">
      <c r="A235"/>
      <c r="B235" t="s">
        <v>3635</v>
      </c>
      <c r="C235">
        <v>1</v>
      </c>
      <c r="D235" s="19">
        <v>6637820</v>
      </c>
    </row>
    <row r="236" spans="1:4">
      <c r="A236"/>
      <c r="B236" t="s">
        <v>5124</v>
      </c>
      <c r="C236">
        <v>1</v>
      </c>
      <c r="D236" s="19">
        <v>637840</v>
      </c>
    </row>
    <row r="237" spans="1:4">
      <c r="A237" s="20" t="s">
        <v>7783</v>
      </c>
      <c r="C237">
        <v>5</v>
      </c>
      <c r="D237" s="19">
        <v>13569570</v>
      </c>
    </row>
    <row r="238" spans="1:4">
      <c r="A238" t="s">
        <v>633</v>
      </c>
      <c r="B238" t="s">
        <v>630</v>
      </c>
      <c r="C238">
        <v>1</v>
      </c>
      <c r="D238" s="19">
        <v>127092</v>
      </c>
    </row>
    <row r="239" spans="1:4">
      <c r="A239" s="20" t="s">
        <v>7784</v>
      </c>
      <c r="C239">
        <v>1</v>
      </c>
      <c r="D239" s="19">
        <v>127092</v>
      </c>
    </row>
    <row r="240" spans="1:4">
      <c r="A240" s="23" t="s">
        <v>3117</v>
      </c>
      <c r="B240" t="s">
        <v>3114</v>
      </c>
      <c r="C240">
        <v>1</v>
      </c>
      <c r="D240" s="19">
        <v>319991</v>
      </c>
    </row>
    <row r="241" spans="1:4">
      <c r="B241" t="s">
        <v>6205</v>
      </c>
      <c r="C241">
        <v>1</v>
      </c>
      <c r="D241" s="19">
        <v>1001703.5</v>
      </c>
    </row>
    <row r="242" spans="1:4">
      <c r="A242" s="23" t="s">
        <v>7785</v>
      </c>
      <c r="B242" s="23"/>
      <c r="C242">
        <v>2</v>
      </c>
      <c r="D242" s="19">
        <v>1321694.5</v>
      </c>
    </row>
    <row r="243" spans="1:4">
      <c r="A243" s="23" t="s">
        <v>670</v>
      </c>
      <c r="B243" t="s">
        <v>667</v>
      </c>
      <c r="C243">
        <v>1</v>
      </c>
      <c r="D243" s="19">
        <v>64600.34</v>
      </c>
    </row>
    <row r="244" spans="1:4">
      <c r="B244" t="s">
        <v>672</v>
      </c>
      <c r="C244">
        <v>1</v>
      </c>
      <c r="D244" s="19">
        <v>6069000</v>
      </c>
    </row>
    <row r="245" spans="1:4">
      <c r="B245" t="s">
        <v>3993</v>
      </c>
      <c r="C245">
        <v>1</v>
      </c>
      <c r="D245" s="19">
        <v>17317294.120000001</v>
      </c>
    </row>
    <row r="246" spans="1:4">
      <c r="A246" s="23" t="s">
        <v>7786</v>
      </c>
      <c r="B246" s="23"/>
      <c r="C246">
        <v>3</v>
      </c>
      <c r="D246" s="19">
        <v>23450894.460000001</v>
      </c>
    </row>
    <row r="247" spans="1:4">
      <c r="A247" s="23" t="s">
        <v>2601</v>
      </c>
      <c r="B247" t="s">
        <v>2598</v>
      </c>
      <c r="C247">
        <v>1</v>
      </c>
      <c r="D247" s="19">
        <v>2235873.5</v>
      </c>
    </row>
    <row r="248" spans="1:4">
      <c r="B248" t="s">
        <v>2603</v>
      </c>
      <c r="C248">
        <v>1</v>
      </c>
      <c r="D248" s="19">
        <v>1545166</v>
      </c>
    </row>
    <row r="249" spans="1:4">
      <c r="B249" t="s">
        <v>2606</v>
      </c>
      <c r="C249">
        <v>1</v>
      </c>
      <c r="D249" s="19">
        <v>71400</v>
      </c>
    </row>
    <row r="250" spans="1:4">
      <c r="B250" t="s">
        <v>3395</v>
      </c>
      <c r="C250">
        <v>1</v>
      </c>
      <c r="D250" s="19">
        <v>1036886.9</v>
      </c>
    </row>
    <row r="251" spans="1:4">
      <c r="B251" t="s">
        <v>3398</v>
      </c>
      <c r="C251">
        <v>1</v>
      </c>
      <c r="D251" s="19">
        <v>76160</v>
      </c>
    </row>
    <row r="252" spans="1:4">
      <c r="A252" s="23" t="s">
        <v>7787</v>
      </c>
      <c r="B252" s="23"/>
      <c r="C252">
        <v>5</v>
      </c>
      <c r="D252" s="19">
        <v>4965486.4000000004</v>
      </c>
    </row>
    <row r="253" spans="1:4">
      <c r="A253" t="s">
        <v>2203</v>
      </c>
      <c r="B253" t="s">
        <v>2205</v>
      </c>
      <c r="C253">
        <v>1</v>
      </c>
      <c r="D253" s="19">
        <v>154700</v>
      </c>
    </row>
    <row r="254" spans="1:4">
      <c r="A254" s="20" t="s">
        <v>7605</v>
      </c>
      <c r="C254">
        <v>1</v>
      </c>
      <c r="D254" s="19">
        <v>154700</v>
      </c>
    </row>
    <row r="255" spans="1:4">
      <c r="A255" s="23" t="s">
        <v>2080</v>
      </c>
      <c r="B255" t="s">
        <v>2077</v>
      </c>
      <c r="C255">
        <v>1</v>
      </c>
      <c r="D255" s="19">
        <v>4309680</v>
      </c>
    </row>
    <row r="256" spans="1:4">
      <c r="B256" t="s">
        <v>2117</v>
      </c>
      <c r="C256">
        <v>1</v>
      </c>
      <c r="D256" s="19">
        <v>8867175.5199999996</v>
      </c>
    </row>
    <row r="257" spans="1:4">
      <c r="B257" t="s">
        <v>5455</v>
      </c>
      <c r="C257">
        <v>1</v>
      </c>
      <c r="D257" s="19">
        <v>1321381.95</v>
      </c>
    </row>
    <row r="258" spans="1:4">
      <c r="B258" t="s">
        <v>5547</v>
      </c>
      <c r="C258">
        <v>1</v>
      </c>
      <c r="D258" s="19">
        <v>577178.56000000006</v>
      </c>
    </row>
    <row r="259" spans="1:4">
      <c r="A259" s="23" t="s">
        <v>7788</v>
      </c>
      <c r="B259" s="23"/>
      <c r="C259">
        <v>4</v>
      </c>
      <c r="D259" s="19">
        <v>15075416.029999999</v>
      </c>
    </row>
    <row r="260" spans="1:4">
      <c r="A260" t="s">
        <v>6629</v>
      </c>
      <c r="B260" t="s">
        <v>6626</v>
      </c>
      <c r="C260">
        <v>1</v>
      </c>
      <c r="D260" s="19">
        <v>226100</v>
      </c>
    </row>
    <row r="261" spans="1:4">
      <c r="A261" s="20" t="s">
        <v>7789</v>
      </c>
      <c r="C261">
        <v>1</v>
      </c>
      <c r="D261" s="19">
        <v>226100</v>
      </c>
    </row>
    <row r="262" spans="1:4">
      <c r="A262" s="23" t="s">
        <v>784</v>
      </c>
      <c r="B262" t="s">
        <v>781</v>
      </c>
      <c r="C262">
        <v>1</v>
      </c>
      <c r="D262" s="19">
        <v>249900</v>
      </c>
    </row>
    <row r="263" spans="1:4">
      <c r="A263" s="23" t="s">
        <v>7790</v>
      </c>
      <c r="B263" s="23"/>
      <c r="C263">
        <v>1</v>
      </c>
      <c r="D263" s="19">
        <v>249900</v>
      </c>
    </row>
    <row r="264" spans="1:4">
      <c r="A264" t="s">
        <v>2024</v>
      </c>
      <c r="B264" t="s">
        <v>2021</v>
      </c>
      <c r="C264">
        <v>1</v>
      </c>
      <c r="D264" s="19">
        <v>5566590.4199999999</v>
      </c>
    </row>
    <row r="265" spans="1:4">
      <c r="A265" s="20" t="s">
        <v>7791</v>
      </c>
      <c r="C265">
        <v>1</v>
      </c>
      <c r="D265" s="19">
        <v>5566590.4199999999</v>
      </c>
    </row>
    <row r="266" spans="1:4">
      <c r="A266" s="23" t="s">
        <v>4607</v>
      </c>
      <c r="B266" t="s">
        <v>4604</v>
      </c>
      <c r="C266">
        <v>1</v>
      </c>
      <c r="D266" s="19">
        <v>1399190.1</v>
      </c>
    </row>
    <row r="267" spans="1:4">
      <c r="A267" s="23" t="s">
        <v>7792</v>
      </c>
      <c r="B267" s="23"/>
      <c r="C267">
        <v>1</v>
      </c>
      <c r="D267" s="19">
        <v>1399190.1</v>
      </c>
    </row>
    <row r="268" spans="1:4">
      <c r="A268" t="s">
        <v>1034</v>
      </c>
      <c r="B268" t="s">
        <v>1031</v>
      </c>
      <c r="C268">
        <v>1</v>
      </c>
      <c r="D268" s="19">
        <v>983535</v>
      </c>
    </row>
    <row r="269" spans="1:4">
      <c r="A269"/>
      <c r="B269" t="s">
        <v>1036</v>
      </c>
      <c r="C269">
        <v>1</v>
      </c>
      <c r="D269" s="19">
        <v>3213000</v>
      </c>
    </row>
    <row r="270" spans="1:4">
      <c r="A270" s="20" t="s">
        <v>7612</v>
      </c>
      <c r="C270">
        <v>2</v>
      </c>
      <c r="D270" s="19">
        <v>4196535</v>
      </c>
    </row>
    <row r="271" spans="1:4">
      <c r="A271" s="23" t="s">
        <v>500</v>
      </c>
      <c r="B271" t="s">
        <v>3627</v>
      </c>
      <c r="C271">
        <v>1</v>
      </c>
      <c r="D271" s="19">
        <v>4462500</v>
      </c>
    </row>
    <row r="272" spans="1:4">
      <c r="A272" s="23" t="s">
        <v>7793</v>
      </c>
      <c r="B272" s="23"/>
      <c r="C272">
        <v>1</v>
      </c>
      <c r="D272" s="19">
        <v>4462500</v>
      </c>
    </row>
    <row r="273" spans="1:4">
      <c r="A273" t="s">
        <v>945</v>
      </c>
      <c r="B273" t="s">
        <v>942</v>
      </c>
      <c r="C273">
        <v>1</v>
      </c>
      <c r="D273" s="19">
        <v>498372</v>
      </c>
    </row>
    <row r="274" spans="1:4">
      <c r="A274"/>
      <c r="B274" t="s">
        <v>2705</v>
      </c>
      <c r="C274">
        <v>1</v>
      </c>
      <c r="D274" s="19">
        <v>559300</v>
      </c>
    </row>
    <row r="275" spans="1:4">
      <c r="A275"/>
      <c r="B275" t="s">
        <v>4111</v>
      </c>
      <c r="C275">
        <v>1</v>
      </c>
      <c r="D275" s="19">
        <v>1713485</v>
      </c>
    </row>
    <row r="276" spans="1:4">
      <c r="A276" s="20" t="s">
        <v>7794</v>
      </c>
      <c r="C276">
        <v>3</v>
      </c>
      <c r="D276" s="19">
        <v>2771157</v>
      </c>
    </row>
    <row r="277" spans="1:4">
      <c r="A277" s="23" t="s">
        <v>3101</v>
      </c>
      <c r="B277" t="s">
        <v>3098</v>
      </c>
      <c r="C277">
        <v>1</v>
      </c>
      <c r="D277" s="19">
        <v>215647.04</v>
      </c>
    </row>
    <row r="278" spans="1:4">
      <c r="B278" t="s">
        <v>3987</v>
      </c>
      <c r="C278">
        <v>1</v>
      </c>
      <c r="D278" s="19">
        <v>55174.35</v>
      </c>
    </row>
    <row r="279" spans="1:4">
      <c r="A279" s="23" t="s">
        <v>7795</v>
      </c>
      <c r="B279" s="23"/>
      <c r="C279">
        <v>2</v>
      </c>
      <c r="D279" s="19">
        <v>270821.39</v>
      </c>
    </row>
    <row r="280" spans="1:4">
      <c r="A280" t="s">
        <v>6172</v>
      </c>
      <c r="B280" t="s">
        <v>6169</v>
      </c>
      <c r="C280">
        <v>1</v>
      </c>
      <c r="D280" s="19">
        <v>1844476.2</v>
      </c>
    </row>
    <row r="281" spans="1:4">
      <c r="A281" t="s">
        <v>7796</v>
      </c>
      <c r="B281"/>
      <c r="C281">
        <v>1</v>
      </c>
      <c r="D281" s="19">
        <v>1844476.2</v>
      </c>
    </row>
    <row r="282" spans="1:4">
      <c r="A282" t="s">
        <v>3434</v>
      </c>
      <c r="B282" t="s">
        <v>3431</v>
      </c>
      <c r="C282">
        <v>1</v>
      </c>
      <c r="D282" s="19">
        <v>1327548.7</v>
      </c>
    </row>
    <row r="283" spans="1:4">
      <c r="A283" t="s">
        <v>7797</v>
      </c>
      <c r="B283"/>
      <c r="C283">
        <v>1</v>
      </c>
      <c r="D283" s="19">
        <v>1327548.7</v>
      </c>
    </row>
    <row r="284" spans="1:4">
      <c r="A284" t="s">
        <v>3945</v>
      </c>
      <c r="B284" t="s">
        <v>3942</v>
      </c>
      <c r="C284">
        <v>1</v>
      </c>
      <c r="D284" s="19">
        <v>21928032</v>
      </c>
    </row>
    <row r="285" spans="1:4">
      <c r="A285" t="s">
        <v>7798</v>
      </c>
      <c r="B285"/>
      <c r="C285">
        <v>1</v>
      </c>
      <c r="D285" s="19">
        <v>21928032</v>
      </c>
    </row>
    <row r="286" spans="1:4">
      <c r="A286" t="s">
        <v>1067</v>
      </c>
      <c r="B286" t="s">
        <v>1064</v>
      </c>
      <c r="C286">
        <v>1</v>
      </c>
      <c r="D286" s="19">
        <v>471600.5</v>
      </c>
    </row>
    <row r="287" spans="1:4">
      <c r="A287" t="s">
        <v>7799</v>
      </c>
      <c r="B287"/>
      <c r="C287">
        <v>1</v>
      </c>
      <c r="D287" s="19">
        <v>471600.5</v>
      </c>
    </row>
    <row r="288" spans="1:4">
      <c r="A288" t="s">
        <v>167</v>
      </c>
      <c r="B288" t="s">
        <v>164</v>
      </c>
      <c r="C288">
        <v>1</v>
      </c>
      <c r="D288" s="19">
        <v>11013450</v>
      </c>
    </row>
    <row r="289" spans="1:4">
      <c r="A289" t="s">
        <v>7800</v>
      </c>
      <c r="B289"/>
      <c r="C289">
        <v>1</v>
      </c>
      <c r="D289" s="19">
        <v>11013450</v>
      </c>
    </row>
    <row r="290" spans="1:4">
      <c r="A290" t="s">
        <v>2460</v>
      </c>
      <c r="B290" t="s">
        <v>3722</v>
      </c>
      <c r="C290">
        <v>1</v>
      </c>
      <c r="D290" s="19">
        <v>529550</v>
      </c>
    </row>
    <row r="291" spans="1:4">
      <c r="A291"/>
      <c r="B291" t="s">
        <v>3775</v>
      </c>
      <c r="C291">
        <v>1</v>
      </c>
      <c r="D291" s="19">
        <v>881135.5</v>
      </c>
    </row>
    <row r="292" spans="1:4">
      <c r="A292" t="s">
        <v>7801</v>
      </c>
      <c r="B292"/>
      <c r="C292">
        <v>2</v>
      </c>
      <c r="D292" s="19">
        <v>1410685.5</v>
      </c>
    </row>
    <row r="293" spans="1:4">
      <c r="A293" t="s">
        <v>92</v>
      </c>
      <c r="B293" t="s">
        <v>89</v>
      </c>
      <c r="C293">
        <v>1</v>
      </c>
      <c r="D293" s="19">
        <v>714009.52</v>
      </c>
    </row>
    <row r="294" spans="1:4">
      <c r="A294"/>
      <c r="B294" t="s">
        <v>3095</v>
      </c>
      <c r="C294">
        <v>1</v>
      </c>
      <c r="D294" s="19">
        <v>488969.81</v>
      </c>
    </row>
    <row r="295" spans="1:4">
      <c r="A295" t="s">
        <v>7802</v>
      </c>
      <c r="B295"/>
      <c r="C295">
        <v>2</v>
      </c>
      <c r="D295" s="19">
        <v>1202979.33</v>
      </c>
    </row>
    <row r="296" spans="1:4">
      <c r="A296" t="s">
        <v>2823</v>
      </c>
      <c r="B296" t="s">
        <v>2820</v>
      </c>
      <c r="C296">
        <v>1</v>
      </c>
      <c r="D296" s="19">
        <v>797171.48</v>
      </c>
    </row>
    <row r="297" spans="1:4">
      <c r="A297"/>
      <c r="B297" t="s">
        <v>4149</v>
      </c>
      <c r="C297">
        <v>1</v>
      </c>
      <c r="D297" s="19">
        <v>787780</v>
      </c>
    </row>
    <row r="298" spans="1:4">
      <c r="A298"/>
      <c r="B298" t="s">
        <v>4152</v>
      </c>
      <c r="C298">
        <v>1</v>
      </c>
      <c r="D298" s="19">
        <v>787780</v>
      </c>
    </row>
    <row r="299" spans="1:4">
      <c r="A299"/>
      <c r="B299" t="s">
        <v>4282</v>
      </c>
      <c r="C299">
        <v>1</v>
      </c>
      <c r="D299" s="19">
        <v>979505.66</v>
      </c>
    </row>
    <row r="300" spans="1:4">
      <c r="A300"/>
      <c r="B300" t="s">
        <v>4537</v>
      </c>
      <c r="C300">
        <v>1</v>
      </c>
      <c r="D300" s="19">
        <v>1713836.81</v>
      </c>
    </row>
    <row r="301" spans="1:4">
      <c r="A301"/>
      <c r="B301" t="s">
        <v>6474</v>
      </c>
      <c r="C301">
        <v>1</v>
      </c>
      <c r="D301" s="19">
        <v>757968.12</v>
      </c>
    </row>
    <row r="302" spans="1:4">
      <c r="A302" t="s">
        <v>7803</v>
      </c>
      <c r="B302"/>
      <c r="C302">
        <v>6</v>
      </c>
      <c r="D302" s="19">
        <v>5824042.0700000003</v>
      </c>
    </row>
    <row r="303" spans="1:4">
      <c r="A303" t="s">
        <v>1155</v>
      </c>
      <c r="B303" t="s">
        <v>1152</v>
      </c>
      <c r="C303">
        <v>1</v>
      </c>
      <c r="D303" s="19">
        <v>856800</v>
      </c>
    </row>
    <row r="304" spans="1:4">
      <c r="A304"/>
      <c r="B304" t="s">
        <v>4710</v>
      </c>
      <c r="C304">
        <v>1</v>
      </c>
      <c r="D304" s="19">
        <v>10543400</v>
      </c>
    </row>
    <row r="305" spans="1:4">
      <c r="A305" t="s">
        <v>7804</v>
      </c>
      <c r="B305"/>
      <c r="C305">
        <v>2</v>
      </c>
      <c r="D305" s="19">
        <v>11400200</v>
      </c>
    </row>
    <row r="306" spans="1:4">
      <c r="A306" t="s">
        <v>4058</v>
      </c>
      <c r="B306" t="s">
        <v>4055</v>
      </c>
      <c r="C306">
        <v>1</v>
      </c>
      <c r="D306" s="19">
        <v>31587750</v>
      </c>
    </row>
    <row r="307" spans="1:4">
      <c r="A307"/>
      <c r="B307" t="s">
        <v>4060</v>
      </c>
      <c r="C307">
        <v>1</v>
      </c>
      <c r="D307" s="19">
        <v>19444772</v>
      </c>
    </row>
    <row r="308" spans="1:4">
      <c r="A308"/>
      <c r="B308" t="s">
        <v>4063</v>
      </c>
      <c r="C308">
        <v>1</v>
      </c>
      <c r="D308" s="19">
        <v>7429170</v>
      </c>
    </row>
    <row r="309" spans="1:4">
      <c r="A309"/>
      <c r="B309" t="s">
        <v>4066</v>
      </c>
      <c r="C309">
        <v>1</v>
      </c>
      <c r="D309" s="19">
        <v>31707312</v>
      </c>
    </row>
    <row r="310" spans="1:4">
      <c r="A310"/>
      <c r="B310" t="s">
        <v>4086</v>
      </c>
      <c r="C310">
        <v>1</v>
      </c>
      <c r="D310" s="19">
        <v>23304960</v>
      </c>
    </row>
    <row r="311" spans="1:4">
      <c r="A311"/>
      <c r="B311" t="s">
        <v>5082</v>
      </c>
      <c r="C311">
        <v>1</v>
      </c>
      <c r="D311" s="19">
        <v>1266160</v>
      </c>
    </row>
    <row r="312" spans="1:4">
      <c r="A312"/>
      <c r="B312" t="s">
        <v>5085</v>
      </c>
      <c r="C312">
        <v>1</v>
      </c>
      <c r="D312" s="19">
        <v>41904550</v>
      </c>
    </row>
    <row r="313" spans="1:4">
      <c r="A313"/>
      <c r="B313" t="s">
        <v>5088</v>
      </c>
      <c r="C313">
        <v>1</v>
      </c>
      <c r="D313" s="19">
        <v>41162100</v>
      </c>
    </row>
    <row r="314" spans="1:4">
      <c r="A314"/>
      <c r="B314" t="s">
        <v>6707</v>
      </c>
      <c r="C314">
        <v>1</v>
      </c>
      <c r="D314" s="19">
        <v>161675304</v>
      </c>
    </row>
    <row r="315" spans="1:4">
      <c r="A315" t="s">
        <v>7805</v>
      </c>
      <c r="B315"/>
      <c r="C315">
        <v>9</v>
      </c>
      <c r="D315" s="19">
        <v>359482078</v>
      </c>
    </row>
    <row r="316" spans="1:4">
      <c r="A316" t="s">
        <v>333</v>
      </c>
      <c r="B316" t="s">
        <v>330</v>
      </c>
      <c r="C316">
        <v>1</v>
      </c>
      <c r="D316" s="19">
        <v>147560</v>
      </c>
    </row>
    <row r="317" spans="1:4">
      <c r="A317" t="s">
        <v>7806</v>
      </c>
      <c r="B317"/>
      <c r="C317">
        <v>1</v>
      </c>
      <c r="D317" s="19">
        <v>147560</v>
      </c>
    </row>
    <row r="318" spans="1:4">
      <c r="A318" t="s">
        <v>975</v>
      </c>
      <c r="B318" t="s">
        <v>972</v>
      </c>
      <c r="C318">
        <v>1</v>
      </c>
      <c r="D318" s="19">
        <v>83002.5</v>
      </c>
    </row>
    <row r="319" spans="1:4">
      <c r="A319"/>
      <c r="B319" t="s">
        <v>989</v>
      </c>
      <c r="C319">
        <v>1</v>
      </c>
      <c r="D319" s="19">
        <v>13584445</v>
      </c>
    </row>
    <row r="320" spans="1:4">
      <c r="A320"/>
      <c r="B320" t="s">
        <v>3140</v>
      </c>
      <c r="C320">
        <v>1</v>
      </c>
      <c r="D320" s="19">
        <v>1447278</v>
      </c>
    </row>
    <row r="321" spans="1:4">
      <c r="A321" t="s">
        <v>7626</v>
      </c>
      <c r="B321"/>
      <c r="C321">
        <v>3</v>
      </c>
      <c r="D321" s="19">
        <v>15114725.5</v>
      </c>
    </row>
    <row r="322" spans="1:4">
      <c r="A322" t="s">
        <v>1332</v>
      </c>
      <c r="B322" t="s">
        <v>1329</v>
      </c>
      <c r="C322">
        <v>1</v>
      </c>
      <c r="D322" s="19">
        <v>497562.8</v>
      </c>
    </row>
    <row r="323" spans="1:4">
      <c r="A323" t="s">
        <v>7807</v>
      </c>
      <c r="B323"/>
      <c r="C323">
        <v>1</v>
      </c>
      <c r="D323" s="19">
        <v>497562.8</v>
      </c>
    </row>
    <row r="324" spans="1:4">
      <c r="A324" t="s">
        <v>1082</v>
      </c>
      <c r="B324" t="s">
        <v>1079</v>
      </c>
      <c r="C324">
        <v>1</v>
      </c>
      <c r="D324" s="19">
        <v>1412698</v>
      </c>
    </row>
    <row r="325" spans="1:4">
      <c r="A325"/>
      <c r="B325" t="s">
        <v>1084</v>
      </c>
      <c r="C325">
        <v>1</v>
      </c>
      <c r="D325" s="19">
        <v>814437.4</v>
      </c>
    </row>
    <row r="326" spans="1:4">
      <c r="A326"/>
      <c r="B326" t="s">
        <v>1087</v>
      </c>
      <c r="C326">
        <v>1</v>
      </c>
      <c r="D326" s="19">
        <v>1889455.4</v>
      </c>
    </row>
    <row r="327" spans="1:4">
      <c r="A327" t="s">
        <v>7808</v>
      </c>
      <c r="B327"/>
      <c r="C327">
        <v>3</v>
      </c>
      <c r="D327" s="19">
        <v>4116590.8</v>
      </c>
    </row>
    <row r="328" spans="1:4">
      <c r="A328" t="s">
        <v>789</v>
      </c>
      <c r="B328" t="s">
        <v>786</v>
      </c>
      <c r="C328">
        <v>1</v>
      </c>
      <c r="D328" s="19">
        <v>404719</v>
      </c>
    </row>
    <row r="329" spans="1:4">
      <c r="A329" t="s">
        <v>7627</v>
      </c>
      <c r="B329"/>
      <c r="C329">
        <v>1</v>
      </c>
      <c r="D329" s="19">
        <v>404719</v>
      </c>
    </row>
    <row r="330" spans="1:4">
      <c r="A330" t="s">
        <v>1253</v>
      </c>
      <c r="B330" t="s">
        <v>1250</v>
      </c>
      <c r="C330">
        <v>1</v>
      </c>
      <c r="D330" s="19">
        <v>1005133.5</v>
      </c>
    </row>
    <row r="331" spans="1:4">
      <c r="A331" t="s">
        <v>7809</v>
      </c>
      <c r="B331"/>
      <c r="C331">
        <v>1</v>
      </c>
      <c r="D331" s="19">
        <v>1005133.5</v>
      </c>
    </row>
    <row r="332" spans="1:4">
      <c r="A332" t="s">
        <v>820</v>
      </c>
      <c r="B332" t="s">
        <v>817</v>
      </c>
      <c r="C332">
        <v>1</v>
      </c>
      <c r="D332" s="19">
        <v>428150.1</v>
      </c>
    </row>
    <row r="333" spans="1:4">
      <c r="A333" t="s">
        <v>7810</v>
      </c>
      <c r="B333"/>
      <c r="C333">
        <v>1</v>
      </c>
      <c r="D333" s="19">
        <v>428150.1</v>
      </c>
    </row>
    <row r="334" spans="1:4">
      <c r="A334" t="s">
        <v>6057</v>
      </c>
      <c r="B334" t="s">
        <v>6054</v>
      </c>
      <c r="C334">
        <v>1</v>
      </c>
      <c r="D334" s="19">
        <v>16720159.189999999</v>
      </c>
    </row>
    <row r="335" spans="1:4">
      <c r="A335" t="s">
        <v>7811</v>
      </c>
      <c r="B335"/>
      <c r="C335">
        <v>1</v>
      </c>
      <c r="D335" s="19">
        <v>16720159.189999999</v>
      </c>
    </row>
    <row r="336" spans="1:4">
      <c r="A336" t="s">
        <v>6082</v>
      </c>
      <c r="B336" t="s">
        <v>6079</v>
      </c>
      <c r="C336">
        <v>1</v>
      </c>
      <c r="D336" s="19">
        <v>85708.5</v>
      </c>
    </row>
    <row r="337" spans="1:4">
      <c r="A337"/>
      <c r="B337" t="s">
        <v>6084</v>
      </c>
      <c r="C337">
        <v>1</v>
      </c>
      <c r="D337" s="19">
        <v>4063199.67</v>
      </c>
    </row>
    <row r="338" spans="1:4">
      <c r="A338" t="s">
        <v>7812</v>
      </c>
      <c r="B338"/>
      <c r="C338">
        <v>2</v>
      </c>
      <c r="D338" s="19">
        <v>4148908.17</v>
      </c>
    </row>
    <row r="339" spans="1:4">
      <c r="A339" t="s">
        <v>1781</v>
      </c>
      <c r="B339" t="s">
        <v>1778</v>
      </c>
      <c r="C339">
        <v>1</v>
      </c>
      <c r="D339" s="19">
        <v>6047300.0300000003</v>
      </c>
    </row>
    <row r="340" spans="1:4">
      <c r="A340" t="s">
        <v>7813</v>
      </c>
      <c r="B340"/>
      <c r="C340">
        <v>1</v>
      </c>
      <c r="D340" s="19">
        <v>6047300.0300000003</v>
      </c>
    </row>
    <row r="341" spans="1:4">
      <c r="A341" t="s">
        <v>84</v>
      </c>
      <c r="B341" t="s">
        <v>81</v>
      </c>
      <c r="C341">
        <v>1</v>
      </c>
      <c r="D341" s="19">
        <v>4042243.17</v>
      </c>
    </row>
    <row r="342" spans="1:4">
      <c r="A342"/>
      <c r="B342" t="s">
        <v>86</v>
      </c>
      <c r="C342">
        <v>1</v>
      </c>
      <c r="D342" s="19">
        <v>526679.72</v>
      </c>
    </row>
    <row r="343" spans="1:4">
      <c r="A343"/>
      <c r="B343" t="s">
        <v>1996</v>
      </c>
      <c r="C343">
        <v>1</v>
      </c>
      <c r="D343" s="19">
        <v>565250</v>
      </c>
    </row>
    <row r="344" spans="1:4">
      <c r="A344" t="s">
        <v>7814</v>
      </c>
      <c r="B344"/>
      <c r="C344">
        <v>3</v>
      </c>
      <c r="D344" s="19">
        <v>5134172.8899999997</v>
      </c>
    </row>
    <row r="345" spans="1:4">
      <c r="A345" t="s">
        <v>97</v>
      </c>
      <c r="B345" t="s">
        <v>94</v>
      </c>
      <c r="C345">
        <v>1</v>
      </c>
      <c r="D345" s="19">
        <v>1584550.45</v>
      </c>
    </row>
    <row r="346" spans="1:4">
      <c r="A346"/>
      <c r="B346" t="s">
        <v>3981</v>
      </c>
      <c r="C346">
        <v>1</v>
      </c>
      <c r="D346" s="19">
        <v>1008911.75</v>
      </c>
    </row>
    <row r="347" spans="1:4">
      <c r="A347"/>
      <c r="B347" t="s">
        <v>4875</v>
      </c>
      <c r="C347">
        <v>1</v>
      </c>
      <c r="D347" s="19">
        <v>4253273.01</v>
      </c>
    </row>
    <row r="348" spans="1:4">
      <c r="A348"/>
      <c r="B348" t="s">
        <v>5942</v>
      </c>
      <c r="C348">
        <v>1</v>
      </c>
      <c r="D348" s="19">
        <v>7134711.6399999997</v>
      </c>
    </row>
    <row r="349" spans="1:4">
      <c r="A349" t="s">
        <v>7636</v>
      </c>
      <c r="B349"/>
      <c r="C349">
        <v>4</v>
      </c>
      <c r="D349" s="19">
        <v>13981446.85</v>
      </c>
    </row>
    <row r="350" spans="1:4">
      <c r="A350" t="s">
        <v>102</v>
      </c>
      <c r="B350" t="s">
        <v>99</v>
      </c>
      <c r="C350">
        <v>1</v>
      </c>
      <c r="D350" s="19">
        <v>16639817.6</v>
      </c>
    </row>
    <row r="351" spans="1:4">
      <c r="A351"/>
      <c r="B351" t="s">
        <v>4077</v>
      </c>
      <c r="C351">
        <v>1</v>
      </c>
      <c r="D351" s="19">
        <v>1523637.92</v>
      </c>
    </row>
    <row r="352" spans="1:4">
      <c r="A352" t="s">
        <v>7815</v>
      </c>
      <c r="B352"/>
      <c r="C352">
        <v>2</v>
      </c>
      <c r="D352" s="19">
        <v>18163455.52</v>
      </c>
    </row>
    <row r="353" spans="1:4">
      <c r="A353" t="s">
        <v>122</v>
      </c>
      <c r="B353" t="s">
        <v>119</v>
      </c>
      <c r="C353">
        <v>1</v>
      </c>
      <c r="D353" s="19">
        <v>1066240</v>
      </c>
    </row>
    <row r="354" spans="1:4">
      <c r="A354" t="s">
        <v>7816</v>
      </c>
      <c r="B354"/>
      <c r="C354">
        <v>1</v>
      </c>
      <c r="D354" s="19">
        <v>1066240</v>
      </c>
    </row>
    <row r="355" spans="1:4">
      <c r="A355" t="s">
        <v>143</v>
      </c>
      <c r="B355" t="s">
        <v>140</v>
      </c>
      <c r="C355">
        <v>1</v>
      </c>
      <c r="D355" s="19">
        <v>833000</v>
      </c>
    </row>
    <row r="356" spans="1:4">
      <c r="A356"/>
      <c r="B356" t="s">
        <v>145</v>
      </c>
      <c r="C356">
        <v>1</v>
      </c>
      <c r="D356" s="19">
        <v>221409.02</v>
      </c>
    </row>
    <row r="357" spans="1:4">
      <c r="A357"/>
      <c r="B357" t="s">
        <v>1682</v>
      </c>
      <c r="C357">
        <v>1</v>
      </c>
      <c r="D357" s="19">
        <v>866249.79</v>
      </c>
    </row>
    <row r="358" spans="1:4">
      <c r="A358"/>
      <c r="B358" t="s">
        <v>1685</v>
      </c>
      <c r="C358">
        <v>1</v>
      </c>
      <c r="D358" s="19">
        <v>21569.94</v>
      </c>
    </row>
    <row r="359" spans="1:4">
      <c r="A359" t="s">
        <v>7817</v>
      </c>
      <c r="B359"/>
      <c r="C359">
        <v>4</v>
      </c>
      <c r="D359" s="19">
        <v>1942228.75</v>
      </c>
    </row>
    <row r="360" spans="1:4">
      <c r="A360" t="s">
        <v>162</v>
      </c>
      <c r="B360" t="s">
        <v>159</v>
      </c>
      <c r="C360">
        <v>1</v>
      </c>
      <c r="D360" s="19">
        <v>166600</v>
      </c>
    </row>
    <row r="361" spans="1:4">
      <c r="A361" t="s">
        <v>7818</v>
      </c>
      <c r="B361"/>
      <c r="C361">
        <v>1</v>
      </c>
      <c r="D361" s="19">
        <v>166600</v>
      </c>
    </row>
    <row r="362" spans="1:4">
      <c r="A362" t="s">
        <v>354</v>
      </c>
      <c r="B362" t="s">
        <v>351</v>
      </c>
      <c r="C362">
        <v>1</v>
      </c>
      <c r="D362" s="19">
        <v>595000</v>
      </c>
    </row>
    <row r="363" spans="1:4">
      <c r="A363" t="s">
        <v>7819</v>
      </c>
      <c r="B363"/>
      <c r="C363">
        <v>1</v>
      </c>
      <c r="D363" s="19">
        <v>595000</v>
      </c>
    </row>
    <row r="364" spans="1:4">
      <c r="A364" t="s">
        <v>569</v>
      </c>
      <c r="B364" t="s">
        <v>566</v>
      </c>
      <c r="C364">
        <v>1</v>
      </c>
      <c r="D364" s="19">
        <v>351050</v>
      </c>
    </row>
    <row r="365" spans="1:4">
      <c r="A365" t="s">
        <v>7820</v>
      </c>
      <c r="B365"/>
      <c r="C365">
        <v>1</v>
      </c>
      <c r="D365" s="19">
        <v>351050</v>
      </c>
    </row>
    <row r="366" spans="1:4">
      <c r="A366" t="s">
        <v>627</v>
      </c>
      <c r="B366" t="s">
        <v>624</v>
      </c>
      <c r="C366">
        <v>1</v>
      </c>
      <c r="D366" s="19">
        <v>82110</v>
      </c>
    </row>
    <row r="367" spans="1:4">
      <c r="A367"/>
      <c r="B367" t="s">
        <v>3772</v>
      </c>
      <c r="C367">
        <v>1</v>
      </c>
      <c r="D367" s="19">
        <v>15838959.5</v>
      </c>
    </row>
    <row r="368" spans="1:4">
      <c r="A368" t="s">
        <v>7821</v>
      </c>
      <c r="B368"/>
      <c r="C368">
        <v>2</v>
      </c>
      <c r="D368" s="19">
        <v>15921069.5</v>
      </c>
    </row>
    <row r="369" spans="1:4">
      <c r="A369" t="s">
        <v>665</v>
      </c>
      <c r="B369" t="s">
        <v>662</v>
      </c>
      <c r="C369">
        <v>1</v>
      </c>
      <c r="D369" s="19">
        <v>1017923.62</v>
      </c>
    </row>
    <row r="370" spans="1:4">
      <c r="A370"/>
      <c r="B370" t="s">
        <v>1875</v>
      </c>
      <c r="C370">
        <v>1</v>
      </c>
      <c r="D370" s="19">
        <v>458745</v>
      </c>
    </row>
    <row r="371" spans="1:4">
      <c r="A371"/>
      <c r="B371" t="s">
        <v>1878</v>
      </c>
      <c r="C371">
        <v>1</v>
      </c>
      <c r="D371" s="19">
        <v>785400</v>
      </c>
    </row>
    <row r="372" spans="1:4">
      <c r="A372" t="s">
        <v>7822</v>
      </c>
      <c r="B372"/>
      <c r="C372">
        <v>3</v>
      </c>
      <c r="D372" s="19">
        <v>2262068.62</v>
      </c>
    </row>
    <row r="373" spans="1:4">
      <c r="A373" t="s">
        <v>678</v>
      </c>
      <c r="B373" t="s">
        <v>675</v>
      </c>
      <c r="C373">
        <v>1</v>
      </c>
      <c r="D373" s="19">
        <v>178381</v>
      </c>
    </row>
    <row r="374" spans="1:4">
      <c r="A374"/>
      <c r="B374" t="s">
        <v>680</v>
      </c>
      <c r="C374">
        <v>1</v>
      </c>
      <c r="D374" s="19">
        <v>1783810</v>
      </c>
    </row>
    <row r="375" spans="1:4">
      <c r="A375"/>
      <c r="B375" t="s">
        <v>688</v>
      </c>
      <c r="C375">
        <v>1</v>
      </c>
      <c r="D375" s="19">
        <v>1019116</v>
      </c>
    </row>
    <row r="376" spans="1:4">
      <c r="A376"/>
      <c r="B376" t="s">
        <v>691</v>
      </c>
      <c r="C376">
        <v>1</v>
      </c>
      <c r="D376" s="19">
        <v>595000</v>
      </c>
    </row>
    <row r="377" spans="1:4">
      <c r="A377"/>
      <c r="B377" t="s">
        <v>694</v>
      </c>
      <c r="C377">
        <v>1</v>
      </c>
      <c r="D377" s="19">
        <v>711620</v>
      </c>
    </row>
    <row r="378" spans="1:4">
      <c r="A378"/>
      <c r="B378" t="s">
        <v>697</v>
      </c>
      <c r="C378">
        <v>1</v>
      </c>
      <c r="D378" s="19">
        <v>62466670</v>
      </c>
    </row>
    <row r="379" spans="1:4">
      <c r="A379"/>
      <c r="B379" t="s">
        <v>715</v>
      </c>
      <c r="C379">
        <v>1</v>
      </c>
      <c r="D379" s="19">
        <v>827764</v>
      </c>
    </row>
    <row r="380" spans="1:4">
      <c r="A380"/>
      <c r="B380" t="s">
        <v>718</v>
      </c>
      <c r="C380">
        <v>1</v>
      </c>
      <c r="D380" s="19">
        <v>8514450</v>
      </c>
    </row>
    <row r="381" spans="1:4">
      <c r="A381"/>
      <c r="B381" t="s">
        <v>721</v>
      </c>
      <c r="C381">
        <v>1</v>
      </c>
      <c r="D381" s="19">
        <v>345100</v>
      </c>
    </row>
    <row r="382" spans="1:4">
      <c r="A382"/>
      <c r="B382" t="s">
        <v>724</v>
      </c>
      <c r="C382">
        <v>1</v>
      </c>
      <c r="D382" s="19">
        <v>2296700</v>
      </c>
    </row>
    <row r="383" spans="1:4">
      <c r="A383"/>
      <c r="B383" t="s">
        <v>1848</v>
      </c>
      <c r="C383">
        <v>1</v>
      </c>
      <c r="D383" s="19">
        <v>14275240</v>
      </c>
    </row>
    <row r="384" spans="1:4">
      <c r="A384"/>
      <c r="B384" t="s">
        <v>1851</v>
      </c>
      <c r="C384">
        <v>1</v>
      </c>
      <c r="D384" s="19">
        <v>27667500</v>
      </c>
    </row>
    <row r="385" spans="1:4">
      <c r="A385"/>
      <c r="B385" t="s">
        <v>1854</v>
      </c>
      <c r="C385">
        <v>1</v>
      </c>
      <c r="D385" s="19">
        <v>18445000</v>
      </c>
    </row>
    <row r="386" spans="1:4">
      <c r="A386"/>
      <c r="B386" t="s">
        <v>5427</v>
      </c>
      <c r="C386">
        <v>1</v>
      </c>
      <c r="D386" s="19">
        <v>103412951.59999999</v>
      </c>
    </row>
    <row r="387" spans="1:4">
      <c r="A387"/>
      <c r="B387" t="s">
        <v>6067</v>
      </c>
      <c r="C387">
        <v>1</v>
      </c>
      <c r="D387" s="19">
        <v>1378000</v>
      </c>
    </row>
    <row r="388" spans="1:4">
      <c r="A388" t="s">
        <v>7823</v>
      </c>
      <c r="B388"/>
      <c r="C388">
        <v>15</v>
      </c>
      <c r="D388" s="19">
        <v>243917302.59999999</v>
      </c>
    </row>
    <row r="389" spans="1:4">
      <c r="A389" t="s">
        <v>703</v>
      </c>
      <c r="B389" t="s">
        <v>700</v>
      </c>
      <c r="C389">
        <v>1</v>
      </c>
      <c r="D389" s="19">
        <v>1641010</v>
      </c>
    </row>
    <row r="390" spans="1:4">
      <c r="A390" t="s">
        <v>7641</v>
      </c>
      <c r="B390"/>
      <c r="C390">
        <v>1</v>
      </c>
      <c r="D390" s="19">
        <v>1641010</v>
      </c>
    </row>
    <row r="391" spans="1:4">
      <c r="A391" t="s">
        <v>746</v>
      </c>
      <c r="B391" t="s">
        <v>743</v>
      </c>
      <c r="C391">
        <v>1</v>
      </c>
      <c r="D391" s="19">
        <v>3986500</v>
      </c>
    </row>
    <row r="392" spans="1:4">
      <c r="A392" t="s">
        <v>7824</v>
      </c>
      <c r="B392"/>
      <c r="C392">
        <v>1</v>
      </c>
      <c r="D392" s="19">
        <v>3986500</v>
      </c>
    </row>
    <row r="393" spans="1:4">
      <c r="A393" t="s">
        <v>807</v>
      </c>
      <c r="B393" t="s">
        <v>804</v>
      </c>
      <c r="C393">
        <v>1</v>
      </c>
      <c r="D393" s="19">
        <v>2419270</v>
      </c>
    </row>
    <row r="394" spans="1:4">
      <c r="A394"/>
      <c r="B394" t="s">
        <v>809</v>
      </c>
      <c r="C394">
        <v>1</v>
      </c>
      <c r="D394" s="19">
        <v>208250</v>
      </c>
    </row>
    <row r="395" spans="1:4">
      <c r="A395"/>
      <c r="B395" t="s">
        <v>2044</v>
      </c>
      <c r="C395">
        <v>1</v>
      </c>
      <c r="D395" s="19">
        <v>535500</v>
      </c>
    </row>
    <row r="396" spans="1:4">
      <c r="A396" t="s">
        <v>7825</v>
      </c>
      <c r="B396"/>
      <c r="C396">
        <v>3</v>
      </c>
      <c r="D396" s="19">
        <v>3163020</v>
      </c>
    </row>
    <row r="397" spans="1:4">
      <c r="A397" t="s">
        <v>871</v>
      </c>
      <c r="B397" t="s">
        <v>868</v>
      </c>
      <c r="C397">
        <v>1</v>
      </c>
      <c r="D397" s="19">
        <v>797776</v>
      </c>
    </row>
    <row r="398" spans="1:4">
      <c r="A398"/>
      <c r="B398" t="s">
        <v>2237</v>
      </c>
      <c r="C398">
        <v>1</v>
      </c>
      <c r="D398" s="19">
        <v>374850</v>
      </c>
    </row>
    <row r="399" spans="1:4">
      <c r="A399" t="s">
        <v>7826</v>
      </c>
      <c r="B399"/>
      <c r="C399">
        <v>2</v>
      </c>
      <c r="D399" s="19">
        <v>1172626</v>
      </c>
    </row>
    <row r="400" spans="1:4">
      <c r="A400" t="s">
        <v>876</v>
      </c>
      <c r="B400" t="s">
        <v>873</v>
      </c>
      <c r="C400">
        <v>1</v>
      </c>
      <c r="D400" s="19">
        <v>104529600</v>
      </c>
    </row>
    <row r="401" spans="1:4">
      <c r="A401" t="s">
        <v>7827</v>
      </c>
      <c r="B401"/>
      <c r="C401">
        <v>1</v>
      </c>
      <c r="D401" s="19">
        <v>104529600</v>
      </c>
    </row>
    <row r="402" spans="1:4">
      <c r="A402" t="s">
        <v>916</v>
      </c>
      <c r="B402" t="s">
        <v>913</v>
      </c>
      <c r="C402">
        <v>1</v>
      </c>
      <c r="D402" s="19">
        <v>5089570.5</v>
      </c>
    </row>
    <row r="403" spans="1:4">
      <c r="A403"/>
      <c r="B403" t="s">
        <v>1592</v>
      </c>
      <c r="C403">
        <v>1</v>
      </c>
      <c r="D403" s="19">
        <v>5089570.5</v>
      </c>
    </row>
    <row r="404" spans="1:4">
      <c r="A404"/>
      <c r="B404" t="s">
        <v>1693</v>
      </c>
      <c r="C404">
        <v>1</v>
      </c>
      <c r="D404" s="19">
        <v>5778640</v>
      </c>
    </row>
    <row r="405" spans="1:4">
      <c r="A405"/>
      <c r="B405" t="s">
        <v>2543</v>
      </c>
      <c r="C405">
        <v>1</v>
      </c>
      <c r="D405" s="19">
        <v>5778640</v>
      </c>
    </row>
    <row r="406" spans="1:4">
      <c r="A406"/>
      <c r="B406" t="s">
        <v>3769</v>
      </c>
      <c r="C406">
        <v>1</v>
      </c>
      <c r="D406" s="19">
        <v>5778640</v>
      </c>
    </row>
    <row r="407" spans="1:4">
      <c r="A407" t="s">
        <v>7828</v>
      </c>
      <c r="B407"/>
      <c r="C407">
        <v>5</v>
      </c>
      <c r="D407" s="19">
        <v>27515061</v>
      </c>
    </row>
    <row r="408" spans="1:4">
      <c r="A408" t="s">
        <v>935</v>
      </c>
      <c r="B408" t="s">
        <v>932</v>
      </c>
      <c r="C408">
        <v>1</v>
      </c>
      <c r="D408" s="19">
        <v>725900</v>
      </c>
    </row>
    <row r="409" spans="1:4">
      <c r="A409" t="s">
        <v>7829</v>
      </c>
      <c r="B409"/>
      <c r="C409">
        <v>1</v>
      </c>
      <c r="D409" s="19">
        <v>725900</v>
      </c>
    </row>
    <row r="410" spans="1:4">
      <c r="A410" t="s">
        <v>1000</v>
      </c>
      <c r="B410" t="s">
        <v>997</v>
      </c>
      <c r="C410">
        <v>1</v>
      </c>
      <c r="D410" s="19">
        <v>142800</v>
      </c>
    </row>
    <row r="411" spans="1:4">
      <c r="A411"/>
      <c r="B411" t="s">
        <v>5306</v>
      </c>
      <c r="C411">
        <v>1</v>
      </c>
      <c r="D411" s="19">
        <v>1640726.78</v>
      </c>
    </row>
    <row r="412" spans="1:4">
      <c r="A412" t="s">
        <v>7830</v>
      </c>
      <c r="B412"/>
      <c r="C412">
        <v>2</v>
      </c>
      <c r="D412" s="19">
        <v>1783526.78</v>
      </c>
    </row>
    <row r="413" spans="1:4">
      <c r="A413" t="s">
        <v>1005</v>
      </c>
      <c r="B413" t="s">
        <v>1002</v>
      </c>
      <c r="C413">
        <v>1</v>
      </c>
      <c r="D413" s="19">
        <v>145696.46</v>
      </c>
    </row>
    <row r="414" spans="1:4">
      <c r="A414"/>
      <c r="B414" t="s">
        <v>3026</v>
      </c>
      <c r="C414">
        <v>1</v>
      </c>
      <c r="D414" s="19">
        <v>125808.81</v>
      </c>
    </row>
    <row r="415" spans="1:4">
      <c r="A415" t="s">
        <v>7831</v>
      </c>
      <c r="B415"/>
      <c r="C415">
        <v>2</v>
      </c>
      <c r="D415" s="19">
        <v>271505.27</v>
      </c>
    </row>
    <row r="416" spans="1:4">
      <c r="A416" t="s">
        <v>1119</v>
      </c>
      <c r="B416" t="s">
        <v>1116</v>
      </c>
      <c r="C416">
        <v>1</v>
      </c>
      <c r="D416" s="19">
        <v>975800</v>
      </c>
    </row>
    <row r="417" spans="1:4">
      <c r="A417" t="s">
        <v>7832</v>
      </c>
      <c r="B417"/>
      <c r="C417">
        <v>1</v>
      </c>
      <c r="D417" s="19">
        <v>975800</v>
      </c>
    </row>
    <row r="418" spans="1:4">
      <c r="A418" t="s">
        <v>1238</v>
      </c>
      <c r="B418" t="s">
        <v>1235</v>
      </c>
      <c r="C418">
        <v>1</v>
      </c>
      <c r="D418" s="19">
        <v>164354.47</v>
      </c>
    </row>
    <row r="419" spans="1:4">
      <c r="A419" t="s">
        <v>7833</v>
      </c>
      <c r="B419"/>
      <c r="C419">
        <v>1</v>
      </c>
      <c r="D419" s="19">
        <v>164354.47</v>
      </c>
    </row>
    <row r="420" spans="1:4">
      <c r="A420" t="s">
        <v>1248</v>
      </c>
      <c r="B420" t="s">
        <v>1245</v>
      </c>
      <c r="C420">
        <v>1</v>
      </c>
      <c r="D420" s="19">
        <v>370222.09</v>
      </c>
    </row>
    <row r="421" spans="1:4">
      <c r="A421" t="s">
        <v>7834</v>
      </c>
      <c r="B421"/>
      <c r="C421">
        <v>1</v>
      </c>
      <c r="D421" s="19">
        <v>370222.09</v>
      </c>
    </row>
    <row r="422" spans="1:4">
      <c r="A422" t="s">
        <v>1316</v>
      </c>
      <c r="B422" t="s">
        <v>1313</v>
      </c>
      <c r="C422">
        <v>1</v>
      </c>
      <c r="D422" s="19">
        <v>333200</v>
      </c>
    </row>
    <row r="423" spans="1:4">
      <c r="A423" t="s">
        <v>7835</v>
      </c>
      <c r="B423"/>
      <c r="C423">
        <v>1</v>
      </c>
      <c r="D423" s="19">
        <v>333200</v>
      </c>
    </row>
    <row r="424" spans="1:4">
      <c r="A424" t="s">
        <v>1327</v>
      </c>
      <c r="B424" t="s">
        <v>1324</v>
      </c>
      <c r="C424">
        <v>1</v>
      </c>
      <c r="D424" s="19">
        <v>3722389.02</v>
      </c>
    </row>
    <row r="425" spans="1:4">
      <c r="A425"/>
      <c r="B425" t="s">
        <v>3691</v>
      </c>
      <c r="C425">
        <v>1</v>
      </c>
      <c r="D425" s="19">
        <v>1174530</v>
      </c>
    </row>
    <row r="426" spans="1:4">
      <c r="A426"/>
      <c r="B426" t="s">
        <v>3850</v>
      </c>
      <c r="C426">
        <v>1</v>
      </c>
      <c r="D426" s="19">
        <v>10981320</v>
      </c>
    </row>
    <row r="427" spans="1:4">
      <c r="A427"/>
      <c r="B427" t="s">
        <v>4119</v>
      </c>
      <c r="C427">
        <v>1</v>
      </c>
      <c r="D427" s="19">
        <v>1547000</v>
      </c>
    </row>
    <row r="428" spans="1:4">
      <c r="A428" t="s">
        <v>7836</v>
      </c>
      <c r="B428"/>
      <c r="C428">
        <v>4</v>
      </c>
      <c r="D428" s="19">
        <v>17425239.02</v>
      </c>
    </row>
    <row r="429" spans="1:4">
      <c r="A429" t="s">
        <v>1467</v>
      </c>
      <c r="B429" t="s">
        <v>1464</v>
      </c>
      <c r="C429">
        <v>1</v>
      </c>
      <c r="D429" s="19">
        <v>885057.74</v>
      </c>
    </row>
    <row r="430" spans="1:4">
      <c r="A430" t="s">
        <v>7650</v>
      </c>
      <c r="B430"/>
      <c r="C430">
        <v>1</v>
      </c>
      <c r="D430" s="19">
        <v>885057.74</v>
      </c>
    </row>
    <row r="431" spans="1:4">
      <c r="A431" t="s">
        <v>1472</v>
      </c>
      <c r="B431" t="s">
        <v>1469</v>
      </c>
      <c r="C431">
        <v>1</v>
      </c>
      <c r="D431" s="19">
        <v>512652</v>
      </c>
    </row>
    <row r="432" spans="1:4">
      <c r="A432" t="s">
        <v>7837</v>
      </c>
      <c r="B432"/>
      <c r="C432">
        <v>1</v>
      </c>
      <c r="D432" s="19">
        <v>512652</v>
      </c>
    </row>
    <row r="433" spans="1:4">
      <c r="A433" t="s">
        <v>1675</v>
      </c>
      <c r="B433" t="s">
        <v>1672</v>
      </c>
      <c r="C433">
        <v>1</v>
      </c>
      <c r="D433" s="19">
        <v>6628000</v>
      </c>
    </row>
    <row r="434" spans="1:4">
      <c r="A434"/>
      <c r="B434" t="s">
        <v>3728</v>
      </c>
      <c r="C434">
        <v>1</v>
      </c>
      <c r="D434" s="19">
        <v>780000</v>
      </c>
    </row>
    <row r="435" spans="1:4">
      <c r="A435" t="s">
        <v>7838</v>
      </c>
      <c r="B435"/>
      <c r="C435">
        <v>2</v>
      </c>
      <c r="D435" s="19">
        <v>7408000</v>
      </c>
    </row>
    <row r="436" spans="1:4">
      <c r="A436" t="s">
        <v>1680</v>
      </c>
      <c r="B436" t="s">
        <v>1677</v>
      </c>
      <c r="C436">
        <v>1</v>
      </c>
      <c r="D436" s="19">
        <v>428400</v>
      </c>
    </row>
    <row r="437" spans="1:4">
      <c r="A437" t="s">
        <v>7839</v>
      </c>
      <c r="B437"/>
      <c r="C437">
        <v>1</v>
      </c>
      <c r="D437" s="19">
        <v>428400</v>
      </c>
    </row>
    <row r="438" spans="1:4">
      <c r="A438" t="s">
        <v>1791</v>
      </c>
      <c r="B438" t="s">
        <v>1788</v>
      </c>
      <c r="C438">
        <v>1</v>
      </c>
      <c r="D438" s="19">
        <v>2195431</v>
      </c>
    </row>
    <row r="439" spans="1:4">
      <c r="A439" t="s">
        <v>7652</v>
      </c>
      <c r="B439"/>
      <c r="C439">
        <v>1</v>
      </c>
      <c r="D439" s="19">
        <v>2195431</v>
      </c>
    </row>
    <row r="440" spans="1:4">
      <c r="A440" t="s">
        <v>1889</v>
      </c>
      <c r="B440" t="s">
        <v>1886</v>
      </c>
      <c r="C440">
        <v>1</v>
      </c>
      <c r="D440" s="19">
        <v>71638</v>
      </c>
    </row>
    <row r="441" spans="1:4">
      <c r="A441"/>
      <c r="B441" t="s">
        <v>4314</v>
      </c>
      <c r="C441">
        <v>1</v>
      </c>
      <c r="D441" s="19">
        <v>1185954</v>
      </c>
    </row>
    <row r="442" spans="1:4">
      <c r="A442" t="s">
        <v>7840</v>
      </c>
      <c r="B442"/>
      <c r="C442">
        <v>2</v>
      </c>
      <c r="D442" s="19">
        <v>1257592</v>
      </c>
    </row>
    <row r="443" spans="1:4">
      <c r="A443" t="s">
        <v>1894</v>
      </c>
      <c r="B443" t="s">
        <v>1891</v>
      </c>
      <c r="C443">
        <v>1</v>
      </c>
      <c r="D443" s="19">
        <v>396270</v>
      </c>
    </row>
    <row r="444" spans="1:4">
      <c r="A444" t="s">
        <v>7841</v>
      </c>
      <c r="B444"/>
      <c r="C444">
        <v>1</v>
      </c>
      <c r="D444" s="19">
        <v>396270</v>
      </c>
    </row>
    <row r="445" spans="1:4">
      <c r="A445" t="s">
        <v>2094</v>
      </c>
      <c r="B445" t="s">
        <v>2091</v>
      </c>
      <c r="C445">
        <v>1</v>
      </c>
      <c r="D445" s="19">
        <v>773500</v>
      </c>
    </row>
    <row r="446" spans="1:4">
      <c r="A446" t="s">
        <v>7842</v>
      </c>
      <c r="B446"/>
      <c r="C446">
        <v>1</v>
      </c>
      <c r="D446" s="19">
        <v>773500</v>
      </c>
    </row>
    <row r="447" spans="1:4">
      <c r="A447" t="s">
        <v>2136</v>
      </c>
      <c r="B447" t="s">
        <v>2133</v>
      </c>
      <c r="C447">
        <v>1</v>
      </c>
      <c r="D447" s="19">
        <v>409360</v>
      </c>
    </row>
    <row r="448" spans="1:4">
      <c r="A448"/>
      <c r="B448" t="s">
        <v>2154</v>
      </c>
      <c r="C448">
        <v>1</v>
      </c>
      <c r="D448" s="19">
        <v>12170487</v>
      </c>
    </row>
    <row r="449" spans="1:4">
      <c r="A449"/>
      <c r="B449" t="s">
        <v>2157</v>
      </c>
      <c r="C449">
        <v>1</v>
      </c>
      <c r="D449" s="19">
        <v>4490370.99</v>
      </c>
    </row>
    <row r="450" spans="1:4">
      <c r="A450"/>
      <c r="B450" t="s">
        <v>2160</v>
      </c>
      <c r="C450">
        <v>1</v>
      </c>
      <c r="D450" s="19">
        <v>878701.95</v>
      </c>
    </row>
    <row r="451" spans="1:4">
      <c r="A451" t="s">
        <v>7658</v>
      </c>
      <c r="B451"/>
      <c r="C451">
        <v>4</v>
      </c>
      <c r="D451" s="19">
        <v>17948919.940000001</v>
      </c>
    </row>
    <row r="452" spans="1:4">
      <c r="A452" t="s">
        <v>2403</v>
      </c>
      <c r="B452" t="s">
        <v>2400</v>
      </c>
      <c r="C452">
        <v>1</v>
      </c>
      <c r="D452" s="19">
        <v>7498190</v>
      </c>
    </row>
    <row r="453" spans="1:4">
      <c r="A453" t="s">
        <v>7661</v>
      </c>
      <c r="B453"/>
      <c r="C453">
        <v>1</v>
      </c>
      <c r="D453" s="19">
        <v>7498190</v>
      </c>
    </row>
    <row r="454" spans="1:4">
      <c r="A454" t="s">
        <v>2504</v>
      </c>
      <c r="B454" t="s">
        <v>2506</v>
      </c>
      <c r="C454">
        <v>1</v>
      </c>
      <c r="D454" s="19">
        <v>6330535.8200000003</v>
      </c>
    </row>
    <row r="455" spans="1:4">
      <c r="A455" t="s">
        <v>7663</v>
      </c>
      <c r="B455"/>
      <c r="C455">
        <v>1</v>
      </c>
      <c r="D455" s="19">
        <v>6330535.8200000003</v>
      </c>
    </row>
    <row r="456" spans="1:4">
      <c r="A456" t="s">
        <v>2612</v>
      </c>
      <c r="B456" t="s">
        <v>4178</v>
      </c>
      <c r="C456">
        <v>1</v>
      </c>
      <c r="D456" s="19">
        <v>1398250</v>
      </c>
    </row>
    <row r="457" spans="1:4">
      <c r="A457" t="s">
        <v>7666</v>
      </c>
      <c r="B457"/>
      <c r="C457">
        <v>1</v>
      </c>
      <c r="D457" s="19">
        <v>1398250</v>
      </c>
    </row>
    <row r="458" spans="1:4">
      <c r="A458" t="s">
        <v>2804</v>
      </c>
      <c r="B458" t="s">
        <v>2801</v>
      </c>
      <c r="C458">
        <v>1</v>
      </c>
      <c r="D458" s="19">
        <v>953190</v>
      </c>
    </row>
    <row r="459" spans="1:4">
      <c r="A459" t="s">
        <v>7843</v>
      </c>
      <c r="B459"/>
      <c r="C459">
        <v>1</v>
      </c>
      <c r="D459" s="19">
        <v>953190</v>
      </c>
    </row>
    <row r="460" spans="1:4">
      <c r="A460" t="s">
        <v>2990</v>
      </c>
      <c r="B460" t="s">
        <v>2987</v>
      </c>
      <c r="C460">
        <v>1</v>
      </c>
      <c r="D460" s="19">
        <v>480760</v>
      </c>
    </row>
    <row r="461" spans="1:4">
      <c r="A461"/>
      <c r="B461" t="s">
        <v>4869</v>
      </c>
      <c r="C461">
        <v>1</v>
      </c>
      <c r="D461" s="19">
        <v>768078.36</v>
      </c>
    </row>
    <row r="462" spans="1:4">
      <c r="A462" t="s">
        <v>7844</v>
      </c>
      <c r="B462"/>
      <c r="C462">
        <v>2</v>
      </c>
      <c r="D462" s="19">
        <v>1248838.3599999999</v>
      </c>
    </row>
    <row r="463" spans="1:4">
      <c r="A463" t="s">
        <v>3165</v>
      </c>
      <c r="B463" t="s">
        <v>3162</v>
      </c>
      <c r="C463">
        <v>1</v>
      </c>
      <c r="D463" s="19">
        <v>849660</v>
      </c>
    </row>
    <row r="464" spans="1:4">
      <c r="A464"/>
      <c r="B464" t="s">
        <v>3380</v>
      </c>
      <c r="C464">
        <v>1</v>
      </c>
      <c r="D464" s="19">
        <v>12509280</v>
      </c>
    </row>
    <row r="465" spans="1:4">
      <c r="A465" t="s">
        <v>7845</v>
      </c>
      <c r="B465"/>
      <c r="C465">
        <v>2</v>
      </c>
      <c r="D465" s="19">
        <v>13358940</v>
      </c>
    </row>
    <row r="466" spans="1:4">
      <c r="A466" t="s">
        <v>3266</v>
      </c>
      <c r="B466" t="s">
        <v>6152</v>
      </c>
      <c r="C466">
        <v>1</v>
      </c>
      <c r="D466" s="19">
        <v>1197041.6499999999</v>
      </c>
    </row>
    <row r="467" spans="1:4">
      <c r="A467" t="s">
        <v>7846</v>
      </c>
      <c r="B467"/>
      <c r="C467">
        <v>1</v>
      </c>
      <c r="D467" s="19">
        <v>1197041.6499999999</v>
      </c>
    </row>
    <row r="468" spans="1:4">
      <c r="A468" t="s">
        <v>3337</v>
      </c>
      <c r="B468" t="s">
        <v>3334</v>
      </c>
      <c r="C468">
        <v>1</v>
      </c>
      <c r="D468" s="19">
        <v>341589.5</v>
      </c>
    </row>
    <row r="469" spans="1:4">
      <c r="A469" t="s">
        <v>7847</v>
      </c>
      <c r="B469"/>
      <c r="C469">
        <v>1</v>
      </c>
      <c r="D469" s="19">
        <v>341589.5</v>
      </c>
    </row>
    <row r="470" spans="1:4">
      <c r="A470" t="s">
        <v>3547</v>
      </c>
      <c r="B470" t="s">
        <v>3544</v>
      </c>
      <c r="C470">
        <v>1</v>
      </c>
      <c r="D470" s="19">
        <v>166933.20000000001</v>
      </c>
    </row>
    <row r="471" spans="1:4">
      <c r="A471" t="s">
        <v>7848</v>
      </c>
      <c r="B471"/>
      <c r="C471">
        <v>1</v>
      </c>
      <c r="D471" s="19">
        <v>166933.20000000001</v>
      </c>
    </row>
    <row r="472" spans="1:4">
      <c r="A472" t="s">
        <v>3560</v>
      </c>
      <c r="B472" t="s">
        <v>3557</v>
      </c>
      <c r="C472">
        <v>1</v>
      </c>
      <c r="D472" s="19">
        <v>86870</v>
      </c>
    </row>
    <row r="473" spans="1:4">
      <c r="A473" t="s">
        <v>7849</v>
      </c>
      <c r="B473"/>
      <c r="C473">
        <v>1</v>
      </c>
      <c r="D473" s="19">
        <v>86870</v>
      </c>
    </row>
    <row r="474" spans="1:4">
      <c r="A474" t="s">
        <v>3920</v>
      </c>
      <c r="B474" t="s">
        <v>3917</v>
      </c>
      <c r="C474">
        <v>1</v>
      </c>
      <c r="D474" s="19">
        <v>756879.27</v>
      </c>
    </row>
    <row r="475" spans="1:4">
      <c r="A475" t="s">
        <v>7850</v>
      </c>
      <c r="B475"/>
      <c r="C475">
        <v>1</v>
      </c>
      <c r="D475" s="19">
        <v>756879.27</v>
      </c>
    </row>
    <row r="476" spans="1:4">
      <c r="A476" t="s">
        <v>3940</v>
      </c>
      <c r="B476" t="s">
        <v>3937</v>
      </c>
      <c r="C476">
        <v>1</v>
      </c>
      <c r="D476" s="19">
        <v>8550899.6999999993</v>
      </c>
    </row>
    <row r="477" spans="1:4">
      <c r="A477" t="s">
        <v>7851</v>
      </c>
      <c r="B477"/>
      <c r="C477">
        <v>1</v>
      </c>
      <c r="D477" s="19">
        <v>8550899.6999999993</v>
      </c>
    </row>
    <row r="478" spans="1:4">
      <c r="A478" t="s">
        <v>3966</v>
      </c>
      <c r="B478" t="s">
        <v>3963</v>
      </c>
      <c r="C478">
        <v>1</v>
      </c>
      <c r="D478" s="19">
        <v>1190000</v>
      </c>
    </row>
    <row r="479" spans="1:4">
      <c r="A479" t="s">
        <v>7852</v>
      </c>
      <c r="B479"/>
      <c r="C479">
        <v>1</v>
      </c>
      <c r="D479" s="19">
        <v>1190000</v>
      </c>
    </row>
    <row r="480" spans="1:4">
      <c r="A480" t="s">
        <v>4092</v>
      </c>
      <c r="B480" t="s">
        <v>4089</v>
      </c>
      <c r="C480">
        <v>1</v>
      </c>
      <c r="D480" s="19">
        <v>10668000</v>
      </c>
    </row>
    <row r="481" spans="1:4">
      <c r="A481"/>
      <c r="B481" t="s">
        <v>4420</v>
      </c>
      <c r="C481">
        <v>1</v>
      </c>
      <c r="D481" s="19">
        <v>157231.13</v>
      </c>
    </row>
    <row r="482" spans="1:4">
      <c r="A482"/>
      <c r="B482" t="s">
        <v>4806</v>
      </c>
      <c r="C482">
        <v>1</v>
      </c>
      <c r="D482" s="19">
        <v>60690</v>
      </c>
    </row>
    <row r="483" spans="1:4">
      <c r="A483"/>
      <c r="B483" t="s">
        <v>4842</v>
      </c>
      <c r="C483">
        <v>1</v>
      </c>
      <c r="D483" s="19">
        <v>258230</v>
      </c>
    </row>
    <row r="484" spans="1:4">
      <c r="A484" t="s">
        <v>7675</v>
      </c>
      <c r="B484"/>
      <c r="C484">
        <v>4</v>
      </c>
      <c r="D484" s="19">
        <v>11144151.130000001</v>
      </c>
    </row>
    <row r="485" spans="1:4">
      <c r="A485" t="s">
        <v>4210</v>
      </c>
      <c r="B485" t="s">
        <v>4207</v>
      </c>
      <c r="C485">
        <v>1</v>
      </c>
      <c r="D485" s="19">
        <v>5972729</v>
      </c>
    </row>
    <row r="486" spans="1:4">
      <c r="A486" t="s">
        <v>7853</v>
      </c>
      <c r="B486"/>
      <c r="C486">
        <v>1</v>
      </c>
      <c r="D486" s="19">
        <v>5972729</v>
      </c>
    </row>
    <row r="487" spans="1:4">
      <c r="A487" t="s">
        <v>4215</v>
      </c>
      <c r="B487" t="s">
        <v>4212</v>
      </c>
      <c r="C487">
        <v>1</v>
      </c>
      <c r="D487" s="19">
        <v>271320</v>
      </c>
    </row>
    <row r="488" spans="1:4">
      <c r="A488"/>
      <c r="B488" t="s">
        <v>4217</v>
      </c>
      <c r="C488">
        <v>1</v>
      </c>
      <c r="D488" s="19">
        <v>542640</v>
      </c>
    </row>
    <row r="489" spans="1:4">
      <c r="A489" t="s">
        <v>7854</v>
      </c>
      <c r="B489"/>
      <c r="C489">
        <v>2</v>
      </c>
      <c r="D489" s="19">
        <v>813960</v>
      </c>
    </row>
    <row r="490" spans="1:4">
      <c r="A490" t="s">
        <v>4572</v>
      </c>
      <c r="B490" t="s">
        <v>4569</v>
      </c>
      <c r="C490">
        <v>1</v>
      </c>
      <c r="D490" s="19">
        <v>9365300</v>
      </c>
    </row>
    <row r="491" spans="1:4">
      <c r="A491"/>
      <c r="B491" t="s">
        <v>4654</v>
      </c>
      <c r="C491">
        <v>1</v>
      </c>
      <c r="D491" s="19">
        <v>25168500</v>
      </c>
    </row>
    <row r="492" spans="1:4">
      <c r="A492" t="s">
        <v>7855</v>
      </c>
      <c r="B492"/>
      <c r="C492">
        <v>2</v>
      </c>
      <c r="D492" s="19">
        <v>34533800</v>
      </c>
    </row>
    <row r="493" spans="1:4">
      <c r="A493" t="s">
        <v>4721</v>
      </c>
      <c r="B493" t="s">
        <v>4718</v>
      </c>
      <c r="C493">
        <v>1</v>
      </c>
      <c r="D493" s="19">
        <v>26307330</v>
      </c>
    </row>
    <row r="494" spans="1:4">
      <c r="A494"/>
      <c r="B494" t="s">
        <v>4723</v>
      </c>
      <c r="C494">
        <v>1</v>
      </c>
      <c r="D494" s="19">
        <v>535381</v>
      </c>
    </row>
    <row r="495" spans="1:4">
      <c r="A495"/>
      <c r="B495" t="s">
        <v>5421</v>
      </c>
      <c r="C495">
        <v>1</v>
      </c>
      <c r="D495" s="19">
        <v>2201500</v>
      </c>
    </row>
    <row r="496" spans="1:4">
      <c r="A496"/>
      <c r="B496" t="s">
        <v>5424</v>
      </c>
      <c r="C496">
        <v>1</v>
      </c>
      <c r="D496" s="19">
        <v>689000</v>
      </c>
    </row>
    <row r="497" spans="1:4">
      <c r="A497" t="s">
        <v>7856</v>
      </c>
      <c r="B497"/>
      <c r="C497">
        <v>4</v>
      </c>
      <c r="D497" s="19">
        <v>29733211</v>
      </c>
    </row>
    <row r="498" spans="1:4">
      <c r="A498" t="s">
        <v>4773</v>
      </c>
      <c r="B498" t="s">
        <v>4770</v>
      </c>
      <c r="C498">
        <v>1</v>
      </c>
      <c r="D498" s="19">
        <v>981089.55</v>
      </c>
    </row>
    <row r="499" spans="1:4">
      <c r="A499"/>
      <c r="B499" t="s">
        <v>4775</v>
      </c>
      <c r="C499">
        <v>1</v>
      </c>
      <c r="D499" s="19">
        <v>1513220.66</v>
      </c>
    </row>
    <row r="500" spans="1:4">
      <c r="A500"/>
      <c r="B500" t="s">
        <v>5286</v>
      </c>
      <c r="C500">
        <v>1</v>
      </c>
      <c r="D500" s="19">
        <v>21488740.350000001</v>
      </c>
    </row>
    <row r="501" spans="1:4">
      <c r="A501"/>
      <c r="B501" t="s">
        <v>5718</v>
      </c>
      <c r="C501">
        <v>1</v>
      </c>
      <c r="D501" s="19">
        <v>643106.93999999994</v>
      </c>
    </row>
    <row r="502" spans="1:4">
      <c r="A502" t="s">
        <v>7857</v>
      </c>
      <c r="B502"/>
      <c r="C502">
        <v>4</v>
      </c>
      <c r="D502" s="19">
        <v>24626157.500000004</v>
      </c>
    </row>
    <row r="503" spans="1:4">
      <c r="A503" t="s">
        <v>5207</v>
      </c>
      <c r="B503" t="s">
        <v>5204</v>
      </c>
      <c r="C503">
        <v>1</v>
      </c>
      <c r="D503" s="19">
        <v>2704870</v>
      </c>
    </row>
    <row r="504" spans="1:4">
      <c r="A504" t="s">
        <v>7858</v>
      </c>
      <c r="B504"/>
      <c r="C504">
        <v>1</v>
      </c>
      <c r="D504" s="19">
        <v>2704870</v>
      </c>
    </row>
    <row r="505" spans="1:4">
      <c r="A505" t="s">
        <v>5243</v>
      </c>
      <c r="B505" t="s">
        <v>5240</v>
      </c>
      <c r="C505">
        <v>1</v>
      </c>
      <c r="D505" s="19">
        <v>1762211.5</v>
      </c>
    </row>
    <row r="506" spans="1:4">
      <c r="A506" t="s">
        <v>7859</v>
      </c>
      <c r="B506"/>
      <c r="C506">
        <v>1</v>
      </c>
      <c r="D506" s="19">
        <v>1762211.5</v>
      </c>
    </row>
    <row r="507" spans="1:4">
      <c r="A507" t="s">
        <v>5353</v>
      </c>
      <c r="B507" t="s">
        <v>5350</v>
      </c>
      <c r="C507">
        <v>1</v>
      </c>
      <c r="D507" s="19">
        <v>4892815.9000000004</v>
      </c>
    </row>
    <row r="508" spans="1:4">
      <c r="A508" t="s">
        <v>7860</v>
      </c>
      <c r="B508"/>
      <c r="C508">
        <v>1</v>
      </c>
      <c r="D508" s="19">
        <v>4892815.9000000004</v>
      </c>
    </row>
    <row r="509" spans="1:4">
      <c r="A509" t="s">
        <v>5601</v>
      </c>
      <c r="B509" t="s">
        <v>5598</v>
      </c>
      <c r="C509">
        <v>1</v>
      </c>
      <c r="D509" s="19">
        <v>556920</v>
      </c>
    </row>
    <row r="510" spans="1:4">
      <c r="A510" t="s">
        <v>7861</v>
      </c>
      <c r="B510"/>
      <c r="C510">
        <v>1</v>
      </c>
      <c r="D510" s="19">
        <v>556920</v>
      </c>
    </row>
    <row r="511" spans="1:4">
      <c r="A511" t="s">
        <v>5815</v>
      </c>
      <c r="B511" t="s">
        <v>5927</v>
      </c>
      <c r="C511">
        <v>1</v>
      </c>
      <c r="D511" s="19">
        <v>4829615</v>
      </c>
    </row>
    <row r="512" spans="1:4">
      <c r="A512"/>
      <c r="B512" t="s">
        <v>5812</v>
      </c>
      <c r="C512">
        <v>1</v>
      </c>
      <c r="D512" s="19">
        <v>9270100</v>
      </c>
    </row>
    <row r="513" spans="1:4">
      <c r="A513" t="s">
        <v>7862</v>
      </c>
      <c r="B513"/>
      <c r="C513">
        <v>2</v>
      </c>
      <c r="D513" s="19">
        <v>14099715</v>
      </c>
    </row>
    <row r="514" spans="1:4">
      <c r="A514" t="s">
        <v>5633</v>
      </c>
      <c r="B514" t="s">
        <v>5801</v>
      </c>
      <c r="C514">
        <v>1</v>
      </c>
      <c r="D514" s="19">
        <v>428400</v>
      </c>
    </row>
    <row r="515" spans="1:4">
      <c r="A515" t="s">
        <v>7735</v>
      </c>
      <c r="B515"/>
      <c r="C515">
        <v>1</v>
      </c>
      <c r="D515" s="19">
        <v>428400</v>
      </c>
    </row>
    <row r="516" spans="1:4">
      <c r="A516" t="s">
        <v>5757</v>
      </c>
      <c r="B516" t="s">
        <v>5754</v>
      </c>
      <c r="C516">
        <v>1</v>
      </c>
      <c r="D516" s="19">
        <v>220150</v>
      </c>
    </row>
    <row r="517" spans="1:4">
      <c r="A517"/>
      <c r="B517" t="s">
        <v>5759</v>
      </c>
      <c r="C517">
        <v>1</v>
      </c>
      <c r="D517" s="19">
        <v>761600</v>
      </c>
    </row>
    <row r="518" spans="1:4">
      <c r="A518" t="s">
        <v>7863</v>
      </c>
      <c r="B518"/>
      <c r="C518">
        <v>2</v>
      </c>
      <c r="D518" s="19">
        <v>981750</v>
      </c>
    </row>
    <row r="519" spans="1:4">
      <c r="A519" t="s">
        <v>5917</v>
      </c>
      <c r="B519" t="s">
        <v>5939</v>
      </c>
      <c r="C519">
        <v>1</v>
      </c>
      <c r="D519" s="19">
        <v>12692000</v>
      </c>
    </row>
    <row r="520" spans="1:4">
      <c r="A520" t="s">
        <v>7699</v>
      </c>
      <c r="B520"/>
      <c r="C520">
        <v>1</v>
      </c>
      <c r="D520" s="19">
        <v>12692000</v>
      </c>
    </row>
    <row r="521" spans="1:4">
      <c r="A521" t="s">
        <v>6354</v>
      </c>
      <c r="B521" t="s">
        <v>6351</v>
      </c>
      <c r="C521">
        <v>1</v>
      </c>
      <c r="D521" s="19">
        <v>315350</v>
      </c>
    </row>
    <row r="522" spans="1:4">
      <c r="A522" t="s">
        <v>7864</v>
      </c>
      <c r="B522"/>
      <c r="C522">
        <v>1</v>
      </c>
      <c r="D522" s="19">
        <v>315350</v>
      </c>
    </row>
    <row r="523" spans="1:4">
      <c r="A523" t="s">
        <v>6377</v>
      </c>
      <c r="B523" t="s">
        <v>6374</v>
      </c>
      <c r="C523">
        <v>1</v>
      </c>
      <c r="D523" s="19">
        <v>6807330.7400000002</v>
      </c>
    </row>
    <row r="524" spans="1:4">
      <c r="A524" t="s">
        <v>7865</v>
      </c>
      <c r="B524"/>
      <c r="C524">
        <v>1</v>
      </c>
      <c r="D524" s="19">
        <v>6807330.7400000002</v>
      </c>
    </row>
    <row r="525" spans="1:4">
      <c r="A525" s="23" t="s">
        <v>7707</v>
      </c>
      <c r="B525" s="23"/>
      <c r="C525">
        <v>367</v>
      </c>
      <c r="D525" s="19">
        <v>1808445695.6700001</v>
      </c>
    </row>
    <row r="526" spans="1:4">
      <c r="A526"/>
      <c r="B526"/>
    </row>
    <row r="527" spans="1:4">
      <c r="A527"/>
      <c r="B527"/>
    </row>
    <row r="528" spans="1:4">
      <c r="A528"/>
      <c r="B528"/>
    </row>
    <row r="529" spans="1:2">
      <c r="A529"/>
      <c r="B529"/>
    </row>
    <row r="530" spans="1:2">
      <c r="A530"/>
      <c r="B530"/>
    </row>
    <row r="531" spans="1:2">
      <c r="A531"/>
      <c r="B531"/>
    </row>
    <row r="532" spans="1:2">
      <c r="A532"/>
      <c r="B532"/>
    </row>
    <row r="533" spans="1:2">
      <c r="A533"/>
      <c r="B533"/>
    </row>
    <row r="534" spans="1:2">
      <c r="A534"/>
      <c r="B534"/>
    </row>
    <row r="535" spans="1:2">
      <c r="A535"/>
      <c r="B535"/>
    </row>
    <row r="536" spans="1:2">
      <c r="A536"/>
      <c r="B536"/>
    </row>
    <row r="537" spans="1:2">
      <c r="A537"/>
      <c r="B537"/>
    </row>
    <row r="538" spans="1:2">
      <c r="A538"/>
      <c r="B538"/>
    </row>
    <row r="539" spans="1:2">
      <c r="A539"/>
      <c r="B539"/>
    </row>
    <row r="540" spans="1:2">
      <c r="A540"/>
      <c r="B540"/>
    </row>
    <row r="541" spans="1:2">
      <c r="A541"/>
      <c r="B541"/>
    </row>
    <row r="542" spans="1:2">
      <c r="A542"/>
      <c r="B542"/>
    </row>
    <row r="543" spans="1:2">
      <c r="A543"/>
      <c r="B543"/>
    </row>
    <row r="544" spans="1:2">
      <c r="A544"/>
      <c r="B544"/>
    </row>
    <row r="545" spans="1:2">
      <c r="A545"/>
      <c r="B545"/>
    </row>
    <row r="546" spans="1:2">
      <c r="A546"/>
      <c r="B546"/>
    </row>
    <row r="547" spans="1:2">
      <c r="A547"/>
      <c r="B547"/>
    </row>
    <row r="548" spans="1:2">
      <c r="A548"/>
      <c r="B548"/>
    </row>
    <row r="549" spans="1:2">
      <c r="A549"/>
      <c r="B549"/>
    </row>
    <row r="550" spans="1:2">
      <c r="A550"/>
      <c r="B550"/>
    </row>
    <row r="551" spans="1:2">
      <c r="A551"/>
      <c r="B551"/>
    </row>
    <row r="552" spans="1:2">
      <c r="A552"/>
      <c r="B552"/>
    </row>
    <row r="553" spans="1:2">
      <c r="A553"/>
      <c r="B553"/>
    </row>
    <row r="554" spans="1:2">
      <c r="A554"/>
      <c r="B554"/>
    </row>
    <row r="555" spans="1:2">
      <c r="A555"/>
      <c r="B555"/>
    </row>
    <row r="556" spans="1:2">
      <c r="A556"/>
      <c r="B556"/>
    </row>
    <row r="557" spans="1:2">
      <c r="A557"/>
      <c r="B557"/>
    </row>
    <row r="558" spans="1:2">
      <c r="A558"/>
      <c r="B558"/>
    </row>
    <row r="559" spans="1:2">
      <c r="A559"/>
      <c r="B559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  <row r="617" spans="1:2">
      <c r="A617"/>
      <c r="B617"/>
    </row>
    <row r="618" spans="1:2">
      <c r="A618"/>
      <c r="B618"/>
    </row>
    <row r="619" spans="1:2">
      <c r="A619"/>
      <c r="B619"/>
    </row>
    <row r="620" spans="1:2">
      <c r="A620"/>
      <c r="B620"/>
    </row>
    <row r="621" spans="1:2">
      <c r="A621"/>
      <c r="B621"/>
    </row>
    <row r="622" spans="1:2">
      <c r="A622"/>
      <c r="B622"/>
    </row>
    <row r="623" spans="1:2">
      <c r="A623"/>
      <c r="B623"/>
    </row>
    <row r="624" spans="1:2">
      <c r="A624"/>
      <c r="B624"/>
    </row>
    <row r="625" spans="1:2">
      <c r="A625"/>
      <c r="B625"/>
    </row>
    <row r="626" spans="1:2">
      <c r="A626"/>
      <c r="B626"/>
    </row>
    <row r="627" spans="1:2">
      <c r="A627"/>
      <c r="B627"/>
    </row>
    <row r="628" spans="1:2">
      <c r="A628"/>
      <c r="B628"/>
    </row>
    <row r="629" spans="1:2">
      <c r="A629"/>
      <c r="B629"/>
    </row>
    <row r="630" spans="1:2">
      <c r="A630"/>
      <c r="B630"/>
    </row>
    <row r="631" spans="1:2">
      <c r="A631"/>
      <c r="B631"/>
    </row>
    <row r="632" spans="1:2">
      <c r="A632"/>
      <c r="B632"/>
    </row>
    <row r="633" spans="1:2">
      <c r="A633"/>
      <c r="B633"/>
    </row>
    <row r="634" spans="1:2">
      <c r="A634"/>
      <c r="B634"/>
    </row>
    <row r="635" spans="1:2">
      <c r="A635"/>
      <c r="B635"/>
    </row>
    <row r="636" spans="1:2">
      <c r="A636"/>
      <c r="B636"/>
    </row>
    <row r="637" spans="1:2">
      <c r="A637"/>
      <c r="B637"/>
    </row>
    <row r="638" spans="1:2">
      <c r="A638"/>
      <c r="B638"/>
    </row>
    <row r="639" spans="1:2">
      <c r="A639"/>
      <c r="B639"/>
    </row>
    <row r="640" spans="1:2">
      <c r="A640"/>
      <c r="B640"/>
    </row>
    <row r="641" spans="1:2">
      <c r="A641"/>
      <c r="B641"/>
    </row>
    <row r="642" spans="1:2">
      <c r="A642"/>
      <c r="B642"/>
    </row>
    <row r="643" spans="1:2">
      <c r="A643"/>
      <c r="B643"/>
    </row>
    <row r="644" spans="1:2">
      <c r="A644"/>
      <c r="B644"/>
    </row>
    <row r="645" spans="1:2">
      <c r="A645"/>
      <c r="B645"/>
    </row>
    <row r="646" spans="1:2">
      <c r="A646"/>
      <c r="B646"/>
    </row>
    <row r="647" spans="1:2">
      <c r="A647"/>
      <c r="B647"/>
    </row>
    <row r="648" spans="1:2">
      <c r="A648"/>
      <c r="B648"/>
    </row>
    <row r="649" spans="1:2">
      <c r="A649"/>
      <c r="B649"/>
    </row>
    <row r="650" spans="1:2">
      <c r="A650"/>
      <c r="B650"/>
    </row>
    <row r="651" spans="1:2">
      <c r="A651"/>
      <c r="B651"/>
    </row>
    <row r="652" spans="1:2">
      <c r="A652"/>
      <c r="B652"/>
    </row>
    <row r="653" spans="1:2">
      <c r="A653"/>
      <c r="B653"/>
    </row>
    <row r="654" spans="1:2">
      <c r="A654"/>
      <c r="B654"/>
    </row>
    <row r="655" spans="1:2">
      <c r="A655"/>
      <c r="B655"/>
    </row>
    <row r="656" spans="1:2">
      <c r="A656"/>
      <c r="B656"/>
    </row>
    <row r="657" spans="1:2">
      <c r="A657"/>
      <c r="B657"/>
    </row>
    <row r="658" spans="1:2">
      <c r="A658"/>
      <c r="B658"/>
    </row>
    <row r="659" spans="1:2">
      <c r="A659"/>
      <c r="B659"/>
    </row>
    <row r="660" spans="1:2">
      <c r="A660"/>
      <c r="B660"/>
    </row>
    <row r="661" spans="1:2">
      <c r="A661"/>
      <c r="B661"/>
    </row>
    <row r="662" spans="1:2">
      <c r="A662"/>
      <c r="B662"/>
    </row>
    <row r="663" spans="1:2">
      <c r="A663"/>
      <c r="B663"/>
    </row>
    <row r="664" spans="1:2">
      <c r="A664"/>
      <c r="B664"/>
    </row>
    <row r="665" spans="1:2">
      <c r="A665"/>
      <c r="B665"/>
    </row>
    <row r="666" spans="1:2">
      <c r="A666"/>
      <c r="B666"/>
    </row>
    <row r="667" spans="1:2">
      <c r="A667"/>
      <c r="B667"/>
    </row>
    <row r="668" spans="1:2">
      <c r="A668"/>
      <c r="B668"/>
    </row>
    <row r="669" spans="1:2">
      <c r="A669"/>
      <c r="B669"/>
    </row>
    <row r="670" spans="1:2">
      <c r="A670"/>
      <c r="B670"/>
    </row>
    <row r="671" spans="1:2">
      <c r="A671"/>
      <c r="B671"/>
    </row>
    <row r="672" spans="1:2">
      <c r="A672"/>
      <c r="B672"/>
    </row>
    <row r="673" spans="1:2">
      <c r="A673"/>
      <c r="B673"/>
    </row>
    <row r="674" spans="1:2">
      <c r="A674"/>
      <c r="B674"/>
    </row>
    <row r="675" spans="1:2">
      <c r="A675"/>
      <c r="B675"/>
    </row>
    <row r="676" spans="1:2">
      <c r="A676"/>
      <c r="B676"/>
    </row>
    <row r="677" spans="1:2">
      <c r="A677"/>
      <c r="B677"/>
    </row>
    <row r="678" spans="1:2">
      <c r="A678"/>
      <c r="B678"/>
    </row>
    <row r="679" spans="1:2">
      <c r="A679"/>
      <c r="B679"/>
    </row>
    <row r="680" spans="1:2">
      <c r="A680"/>
      <c r="B680"/>
    </row>
    <row r="681" spans="1:2">
      <c r="A681"/>
      <c r="B681"/>
    </row>
    <row r="682" spans="1:2">
      <c r="A682"/>
      <c r="B682"/>
    </row>
    <row r="683" spans="1:2">
      <c r="A683"/>
      <c r="B683"/>
    </row>
    <row r="684" spans="1:2">
      <c r="A684"/>
      <c r="B684"/>
    </row>
    <row r="685" spans="1:2">
      <c r="A685"/>
      <c r="B685"/>
    </row>
    <row r="686" spans="1:2">
      <c r="A686"/>
      <c r="B686"/>
    </row>
    <row r="687" spans="1:2">
      <c r="A687"/>
      <c r="B687"/>
    </row>
    <row r="688" spans="1:2">
      <c r="A688"/>
      <c r="B688"/>
    </row>
    <row r="689" spans="1:2">
      <c r="A689"/>
      <c r="B689"/>
    </row>
    <row r="690" spans="1:2">
      <c r="A690"/>
      <c r="B690"/>
    </row>
    <row r="691" spans="1:2">
      <c r="A691"/>
      <c r="B691"/>
    </row>
    <row r="692" spans="1:2">
      <c r="A692"/>
      <c r="B692"/>
    </row>
    <row r="693" spans="1:2">
      <c r="A693"/>
      <c r="B693"/>
    </row>
    <row r="694" spans="1:2">
      <c r="A694"/>
      <c r="B694"/>
    </row>
    <row r="695" spans="1:2">
      <c r="A695"/>
      <c r="B695"/>
    </row>
    <row r="696" spans="1:2">
      <c r="A696"/>
      <c r="B696"/>
    </row>
    <row r="697" spans="1:2">
      <c r="A697"/>
      <c r="B697"/>
    </row>
    <row r="698" spans="1:2">
      <c r="A698"/>
      <c r="B698"/>
    </row>
    <row r="699" spans="1:2">
      <c r="A699"/>
      <c r="B699"/>
    </row>
    <row r="700" spans="1:2">
      <c r="A700"/>
      <c r="B700"/>
    </row>
    <row r="701" spans="1:2">
      <c r="A701"/>
      <c r="B701"/>
    </row>
    <row r="702" spans="1:2">
      <c r="A702"/>
      <c r="B702"/>
    </row>
    <row r="703" spans="1:2">
      <c r="A703"/>
      <c r="B703"/>
    </row>
    <row r="704" spans="1:2">
      <c r="A704"/>
      <c r="B704"/>
    </row>
    <row r="705" spans="1:2">
      <c r="A705"/>
      <c r="B705"/>
    </row>
    <row r="706" spans="1:2">
      <c r="A706"/>
      <c r="B706"/>
    </row>
    <row r="707" spans="1:2">
      <c r="A707"/>
      <c r="B707"/>
    </row>
    <row r="708" spans="1:2">
      <c r="A708"/>
      <c r="B708"/>
    </row>
    <row r="709" spans="1:2">
      <c r="A709"/>
      <c r="B709"/>
    </row>
    <row r="710" spans="1:2">
      <c r="A710"/>
      <c r="B710"/>
    </row>
    <row r="711" spans="1:2">
      <c r="A711"/>
      <c r="B711"/>
    </row>
    <row r="712" spans="1:2">
      <c r="A712"/>
      <c r="B712"/>
    </row>
    <row r="713" spans="1:2">
      <c r="A713"/>
      <c r="B713"/>
    </row>
    <row r="714" spans="1:2">
      <c r="A714"/>
      <c r="B714"/>
    </row>
    <row r="715" spans="1:2">
      <c r="A715"/>
      <c r="B715"/>
    </row>
    <row r="716" spans="1:2">
      <c r="A716"/>
      <c r="B716"/>
    </row>
    <row r="717" spans="1:2">
      <c r="A717"/>
      <c r="B717"/>
    </row>
    <row r="718" spans="1:2">
      <c r="A718"/>
      <c r="B718"/>
    </row>
    <row r="719" spans="1:2">
      <c r="A719"/>
      <c r="B719"/>
    </row>
    <row r="720" spans="1:2">
      <c r="A720"/>
      <c r="B720"/>
    </row>
    <row r="721" spans="1:2">
      <c r="A721"/>
      <c r="B721"/>
    </row>
    <row r="722" spans="1:2">
      <c r="A722"/>
      <c r="B722"/>
    </row>
    <row r="723" spans="1:2">
      <c r="A723"/>
      <c r="B723"/>
    </row>
    <row r="724" spans="1:2">
      <c r="A724"/>
      <c r="B724"/>
    </row>
    <row r="725" spans="1:2">
      <c r="A725"/>
      <c r="B725"/>
    </row>
    <row r="726" spans="1:2">
      <c r="A726"/>
      <c r="B726"/>
    </row>
    <row r="727" spans="1:2">
      <c r="A727"/>
      <c r="B727"/>
    </row>
    <row r="728" spans="1:2">
      <c r="A728"/>
      <c r="B728"/>
    </row>
    <row r="729" spans="1:2">
      <c r="A729"/>
      <c r="B729"/>
    </row>
    <row r="730" spans="1:2">
      <c r="A730"/>
      <c r="B730"/>
    </row>
    <row r="731" spans="1:2">
      <c r="A731"/>
      <c r="B731"/>
    </row>
    <row r="732" spans="1:2">
      <c r="A732"/>
      <c r="B732"/>
    </row>
    <row r="733" spans="1:2">
      <c r="A733"/>
      <c r="B733"/>
    </row>
    <row r="734" spans="1:2">
      <c r="A734"/>
      <c r="B734"/>
    </row>
    <row r="735" spans="1:2">
      <c r="A735"/>
      <c r="B735"/>
    </row>
    <row r="736" spans="1:2">
      <c r="A736"/>
      <c r="B736"/>
    </row>
    <row r="737" spans="1:2">
      <c r="A737"/>
      <c r="B737"/>
    </row>
    <row r="738" spans="1:2">
      <c r="A738"/>
      <c r="B738"/>
    </row>
    <row r="739" spans="1:2">
      <c r="A739"/>
      <c r="B739"/>
    </row>
    <row r="740" spans="1:2">
      <c r="A740"/>
      <c r="B740"/>
    </row>
    <row r="741" spans="1:2">
      <c r="A741"/>
      <c r="B741"/>
    </row>
    <row r="742" spans="1:2">
      <c r="A742"/>
      <c r="B742"/>
    </row>
    <row r="743" spans="1:2">
      <c r="A743"/>
      <c r="B743"/>
    </row>
    <row r="744" spans="1:2">
      <c r="A744"/>
      <c r="B744"/>
    </row>
    <row r="745" spans="1:2">
      <c r="A745"/>
      <c r="B745"/>
    </row>
    <row r="746" spans="1:2">
      <c r="A746"/>
      <c r="B746"/>
    </row>
    <row r="747" spans="1:2">
      <c r="A747"/>
      <c r="B747"/>
    </row>
    <row r="748" spans="1:2">
      <c r="A748"/>
      <c r="B748"/>
    </row>
    <row r="749" spans="1:2">
      <c r="A749"/>
      <c r="B749"/>
    </row>
    <row r="750" spans="1:2">
      <c r="A750"/>
      <c r="B750"/>
    </row>
    <row r="751" spans="1:2">
      <c r="A751"/>
      <c r="B751"/>
    </row>
    <row r="752" spans="1:2">
      <c r="A752"/>
      <c r="B752"/>
    </row>
    <row r="753" spans="1:2">
      <c r="A753"/>
      <c r="B753"/>
    </row>
    <row r="754" spans="1:2">
      <c r="A754"/>
      <c r="B754"/>
    </row>
    <row r="755" spans="1:2">
      <c r="A755"/>
      <c r="B755"/>
    </row>
    <row r="756" spans="1:2">
      <c r="A756"/>
      <c r="B756"/>
    </row>
    <row r="757" spans="1:2">
      <c r="A757"/>
      <c r="B757"/>
    </row>
    <row r="758" spans="1:2">
      <c r="A758"/>
      <c r="B758"/>
    </row>
    <row r="759" spans="1:2">
      <c r="A759"/>
      <c r="B759"/>
    </row>
    <row r="760" spans="1:2">
      <c r="A760"/>
      <c r="B760"/>
    </row>
    <row r="761" spans="1:2">
      <c r="A761"/>
      <c r="B761"/>
    </row>
    <row r="762" spans="1:2">
      <c r="A762"/>
      <c r="B762"/>
    </row>
    <row r="763" spans="1:2">
      <c r="A763"/>
      <c r="B763"/>
    </row>
    <row r="764" spans="1:2">
      <c r="A764"/>
      <c r="B764"/>
    </row>
    <row r="765" spans="1:2">
      <c r="A765"/>
      <c r="B765"/>
    </row>
    <row r="766" spans="1:2">
      <c r="A766"/>
      <c r="B766"/>
    </row>
    <row r="767" spans="1:2">
      <c r="A767"/>
      <c r="B767"/>
    </row>
    <row r="768" spans="1:2">
      <c r="A768"/>
      <c r="B768"/>
    </row>
    <row r="769" spans="1:2">
      <c r="A769"/>
      <c r="B769"/>
    </row>
    <row r="770" spans="1:2">
      <c r="A770"/>
      <c r="B770"/>
    </row>
    <row r="771" spans="1:2">
      <c r="A771"/>
      <c r="B771"/>
    </row>
    <row r="772" spans="1:2">
      <c r="A772"/>
      <c r="B772"/>
    </row>
    <row r="773" spans="1:2">
      <c r="A773"/>
      <c r="B773"/>
    </row>
    <row r="774" spans="1:2">
      <c r="A774"/>
      <c r="B774"/>
    </row>
    <row r="775" spans="1:2">
      <c r="A775"/>
      <c r="B775"/>
    </row>
    <row r="776" spans="1:2">
      <c r="A776"/>
      <c r="B776"/>
    </row>
    <row r="777" spans="1:2">
      <c r="A777"/>
      <c r="B777"/>
    </row>
    <row r="778" spans="1:2">
      <c r="A778"/>
      <c r="B778"/>
    </row>
    <row r="779" spans="1:2">
      <c r="A779"/>
      <c r="B779"/>
    </row>
    <row r="780" spans="1:2">
      <c r="A780"/>
      <c r="B780"/>
    </row>
    <row r="781" spans="1:2">
      <c r="A781"/>
      <c r="B781"/>
    </row>
    <row r="782" spans="1:2">
      <c r="A782"/>
      <c r="B782"/>
    </row>
    <row r="783" spans="1:2">
      <c r="A783"/>
      <c r="B783"/>
    </row>
    <row r="784" spans="1:2">
      <c r="A784"/>
      <c r="B784"/>
    </row>
    <row r="785" spans="1:2">
      <c r="A785"/>
      <c r="B785"/>
    </row>
    <row r="786" spans="1:2">
      <c r="A786"/>
      <c r="B786"/>
    </row>
    <row r="787" spans="1:2">
      <c r="A787"/>
      <c r="B787"/>
    </row>
    <row r="788" spans="1:2">
      <c r="A788"/>
      <c r="B788"/>
    </row>
    <row r="789" spans="1:2">
      <c r="A789"/>
      <c r="B789"/>
    </row>
    <row r="790" spans="1:2">
      <c r="A790"/>
      <c r="B790"/>
    </row>
    <row r="791" spans="1:2">
      <c r="A791"/>
      <c r="B791"/>
    </row>
    <row r="792" spans="1:2">
      <c r="A792"/>
      <c r="B792"/>
    </row>
    <row r="793" spans="1:2">
      <c r="A793"/>
      <c r="B793"/>
    </row>
    <row r="794" spans="1:2">
      <c r="A794"/>
      <c r="B794"/>
    </row>
    <row r="795" spans="1:2">
      <c r="A795"/>
      <c r="B795"/>
    </row>
    <row r="796" spans="1:2">
      <c r="A796"/>
      <c r="B796"/>
    </row>
    <row r="797" spans="1:2">
      <c r="A797"/>
      <c r="B797"/>
    </row>
    <row r="798" spans="1:2">
      <c r="A798"/>
      <c r="B798"/>
    </row>
    <row r="799" spans="1:2">
      <c r="A799"/>
      <c r="B799"/>
    </row>
    <row r="800" spans="1:2">
      <c r="A800"/>
      <c r="B800"/>
    </row>
    <row r="801" spans="1:2">
      <c r="A801"/>
      <c r="B801"/>
    </row>
    <row r="802" spans="1:2">
      <c r="A802"/>
      <c r="B802"/>
    </row>
    <row r="803" spans="1:2">
      <c r="A803"/>
      <c r="B803"/>
    </row>
    <row r="804" spans="1:2">
      <c r="A804"/>
      <c r="B804"/>
    </row>
    <row r="805" spans="1:2">
      <c r="A805"/>
      <c r="B805"/>
    </row>
    <row r="806" spans="1:2">
      <c r="A806"/>
      <c r="B806"/>
    </row>
    <row r="807" spans="1:2">
      <c r="A807"/>
      <c r="B807"/>
    </row>
    <row r="808" spans="1:2">
      <c r="A808"/>
      <c r="B808"/>
    </row>
    <row r="809" spans="1:2">
      <c r="A809"/>
      <c r="B809"/>
    </row>
    <row r="810" spans="1:2">
      <c r="A810"/>
      <c r="B810"/>
    </row>
    <row r="811" spans="1:2">
      <c r="A811"/>
      <c r="B811"/>
    </row>
    <row r="812" spans="1:2">
      <c r="A812"/>
      <c r="B812"/>
    </row>
    <row r="813" spans="1:2">
      <c r="A813"/>
      <c r="B813"/>
    </row>
    <row r="814" spans="1:2">
      <c r="A814"/>
      <c r="B814"/>
    </row>
    <row r="815" spans="1:2">
      <c r="A815"/>
      <c r="B815"/>
    </row>
    <row r="816" spans="1:2">
      <c r="A816"/>
      <c r="B816"/>
    </row>
    <row r="817" spans="1:2">
      <c r="A817"/>
      <c r="B817"/>
    </row>
    <row r="818" spans="1:2">
      <c r="A818"/>
      <c r="B818"/>
    </row>
    <row r="819" spans="1:2">
      <c r="A819"/>
      <c r="B819"/>
    </row>
    <row r="820" spans="1:2">
      <c r="A820"/>
      <c r="B820"/>
    </row>
    <row r="821" spans="1:2">
      <c r="A821"/>
      <c r="B821"/>
    </row>
    <row r="822" spans="1:2">
      <c r="A822"/>
      <c r="B822"/>
    </row>
    <row r="823" spans="1:2">
      <c r="A823"/>
      <c r="B823"/>
    </row>
    <row r="824" spans="1:2">
      <c r="A824"/>
      <c r="B824"/>
    </row>
    <row r="825" spans="1:2">
      <c r="A825"/>
      <c r="B825"/>
    </row>
    <row r="826" spans="1:2">
      <c r="A826"/>
      <c r="B826"/>
    </row>
    <row r="827" spans="1:2">
      <c r="A827"/>
      <c r="B827"/>
    </row>
    <row r="828" spans="1:2">
      <c r="A828"/>
      <c r="B828"/>
    </row>
    <row r="829" spans="1:2">
      <c r="A829"/>
      <c r="B829"/>
    </row>
    <row r="830" spans="1:2">
      <c r="A830"/>
      <c r="B830"/>
    </row>
    <row r="831" spans="1:2">
      <c r="A831"/>
      <c r="B831"/>
    </row>
    <row r="832" spans="1:2">
      <c r="A832"/>
      <c r="B832"/>
    </row>
    <row r="833" spans="1:2">
      <c r="A833"/>
      <c r="B833"/>
    </row>
    <row r="834" spans="1:2">
      <c r="A834"/>
      <c r="B834"/>
    </row>
    <row r="835" spans="1:2">
      <c r="A835"/>
      <c r="B835"/>
    </row>
    <row r="836" spans="1:2">
      <c r="A836"/>
      <c r="B836"/>
    </row>
    <row r="837" spans="1:2">
      <c r="A837"/>
      <c r="B837"/>
    </row>
    <row r="838" spans="1:2">
      <c r="A838"/>
      <c r="B838"/>
    </row>
    <row r="839" spans="1:2">
      <c r="A839"/>
      <c r="B839"/>
    </row>
    <row r="840" spans="1:2">
      <c r="A840"/>
      <c r="B840"/>
    </row>
    <row r="841" spans="1:2">
      <c r="A841"/>
      <c r="B841"/>
    </row>
    <row r="842" spans="1:2">
      <c r="A842"/>
      <c r="B842"/>
    </row>
    <row r="843" spans="1:2">
      <c r="A843"/>
      <c r="B843"/>
    </row>
    <row r="844" spans="1:2">
      <c r="A844"/>
      <c r="B844"/>
    </row>
    <row r="845" spans="1:2">
      <c r="A845"/>
      <c r="B845"/>
    </row>
    <row r="846" spans="1:2">
      <c r="A846"/>
      <c r="B846"/>
    </row>
    <row r="847" spans="1:2">
      <c r="A847"/>
      <c r="B847"/>
    </row>
    <row r="848" spans="1:2">
      <c r="A848"/>
      <c r="B848"/>
    </row>
    <row r="849" spans="1:2">
      <c r="A849"/>
      <c r="B849"/>
    </row>
    <row r="850" spans="1:2">
      <c r="A850"/>
      <c r="B850"/>
    </row>
    <row r="851" spans="1:2">
      <c r="A851"/>
      <c r="B851"/>
    </row>
    <row r="852" spans="1:2">
      <c r="A852"/>
      <c r="B852"/>
    </row>
    <row r="853" spans="1:2">
      <c r="A853"/>
      <c r="B853"/>
    </row>
    <row r="854" spans="1:2">
      <c r="A854"/>
      <c r="B854"/>
    </row>
    <row r="855" spans="1:2">
      <c r="A855"/>
      <c r="B855"/>
    </row>
    <row r="856" spans="1:2">
      <c r="A856"/>
      <c r="B856"/>
    </row>
    <row r="857" spans="1:2">
      <c r="A857"/>
      <c r="B857"/>
    </row>
    <row r="858" spans="1:2">
      <c r="A858"/>
      <c r="B858"/>
    </row>
    <row r="859" spans="1:2">
      <c r="A859"/>
      <c r="B859"/>
    </row>
    <row r="860" spans="1:2">
      <c r="A860"/>
      <c r="B860"/>
    </row>
    <row r="861" spans="1:2">
      <c r="A861"/>
      <c r="B861"/>
    </row>
    <row r="862" spans="1:2">
      <c r="A862"/>
      <c r="B862"/>
    </row>
    <row r="863" spans="1:2">
      <c r="A863"/>
      <c r="B863"/>
    </row>
    <row r="864" spans="1:2">
      <c r="A864"/>
      <c r="B864"/>
    </row>
    <row r="865" spans="1:2">
      <c r="A865"/>
      <c r="B865"/>
    </row>
    <row r="866" spans="1:2">
      <c r="A866"/>
      <c r="B866"/>
    </row>
    <row r="867" spans="1:2">
      <c r="A867"/>
      <c r="B867"/>
    </row>
    <row r="868" spans="1:2">
      <c r="A868"/>
      <c r="B868"/>
    </row>
    <row r="869" spans="1:2">
      <c r="A869"/>
      <c r="B869"/>
    </row>
    <row r="870" spans="1:2">
      <c r="A870"/>
      <c r="B870"/>
    </row>
    <row r="871" spans="1:2">
      <c r="A871"/>
      <c r="B871"/>
    </row>
    <row r="872" spans="1:2">
      <c r="A872"/>
      <c r="B872"/>
    </row>
    <row r="873" spans="1:2">
      <c r="A873"/>
      <c r="B873"/>
    </row>
    <row r="874" spans="1:2">
      <c r="A874"/>
      <c r="B874"/>
    </row>
    <row r="875" spans="1:2">
      <c r="A875"/>
      <c r="B875"/>
    </row>
    <row r="876" spans="1:2">
      <c r="A876"/>
      <c r="B876"/>
    </row>
    <row r="877" spans="1:2">
      <c r="A877"/>
      <c r="B877"/>
    </row>
    <row r="878" spans="1:2">
      <c r="A878"/>
      <c r="B878"/>
    </row>
    <row r="879" spans="1:2">
      <c r="A879"/>
      <c r="B879"/>
    </row>
    <row r="880" spans="1:2">
      <c r="A880"/>
      <c r="B880"/>
    </row>
    <row r="881" spans="1:2">
      <c r="A881"/>
      <c r="B881"/>
    </row>
    <row r="882" spans="1:2">
      <c r="A882"/>
      <c r="B882"/>
    </row>
    <row r="883" spans="1:2">
      <c r="A883"/>
      <c r="B883"/>
    </row>
    <row r="884" spans="1:2">
      <c r="A884"/>
      <c r="B884"/>
    </row>
    <row r="885" spans="1:2">
      <c r="A885"/>
      <c r="B885"/>
    </row>
    <row r="886" spans="1:2">
      <c r="A886"/>
      <c r="B886"/>
    </row>
    <row r="887" spans="1:2">
      <c r="A887"/>
      <c r="B887"/>
    </row>
    <row r="888" spans="1:2">
      <c r="A888"/>
      <c r="B888"/>
    </row>
    <row r="889" spans="1:2">
      <c r="A889"/>
      <c r="B889"/>
    </row>
    <row r="890" spans="1:2">
      <c r="A890"/>
      <c r="B890"/>
    </row>
    <row r="891" spans="1:2">
      <c r="A891"/>
      <c r="B891"/>
    </row>
    <row r="892" spans="1:2">
      <c r="A892"/>
      <c r="B892"/>
    </row>
    <row r="893" spans="1:2">
      <c r="A893"/>
      <c r="B893"/>
    </row>
    <row r="894" spans="1:2">
      <c r="A894"/>
      <c r="B894"/>
    </row>
    <row r="895" spans="1:2">
      <c r="A895"/>
      <c r="B895"/>
    </row>
    <row r="896" spans="1:2">
      <c r="A896"/>
      <c r="B896"/>
    </row>
    <row r="897" spans="1:2">
      <c r="A897"/>
      <c r="B897"/>
    </row>
    <row r="898" spans="1:2">
      <c r="A898"/>
      <c r="B898"/>
    </row>
    <row r="899" spans="1:2">
      <c r="A899"/>
      <c r="B899"/>
    </row>
    <row r="900" spans="1:2">
      <c r="A900"/>
      <c r="B900"/>
    </row>
    <row r="901" spans="1:2">
      <c r="A901"/>
      <c r="B901"/>
    </row>
    <row r="902" spans="1:2">
      <c r="A902"/>
      <c r="B902"/>
    </row>
    <row r="903" spans="1:2">
      <c r="A903"/>
      <c r="B903"/>
    </row>
    <row r="904" spans="1:2">
      <c r="A904"/>
      <c r="B904"/>
    </row>
    <row r="905" spans="1:2">
      <c r="A905"/>
      <c r="B905"/>
    </row>
    <row r="906" spans="1:2">
      <c r="A906"/>
      <c r="B906"/>
    </row>
    <row r="907" spans="1:2">
      <c r="A907"/>
      <c r="B907"/>
    </row>
    <row r="908" spans="1:2">
      <c r="A908"/>
      <c r="B908"/>
    </row>
    <row r="909" spans="1:2">
      <c r="A909"/>
      <c r="B909"/>
    </row>
    <row r="910" spans="1:2">
      <c r="A910"/>
      <c r="B910"/>
    </row>
    <row r="911" spans="1:2">
      <c r="A911"/>
      <c r="B911"/>
    </row>
    <row r="912" spans="1:2">
      <c r="A912"/>
      <c r="B912"/>
    </row>
    <row r="913" spans="1:2">
      <c r="A913"/>
      <c r="B913"/>
    </row>
    <row r="914" spans="1:2">
      <c r="A914"/>
      <c r="B914"/>
    </row>
    <row r="915" spans="1:2">
      <c r="A915"/>
      <c r="B915"/>
    </row>
    <row r="916" spans="1:2">
      <c r="A916"/>
      <c r="B916"/>
    </row>
    <row r="917" spans="1:2">
      <c r="A917"/>
      <c r="B917"/>
    </row>
    <row r="918" spans="1:2">
      <c r="A918"/>
      <c r="B918"/>
    </row>
    <row r="919" spans="1:2">
      <c r="A919"/>
      <c r="B919"/>
    </row>
    <row r="920" spans="1:2">
      <c r="A920"/>
      <c r="B920"/>
    </row>
    <row r="921" spans="1:2">
      <c r="A921"/>
      <c r="B921"/>
    </row>
    <row r="922" spans="1:2">
      <c r="A922"/>
      <c r="B922"/>
    </row>
    <row r="923" spans="1:2">
      <c r="A923"/>
      <c r="B923"/>
    </row>
    <row r="924" spans="1:2">
      <c r="A924"/>
      <c r="B924"/>
    </row>
    <row r="925" spans="1:2">
      <c r="A925"/>
      <c r="B925"/>
    </row>
    <row r="926" spans="1:2">
      <c r="A926"/>
      <c r="B926"/>
    </row>
    <row r="927" spans="1:2">
      <c r="A927"/>
      <c r="B927"/>
    </row>
    <row r="928" spans="1:2">
      <c r="A928"/>
      <c r="B928"/>
    </row>
    <row r="929" spans="1:2">
      <c r="A929"/>
      <c r="B929"/>
    </row>
    <row r="930" spans="1:2">
      <c r="A930"/>
      <c r="B930"/>
    </row>
    <row r="931" spans="1:2">
      <c r="A931"/>
      <c r="B931"/>
    </row>
    <row r="932" spans="1:2">
      <c r="A932"/>
      <c r="B932"/>
    </row>
    <row r="933" spans="1:2">
      <c r="A933"/>
      <c r="B933"/>
    </row>
    <row r="934" spans="1:2">
      <c r="A934"/>
      <c r="B934"/>
    </row>
    <row r="935" spans="1:2">
      <c r="A935"/>
      <c r="B935"/>
    </row>
    <row r="936" spans="1:2">
      <c r="A936"/>
      <c r="B936"/>
    </row>
    <row r="937" spans="1:2">
      <c r="A937"/>
      <c r="B937"/>
    </row>
    <row r="938" spans="1:2">
      <c r="A938"/>
      <c r="B938"/>
    </row>
    <row r="939" spans="1:2">
      <c r="A939"/>
      <c r="B939"/>
    </row>
    <row r="940" spans="1:2">
      <c r="A940"/>
      <c r="B940"/>
    </row>
    <row r="941" spans="1:2">
      <c r="A941"/>
      <c r="B941"/>
    </row>
    <row r="942" spans="1:2">
      <c r="A942"/>
      <c r="B942"/>
    </row>
    <row r="943" spans="1:2">
      <c r="A943"/>
      <c r="B943"/>
    </row>
    <row r="944" spans="1:2">
      <c r="A944"/>
      <c r="B944"/>
    </row>
    <row r="945" spans="1:2">
      <c r="A945"/>
      <c r="B945"/>
    </row>
    <row r="946" spans="1:2">
      <c r="A946"/>
      <c r="B946"/>
    </row>
    <row r="947" spans="1:2">
      <c r="A947"/>
      <c r="B947"/>
    </row>
    <row r="948" spans="1:2">
      <c r="A948"/>
      <c r="B948"/>
    </row>
    <row r="949" spans="1:2">
      <c r="A949"/>
      <c r="B949"/>
    </row>
    <row r="950" spans="1:2">
      <c r="A950"/>
      <c r="B950"/>
    </row>
    <row r="951" spans="1:2">
      <c r="A951"/>
      <c r="B951"/>
    </row>
    <row r="952" spans="1:2">
      <c r="A952"/>
      <c r="B952"/>
    </row>
    <row r="953" spans="1:2">
      <c r="A953"/>
      <c r="B953"/>
    </row>
    <row r="954" spans="1:2">
      <c r="A954"/>
      <c r="B954"/>
    </row>
    <row r="955" spans="1:2">
      <c r="A955"/>
      <c r="B955"/>
    </row>
    <row r="956" spans="1:2">
      <c r="A956"/>
      <c r="B956"/>
    </row>
    <row r="957" spans="1:2">
      <c r="A957"/>
      <c r="B957"/>
    </row>
    <row r="958" spans="1:2">
      <c r="A958"/>
      <c r="B958"/>
    </row>
    <row r="959" spans="1:2">
      <c r="A959"/>
      <c r="B959"/>
    </row>
    <row r="960" spans="1:2">
      <c r="A960"/>
      <c r="B960"/>
    </row>
    <row r="961" spans="1:2">
      <c r="A961"/>
      <c r="B961"/>
    </row>
    <row r="962" spans="1:2">
      <c r="A962"/>
      <c r="B962"/>
    </row>
    <row r="963" spans="1:2">
      <c r="A963"/>
      <c r="B963"/>
    </row>
    <row r="964" spans="1:2">
      <c r="A964"/>
      <c r="B964"/>
    </row>
    <row r="965" spans="1:2">
      <c r="A965"/>
      <c r="B965"/>
    </row>
    <row r="966" spans="1:2">
      <c r="A966"/>
      <c r="B966"/>
    </row>
    <row r="967" spans="1:2">
      <c r="A967"/>
      <c r="B967"/>
    </row>
    <row r="968" spans="1:2">
      <c r="A968"/>
      <c r="B968"/>
    </row>
    <row r="969" spans="1:2">
      <c r="A969"/>
      <c r="B969"/>
    </row>
    <row r="970" spans="1:2">
      <c r="A970"/>
      <c r="B970"/>
    </row>
    <row r="971" spans="1:2">
      <c r="A971"/>
      <c r="B971"/>
    </row>
    <row r="972" spans="1:2">
      <c r="A972"/>
      <c r="B972"/>
    </row>
    <row r="973" spans="1:2">
      <c r="A973"/>
      <c r="B973"/>
    </row>
    <row r="974" spans="1:2">
      <c r="A974"/>
      <c r="B974"/>
    </row>
    <row r="975" spans="1:2">
      <c r="A975"/>
      <c r="B975"/>
    </row>
    <row r="976" spans="1:2">
      <c r="A976"/>
      <c r="B976"/>
    </row>
    <row r="977" spans="1:2">
      <c r="A977"/>
      <c r="B977"/>
    </row>
    <row r="978" spans="1:2">
      <c r="A978"/>
      <c r="B978"/>
    </row>
    <row r="979" spans="1:2">
      <c r="A979"/>
      <c r="B979"/>
    </row>
    <row r="980" spans="1:2">
      <c r="A980"/>
      <c r="B980"/>
    </row>
    <row r="981" spans="1:2">
      <c r="A981"/>
      <c r="B981"/>
    </row>
    <row r="982" spans="1:2">
      <c r="A982"/>
      <c r="B982"/>
    </row>
    <row r="983" spans="1:2">
      <c r="A983"/>
      <c r="B983"/>
    </row>
    <row r="984" spans="1:2">
      <c r="A984"/>
      <c r="B984"/>
    </row>
    <row r="985" spans="1:2">
      <c r="B985"/>
    </row>
    <row r="986" spans="1:2">
      <c r="B986"/>
    </row>
    <row r="987" spans="1:2">
      <c r="B987"/>
    </row>
    <row r="988" spans="1:2">
      <c r="B988"/>
    </row>
    <row r="989" spans="1:2">
      <c r="B989"/>
    </row>
    <row r="990" spans="1:2">
      <c r="B990"/>
    </row>
    <row r="991" spans="1:2">
      <c r="B991"/>
    </row>
    <row r="992" spans="1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/>
    </row>
    <row r="1362" spans="2:2">
      <c r="B1362"/>
    </row>
    <row r="1363" spans="2:2">
      <c r="B1363"/>
    </row>
    <row r="1364" spans="2:2">
      <c r="B1364"/>
    </row>
    <row r="1365" spans="2:2">
      <c r="B1365"/>
    </row>
    <row r="1366" spans="2:2">
      <c r="B1366"/>
    </row>
    <row r="1367" spans="2:2">
      <c r="B1367"/>
    </row>
    <row r="1368" spans="2:2">
      <c r="B1368"/>
    </row>
    <row r="1369" spans="2:2">
      <c r="B1369"/>
    </row>
    <row r="1370" spans="2:2">
      <c r="B1370"/>
    </row>
    <row r="1371" spans="2:2">
      <c r="B1371"/>
    </row>
    <row r="1372" spans="2:2">
      <c r="B1372"/>
    </row>
    <row r="1373" spans="2:2">
      <c r="B1373"/>
    </row>
    <row r="1374" spans="2:2">
      <c r="B1374"/>
    </row>
    <row r="1375" spans="2:2">
      <c r="B1375"/>
    </row>
    <row r="1376" spans="2:2">
      <c r="B1376"/>
    </row>
    <row r="1377" spans="2:2">
      <c r="B1377"/>
    </row>
    <row r="1378" spans="2:2">
      <c r="B1378"/>
    </row>
    <row r="1379" spans="2:2">
      <c r="B1379"/>
    </row>
    <row r="1380" spans="2:2">
      <c r="B1380"/>
    </row>
    <row r="1381" spans="2:2">
      <c r="B1381"/>
    </row>
    <row r="1382" spans="2:2">
      <c r="B1382"/>
    </row>
    <row r="1383" spans="2:2">
      <c r="B1383"/>
    </row>
    <row r="1384" spans="2:2">
      <c r="B1384"/>
    </row>
    <row r="1385" spans="2:2">
      <c r="B1385"/>
    </row>
    <row r="1386" spans="2:2">
      <c r="B1386"/>
    </row>
    <row r="1387" spans="2:2">
      <c r="B1387"/>
    </row>
    <row r="1388" spans="2:2">
      <c r="B1388"/>
    </row>
    <row r="1389" spans="2:2">
      <c r="B1389"/>
    </row>
    <row r="1390" spans="2:2">
      <c r="B1390"/>
    </row>
    <row r="1391" spans="2:2">
      <c r="B1391"/>
    </row>
    <row r="1392" spans="2:2">
      <c r="B1392"/>
    </row>
    <row r="1393" spans="2:2">
      <c r="B1393"/>
    </row>
    <row r="1394" spans="2:2">
      <c r="B1394"/>
    </row>
    <row r="1395" spans="2:2">
      <c r="B1395"/>
    </row>
    <row r="1396" spans="2:2">
      <c r="B1396"/>
    </row>
    <row r="1397" spans="2:2">
      <c r="B1397"/>
    </row>
    <row r="1398" spans="2:2">
      <c r="B1398"/>
    </row>
    <row r="1399" spans="2:2">
      <c r="B1399"/>
    </row>
    <row r="1400" spans="2:2">
      <c r="B1400"/>
    </row>
    <row r="1401" spans="2:2">
      <c r="B1401"/>
    </row>
    <row r="1402" spans="2:2">
      <c r="B1402"/>
    </row>
    <row r="1403" spans="2:2">
      <c r="B1403"/>
    </row>
    <row r="1404" spans="2:2">
      <c r="B1404"/>
    </row>
    <row r="1405" spans="2:2">
      <c r="B1405"/>
    </row>
    <row r="1406" spans="2:2">
      <c r="B1406"/>
    </row>
    <row r="1407" spans="2:2">
      <c r="B1407"/>
    </row>
    <row r="1408" spans="2:2">
      <c r="B1408"/>
    </row>
    <row r="1409" spans="2:2">
      <c r="B1409"/>
    </row>
    <row r="1410" spans="2:2">
      <c r="B1410"/>
    </row>
    <row r="1411" spans="2:2">
      <c r="B1411"/>
    </row>
    <row r="1412" spans="2:2">
      <c r="B1412"/>
    </row>
    <row r="1413" spans="2:2">
      <c r="B1413"/>
    </row>
    <row r="1414" spans="2:2">
      <c r="B1414"/>
    </row>
    <row r="1415" spans="2:2">
      <c r="B1415"/>
    </row>
    <row r="1416" spans="2:2">
      <c r="B1416"/>
    </row>
    <row r="1417" spans="2:2">
      <c r="B1417"/>
    </row>
    <row r="1418" spans="2:2">
      <c r="B1418"/>
    </row>
    <row r="1419" spans="2:2">
      <c r="B1419"/>
    </row>
    <row r="1420" spans="2:2">
      <c r="B1420"/>
    </row>
    <row r="1421" spans="2:2">
      <c r="B1421"/>
    </row>
    <row r="1422" spans="2:2">
      <c r="B1422"/>
    </row>
    <row r="1423" spans="2:2">
      <c r="B1423"/>
    </row>
    <row r="1424" spans="2:2">
      <c r="B1424"/>
    </row>
    <row r="1425" spans="2:2">
      <c r="B1425"/>
    </row>
    <row r="1426" spans="2:2">
      <c r="B1426"/>
    </row>
    <row r="1427" spans="2:2">
      <c r="B1427"/>
    </row>
    <row r="1428" spans="2:2">
      <c r="B1428"/>
    </row>
    <row r="1429" spans="2:2">
      <c r="B1429"/>
    </row>
    <row r="1430" spans="2:2">
      <c r="B1430"/>
    </row>
    <row r="1431" spans="2:2">
      <c r="B1431"/>
    </row>
    <row r="1432" spans="2:2">
      <c r="B1432"/>
    </row>
    <row r="1433" spans="2:2">
      <c r="B1433"/>
    </row>
    <row r="1434" spans="2:2">
      <c r="B1434"/>
    </row>
    <row r="1435" spans="2:2">
      <c r="B1435"/>
    </row>
    <row r="1436" spans="2:2">
      <c r="B1436"/>
    </row>
    <row r="1437" spans="2:2">
      <c r="B1437"/>
    </row>
    <row r="1438" spans="2:2">
      <c r="B1438"/>
    </row>
    <row r="1439" spans="2:2">
      <c r="B1439"/>
    </row>
    <row r="1440" spans="2:2">
      <c r="B1440"/>
    </row>
    <row r="1441" spans="2:2">
      <c r="B1441"/>
    </row>
    <row r="1442" spans="2:2">
      <c r="B1442"/>
    </row>
    <row r="1443" spans="2:2">
      <c r="B1443"/>
    </row>
    <row r="1444" spans="2:2">
      <c r="B1444"/>
    </row>
    <row r="1445" spans="2:2">
      <c r="B1445"/>
    </row>
    <row r="1446" spans="2:2">
      <c r="B1446"/>
    </row>
    <row r="1447" spans="2:2">
      <c r="B1447"/>
    </row>
    <row r="1448" spans="2:2">
      <c r="B1448"/>
    </row>
    <row r="1449" spans="2:2">
      <c r="B1449"/>
    </row>
    <row r="1450" spans="2:2">
      <c r="B1450"/>
    </row>
    <row r="1451" spans="2:2">
      <c r="B1451"/>
    </row>
    <row r="1452" spans="2:2">
      <c r="B1452"/>
    </row>
    <row r="1453" spans="2:2">
      <c r="B1453"/>
    </row>
    <row r="1454" spans="2:2">
      <c r="B1454"/>
    </row>
    <row r="1455" spans="2:2">
      <c r="B1455"/>
    </row>
    <row r="1456" spans="2:2">
      <c r="B1456"/>
    </row>
    <row r="1457" spans="2:2">
      <c r="B1457"/>
    </row>
    <row r="1458" spans="2:2">
      <c r="B1458"/>
    </row>
    <row r="1459" spans="2:2">
      <c r="B1459"/>
    </row>
    <row r="1460" spans="2:2">
      <c r="B1460"/>
    </row>
    <row r="1461" spans="2:2">
      <c r="B1461"/>
    </row>
    <row r="1462" spans="2:2">
      <c r="B1462"/>
    </row>
    <row r="1463" spans="2:2">
      <c r="B1463"/>
    </row>
    <row r="1464" spans="2:2">
      <c r="B1464"/>
    </row>
    <row r="1465" spans="2:2">
      <c r="B1465"/>
    </row>
    <row r="1466" spans="2:2">
      <c r="B1466"/>
    </row>
    <row r="1467" spans="2:2">
      <c r="B1467"/>
    </row>
    <row r="1468" spans="2:2">
      <c r="B1468"/>
    </row>
    <row r="1469" spans="2:2">
      <c r="B1469"/>
    </row>
    <row r="1470" spans="2:2">
      <c r="B1470"/>
    </row>
    <row r="1471" spans="2:2">
      <c r="B1471"/>
    </row>
    <row r="1472" spans="2:2">
      <c r="B1472"/>
    </row>
    <row r="1473" spans="2:2">
      <c r="B1473"/>
    </row>
    <row r="1474" spans="2:2">
      <c r="B1474"/>
    </row>
    <row r="1475" spans="2:2">
      <c r="B1475"/>
    </row>
    <row r="1476" spans="2:2">
      <c r="B1476"/>
    </row>
    <row r="1477" spans="2:2">
      <c r="B1477"/>
    </row>
    <row r="1478" spans="2:2">
      <c r="B1478"/>
    </row>
    <row r="1479" spans="2:2">
      <c r="B1479"/>
    </row>
    <row r="1480" spans="2:2">
      <c r="B1480"/>
    </row>
    <row r="1481" spans="2:2">
      <c r="B1481"/>
    </row>
    <row r="1482" spans="2:2">
      <c r="B1482"/>
    </row>
    <row r="1483" spans="2:2">
      <c r="B1483"/>
    </row>
    <row r="1484" spans="2:2">
      <c r="B1484"/>
    </row>
    <row r="1485" spans="2:2">
      <c r="B1485"/>
    </row>
    <row r="1486" spans="2:2">
      <c r="B1486"/>
    </row>
    <row r="1487" spans="2:2">
      <c r="B1487"/>
    </row>
    <row r="1488" spans="2:2">
      <c r="B1488"/>
    </row>
    <row r="1489" spans="2:2">
      <c r="B1489"/>
    </row>
    <row r="1490" spans="2:2">
      <c r="B1490"/>
    </row>
    <row r="1491" spans="2:2">
      <c r="B1491"/>
    </row>
    <row r="1492" spans="2:2">
      <c r="B1492"/>
    </row>
    <row r="1493" spans="2:2">
      <c r="B1493"/>
    </row>
    <row r="1494" spans="2:2">
      <c r="B1494"/>
    </row>
    <row r="1495" spans="2:2">
      <c r="B1495"/>
    </row>
    <row r="1496" spans="2:2">
      <c r="B1496"/>
    </row>
    <row r="1497" spans="2:2">
      <c r="B1497"/>
    </row>
    <row r="1498" spans="2:2">
      <c r="B1498"/>
    </row>
    <row r="1499" spans="2:2">
      <c r="B1499"/>
    </row>
    <row r="1500" spans="2:2">
      <c r="B1500"/>
    </row>
    <row r="1501" spans="2:2">
      <c r="B1501"/>
    </row>
    <row r="1502" spans="2:2">
      <c r="B1502"/>
    </row>
    <row r="1503" spans="2:2">
      <c r="B1503"/>
    </row>
    <row r="1504" spans="2:2">
      <c r="B1504"/>
    </row>
    <row r="1505" spans="2:2">
      <c r="B1505"/>
    </row>
    <row r="1506" spans="2:2">
      <c r="B1506"/>
    </row>
    <row r="1507" spans="2:2">
      <c r="B1507"/>
    </row>
    <row r="1508" spans="2:2">
      <c r="B1508"/>
    </row>
    <row r="1509" spans="2:2">
      <c r="B1509"/>
    </row>
    <row r="1510" spans="2:2">
      <c r="B1510"/>
    </row>
    <row r="1511" spans="2:2">
      <c r="B1511"/>
    </row>
    <row r="1512" spans="2:2">
      <c r="B1512"/>
    </row>
    <row r="1513" spans="2:2">
      <c r="B1513"/>
    </row>
    <row r="1514" spans="2:2">
      <c r="B1514"/>
    </row>
    <row r="1515" spans="2:2">
      <c r="B1515"/>
    </row>
    <row r="1516" spans="2:2">
      <c r="B1516"/>
    </row>
    <row r="1517" spans="2:2">
      <c r="B1517"/>
    </row>
    <row r="1518" spans="2:2">
      <c r="B1518"/>
    </row>
    <row r="1519" spans="2:2">
      <c r="B1519"/>
    </row>
    <row r="1520" spans="2:2">
      <c r="B1520"/>
    </row>
    <row r="1521" spans="2:2">
      <c r="B1521"/>
    </row>
    <row r="1522" spans="2:2">
      <c r="B1522"/>
    </row>
    <row r="1523" spans="2:2">
      <c r="B1523"/>
    </row>
    <row r="1524" spans="2:2">
      <c r="B1524"/>
    </row>
    <row r="1525" spans="2:2">
      <c r="B1525"/>
    </row>
    <row r="1526" spans="2:2">
      <c r="B1526"/>
    </row>
    <row r="1527" spans="2:2">
      <c r="B1527"/>
    </row>
    <row r="1528" spans="2:2">
      <c r="B1528"/>
    </row>
    <row r="1529" spans="2:2">
      <c r="B1529"/>
    </row>
    <row r="1530" spans="2:2">
      <c r="B1530"/>
    </row>
    <row r="1531" spans="2:2">
      <c r="B1531"/>
    </row>
    <row r="1532" spans="2:2">
      <c r="B1532"/>
    </row>
    <row r="1533" spans="2:2">
      <c r="B1533"/>
    </row>
    <row r="1534" spans="2:2">
      <c r="B1534"/>
    </row>
    <row r="1535" spans="2:2">
      <c r="B1535"/>
    </row>
    <row r="1536" spans="2:2">
      <c r="B1536"/>
    </row>
    <row r="1537" spans="2:2">
      <c r="B1537"/>
    </row>
    <row r="1538" spans="2:2">
      <c r="B1538"/>
    </row>
    <row r="1539" spans="2:2">
      <c r="B1539"/>
    </row>
    <row r="1540" spans="2:2">
      <c r="B1540"/>
    </row>
    <row r="1541" spans="2:2">
      <c r="B1541"/>
    </row>
    <row r="1542" spans="2:2">
      <c r="B1542"/>
    </row>
    <row r="1543" spans="2:2">
      <c r="B1543"/>
    </row>
    <row r="1544" spans="2:2">
      <c r="B1544"/>
    </row>
    <row r="1545" spans="2:2">
      <c r="B1545"/>
    </row>
    <row r="1546" spans="2:2">
      <c r="B1546"/>
    </row>
    <row r="1547" spans="2:2">
      <c r="B1547"/>
    </row>
    <row r="1548" spans="2:2">
      <c r="B1548"/>
    </row>
    <row r="1549" spans="2:2">
      <c r="B1549"/>
    </row>
    <row r="1550" spans="2:2">
      <c r="B1550"/>
    </row>
    <row r="1551" spans="2:2">
      <c r="B1551"/>
    </row>
    <row r="1552" spans="2:2">
      <c r="B1552"/>
    </row>
    <row r="1553" spans="2:2">
      <c r="B1553"/>
    </row>
    <row r="1554" spans="2:2">
      <c r="B1554"/>
    </row>
    <row r="1555" spans="2:2">
      <c r="B1555"/>
    </row>
    <row r="1556" spans="2:2">
      <c r="B1556"/>
    </row>
    <row r="1557" spans="2:2">
      <c r="B1557"/>
    </row>
    <row r="1558" spans="2:2">
      <c r="B1558"/>
    </row>
    <row r="1559" spans="2:2">
      <c r="B1559"/>
    </row>
    <row r="1560" spans="2:2">
      <c r="B1560"/>
    </row>
    <row r="1561" spans="2:2">
      <c r="B1561"/>
    </row>
    <row r="1562" spans="2:2">
      <c r="B1562"/>
    </row>
    <row r="1563" spans="2:2">
      <c r="B1563"/>
    </row>
    <row r="1564" spans="2:2">
      <c r="B1564"/>
    </row>
    <row r="1565" spans="2:2">
      <c r="B1565"/>
    </row>
    <row r="1566" spans="2:2">
      <c r="B1566"/>
    </row>
    <row r="1567" spans="2:2">
      <c r="B1567"/>
    </row>
    <row r="1568" spans="2:2">
      <c r="B1568"/>
    </row>
    <row r="1569" spans="2:2">
      <c r="B1569"/>
    </row>
    <row r="1570" spans="2:2">
      <c r="B1570"/>
    </row>
    <row r="1571" spans="2:2">
      <c r="B1571"/>
    </row>
    <row r="1572" spans="2:2">
      <c r="B1572"/>
    </row>
    <row r="1573" spans="2:2">
      <c r="B1573"/>
    </row>
    <row r="1574" spans="2:2">
      <c r="B1574"/>
    </row>
    <row r="1575" spans="2:2">
      <c r="B1575"/>
    </row>
    <row r="1576" spans="2:2">
      <c r="B1576"/>
    </row>
    <row r="1577" spans="2:2">
      <c r="B1577"/>
    </row>
    <row r="1578" spans="2:2">
      <c r="B1578"/>
    </row>
    <row r="1579" spans="2:2">
      <c r="B1579"/>
    </row>
    <row r="1580" spans="2:2">
      <c r="B1580"/>
    </row>
    <row r="1581" spans="2:2">
      <c r="B1581"/>
    </row>
    <row r="1582" spans="2:2">
      <c r="B1582"/>
    </row>
    <row r="1583" spans="2:2">
      <c r="B1583"/>
    </row>
    <row r="1584" spans="2:2">
      <c r="B1584"/>
    </row>
    <row r="1585" spans="2:2">
      <c r="B1585"/>
    </row>
    <row r="1586" spans="2:2">
      <c r="B1586"/>
    </row>
    <row r="1587" spans="2:2">
      <c r="B1587"/>
    </row>
    <row r="1588" spans="2:2">
      <c r="B1588"/>
    </row>
    <row r="1589" spans="2:2">
      <c r="B1589"/>
    </row>
    <row r="1590" spans="2:2">
      <c r="B1590"/>
    </row>
    <row r="1591" spans="2:2">
      <c r="B1591"/>
    </row>
    <row r="1592" spans="2:2">
      <c r="B1592"/>
    </row>
    <row r="1593" spans="2:2">
      <c r="B1593"/>
    </row>
    <row r="1594" spans="2:2">
      <c r="B1594"/>
    </row>
    <row r="1595" spans="2:2">
      <c r="B1595"/>
    </row>
    <row r="1596" spans="2:2">
      <c r="B1596"/>
    </row>
    <row r="1597" spans="2:2">
      <c r="B1597"/>
    </row>
    <row r="1598" spans="2:2">
      <c r="B1598"/>
    </row>
    <row r="1599" spans="2:2">
      <c r="B1599"/>
    </row>
    <row r="1600" spans="2:2">
      <c r="B1600"/>
    </row>
    <row r="1601" spans="2:2">
      <c r="B1601"/>
    </row>
    <row r="1602" spans="2:2">
      <c r="B1602"/>
    </row>
    <row r="1603" spans="2:2">
      <c r="B1603"/>
    </row>
    <row r="1604" spans="2:2">
      <c r="B1604"/>
    </row>
    <row r="1605" spans="2:2">
      <c r="B1605"/>
    </row>
    <row r="1606" spans="2:2">
      <c r="B1606"/>
    </row>
    <row r="1607" spans="2:2">
      <c r="B1607"/>
    </row>
    <row r="1608" spans="2:2">
      <c r="B1608"/>
    </row>
    <row r="1609" spans="2:2">
      <c r="B1609"/>
    </row>
    <row r="1610" spans="2:2">
      <c r="B1610"/>
    </row>
    <row r="1611" spans="2:2">
      <c r="B1611"/>
    </row>
    <row r="1612" spans="2:2">
      <c r="B1612"/>
    </row>
    <row r="1613" spans="2:2">
      <c r="B1613"/>
    </row>
    <row r="1614" spans="2:2">
      <c r="B1614"/>
    </row>
    <row r="1615" spans="2:2">
      <c r="B1615"/>
    </row>
    <row r="1616" spans="2:2">
      <c r="B1616"/>
    </row>
    <row r="1617" spans="2:2">
      <c r="B1617"/>
    </row>
    <row r="1618" spans="2:2">
      <c r="B1618"/>
    </row>
    <row r="1619" spans="2:2">
      <c r="B1619"/>
    </row>
    <row r="1620" spans="2:2">
      <c r="B1620"/>
    </row>
    <row r="1621" spans="2:2">
      <c r="B1621"/>
    </row>
    <row r="1622" spans="2:2">
      <c r="B1622"/>
    </row>
    <row r="1623" spans="2:2">
      <c r="B1623"/>
    </row>
    <row r="1624" spans="2:2">
      <c r="B1624"/>
    </row>
    <row r="1625" spans="2:2">
      <c r="B1625"/>
    </row>
    <row r="1626" spans="2:2">
      <c r="B1626"/>
    </row>
    <row r="1627" spans="2:2">
      <c r="B1627"/>
    </row>
    <row r="1628" spans="2:2">
      <c r="B1628"/>
    </row>
    <row r="1629" spans="2:2">
      <c r="B1629"/>
    </row>
    <row r="1630" spans="2:2">
      <c r="B1630"/>
    </row>
    <row r="1631" spans="2:2">
      <c r="B1631"/>
    </row>
    <row r="1632" spans="2:2">
      <c r="B1632"/>
    </row>
    <row r="1633" spans="2:2">
      <c r="B1633"/>
    </row>
    <row r="1634" spans="2:2">
      <c r="B1634"/>
    </row>
    <row r="1635" spans="2:2">
      <c r="B1635"/>
    </row>
    <row r="1636" spans="2:2">
      <c r="B1636"/>
    </row>
    <row r="1637" spans="2:2">
      <c r="B1637"/>
    </row>
    <row r="1638" spans="2:2">
      <c r="B1638"/>
    </row>
    <row r="1639" spans="2:2">
      <c r="B1639"/>
    </row>
    <row r="1640" spans="2:2">
      <c r="B1640"/>
    </row>
    <row r="1641" spans="2:2">
      <c r="B1641"/>
    </row>
    <row r="1642" spans="2:2">
      <c r="B1642"/>
    </row>
    <row r="1643" spans="2:2">
      <c r="B1643"/>
    </row>
    <row r="1644" spans="2:2">
      <c r="B1644"/>
    </row>
    <row r="1645" spans="2:2">
      <c r="B1645"/>
    </row>
    <row r="1646" spans="2:2">
      <c r="B1646"/>
    </row>
    <row r="1647" spans="2:2">
      <c r="B1647"/>
    </row>
    <row r="1648" spans="2:2">
      <c r="B1648"/>
    </row>
    <row r="1649" spans="2:2">
      <c r="B1649"/>
    </row>
    <row r="1650" spans="2:2">
      <c r="B1650"/>
    </row>
    <row r="1651" spans="2:2">
      <c r="B1651"/>
    </row>
    <row r="1652" spans="2:2">
      <c r="B1652"/>
    </row>
    <row r="1653" spans="2:2">
      <c r="B1653"/>
    </row>
    <row r="1654" spans="2:2">
      <c r="B1654"/>
    </row>
    <row r="1655" spans="2:2">
      <c r="B1655"/>
    </row>
    <row r="1656" spans="2:2">
      <c r="B1656"/>
    </row>
    <row r="1657" spans="2:2">
      <c r="B1657"/>
    </row>
    <row r="1658" spans="2:2">
      <c r="B1658"/>
    </row>
    <row r="1659" spans="2:2">
      <c r="B1659"/>
    </row>
    <row r="1660" spans="2:2">
      <c r="B1660"/>
    </row>
    <row r="1661" spans="2:2">
      <c r="B1661"/>
    </row>
    <row r="1662" spans="2:2">
      <c r="B1662"/>
    </row>
    <row r="1663" spans="2:2">
      <c r="B1663"/>
    </row>
    <row r="1664" spans="2:2">
      <c r="B1664"/>
    </row>
    <row r="1665" spans="2:2">
      <c r="B1665"/>
    </row>
    <row r="1666" spans="2:2">
      <c r="B1666"/>
    </row>
    <row r="1667" spans="2:2">
      <c r="B1667"/>
    </row>
    <row r="1668" spans="2:2">
      <c r="B1668"/>
    </row>
    <row r="1669" spans="2:2">
      <c r="B1669"/>
    </row>
    <row r="1670" spans="2:2">
      <c r="B1670"/>
    </row>
    <row r="1671" spans="2:2">
      <c r="B1671"/>
    </row>
    <row r="1672" spans="2:2">
      <c r="B1672"/>
    </row>
    <row r="1673" spans="2:2">
      <c r="B1673"/>
    </row>
    <row r="1674" spans="2:2">
      <c r="B167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5B86-94C3-44F6-B1EA-2FE9BC5E6527}">
  <dimension ref="A1:D2036"/>
  <sheetViews>
    <sheetView workbookViewId="0">
      <selection activeCell="B16" sqref="B16"/>
    </sheetView>
  </sheetViews>
  <sheetFormatPr defaultColWidth="9.140625" defaultRowHeight="15"/>
  <cols>
    <col min="1" max="1" width="91.5703125" style="23" bestFit="1" customWidth="1"/>
    <col min="2" max="2" width="22.7109375" style="20" bestFit="1" customWidth="1"/>
    <col min="3" max="3" width="19.85546875" bestFit="1" customWidth="1"/>
    <col min="4" max="4" width="16.85546875" bestFit="1" customWidth="1"/>
  </cols>
  <sheetData>
    <row r="1" spans="1:4">
      <c r="A1" s="22" t="s">
        <v>3</v>
      </c>
      <c r="B1" s="20" t="s">
        <v>7523</v>
      </c>
    </row>
    <row r="3" spans="1:4">
      <c r="A3" s="22" t="s">
        <v>19</v>
      </c>
      <c r="B3" s="21" t="s">
        <v>11</v>
      </c>
      <c r="C3" t="s">
        <v>7866</v>
      </c>
      <c r="D3" t="s">
        <v>7525</v>
      </c>
    </row>
    <row r="4" spans="1:4">
      <c r="A4" s="23" t="s">
        <v>3867</v>
      </c>
      <c r="B4" t="s">
        <v>3864</v>
      </c>
      <c r="C4">
        <v>1</v>
      </c>
      <c r="D4" s="19">
        <v>4606687.54</v>
      </c>
    </row>
    <row r="5" spans="1:4">
      <c r="A5" s="23" t="s">
        <v>7867</v>
      </c>
      <c r="B5" s="23"/>
      <c r="C5">
        <v>1</v>
      </c>
      <c r="D5" s="19">
        <v>4606687.54</v>
      </c>
    </row>
    <row r="6" spans="1:4">
      <c r="A6" t="s">
        <v>5693</v>
      </c>
      <c r="B6" t="s">
        <v>7390</v>
      </c>
      <c r="C6">
        <v>1</v>
      </c>
      <c r="D6" s="19">
        <v>9473114</v>
      </c>
    </row>
    <row r="7" spans="1:4">
      <c r="A7"/>
      <c r="B7" t="s">
        <v>7393</v>
      </c>
      <c r="C7">
        <v>1</v>
      </c>
      <c r="D7" s="19">
        <v>10370969</v>
      </c>
    </row>
    <row r="8" spans="1:4">
      <c r="A8" s="20" t="s">
        <v>7738</v>
      </c>
      <c r="C8">
        <v>2</v>
      </c>
      <c r="D8" s="19">
        <v>19844083</v>
      </c>
    </row>
    <row r="9" spans="1:4">
      <c r="A9" s="23" t="s">
        <v>3093</v>
      </c>
      <c r="B9" t="s">
        <v>3090</v>
      </c>
      <c r="C9">
        <v>1</v>
      </c>
      <c r="D9" s="19">
        <v>222789.42</v>
      </c>
    </row>
    <row r="10" spans="1:4">
      <c r="B10" t="s">
        <v>4966</v>
      </c>
      <c r="C10">
        <v>1</v>
      </c>
      <c r="D10" s="19">
        <v>5116703.67</v>
      </c>
    </row>
    <row r="11" spans="1:4">
      <c r="B11" t="s">
        <v>6090</v>
      </c>
      <c r="C11">
        <v>1</v>
      </c>
      <c r="D11" s="19">
        <v>916050.11</v>
      </c>
    </row>
    <row r="12" spans="1:4">
      <c r="A12" s="23" t="s">
        <v>7868</v>
      </c>
      <c r="B12" s="23"/>
      <c r="C12">
        <v>3</v>
      </c>
      <c r="D12" s="19">
        <v>6255543.2000000002</v>
      </c>
    </row>
    <row r="13" spans="1:4">
      <c r="A13" s="23" t="s">
        <v>1809</v>
      </c>
      <c r="B13" t="s">
        <v>1806</v>
      </c>
      <c r="C13">
        <v>1</v>
      </c>
      <c r="D13" s="19">
        <v>483140</v>
      </c>
    </row>
    <row r="14" spans="1:4">
      <c r="B14" t="s">
        <v>4750</v>
      </c>
      <c r="C14">
        <v>1</v>
      </c>
      <c r="D14" s="19">
        <v>345100</v>
      </c>
    </row>
    <row r="15" spans="1:4">
      <c r="B15" t="s">
        <v>4753</v>
      </c>
      <c r="C15">
        <v>1</v>
      </c>
      <c r="D15" s="19">
        <v>2520420</v>
      </c>
    </row>
    <row r="16" spans="1:4">
      <c r="B16" t="s">
        <v>5126</v>
      </c>
      <c r="C16">
        <v>1</v>
      </c>
      <c r="D16" s="19">
        <v>357000</v>
      </c>
    </row>
    <row r="17" spans="1:4">
      <c r="B17" t="s">
        <v>5729</v>
      </c>
      <c r="C17">
        <v>1</v>
      </c>
      <c r="D17" s="19">
        <v>454580</v>
      </c>
    </row>
    <row r="18" spans="1:4">
      <c r="B18" t="s">
        <v>6177</v>
      </c>
      <c r="C18">
        <v>1</v>
      </c>
      <c r="D18" s="19">
        <v>85680</v>
      </c>
    </row>
    <row r="19" spans="1:4">
      <c r="B19" t="s">
        <v>7302</v>
      </c>
      <c r="C19">
        <v>1</v>
      </c>
      <c r="D19" s="19">
        <v>724710</v>
      </c>
    </row>
    <row r="20" spans="1:4">
      <c r="B20" t="s">
        <v>7305</v>
      </c>
      <c r="C20">
        <v>1</v>
      </c>
      <c r="D20" s="19">
        <v>454580</v>
      </c>
    </row>
    <row r="21" spans="1:4">
      <c r="A21" s="23" t="s">
        <v>7869</v>
      </c>
      <c r="B21" s="23"/>
      <c r="C21">
        <v>8</v>
      </c>
      <c r="D21" s="19">
        <v>5425210</v>
      </c>
    </row>
    <row r="22" spans="1:4">
      <c r="A22" s="23" t="s">
        <v>5735</v>
      </c>
      <c r="B22" t="s">
        <v>5732</v>
      </c>
      <c r="C22">
        <v>1</v>
      </c>
      <c r="D22" s="19">
        <v>928200</v>
      </c>
    </row>
    <row r="23" spans="1:4">
      <c r="A23" s="23" t="s">
        <v>7870</v>
      </c>
      <c r="B23" s="23"/>
      <c r="C23">
        <v>1</v>
      </c>
      <c r="D23" s="19">
        <v>928200</v>
      </c>
    </row>
    <row r="24" spans="1:4">
      <c r="A24" s="23" t="s">
        <v>4254</v>
      </c>
      <c r="B24" t="s">
        <v>5737</v>
      </c>
      <c r="C24">
        <v>1</v>
      </c>
      <c r="D24" s="19">
        <v>3088050</v>
      </c>
    </row>
    <row r="25" spans="1:4">
      <c r="A25" s="23" t="s">
        <v>7739</v>
      </c>
      <c r="B25" s="23"/>
      <c r="C25">
        <v>1</v>
      </c>
      <c r="D25" s="19">
        <v>3088050</v>
      </c>
    </row>
    <row r="26" spans="1:4">
      <c r="A26" t="s">
        <v>4698</v>
      </c>
      <c r="B26" t="s">
        <v>4695</v>
      </c>
      <c r="C26">
        <v>1</v>
      </c>
      <c r="D26" s="19">
        <v>1563660</v>
      </c>
    </row>
    <row r="27" spans="1:4">
      <c r="A27" s="20" t="s">
        <v>7871</v>
      </c>
      <c r="C27">
        <v>1</v>
      </c>
      <c r="D27" s="19">
        <v>1563660</v>
      </c>
    </row>
    <row r="28" spans="1:4">
      <c r="A28" s="23" t="s">
        <v>3056</v>
      </c>
      <c r="B28" t="s">
        <v>3053</v>
      </c>
      <c r="C28">
        <v>1</v>
      </c>
      <c r="D28" s="19">
        <v>838305.06</v>
      </c>
    </row>
    <row r="29" spans="1:4">
      <c r="A29" s="23" t="s">
        <v>7872</v>
      </c>
      <c r="B29" s="23"/>
      <c r="C29">
        <v>1</v>
      </c>
      <c r="D29" s="19">
        <v>838305.06</v>
      </c>
    </row>
    <row r="30" spans="1:4">
      <c r="A30" s="23" t="s">
        <v>472</v>
      </c>
      <c r="B30" t="s">
        <v>469</v>
      </c>
      <c r="C30">
        <v>1</v>
      </c>
      <c r="D30" s="19">
        <v>709047.93</v>
      </c>
    </row>
    <row r="31" spans="1:4">
      <c r="B31" t="s">
        <v>474</v>
      </c>
      <c r="C31">
        <v>1</v>
      </c>
      <c r="D31" s="19">
        <v>2903659.5</v>
      </c>
    </row>
    <row r="32" spans="1:4">
      <c r="B32" t="s">
        <v>477</v>
      </c>
      <c r="C32">
        <v>1</v>
      </c>
      <c r="D32" s="19">
        <v>1294922.3</v>
      </c>
    </row>
    <row r="33" spans="2:4">
      <c r="B33" t="s">
        <v>480</v>
      </c>
      <c r="C33">
        <v>1</v>
      </c>
      <c r="D33" s="19">
        <v>75105.66</v>
      </c>
    </row>
    <row r="34" spans="2:4">
      <c r="B34" t="s">
        <v>483</v>
      </c>
      <c r="C34">
        <v>1</v>
      </c>
      <c r="D34" s="19">
        <v>364454.16</v>
      </c>
    </row>
    <row r="35" spans="2:4">
      <c r="B35" t="s">
        <v>486</v>
      </c>
      <c r="C35">
        <v>1</v>
      </c>
      <c r="D35" s="19">
        <v>1142084.6499999999</v>
      </c>
    </row>
    <row r="36" spans="2:4">
      <c r="B36" t="s">
        <v>489</v>
      </c>
      <c r="C36">
        <v>1</v>
      </c>
      <c r="D36" s="19">
        <v>416500</v>
      </c>
    </row>
    <row r="37" spans="2:4">
      <c r="B37" t="s">
        <v>1562</v>
      </c>
      <c r="C37">
        <v>1</v>
      </c>
      <c r="D37" s="19">
        <v>221970.7</v>
      </c>
    </row>
    <row r="38" spans="2:4">
      <c r="B38" t="s">
        <v>1565</v>
      </c>
      <c r="C38">
        <v>1</v>
      </c>
      <c r="D38" s="19">
        <v>63303.24</v>
      </c>
    </row>
    <row r="39" spans="2:4">
      <c r="B39" t="s">
        <v>1568</v>
      </c>
      <c r="C39">
        <v>1</v>
      </c>
      <c r="D39" s="19">
        <v>260221.83</v>
      </c>
    </row>
    <row r="40" spans="2:4">
      <c r="B40" t="s">
        <v>2169</v>
      </c>
      <c r="C40">
        <v>1</v>
      </c>
      <c r="D40" s="19">
        <v>114488.8</v>
      </c>
    </row>
    <row r="41" spans="2:4">
      <c r="B41" t="s">
        <v>2441</v>
      </c>
      <c r="C41">
        <v>1</v>
      </c>
      <c r="D41" s="19">
        <v>499260.93</v>
      </c>
    </row>
    <row r="42" spans="2:4">
      <c r="B42" t="s">
        <v>3358</v>
      </c>
      <c r="C42">
        <v>1</v>
      </c>
      <c r="D42" s="19">
        <v>2784124</v>
      </c>
    </row>
    <row r="43" spans="2:4">
      <c r="B43" t="s">
        <v>3597</v>
      </c>
      <c r="C43">
        <v>1</v>
      </c>
      <c r="D43" s="19">
        <v>2275769.09</v>
      </c>
    </row>
    <row r="44" spans="2:4">
      <c r="B44" t="s">
        <v>3600</v>
      </c>
      <c r="C44">
        <v>1</v>
      </c>
      <c r="D44" s="19">
        <v>2420437.71</v>
      </c>
    </row>
    <row r="45" spans="2:4">
      <c r="B45" t="s">
        <v>3661</v>
      </c>
      <c r="C45">
        <v>1</v>
      </c>
      <c r="D45" s="19">
        <v>76841.87</v>
      </c>
    </row>
    <row r="46" spans="2:4">
      <c r="B46" t="s">
        <v>4094</v>
      </c>
      <c r="C46">
        <v>1</v>
      </c>
      <c r="D46" s="19">
        <v>2665600</v>
      </c>
    </row>
    <row r="47" spans="2:4">
      <c r="B47" t="s">
        <v>4097</v>
      </c>
      <c r="C47">
        <v>1</v>
      </c>
      <c r="D47" s="19">
        <v>446250</v>
      </c>
    </row>
    <row r="48" spans="2:4">
      <c r="B48" t="s">
        <v>4100</v>
      </c>
      <c r="C48">
        <v>1</v>
      </c>
      <c r="D48" s="19">
        <v>2656080</v>
      </c>
    </row>
    <row r="49" spans="1:4">
      <c r="B49" t="s">
        <v>4559</v>
      </c>
      <c r="C49">
        <v>1</v>
      </c>
      <c r="D49" s="19">
        <v>449421.95</v>
      </c>
    </row>
    <row r="50" spans="1:4">
      <c r="B50" t="s">
        <v>4563</v>
      </c>
      <c r="C50">
        <v>1</v>
      </c>
      <c r="D50" s="19">
        <v>357752.08</v>
      </c>
    </row>
    <row r="51" spans="1:4">
      <c r="B51" t="s">
        <v>4683</v>
      </c>
      <c r="C51">
        <v>1</v>
      </c>
      <c r="D51" s="19">
        <v>26418000</v>
      </c>
    </row>
    <row r="52" spans="1:4">
      <c r="B52" t="s">
        <v>4738</v>
      </c>
      <c r="C52">
        <v>1</v>
      </c>
      <c r="D52" s="19">
        <v>145972.54</v>
      </c>
    </row>
    <row r="53" spans="1:4">
      <c r="B53" t="s">
        <v>4994</v>
      </c>
      <c r="C53">
        <v>1</v>
      </c>
      <c r="D53" s="19">
        <v>390448.52</v>
      </c>
    </row>
    <row r="54" spans="1:4">
      <c r="B54" t="s">
        <v>5297</v>
      </c>
      <c r="C54">
        <v>1</v>
      </c>
      <c r="D54" s="19">
        <v>1062366</v>
      </c>
    </row>
    <row r="55" spans="1:4">
      <c r="B55" t="s">
        <v>5433</v>
      </c>
      <c r="C55">
        <v>1</v>
      </c>
      <c r="D55" s="19">
        <v>2646763.4900000002</v>
      </c>
    </row>
    <row r="56" spans="1:4">
      <c r="B56" t="s">
        <v>5436</v>
      </c>
      <c r="C56">
        <v>1</v>
      </c>
      <c r="D56" s="19">
        <v>95069.1</v>
      </c>
    </row>
    <row r="57" spans="1:4">
      <c r="B57" t="s">
        <v>5439</v>
      </c>
      <c r="C57">
        <v>1</v>
      </c>
      <c r="D57" s="19">
        <v>1598406.81</v>
      </c>
    </row>
    <row r="58" spans="1:4">
      <c r="A58" s="23" t="s">
        <v>7530</v>
      </c>
      <c r="B58" s="23"/>
      <c r="C58">
        <v>28</v>
      </c>
      <c r="D58" s="19">
        <v>54554322.859999999</v>
      </c>
    </row>
    <row r="59" spans="1:4">
      <c r="A59" s="23" t="s">
        <v>4166</v>
      </c>
      <c r="B59" t="s">
        <v>4163</v>
      </c>
      <c r="C59">
        <v>1</v>
      </c>
      <c r="D59" s="19">
        <v>1428000</v>
      </c>
    </row>
    <row r="60" spans="1:4">
      <c r="B60" t="s">
        <v>6726</v>
      </c>
      <c r="C60">
        <v>1</v>
      </c>
      <c r="D60" s="19">
        <v>19800</v>
      </c>
    </row>
    <row r="61" spans="1:4">
      <c r="A61" s="23" t="s">
        <v>7873</v>
      </c>
      <c r="B61" s="23"/>
      <c r="C61">
        <v>2</v>
      </c>
      <c r="D61" s="19">
        <v>1447800</v>
      </c>
    </row>
    <row r="62" spans="1:4">
      <c r="A62" s="23" t="s">
        <v>6390</v>
      </c>
      <c r="B62" t="s">
        <v>6387</v>
      </c>
      <c r="C62">
        <v>1</v>
      </c>
      <c r="D62" s="19">
        <v>1420000</v>
      </c>
    </row>
    <row r="63" spans="1:4">
      <c r="B63" t="s">
        <v>6392</v>
      </c>
      <c r="C63">
        <v>1</v>
      </c>
      <c r="D63" s="19">
        <v>606900</v>
      </c>
    </row>
    <row r="64" spans="1:4">
      <c r="A64" s="23" t="s">
        <v>7874</v>
      </c>
      <c r="B64" s="23"/>
      <c r="C64">
        <v>2</v>
      </c>
      <c r="D64" s="19">
        <v>2026900</v>
      </c>
    </row>
    <row r="65" spans="1:4">
      <c r="A65" s="23" t="s">
        <v>4176</v>
      </c>
      <c r="B65" t="s">
        <v>4173</v>
      </c>
      <c r="C65">
        <v>1</v>
      </c>
      <c r="D65" s="19">
        <v>1071000</v>
      </c>
    </row>
    <row r="66" spans="1:4">
      <c r="A66" s="23" t="s">
        <v>7875</v>
      </c>
      <c r="B66" s="23"/>
      <c r="C66">
        <v>1</v>
      </c>
      <c r="D66" s="19">
        <v>1071000</v>
      </c>
    </row>
    <row r="67" spans="1:4">
      <c r="A67" s="23" t="s">
        <v>3321</v>
      </c>
      <c r="B67" t="s">
        <v>3318</v>
      </c>
      <c r="C67">
        <v>1</v>
      </c>
      <c r="D67" s="19">
        <v>142800</v>
      </c>
    </row>
    <row r="68" spans="1:4">
      <c r="B68" t="s">
        <v>3326</v>
      </c>
      <c r="C68">
        <v>1</v>
      </c>
      <c r="D68" s="19">
        <v>965000</v>
      </c>
    </row>
    <row r="69" spans="1:4">
      <c r="B69" t="s">
        <v>5858</v>
      </c>
      <c r="C69">
        <v>1</v>
      </c>
      <c r="D69" s="19">
        <v>517650</v>
      </c>
    </row>
    <row r="70" spans="1:4">
      <c r="A70" s="23" t="s">
        <v>7742</v>
      </c>
      <c r="B70" s="23"/>
      <c r="C70">
        <v>3</v>
      </c>
      <c r="D70" s="19">
        <v>1625450</v>
      </c>
    </row>
    <row r="71" spans="1:4">
      <c r="A71" s="23" t="s">
        <v>7258</v>
      </c>
      <c r="B71" t="s">
        <v>7255</v>
      </c>
      <c r="C71">
        <v>1</v>
      </c>
      <c r="D71" s="19">
        <v>41644335.600000001</v>
      </c>
    </row>
    <row r="72" spans="1:4">
      <c r="A72" s="23" t="s">
        <v>7876</v>
      </c>
      <c r="B72" s="23"/>
      <c r="C72">
        <v>1</v>
      </c>
      <c r="D72" s="19">
        <v>41644335.600000001</v>
      </c>
    </row>
    <row r="73" spans="1:4">
      <c r="A73" s="23" t="s">
        <v>6385</v>
      </c>
      <c r="B73" t="s">
        <v>6382</v>
      </c>
      <c r="C73">
        <v>1</v>
      </c>
      <c r="D73" s="19">
        <v>208607</v>
      </c>
    </row>
    <row r="74" spans="1:4">
      <c r="B74" t="s">
        <v>6412</v>
      </c>
      <c r="C74">
        <v>1</v>
      </c>
      <c r="D74" s="19">
        <v>356006.14</v>
      </c>
    </row>
    <row r="75" spans="1:4">
      <c r="A75" s="23" t="s">
        <v>7877</v>
      </c>
      <c r="B75" s="23"/>
      <c r="C75">
        <v>2</v>
      </c>
      <c r="D75" s="19">
        <v>564613.14</v>
      </c>
    </row>
    <row r="76" spans="1:4">
      <c r="A76" s="23" t="s">
        <v>3238</v>
      </c>
      <c r="B76" t="s">
        <v>3235</v>
      </c>
      <c r="C76">
        <v>1</v>
      </c>
      <c r="D76" s="19">
        <v>8068200</v>
      </c>
    </row>
    <row r="77" spans="1:4">
      <c r="A77" s="23" t="s">
        <v>7878</v>
      </c>
      <c r="B77" s="23"/>
      <c r="C77">
        <v>1</v>
      </c>
      <c r="D77" s="19">
        <v>8068200</v>
      </c>
    </row>
    <row r="78" spans="1:4">
      <c r="A78" s="23" t="s">
        <v>4045</v>
      </c>
      <c r="B78" t="s">
        <v>4042</v>
      </c>
      <c r="C78">
        <v>1</v>
      </c>
      <c r="D78" s="19">
        <v>396714.08</v>
      </c>
    </row>
    <row r="79" spans="1:4">
      <c r="B79" t="s">
        <v>5670</v>
      </c>
      <c r="C79">
        <v>1</v>
      </c>
      <c r="D79" s="19">
        <v>183557.5</v>
      </c>
    </row>
    <row r="80" spans="1:4">
      <c r="B80" t="s">
        <v>6307</v>
      </c>
      <c r="C80">
        <v>1</v>
      </c>
      <c r="D80" s="19">
        <v>507948.98</v>
      </c>
    </row>
    <row r="81" spans="1:4">
      <c r="B81" t="s">
        <v>6310</v>
      </c>
      <c r="C81">
        <v>1</v>
      </c>
      <c r="D81" s="19">
        <v>577152.6</v>
      </c>
    </row>
    <row r="82" spans="1:4">
      <c r="B82" t="s">
        <v>7482</v>
      </c>
      <c r="C82">
        <v>1</v>
      </c>
      <c r="D82" s="19">
        <v>806838.22</v>
      </c>
    </row>
    <row r="83" spans="1:4">
      <c r="A83" s="23" t="s">
        <v>7879</v>
      </c>
      <c r="B83" s="23"/>
      <c r="C83">
        <v>5</v>
      </c>
      <c r="D83" s="19">
        <v>2472211.38</v>
      </c>
    </row>
    <row r="84" spans="1:4">
      <c r="A84" s="23" t="s">
        <v>2248</v>
      </c>
      <c r="B84" t="s">
        <v>2245</v>
      </c>
      <c r="C84">
        <v>1</v>
      </c>
      <c r="D84" s="19">
        <v>653310</v>
      </c>
    </row>
    <row r="85" spans="1:4">
      <c r="B85" t="s">
        <v>2979</v>
      </c>
      <c r="C85">
        <v>1</v>
      </c>
      <c r="D85" s="19">
        <v>4452980</v>
      </c>
    </row>
    <row r="86" spans="1:4">
      <c r="A86" s="23" t="s">
        <v>7880</v>
      </c>
      <c r="B86" s="23"/>
      <c r="C86">
        <v>2</v>
      </c>
      <c r="D86" s="19">
        <v>5106290</v>
      </c>
    </row>
    <row r="87" spans="1:4">
      <c r="A87" s="23" t="s">
        <v>1135</v>
      </c>
      <c r="B87" t="s">
        <v>7062</v>
      </c>
      <c r="C87">
        <v>1</v>
      </c>
      <c r="D87" s="19">
        <v>13685000</v>
      </c>
    </row>
    <row r="88" spans="1:4">
      <c r="A88" s="23" t="s">
        <v>7745</v>
      </c>
      <c r="B88" s="23"/>
      <c r="C88">
        <v>1</v>
      </c>
      <c r="D88" s="19">
        <v>13685000</v>
      </c>
    </row>
    <row r="89" spans="1:4">
      <c r="A89" s="23" t="s">
        <v>2039</v>
      </c>
      <c r="B89" t="s">
        <v>2036</v>
      </c>
      <c r="C89">
        <v>1</v>
      </c>
      <c r="D89" s="19">
        <v>3209430</v>
      </c>
    </row>
    <row r="90" spans="1:4">
      <c r="A90" s="23" t="s">
        <v>7881</v>
      </c>
      <c r="B90" s="23"/>
      <c r="C90">
        <v>1</v>
      </c>
      <c r="D90" s="19">
        <v>3209430</v>
      </c>
    </row>
    <row r="91" spans="1:4">
      <c r="A91" t="s">
        <v>3821</v>
      </c>
      <c r="B91" t="s">
        <v>3947</v>
      </c>
      <c r="C91">
        <v>1</v>
      </c>
      <c r="D91" s="19">
        <v>6182823.5</v>
      </c>
    </row>
    <row r="92" spans="1:4">
      <c r="A92" s="20" t="s">
        <v>7746</v>
      </c>
      <c r="C92">
        <v>1</v>
      </c>
      <c r="D92" s="19">
        <v>6182823.5</v>
      </c>
    </row>
    <row r="93" spans="1:4">
      <c r="A93" t="s">
        <v>612</v>
      </c>
      <c r="B93" t="s">
        <v>7202</v>
      </c>
      <c r="C93">
        <v>1</v>
      </c>
      <c r="D93" s="19">
        <v>1278655</v>
      </c>
    </row>
    <row r="94" spans="1:4">
      <c r="A94" s="20" t="s">
        <v>7747</v>
      </c>
      <c r="C94">
        <v>1</v>
      </c>
      <c r="D94" s="19">
        <v>1278655</v>
      </c>
    </row>
    <row r="95" spans="1:4">
      <c r="A95" s="23" t="s">
        <v>359</v>
      </c>
      <c r="B95" t="s">
        <v>362</v>
      </c>
      <c r="C95">
        <v>1</v>
      </c>
      <c r="D95" s="19">
        <v>2784600</v>
      </c>
    </row>
    <row r="96" spans="1:4">
      <c r="A96" s="23" t="s">
        <v>7882</v>
      </c>
      <c r="B96" s="23"/>
      <c r="C96">
        <v>1</v>
      </c>
      <c r="D96" s="19">
        <v>2784600</v>
      </c>
    </row>
    <row r="97" spans="1:4">
      <c r="A97" s="23" t="s">
        <v>574</v>
      </c>
      <c r="B97" t="s">
        <v>571</v>
      </c>
      <c r="C97">
        <v>1</v>
      </c>
      <c r="D97" s="19">
        <v>154700</v>
      </c>
    </row>
    <row r="98" spans="1:4">
      <c r="B98" t="s">
        <v>576</v>
      </c>
      <c r="C98">
        <v>1</v>
      </c>
      <c r="D98" s="19">
        <v>16921800</v>
      </c>
    </row>
    <row r="99" spans="1:4">
      <c r="A99" s="23" t="s">
        <v>7883</v>
      </c>
      <c r="B99" s="23"/>
      <c r="C99">
        <v>2</v>
      </c>
      <c r="D99" s="19">
        <v>17076500</v>
      </c>
    </row>
    <row r="100" spans="1:4">
      <c r="A100" t="s">
        <v>881</v>
      </c>
      <c r="B100" t="s">
        <v>6964</v>
      </c>
      <c r="C100">
        <v>1</v>
      </c>
      <c r="D100" s="19">
        <v>5355846.55</v>
      </c>
    </row>
    <row r="101" spans="1:4">
      <c r="A101" s="20" t="s">
        <v>7537</v>
      </c>
      <c r="C101">
        <v>1</v>
      </c>
      <c r="D101" s="19">
        <v>5355846.55</v>
      </c>
    </row>
    <row r="102" spans="1:4">
      <c r="A102" s="23" t="s">
        <v>4931</v>
      </c>
      <c r="B102" t="s">
        <v>6208</v>
      </c>
      <c r="C102">
        <v>1</v>
      </c>
      <c r="D102" s="19">
        <v>4878055.1399999997</v>
      </c>
    </row>
    <row r="103" spans="1:4">
      <c r="B103" t="s">
        <v>7020</v>
      </c>
      <c r="C103">
        <v>1</v>
      </c>
      <c r="D103" s="19">
        <v>717552.6</v>
      </c>
    </row>
    <row r="104" spans="1:4">
      <c r="A104" s="23" t="s">
        <v>7748</v>
      </c>
      <c r="B104" s="23"/>
      <c r="C104">
        <v>2</v>
      </c>
      <c r="D104" s="19">
        <v>5595607.7399999993</v>
      </c>
    </row>
    <row r="105" spans="1:4">
      <c r="A105" s="23" t="s">
        <v>6587</v>
      </c>
      <c r="B105" t="s">
        <v>6584</v>
      </c>
      <c r="C105">
        <v>1</v>
      </c>
      <c r="D105" s="19">
        <v>1683255</v>
      </c>
    </row>
    <row r="106" spans="1:4">
      <c r="A106" s="23" t="s">
        <v>7884</v>
      </c>
      <c r="B106" s="23"/>
      <c r="C106">
        <v>1</v>
      </c>
      <c r="D106" s="19">
        <v>1683255</v>
      </c>
    </row>
    <row r="107" spans="1:4">
      <c r="A107" s="23" t="s">
        <v>7429</v>
      </c>
      <c r="B107" t="s">
        <v>7426</v>
      </c>
      <c r="C107">
        <v>1</v>
      </c>
      <c r="D107" s="19">
        <v>4588360</v>
      </c>
    </row>
    <row r="108" spans="1:4">
      <c r="A108" s="23" t="s">
        <v>7885</v>
      </c>
      <c r="B108" s="23"/>
      <c r="C108">
        <v>1</v>
      </c>
      <c r="D108" s="19">
        <v>4588360</v>
      </c>
    </row>
    <row r="109" spans="1:4">
      <c r="A109" t="s">
        <v>622</v>
      </c>
      <c r="B109" t="s">
        <v>7366</v>
      </c>
      <c r="C109">
        <v>1</v>
      </c>
      <c r="D109" s="19">
        <v>2123674</v>
      </c>
    </row>
    <row r="110" spans="1:4">
      <c r="A110" s="20" t="s">
        <v>7539</v>
      </c>
      <c r="C110">
        <v>1</v>
      </c>
      <c r="D110" s="19">
        <v>2123674</v>
      </c>
    </row>
    <row r="111" spans="1:4">
      <c r="A111" s="23" t="s">
        <v>5485</v>
      </c>
      <c r="B111" t="s">
        <v>5482</v>
      </c>
      <c r="C111">
        <v>1</v>
      </c>
      <c r="D111" s="19">
        <v>4163203.1</v>
      </c>
    </row>
    <row r="112" spans="1:4">
      <c r="A112" s="23" t="s">
        <v>7886</v>
      </c>
      <c r="B112" s="23"/>
      <c r="C112">
        <v>1</v>
      </c>
      <c r="D112" s="19">
        <v>4163203.1</v>
      </c>
    </row>
    <row r="113" spans="1:4">
      <c r="A113" s="23" t="s">
        <v>2431</v>
      </c>
      <c r="B113" t="s">
        <v>2433</v>
      </c>
      <c r="C113">
        <v>1</v>
      </c>
      <c r="D113" s="19">
        <v>6677249.46</v>
      </c>
    </row>
    <row r="114" spans="1:4">
      <c r="A114" s="23" t="s">
        <v>7887</v>
      </c>
      <c r="B114" s="23"/>
      <c r="C114">
        <v>1</v>
      </c>
      <c r="D114" s="19">
        <v>6677249.46</v>
      </c>
    </row>
    <row r="115" spans="1:4">
      <c r="A115" t="s">
        <v>601</v>
      </c>
      <c r="B115" t="s">
        <v>6826</v>
      </c>
      <c r="C115">
        <v>1</v>
      </c>
      <c r="D115" s="19">
        <v>183855</v>
      </c>
    </row>
    <row r="116" spans="1:4">
      <c r="A116" s="20" t="s">
        <v>7751</v>
      </c>
      <c r="C116">
        <v>1</v>
      </c>
      <c r="D116" s="19">
        <v>183855</v>
      </c>
    </row>
    <row r="117" spans="1:4">
      <c r="A117" t="s">
        <v>7380</v>
      </c>
      <c r="B117" t="s">
        <v>7377</v>
      </c>
      <c r="C117">
        <v>1</v>
      </c>
      <c r="D117" s="19">
        <v>9244558</v>
      </c>
    </row>
    <row r="118" spans="1:4">
      <c r="A118"/>
      <c r="B118" t="s">
        <v>7387</v>
      </c>
      <c r="C118">
        <v>1</v>
      </c>
      <c r="D118" s="19">
        <v>9244558</v>
      </c>
    </row>
    <row r="119" spans="1:4">
      <c r="A119"/>
      <c r="B119" t="s">
        <v>7399</v>
      </c>
      <c r="C119">
        <v>1</v>
      </c>
      <c r="D119" s="19">
        <v>4622279</v>
      </c>
    </row>
    <row r="120" spans="1:4">
      <c r="A120" s="20" t="s">
        <v>7888</v>
      </c>
      <c r="C120">
        <v>3</v>
      </c>
      <c r="D120" s="19">
        <v>23111395</v>
      </c>
    </row>
    <row r="121" spans="1:4">
      <c r="A121" s="23" t="s">
        <v>5770</v>
      </c>
      <c r="B121" t="s">
        <v>5767</v>
      </c>
      <c r="C121">
        <v>1</v>
      </c>
      <c r="D121" s="19">
        <v>584647</v>
      </c>
    </row>
    <row r="122" spans="1:4">
      <c r="B122" t="s">
        <v>6747</v>
      </c>
      <c r="C122">
        <v>1</v>
      </c>
      <c r="D122" s="19">
        <v>2956678.18</v>
      </c>
    </row>
    <row r="123" spans="1:4">
      <c r="A123" s="23" t="s">
        <v>7889</v>
      </c>
      <c r="B123" s="23"/>
      <c r="C123">
        <v>2</v>
      </c>
      <c r="D123" s="19">
        <v>3541325.18</v>
      </c>
    </row>
    <row r="124" spans="1:4">
      <c r="A124" s="23" t="s">
        <v>7332</v>
      </c>
      <c r="B124" t="s">
        <v>7329</v>
      </c>
      <c r="C124">
        <v>1</v>
      </c>
      <c r="D124" s="19">
        <v>5046300</v>
      </c>
    </row>
    <row r="125" spans="1:4">
      <c r="A125" s="23" t="s">
        <v>7890</v>
      </c>
      <c r="B125" s="23"/>
      <c r="C125">
        <v>1</v>
      </c>
      <c r="D125" s="19">
        <v>5046300</v>
      </c>
    </row>
    <row r="126" spans="1:4">
      <c r="A126" t="s">
        <v>1243</v>
      </c>
      <c r="B126" t="s">
        <v>6219</v>
      </c>
      <c r="C126">
        <v>1</v>
      </c>
      <c r="D126" s="19">
        <v>49706.3</v>
      </c>
    </row>
    <row r="127" spans="1:4">
      <c r="A127"/>
      <c r="B127" t="s">
        <v>6222</v>
      </c>
      <c r="C127">
        <v>1</v>
      </c>
      <c r="D127" s="19">
        <v>198337.3</v>
      </c>
    </row>
    <row r="128" spans="1:4">
      <c r="A128" s="20" t="s">
        <v>7546</v>
      </c>
      <c r="C128">
        <v>2</v>
      </c>
      <c r="D128" s="19">
        <v>248043.59999999998</v>
      </c>
    </row>
    <row r="129" spans="1:4">
      <c r="A129" s="23" t="s">
        <v>7364</v>
      </c>
      <c r="B129" t="s">
        <v>7361</v>
      </c>
      <c r="C129">
        <v>1</v>
      </c>
      <c r="D129" s="19">
        <v>11728640</v>
      </c>
    </row>
    <row r="130" spans="1:4">
      <c r="A130" s="23" t="s">
        <v>7891</v>
      </c>
      <c r="B130" s="23"/>
      <c r="C130">
        <v>1</v>
      </c>
      <c r="D130" s="19">
        <v>11728640</v>
      </c>
    </row>
    <row r="131" spans="1:4">
      <c r="A131" t="s">
        <v>6758</v>
      </c>
      <c r="B131" t="s">
        <v>6755</v>
      </c>
      <c r="C131">
        <v>1</v>
      </c>
      <c r="D131" s="19">
        <v>107100</v>
      </c>
    </row>
    <row r="132" spans="1:4">
      <c r="A132" s="20" t="s">
        <v>7892</v>
      </c>
      <c r="C132">
        <v>1</v>
      </c>
      <c r="D132" s="19">
        <v>107100</v>
      </c>
    </row>
    <row r="133" spans="1:4">
      <c r="A133" s="23" t="s">
        <v>1611</v>
      </c>
      <c r="B133" t="s">
        <v>2130</v>
      </c>
      <c r="C133">
        <v>1</v>
      </c>
      <c r="D133" s="19">
        <v>136850</v>
      </c>
    </row>
    <row r="134" spans="1:4">
      <c r="B134" t="s">
        <v>6111</v>
      </c>
      <c r="C134">
        <v>1</v>
      </c>
      <c r="D134" s="19">
        <v>3967460</v>
      </c>
    </row>
    <row r="135" spans="1:4">
      <c r="B135" t="s">
        <v>6788</v>
      </c>
      <c r="C135">
        <v>1</v>
      </c>
      <c r="D135" s="19">
        <v>22990800</v>
      </c>
    </row>
    <row r="136" spans="1:4">
      <c r="A136" s="23" t="s">
        <v>7893</v>
      </c>
      <c r="B136" s="23"/>
      <c r="C136">
        <v>3</v>
      </c>
      <c r="D136" s="19">
        <v>27095110</v>
      </c>
    </row>
    <row r="137" spans="1:4">
      <c r="A137" s="23" t="s">
        <v>4471</v>
      </c>
      <c r="B137" t="s">
        <v>4468</v>
      </c>
      <c r="C137">
        <v>1</v>
      </c>
      <c r="D137" s="19">
        <v>639000</v>
      </c>
    </row>
    <row r="138" spans="1:4">
      <c r="A138" s="23" t="s">
        <v>7894</v>
      </c>
      <c r="B138" s="23"/>
      <c r="C138">
        <v>1</v>
      </c>
      <c r="D138" s="19">
        <v>639000</v>
      </c>
    </row>
    <row r="139" spans="1:4">
      <c r="A139" t="s">
        <v>3248</v>
      </c>
      <c r="B139" t="s">
        <v>3245</v>
      </c>
      <c r="C139">
        <v>1</v>
      </c>
      <c r="D139" s="19">
        <v>4231628.0999999996</v>
      </c>
    </row>
    <row r="140" spans="1:4">
      <c r="A140" s="20" t="s">
        <v>7895</v>
      </c>
      <c r="C140">
        <v>1</v>
      </c>
      <c r="D140" s="19">
        <v>4231628.0999999996</v>
      </c>
    </row>
    <row r="141" spans="1:4">
      <c r="A141" s="23" t="s">
        <v>1819</v>
      </c>
      <c r="B141" t="s">
        <v>1816</v>
      </c>
      <c r="C141">
        <v>1</v>
      </c>
      <c r="D141" s="19">
        <v>634046</v>
      </c>
    </row>
    <row r="142" spans="1:4">
      <c r="B142" t="s">
        <v>5466</v>
      </c>
      <c r="C142">
        <v>1</v>
      </c>
      <c r="D142" s="19">
        <v>1393490</v>
      </c>
    </row>
    <row r="143" spans="1:4">
      <c r="B143" t="s">
        <v>7182</v>
      </c>
      <c r="C143">
        <v>1</v>
      </c>
      <c r="D143" s="19">
        <v>318325</v>
      </c>
    </row>
    <row r="144" spans="1:4">
      <c r="B144" t="s">
        <v>7313</v>
      </c>
      <c r="C144">
        <v>1</v>
      </c>
      <c r="D144" s="19">
        <v>714000</v>
      </c>
    </row>
    <row r="145" spans="1:4">
      <c r="A145" s="23" t="s">
        <v>7896</v>
      </c>
      <c r="B145" s="23"/>
      <c r="C145">
        <v>4</v>
      </c>
      <c r="D145" s="19">
        <v>3059861</v>
      </c>
    </row>
    <row r="146" spans="1:4">
      <c r="A146" s="23" t="s">
        <v>2720</v>
      </c>
      <c r="B146" t="s">
        <v>5275</v>
      </c>
      <c r="C146">
        <v>1</v>
      </c>
      <c r="D146" s="19">
        <v>49087.5</v>
      </c>
    </row>
    <row r="147" spans="1:4">
      <c r="B147" t="s">
        <v>5278</v>
      </c>
      <c r="C147">
        <v>1</v>
      </c>
      <c r="D147" s="19">
        <v>59500</v>
      </c>
    </row>
    <row r="148" spans="1:4">
      <c r="A148" s="23" t="s">
        <v>7754</v>
      </c>
      <c r="B148" s="23"/>
      <c r="C148">
        <v>2</v>
      </c>
      <c r="D148" s="19">
        <v>108587.5</v>
      </c>
    </row>
    <row r="149" spans="1:4">
      <c r="A149" s="23" t="s">
        <v>1337</v>
      </c>
      <c r="B149" t="s">
        <v>1614</v>
      </c>
      <c r="C149">
        <v>1</v>
      </c>
      <c r="D149" s="19">
        <v>2474035.5499999998</v>
      </c>
    </row>
    <row r="150" spans="1:4">
      <c r="A150" s="23" t="s">
        <v>7897</v>
      </c>
      <c r="B150" s="23"/>
      <c r="C150">
        <v>1</v>
      </c>
      <c r="D150" s="19">
        <v>2474035.5499999998</v>
      </c>
    </row>
    <row r="151" spans="1:4">
      <c r="A151" s="23" t="s">
        <v>2018</v>
      </c>
      <c r="B151" t="s">
        <v>3751</v>
      </c>
      <c r="C151">
        <v>1</v>
      </c>
      <c r="D151" s="19">
        <v>1171068.29</v>
      </c>
    </row>
    <row r="152" spans="1:4">
      <c r="B152" t="s">
        <v>4848</v>
      </c>
      <c r="C152">
        <v>1</v>
      </c>
      <c r="D152" s="19">
        <v>313525321.82999998</v>
      </c>
    </row>
    <row r="153" spans="1:4">
      <c r="B153" t="s">
        <v>5357</v>
      </c>
      <c r="C153">
        <v>1</v>
      </c>
      <c r="D153" s="19">
        <v>3431627.99</v>
      </c>
    </row>
    <row r="154" spans="1:4">
      <c r="B154" t="s">
        <v>5359</v>
      </c>
      <c r="C154">
        <v>1</v>
      </c>
      <c r="D154" s="19">
        <v>3144999.83</v>
      </c>
    </row>
    <row r="155" spans="1:4">
      <c r="B155" t="s">
        <v>6547</v>
      </c>
      <c r="C155">
        <v>1</v>
      </c>
      <c r="D155" s="19">
        <v>10780229.039999999</v>
      </c>
    </row>
    <row r="156" spans="1:4">
      <c r="A156" s="23" t="s">
        <v>7898</v>
      </c>
      <c r="B156" s="23"/>
      <c r="C156">
        <v>5</v>
      </c>
      <c r="D156" s="19">
        <v>332053246.98000002</v>
      </c>
    </row>
    <row r="157" spans="1:4">
      <c r="A157" s="23" t="s">
        <v>6007</v>
      </c>
      <c r="B157" t="s">
        <v>6004</v>
      </c>
      <c r="C157">
        <v>1</v>
      </c>
      <c r="D157" s="19">
        <v>394780.17</v>
      </c>
    </row>
    <row r="158" spans="1:4">
      <c r="A158" s="23" t="s">
        <v>7899</v>
      </c>
      <c r="B158" s="23"/>
      <c r="C158">
        <v>1</v>
      </c>
      <c r="D158" s="19">
        <v>394780.17</v>
      </c>
    </row>
    <row r="159" spans="1:4">
      <c r="A159" s="23" t="s">
        <v>1143</v>
      </c>
      <c r="B159" t="s">
        <v>4673</v>
      </c>
      <c r="C159">
        <v>1</v>
      </c>
      <c r="D159" s="19">
        <v>1063224</v>
      </c>
    </row>
    <row r="160" spans="1:4">
      <c r="A160" s="23" t="s">
        <v>7900</v>
      </c>
      <c r="B160" s="23"/>
      <c r="C160">
        <v>1</v>
      </c>
      <c r="D160" s="19">
        <v>1063224</v>
      </c>
    </row>
    <row r="161" spans="1:4">
      <c r="A161" s="23" t="s">
        <v>4381</v>
      </c>
      <c r="B161" t="s">
        <v>4378</v>
      </c>
      <c r="C161">
        <v>1</v>
      </c>
      <c r="D161" s="19">
        <v>943452.3</v>
      </c>
    </row>
    <row r="162" spans="1:4">
      <c r="A162" s="23" t="s">
        <v>7901</v>
      </c>
      <c r="B162" s="23"/>
      <c r="C162">
        <v>1</v>
      </c>
      <c r="D162" s="19">
        <v>943452.3</v>
      </c>
    </row>
    <row r="163" spans="1:4">
      <c r="A163" s="23" t="s">
        <v>4343</v>
      </c>
      <c r="B163" t="s">
        <v>4340</v>
      </c>
      <c r="C163">
        <v>1</v>
      </c>
      <c r="D163" s="19">
        <v>444584</v>
      </c>
    </row>
    <row r="164" spans="1:4">
      <c r="B164" t="s">
        <v>4884</v>
      </c>
      <c r="C164">
        <v>1</v>
      </c>
      <c r="D164" s="19">
        <v>571200</v>
      </c>
    </row>
    <row r="165" spans="1:4">
      <c r="A165" s="23" t="s">
        <v>7902</v>
      </c>
      <c r="B165" s="23"/>
      <c r="C165">
        <v>2</v>
      </c>
      <c r="D165" s="19">
        <v>1015784</v>
      </c>
    </row>
    <row r="166" spans="1:4">
      <c r="A166" s="23" t="s">
        <v>3582</v>
      </c>
      <c r="B166" t="s">
        <v>5362</v>
      </c>
      <c r="C166">
        <v>1</v>
      </c>
      <c r="D166" s="19">
        <v>342720</v>
      </c>
    </row>
    <row r="167" spans="1:4">
      <c r="B167" t="s">
        <v>6894</v>
      </c>
      <c r="C167">
        <v>1</v>
      </c>
      <c r="D167" s="19">
        <v>342720</v>
      </c>
    </row>
    <row r="168" spans="1:4">
      <c r="A168" s="23" t="s">
        <v>7903</v>
      </c>
      <c r="B168" s="23"/>
      <c r="C168">
        <v>2</v>
      </c>
      <c r="D168" s="19">
        <v>685440</v>
      </c>
    </row>
    <row r="169" spans="1:4">
      <c r="A169" s="23" t="s">
        <v>6247</v>
      </c>
      <c r="B169" t="s">
        <v>6244</v>
      </c>
      <c r="C169">
        <v>1</v>
      </c>
      <c r="D169" s="19">
        <v>5884550</v>
      </c>
    </row>
    <row r="170" spans="1:4">
      <c r="A170" s="23" t="s">
        <v>7904</v>
      </c>
      <c r="B170" s="23"/>
      <c r="C170">
        <v>1</v>
      </c>
      <c r="D170" s="19">
        <v>5884550</v>
      </c>
    </row>
    <row r="171" spans="1:4">
      <c r="A171" s="23" t="s">
        <v>2837</v>
      </c>
      <c r="B171" t="s">
        <v>2834</v>
      </c>
      <c r="C171">
        <v>1</v>
      </c>
      <c r="D171" s="19">
        <v>3716370</v>
      </c>
    </row>
    <row r="172" spans="1:4">
      <c r="A172" s="23" t="s">
        <v>7905</v>
      </c>
      <c r="B172" s="23"/>
      <c r="C172">
        <v>1</v>
      </c>
      <c r="D172" s="19">
        <v>3716370</v>
      </c>
    </row>
    <row r="173" spans="1:4">
      <c r="A173" s="23" t="s">
        <v>3674</v>
      </c>
      <c r="B173" t="s">
        <v>3671</v>
      </c>
      <c r="C173">
        <v>1</v>
      </c>
      <c r="D173" s="19">
        <v>535320.1</v>
      </c>
    </row>
    <row r="174" spans="1:4">
      <c r="B174" t="s">
        <v>5936</v>
      </c>
      <c r="C174">
        <v>1</v>
      </c>
      <c r="D174" s="19">
        <v>364925.4</v>
      </c>
    </row>
    <row r="175" spans="1:4">
      <c r="A175" s="23" t="s">
        <v>7906</v>
      </c>
      <c r="B175" s="23"/>
      <c r="C175">
        <v>2</v>
      </c>
      <c r="D175" s="19">
        <v>900245.5</v>
      </c>
    </row>
    <row r="176" spans="1:4">
      <c r="A176" s="23" t="s">
        <v>1438</v>
      </c>
      <c r="B176" t="s">
        <v>4345</v>
      </c>
      <c r="C176">
        <v>1</v>
      </c>
      <c r="D176" s="19">
        <v>3622270.75</v>
      </c>
    </row>
    <row r="177" spans="1:4">
      <c r="B177" t="s">
        <v>4360</v>
      </c>
      <c r="C177">
        <v>1</v>
      </c>
      <c r="D177" s="19">
        <v>3842510</v>
      </c>
    </row>
    <row r="178" spans="1:4">
      <c r="B178" t="s">
        <v>5076</v>
      </c>
      <c r="C178">
        <v>1</v>
      </c>
      <c r="D178" s="19">
        <v>482393.87</v>
      </c>
    </row>
    <row r="179" spans="1:4">
      <c r="B179" t="s">
        <v>5079</v>
      </c>
      <c r="C179">
        <v>1</v>
      </c>
      <c r="D179" s="19">
        <v>3842510</v>
      </c>
    </row>
    <row r="180" spans="1:4">
      <c r="A180" s="23" t="s">
        <v>7907</v>
      </c>
      <c r="B180" s="23"/>
      <c r="C180">
        <v>4</v>
      </c>
      <c r="D180" s="19">
        <v>11789684.620000001</v>
      </c>
    </row>
    <row r="181" spans="1:4">
      <c r="A181" s="23" t="s">
        <v>1015</v>
      </c>
      <c r="B181" t="s">
        <v>1012</v>
      </c>
      <c r="C181">
        <v>1</v>
      </c>
      <c r="D181" s="19">
        <v>4790411.6399999997</v>
      </c>
    </row>
    <row r="182" spans="1:4">
      <c r="B182" t="s">
        <v>1017</v>
      </c>
      <c r="C182">
        <v>1</v>
      </c>
      <c r="D182" s="19">
        <v>5236000</v>
      </c>
    </row>
    <row r="183" spans="1:4">
      <c r="B183" t="s">
        <v>2271</v>
      </c>
      <c r="C183">
        <v>1</v>
      </c>
      <c r="D183" s="19">
        <v>4790411.6399999997</v>
      </c>
    </row>
    <row r="184" spans="1:4">
      <c r="B184" t="s">
        <v>2274</v>
      </c>
      <c r="C184">
        <v>1</v>
      </c>
      <c r="D184" s="19">
        <v>2820300</v>
      </c>
    </row>
    <row r="185" spans="1:4">
      <c r="B185" t="s">
        <v>2321</v>
      </c>
      <c r="C185">
        <v>1</v>
      </c>
      <c r="D185" s="19">
        <v>131240.34</v>
      </c>
    </row>
    <row r="186" spans="1:4">
      <c r="B186" t="s">
        <v>3018</v>
      </c>
      <c r="C186">
        <v>1</v>
      </c>
      <c r="D186" s="19">
        <v>475851.25</v>
      </c>
    </row>
    <row r="187" spans="1:4">
      <c r="B187" t="s">
        <v>4230</v>
      </c>
      <c r="C187">
        <v>1</v>
      </c>
      <c r="D187" s="19">
        <v>207774</v>
      </c>
    </row>
    <row r="188" spans="1:4">
      <c r="A188" s="23" t="s">
        <v>7908</v>
      </c>
      <c r="B188" s="23"/>
      <c r="C188">
        <v>7</v>
      </c>
      <c r="D188" s="19">
        <v>18451988.870000001</v>
      </c>
    </row>
    <row r="189" spans="1:4">
      <c r="A189" s="23" t="s">
        <v>1585</v>
      </c>
      <c r="B189" t="s">
        <v>5132</v>
      </c>
      <c r="C189">
        <v>1</v>
      </c>
      <c r="D189" s="19">
        <v>6525960</v>
      </c>
    </row>
    <row r="190" spans="1:4">
      <c r="B190" t="s">
        <v>6883</v>
      </c>
      <c r="C190">
        <v>1</v>
      </c>
      <c r="D190" s="19">
        <v>172550</v>
      </c>
    </row>
    <row r="191" spans="1:4">
      <c r="A191" s="23" t="s">
        <v>7757</v>
      </c>
      <c r="B191" s="23"/>
      <c r="C191">
        <v>2</v>
      </c>
      <c r="D191" s="19">
        <v>6698510</v>
      </c>
    </row>
    <row r="192" spans="1:4">
      <c r="A192" s="23" t="s">
        <v>3872</v>
      </c>
      <c r="B192" t="s">
        <v>3869</v>
      </c>
      <c r="C192">
        <v>1</v>
      </c>
      <c r="D192" s="19">
        <v>5647108.75</v>
      </c>
    </row>
    <row r="193" spans="1:4">
      <c r="B193" t="s">
        <v>4797</v>
      </c>
      <c r="C193">
        <v>1</v>
      </c>
      <c r="D193" s="19">
        <v>899460.8</v>
      </c>
    </row>
    <row r="194" spans="1:4">
      <c r="A194" s="23" t="s">
        <v>7909</v>
      </c>
      <c r="B194" s="23"/>
      <c r="C194">
        <v>2</v>
      </c>
      <c r="D194" s="19">
        <v>6546569.5499999998</v>
      </c>
    </row>
    <row r="195" spans="1:4">
      <c r="A195" s="23" t="s">
        <v>7501</v>
      </c>
      <c r="B195" t="s">
        <v>7498</v>
      </c>
      <c r="C195">
        <v>1</v>
      </c>
      <c r="D195" s="19">
        <v>1365076.37</v>
      </c>
    </row>
    <row r="196" spans="1:4">
      <c r="A196" s="23" t="s">
        <v>7910</v>
      </c>
      <c r="B196" s="23"/>
      <c r="C196">
        <v>1</v>
      </c>
      <c r="D196" s="19">
        <v>1365076.37</v>
      </c>
    </row>
    <row r="197" spans="1:4">
      <c r="A197" s="23" t="s">
        <v>1917</v>
      </c>
      <c r="B197" t="s">
        <v>1914</v>
      </c>
      <c r="C197">
        <v>1</v>
      </c>
      <c r="D197" s="19">
        <v>1452713.92</v>
      </c>
    </row>
    <row r="198" spans="1:4">
      <c r="A198" s="23" t="s">
        <v>7911</v>
      </c>
      <c r="B198" s="23"/>
      <c r="C198">
        <v>1</v>
      </c>
      <c r="D198" s="19">
        <v>1452713.92</v>
      </c>
    </row>
    <row r="199" spans="1:4">
      <c r="A199" t="s">
        <v>190</v>
      </c>
      <c r="B199" t="s">
        <v>187</v>
      </c>
      <c r="C199">
        <v>1</v>
      </c>
      <c r="D199" s="19">
        <v>1720541.27</v>
      </c>
    </row>
    <row r="200" spans="1:4">
      <c r="A200" s="20" t="s">
        <v>7550</v>
      </c>
      <c r="C200">
        <v>1</v>
      </c>
      <c r="D200" s="19">
        <v>1720541.27</v>
      </c>
    </row>
    <row r="201" spans="1:4">
      <c r="A201" s="23" t="s">
        <v>770</v>
      </c>
      <c r="B201" t="s">
        <v>767</v>
      </c>
      <c r="C201">
        <v>1</v>
      </c>
      <c r="D201" s="19">
        <v>90023.5</v>
      </c>
    </row>
    <row r="202" spans="1:4">
      <c r="B202" t="s">
        <v>772</v>
      </c>
      <c r="C202">
        <v>1</v>
      </c>
      <c r="D202" s="19">
        <v>83300</v>
      </c>
    </row>
    <row r="203" spans="1:4">
      <c r="B203" t="s">
        <v>775</v>
      </c>
      <c r="C203">
        <v>1</v>
      </c>
      <c r="D203" s="19">
        <v>249900</v>
      </c>
    </row>
    <row r="204" spans="1:4">
      <c r="B204" t="s">
        <v>778</v>
      </c>
      <c r="C204">
        <v>1</v>
      </c>
      <c r="D204" s="19">
        <v>2998041.62</v>
      </c>
    </row>
    <row r="205" spans="1:4">
      <c r="B205" t="s">
        <v>2779</v>
      </c>
      <c r="C205">
        <v>1</v>
      </c>
      <c r="D205" s="19">
        <v>538530.30000000005</v>
      </c>
    </row>
    <row r="206" spans="1:4">
      <c r="B206" t="s">
        <v>2785</v>
      </c>
      <c r="C206">
        <v>1</v>
      </c>
      <c r="D206" s="19">
        <v>690200</v>
      </c>
    </row>
    <row r="207" spans="1:4">
      <c r="B207" t="s">
        <v>5045</v>
      </c>
      <c r="C207">
        <v>1</v>
      </c>
      <c r="D207" s="19">
        <v>304640</v>
      </c>
    </row>
    <row r="208" spans="1:4">
      <c r="B208" t="s">
        <v>5289</v>
      </c>
      <c r="C208">
        <v>1</v>
      </c>
      <c r="D208" s="19">
        <v>19635</v>
      </c>
    </row>
    <row r="209" spans="1:4">
      <c r="B209" t="s">
        <v>6362</v>
      </c>
      <c r="C209">
        <v>1</v>
      </c>
      <c r="D209" s="19">
        <v>1147160</v>
      </c>
    </row>
    <row r="210" spans="1:4">
      <c r="B210" t="s">
        <v>6544</v>
      </c>
      <c r="C210">
        <v>1</v>
      </c>
      <c r="D210" s="19">
        <v>257040</v>
      </c>
    </row>
    <row r="211" spans="1:4">
      <c r="A211" s="23" t="s">
        <v>7551</v>
      </c>
      <c r="B211" s="23"/>
      <c r="C211">
        <v>10</v>
      </c>
      <c r="D211" s="19">
        <v>6378470.4199999999</v>
      </c>
    </row>
    <row r="212" spans="1:4">
      <c r="A212" s="23" t="s">
        <v>5261</v>
      </c>
      <c r="B212" t="s">
        <v>5258</v>
      </c>
      <c r="C212">
        <v>1</v>
      </c>
      <c r="D212" s="19">
        <v>19585304.41</v>
      </c>
    </row>
    <row r="213" spans="1:4">
      <c r="A213" s="23" t="s">
        <v>7912</v>
      </c>
      <c r="B213" s="23"/>
      <c r="C213">
        <v>1</v>
      </c>
      <c r="D213" s="19">
        <v>19585304.41</v>
      </c>
    </row>
    <row r="214" spans="1:4">
      <c r="A214" s="23" t="s">
        <v>6651</v>
      </c>
      <c r="B214" t="s">
        <v>6648</v>
      </c>
      <c r="C214">
        <v>1</v>
      </c>
      <c r="D214" s="19">
        <v>464634.45</v>
      </c>
    </row>
    <row r="215" spans="1:4">
      <c r="A215" s="23" t="s">
        <v>7913</v>
      </c>
      <c r="B215" s="23"/>
      <c r="C215">
        <v>1</v>
      </c>
      <c r="D215" s="19">
        <v>464634.45</v>
      </c>
    </row>
    <row r="216" spans="1:4">
      <c r="A216" t="s">
        <v>185</v>
      </c>
      <c r="B216" t="s">
        <v>4952</v>
      </c>
      <c r="C216">
        <v>1</v>
      </c>
      <c r="D216" s="19">
        <v>9485493.3599999994</v>
      </c>
    </row>
    <row r="217" spans="1:4">
      <c r="A217"/>
      <c r="B217" t="s">
        <v>5103</v>
      </c>
      <c r="C217">
        <v>1</v>
      </c>
      <c r="D217" s="19">
        <v>1916667</v>
      </c>
    </row>
    <row r="218" spans="1:4">
      <c r="A218"/>
      <c r="B218" t="s">
        <v>5838</v>
      </c>
      <c r="C218">
        <v>1</v>
      </c>
      <c r="D218" s="19">
        <v>19962970</v>
      </c>
    </row>
    <row r="219" spans="1:4">
      <c r="A219" s="20" t="s">
        <v>7554</v>
      </c>
      <c r="C219">
        <v>3</v>
      </c>
      <c r="D219" s="19">
        <v>31365130.359999999</v>
      </c>
    </row>
    <row r="220" spans="1:4">
      <c r="A220" t="s">
        <v>5284</v>
      </c>
      <c r="B220" t="s">
        <v>5281</v>
      </c>
      <c r="C220">
        <v>1</v>
      </c>
      <c r="D220" s="19">
        <v>25596900</v>
      </c>
    </row>
    <row r="221" spans="1:4">
      <c r="A221" s="20" t="s">
        <v>7914</v>
      </c>
      <c r="C221">
        <v>1</v>
      </c>
      <c r="D221" s="19">
        <v>25596900</v>
      </c>
    </row>
    <row r="222" spans="1:4">
      <c r="A222" s="23" t="s">
        <v>3218</v>
      </c>
      <c r="B222" t="s">
        <v>3215</v>
      </c>
      <c r="C222">
        <v>1</v>
      </c>
      <c r="D222" s="19">
        <v>407628.55</v>
      </c>
    </row>
    <row r="223" spans="1:4">
      <c r="B223" t="s">
        <v>3874</v>
      </c>
      <c r="C223">
        <v>1</v>
      </c>
      <c r="D223" s="19">
        <v>71078.75</v>
      </c>
    </row>
    <row r="224" spans="1:4">
      <c r="A224" s="23" t="s">
        <v>7915</v>
      </c>
      <c r="B224" s="23"/>
      <c r="C224">
        <v>2</v>
      </c>
      <c r="D224" s="19">
        <v>478707.3</v>
      </c>
    </row>
    <row r="225" spans="1:4">
      <c r="A225" s="23" t="s">
        <v>3146</v>
      </c>
      <c r="B225" t="s">
        <v>3143</v>
      </c>
      <c r="C225">
        <v>1</v>
      </c>
      <c r="D225" s="19">
        <v>23800</v>
      </c>
    </row>
    <row r="226" spans="1:4">
      <c r="B226" t="s">
        <v>3148</v>
      </c>
      <c r="C226">
        <v>1</v>
      </c>
      <c r="D226" s="19">
        <v>877529.8</v>
      </c>
    </row>
    <row r="227" spans="1:4">
      <c r="A227" s="23" t="s">
        <v>7916</v>
      </c>
      <c r="B227" s="23"/>
      <c r="C227">
        <v>2</v>
      </c>
      <c r="D227" s="19">
        <v>901329.8</v>
      </c>
    </row>
    <row r="228" spans="1:4">
      <c r="A228" s="23" t="s">
        <v>6038</v>
      </c>
      <c r="B228" t="s">
        <v>6035</v>
      </c>
      <c r="C228">
        <v>1</v>
      </c>
      <c r="D228" s="19">
        <v>884479.4</v>
      </c>
    </row>
    <row r="229" spans="1:4">
      <c r="B229" t="s">
        <v>6040</v>
      </c>
      <c r="C229">
        <v>1</v>
      </c>
      <c r="D229" s="19">
        <v>173028.38</v>
      </c>
    </row>
    <row r="230" spans="1:4">
      <c r="B230" t="s">
        <v>6043</v>
      </c>
      <c r="C230">
        <v>1</v>
      </c>
      <c r="D230" s="19">
        <v>434947.04</v>
      </c>
    </row>
    <row r="231" spans="1:4">
      <c r="A231" s="23" t="s">
        <v>7917</v>
      </c>
      <c r="B231" s="23"/>
      <c r="C231">
        <v>3</v>
      </c>
      <c r="D231" s="19">
        <v>1492454.82</v>
      </c>
    </row>
    <row r="232" spans="1:4">
      <c r="A232" s="23" t="s">
        <v>6713</v>
      </c>
      <c r="B232" t="s">
        <v>6710</v>
      </c>
      <c r="C232">
        <v>1</v>
      </c>
      <c r="D232" s="19">
        <v>3085670</v>
      </c>
    </row>
    <row r="233" spans="1:4">
      <c r="A233" s="23" t="s">
        <v>7918</v>
      </c>
      <c r="B233" s="23"/>
      <c r="C233">
        <v>1</v>
      </c>
      <c r="D233" s="19">
        <v>3085670</v>
      </c>
    </row>
    <row r="234" spans="1:4">
      <c r="A234" s="23" t="s">
        <v>5996</v>
      </c>
      <c r="B234" t="s">
        <v>5993</v>
      </c>
      <c r="C234">
        <v>1</v>
      </c>
      <c r="D234" s="19">
        <v>45095771.140000001</v>
      </c>
    </row>
    <row r="235" spans="1:4">
      <c r="A235" s="23" t="s">
        <v>7919</v>
      </c>
      <c r="B235" s="23"/>
      <c r="C235">
        <v>1</v>
      </c>
      <c r="D235" s="19">
        <v>45095771.140000001</v>
      </c>
    </row>
    <row r="236" spans="1:4">
      <c r="A236" s="23" t="s">
        <v>2243</v>
      </c>
      <c r="B236" t="s">
        <v>2240</v>
      </c>
      <c r="C236">
        <v>1</v>
      </c>
      <c r="D236" s="19">
        <v>777198</v>
      </c>
    </row>
    <row r="237" spans="1:4">
      <c r="A237" s="23" t="s">
        <v>7920</v>
      </c>
      <c r="B237" s="23"/>
      <c r="C237">
        <v>1</v>
      </c>
      <c r="D237" s="19">
        <v>777198</v>
      </c>
    </row>
    <row r="238" spans="1:4">
      <c r="A238" s="23" t="s">
        <v>1978</v>
      </c>
      <c r="B238" t="s">
        <v>1975</v>
      </c>
      <c r="C238">
        <v>1</v>
      </c>
      <c r="D238" s="19">
        <v>17848788</v>
      </c>
    </row>
    <row r="239" spans="1:4">
      <c r="B239" t="s">
        <v>3705</v>
      </c>
      <c r="C239">
        <v>1</v>
      </c>
      <c r="D239" s="19">
        <v>467551</v>
      </c>
    </row>
    <row r="240" spans="1:4">
      <c r="B240" t="s">
        <v>4445</v>
      </c>
      <c r="C240">
        <v>1</v>
      </c>
      <c r="D240" s="19">
        <v>12165251</v>
      </c>
    </row>
    <row r="241" spans="1:4">
      <c r="B241" t="s">
        <v>4675</v>
      </c>
      <c r="C241">
        <v>1</v>
      </c>
      <c r="D241" s="19">
        <v>650454</v>
      </c>
    </row>
    <row r="242" spans="1:4">
      <c r="A242" s="23" t="s">
        <v>7715</v>
      </c>
      <c r="B242" s="23"/>
      <c r="C242">
        <v>4</v>
      </c>
      <c r="D242" s="19">
        <v>31132044</v>
      </c>
    </row>
    <row r="243" spans="1:4">
      <c r="A243" s="23" t="s">
        <v>1352</v>
      </c>
      <c r="B243" t="s">
        <v>6905</v>
      </c>
      <c r="C243">
        <v>1</v>
      </c>
      <c r="D243" s="19">
        <v>714891.8</v>
      </c>
    </row>
    <row r="244" spans="1:4">
      <c r="A244" s="23" t="s">
        <v>7762</v>
      </c>
      <c r="B244" s="23"/>
      <c r="C244">
        <v>1</v>
      </c>
      <c r="D244" s="19">
        <v>714891.8</v>
      </c>
    </row>
    <row r="245" spans="1:4">
      <c r="A245" t="s">
        <v>531</v>
      </c>
      <c r="B245" t="s">
        <v>5121</v>
      </c>
      <c r="C245">
        <v>1</v>
      </c>
      <c r="D245" s="19">
        <v>806820</v>
      </c>
    </row>
    <row r="246" spans="1:4">
      <c r="A246" s="20" t="s">
        <v>7561</v>
      </c>
      <c r="C246">
        <v>1</v>
      </c>
      <c r="D246" s="19">
        <v>806820</v>
      </c>
    </row>
    <row r="247" spans="1:4">
      <c r="A247" s="23" t="s">
        <v>6840</v>
      </c>
      <c r="B247" t="s">
        <v>6837</v>
      </c>
      <c r="C247">
        <v>1</v>
      </c>
      <c r="D247" s="19">
        <v>458444</v>
      </c>
    </row>
    <row r="248" spans="1:4">
      <c r="B248" t="s">
        <v>7299</v>
      </c>
      <c r="C248">
        <v>1</v>
      </c>
      <c r="D248" s="19">
        <v>694804</v>
      </c>
    </row>
    <row r="249" spans="1:4">
      <c r="A249" s="23" t="s">
        <v>7921</v>
      </c>
      <c r="B249" s="23"/>
      <c r="C249">
        <v>2</v>
      </c>
      <c r="D249" s="19">
        <v>1153248</v>
      </c>
    </row>
    <row r="250" spans="1:4">
      <c r="A250" t="s">
        <v>2694</v>
      </c>
      <c r="B250" t="s">
        <v>5054</v>
      </c>
      <c r="C250">
        <v>1</v>
      </c>
      <c r="D250" s="19">
        <v>2961538.72</v>
      </c>
    </row>
    <row r="251" spans="1:4">
      <c r="A251" s="20" t="s">
        <v>7562</v>
      </c>
      <c r="C251">
        <v>1</v>
      </c>
      <c r="D251" s="19">
        <v>2961538.72</v>
      </c>
    </row>
    <row r="252" spans="1:4">
      <c r="A252" s="23" t="s">
        <v>5885</v>
      </c>
      <c r="B252" t="s">
        <v>5882</v>
      </c>
      <c r="C252">
        <v>1</v>
      </c>
      <c r="D252" s="19">
        <v>732819.7</v>
      </c>
    </row>
    <row r="253" spans="1:4">
      <c r="A253" s="23" t="s">
        <v>7922</v>
      </c>
      <c r="B253" s="23"/>
      <c r="C253">
        <v>1</v>
      </c>
      <c r="D253" s="19">
        <v>732819.7</v>
      </c>
    </row>
    <row r="254" spans="1:4">
      <c r="A254" s="23" t="s">
        <v>7039</v>
      </c>
      <c r="B254" t="s">
        <v>7036</v>
      </c>
      <c r="C254">
        <v>1</v>
      </c>
      <c r="D254" s="19">
        <v>676202.03</v>
      </c>
    </row>
    <row r="255" spans="1:4">
      <c r="A255" s="23" t="s">
        <v>7923</v>
      </c>
      <c r="B255" s="23"/>
      <c r="C255">
        <v>1</v>
      </c>
      <c r="D255" s="19">
        <v>676202.03</v>
      </c>
    </row>
    <row r="256" spans="1:4">
      <c r="A256" s="23" t="s">
        <v>1865</v>
      </c>
      <c r="B256" t="s">
        <v>1862</v>
      </c>
      <c r="C256">
        <v>1</v>
      </c>
      <c r="D256" s="19">
        <v>718522</v>
      </c>
    </row>
    <row r="257" spans="1:4">
      <c r="B257" t="s">
        <v>6174</v>
      </c>
      <c r="C257">
        <v>1</v>
      </c>
      <c r="D257" s="19">
        <v>4012680</v>
      </c>
    </row>
    <row r="258" spans="1:4">
      <c r="A258" s="23" t="s">
        <v>7716</v>
      </c>
      <c r="B258" s="23"/>
      <c r="C258">
        <v>2</v>
      </c>
      <c r="D258" s="19">
        <v>4731202</v>
      </c>
    </row>
    <row r="259" spans="1:4">
      <c r="A259" s="23" t="s">
        <v>338</v>
      </c>
      <c r="B259" t="s">
        <v>335</v>
      </c>
      <c r="C259">
        <v>1</v>
      </c>
      <c r="D259" s="19">
        <v>928200</v>
      </c>
    </row>
    <row r="260" spans="1:4">
      <c r="B260" t="s">
        <v>2313</v>
      </c>
      <c r="C260">
        <v>1</v>
      </c>
      <c r="D260" s="19">
        <v>240380</v>
      </c>
    </row>
    <row r="261" spans="1:4">
      <c r="B261" t="s">
        <v>4901</v>
      </c>
      <c r="C261">
        <v>1</v>
      </c>
      <c r="D261" s="19">
        <v>361760</v>
      </c>
    </row>
    <row r="262" spans="1:4">
      <c r="A262" s="23" t="s">
        <v>7924</v>
      </c>
      <c r="B262" s="23"/>
      <c r="C262">
        <v>3</v>
      </c>
      <c r="D262" s="19">
        <v>1530340</v>
      </c>
    </row>
    <row r="263" spans="1:4">
      <c r="A263" s="23" t="s">
        <v>1295</v>
      </c>
      <c r="B263" t="s">
        <v>1292</v>
      </c>
      <c r="C263">
        <v>1</v>
      </c>
      <c r="D263" s="19">
        <v>7287169.6799999997</v>
      </c>
    </row>
    <row r="264" spans="1:4">
      <c r="B264" t="s">
        <v>1305</v>
      </c>
      <c r="C264">
        <v>1</v>
      </c>
      <c r="D264" s="19">
        <v>5725251.8399999999</v>
      </c>
    </row>
    <row r="265" spans="1:4">
      <c r="A265" s="23" t="s">
        <v>7925</v>
      </c>
      <c r="B265" s="23"/>
      <c r="C265">
        <v>2</v>
      </c>
      <c r="D265" s="19">
        <v>13012421.52</v>
      </c>
    </row>
    <row r="266" spans="1:4">
      <c r="A266" s="23" t="s">
        <v>1300</v>
      </c>
      <c r="B266" t="s">
        <v>1297</v>
      </c>
      <c r="C266">
        <v>1</v>
      </c>
      <c r="D266" s="19">
        <v>2352325.36</v>
      </c>
    </row>
    <row r="267" spans="1:4">
      <c r="B267" t="s">
        <v>1302</v>
      </c>
      <c r="C267">
        <v>1</v>
      </c>
      <c r="D267" s="19">
        <v>1960598.78</v>
      </c>
    </row>
    <row r="268" spans="1:4">
      <c r="B268" t="s">
        <v>2370</v>
      </c>
      <c r="C268">
        <v>1</v>
      </c>
      <c r="D268" s="19">
        <v>14409567.199999999</v>
      </c>
    </row>
    <row r="269" spans="1:4">
      <c r="A269" s="23" t="s">
        <v>7926</v>
      </c>
      <c r="B269" s="23"/>
      <c r="C269">
        <v>3</v>
      </c>
      <c r="D269" s="19">
        <v>18722491.34</v>
      </c>
    </row>
    <row r="270" spans="1:4">
      <c r="A270" t="s">
        <v>7375</v>
      </c>
      <c r="B270" t="s">
        <v>7372</v>
      </c>
      <c r="C270">
        <v>1</v>
      </c>
      <c r="D270" s="19">
        <v>513104.2</v>
      </c>
    </row>
    <row r="271" spans="1:4">
      <c r="A271" s="20" t="s">
        <v>7927</v>
      </c>
      <c r="C271">
        <v>1</v>
      </c>
      <c r="D271" s="19">
        <v>513104.2</v>
      </c>
    </row>
    <row r="272" spans="1:4">
      <c r="A272" t="s">
        <v>5445</v>
      </c>
      <c r="B272" t="s">
        <v>5442</v>
      </c>
      <c r="C272">
        <v>1</v>
      </c>
      <c r="D272" s="19">
        <v>464101.19</v>
      </c>
    </row>
    <row r="273" spans="1:4">
      <c r="A273" s="20" t="s">
        <v>7928</v>
      </c>
      <c r="C273">
        <v>1</v>
      </c>
      <c r="D273" s="19">
        <v>464101.19</v>
      </c>
    </row>
    <row r="274" spans="1:4">
      <c r="A274" t="s">
        <v>7008</v>
      </c>
      <c r="B274" t="s">
        <v>7005</v>
      </c>
      <c r="C274">
        <v>1</v>
      </c>
      <c r="D274" s="19">
        <v>1431570</v>
      </c>
    </row>
    <row r="275" spans="1:4">
      <c r="A275" s="20" t="s">
        <v>7929</v>
      </c>
      <c r="C275">
        <v>1</v>
      </c>
      <c r="D275" s="19">
        <v>1431570</v>
      </c>
    </row>
    <row r="276" spans="1:4">
      <c r="A276" s="23" t="s">
        <v>1598</v>
      </c>
      <c r="B276" t="s">
        <v>1595</v>
      </c>
      <c r="C276">
        <v>1</v>
      </c>
      <c r="D276" s="19">
        <v>5115810</v>
      </c>
    </row>
    <row r="277" spans="1:4">
      <c r="B277" t="s">
        <v>1600</v>
      </c>
      <c r="C277">
        <v>1</v>
      </c>
      <c r="D277" s="19">
        <v>5115810</v>
      </c>
    </row>
    <row r="278" spans="1:4">
      <c r="B278" t="s">
        <v>7507</v>
      </c>
      <c r="C278">
        <v>1</v>
      </c>
      <c r="D278" s="19">
        <v>2325000</v>
      </c>
    </row>
    <row r="279" spans="1:4">
      <c r="A279" s="23" t="s">
        <v>7930</v>
      </c>
      <c r="B279" s="23"/>
      <c r="C279">
        <v>3</v>
      </c>
      <c r="D279" s="19">
        <v>12556620</v>
      </c>
    </row>
    <row r="280" spans="1:4">
      <c r="A280" s="23" t="s">
        <v>5450</v>
      </c>
      <c r="B280" t="s">
        <v>5447</v>
      </c>
      <c r="C280">
        <v>1</v>
      </c>
      <c r="D280" s="19">
        <v>1854020</v>
      </c>
    </row>
    <row r="281" spans="1:4">
      <c r="A281" s="23" t="s">
        <v>7931</v>
      </c>
      <c r="B281" s="23"/>
      <c r="C281">
        <v>1</v>
      </c>
      <c r="D281" s="19">
        <v>1854020</v>
      </c>
    </row>
    <row r="282" spans="1:4">
      <c r="A282" s="23" t="s">
        <v>546</v>
      </c>
      <c r="B282" t="s">
        <v>543</v>
      </c>
      <c r="C282">
        <v>1</v>
      </c>
      <c r="D282" s="19">
        <v>348642</v>
      </c>
    </row>
    <row r="283" spans="1:4">
      <c r="B283" t="s">
        <v>548</v>
      </c>
      <c r="C283">
        <v>1</v>
      </c>
      <c r="D283" s="19">
        <v>37044</v>
      </c>
    </row>
    <row r="284" spans="1:4">
      <c r="B284" t="s">
        <v>1661</v>
      </c>
      <c r="C284">
        <v>1</v>
      </c>
      <c r="D284" s="19">
        <v>2421963.9500000002</v>
      </c>
    </row>
    <row r="285" spans="1:4">
      <c r="B285" t="s">
        <v>5322</v>
      </c>
      <c r="C285">
        <v>1</v>
      </c>
      <c r="D285" s="19">
        <v>399567</v>
      </c>
    </row>
    <row r="286" spans="1:4">
      <c r="A286" s="23" t="s">
        <v>7932</v>
      </c>
      <c r="B286" s="23"/>
      <c r="C286">
        <v>4</v>
      </c>
      <c r="D286" s="19">
        <v>3207216.95</v>
      </c>
    </row>
    <row r="287" spans="1:4">
      <c r="A287" s="23" t="s">
        <v>1402</v>
      </c>
      <c r="B287" t="s">
        <v>1399</v>
      </c>
      <c r="C287">
        <v>1</v>
      </c>
      <c r="D287" s="19">
        <v>3397403.59</v>
      </c>
    </row>
    <row r="288" spans="1:4">
      <c r="B288" t="s">
        <v>2378</v>
      </c>
      <c r="C288">
        <v>1</v>
      </c>
      <c r="D288" s="19">
        <v>342659.31</v>
      </c>
    </row>
    <row r="289" spans="1:4">
      <c r="B289" t="s">
        <v>2381</v>
      </c>
      <c r="C289">
        <v>1</v>
      </c>
      <c r="D289" s="19">
        <v>53590698</v>
      </c>
    </row>
    <row r="290" spans="1:4">
      <c r="B290" t="s">
        <v>2384</v>
      </c>
      <c r="C290">
        <v>1</v>
      </c>
      <c r="D290" s="19">
        <v>214200</v>
      </c>
    </row>
    <row r="291" spans="1:4">
      <c r="A291" s="23" t="s">
        <v>7933</v>
      </c>
      <c r="B291" s="23"/>
      <c r="C291">
        <v>4</v>
      </c>
      <c r="D291" s="19">
        <v>57544960.899999999</v>
      </c>
    </row>
    <row r="292" spans="1:4">
      <c r="A292" s="23" t="s">
        <v>2949</v>
      </c>
      <c r="B292" t="s">
        <v>2946</v>
      </c>
      <c r="C292">
        <v>1</v>
      </c>
      <c r="D292" s="19">
        <v>926864.82</v>
      </c>
    </row>
    <row r="293" spans="1:4">
      <c r="A293" s="23" t="s">
        <v>7934</v>
      </c>
      <c r="B293" s="23"/>
      <c r="C293">
        <v>1</v>
      </c>
      <c r="D293" s="19">
        <v>926864.82</v>
      </c>
    </row>
    <row r="294" spans="1:4">
      <c r="A294" s="23" t="s">
        <v>3813</v>
      </c>
      <c r="B294" t="s">
        <v>3810</v>
      </c>
      <c r="C294">
        <v>1</v>
      </c>
      <c r="D294" s="19">
        <v>119000</v>
      </c>
    </row>
    <row r="295" spans="1:4">
      <c r="B295" t="s">
        <v>3996</v>
      </c>
      <c r="C295">
        <v>1</v>
      </c>
      <c r="D295" s="19">
        <v>714595</v>
      </c>
    </row>
    <row r="296" spans="1:4">
      <c r="B296" t="s">
        <v>6736</v>
      </c>
      <c r="C296">
        <v>1</v>
      </c>
      <c r="D296" s="19">
        <v>273700</v>
      </c>
    </row>
    <row r="297" spans="1:4">
      <c r="A297" s="23" t="s">
        <v>7935</v>
      </c>
      <c r="B297" s="23"/>
      <c r="C297">
        <v>3</v>
      </c>
      <c r="D297" s="19">
        <v>1107295</v>
      </c>
    </row>
    <row r="298" spans="1:4">
      <c r="A298" s="23" t="s">
        <v>1420</v>
      </c>
      <c r="B298" t="s">
        <v>3642</v>
      </c>
      <c r="C298">
        <v>1</v>
      </c>
      <c r="D298" s="19">
        <v>261800</v>
      </c>
    </row>
    <row r="299" spans="1:4">
      <c r="A299" s="23" t="s">
        <v>7769</v>
      </c>
      <c r="B299" s="23"/>
      <c r="C299">
        <v>1</v>
      </c>
      <c r="D299" s="19">
        <v>261800</v>
      </c>
    </row>
    <row r="300" spans="1:4">
      <c r="A300" s="23" t="s">
        <v>541</v>
      </c>
      <c r="B300" t="s">
        <v>538</v>
      </c>
      <c r="C300">
        <v>1</v>
      </c>
      <c r="D300" s="19">
        <v>878096.24</v>
      </c>
    </row>
    <row r="301" spans="1:4">
      <c r="B301" t="s">
        <v>5396</v>
      </c>
      <c r="C301">
        <v>1</v>
      </c>
      <c r="D301" s="19">
        <v>188210.4</v>
      </c>
    </row>
    <row r="302" spans="1:4">
      <c r="A302" s="23" t="s">
        <v>7936</v>
      </c>
      <c r="B302" s="23"/>
      <c r="C302">
        <v>2</v>
      </c>
      <c r="D302" s="19">
        <v>1066306.6399999999</v>
      </c>
    </row>
    <row r="303" spans="1:4">
      <c r="A303" s="23" t="s">
        <v>1373</v>
      </c>
      <c r="B303" t="s">
        <v>5715</v>
      </c>
      <c r="C303">
        <v>1</v>
      </c>
      <c r="D303" s="19">
        <v>6467427.4699999997</v>
      </c>
    </row>
    <row r="304" spans="1:4">
      <c r="A304" s="23" t="s">
        <v>7937</v>
      </c>
      <c r="B304" s="23"/>
      <c r="C304">
        <v>1</v>
      </c>
      <c r="D304" s="19">
        <v>6467427.4699999997</v>
      </c>
    </row>
    <row r="305" spans="1:4">
      <c r="A305" s="23" t="s">
        <v>741</v>
      </c>
      <c r="B305" t="s">
        <v>738</v>
      </c>
      <c r="C305">
        <v>1</v>
      </c>
      <c r="D305" s="19">
        <v>212100</v>
      </c>
    </row>
    <row r="306" spans="1:4">
      <c r="A306" s="23" t="s">
        <v>7938</v>
      </c>
      <c r="B306" s="23"/>
      <c r="C306">
        <v>1</v>
      </c>
      <c r="D306" s="19">
        <v>212100</v>
      </c>
    </row>
    <row r="307" spans="1:4">
      <c r="A307" t="s">
        <v>495</v>
      </c>
      <c r="B307" t="s">
        <v>3232</v>
      </c>
      <c r="C307">
        <v>1</v>
      </c>
      <c r="D307" s="19">
        <v>83300</v>
      </c>
    </row>
    <row r="308" spans="1:4">
      <c r="A308"/>
      <c r="B308" t="s">
        <v>4080</v>
      </c>
      <c r="C308">
        <v>1</v>
      </c>
      <c r="D308" s="19">
        <v>267750</v>
      </c>
    </row>
    <row r="309" spans="1:4">
      <c r="A309"/>
      <c r="B309" t="s">
        <v>6908</v>
      </c>
      <c r="C309">
        <v>1</v>
      </c>
      <c r="D309" s="19">
        <v>67050</v>
      </c>
    </row>
    <row r="310" spans="1:4">
      <c r="A310" s="20" t="s">
        <v>7718</v>
      </c>
      <c r="C310">
        <v>3</v>
      </c>
      <c r="D310" s="19">
        <v>418100</v>
      </c>
    </row>
    <row r="311" spans="1:4">
      <c r="A311" s="23" t="s">
        <v>1930</v>
      </c>
      <c r="B311" t="s">
        <v>1927</v>
      </c>
      <c r="C311">
        <v>1</v>
      </c>
      <c r="D311" s="19">
        <v>1602763.4</v>
      </c>
    </row>
    <row r="312" spans="1:4">
      <c r="A312" s="23" t="s">
        <v>7939</v>
      </c>
      <c r="B312" s="23"/>
      <c r="C312">
        <v>1</v>
      </c>
      <c r="D312" s="19">
        <v>1602763.4</v>
      </c>
    </row>
    <row r="313" spans="1:4">
      <c r="A313" s="23" t="s">
        <v>6535</v>
      </c>
      <c r="B313" t="s">
        <v>6532</v>
      </c>
      <c r="C313">
        <v>1</v>
      </c>
      <c r="D313" s="19">
        <v>119000</v>
      </c>
    </row>
    <row r="314" spans="1:4">
      <c r="A314" s="23" t="s">
        <v>7940</v>
      </c>
      <c r="B314" s="23"/>
      <c r="C314">
        <v>1</v>
      </c>
      <c r="D314" s="19">
        <v>119000</v>
      </c>
    </row>
    <row r="315" spans="1:4">
      <c r="A315" s="23" t="s">
        <v>1077</v>
      </c>
      <c r="B315" t="s">
        <v>1074</v>
      </c>
      <c r="C315">
        <v>1</v>
      </c>
      <c r="D315" s="19">
        <v>4889400.5999999996</v>
      </c>
    </row>
    <row r="316" spans="1:4">
      <c r="A316" s="23" t="s">
        <v>7941</v>
      </c>
      <c r="B316" s="23"/>
      <c r="C316">
        <v>1</v>
      </c>
      <c r="D316" s="19">
        <v>4889400.5999999996</v>
      </c>
    </row>
    <row r="317" spans="1:4">
      <c r="A317" s="23" t="s">
        <v>6125</v>
      </c>
      <c r="B317" t="s">
        <v>6122</v>
      </c>
      <c r="C317">
        <v>1</v>
      </c>
      <c r="D317" s="19">
        <v>289943.5</v>
      </c>
    </row>
    <row r="318" spans="1:4">
      <c r="B318" t="s">
        <v>6127</v>
      </c>
      <c r="C318">
        <v>1</v>
      </c>
      <c r="D318" s="19">
        <v>321626</v>
      </c>
    </row>
    <row r="319" spans="1:4">
      <c r="B319" t="s">
        <v>6130</v>
      </c>
      <c r="C319">
        <v>1</v>
      </c>
      <c r="D319" s="19">
        <v>326070.5</v>
      </c>
    </row>
    <row r="320" spans="1:4">
      <c r="B320" t="s">
        <v>6133</v>
      </c>
      <c r="C320">
        <v>1</v>
      </c>
      <c r="D320" s="19">
        <v>458461.5</v>
      </c>
    </row>
    <row r="321" spans="1:4">
      <c r="B321" t="s">
        <v>6136</v>
      </c>
      <c r="C321">
        <v>1</v>
      </c>
      <c r="D321" s="19">
        <v>17255</v>
      </c>
    </row>
    <row r="322" spans="1:4">
      <c r="B322" t="s">
        <v>6324</v>
      </c>
      <c r="C322">
        <v>1</v>
      </c>
      <c r="D322" s="19">
        <v>43911</v>
      </c>
    </row>
    <row r="323" spans="1:4">
      <c r="A323" s="23" t="s">
        <v>7942</v>
      </c>
      <c r="B323" s="23"/>
      <c r="C323">
        <v>6</v>
      </c>
      <c r="D323" s="19">
        <v>1457267.5</v>
      </c>
    </row>
    <row r="324" spans="1:4">
      <c r="A324" s="23" t="s">
        <v>4507</v>
      </c>
      <c r="B324" t="s">
        <v>4504</v>
      </c>
      <c r="C324">
        <v>1</v>
      </c>
      <c r="D324" s="19">
        <v>5751000</v>
      </c>
    </row>
    <row r="325" spans="1:4">
      <c r="B325" t="s">
        <v>4509</v>
      </c>
      <c r="C325">
        <v>1</v>
      </c>
      <c r="D325" s="19">
        <v>1278000</v>
      </c>
    </row>
    <row r="326" spans="1:4">
      <c r="B326" t="s">
        <v>5377</v>
      </c>
      <c r="C326">
        <v>1</v>
      </c>
      <c r="D326" s="19">
        <v>317326.59000000003</v>
      </c>
    </row>
    <row r="327" spans="1:4">
      <c r="B327" t="s">
        <v>6288</v>
      </c>
      <c r="C327">
        <v>1</v>
      </c>
      <c r="D327" s="19">
        <v>1229270</v>
      </c>
    </row>
    <row r="328" spans="1:4">
      <c r="A328" s="23" t="s">
        <v>7943</v>
      </c>
      <c r="B328" s="23"/>
      <c r="C328">
        <v>4</v>
      </c>
      <c r="D328" s="19">
        <v>8575596.5899999999</v>
      </c>
    </row>
    <row r="329" spans="1:4">
      <c r="A329" s="23" t="s">
        <v>4389</v>
      </c>
      <c r="B329" t="s">
        <v>4386</v>
      </c>
      <c r="C329">
        <v>1</v>
      </c>
      <c r="D329" s="19">
        <v>598389.12</v>
      </c>
    </row>
    <row r="330" spans="1:4">
      <c r="B330" t="s">
        <v>4391</v>
      </c>
      <c r="C330">
        <v>1</v>
      </c>
      <c r="D330" s="19">
        <v>285600</v>
      </c>
    </row>
    <row r="331" spans="1:4">
      <c r="A331" s="23" t="s">
        <v>7772</v>
      </c>
      <c r="B331" s="23"/>
      <c r="C331">
        <v>2</v>
      </c>
      <c r="D331" s="19">
        <v>883989.12</v>
      </c>
    </row>
    <row r="332" spans="1:4">
      <c r="A332" s="23" t="s">
        <v>1311</v>
      </c>
      <c r="B332" t="s">
        <v>1321</v>
      </c>
      <c r="C332">
        <v>1</v>
      </c>
      <c r="D332" s="19">
        <v>1666000</v>
      </c>
    </row>
    <row r="333" spans="1:4">
      <c r="A333" s="23" t="s">
        <v>7773</v>
      </c>
      <c r="B333" s="23"/>
      <c r="C333">
        <v>1</v>
      </c>
      <c r="D333" s="19">
        <v>1666000</v>
      </c>
    </row>
    <row r="334" spans="1:4">
      <c r="A334" s="23" t="s">
        <v>955</v>
      </c>
      <c r="B334" t="s">
        <v>952</v>
      </c>
      <c r="C334">
        <v>1</v>
      </c>
      <c r="D334" s="19">
        <v>2939300</v>
      </c>
    </row>
    <row r="335" spans="1:4">
      <c r="B335" t="s">
        <v>2814</v>
      </c>
      <c r="C335">
        <v>1</v>
      </c>
      <c r="D335" s="19">
        <v>2528460</v>
      </c>
    </row>
    <row r="336" spans="1:4">
      <c r="A336" s="23" t="s">
        <v>7944</v>
      </c>
      <c r="B336" s="23"/>
      <c r="C336">
        <v>2</v>
      </c>
      <c r="D336" s="19">
        <v>5467760</v>
      </c>
    </row>
    <row r="337" spans="1:4">
      <c r="A337" s="23" t="s">
        <v>1723</v>
      </c>
      <c r="B337" t="s">
        <v>2890</v>
      </c>
      <c r="C337">
        <v>1</v>
      </c>
      <c r="D337" s="19">
        <v>74039.42</v>
      </c>
    </row>
    <row r="338" spans="1:4">
      <c r="B338" t="s">
        <v>6891</v>
      </c>
      <c r="C338">
        <v>1</v>
      </c>
      <c r="D338" s="19">
        <v>537827.64</v>
      </c>
    </row>
    <row r="339" spans="1:4">
      <c r="B339" t="s">
        <v>6911</v>
      </c>
      <c r="C339">
        <v>2</v>
      </c>
      <c r="D339" s="19">
        <v>213086.16</v>
      </c>
    </row>
    <row r="340" spans="1:4">
      <c r="A340" s="23" t="s">
        <v>7575</v>
      </c>
      <c r="B340" s="23"/>
      <c r="C340">
        <v>4</v>
      </c>
      <c r="D340" s="19">
        <v>824953.22</v>
      </c>
    </row>
    <row r="341" spans="1:4">
      <c r="A341" t="s">
        <v>1786</v>
      </c>
      <c r="B341" t="s">
        <v>1783</v>
      </c>
      <c r="C341">
        <v>1</v>
      </c>
      <c r="D341" s="19">
        <v>595000</v>
      </c>
    </row>
    <row r="342" spans="1:4">
      <c r="A342" s="20" t="s">
        <v>7945</v>
      </c>
      <c r="C342">
        <v>1</v>
      </c>
      <c r="D342" s="19">
        <v>595000</v>
      </c>
    </row>
    <row r="343" spans="1:4">
      <c r="A343" s="23" t="s">
        <v>4635</v>
      </c>
      <c r="B343" t="s">
        <v>6931</v>
      </c>
      <c r="C343">
        <v>1</v>
      </c>
      <c r="D343" s="19">
        <v>250097.54</v>
      </c>
    </row>
    <row r="344" spans="1:4">
      <c r="A344" s="23" t="s">
        <v>7775</v>
      </c>
      <c r="B344" s="23"/>
      <c r="C344">
        <v>1</v>
      </c>
      <c r="D344" s="19">
        <v>250097.54</v>
      </c>
    </row>
    <row r="345" spans="1:4">
      <c r="A345" s="23" t="s">
        <v>713</v>
      </c>
      <c r="B345" t="s">
        <v>710</v>
      </c>
      <c r="C345">
        <v>1</v>
      </c>
      <c r="D345" s="19">
        <v>5818743</v>
      </c>
    </row>
    <row r="346" spans="1:4">
      <c r="B346" t="s">
        <v>735</v>
      </c>
      <c r="C346">
        <v>1</v>
      </c>
      <c r="D346" s="19">
        <v>6999580</v>
      </c>
    </row>
    <row r="347" spans="1:4">
      <c r="B347" t="s">
        <v>5933</v>
      </c>
      <c r="C347">
        <v>1</v>
      </c>
      <c r="D347" s="19">
        <v>4460715</v>
      </c>
    </row>
    <row r="348" spans="1:4">
      <c r="A348" s="23" t="s">
        <v>7946</v>
      </c>
      <c r="B348" s="23"/>
      <c r="C348">
        <v>3</v>
      </c>
      <c r="D348" s="19">
        <v>17279038</v>
      </c>
    </row>
    <row r="349" spans="1:4">
      <c r="A349" t="s">
        <v>765</v>
      </c>
      <c r="B349" t="s">
        <v>4794</v>
      </c>
      <c r="C349">
        <v>1</v>
      </c>
      <c r="D349" s="19">
        <v>45339</v>
      </c>
    </row>
    <row r="350" spans="1:4">
      <c r="A350" s="20" t="s">
        <v>7577</v>
      </c>
      <c r="C350">
        <v>1</v>
      </c>
      <c r="D350" s="19">
        <v>45339</v>
      </c>
    </row>
    <row r="351" spans="1:4">
      <c r="A351" s="23" t="s">
        <v>2285</v>
      </c>
      <c r="B351" t="s">
        <v>2282</v>
      </c>
      <c r="C351">
        <v>1</v>
      </c>
      <c r="D351" s="19">
        <v>904400</v>
      </c>
    </row>
    <row r="352" spans="1:4">
      <c r="B352" t="s">
        <v>2831</v>
      </c>
      <c r="C352">
        <v>1</v>
      </c>
      <c r="D352" s="19">
        <v>4522000</v>
      </c>
    </row>
    <row r="353" spans="1:4">
      <c r="B353" t="s">
        <v>5374</v>
      </c>
      <c r="C353">
        <v>1</v>
      </c>
      <c r="D353" s="19">
        <v>248472</v>
      </c>
    </row>
    <row r="354" spans="1:4">
      <c r="B354" t="s">
        <v>7249</v>
      </c>
      <c r="C354">
        <v>1</v>
      </c>
      <c r="D354" s="19">
        <v>893928</v>
      </c>
    </row>
    <row r="355" spans="1:4">
      <c r="A355" s="23" t="s">
        <v>7947</v>
      </c>
      <c r="B355" s="23"/>
      <c r="C355">
        <v>4</v>
      </c>
      <c r="D355" s="19">
        <v>6568800</v>
      </c>
    </row>
    <row r="356" spans="1:4">
      <c r="A356" t="s">
        <v>593</v>
      </c>
      <c r="B356" t="s">
        <v>7216</v>
      </c>
      <c r="C356">
        <v>1</v>
      </c>
      <c r="D356" s="19">
        <v>724115</v>
      </c>
    </row>
    <row r="357" spans="1:4">
      <c r="A357" s="20" t="s">
        <v>7578</v>
      </c>
      <c r="C357">
        <v>1</v>
      </c>
      <c r="D357" s="19">
        <v>724115</v>
      </c>
    </row>
    <row r="358" spans="1:4">
      <c r="A358" s="23" t="s">
        <v>794</v>
      </c>
      <c r="B358" t="s">
        <v>791</v>
      </c>
      <c r="C358">
        <v>1</v>
      </c>
      <c r="D358" s="19">
        <v>458150</v>
      </c>
    </row>
    <row r="359" spans="1:4">
      <c r="B359" t="s">
        <v>6766</v>
      </c>
      <c r="C359">
        <v>1</v>
      </c>
      <c r="D359" s="19">
        <v>119000</v>
      </c>
    </row>
    <row r="360" spans="1:4">
      <c r="A360" s="23" t="s">
        <v>7579</v>
      </c>
      <c r="B360" s="23"/>
      <c r="C360">
        <v>2</v>
      </c>
      <c r="D360" s="19">
        <v>577150</v>
      </c>
    </row>
    <row r="361" spans="1:4">
      <c r="A361" s="23" t="s">
        <v>1648</v>
      </c>
      <c r="B361" t="s">
        <v>6803</v>
      </c>
      <c r="C361">
        <v>1</v>
      </c>
      <c r="D361" s="19">
        <v>1185597</v>
      </c>
    </row>
    <row r="362" spans="1:4">
      <c r="B362" t="s">
        <v>6811</v>
      </c>
      <c r="C362">
        <v>1</v>
      </c>
      <c r="D362" s="19">
        <v>557189</v>
      </c>
    </row>
    <row r="363" spans="1:4">
      <c r="B363" t="s">
        <v>6814</v>
      </c>
      <c r="C363">
        <v>1</v>
      </c>
      <c r="D363" s="19">
        <v>312375</v>
      </c>
    </row>
    <row r="364" spans="1:4">
      <c r="B364" t="s">
        <v>6817</v>
      </c>
      <c r="C364">
        <v>1</v>
      </c>
      <c r="D364" s="19">
        <v>46678.5</v>
      </c>
    </row>
    <row r="365" spans="1:4">
      <c r="B365" t="s">
        <v>6820</v>
      </c>
      <c r="C365">
        <v>1</v>
      </c>
      <c r="D365" s="19">
        <v>650264</v>
      </c>
    </row>
    <row r="366" spans="1:4">
      <c r="A366" s="23" t="s">
        <v>7777</v>
      </c>
      <c r="B366" s="23"/>
      <c r="C366">
        <v>5</v>
      </c>
      <c r="D366" s="19">
        <v>2752103.5</v>
      </c>
    </row>
    <row r="367" spans="1:4">
      <c r="A367" s="23" t="s">
        <v>3802</v>
      </c>
      <c r="B367" t="s">
        <v>3799</v>
      </c>
      <c r="C367">
        <v>1</v>
      </c>
      <c r="D367" s="19">
        <v>2010901.62</v>
      </c>
    </row>
    <row r="368" spans="1:4">
      <c r="B368" t="s">
        <v>6834</v>
      </c>
      <c r="C368">
        <v>1</v>
      </c>
      <c r="D368" s="19">
        <v>320705</v>
      </c>
    </row>
    <row r="369" spans="1:4">
      <c r="A369" s="23" t="s">
        <v>7948</v>
      </c>
      <c r="B369" s="23"/>
      <c r="C369">
        <v>2</v>
      </c>
      <c r="D369" s="19">
        <v>2331606.62</v>
      </c>
    </row>
    <row r="370" spans="1:4">
      <c r="A370" s="23" t="s">
        <v>1749</v>
      </c>
      <c r="B370" t="s">
        <v>1746</v>
      </c>
      <c r="C370">
        <v>1</v>
      </c>
      <c r="D370" s="19">
        <v>2970240</v>
      </c>
    </row>
    <row r="371" spans="1:4">
      <c r="B371" t="s">
        <v>2226</v>
      </c>
      <c r="C371">
        <v>1</v>
      </c>
      <c r="D371" s="19">
        <v>2085000</v>
      </c>
    </row>
    <row r="372" spans="1:4">
      <c r="B372" t="s">
        <v>6857</v>
      </c>
      <c r="C372">
        <v>1</v>
      </c>
      <c r="D372" s="19">
        <v>379610</v>
      </c>
    </row>
    <row r="373" spans="1:4">
      <c r="A373" s="23" t="s">
        <v>7949</v>
      </c>
      <c r="B373" s="23"/>
      <c r="C373">
        <v>3</v>
      </c>
      <c r="D373" s="19">
        <v>5434850</v>
      </c>
    </row>
    <row r="374" spans="1:4">
      <c r="A374" s="23" t="s">
        <v>7244</v>
      </c>
      <c r="B374" t="s">
        <v>7241</v>
      </c>
      <c r="C374">
        <v>1</v>
      </c>
      <c r="D374" s="19">
        <v>218960</v>
      </c>
    </row>
    <row r="375" spans="1:4">
      <c r="A375" s="23" t="s">
        <v>7950</v>
      </c>
      <c r="B375" s="23"/>
      <c r="C375">
        <v>1</v>
      </c>
      <c r="D375" s="19">
        <v>218960</v>
      </c>
    </row>
    <row r="376" spans="1:4">
      <c r="A376" s="23" t="s">
        <v>107</v>
      </c>
      <c r="B376" t="s">
        <v>104</v>
      </c>
      <c r="C376">
        <v>1</v>
      </c>
      <c r="D376" s="19">
        <v>6512509.4299999997</v>
      </c>
    </row>
    <row r="377" spans="1:4">
      <c r="A377" s="23" t="s">
        <v>7951</v>
      </c>
      <c r="B377" s="23"/>
      <c r="C377">
        <v>1</v>
      </c>
      <c r="D377" s="19">
        <v>6512509.4299999997</v>
      </c>
    </row>
    <row r="378" spans="1:4">
      <c r="A378" s="23" t="s">
        <v>4171</v>
      </c>
      <c r="B378" t="s">
        <v>4168</v>
      </c>
      <c r="C378">
        <v>1</v>
      </c>
      <c r="D378" s="19">
        <v>1606500</v>
      </c>
    </row>
    <row r="379" spans="1:4">
      <c r="A379" s="23" t="s">
        <v>7952</v>
      </c>
      <c r="B379" s="23"/>
      <c r="C379">
        <v>1</v>
      </c>
      <c r="D379" s="19">
        <v>1606500</v>
      </c>
    </row>
    <row r="380" spans="1:4">
      <c r="A380" t="s">
        <v>2261</v>
      </c>
      <c r="B380" t="s">
        <v>6114</v>
      </c>
      <c r="C380">
        <v>1</v>
      </c>
      <c r="D380" s="19">
        <v>1285200</v>
      </c>
    </row>
    <row r="381" spans="1:4">
      <c r="A381"/>
      <c r="B381" t="s">
        <v>6589</v>
      </c>
      <c r="C381">
        <v>1</v>
      </c>
      <c r="D381" s="19">
        <v>682045</v>
      </c>
    </row>
    <row r="382" spans="1:4">
      <c r="A382" s="20" t="s">
        <v>7779</v>
      </c>
      <c r="C382">
        <v>2</v>
      </c>
      <c r="D382" s="19">
        <v>1967245</v>
      </c>
    </row>
    <row r="383" spans="1:4">
      <c r="A383" s="23" t="s">
        <v>6096</v>
      </c>
      <c r="B383" t="s">
        <v>6093</v>
      </c>
      <c r="C383">
        <v>1</v>
      </c>
      <c r="D383" s="19">
        <v>1106114.75</v>
      </c>
    </row>
    <row r="384" spans="1:4">
      <c r="A384" s="23" t="s">
        <v>7953</v>
      </c>
      <c r="B384" s="23"/>
      <c r="C384">
        <v>1</v>
      </c>
      <c r="D384" s="19">
        <v>1106114.75</v>
      </c>
    </row>
    <row r="385" spans="1:4">
      <c r="A385" s="23" t="s">
        <v>1946</v>
      </c>
      <c r="B385" t="s">
        <v>1943</v>
      </c>
      <c r="C385">
        <v>1</v>
      </c>
      <c r="D385" s="19">
        <v>576412.1</v>
      </c>
    </row>
    <row r="386" spans="1:4">
      <c r="A386" s="23" t="s">
        <v>7954</v>
      </c>
      <c r="B386" s="23"/>
      <c r="C386">
        <v>1</v>
      </c>
      <c r="D386" s="19">
        <v>576412.1</v>
      </c>
    </row>
    <row r="387" spans="1:4">
      <c r="A387" t="s">
        <v>6987</v>
      </c>
      <c r="B387" t="s">
        <v>6983</v>
      </c>
      <c r="C387">
        <v>1</v>
      </c>
      <c r="D387" s="19">
        <v>23324000</v>
      </c>
    </row>
    <row r="388" spans="1:4">
      <c r="A388" s="20" t="s">
        <v>7955</v>
      </c>
      <c r="C388">
        <v>1</v>
      </c>
      <c r="D388" s="19">
        <v>23324000</v>
      </c>
    </row>
    <row r="389" spans="1:4">
      <c r="A389" s="23" t="s">
        <v>1062</v>
      </c>
      <c r="B389" t="s">
        <v>1059</v>
      </c>
      <c r="C389">
        <v>1</v>
      </c>
      <c r="D389" s="19">
        <v>207488.4</v>
      </c>
    </row>
    <row r="390" spans="1:4">
      <c r="A390" s="23" t="s">
        <v>7956</v>
      </c>
      <c r="B390" s="23"/>
      <c r="C390">
        <v>1</v>
      </c>
      <c r="D390" s="19">
        <v>207488.4</v>
      </c>
    </row>
    <row r="391" spans="1:4">
      <c r="A391" s="23" t="s">
        <v>3633</v>
      </c>
      <c r="B391" t="s">
        <v>3630</v>
      </c>
      <c r="C391">
        <v>1</v>
      </c>
      <c r="D391" s="19">
        <v>888724.13</v>
      </c>
    </row>
    <row r="392" spans="1:4">
      <c r="B392" t="s">
        <v>4457</v>
      </c>
      <c r="C392">
        <v>1</v>
      </c>
      <c r="D392" s="19">
        <v>178500</v>
      </c>
    </row>
    <row r="393" spans="1:4">
      <c r="A393" s="23" t="s">
        <v>7957</v>
      </c>
      <c r="B393" s="23"/>
      <c r="C393">
        <v>2</v>
      </c>
      <c r="D393" s="19">
        <v>1067224.1299999999</v>
      </c>
    </row>
    <row r="394" spans="1:4">
      <c r="A394" s="23" t="s">
        <v>617</v>
      </c>
      <c r="B394" t="s">
        <v>614</v>
      </c>
      <c r="C394">
        <v>1</v>
      </c>
      <c r="D394" s="19">
        <v>1135260</v>
      </c>
    </row>
    <row r="395" spans="1:4">
      <c r="B395" t="s">
        <v>905</v>
      </c>
      <c r="C395">
        <v>1</v>
      </c>
      <c r="D395" s="19">
        <v>1445011.05</v>
      </c>
    </row>
    <row r="396" spans="1:4">
      <c r="B396" t="s">
        <v>2041</v>
      </c>
      <c r="C396">
        <v>1</v>
      </c>
      <c r="D396" s="19">
        <v>321300</v>
      </c>
    </row>
    <row r="397" spans="1:4">
      <c r="B397" t="s">
        <v>4454</v>
      </c>
      <c r="C397">
        <v>1</v>
      </c>
      <c r="D397" s="19">
        <v>892500</v>
      </c>
    </row>
    <row r="398" spans="1:4">
      <c r="B398" t="s">
        <v>5015</v>
      </c>
      <c r="C398">
        <v>1</v>
      </c>
      <c r="D398" s="19">
        <v>921369.4</v>
      </c>
    </row>
    <row r="399" spans="1:4">
      <c r="B399" t="s">
        <v>5227</v>
      </c>
      <c r="C399">
        <v>1</v>
      </c>
      <c r="D399" s="19">
        <v>22562400</v>
      </c>
    </row>
    <row r="400" spans="1:4">
      <c r="A400" s="23" t="s">
        <v>7958</v>
      </c>
      <c r="B400" s="23"/>
      <c r="C400">
        <v>6</v>
      </c>
      <c r="D400" s="19">
        <v>27277840.449999999</v>
      </c>
    </row>
    <row r="401" spans="1:4">
      <c r="A401" s="23" t="s">
        <v>3297</v>
      </c>
      <c r="B401" t="s">
        <v>3294</v>
      </c>
      <c r="C401">
        <v>1</v>
      </c>
      <c r="D401" s="19">
        <v>3660440</v>
      </c>
    </row>
    <row r="402" spans="1:4">
      <c r="B402" t="s">
        <v>3299</v>
      </c>
      <c r="C402">
        <v>1</v>
      </c>
      <c r="D402" s="19">
        <v>877614.5</v>
      </c>
    </row>
    <row r="403" spans="1:4">
      <c r="A403" s="23" t="s">
        <v>7959</v>
      </c>
      <c r="B403" s="23"/>
      <c r="C403">
        <v>2</v>
      </c>
      <c r="D403" s="19">
        <v>4538054.5</v>
      </c>
    </row>
    <row r="404" spans="1:4">
      <c r="A404" t="s">
        <v>3121</v>
      </c>
      <c r="B404" t="s">
        <v>7157</v>
      </c>
      <c r="C404">
        <v>1</v>
      </c>
      <c r="D404" s="19">
        <v>446964</v>
      </c>
    </row>
    <row r="405" spans="1:4">
      <c r="A405" s="20" t="s">
        <v>7587</v>
      </c>
      <c r="C405">
        <v>1</v>
      </c>
      <c r="D405" s="19">
        <v>446964</v>
      </c>
    </row>
    <row r="406" spans="1:4">
      <c r="A406" s="23" t="s">
        <v>2211</v>
      </c>
      <c r="B406" t="s">
        <v>2208</v>
      </c>
      <c r="C406">
        <v>1</v>
      </c>
      <c r="D406" s="19">
        <v>1416100</v>
      </c>
    </row>
    <row r="407" spans="1:4">
      <c r="A407" s="23" t="s">
        <v>7960</v>
      </c>
      <c r="B407" s="23"/>
      <c r="C407">
        <v>1</v>
      </c>
      <c r="D407" s="19">
        <v>1416100</v>
      </c>
    </row>
    <row r="408" spans="1:4">
      <c r="A408" s="23" t="s">
        <v>3880</v>
      </c>
      <c r="B408" t="s">
        <v>3877</v>
      </c>
      <c r="C408">
        <v>1</v>
      </c>
      <c r="D408" s="19">
        <v>327250</v>
      </c>
    </row>
    <row r="409" spans="1:4">
      <c r="B409" t="s">
        <v>4845</v>
      </c>
      <c r="C409">
        <v>1</v>
      </c>
      <c r="D409" s="19">
        <v>314160</v>
      </c>
    </row>
    <row r="410" spans="1:4">
      <c r="A410" s="23" t="s">
        <v>7961</v>
      </c>
      <c r="B410" s="23"/>
      <c r="C410">
        <v>2</v>
      </c>
      <c r="D410" s="19">
        <v>641410</v>
      </c>
    </row>
    <row r="411" spans="1:4">
      <c r="A411" s="23" t="s">
        <v>2564</v>
      </c>
      <c r="B411" t="s">
        <v>2561</v>
      </c>
      <c r="C411">
        <v>1</v>
      </c>
      <c r="D411" s="19">
        <v>197659</v>
      </c>
    </row>
    <row r="412" spans="1:4">
      <c r="B412" t="s">
        <v>2566</v>
      </c>
      <c r="C412">
        <v>1</v>
      </c>
      <c r="D412" s="19">
        <v>288218</v>
      </c>
    </row>
    <row r="413" spans="1:4">
      <c r="B413" t="s">
        <v>2582</v>
      </c>
      <c r="C413">
        <v>1</v>
      </c>
      <c r="D413" s="19">
        <v>803250</v>
      </c>
    </row>
    <row r="414" spans="1:4">
      <c r="B414" t="s">
        <v>2585</v>
      </c>
      <c r="C414">
        <v>1</v>
      </c>
      <c r="D414" s="19">
        <v>264656</v>
      </c>
    </row>
    <row r="415" spans="1:4">
      <c r="B415" t="s">
        <v>3714</v>
      </c>
      <c r="C415">
        <v>1</v>
      </c>
      <c r="D415" s="19">
        <v>902020</v>
      </c>
    </row>
    <row r="416" spans="1:4">
      <c r="B416" t="s">
        <v>5963</v>
      </c>
      <c r="C416">
        <v>1</v>
      </c>
      <c r="D416" s="19">
        <v>2661532.58</v>
      </c>
    </row>
    <row r="417" spans="1:4">
      <c r="B417" t="s">
        <v>6914</v>
      </c>
      <c r="C417">
        <v>2</v>
      </c>
      <c r="D417" s="19">
        <v>24816334.16</v>
      </c>
    </row>
    <row r="418" spans="1:4">
      <c r="B418" t="s">
        <v>7112</v>
      </c>
      <c r="C418">
        <v>1</v>
      </c>
      <c r="D418" s="19">
        <v>17028804.800000001</v>
      </c>
    </row>
    <row r="419" spans="1:4">
      <c r="B419" t="s">
        <v>7125</v>
      </c>
      <c r="C419">
        <v>1</v>
      </c>
      <c r="D419" s="19">
        <v>4489136.07</v>
      </c>
    </row>
    <row r="420" spans="1:4">
      <c r="A420" s="23" t="s">
        <v>7962</v>
      </c>
      <c r="B420" s="23"/>
      <c r="C420">
        <v>10</v>
      </c>
      <c r="D420" s="19">
        <v>51451610.610000007</v>
      </c>
    </row>
    <row r="421" spans="1:4">
      <c r="A421" s="23" t="s">
        <v>1630</v>
      </c>
      <c r="B421" t="s">
        <v>1627</v>
      </c>
      <c r="C421">
        <v>1</v>
      </c>
      <c r="D421" s="19">
        <v>64260</v>
      </c>
    </row>
    <row r="422" spans="1:4">
      <c r="B422" t="s">
        <v>5565</v>
      </c>
      <c r="C422">
        <v>1</v>
      </c>
      <c r="D422" s="19">
        <v>2653636.2000000002</v>
      </c>
    </row>
    <row r="423" spans="1:4">
      <c r="B423" t="s">
        <v>6339</v>
      </c>
      <c r="C423">
        <v>1</v>
      </c>
      <c r="D423" s="19">
        <v>714000</v>
      </c>
    </row>
    <row r="424" spans="1:4">
      <c r="B424" t="s">
        <v>6342</v>
      </c>
      <c r="C424">
        <v>1</v>
      </c>
      <c r="D424" s="19">
        <v>304640</v>
      </c>
    </row>
    <row r="425" spans="1:4">
      <c r="A425" s="23" t="s">
        <v>7590</v>
      </c>
      <c r="B425" s="23"/>
      <c r="C425">
        <v>4</v>
      </c>
      <c r="D425" s="19">
        <v>3736536.2</v>
      </c>
    </row>
    <row r="426" spans="1:4">
      <c r="A426" t="s">
        <v>5303</v>
      </c>
      <c r="B426" t="s">
        <v>5495</v>
      </c>
      <c r="C426">
        <v>1</v>
      </c>
      <c r="D426" s="19">
        <v>2728344</v>
      </c>
    </row>
    <row r="427" spans="1:4">
      <c r="A427"/>
      <c r="B427" t="s">
        <v>5498</v>
      </c>
      <c r="C427">
        <v>1</v>
      </c>
      <c r="D427" s="19">
        <v>9839462</v>
      </c>
    </row>
    <row r="428" spans="1:4">
      <c r="A428"/>
      <c r="B428" t="s">
        <v>5501</v>
      </c>
      <c r="C428">
        <v>1</v>
      </c>
      <c r="D428" s="19">
        <v>1820742.84</v>
      </c>
    </row>
    <row r="429" spans="1:4">
      <c r="A429" s="20" t="s">
        <v>7963</v>
      </c>
      <c r="C429">
        <v>3</v>
      </c>
      <c r="D429" s="19">
        <v>14388548.84</v>
      </c>
    </row>
    <row r="430" spans="1:4">
      <c r="A430" s="23" t="s">
        <v>633</v>
      </c>
      <c r="B430" t="s">
        <v>977</v>
      </c>
      <c r="C430">
        <v>1</v>
      </c>
      <c r="D430" s="19">
        <v>678300</v>
      </c>
    </row>
    <row r="431" spans="1:4">
      <c r="B431" t="s">
        <v>980</v>
      </c>
      <c r="C431">
        <v>1</v>
      </c>
      <c r="D431" s="19">
        <v>6902000</v>
      </c>
    </row>
    <row r="432" spans="1:4">
      <c r="B432" t="s">
        <v>983</v>
      </c>
      <c r="C432">
        <v>1</v>
      </c>
      <c r="D432" s="19">
        <v>427091</v>
      </c>
    </row>
    <row r="433" spans="1:4">
      <c r="B433" t="s">
        <v>986</v>
      </c>
      <c r="C433">
        <v>1</v>
      </c>
      <c r="D433" s="19">
        <v>4740750</v>
      </c>
    </row>
    <row r="434" spans="1:4">
      <c r="B434" t="s">
        <v>4103</v>
      </c>
      <c r="C434">
        <v>1</v>
      </c>
      <c r="D434" s="19">
        <v>2784195.4</v>
      </c>
    </row>
    <row r="435" spans="1:4">
      <c r="B435" t="s">
        <v>4292</v>
      </c>
      <c r="C435">
        <v>1</v>
      </c>
      <c r="D435" s="19">
        <v>3912230.7</v>
      </c>
    </row>
    <row r="436" spans="1:4">
      <c r="B436" t="s">
        <v>4904</v>
      </c>
      <c r="C436">
        <v>1</v>
      </c>
      <c r="D436" s="19">
        <v>345100</v>
      </c>
    </row>
    <row r="437" spans="1:4">
      <c r="B437" t="s">
        <v>4949</v>
      </c>
      <c r="C437">
        <v>1</v>
      </c>
      <c r="D437" s="19">
        <v>4304902</v>
      </c>
    </row>
    <row r="438" spans="1:4">
      <c r="B438" t="s">
        <v>5579</v>
      </c>
      <c r="C438">
        <v>1</v>
      </c>
      <c r="D438" s="19">
        <v>326119.5</v>
      </c>
    </row>
    <row r="439" spans="1:4">
      <c r="A439" s="23" t="s">
        <v>7784</v>
      </c>
      <c r="B439" s="23"/>
      <c r="C439">
        <v>9</v>
      </c>
      <c r="D439" s="19">
        <v>24420688.600000001</v>
      </c>
    </row>
    <row r="440" spans="1:4">
      <c r="A440" s="23" t="s">
        <v>7098</v>
      </c>
      <c r="B440" t="s">
        <v>7095</v>
      </c>
      <c r="C440">
        <v>1</v>
      </c>
      <c r="D440" s="19">
        <v>1211384.3</v>
      </c>
    </row>
    <row r="441" spans="1:4">
      <c r="A441" s="23" t="s">
        <v>7964</v>
      </c>
      <c r="B441" s="23"/>
      <c r="C441">
        <v>1</v>
      </c>
      <c r="D441" s="19">
        <v>1211384.3</v>
      </c>
    </row>
    <row r="442" spans="1:4">
      <c r="A442" t="s">
        <v>2725</v>
      </c>
      <c r="B442" t="s">
        <v>2722</v>
      </c>
      <c r="C442">
        <v>1</v>
      </c>
      <c r="D442" s="19">
        <v>892500</v>
      </c>
    </row>
    <row r="443" spans="1:4">
      <c r="A443" s="20" t="s">
        <v>7965</v>
      </c>
      <c r="C443">
        <v>1</v>
      </c>
      <c r="D443" s="19">
        <v>892500</v>
      </c>
    </row>
    <row r="444" spans="1:4">
      <c r="A444" s="23" t="s">
        <v>4548</v>
      </c>
      <c r="B444" t="s">
        <v>4545</v>
      </c>
      <c r="C444">
        <v>1</v>
      </c>
      <c r="D444" s="19">
        <v>425425</v>
      </c>
    </row>
    <row r="445" spans="1:4">
      <c r="B445" t="s">
        <v>4791</v>
      </c>
      <c r="C445">
        <v>1</v>
      </c>
      <c r="D445" s="19">
        <v>490875</v>
      </c>
    </row>
    <row r="446" spans="1:4">
      <c r="A446" s="23" t="s">
        <v>7966</v>
      </c>
      <c r="B446" s="23"/>
      <c r="C446">
        <v>2</v>
      </c>
      <c r="D446" s="19">
        <v>916300</v>
      </c>
    </row>
    <row r="447" spans="1:4">
      <c r="A447" t="s">
        <v>4109</v>
      </c>
      <c r="B447" t="s">
        <v>4106</v>
      </c>
      <c r="C447">
        <v>1</v>
      </c>
      <c r="D447" s="19">
        <v>1099490</v>
      </c>
    </row>
    <row r="448" spans="1:4">
      <c r="A448" s="20" t="s">
        <v>7967</v>
      </c>
      <c r="C448">
        <v>1</v>
      </c>
      <c r="D448" s="19">
        <v>1099490</v>
      </c>
    </row>
    <row r="449" spans="1:4">
      <c r="A449" s="23" t="s">
        <v>1280</v>
      </c>
      <c r="B449" t="s">
        <v>1277</v>
      </c>
      <c r="C449">
        <v>1</v>
      </c>
      <c r="D449" s="19">
        <v>1756440</v>
      </c>
    </row>
    <row r="450" spans="1:4">
      <c r="A450" s="23" t="s">
        <v>7968</v>
      </c>
      <c r="B450" s="23"/>
      <c r="C450">
        <v>1</v>
      </c>
      <c r="D450" s="19">
        <v>1756440</v>
      </c>
    </row>
    <row r="451" spans="1:4">
      <c r="A451" s="23" t="s">
        <v>6530</v>
      </c>
      <c r="B451" t="s">
        <v>6527</v>
      </c>
      <c r="C451">
        <v>1</v>
      </c>
      <c r="D451" s="19">
        <v>1146684</v>
      </c>
    </row>
    <row r="452" spans="1:4">
      <c r="A452" s="23" t="s">
        <v>7969</v>
      </c>
      <c r="B452" s="23"/>
      <c r="C452">
        <v>1</v>
      </c>
      <c r="D452" s="19">
        <v>1146684</v>
      </c>
    </row>
    <row r="453" spans="1:4">
      <c r="A453" s="23" t="s">
        <v>3038</v>
      </c>
      <c r="B453" t="s">
        <v>3035</v>
      </c>
      <c r="C453">
        <v>1</v>
      </c>
      <c r="D453" s="19">
        <v>448630</v>
      </c>
    </row>
    <row r="454" spans="1:4">
      <c r="B454" t="s">
        <v>4881</v>
      </c>
      <c r="C454">
        <v>1</v>
      </c>
      <c r="D454" s="19">
        <v>252280</v>
      </c>
    </row>
    <row r="455" spans="1:4">
      <c r="B455" t="s">
        <v>7246</v>
      </c>
      <c r="C455">
        <v>1</v>
      </c>
      <c r="D455" s="19">
        <v>397460</v>
      </c>
    </row>
    <row r="456" spans="1:4">
      <c r="B456" t="s">
        <v>7520</v>
      </c>
      <c r="C456">
        <v>1</v>
      </c>
      <c r="D456" s="19">
        <v>894880</v>
      </c>
    </row>
    <row r="457" spans="1:4">
      <c r="A457" s="23" t="s">
        <v>7970</v>
      </c>
      <c r="B457" s="23"/>
      <c r="C457">
        <v>4</v>
      </c>
      <c r="D457" s="19">
        <v>1993250</v>
      </c>
    </row>
    <row r="458" spans="1:4">
      <c r="A458" s="23" t="s">
        <v>7093</v>
      </c>
      <c r="B458" t="s">
        <v>7090</v>
      </c>
      <c r="C458">
        <v>1</v>
      </c>
      <c r="D458" s="19">
        <v>564952.5</v>
      </c>
    </row>
    <row r="459" spans="1:4">
      <c r="B459" t="s">
        <v>7270</v>
      </c>
      <c r="C459">
        <v>1</v>
      </c>
      <c r="D459" s="19">
        <v>282625</v>
      </c>
    </row>
    <row r="460" spans="1:4">
      <c r="A460" s="23" t="s">
        <v>7971</v>
      </c>
      <c r="B460" s="23"/>
      <c r="C460">
        <v>2</v>
      </c>
      <c r="D460" s="19">
        <v>847577.5</v>
      </c>
    </row>
    <row r="461" spans="1:4">
      <c r="A461" t="s">
        <v>6832</v>
      </c>
      <c r="B461" t="s">
        <v>6829</v>
      </c>
      <c r="C461">
        <v>1</v>
      </c>
      <c r="D461" s="19">
        <v>1059100</v>
      </c>
    </row>
    <row r="462" spans="1:4">
      <c r="A462"/>
      <c r="B462" t="s">
        <v>7210</v>
      </c>
      <c r="C462">
        <v>1</v>
      </c>
      <c r="D462" s="19">
        <v>165410</v>
      </c>
    </row>
    <row r="463" spans="1:4">
      <c r="A463" s="20" t="s">
        <v>7972</v>
      </c>
      <c r="C463">
        <v>2</v>
      </c>
      <c r="D463" s="19">
        <v>1224510</v>
      </c>
    </row>
    <row r="464" spans="1:4">
      <c r="A464" s="23" t="s">
        <v>670</v>
      </c>
      <c r="B464" t="s">
        <v>1896</v>
      </c>
      <c r="C464">
        <v>1</v>
      </c>
      <c r="D464" s="19">
        <v>785820</v>
      </c>
    </row>
    <row r="465" spans="1:4">
      <c r="A465" s="23" t="s">
        <v>7786</v>
      </c>
      <c r="B465" s="23"/>
      <c r="C465">
        <v>1</v>
      </c>
      <c r="D465" s="19">
        <v>785820</v>
      </c>
    </row>
    <row r="466" spans="1:4">
      <c r="A466" s="23" t="s">
        <v>1290</v>
      </c>
      <c r="B466" t="s">
        <v>1287</v>
      </c>
      <c r="C466">
        <v>1</v>
      </c>
      <c r="D466" s="19">
        <v>11890480</v>
      </c>
    </row>
    <row r="467" spans="1:4">
      <c r="A467" s="23" t="s">
        <v>7973</v>
      </c>
      <c r="B467" s="23"/>
      <c r="C467">
        <v>1</v>
      </c>
      <c r="D467" s="19">
        <v>11890480</v>
      </c>
    </row>
    <row r="468" spans="1:4">
      <c r="A468" s="23" t="s">
        <v>1659</v>
      </c>
      <c r="B468" t="s">
        <v>1656</v>
      </c>
      <c r="C468">
        <v>1</v>
      </c>
      <c r="D468" s="19">
        <v>1689954</v>
      </c>
    </row>
    <row r="469" spans="1:4">
      <c r="A469" s="23" t="s">
        <v>7974</v>
      </c>
      <c r="B469" s="23"/>
      <c r="C469">
        <v>1</v>
      </c>
      <c r="D469" s="19">
        <v>1689954</v>
      </c>
    </row>
    <row r="470" spans="1:4">
      <c r="A470" s="23" t="s">
        <v>443</v>
      </c>
      <c r="B470" t="s">
        <v>440</v>
      </c>
      <c r="C470">
        <v>1</v>
      </c>
      <c r="D470" s="19">
        <v>4522000</v>
      </c>
    </row>
    <row r="471" spans="1:4">
      <c r="A471" s="23" t="s">
        <v>7975</v>
      </c>
      <c r="B471" s="23"/>
      <c r="C471">
        <v>1</v>
      </c>
      <c r="D471" s="19">
        <v>4522000</v>
      </c>
    </row>
    <row r="472" spans="1:4">
      <c r="A472" s="23" t="s">
        <v>4463</v>
      </c>
      <c r="B472" t="s">
        <v>4460</v>
      </c>
      <c r="C472">
        <v>1</v>
      </c>
      <c r="D472" s="19">
        <v>221340</v>
      </c>
    </row>
    <row r="473" spans="1:4">
      <c r="A473" s="23" t="s">
        <v>7976</v>
      </c>
      <c r="B473" s="23"/>
      <c r="C473">
        <v>1</v>
      </c>
      <c r="D473" s="19">
        <v>221340</v>
      </c>
    </row>
    <row r="474" spans="1:4">
      <c r="A474" s="23" t="s">
        <v>1106</v>
      </c>
      <c r="B474" t="s">
        <v>1103</v>
      </c>
      <c r="C474">
        <v>1</v>
      </c>
      <c r="D474" s="19">
        <v>2277379</v>
      </c>
    </row>
    <row r="475" spans="1:4">
      <c r="B475" t="s">
        <v>7442</v>
      </c>
      <c r="C475">
        <v>1</v>
      </c>
      <c r="D475" s="19">
        <v>224910</v>
      </c>
    </row>
    <row r="476" spans="1:4">
      <c r="A476" s="23" t="s">
        <v>7977</v>
      </c>
      <c r="B476" s="23"/>
      <c r="C476">
        <v>2</v>
      </c>
      <c r="D476" s="19">
        <v>2502289</v>
      </c>
    </row>
    <row r="477" spans="1:4">
      <c r="A477" t="s">
        <v>2332</v>
      </c>
      <c r="B477" t="s">
        <v>5112</v>
      </c>
      <c r="C477">
        <v>1</v>
      </c>
      <c r="D477" s="19">
        <v>886550</v>
      </c>
    </row>
    <row r="478" spans="1:4">
      <c r="A478" s="20" t="s">
        <v>7719</v>
      </c>
      <c r="C478">
        <v>1</v>
      </c>
      <c r="D478" s="19">
        <v>886550</v>
      </c>
    </row>
    <row r="479" spans="1:4">
      <c r="A479" s="23" t="s">
        <v>1606</v>
      </c>
      <c r="B479" t="s">
        <v>1603</v>
      </c>
      <c r="C479">
        <v>1</v>
      </c>
      <c r="D479" s="19">
        <v>562774.80000000005</v>
      </c>
    </row>
    <row r="480" spans="1:4">
      <c r="B480" t="s">
        <v>7128</v>
      </c>
      <c r="C480">
        <v>1</v>
      </c>
      <c r="D480" s="19">
        <v>197540</v>
      </c>
    </row>
    <row r="481" spans="1:4">
      <c r="B481" t="s">
        <v>7131</v>
      </c>
      <c r="C481">
        <v>1</v>
      </c>
      <c r="D481" s="19">
        <v>528740.80000000005</v>
      </c>
    </row>
    <row r="482" spans="1:4">
      <c r="B482" t="s">
        <v>7140</v>
      </c>
      <c r="C482">
        <v>1</v>
      </c>
      <c r="D482" s="19">
        <v>1573431.07</v>
      </c>
    </row>
    <row r="483" spans="1:4">
      <c r="A483" s="23" t="s">
        <v>7978</v>
      </c>
      <c r="B483" s="23"/>
      <c r="C483">
        <v>4</v>
      </c>
      <c r="D483" s="19">
        <v>2862486.67</v>
      </c>
    </row>
    <row r="484" spans="1:4">
      <c r="A484" s="23" t="s">
        <v>1452</v>
      </c>
      <c r="B484" t="s">
        <v>1449</v>
      </c>
      <c r="C484">
        <v>1</v>
      </c>
      <c r="D484" s="19">
        <v>810985</v>
      </c>
    </row>
    <row r="485" spans="1:4">
      <c r="A485" s="23" t="s">
        <v>7979</v>
      </c>
      <c r="B485" s="23"/>
      <c r="C485">
        <v>1</v>
      </c>
      <c r="D485" s="19">
        <v>810985</v>
      </c>
    </row>
    <row r="486" spans="1:4">
      <c r="A486" s="23" t="s">
        <v>5391</v>
      </c>
      <c r="B486" t="s">
        <v>5388</v>
      </c>
      <c r="C486">
        <v>1</v>
      </c>
      <c r="D486" s="19">
        <v>2390304.4900000002</v>
      </c>
    </row>
    <row r="487" spans="1:4">
      <c r="A487" s="23" t="s">
        <v>7980</v>
      </c>
      <c r="B487" s="23"/>
      <c r="C487">
        <v>1</v>
      </c>
      <c r="D487" s="19">
        <v>2390304.4900000002</v>
      </c>
    </row>
    <row r="488" spans="1:4">
      <c r="A488" t="s">
        <v>2203</v>
      </c>
      <c r="B488" t="s">
        <v>3922</v>
      </c>
      <c r="C488">
        <v>1</v>
      </c>
      <c r="D488" s="19">
        <v>1575140</v>
      </c>
    </row>
    <row r="489" spans="1:4">
      <c r="A489"/>
      <c r="B489" t="s">
        <v>3925</v>
      </c>
      <c r="C489">
        <v>1</v>
      </c>
      <c r="D489" s="19">
        <v>1575140</v>
      </c>
    </row>
    <row r="490" spans="1:4">
      <c r="A490"/>
      <c r="B490" t="s">
        <v>5817</v>
      </c>
      <c r="C490">
        <v>1</v>
      </c>
      <c r="D490" s="19">
        <v>9450840</v>
      </c>
    </row>
    <row r="491" spans="1:4">
      <c r="A491"/>
      <c r="B491" t="s">
        <v>7173</v>
      </c>
      <c r="C491">
        <v>1</v>
      </c>
      <c r="D491" s="19">
        <v>18609150</v>
      </c>
    </row>
    <row r="492" spans="1:4">
      <c r="A492" s="20" t="s">
        <v>7605</v>
      </c>
      <c r="C492">
        <v>4</v>
      </c>
      <c r="D492" s="19">
        <v>31210270</v>
      </c>
    </row>
    <row r="493" spans="1:4">
      <c r="A493" s="23" t="s">
        <v>6995</v>
      </c>
      <c r="B493" t="s">
        <v>6992</v>
      </c>
      <c r="C493">
        <v>1</v>
      </c>
      <c r="D493" s="19">
        <v>743415.89</v>
      </c>
    </row>
    <row r="494" spans="1:4">
      <c r="A494" s="23" t="s">
        <v>7981</v>
      </c>
      <c r="B494" s="23"/>
      <c r="C494">
        <v>1</v>
      </c>
      <c r="D494" s="19">
        <v>743415.89</v>
      </c>
    </row>
    <row r="495" spans="1:4">
      <c r="A495" s="23" t="s">
        <v>6120</v>
      </c>
      <c r="B495" t="s">
        <v>6117</v>
      </c>
      <c r="C495">
        <v>1</v>
      </c>
      <c r="D495" s="19">
        <v>1804889.56</v>
      </c>
    </row>
    <row r="496" spans="1:4">
      <c r="A496" s="23" t="s">
        <v>7982</v>
      </c>
      <c r="B496" s="23"/>
      <c r="C496">
        <v>1</v>
      </c>
      <c r="D496" s="19">
        <v>1804889.56</v>
      </c>
    </row>
    <row r="497" spans="1:4">
      <c r="A497" t="s">
        <v>6629</v>
      </c>
      <c r="B497" t="s">
        <v>7103</v>
      </c>
      <c r="C497">
        <v>1</v>
      </c>
      <c r="D497" s="19">
        <v>10149500</v>
      </c>
    </row>
    <row r="498" spans="1:4">
      <c r="A498" s="20" t="s">
        <v>7789</v>
      </c>
      <c r="C498">
        <v>1</v>
      </c>
      <c r="D498" s="19">
        <v>10149500</v>
      </c>
    </row>
    <row r="499" spans="1:4">
      <c r="A499" t="s">
        <v>3192</v>
      </c>
      <c r="B499" t="s">
        <v>3189</v>
      </c>
      <c r="C499">
        <v>1</v>
      </c>
      <c r="D499" s="19">
        <v>4939685.24</v>
      </c>
    </row>
    <row r="500" spans="1:4">
      <c r="A500"/>
      <c r="B500" t="s">
        <v>6512</v>
      </c>
      <c r="C500">
        <v>1</v>
      </c>
      <c r="D500" s="19">
        <v>4077042.9</v>
      </c>
    </row>
    <row r="501" spans="1:4">
      <c r="A501"/>
      <c r="B501" t="s">
        <v>7047</v>
      </c>
      <c r="C501">
        <v>1</v>
      </c>
      <c r="D501" s="19">
        <v>2465522.5699999998</v>
      </c>
    </row>
    <row r="502" spans="1:4">
      <c r="A502" s="20" t="s">
        <v>7983</v>
      </c>
      <c r="C502">
        <v>3</v>
      </c>
      <c r="D502" s="19">
        <v>11482250.710000001</v>
      </c>
    </row>
    <row r="503" spans="1:4">
      <c r="A503" s="23" t="s">
        <v>5864</v>
      </c>
      <c r="B503" t="s">
        <v>5861</v>
      </c>
      <c r="C503">
        <v>1</v>
      </c>
      <c r="D503" s="19">
        <v>4355400</v>
      </c>
    </row>
    <row r="504" spans="1:4">
      <c r="B504" t="s">
        <v>5866</v>
      </c>
      <c r="C504">
        <v>1</v>
      </c>
      <c r="D504" s="19">
        <v>4355400</v>
      </c>
    </row>
    <row r="505" spans="1:4">
      <c r="A505" s="23" t="s">
        <v>7984</v>
      </c>
      <c r="B505" s="23"/>
      <c r="C505">
        <v>2</v>
      </c>
      <c r="D505" s="19">
        <v>8710800</v>
      </c>
    </row>
    <row r="506" spans="1:4">
      <c r="A506" s="23" t="s">
        <v>5585</v>
      </c>
      <c r="B506" t="s">
        <v>5582</v>
      </c>
      <c r="C506">
        <v>1</v>
      </c>
      <c r="D506" s="19">
        <v>903595</v>
      </c>
    </row>
    <row r="507" spans="1:4">
      <c r="A507" s="23" t="s">
        <v>7985</v>
      </c>
      <c r="B507" s="23"/>
      <c r="C507">
        <v>1</v>
      </c>
      <c r="D507" s="19">
        <v>903595</v>
      </c>
    </row>
    <row r="508" spans="1:4">
      <c r="A508" s="23" t="s">
        <v>2280</v>
      </c>
      <c r="B508" t="s">
        <v>2277</v>
      </c>
      <c r="C508">
        <v>1</v>
      </c>
      <c r="D508" s="19">
        <v>3403982.83</v>
      </c>
    </row>
    <row r="509" spans="1:4">
      <c r="B509" t="s">
        <v>4227</v>
      </c>
      <c r="C509">
        <v>1</v>
      </c>
      <c r="D509" s="19">
        <v>5814082.96</v>
      </c>
    </row>
    <row r="510" spans="1:4">
      <c r="B510" t="s">
        <v>4582</v>
      </c>
      <c r="C510">
        <v>1</v>
      </c>
      <c r="D510" s="19">
        <v>1915900</v>
      </c>
    </row>
    <row r="511" spans="1:4">
      <c r="B511" t="s">
        <v>4922</v>
      </c>
      <c r="C511">
        <v>1</v>
      </c>
      <c r="D511" s="19">
        <v>2653643.44</v>
      </c>
    </row>
    <row r="512" spans="1:4">
      <c r="B512" t="s">
        <v>4925</v>
      </c>
      <c r="C512">
        <v>1</v>
      </c>
      <c r="D512" s="19">
        <v>14211237.039999999</v>
      </c>
    </row>
    <row r="513" spans="1:4">
      <c r="B513" t="s">
        <v>5615</v>
      </c>
      <c r="C513">
        <v>1</v>
      </c>
      <c r="D513" s="19">
        <v>1677285.96</v>
      </c>
    </row>
    <row r="514" spans="1:4">
      <c r="B514" t="s">
        <v>5618</v>
      </c>
      <c r="C514">
        <v>1</v>
      </c>
      <c r="D514" s="19">
        <v>3343285.96</v>
      </c>
    </row>
    <row r="515" spans="1:4">
      <c r="B515" t="s">
        <v>5621</v>
      </c>
      <c r="C515">
        <v>1</v>
      </c>
      <c r="D515" s="19">
        <v>3343285.96</v>
      </c>
    </row>
    <row r="516" spans="1:4">
      <c r="B516" t="s">
        <v>5624</v>
      </c>
      <c r="C516">
        <v>1</v>
      </c>
      <c r="D516" s="19">
        <v>17172367.59</v>
      </c>
    </row>
    <row r="517" spans="1:4">
      <c r="A517" s="23" t="s">
        <v>7986</v>
      </c>
      <c r="B517" s="23"/>
      <c r="C517">
        <v>9</v>
      </c>
      <c r="D517" s="19">
        <v>53535071.739999995</v>
      </c>
    </row>
    <row r="518" spans="1:4">
      <c r="A518" s="23" t="s">
        <v>2421</v>
      </c>
      <c r="B518" t="s">
        <v>2418</v>
      </c>
      <c r="C518">
        <v>1</v>
      </c>
      <c r="D518" s="19">
        <v>2337469.4</v>
      </c>
    </row>
    <row r="519" spans="1:4">
      <c r="A519" s="23" t="s">
        <v>7987</v>
      </c>
      <c r="B519" s="23"/>
      <c r="C519">
        <v>1</v>
      </c>
      <c r="D519" s="19">
        <v>2337469.4</v>
      </c>
    </row>
    <row r="520" spans="1:4">
      <c r="A520" s="23" t="s">
        <v>3465</v>
      </c>
      <c r="B520" t="s">
        <v>3462</v>
      </c>
      <c r="C520">
        <v>1</v>
      </c>
      <c r="D520" s="19">
        <v>464100</v>
      </c>
    </row>
    <row r="521" spans="1:4">
      <c r="B521" t="s">
        <v>6723</v>
      </c>
      <c r="C521">
        <v>1</v>
      </c>
      <c r="D521" s="19">
        <v>4030360</v>
      </c>
    </row>
    <row r="522" spans="1:4">
      <c r="A522" s="23" t="s">
        <v>7988</v>
      </c>
      <c r="B522" s="23"/>
      <c r="C522">
        <v>2</v>
      </c>
      <c r="D522" s="19">
        <v>4494460</v>
      </c>
    </row>
    <row r="523" spans="1:4">
      <c r="A523" s="23" t="s">
        <v>7146</v>
      </c>
      <c r="B523" t="s">
        <v>7143</v>
      </c>
      <c r="C523">
        <v>1</v>
      </c>
      <c r="D523" s="19">
        <v>7759286.71</v>
      </c>
    </row>
    <row r="524" spans="1:4">
      <c r="A524" s="23" t="s">
        <v>7989</v>
      </c>
      <c r="B524" s="23"/>
      <c r="C524">
        <v>1</v>
      </c>
      <c r="D524" s="19">
        <v>7759286.71</v>
      </c>
    </row>
    <row r="525" spans="1:4">
      <c r="A525" s="23" t="s">
        <v>536</v>
      </c>
      <c r="B525" t="s">
        <v>533</v>
      </c>
      <c r="C525">
        <v>1</v>
      </c>
      <c r="D525" s="19">
        <v>4379233.1100000003</v>
      </c>
    </row>
    <row r="526" spans="1:4">
      <c r="B526" t="s">
        <v>4988</v>
      </c>
      <c r="C526">
        <v>1</v>
      </c>
      <c r="D526" s="19">
        <v>2856000</v>
      </c>
    </row>
    <row r="527" spans="1:4">
      <c r="A527" s="23" t="s">
        <v>7990</v>
      </c>
      <c r="B527" s="23"/>
      <c r="C527">
        <v>2</v>
      </c>
      <c r="D527" s="19">
        <v>7235233.1100000003</v>
      </c>
    </row>
    <row r="528" spans="1:4">
      <c r="A528" s="23" t="s">
        <v>6197</v>
      </c>
      <c r="B528" t="s">
        <v>6194</v>
      </c>
      <c r="C528">
        <v>1</v>
      </c>
      <c r="D528" s="19">
        <v>4331243.5999999996</v>
      </c>
    </row>
    <row r="529" spans="1:4">
      <c r="A529" s="23" t="s">
        <v>7991</v>
      </c>
      <c r="B529" s="23"/>
      <c r="C529">
        <v>1</v>
      </c>
      <c r="D529" s="19">
        <v>4331243.5999999996</v>
      </c>
    </row>
    <row r="530" spans="1:4">
      <c r="A530" s="23" t="s">
        <v>6192</v>
      </c>
      <c r="B530" t="s">
        <v>7219</v>
      </c>
      <c r="C530">
        <v>1</v>
      </c>
      <c r="D530" s="19">
        <v>48790</v>
      </c>
    </row>
    <row r="531" spans="1:4">
      <c r="A531" s="23" t="s">
        <v>7992</v>
      </c>
      <c r="B531" s="23"/>
      <c r="C531">
        <v>1</v>
      </c>
      <c r="D531" s="19">
        <v>48790</v>
      </c>
    </row>
    <row r="532" spans="1:4">
      <c r="A532" t="s">
        <v>582</v>
      </c>
      <c r="B532" t="s">
        <v>579</v>
      </c>
      <c r="C532">
        <v>1</v>
      </c>
      <c r="D532" s="19">
        <v>4138728.5</v>
      </c>
    </row>
    <row r="533" spans="1:4">
      <c r="A533"/>
      <c r="B533" t="s">
        <v>584</v>
      </c>
      <c r="C533">
        <v>1</v>
      </c>
      <c r="D533" s="19">
        <v>97580</v>
      </c>
    </row>
    <row r="534" spans="1:4">
      <c r="A534"/>
      <c r="B534" t="s">
        <v>587</v>
      </c>
      <c r="C534">
        <v>1</v>
      </c>
      <c r="D534" s="19">
        <v>233240</v>
      </c>
    </row>
    <row r="535" spans="1:4">
      <c r="A535"/>
      <c r="B535" t="s">
        <v>7213</v>
      </c>
      <c r="C535">
        <v>1</v>
      </c>
      <c r="D535" s="19">
        <v>83300</v>
      </c>
    </row>
    <row r="536" spans="1:4">
      <c r="A536"/>
      <c r="B536" t="s">
        <v>7222</v>
      </c>
      <c r="C536">
        <v>1</v>
      </c>
      <c r="D536" s="19">
        <v>552160</v>
      </c>
    </row>
    <row r="537" spans="1:4">
      <c r="A537"/>
      <c r="B537" t="s">
        <v>7225</v>
      </c>
      <c r="C537">
        <v>1</v>
      </c>
      <c r="D537" s="19">
        <v>689010</v>
      </c>
    </row>
    <row r="538" spans="1:4">
      <c r="A538" s="20" t="s">
        <v>7613</v>
      </c>
      <c r="C538">
        <v>6</v>
      </c>
      <c r="D538" s="19">
        <v>5794018.5</v>
      </c>
    </row>
    <row r="539" spans="1:4">
      <c r="A539" t="s">
        <v>945</v>
      </c>
      <c r="B539" t="s">
        <v>6989</v>
      </c>
      <c r="C539">
        <v>1</v>
      </c>
      <c r="D539" s="19">
        <v>949620</v>
      </c>
    </row>
    <row r="540" spans="1:4">
      <c r="A540" s="20" t="s">
        <v>7794</v>
      </c>
      <c r="C540">
        <v>1</v>
      </c>
      <c r="D540" s="19">
        <v>949620</v>
      </c>
    </row>
    <row r="541" spans="1:4">
      <c r="A541" s="23" t="s">
        <v>2711</v>
      </c>
      <c r="B541" t="s">
        <v>2708</v>
      </c>
      <c r="C541">
        <v>1</v>
      </c>
      <c r="D541" s="19">
        <v>535500</v>
      </c>
    </row>
    <row r="542" spans="1:4">
      <c r="A542" s="23" t="s">
        <v>7993</v>
      </c>
      <c r="B542" s="23"/>
      <c r="C542">
        <v>1</v>
      </c>
      <c r="D542" s="19">
        <v>535500</v>
      </c>
    </row>
    <row r="543" spans="1:4">
      <c r="A543" s="23" t="s">
        <v>5563</v>
      </c>
      <c r="B543" t="s">
        <v>5560</v>
      </c>
      <c r="C543">
        <v>1</v>
      </c>
      <c r="D543" s="19">
        <v>16876520.5</v>
      </c>
    </row>
    <row r="544" spans="1:4">
      <c r="B544" t="s">
        <v>6578</v>
      </c>
      <c r="C544">
        <v>1</v>
      </c>
      <c r="D544" s="19">
        <v>1314973.8</v>
      </c>
    </row>
    <row r="545" spans="1:4">
      <c r="B545" t="s">
        <v>6581</v>
      </c>
      <c r="C545">
        <v>1</v>
      </c>
      <c r="D545" s="19">
        <v>15702529.57</v>
      </c>
    </row>
    <row r="546" spans="1:4">
      <c r="B546" t="s">
        <v>7279</v>
      </c>
      <c r="C546">
        <v>1</v>
      </c>
      <c r="D546" s="19">
        <v>1271675.6499999999</v>
      </c>
    </row>
    <row r="547" spans="1:4">
      <c r="B547" t="s">
        <v>7282</v>
      </c>
      <c r="C547">
        <v>1</v>
      </c>
      <c r="D547" s="19">
        <v>8151500</v>
      </c>
    </row>
    <row r="548" spans="1:4">
      <c r="A548" s="23" t="s">
        <v>7994</v>
      </c>
      <c r="B548" s="23"/>
      <c r="C548">
        <v>5</v>
      </c>
      <c r="D548" s="19">
        <v>43317199.520000003</v>
      </c>
    </row>
    <row r="549" spans="1:4">
      <c r="A549" s="23" t="s">
        <v>7385</v>
      </c>
      <c r="B549" t="s">
        <v>7382</v>
      </c>
      <c r="C549">
        <v>1</v>
      </c>
      <c r="D549" s="19">
        <v>610827</v>
      </c>
    </row>
    <row r="550" spans="1:4">
      <c r="A550" s="23" t="s">
        <v>7995</v>
      </c>
      <c r="B550" s="23"/>
      <c r="C550">
        <v>1</v>
      </c>
      <c r="D550" s="19">
        <v>610827</v>
      </c>
    </row>
    <row r="551" spans="1:4">
      <c r="A551" s="23" t="s">
        <v>5705</v>
      </c>
      <c r="B551" t="s">
        <v>6321</v>
      </c>
      <c r="C551">
        <v>1</v>
      </c>
      <c r="D551" s="19">
        <v>5137468</v>
      </c>
    </row>
    <row r="552" spans="1:4">
      <c r="B552" t="s">
        <v>6606</v>
      </c>
      <c r="C552">
        <v>1</v>
      </c>
      <c r="D552" s="19">
        <v>755433.42</v>
      </c>
    </row>
    <row r="553" spans="1:4">
      <c r="A553" s="23" t="s">
        <v>7614</v>
      </c>
      <c r="B553" s="23"/>
      <c r="C553">
        <v>2</v>
      </c>
      <c r="D553" s="19">
        <v>5892901.4199999999</v>
      </c>
    </row>
    <row r="554" spans="1:4">
      <c r="A554" t="s">
        <v>3079</v>
      </c>
      <c r="B554" t="s">
        <v>4233</v>
      </c>
      <c r="C554">
        <v>1</v>
      </c>
      <c r="D554" s="19">
        <v>5254108.5</v>
      </c>
    </row>
    <row r="555" spans="1:4">
      <c r="A555" s="20" t="s">
        <v>7996</v>
      </c>
      <c r="C555">
        <v>1</v>
      </c>
      <c r="D555" s="19">
        <v>5254108.5</v>
      </c>
    </row>
    <row r="556" spans="1:4">
      <c r="A556" s="23" t="s">
        <v>2123</v>
      </c>
      <c r="B556" t="s">
        <v>2120</v>
      </c>
      <c r="C556">
        <v>1</v>
      </c>
      <c r="D556" s="19">
        <v>791125.3</v>
      </c>
    </row>
    <row r="557" spans="1:4">
      <c r="B557" t="s">
        <v>2825</v>
      </c>
      <c r="C557">
        <v>1</v>
      </c>
      <c r="D557" s="19">
        <v>29750</v>
      </c>
    </row>
    <row r="558" spans="1:4">
      <c r="A558" s="23" t="s">
        <v>7997</v>
      </c>
      <c r="B558" s="23"/>
      <c r="C558">
        <v>2</v>
      </c>
      <c r="D558" s="19">
        <v>820875.3</v>
      </c>
    </row>
    <row r="559" spans="1:4">
      <c r="A559" t="s">
        <v>3271</v>
      </c>
      <c r="B559" t="s">
        <v>3268</v>
      </c>
      <c r="C559">
        <v>1</v>
      </c>
      <c r="D559" s="19">
        <v>1188810</v>
      </c>
    </row>
    <row r="560" spans="1:4">
      <c r="A560" s="20" t="s">
        <v>7998</v>
      </c>
      <c r="C560">
        <v>1</v>
      </c>
      <c r="D560" s="19">
        <v>1188810</v>
      </c>
    </row>
    <row r="561" spans="1:4">
      <c r="A561" t="s">
        <v>6214</v>
      </c>
      <c r="B561" t="s">
        <v>6211</v>
      </c>
      <c r="C561">
        <v>1</v>
      </c>
      <c r="D561" s="19">
        <v>1304363.76</v>
      </c>
    </row>
    <row r="562" spans="1:4">
      <c r="A562" s="20" t="s">
        <v>7999</v>
      </c>
      <c r="C562">
        <v>1</v>
      </c>
      <c r="D562" s="19">
        <v>1304363.76</v>
      </c>
    </row>
    <row r="563" spans="1:4">
      <c r="A563" s="23" t="s">
        <v>7493</v>
      </c>
      <c r="B563" t="s">
        <v>7490</v>
      </c>
      <c r="C563">
        <v>1</v>
      </c>
      <c r="D563" s="19">
        <v>1742700</v>
      </c>
    </row>
    <row r="564" spans="1:4">
      <c r="A564" s="23" t="s">
        <v>8000</v>
      </c>
      <c r="B564" s="23"/>
      <c r="C564">
        <v>1</v>
      </c>
      <c r="D564" s="19">
        <v>1742700</v>
      </c>
    </row>
    <row r="565" spans="1:4">
      <c r="A565" s="23" t="s">
        <v>6028</v>
      </c>
      <c r="B565" t="s">
        <v>6025</v>
      </c>
      <c r="C565">
        <v>1</v>
      </c>
      <c r="D565" s="19">
        <v>249424</v>
      </c>
    </row>
    <row r="566" spans="1:4">
      <c r="B566" t="s">
        <v>7002</v>
      </c>
      <c r="C566">
        <v>1</v>
      </c>
      <c r="D566" s="19">
        <v>594167</v>
      </c>
    </row>
    <row r="567" spans="1:4">
      <c r="A567" s="23" t="s">
        <v>8001</v>
      </c>
      <c r="B567" s="23"/>
      <c r="C567">
        <v>2</v>
      </c>
      <c r="D567" s="19">
        <v>843591</v>
      </c>
    </row>
    <row r="568" spans="1:4">
      <c r="A568" s="23" t="s">
        <v>960</v>
      </c>
      <c r="B568" t="s">
        <v>957</v>
      </c>
      <c r="C568">
        <v>1</v>
      </c>
      <c r="D568" s="19">
        <v>4521881</v>
      </c>
    </row>
    <row r="569" spans="1:4">
      <c r="A569" s="23" t="s">
        <v>8002</v>
      </c>
      <c r="B569" s="23"/>
      <c r="C569">
        <v>1</v>
      </c>
      <c r="D569" s="19">
        <v>4521881</v>
      </c>
    </row>
    <row r="570" spans="1:4">
      <c r="A570" s="23" t="s">
        <v>1189</v>
      </c>
      <c r="B570" t="s">
        <v>1186</v>
      </c>
      <c r="C570">
        <v>1</v>
      </c>
      <c r="D570" s="19">
        <v>130900</v>
      </c>
    </row>
    <row r="571" spans="1:4">
      <c r="A571" s="23" t="s">
        <v>8003</v>
      </c>
      <c r="B571" s="23"/>
      <c r="C571">
        <v>1</v>
      </c>
      <c r="D571" s="19">
        <v>130900</v>
      </c>
    </row>
    <row r="572" spans="1:4">
      <c r="A572" s="23" t="s">
        <v>5193</v>
      </c>
      <c r="B572" t="s">
        <v>5190</v>
      </c>
      <c r="C572">
        <v>1</v>
      </c>
      <c r="D572" s="19">
        <v>392700</v>
      </c>
    </row>
    <row r="573" spans="1:4">
      <c r="A573" s="23" t="s">
        <v>8004</v>
      </c>
      <c r="B573" s="23"/>
      <c r="C573">
        <v>1</v>
      </c>
      <c r="D573" s="19">
        <v>392700</v>
      </c>
    </row>
    <row r="574" spans="1:4">
      <c r="A574" t="s">
        <v>3101</v>
      </c>
      <c r="B574" t="s">
        <v>6684</v>
      </c>
      <c r="C574">
        <v>1</v>
      </c>
      <c r="D574" s="19">
        <v>831547.01</v>
      </c>
    </row>
    <row r="575" spans="1:4">
      <c r="A575"/>
      <c r="B575" t="s">
        <v>7418</v>
      </c>
      <c r="C575">
        <v>1</v>
      </c>
      <c r="D575" s="19">
        <v>3562836.2</v>
      </c>
    </row>
    <row r="576" spans="1:4">
      <c r="A576" s="20" t="s">
        <v>7795</v>
      </c>
      <c r="C576">
        <v>2</v>
      </c>
      <c r="D576" s="19">
        <v>4394383.21</v>
      </c>
    </row>
    <row r="577" spans="1:4">
      <c r="A577" s="23" t="s">
        <v>2034</v>
      </c>
      <c r="B577" t="s">
        <v>2031</v>
      </c>
      <c r="C577">
        <v>1</v>
      </c>
      <c r="D577" s="19">
        <v>5389617.0999999996</v>
      </c>
    </row>
    <row r="578" spans="1:4">
      <c r="B578" t="s">
        <v>5841</v>
      </c>
      <c r="C578">
        <v>1</v>
      </c>
      <c r="D578" s="19">
        <v>894630.1</v>
      </c>
    </row>
    <row r="579" spans="1:4">
      <c r="A579" s="23" t="s">
        <v>8005</v>
      </c>
      <c r="B579" s="23"/>
      <c r="C579">
        <v>2</v>
      </c>
      <c r="D579" s="19">
        <v>6284247.1999999993</v>
      </c>
    </row>
    <row r="580" spans="1:4">
      <c r="A580" t="s">
        <v>3720</v>
      </c>
      <c r="B580" t="s">
        <v>7106</v>
      </c>
      <c r="C580">
        <v>1</v>
      </c>
      <c r="D580" s="19">
        <v>861560</v>
      </c>
    </row>
    <row r="581" spans="1:4">
      <c r="A581"/>
      <c r="B581" t="s">
        <v>7148</v>
      </c>
      <c r="C581">
        <v>1</v>
      </c>
      <c r="D581" s="19">
        <v>3058300</v>
      </c>
    </row>
    <row r="582" spans="1:4">
      <c r="A582" t="s">
        <v>7616</v>
      </c>
      <c r="B582"/>
      <c r="C582">
        <v>2</v>
      </c>
      <c r="D582" s="19">
        <v>3919860</v>
      </c>
    </row>
    <row r="583" spans="1:4">
      <c r="A583" t="s">
        <v>6405</v>
      </c>
      <c r="B583" t="s">
        <v>6402</v>
      </c>
      <c r="C583">
        <v>1</v>
      </c>
      <c r="D583" s="19">
        <v>946050</v>
      </c>
    </row>
    <row r="584" spans="1:4">
      <c r="A584" t="s">
        <v>8006</v>
      </c>
      <c r="B584"/>
      <c r="C584">
        <v>1</v>
      </c>
      <c r="D584" s="19">
        <v>946050</v>
      </c>
    </row>
    <row r="585" spans="1:4">
      <c r="A585" t="s">
        <v>7327</v>
      </c>
      <c r="B585" t="s">
        <v>7324</v>
      </c>
      <c r="C585">
        <v>1</v>
      </c>
      <c r="D585" s="19">
        <v>501092.55</v>
      </c>
    </row>
    <row r="586" spans="1:4">
      <c r="A586" t="s">
        <v>8007</v>
      </c>
      <c r="B586"/>
      <c r="C586">
        <v>1</v>
      </c>
      <c r="D586" s="19">
        <v>501092.55</v>
      </c>
    </row>
    <row r="587" spans="1:4">
      <c r="A587" t="s">
        <v>5872</v>
      </c>
      <c r="B587" t="s">
        <v>5869</v>
      </c>
      <c r="C587">
        <v>1</v>
      </c>
      <c r="D587" s="19">
        <v>162540</v>
      </c>
    </row>
    <row r="588" spans="1:4">
      <c r="A588" t="s">
        <v>8008</v>
      </c>
      <c r="B588"/>
      <c r="C588">
        <v>1</v>
      </c>
      <c r="D588" s="19">
        <v>162540</v>
      </c>
    </row>
    <row r="589" spans="1:4">
      <c r="A589" t="s">
        <v>6718</v>
      </c>
      <c r="B589" t="s">
        <v>6715</v>
      </c>
      <c r="C589">
        <v>1</v>
      </c>
      <c r="D589" s="19">
        <v>3101140</v>
      </c>
    </row>
    <row r="590" spans="1:4">
      <c r="A590" t="s">
        <v>8009</v>
      </c>
      <c r="B590"/>
      <c r="C590">
        <v>1</v>
      </c>
      <c r="D590" s="19">
        <v>3101140</v>
      </c>
    </row>
    <row r="591" spans="1:4">
      <c r="A591" t="s">
        <v>2512</v>
      </c>
      <c r="B591" t="s">
        <v>2509</v>
      </c>
      <c r="C591">
        <v>1</v>
      </c>
      <c r="D591" s="19">
        <v>2556517.46</v>
      </c>
    </row>
    <row r="592" spans="1:4">
      <c r="A592"/>
      <c r="B592" t="s">
        <v>6609</v>
      </c>
      <c r="C592">
        <v>1</v>
      </c>
      <c r="D592" s="19">
        <v>197655.43</v>
      </c>
    </row>
    <row r="593" spans="1:4">
      <c r="A593" t="s">
        <v>8010</v>
      </c>
      <c r="B593"/>
      <c r="C593">
        <v>2</v>
      </c>
      <c r="D593" s="19">
        <v>2754172.89</v>
      </c>
    </row>
    <row r="594" spans="1:4">
      <c r="A594" t="s">
        <v>1620</v>
      </c>
      <c r="B594" t="s">
        <v>1617</v>
      </c>
      <c r="C594">
        <v>1</v>
      </c>
      <c r="D594" s="19">
        <v>696150</v>
      </c>
    </row>
    <row r="595" spans="1:4">
      <c r="A595"/>
      <c r="B595" t="s">
        <v>2292</v>
      </c>
      <c r="C595">
        <v>1</v>
      </c>
      <c r="D595" s="19">
        <v>880600</v>
      </c>
    </row>
    <row r="596" spans="1:4">
      <c r="A596"/>
      <c r="B596" t="s">
        <v>3186</v>
      </c>
      <c r="C596">
        <v>1</v>
      </c>
      <c r="D596" s="19">
        <v>1588650</v>
      </c>
    </row>
    <row r="597" spans="1:4">
      <c r="A597"/>
      <c r="B597" t="s">
        <v>4327</v>
      </c>
      <c r="C597">
        <v>1</v>
      </c>
      <c r="D597" s="19">
        <v>4376820</v>
      </c>
    </row>
    <row r="598" spans="1:4">
      <c r="A598"/>
      <c r="B598" t="s">
        <v>6592</v>
      </c>
      <c r="C598">
        <v>1</v>
      </c>
      <c r="D598" s="19">
        <v>188301.35</v>
      </c>
    </row>
    <row r="599" spans="1:4">
      <c r="A599"/>
      <c r="B599" t="s">
        <v>7050</v>
      </c>
      <c r="C599">
        <v>1</v>
      </c>
      <c r="D599" s="19">
        <v>5741750</v>
      </c>
    </row>
    <row r="600" spans="1:4">
      <c r="A600"/>
      <c r="B600" t="s">
        <v>7160</v>
      </c>
      <c r="C600">
        <v>1</v>
      </c>
      <c r="D600" s="19">
        <v>16214940</v>
      </c>
    </row>
    <row r="601" spans="1:4">
      <c r="A601"/>
      <c r="B601" t="s">
        <v>7164</v>
      </c>
      <c r="C601">
        <v>1</v>
      </c>
      <c r="D601" s="19">
        <v>6023780</v>
      </c>
    </row>
    <row r="602" spans="1:4">
      <c r="A602"/>
      <c r="B602" t="s">
        <v>7167</v>
      </c>
      <c r="C602">
        <v>1</v>
      </c>
      <c r="D602" s="19">
        <v>1059100</v>
      </c>
    </row>
    <row r="603" spans="1:4">
      <c r="A603"/>
      <c r="B603" t="s">
        <v>7193</v>
      </c>
      <c r="C603">
        <v>1</v>
      </c>
      <c r="D603" s="19">
        <v>399840</v>
      </c>
    </row>
    <row r="604" spans="1:4">
      <c r="A604" t="s">
        <v>8011</v>
      </c>
      <c r="B604"/>
      <c r="C604">
        <v>10</v>
      </c>
      <c r="D604" s="19">
        <v>37169931.350000001</v>
      </c>
    </row>
    <row r="605" spans="1:4">
      <c r="A605" t="s">
        <v>4681</v>
      </c>
      <c r="B605" t="s">
        <v>4678</v>
      </c>
      <c r="C605">
        <v>1</v>
      </c>
      <c r="D605" s="19">
        <v>1816020</v>
      </c>
    </row>
    <row r="606" spans="1:4">
      <c r="A606" t="s">
        <v>8012</v>
      </c>
      <c r="B606"/>
      <c r="C606">
        <v>1</v>
      </c>
      <c r="D606" s="19">
        <v>1816020</v>
      </c>
    </row>
    <row r="607" spans="1:4">
      <c r="A607" t="s">
        <v>5003</v>
      </c>
      <c r="B607" t="s">
        <v>5000</v>
      </c>
      <c r="C607">
        <v>1</v>
      </c>
      <c r="D607" s="19">
        <v>10490497.85</v>
      </c>
    </row>
    <row r="608" spans="1:4">
      <c r="A608"/>
      <c r="B608" t="s">
        <v>6653</v>
      </c>
      <c r="C608">
        <v>1</v>
      </c>
      <c r="D608" s="19">
        <v>7807828</v>
      </c>
    </row>
    <row r="609" spans="1:4">
      <c r="A609" t="s">
        <v>8013</v>
      </c>
      <c r="B609"/>
      <c r="C609">
        <v>2</v>
      </c>
      <c r="D609" s="19">
        <v>18298325.850000001</v>
      </c>
    </row>
    <row r="610" spans="1:4">
      <c r="A610" t="s">
        <v>2115</v>
      </c>
      <c r="B610" t="s">
        <v>2112</v>
      </c>
      <c r="C610">
        <v>1</v>
      </c>
      <c r="D610" s="19">
        <v>805385</v>
      </c>
    </row>
    <row r="611" spans="1:4">
      <c r="A611"/>
      <c r="B611" t="s">
        <v>2476</v>
      </c>
      <c r="C611">
        <v>1</v>
      </c>
      <c r="D611" s="19">
        <v>2332710.6</v>
      </c>
    </row>
    <row r="612" spans="1:4">
      <c r="A612" t="s">
        <v>8014</v>
      </c>
      <c r="B612"/>
      <c r="C612">
        <v>2</v>
      </c>
      <c r="D612" s="19">
        <v>3138095.6</v>
      </c>
    </row>
    <row r="613" spans="1:4">
      <c r="A613" t="s">
        <v>3792</v>
      </c>
      <c r="B613" t="s">
        <v>3789</v>
      </c>
      <c r="C613">
        <v>1</v>
      </c>
      <c r="D613" s="19">
        <v>1675751.35</v>
      </c>
    </row>
    <row r="614" spans="1:4">
      <c r="A614" t="s">
        <v>8015</v>
      </c>
      <c r="B614"/>
      <c r="C614">
        <v>1</v>
      </c>
      <c r="D614" s="19">
        <v>1675751.35</v>
      </c>
    </row>
    <row r="615" spans="1:4">
      <c r="A615" t="s">
        <v>3797</v>
      </c>
      <c r="B615" t="s">
        <v>3794</v>
      </c>
      <c r="C615">
        <v>1</v>
      </c>
      <c r="D615" s="19">
        <v>2010901.62</v>
      </c>
    </row>
    <row r="616" spans="1:4">
      <c r="A616" t="s">
        <v>8016</v>
      </c>
      <c r="B616"/>
      <c r="C616">
        <v>1</v>
      </c>
      <c r="D616" s="19">
        <v>2010901.62</v>
      </c>
    </row>
    <row r="617" spans="1:4">
      <c r="A617" t="s">
        <v>3787</v>
      </c>
      <c r="B617" t="s">
        <v>3784</v>
      </c>
      <c r="C617">
        <v>1</v>
      </c>
      <c r="D617" s="19">
        <v>1675751.35</v>
      </c>
    </row>
    <row r="618" spans="1:4">
      <c r="A618" t="s">
        <v>8017</v>
      </c>
      <c r="B618"/>
      <c r="C618">
        <v>1</v>
      </c>
      <c r="D618" s="19">
        <v>1675751.35</v>
      </c>
    </row>
    <row r="619" spans="1:4">
      <c r="A619" t="s">
        <v>1010</v>
      </c>
      <c r="B619" t="s">
        <v>1007</v>
      </c>
      <c r="C619">
        <v>1</v>
      </c>
      <c r="D619" s="19">
        <v>58310</v>
      </c>
    </row>
    <row r="620" spans="1:4">
      <c r="A620"/>
      <c r="B620" t="s">
        <v>1712</v>
      </c>
      <c r="C620">
        <v>1</v>
      </c>
      <c r="D620" s="19">
        <v>828296</v>
      </c>
    </row>
    <row r="621" spans="1:4">
      <c r="A621"/>
      <c r="B621" t="s">
        <v>5452</v>
      </c>
      <c r="C621">
        <v>1</v>
      </c>
      <c r="D621" s="19">
        <v>162456.42000000001</v>
      </c>
    </row>
    <row r="622" spans="1:4">
      <c r="A622" t="s">
        <v>8018</v>
      </c>
      <c r="B622"/>
      <c r="C622">
        <v>3</v>
      </c>
      <c r="D622" s="19">
        <v>1049062.42</v>
      </c>
    </row>
    <row r="623" spans="1:4">
      <c r="A623" t="s">
        <v>1973</v>
      </c>
      <c r="B623" t="s">
        <v>1970</v>
      </c>
      <c r="C623">
        <v>1</v>
      </c>
      <c r="D623" s="19">
        <v>41929650</v>
      </c>
    </row>
    <row r="624" spans="1:4">
      <c r="A624" t="s">
        <v>8019</v>
      </c>
      <c r="B624"/>
      <c r="C624">
        <v>1</v>
      </c>
      <c r="D624" s="19">
        <v>41929650</v>
      </c>
    </row>
    <row r="625" spans="1:4">
      <c r="A625" t="s">
        <v>1772</v>
      </c>
      <c r="B625" t="s">
        <v>6070</v>
      </c>
      <c r="C625">
        <v>1</v>
      </c>
      <c r="D625" s="19">
        <v>5606665.6799999997</v>
      </c>
    </row>
    <row r="626" spans="1:4">
      <c r="A626"/>
      <c r="B626" t="s">
        <v>6073</v>
      </c>
      <c r="C626">
        <v>1</v>
      </c>
      <c r="D626" s="19">
        <v>171626.56</v>
      </c>
    </row>
    <row r="627" spans="1:4">
      <c r="A627"/>
      <c r="B627" t="s">
        <v>6076</v>
      </c>
      <c r="C627">
        <v>1</v>
      </c>
      <c r="D627" s="19">
        <v>85813.28</v>
      </c>
    </row>
    <row r="628" spans="1:4">
      <c r="A628" t="s">
        <v>8020</v>
      </c>
      <c r="B628"/>
      <c r="C628">
        <v>3</v>
      </c>
      <c r="D628" s="19">
        <v>5864105.5199999996</v>
      </c>
    </row>
    <row r="629" spans="1:4">
      <c r="A629" t="s">
        <v>4287</v>
      </c>
      <c r="B629" t="s">
        <v>4284</v>
      </c>
      <c r="C629">
        <v>1</v>
      </c>
      <c r="D629" s="19">
        <v>355512.5</v>
      </c>
    </row>
    <row r="630" spans="1:4">
      <c r="A630"/>
      <c r="B630" t="s">
        <v>4829</v>
      </c>
      <c r="C630">
        <v>1</v>
      </c>
      <c r="D630" s="19">
        <v>434076.3</v>
      </c>
    </row>
    <row r="631" spans="1:4">
      <c r="A631"/>
      <c r="B631" t="s">
        <v>7134</v>
      </c>
      <c r="C631">
        <v>1</v>
      </c>
      <c r="D631" s="19">
        <v>868152.6</v>
      </c>
    </row>
    <row r="632" spans="1:4">
      <c r="A632" t="s">
        <v>8021</v>
      </c>
      <c r="B632"/>
      <c r="C632">
        <v>3</v>
      </c>
      <c r="D632" s="19">
        <v>1657741.4</v>
      </c>
    </row>
    <row r="633" spans="1:4">
      <c r="A633" t="s">
        <v>3945</v>
      </c>
      <c r="B633" t="s">
        <v>4963</v>
      </c>
      <c r="C633">
        <v>1</v>
      </c>
      <c r="D633" s="19">
        <v>6907807.2000000002</v>
      </c>
    </row>
    <row r="634" spans="1:4">
      <c r="A634"/>
      <c r="B634" t="s">
        <v>5418</v>
      </c>
      <c r="C634">
        <v>1</v>
      </c>
      <c r="D634" s="19">
        <v>8380717.7999999998</v>
      </c>
    </row>
    <row r="635" spans="1:4">
      <c r="A635"/>
      <c r="B635" t="s">
        <v>7033</v>
      </c>
      <c r="C635">
        <v>1</v>
      </c>
      <c r="D635" s="19">
        <v>5311446</v>
      </c>
    </row>
    <row r="636" spans="1:4">
      <c r="A636" t="s">
        <v>7798</v>
      </c>
      <c r="B636"/>
      <c r="C636">
        <v>3</v>
      </c>
      <c r="D636" s="19">
        <v>20599971</v>
      </c>
    </row>
    <row r="637" spans="1:4">
      <c r="A637" t="s">
        <v>1691</v>
      </c>
      <c r="B637" t="s">
        <v>1688</v>
      </c>
      <c r="C637">
        <v>1</v>
      </c>
      <c r="D637" s="19">
        <v>738514</v>
      </c>
    </row>
    <row r="638" spans="1:4">
      <c r="A638" t="s">
        <v>8022</v>
      </c>
      <c r="B638"/>
      <c r="C638">
        <v>1</v>
      </c>
      <c r="D638" s="19">
        <v>738514</v>
      </c>
    </row>
    <row r="639" spans="1:4">
      <c r="A639" t="s">
        <v>2791</v>
      </c>
      <c r="B639" t="s">
        <v>2788</v>
      </c>
      <c r="C639">
        <v>1</v>
      </c>
      <c r="D639" s="19">
        <v>49028000</v>
      </c>
    </row>
    <row r="640" spans="1:4">
      <c r="A640" t="s">
        <v>8023</v>
      </c>
      <c r="B640"/>
      <c r="C640">
        <v>1</v>
      </c>
      <c r="D640" s="19">
        <v>49028000</v>
      </c>
    </row>
    <row r="641" spans="1:4">
      <c r="A641" t="s">
        <v>167</v>
      </c>
      <c r="B641" t="s">
        <v>6356</v>
      </c>
      <c r="C641">
        <v>1</v>
      </c>
      <c r="D641" s="19">
        <v>261800</v>
      </c>
    </row>
    <row r="642" spans="1:4">
      <c r="A642" t="s">
        <v>7800</v>
      </c>
      <c r="B642"/>
      <c r="C642">
        <v>1</v>
      </c>
      <c r="D642" s="19">
        <v>261800</v>
      </c>
    </row>
    <row r="643" spans="1:4">
      <c r="A643" t="s">
        <v>2460</v>
      </c>
      <c r="B643" t="s">
        <v>2457</v>
      </c>
      <c r="C643">
        <v>1</v>
      </c>
      <c r="D643" s="19">
        <v>148750</v>
      </c>
    </row>
    <row r="644" spans="1:4">
      <c r="A644"/>
      <c r="B644" t="s">
        <v>3725</v>
      </c>
      <c r="C644">
        <v>1</v>
      </c>
      <c r="D644" s="19">
        <v>177233.84</v>
      </c>
    </row>
    <row r="645" spans="1:4">
      <c r="A645"/>
      <c r="B645" t="s">
        <v>6059</v>
      </c>
      <c r="C645">
        <v>1</v>
      </c>
      <c r="D645" s="19">
        <v>13591143.039999999</v>
      </c>
    </row>
    <row r="646" spans="1:4">
      <c r="A646"/>
      <c r="B646" t="s">
        <v>6155</v>
      </c>
      <c r="C646">
        <v>1</v>
      </c>
      <c r="D646" s="19">
        <v>51839555.880000003</v>
      </c>
    </row>
    <row r="647" spans="1:4">
      <c r="A647" t="s">
        <v>7801</v>
      </c>
      <c r="B647"/>
      <c r="C647">
        <v>4</v>
      </c>
      <c r="D647" s="19">
        <v>65756682.760000005</v>
      </c>
    </row>
    <row r="648" spans="1:4">
      <c r="A648" t="s">
        <v>7469</v>
      </c>
      <c r="B648" t="s">
        <v>7466</v>
      </c>
      <c r="C648">
        <v>1</v>
      </c>
      <c r="D648" s="19">
        <v>4342009</v>
      </c>
    </row>
    <row r="649" spans="1:4">
      <c r="A649" t="s">
        <v>8024</v>
      </c>
      <c r="B649"/>
      <c r="C649">
        <v>1</v>
      </c>
      <c r="D649" s="19">
        <v>4342009</v>
      </c>
    </row>
    <row r="650" spans="1:4">
      <c r="A650" t="s">
        <v>7231</v>
      </c>
      <c r="B650" t="s">
        <v>7228</v>
      </c>
      <c r="C650">
        <v>1</v>
      </c>
      <c r="D650" s="19">
        <v>3159259.6</v>
      </c>
    </row>
    <row r="651" spans="1:4">
      <c r="A651" t="s">
        <v>8025</v>
      </c>
      <c r="B651"/>
      <c r="C651">
        <v>1</v>
      </c>
      <c r="D651" s="19">
        <v>3159259.6</v>
      </c>
    </row>
    <row r="652" spans="1:4">
      <c r="A652" t="s">
        <v>6962</v>
      </c>
      <c r="B652" t="s">
        <v>6959</v>
      </c>
      <c r="C652">
        <v>1</v>
      </c>
      <c r="D652" s="19">
        <v>2324913.71</v>
      </c>
    </row>
    <row r="653" spans="1:4">
      <c r="A653"/>
      <c r="B653" t="s">
        <v>7454</v>
      </c>
      <c r="C653">
        <v>1</v>
      </c>
      <c r="D653" s="19">
        <v>14269148.390000001</v>
      </c>
    </row>
    <row r="654" spans="1:4">
      <c r="A654" t="s">
        <v>8026</v>
      </c>
      <c r="B654"/>
      <c r="C654">
        <v>2</v>
      </c>
      <c r="D654" s="19">
        <v>16594062.100000001</v>
      </c>
    </row>
    <row r="655" spans="1:4">
      <c r="A655" t="s">
        <v>2823</v>
      </c>
      <c r="B655" t="s">
        <v>5118</v>
      </c>
      <c r="C655">
        <v>1</v>
      </c>
      <c r="D655" s="19">
        <v>4271600.2</v>
      </c>
    </row>
    <row r="656" spans="1:4">
      <c r="A656" t="s">
        <v>7803</v>
      </c>
      <c r="B656"/>
      <c r="C656">
        <v>1</v>
      </c>
      <c r="D656" s="19">
        <v>4271600.2</v>
      </c>
    </row>
    <row r="657" spans="1:4">
      <c r="A657" t="s">
        <v>5198</v>
      </c>
      <c r="B657" t="s">
        <v>5195</v>
      </c>
      <c r="C657">
        <v>1</v>
      </c>
      <c r="D657" s="19">
        <v>3216000</v>
      </c>
    </row>
    <row r="658" spans="1:4">
      <c r="A658" t="s">
        <v>8027</v>
      </c>
      <c r="B658"/>
      <c r="C658">
        <v>1</v>
      </c>
      <c r="D658" s="19">
        <v>3216000</v>
      </c>
    </row>
    <row r="659" spans="1:4">
      <c r="A659" t="s">
        <v>897</v>
      </c>
      <c r="B659" t="s">
        <v>5684</v>
      </c>
      <c r="C659">
        <v>1</v>
      </c>
      <c r="D659" s="19">
        <v>1552099.95</v>
      </c>
    </row>
    <row r="660" spans="1:4">
      <c r="A660"/>
      <c r="B660" t="s">
        <v>5783</v>
      </c>
      <c r="C660">
        <v>1</v>
      </c>
      <c r="D660" s="19">
        <v>931056</v>
      </c>
    </row>
    <row r="661" spans="1:4">
      <c r="A661"/>
      <c r="B661" t="s">
        <v>5890</v>
      </c>
      <c r="C661">
        <v>1</v>
      </c>
      <c r="D661" s="19">
        <v>56316.75</v>
      </c>
    </row>
    <row r="662" spans="1:4">
      <c r="A662" t="s">
        <v>8028</v>
      </c>
      <c r="B662"/>
      <c r="C662">
        <v>3</v>
      </c>
      <c r="D662" s="19">
        <v>2539472.7000000002</v>
      </c>
    </row>
    <row r="663" spans="1:4">
      <c r="A663" t="s">
        <v>4617</v>
      </c>
      <c r="B663" t="s">
        <v>4614</v>
      </c>
      <c r="C663">
        <v>1</v>
      </c>
      <c r="D663" s="19">
        <v>6014840.8899999997</v>
      </c>
    </row>
    <row r="664" spans="1:4">
      <c r="A664" t="s">
        <v>8029</v>
      </c>
      <c r="B664"/>
      <c r="C664">
        <v>1</v>
      </c>
      <c r="D664" s="19">
        <v>6014840.8899999997</v>
      </c>
    </row>
    <row r="665" spans="1:4">
      <c r="A665" t="s">
        <v>3689</v>
      </c>
      <c r="B665" t="s">
        <v>5245</v>
      </c>
      <c r="C665">
        <v>1</v>
      </c>
      <c r="D665" s="19">
        <v>1392300</v>
      </c>
    </row>
    <row r="666" spans="1:4">
      <c r="A666"/>
      <c r="B666" t="s">
        <v>6690</v>
      </c>
      <c r="C666">
        <v>1</v>
      </c>
      <c r="D666" s="19">
        <v>172550</v>
      </c>
    </row>
    <row r="667" spans="1:4">
      <c r="A667"/>
      <c r="B667" t="s">
        <v>6696</v>
      </c>
      <c r="C667">
        <v>1</v>
      </c>
      <c r="D667" s="19">
        <v>172550</v>
      </c>
    </row>
    <row r="668" spans="1:4">
      <c r="A668"/>
      <c r="B668" t="s">
        <v>6845</v>
      </c>
      <c r="C668">
        <v>1</v>
      </c>
      <c r="D668" s="19">
        <v>172550</v>
      </c>
    </row>
    <row r="669" spans="1:4">
      <c r="A669"/>
      <c r="B669" t="s">
        <v>6848</v>
      </c>
      <c r="C669">
        <v>1</v>
      </c>
      <c r="D669" s="19">
        <v>172550</v>
      </c>
    </row>
    <row r="670" spans="1:4">
      <c r="A670"/>
      <c r="B670" t="s">
        <v>6851</v>
      </c>
      <c r="C670">
        <v>1</v>
      </c>
      <c r="D670" s="19">
        <v>172550</v>
      </c>
    </row>
    <row r="671" spans="1:4">
      <c r="A671"/>
      <c r="B671" t="s">
        <v>6854</v>
      </c>
      <c r="C671">
        <v>1</v>
      </c>
      <c r="D671" s="19">
        <v>172550</v>
      </c>
    </row>
    <row r="672" spans="1:4">
      <c r="A672" t="s">
        <v>7623</v>
      </c>
      <c r="B672"/>
      <c r="C672">
        <v>7</v>
      </c>
      <c r="D672" s="19">
        <v>2427600</v>
      </c>
    </row>
    <row r="673" spans="1:4">
      <c r="A673" t="s">
        <v>156</v>
      </c>
      <c r="B673" t="s">
        <v>6359</v>
      </c>
      <c r="C673">
        <v>1</v>
      </c>
      <c r="D673" s="19">
        <v>3706850</v>
      </c>
    </row>
    <row r="674" spans="1:4">
      <c r="A674" t="s">
        <v>7624</v>
      </c>
      <c r="B674"/>
      <c r="C674">
        <v>1</v>
      </c>
      <c r="D674" s="19">
        <v>3706850</v>
      </c>
    </row>
    <row r="675" spans="1:4">
      <c r="A675" t="s">
        <v>4812</v>
      </c>
      <c r="B675" t="s">
        <v>4809</v>
      </c>
      <c r="C675">
        <v>1</v>
      </c>
      <c r="D675" s="19">
        <v>32497353</v>
      </c>
    </row>
    <row r="676" spans="1:4">
      <c r="A676" t="s">
        <v>8030</v>
      </c>
      <c r="B676"/>
      <c r="C676">
        <v>1</v>
      </c>
      <c r="D676" s="19">
        <v>32497353</v>
      </c>
    </row>
    <row r="677" spans="1:4">
      <c r="A677" t="s">
        <v>2485</v>
      </c>
      <c r="B677" t="s">
        <v>5887</v>
      </c>
      <c r="C677">
        <v>1</v>
      </c>
      <c r="D677" s="19">
        <v>3687472.87</v>
      </c>
    </row>
    <row r="678" spans="1:4">
      <c r="A678"/>
      <c r="B678" t="s">
        <v>6928</v>
      </c>
      <c r="C678">
        <v>1</v>
      </c>
      <c r="D678" s="19">
        <v>248038.98</v>
      </c>
    </row>
    <row r="679" spans="1:4">
      <c r="A679" t="s">
        <v>7625</v>
      </c>
      <c r="B679"/>
      <c r="C679">
        <v>2</v>
      </c>
      <c r="D679" s="19">
        <v>3935511.85</v>
      </c>
    </row>
    <row r="680" spans="1:4">
      <c r="A680" t="s">
        <v>2298</v>
      </c>
      <c r="B680" t="s">
        <v>2295</v>
      </c>
      <c r="C680">
        <v>1</v>
      </c>
      <c r="D680" s="19">
        <v>1232840</v>
      </c>
    </row>
    <row r="681" spans="1:4">
      <c r="A681"/>
      <c r="B681" t="s">
        <v>6870</v>
      </c>
      <c r="C681">
        <v>1</v>
      </c>
      <c r="D681" s="19">
        <v>333200</v>
      </c>
    </row>
    <row r="682" spans="1:4">
      <c r="A682"/>
      <c r="B682" t="s">
        <v>7190</v>
      </c>
      <c r="C682">
        <v>1</v>
      </c>
      <c r="D682" s="19">
        <v>2142000</v>
      </c>
    </row>
    <row r="683" spans="1:4">
      <c r="A683" t="s">
        <v>8031</v>
      </c>
      <c r="B683"/>
      <c r="C683">
        <v>3</v>
      </c>
      <c r="D683" s="19">
        <v>3708040</v>
      </c>
    </row>
    <row r="684" spans="1:4">
      <c r="A684" t="s">
        <v>4369</v>
      </c>
      <c r="B684" t="s">
        <v>4366</v>
      </c>
      <c r="C684">
        <v>1</v>
      </c>
      <c r="D684" s="19">
        <v>16882183.710000001</v>
      </c>
    </row>
    <row r="685" spans="1:4">
      <c r="A685" t="s">
        <v>8032</v>
      </c>
      <c r="B685"/>
      <c r="C685">
        <v>1</v>
      </c>
      <c r="D685" s="19">
        <v>16882183.710000001</v>
      </c>
    </row>
    <row r="686" spans="1:4">
      <c r="A686" t="s">
        <v>1590</v>
      </c>
      <c r="B686" t="s">
        <v>6299</v>
      </c>
      <c r="C686">
        <v>1</v>
      </c>
      <c r="D686" s="19">
        <v>1881954.06</v>
      </c>
    </row>
    <row r="687" spans="1:4">
      <c r="A687" t="s">
        <v>8033</v>
      </c>
      <c r="B687"/>
      <c r="C687">
        <v>1</v>
      </c>
      <c r="D687" s="19">
        <v>1881954.06</v>
      </c>
    </row>
    <row r="688" spans="1:4">
      <c r="A688" t="s">
        <v>6598</v>
      </c>
      <c r="B688" t="s">
        <v>6595</v>
      </c>
      <c r="C688">
        <v>1</v>
      </c>
      <c r="D688" s="19">
        <v>523600</v>
      </c>
    </row>
    <row r="689" spans="1:4">
      <c r="A689" t="s">
        <v>8034</v>
      </c>
      <c r="B689"/>
      <c r="C689">
        <v>1</v>
      </c>
      <c r="D689" s="19">
        <v>523600</v>
      </c>
    </row>
    <row r="690" spans="1:4">
      <c r="A690" t="s">
        <v>5545</v>
      </c>
      <c r="B690" t="s">
        <v>5542</v>
      </c>
      <c r="C690">
        <v>1</v>
      </c>
      <c r="D690" s="19">
        <v>6385540</v>
      </c>
    </row>
    <row r="691" spans="1:4">
      <c r="A691" t="s">
        <v>8035</v>
      </c>
      <c r="B691"/>
      <c r="C691">
        <v>1</v>
      </c>
      <c r="D691" s="19">
        <v>6385540</v>
      </c>
    </row>
    <row r="692" spans="1:4">
      <c r="A692" t="s">
        <v>7013</v>
      </c>
      <c r="B692" t="s">
        <v>7010</v>
      </c>
      <c r="C692">
        <v>1</v>
      </c>
      <c r="D692" s="19">
        <v>3214695.75</v>
      </c>
    </row>
    <row r="693" spans="1:4">
      <c r="A693"/>
      <c r="B693" t="s">
        <v>7023</v>
      </c>
      <c r="C693">
        <v>1</v>
      </c>
      <c r="D693" s="19">
        <v>154462</v>
      </c>
    </row>
    <row r="694" spans="1:4">
      <c r="A694" t="s">
        <v>8036</v>
      </c>
      <c r="B694"/>
      <c r="C694">
        <v>2</v>
      </c>
      <c r="D694" s="19">
        <v>3369157.75</v>
      </c>
    </row>
    <row r="695" spans="1:4">
      <c r="A695" t="s">
        <v>3281</v>
      </c>
      <c r="B695" t="s">
        <v>3278</v>
      </c>
      <c r="C695">
        <v>1</v>
      </c>
      <c r="D695" s="19">
        <v>8277640</v>
      </c>
    </row>
    <row r="696" spans="1:4">
      <c r="A696"/>
      <c r="B696" t="s">
        <v>3283</v>
      </c>
      <c r="C696">
        <v>1</v>
      </c>
      <c r="D696" s="19">
        <v>4200700</v>
      </c>
    </row>
    <row r="697" spans="1:4">
      <c r="A697" t="s">
        <v>8037</v>
      </c>
      <c r="B697"/>
      <c r="C697">
        <v>2</v>
      </c>
      <c r="D697" s="19">
        <v>12478340</v>
      </c>
    </row>
    <row r="698" spans="1:4">
      <c r="A698" t="s">
        <v>4376</v>
      </c>
      <c r="B698" t="s">
        <v>4374</v>
      </c>
      <c r="C698">
        <v>1</v>
      </c>
      <c r="D698" s="19">
        <v>154175</v>
      </c>
    </row>
    <row r="699" spans="1:4">
      <c r="A699"/>
      <c r="B699" t="s">
        <v>7053</v>
      </c>
      <c r="C699">
        <v>1</v>
      </c>
      <c r="D699" s="19">
        <v>23978500</v>
      </c>
    </row>
    <row r="700" spans="1:4">
      <c r="A700" t="s">
        <v>8038</v>
      </c>
      <c r="B700"/>
      <c r="C700">
        <v>2</v>
      </c>
      <c r="D700" s="19">
        <v>24132675</v>
      </c>
    </row>
    <row r="701" spans="1:4">
      <c r="A701" t="s">
        <v>4532</v>
      </c>
      <c r="B701" t="s">
        <v>4530</v>
      </c>
      <c r="C701">
        <v>1</v>
      </c>
      <c r="D701" s="19">
        <v>1914412.5</v>
      </c>
    </row>
    <row r="702" spans="1:4">
      <c r="A702" t="s">
        <v>8039</v>
      </c>
      <c r="B702"/>
      <c r="C702">
        <v>1</v>
      </c>
      <c r="D702" s="19">
        <v>1914412.5</v>
      </c>
    </row>
    <row r="703" spans="1:4">
      <c r="A703" t="s">
        <v>5490</v>
      </c>
      <c r="B703" t="s">
        <v>5487</v>
      </c>
      <c r="C703">
        <v>1</v>
      </c>
      <c r="D703" s="19">
        <v>5094801.9400000004</v>
      </c>
    </row>
    <row r="704" spans="1:4">
      <c r="A704" t="s">
        <v>8040</v>
      </c>
      <c r="B704"/>
      <c r="C704">
        <v>1</v>
      </c>
      <c r="D704" s="19">
        <v>5094801.9400000004</v>
      </c>
    </row>
    <row r="705" spans="1:4">
      <c r="A705" t="s">
        <v>6012</v>
      </c>
      <c r="B705" t="s">
        <v>6009</v>
      </c>
      <c r="C705">
        <v>1</v>
      </c>
      <c r="D705" s="19">
        <v>755854.68</v>
      </c>
    </row>
    <row r="706" spans="1:4">
      <c r="A706"/>
      <c r="B706" t="s">
        <v>6014</v>
      </c>
      <c r="C706">
        <v>1</v>
      </c>
      <c r="D706" s="19">
        <v>360978.03</v>
      </c>
    </row>
    <row r="707" spans="1:4">
      <c r="A707"/>
      <c r="B707" t="s">
        <v>6017</v>
      </c>
      <c r="C707">
        <v>1</v>
      </c>
      <c r="D707" s="19">
        <v>427511.07</v>
      </c>
    </row>
    <row r="708" spans="1:4">
      <c r="A708" t="s">
        <v>8041</v>
      </c>
      <c r="B708"/>
      <c r="C708">
        <v>3</v>
      </c>
      <c r="D708" s="19">
        <v>1544343.78</v>
      </c>
    </row>
    <row r="709" spans="1:4">
      <c r="A709" t="s">
        <v>3909</v>
      </c>
      <c r="B709" t="s">
        <v>3906</v>
      </c>
      <c r="C709">
        <v>1</v>
      </c>
      <c r="D709" s="19">
        <v>1151920</v>
      </c>
    </row>
    <row r="710" spans="1:4">
      <c r="A710"/>
      <c r="B710" t="s">
        <v>3911</v>
      </c>
      <c r="C710">
        <v>1</v>
      </c>
      <c r="D710" s="19">
        <v>90132.1</v>
      </c>
    </row>
    <row r="711" spans="1:4">
      <c r="A711" t="s">
        <v>8042</v>
      </c>
      <c r="B711"/>
      <c r="C711">
        <v>2</v>
      </c>
      <c r="D711" s="19">
        <v>1242052.1000000001</v>
      </c>
    </row>
    <row r="712" spans="1:4">
      <c r="A712" t="s">
        <v>2012</v>
      </c>
      <c r="B712" t="s">
        <v>7087</v>
      </c>
      <c r="C712">
        <v>1</v>
      </c>
      <c r="D712" s="19">
        <v>625231.94999999995</v>
      </c>
    </row>
    <row r="713" spans="1:4">
      <c r="A713" t="s">
        <v>8043</v>
      </c>
      <c r="B713"/>
      <c r="C713">
        <v>1</v>
      </c>
      <c r="D713" s="19">
        <v>625231.94999999995</v>
      </c>
    </row>
    <row r="714" spans="1:4">
      <c r="A714" t="s">
        <v>7424</v>
      </c>
      <c r="B714" t="s">
        <v>7421</v>
      </c>
      <c r="C714">
        <v>1</v>
      </c>
      <c r="D714" s="19">
        <v>4487840</v>
      </c>
    </row>
    <row r="715" spans="1:4">
      <c r="A715"/>
      <c r="B715" t="s">
        <v>7431</v>
      </c>
      <c r="C715">
        <v>1</v>
      </c>
      <c r="D715" s="19">
        <v>927677</v>
      </c>
    </row>
    <row r="716" spans="1:4">
      <c r="A716"/>
      <c r="B716" t="s">
        <v>7434</v>
      </c>
      <c r="C716">
        <v>1</v>
      </c>
      <c r="D716" s="19">
        <v>2533977.67</v>
      </c>
    </row>
    <row r="717" spans="1:4">
      <c r="A717" t="s">
        <v>8044</v>
      </c>
      <c r="B717"/>
      <c r="C717">
        <v>3</v>
      </c>
      <c r="D717" s="19">
        <v>7949494.6699999999</v>
      </c>
    </row>
    <row r="718" spans="1:4">
      <c r="A718" t="s">
        <v>6742</v>
      </c>
      <c r="B718" t="s">
        <v>6739</v>
      </c>
      <c r="C718">
        <v>1</v>
      </c>
      <c r="D718" s="19">
        <v>191256.8</v>
      </c>
    </row>
    <row r="719" spans="1:4">
      <c r="A719"/>
      <c r="B719" t="s">
        <v>6744</v>
      </c>
      <c r="C719">
        <v>1</v>
      </c>
      <c r="D719" s="19">
        <v>767114.32</v>
      </c>
    </row>
    <row r="720" spans="1:4">
      <c r="A720" t="s">
        <v>8045</v>
      </c>
      <c r="B720"/>
      <c r="C720">
        <v>2</v>
      </c>
      <c r="D720" s="19">
        <v>958371.11999999988</v>
      </c>
    </row>
    <row r="721" spans="1:4">
      <c r="A721" t="s">
        <v>5877</v>
      </c>
      <c r="B721" t="s">
        <v>5874</v>
      </c>
      <c r="C721">
        <v>1</v>
      </c>
      <c r="D721" s="19">
        <v>208250</v>
      </c>
    </row>
    <row r="722" spans="1:4">
      <c r="A722" t="s">
        <v>8046</v>
      </c>
      <c r="B722"/>
      <c r="C722">
        <v>1</v>
      </c>
      <c r="D722" s="19">
        <v>208250</v>
      </c>
    </row>
    <row r="723" spans="1:4">
      <c r="A723" t="s">
        <v>5982</v>
      </c>
      <c r="B723" t="s">
        <v>5979</v>
      </c>
      <c r="C723">
        <v>1</v>
      </c>
      <c r="D723" s="19">
        <v>184093</v>
      </c>
    </row>
    <row r="724" spans="1:4">
      <c r="A724"/>
      <c r="B724" t="s">
        <v>5984</v>
      </c>
      <c r="C724">
        <v>1</v>
      </c>
      <c r="D724" s="19">
        <v>375472.6</v>
      </c>
    </row>
    <row r="725" spans="1:4">
      <c r="A725"/>
      <c r="B725" t="s">
        <v>7288</v>
      </c>
      <c r="C725">
        <v>1</v>
      </c>
      <c r="D725" s="19">
        <v>92582</v>
      </c>
    </row>
    <row r="726" spans="1:4">
      <c r="A726" t="s">
        <v>8047</v>
      </c>
      <c r="B726"/>
      <c r="C726">
        <v>3</v>
      </c>
      <c r="D726" s="19">
        <v>652147.6</v>
      </c>
    </row>
    <row r="727" spans="1:4">
      <c r="A727" t="s">
        <v>7474</v>
      </c>
      <c r="B727" t="s">
        <v>7471</v>
      </c>
      <c r="C727">
        <v>1</v>
      </c>
      <c r="D727" s="19">
        <v>2375557.52</v>
      </c>
    </row>
    <row r="728" spans="1:4">
      <c r="A728" t="s">
        <v>8048</v>
      </c>
      <c r="B728"/>
      <c r="C728">
        <v>1</v>
      </c>
      <c r="D728" s="19">
        <v>2375557.52</v>
      </c>
    </row>
    <row r="729" spans="1:4">
      <c r="A729" t="s">
        <v>5383</v>
      </c>
      <c r="B729" t="s">
        <v>6285</v>
      </c>
      <c r="C729">
        <v>1</v>
      </c>
      <c r="D729" s="19">
        <v>1254205.2</v>
      </c>
    </row>
    <row r="730" spans="1:4">
      <c r="A730" t="s">
        <v>7631</v>
      </c>
      <c r="B730"/>
      <c r="C730">
        <v>1</v>
      </c>
      <c r="D730" s="19">
        <v>1254205.2</v>
      </c>
    </row>
    <row r="731" spans="1:4">
      <c r="A731" t="s">
        <v>4125</v>
      </c>
      <c r="B731" t="s">
        <v>4122</v>
      </c>
      <c r="C731">
        <v>1</v>
      </c>
      <c r="D731" s="19">
        <v>626621.80000000005</v>
      </c>
    </row>
    <row r="732" spans="1:4">
      <c r="A732" t="s">
        <v>8049</v>
      </c>
      <c r="B732"/>
      <c r="C732">
        <v>1</v>
      </c>
      <c r="D732" s="19">
        <v>626621.80000000005</v>
      </c>
    </row>
    <row r="733" spans="1:4">
      <c r="A733" t="s">
        <v>886</v>
      </c>
      <c r="B733" t="s">
        <v>883</v>
      </c>
      <c r="C733">
        <v>1</v>
      </c>
      <c r="D733" s="19">
        <v>840586.25</v>
      </c>
    </row>
    <row r="734" spans="1:4">
      <c r="A734" t="s">
        <v>8050</v>
      </c>
      <c r="B734"/>
      <c r="C734">
        <v>1</v>
      </c>
      <c r="D734" s="19">
        <v>840586.25</v>
      </c>
    </row>
    <row r="735" spans="1:4">
      <c r="A735" t="s">
        <v>3197</v>
      </c>
      <c r="B735" t="s">
        <v>7176</v>
      </c>
      <c r="C735">
        <v>1</v>
      </c>
      <c r="D735" s="19">
        <v>641410</v>
      </c>
    </row>
    <row r="736" spans="1:4">
      <c r="A736" t="s">
        <v>8051</v>
      </c>
      <c r="B736"/>
      <c r="C736">
        <v>1</v>
      </c>
      <c r="D736" s="19">
        <v>641410</v>
      </c>
    </row>
    <row r="737" spans="1:4">
      <c r="A737" t="s">
        <v>6881</v>
      </c>
      <c r="B737" t="s">
        <v>6878</v>
      </c>
      <c r="C737">
        <v>1</v>
      </c>
      <c r="D737" s="19">
        <v>421974</v>
      </c>
    </row>
    <row r="738" spans="1:4">
      <c r="A738" t="s">
        <v>8052</v>
      </c>
      <c r="B738"/>
      <c r="C738">
        <v>1</v>
      </c>
      <c r="D738" s="19">
        <v>421974</v>
      </c>
    </row>
    <row r="739" spans="1:4">
      <c r="A739" t="s">
        <v>2075</v>
      </c>
      <c r="B739" t="s">
        <v>2072</v>
      </c>
      <c r="C739">
        <v>1</v>
      </c>
      <c r="D739" s="19">
        <v>2081700.32</v>
      </c>
    </row>
    <row r="740" spans="1:4">
      <c r="A740"/>
      <c r="B740" t="s">
        <v>5355</v>
      </c>
      <c r="C740">
        <v>1</v>
      </c>
      <c r="D740" s="19">
        <v>642600</v>
      </c>
    </row>
    <row r="741" spans="1:4">
      <c r="A741" t="s">
        <v>8053</v>
      </c>
      <c r="B741"/>
      <c r="C741">
        <v>2</v>
      </c>
      <c r="D741" s="19">
        <v>2724300.3200000003</v>
      </c>
    </row>
    <row r="742" spans="1:4">
      <c r="A742" t="s">
        <v>3407</v>
      </c>
      <c r="B742" t="s">
        <v>7405</v>
      </c>
      <c r="C742">
        <v>1</v>
      </c>
      <c r="D742" s="19">
        <v>4732670.46</v>
      </c>
    </row>
    <row r="743" spans="1:4">
      <c r="A743" t="s">
        <v>7634</v>
      </c>
      <c r="B743"/>
      <c r="C743">
        <v>1</v>
      </c>
      <c r="D743" s="19">
        <v>4732670.46</v>
      </c>
    </row>
    <row r="744" spans="1:4">
      <c r="A744" t="s">
        <v>48</v>
      </c>
      <c r="B744" t="s">
        <v>45</v>
      </c>
      <c r="C744">
        <v>1</v>
      </c>
      <c r="D744" s="19">
        <v>34168329.579999998</v>
      </c>
    </row>
    <row r="745" spans="1:4">
      <c r="A745" t="s">
        <v>8054</v>
      </c>
      <c r="B745"/>
      <c r="C745">
        <v>1</v>
      </c>
      <c r="D745" s="19">
        <v>34168329.579999998</v>
      </c>
    </row>
    <row r="746" spans="1:4">
      <c r="A746" t="s">
        <v>97</v>
      </c>
      <c r="B746" t="s">
        <v>5106</v>
      </c>
      <c r="C746">
        <v>1</v>
      </c>
      <c r="D746" s="19">
        <v>4253273.01</v>
      </c>
    </row>
    <row r="747" spans="1:4">
      <c r="A747"/>
      <c r="B747" t="s">
        <v>5109</v>
      </c>
      <c r="C747">
        <v>1</v>
      </c>
      <c r="D747" s="19">
        <v>4253273.01</v>
      </c>
    </row>
    <row r="748" spans="1:4">
      <c r="A748" t="s">
        <v>7636</v>
      </c>
      <c r="B748"/>
      <c r="C748">
        <v>2</v>
      </c>
      <c r="D748" s="19">
        <v>8506546.0199999996</v>
      </c>
    </row>
    <row r="749" spans="1:4">
      <c r="A749" t="s">
        <v>117</v>
      </c>
      <c r="B749" t="s">
        <v>114</v>
      </c>
      <c r="C749">
        <v>1</v>
      </c>
      <c r="D749" s="19">
        <v>406730.1</v>
      </c>
    </row>
    <row r="750" spans="1:4">
      <c r="A750" t="s">
        <v>8055</v>
      </c>
      <c r="B750"/>
      <c r="C750">
        <v>1</v>
      </c>
      <c r="D750" s="19">
        <v>406730.1</v>
      </c>
    </row>
    <row r="751" spans="1:4">
      <c r="A751" t="s">
        <v>132</v>
      </c>
      <c r="B751" t="s">
        <v>129</v>
      </c>
      <c r="C751">
        <v>1</v>
      </c>
      <c r="D751" s="19">
        <v>1006554.36</v>
      </c>
    </row>
    <row r="752" spans="1:4">
      <c r="A752"/>
      <c r="B752" t="s">
        <v>801</v>
      </c>
      <c r="C752">
        <v>1</v>
      </c>
      <c r="D752" s="19">
        <v>91207.55</v>
      </c>
    </row>
    <row r="753" spans="1:4">
      <c r="A753"/>
      <c r="B753" t="s">
        <v>2770</v>
      </c>
      <c r="C753">
        <v>1</v>
      </c>
      <c r="D753" s="19">
        <v>1006554.36</v>
      </c>
    </row>
    <row r="754" spans="1:4">
      <c r="A754"/>
      <c r="B754" t="s">
        <v>5640</v>
      </c>
      <c r="C754">
        <v>1</v>
      </c>
      <c r="D754" s="19">
        <v>1253074.76</v>
      </c>
    </row>
    <row r="755" spans="1:4">
      <c r="A755" t="s">
        <v>8056</v>
      </c>
      <c r="B755"/>
      <c r="C755">
        <v>4</v>
      </c>
      <c r="D755" s="19">
        <v>3357391.0300000003</v>
      </c>
    </row>
    <row r="756" spans="1:4">
      <c r="A756" t="s">
        <v>307</v>
      </c>
      <c r="B756" t="s">
        <v>304</v>
      </c>
      <c r="C756">
        <v>1</v>
      </c>
      <c r="D756" s="19">
        <v>2578730</v>
      </c>
    </row>
    <row r="757" spans="1:4">
      <c r="A757" t="s">
        <v>8057</v>
      </c>
      <c r="B757"/>
      <c r="C757">
        <v>1</v>
      </c>
      <c r="D757" s="19">
        <v>2578730</v>
      </c>
    </row>
    <row r="758" spans="1:4">
      <c r="A758" t="s">
        <v>516</v>
      </c>
      <c r="B758" t="s">
        <v>513</v>
      </c>
      <c r="C758">
        <v>1</v>
      </c>
      <c r="D758" s="19">
        <v>1270961.6499999999</v>
      </c>
    </row>
    <row r="759" spans="1:4">
      <c r="A759" t="s">
        <v>8058</v>
      </c>
      <c r="B759"/>
      <c r="C759">
        <v>1</v>
      </c>
      <c r="D759" s="19">
        <v>1270961.6499999999</v>
      </c>
    </row>
    <row r="760" spans="1:4">
      <c r="A760" t="s">
        <v>526</v>
      </c>
      <c r="B760" t="s">
        <v>7238</v>
      </c>
      <c r="C760">
        <v>1</v>
      </c>
      <c r="D760" s="19">
        <v>195457500</v>
      </c>
    </row>
    <row r="761" spans="1:4">
      <c r="A761" t="s">
        <v>7639</v>
      </c>
      <c r="B761"/>
      <c r="C761">
        <v>1</v>
      </c>
      <c r="D761" s="19">
        <v>195457500</v>
      </c>
    </row>
    <row r="762" spans="1:4">
      <c r="A762" t="s">
        <v>627</v>
      </c>
      <c r="B762" t="s">
        <v>5971</v>
      </c>
      <c r="C762">
        <v>1</v>
      </c>
      <c r="D762" s="19">
        <v>6064240</v>
      </c>
    </row>
    <row r="763" spans="1:4">
      <c r="A763" t="s">
        <v>7821</v>
      </c>
      <c r="B763"/>
      <c r="C763">
        <v>1</v>
      </c>
      <c r="D763" s="19">
        <v>6064240</v>
      </c>
    </row>
    <row r="764" spans="1:4">
      <c r="A764" t="s">
        <v>638</v>
      </c>
      <c r="B764" t="s">
        <v>635</v>
      </c>
      <c r="C764">
        <v>1</v>
      </c>
      <c r="D764" s="19">
        <v>140420</v>
      </c>
    </row>
    <row r="765" spans="1:4">
      <c r="A765" t="s">
        <v>8059</v>
      </c>
      <c r="B765"/>
      <c r="C765">
        <v>1</v>
      </c>
      <c r="D765" s="19">
        <v>140420</v>
      </c>
    </row>
    <row r="766" spans="1:4">
      <c r="A766" t="s">
        <v>686</v>
      </c>
      <c r="B766" t="s">
        <v>683</v>
      </c>
      <c r="C766">
        <v>1</v>
      </c>
      <c r="D766" s="19">
        <v>960200</v>
      </c>
    </row>
    <row r="767" spans="1:4">
      <c r="A767"/>
      <c r="B767" t="s">
        <v>7030</v>
      </c>
      <c r="C767">
        <v>1</v>
      </c>
      <c r="D767" s="19">
        <v>6590220</v>
      </c>
    </row>
    <row r="768" spans="1:4">
      <c r="A768" t="s">
        <v>8060</v>
      </c>
      <c r="B768"/>
      <c r="C768">
        <v>2</v>
      </c>
      <c r="D768" s="19">
        <v>7550420</v>
      </c>
    </row>
    <row r="769" spans="1:4">
      <c r="A769" t="s">
        <v>730</v>
      </c>
      <c r="B769" t="s">
        <v>727</v>
      </c>
      <c r="C769">
        <v>1</v>
      </c>
      <c r="D769" s="19">
        <v>911748.25</v>
      </c>
    </row>
    <row r="770" spans="1:4">
      <c r="A770"/>
      <c r="B770" t="s">
        <v>732</v>
      </c>
      <c r="C770">
        <v>1</v>
      </c>
      <c r="D770" s="19">
        <v>6877862.04</v>
      </c>
    </row>
    <row r="771" spans="1:4">
      <c r="A771"/>
      <c r="B771" t="s">
        <v>1837</v>
      </c>
      <c r="C771">
        <v>1</v>
      </c>
      <c r="D771" s="19">
        <v>1994797</v>
      </c>
    </row>
    <row r="772" spans="1:4">
      <c r="A772"/>
      <c r="B772" t="s">
        <v>1840</v>
      </c>
      <c r="C772">
        <v>1</v>
      </c>
      <c r="D772" s="19">
        <v>1213562</v>
      </c>
    </row>
    <row r="773" spans="1:4">
      <c r="A773"/>
      <c r="B773" t="s">
        <v>3154</v>
      </c>
      <c r="C773">
        <v>1</v>
      </c>
      <c r="D773" s="19">
        <v>392581</v>
      </c>
    </row>
    <row r="774" spans="1:4">
      <c r="A774"/>
      <c r="B774" t="s">
        <v>4960</v>
      </c>
      <c r="C774">
        <v>1</v>
      </c>
      <c r="D774" s="19">
        <v>307020</v>
      </c>
    </row>
    <row r="775" spans="1:4">
      <c r="A775"/>
      <c r="B775" t="s">
        <v>6645</v>
      </c>
      <c r="C775">
        <v>1</v>
      </c>
      <c r="D775" s="19">
        <v>988771</v>
      </c>
    </row>
    <row r="776" spans="1:4">
      <c r="A776" t="s">
        <v>8061</v>
      </c>
      <c r="B776"/>
      <c r="C776">
        <v>7</v>
      </c>
      <c r="D776" s="19">
        <v>12686341.289999999</v>
      </c>
    </row>
    <row r="777" spans="1:4">
      <c r="A777" t="s">
        <v>799</v>
      </c>
      <c r="B777" t="s">
        <v>796</v>
      </c>
      <c r="C777">
        <v>1</v>
      </c>
      <c r="D777" s="19">
        <v>767550</v>
      </c>
    </row>
    <row r="778" spans="1:4">
      <c r="A778"/>
      <c r="B778" t="s">
        <v>2104</v>
      </c>
      <c r="C778">
        <v>1</v>
      </c>
      <c r="D778" s="19">
        <v>767550</v>
      </c>
    </row>
    <row r="779" spans="1:4">
      <c r="A779" t="s">
        <v>8062</v>
      </c>
      <c r="B779"/>
      <c r="C779">
        <v>2</v>
      </c>
      <c r="D779" s="19">
        <v>1535100</v>
      </c>
    </row>
    <row r="780" spans="1:4">
      <c r="A780" t="s">
        <v>831</v>
      </c>
      <c r="B780" t="s">
        <v>827</v>
      </c>
      <c r="C780">
        <v>1</v>
      </c>
      <c r="D780" s="19">
        <v>442680</v>
      </c>
    </row>
    <row r="781" spans="1:4">
      <c r="A781"/>
      <c r="B781" t="s">
        <v>2943</v>
      </c>
      <c r="C781">
        <v>1</v>
      </c>
      <c r="D781" s="19">
        <v>1074570</v>
      </c>
    </row>
    <row r="782" spans="1:4">
      <c r="A782" t="s">
        <v>8063</v>
      </c>
      <c r="B782"/>
      <c r="C782">
        <v>2</v>
      </c>
      <c r="D782" s="19">
        <v>1517250</v>
      </c>
    </row>
    <row r="783" spans="1:4">
      <c r="A783" t="s">
        <v>836</v>
      </c>
      <c r="B783" t="s">
        <v>833</v>
      </c>
      <c r="C783">
        <v>1</v>
      </c>
      <c r="D783" s="19">
        <v>2399040</v>
      </c>
    </row>
    <row r="784" spans="1:4">
      <c r="A784" t="s">
        <v>8064</v>
      </c>
      <c r="B784"/>
      <c r="C784">
        <v>1</v>
      </c>
      <c r="D784" s="19">
        <v>2399040</v>
      </c>
    </row>
    <row r="785" spans="1:4">
      <c r="A785" t="s">
        <v>841</v>
      </c>
      <c r="B785" t="s">
        <v>6541</v>
      </c>
      <c r="C785">
        <v>1</v>
      </c>
      <c r="D785" s="19">
        <v>5838830.2000000002</v>
      </c>
    </row>
    <row r="786" spans="1:4">
      <c r="A786" t="s">
        <v>7726</v>
      </c>
      <c r="B786"/>
      <c r="C786">
        <v>1</v>
      </c>
      <c r="D786" s="19">
        <v>5838830.2000000002</v>
      </c>
    </row>
    <row r="787" spans="1:4">
      <c r="A787" t="s">
        <v>950</v>
      </c>
      <c r="B787" t="s">
        <v>947</v>
      </c>
      <c r="C787">
        <v>1</v>
      </c>
      <c r="D787" s="19">
        <v>5819100</v>
      </c>
    </row>
    <row r="788" spans="1:4">
      <c r="A788" t="s">
        <v>8065</v>
      </c>
      <c r="B788"/>
      <c r="C788">
        <v>1</v>
      </c>
      <c r="D788" s="19">
        <v>5819100</v>
      </c>
    </row>
    <row r="789" spans="1:4">
      <c r="A789" t="s">
        <v>965</v>
      </c>
      <c r="B789" t="s">
        <v>962</v>
      </c>
      <c r="C789">
        <v>1</v>
      </c>
      <c r="D789" s="19">
        <v>892500</v>
      </c>
    </row>
    <row r="790" spans="1:4">
      <c r="A790" t="s">
        <v>8066</v>
      </c>
      <c r="B790"/>
      <c r="C790">
        <v>1</v>
      </c>
      <c r="D790" s="19">
        <v>892500</v>
      </c>
    </row>
    <row r="791" spans="1:4">
      <c r="A791" t="s">
        <v>1023</v>
      </c>
      <c r="B791" t="s">
        <v>1020</v>
      </c>
      <c r="C791">
        <v>1</v>
      </c>
      <c r="D791" s="19">
        <v>3384660.05</v>
      </c>
    </row>
    <row r="792" spans="1:4">
      <c r="A792" t="s">
        <v>8067</v>
      </c>
      <c r="B792"/>
      <c r="C792">
        <v>1</v>
      </c>
      <c r="D792" s="19">
        <v>3384660.05</v>
      </c>
    </row>
    <row r="793" spans="1:4">
      <c r="A793" t="s">
        <v>1052</v>
      </c>
      <c r="B793" t="s">
        <v>1049</v>
      </c>
      <c r="C793">
        <v>1</v>
      </c>
      <c r="D793" s="19">
        <v>65830.8</v>
      </c>
    </row>
    <row r="794" spans="1:4">
      <c r="A794" t="s">
        <v>8068</v>
      </c>
      <c r="B794"/>
      <c r="C794">
        <v>1</v>
      </c>
      <c r="D794" s="19">
        <v>65830.8</v>
      </c>
    </row>
    <row r="795" spans="1:4">
      <c r="A795" t="s">
        <v>1179</v>
      </c>
      <c r="B795" t="s">
        <v>1176</v>
      </c>
      <c r="C795">
        <v>1</v>
      </c>
      <c r="D795" s="19">
        <v>633080</v>
      </c>
    </row>
    <row r="796" spans="1:4">
      <c r="A796" t="s">
        <v>8069</v>
      </c>
      <c r="B796"/>
      <c r="C796">
        <v>1</v>
      </c>
      <c r="D796" s="19">
        <v>633080</v>
      </c>
    </row>
    <row r="797" spans="1:4">
      <c r="A797" t="s">
        <v>1184</v>
      </c>
      <c r="B797" t="s">
        <v>1181</v>
      </c>
      <c r="C797">
        <v>1</v>
      </c>
      <c r="D797" s="19">
        <v>130900</v>
      </c>
    </row>
    <row r="798" spans="1:4">
      <c r="A798"/>
      <c r="B798" t="s">
        <v>1204</v>
      </c>
      <c r="C798">
        <v>1</v>
      </c>
      <c r="D798" s="19">
        <v>1870680</v>
      </c>
    </row>
    <row r="799" spans="1:4">
      <c r="A799"/>
      <c r="B799" t="s">
        <v>1207</v>
      </c>
      <c r="C799">
        <v>1</v>
      </c>
      <c r="D799" s="19">
        <v>2491729.1</v>
      </c>
    </row>
    <row r="800" spans="1:4">
      <c r="A800"/>
      <c r="B800" t="s">
        <v>1210</v>
      </c>
      <c r="C800">
        <v>1</v>
      </c>
      <c r="D800" s="19">
        <v>1462674.5</v>
      </c>
    </row>
    <row r="801" spans="1:4">
      <c r="A801"/>
      <c r="B801" t="s">
        <v>1213</v>
      </c>
      <c r="C801">
        <v>1</v>
      </c>
      <c r="D801" s="19">
        <v>1558900</v>
      </c>
    </row>
    <row r="802" spans="1:4">
      <c r="A802"/>
      <c r="B802" t="s">
        <v>3708</v>
      </c>
      <c r="C802">
        <v>1</v>
      </c>
      <c r="D802" s="19">
        <v>1109846.5</v>
      </c>
    </row>
    <row r="803" spans="1:4">
      <c r="A803"/>
      <c r="B803" t="s">
        <v>5187</v>
      </c>
      <c r="C803">
        <v>1</v>
      </c>
      <c r="D803" s="19">
        <v>160650</v>
      </c>
    </row>
    <row r="804" spans="1:4">
      <c r="A804" t="s">
        <v>8070</v>
      </c>
      <c r="B804"/>
      <c r="C804">
        <v>7</v>
      </c>
      <c r="D804" s="19">
        <v>8785380.0999999996</v>
      </c>
    </row>
    <row r="805" spans="1:4">
      <c r="A805" t="s">
        <v>1219</v>
      </c>
      <c r="B805" t="s">
        <v>1216</v>
      </c>
      <c r="C805">
        <v>1</v>
      </c>
      <c r="D805" s="19">
        <v>154700</v>
      </c>
    </row>
    <row r="806" spans="1:4">
      <c r="A806" t="s">
        <v>8071</v>
      </c>
      <c r="B806"/>
      <c r="C806">
        <v>1</v>
      </c>
      <c r="D806" s="19">
        <v>154700</v>
      </c>
    </row>
    <row r="807" spans="1:4">
      <c r="A807" t="s">
        <v>1264</v>
      </c>
      <c r="B807" t="s">
        <v>1261</v>
      </c>
      <c r="C807">
        <v>1</v>
      </c>
      <c r="D807" s="19">
        <v>418665.8</v>
      </c>
    </row>
    <row r="808" spans="1:4">
      <c r="A808" t="s">
        <v>8072</v>
      </c>
      <c r="B808"/>
      <c r="C808">
        <v>1</v>
      </c>
      <c r="D808" s="19">
        <v>418665.8</v>
      </c>
    </row>
    <row r="809" spans="1:4">
      <c r="A809" t="s">
        <v>1269</v>
      </c>
      <c r="B809" t="s">
        <v>1266</v>
      </c>
      <c r="C809">
        <v>1</v>
      </c>
      <c r="D809" s="19">
        <v>924630</v>
      </c>
    </row>
    <row r="810" spans="1:4">
      <c r="A810"/>
      <c r="B810" t="s">
        <v>1271</v>
      </c>
      <c r="C810">
        <v>1</v>
      </c>
      <c r="D810" s="19">
        <v>312375</v>
      </c>
    </row>
    <row r="811" spans="1:4">
      <c r="A811"/>
      <c r="B811" t="s">
        <v>1274</v>
      </c>
      <c r="C811">
        <v>1</v>
      </c>
      <c r="D811" s="19">
        <v>158270</v>
      </c>
    </row>
    <row r="812" spans="1:4">
      <c r="A812" t="s">
        <v>8073</v>
      </c>
      <c r="B812"/>
      <c r="C812">
        <v>3</v>
      </c>
      <c r="D812" s="19">
        <v>1395275</v>
      </c>
    </row>
    <row r="813" spans="1:4">
      <c r="A813" t="s">
        <v>1285</v>
      </c>
      <c r="B813" t="s">
        <v>1282</v>
      </c>
      <c r="C813">
        <v>1</v>
      </c>
      <c r="D813" s="19">
        <v>12093970</v>
      </c>
    </row>
    <row r="814" spans="1:4">
      <c r="A814" t="s">
        <v>8074</v>
      </c>
      <c r="B814"/>
      <c r="C814">
        <v>1</v>
      </c>
      <c r="D814" s="19">
        <v>12093970</v>
      </c>
    </row>
    <row r="815" spans="1:4">
      <c r="A815" t="s">
        <v>1425</v>
      </c>
      <c r="B815" t="s">
        <v>6922</v>
      </c>
      <c r="C815">
        <v>2</v>
      </c>
      <c r="D815" s="19">
        <v>6954122</v>
      </c>
    </row>
    <row r="816" spans="1:4">
      <c r="A816"/>
      <c r="B816" t="s">
        <v>7100</v>
      </c>
      <c r="C816">
        <v>1</v>
      </c>
      <c r="D816" s="19">
        <v>17922194.920000002</v>
      </c>
    </row>
    <row r="817" spans="1:4">
      <c r="A817" t="s">
        <v>7648</v>
      </c>
      <c r="B817"/>
      <c r="C817">
        <v>3</v>
      </c>
      <c r="D817" s="19">
        <v>24876316.920000002</v>
      </c>
    </row>
    <row r="818" spans="1:4">
      <c r="A818" t="s">
        <v>1574</v>
      </c>
      <c r="B818" t="s">
        <v>1571</v>
      </c>
      <c r="C818">
        <v>1</v>
      </c>
      <c r="D818" s="19">
        <v>1446921</v>
      </c>
    </row>
    <row r="819" spans="1:4">
      <c r="A819"/>
      <c r="B819" t="s">
        <v>7137</v>
      </c>
      <c r="C819">
        <v>1</v>
      </c>
      <c r="D819" s="19">
        <v>2459765.7000000002</v>
      </c>
    </row>
    <row r="820" spans="1:4">
      <c r="A820" t="s">
        <v>8075</v>
      </c>
      <c r="B820"/>
      <c r="C820">
        <v>2</v>
      </c>
      <c r="D820" s="19">
        <v>3906686.7</v>
      </c>
    </row>
    <row r="821" spans="1:4">
      <c r="A821" t="s">
        <v>1675</v>
      </c>
      <c r="B821" t="s">
        <v>4566</v>
      </c>
      <c r="C821">
        <v>2</v>
      </c>
      <c r="D821" s="19">
        <v>117369700</v>
      </c>
    </row>
    <row r="822" spans="1:4">
      <c r="A822" t="s">
        <v>7838</v>
      </c>
      <c r="B822"/>
      <c r="C822">
        <v>2</v>
      </c>
      <c r="D822" s="19">
        <v>117369700</v>
      </c>
    </row>
    <row r="823" spans="1:4">
      <c r="A823" t="s">
        <v>1699</v>
      </c>
      <c r="B823" t="s">
        <v>1696</v>
      </c>
      <c r="C823">
        <v>1</v>
      </c>
      <c r="D823" s="19">
        <v>853870.14</v>
      </c>
    </row>
    <row r="824" spans="1:4">
      <c r="A824"/>
      <c r="B824" t="s">
        <v>1701</v>
      </c>
      <c r="C824">
        <v>1</v>
      </c>
      <c r="D824" s="19">
        <v>1779050</v>
      </c>
    </row>
    <row r="825" spans="1:4">
      <c r="A825"/>
      <c r="B825" t="s">
        <v>3199</v>
      </c>
      <c r="C825">
        <v>1</v>
      </c>
      <c r="D825" s="19">
        <v>1201900</v>
      </c>
    </row>
    <row r="826" spans="1:4">
      <c r="A826"/>
      <c r="B826" t="s">
        <v>4465</v>
      </c>
      <c r="C826">
        <v>1</v>
      </c>
      <c r="D826" s="19">
        <v>134899.59</v>
      </c>
    </row>
    <row r="827" spans="1:4">
      <c r="A827"/>
      <c r="B827" t="s">
        <v>5678</v>
      </c>
      <c r="C827">
        <v>1</v>
      </c>
      <c r="D827" s="19">
        <v>793730</v>
      </c>
    </row>
    <row r="828" spans="1:4">
      <c r="A828"/>
      <c r="B828" t="s">
        <v>5681</v>
      </c>
      <c r="C828">
        <v>1</v>
      </c>
      <c r="D828" s="19">
        <v>250161.8</v>
      </c>
    </row>
    <row r="829" spans="1:4">
      <c r="A829"/>
      <c r="B829" t="s">
        <v>5798</v>
      </c>
      <c r="C829">
        <v>1</v>
      </c>
      <c r="D829" s="19">
        <v>987700</v>
      </c>
    </row>
    <row r="830" spans="1:4">
      <c r="A830"/>
      <c r="B830" t="s">
        <v>7041</v>
      </c>
      <c r="C830">
        <v>1</v>
      </c>
      <c r="D830" s="19">
        <v>327485.3</v>
      </c>
    </row>
    <row r="831" spans="1:4">
      <c r="A831"/>
      <c r="B831" t="s">
        <v>7044</v>
      </c>
      <c r="C831">
        <v>1</v>
      </c>
      <c r="D831" s="19">
        <v>83300</v>
      </c>
    </row>
    <row r="832" spans="1:4">
      <c r="A832"/>
      <c r="B832" t="s">
        <v>7476</v>
      </c>
      <c r="C832">
        <v>1</v>
      </c>
      <c r="D832" s="19">
        <v>238000</v>
      </c>
    </row>
    <row r="833" spans="1:4">
      <c r="A833"/>
      <c r="B833" t="s">
        <v>7479</v>
      </c>
      <c r="C833">
        <v>1</v>
      </c>
      <c r="D833" s="19">
        <v>463339.59</v>
      </c>
    </row>
    <row r="834" spans="1:4">
      <c r="A834" t="s">
        <v>8076</v>
      </c>
      <c r="B834"/>
      <c r="C834">
        <v>11</v>
      </c>
      <c r="D834" s="19">
        <v>7113436.4199999999</v>
      </c>
    </row>
    <row r="835" spans="1:4">
      <c r="A835" t="s">
        <v>1710</v>
      </c>
      <c r="B835" t="s">
        <v>1707</v>
      </c>
      <c r="C835">
        <v>1</v>
      </c>
      <c r="D835" s="19">
        <v>618800</v>
      </c>
    </row>
    <row r="836" spans="1:4">
      <c r="A836"/>
      <c r="B836" t="s">
        <v>4028</v>
      </c>
      <c r="C836">
        <v>1</v>
      </c>
      <c r="D836" s="19">
        <v>107397.5</v>
      </c>
    </row>
    <row r="837" spans="1:4">
      <c r="A837"/>
      <c r="B837" t="s">
        <v>5385</v>
      </c>
      <c r="C837">
        <v>1</v>
      </c>
      <c r="D837" s="19">
        <v>309400</v>
      </c>
    </row>
    <row r="838" spans="1:4">
      <c r="A838" t="s">
        <v>8077</v>
      </c>
      <c r="B838"/>
      <c r="C838">
        <v>3</v>
      </c>
      <c r="D838" s="19">
        <v>1035597.5</v>
      </c>
    </row>
    <row r="839" spans="1:4">
      <c r="A839" t="s">
        <v>1744</v>
      </c>
      <c r="B839" t="s">
        <v>1741</v>
      </c>
      <c r="C839">
        <v>1</v>
      </c>
      <c r="D839" s="19">
        <v>181852.1</v>
      </c>
    </row>
    <row r="840" spans="1:4">
      <c r="A840" t="s">
        <v>8078</v>
      </c>
      <c r="B840"/>
      <c r="C840">
        <v>1</v>
      </c>
      <c r="D840" s="19">
        <v>181852.1</v>
      </c>
    </row>
    <row r="841" spans="1:4">
      <c r="A841" t="s">
        <v>1754</v>
      </c>
      <c r="B841" t="s">
        <v>1751</v>
      </c>
      <c r="C841">
        <v>1</v>
      </c>
      <c r="D841" s="19">
        <v>83300</v>
      </c>
    </row>
    <row r="842" spans="1:4">
      <c r="A842" t="s">
        <v>8079</v>
      </c>
      <c r="B842"/>
      <c r="C842">
        <v>1</v>
      </c>
      <c r="D842" s="19">
        <v>83300</v>
      </c>
    </row>
    <row r="843" spans="1:4">
      <c r="A843" t="s">
        <v>1762</v>
      </c>
      <c r="B843" t="s">
        <v>1759</v>
      </c>
      <c r="C843">
        <v>1</v>
      </c>
      <c r="D843" s="19">
        <v>141385090</v>
      </c>
    </row>
    <row r="844" spans="1:4">
      <c r="A844" t="s">
        <v>8080</v>
      </c>
      <c r="B844"/>
      <c r="C844">
        <v>1</v>
      </c>
      <c r="D844" s="19">
        <v>141385090</v>
      </c>
    </row>
    <row r="845" spans="1:4">
      <c r="A845" t="s">
        <v>1767</v>
      </c>
      <c r="B845" t="s">
        <v>1764</v>
      </c>
      <c r="C845">
        <v>1</v>
      </c>
      <c r="D845" s="19">
        <v>1582198</v>
      </c>
    </row>
    <row r="846" spans="1:4">
      <c r="A846"/>
      <c r="B846" t="s">
        <v>2268</v>
      </c>
      <c r="C846">
        <v>1</v>
      </c>
      <c r="D846" s="19">
        <v>791099</v>
      </c>
    </row>
    <row r="847" spans="1:4">
      <c r="A847"/>
      <c r="B847" t="s">
        <v>3178</v>
      </c>
      <c r="C847">
        <v>1</v>
      </c>
      <c r="D847" s="19">
        <v>1212100.68</v>
      </c>
    </row>
    <row r="848" spans="1:4">
      <c r="A848"/>
      <c r="B848" t="s">
        <v>3990</v>
      </c>
      <c r="C848">
        <v>1</v>
      </c>
      <c r="D848" s="19">
        <v>791099</v>
      </c>
    </row>
    <row r="849" spans="1:4">
      <c r="A849"/>
      <c r="B849" t="s">
        <v>5409</v>
      </c>
      <c r="C849">
        <v>1</v>
      </c>
      <c r="D849" s="19">
        <v>1508388.07</v>
      </c>
    </row>
    <row r="850" spans="1:4">
      <c r="A850"/>
      <c r="B850" t="s">
        <v>7396</v>
      </c>
      <c r="C850">
        <v>1</v>
      </c>
      <c r="D850" s="19">
        <v>2564461.9</v>
      </c>
    </row>
    <row r="851" spans="1:4">
      <c r="A851" t="s">
        <v>8081</v>
      </c>
      <c r="B851"/>
      <c r="C851">
        <v>6</v>
      </c>
      <c r="D851" s="19">
        <v>8449346.6500000004</v>
      </c>
    </row>
    <row r="852" spans="1:4">
      <c r="A852" t="s">
        <v>1814</v>
      </c>
      <c r="B852" t="s">
        <v>1811</v>
      </c>
      <c r="C852">
        <v>1</v>
      </c>
      <c r="D852" s="19">
        <v>309400</v>
      </c>
    </row>
    <row r="853" spans="1:4">
      <c r="A853" t="s">
        <v>8082</v>
      </c>
      <c r="B853"/>
      <c r="C853">
        <v>1</v>
      </c>
      <c r="D853" s="19">
        <v>309400</v>
      </c>
    </row>
    <row r="854" spans="1:4">
      <c r="A854" t="s">
        <v>1824</v>
      </c>
      <c r="B854" t="s">
        <v>1821</v>
      </c>
      <c r="C854">
        <v>1</v>
      </c>
      <c r="D854" s="19">
        <v>3641041.81</v>
      </c>
    </row>
    <row r="855" spans="1:4">
      <c r="A855"/>
      <c r="B855" t="s">
        <v>1826</v>
      </c>
      <c r="C855">
        <v>1</v>
      </c>
      <c r="D855" s="19">
        <v>713922.65</v>
      </c>
    </row>
    <row r="856" spans="1:4">
      <c r="A856"/>
      <c r="B856" t="s">
        <v>1829</v>
      </c>
      <c r="C856">
        <v>1</v>
      </c>
      <c r="D856" s="19">
        <v>2429980</v>
      </c>
    </row>
    <row r="857" spans="1:4">
      <c r="A857" t="s">
        <v>8083</v>
      </c>
      <c r="B857"/>
      <c r="C857">
        <v>3</v>
      </c>
      <c r="D857" s="19">
        <v>6784944.46</v>
      </c>
    </row>
    <row r="858" spans="1:4">
      <c r="A858" t="s">
        <v>1911</v>
      </c>
      <c r="B858" t="s">
        <v>7179</v>
      </c>
      <c r="C858">
        <v>1</v>
      </c>
      <c r="D858" s="19">
        <v>535500</v>
      </c>
    </row>
    <row r="859" spans="1:4">
      <c r="A859" t="s">
        <v>8084</v>
      </c>
      <c r="B859"/>
      <c r="C859">
        <v>1</v>
      </c>
      <c r="D859" s="19">
        <v>535500</v>
      </c>
    </row>
    <row r="860" spans="1:4">
      <c r="A860" t="s">
        <v>1989</v>
      </c>
      <c r="B860" t="s">
        <v>1986</v>
      </c>
      <c r="C860">
        <v>1</v>
      </c>
      <c r="D860" s="19">
        <v>311780</v>
      </c>
    </row>
    <row r="861" spans="1:4">
      <c r="A861"/>
      <c r="B861" t="s">
        <v>3699</v>
      </c>
      <c r="C861">
        <v>1</v>
      </c>
      <c r="D861" s="19">
        <v>499800</v>
      </c>
    </row>
    <row r="862" spans="1:4">
      <c r="A862" t="s">
        <v>8085</v>
      </c>
      <c r="B862"/>
      <c r="C862">
        <v>2</v>
      </c>
      <c r="D862" s="19">
        <v>811580</v>
      </c>
    </row>
    <row r="863" spans="1:4">
      <c r="A863" t="s">
        <v>2102</v>
      </c>
      <c r="B863" t="s">
        <v>2099</v>
      </c>
      <c r="C863">
        <v>1</v>
      </c>
      <c r="D863" s="19">
        <v>599760</v>
      </c>
    </row>
    <row r="864" spans="1:4">
      <c r="A864"/>
      <c r="B864" t="s">
        <v>2392</v>
      </c>
      <c r="C864">
        <v>1</v>
      </c>
      <c r="D864" s="19">
        <v>1438000</v>
      </c>
    </row>
    <row r="865" spans="1:4">
      <c r="A865" t="s">
        <v>8086</v>
      </c>
      <c r="B865"/>
      <c r="C865">
        <v>2</v>
      </c>
      <c r="D865" s="19">
        <v>2037760</v>
      </c>
    </row>
    <row r="866" spans="1:4">
      <c r="A866" t="s">
        <v>2110</v>
      </c>
      <c r="B866" t="s">
        <v>2107</v>
      </c>
      <c r="C866">
        <v>1</v>
      </c>
      <c r="D866" s="19">
        <v>1373260</v>
      </c>
    </row>
    <row r="867" spans="1:4">
      <c r="A867" t="s">
        <v>8087</v>
      </c>
      <c r="B867"/>
      <c r="C867">
        <v>1</v>
      </c>
      <c r="D867" s="19">
        <v>1373260</v>
      </c>
    </row>
    <row r="868" spans="1:4">
      <c r="A868" t="s">
        <v>2152</v>
      </c>
      <c r="B868" t="s">
        <v>2149</v>
      </c>
      <c r="C868">
        <v>1</v>
      </c>
      <c r="D868" s="19">
        <v>6646031</v>
      </c>
    </row>
    <row r="869" spans="1:4">
      <c r="A869" t="s">
        <v>8088</v>
      </c>
      <c r="B869"/>
      <c r="C869">
        <v>1</v>
      </c>
      <c r="D869" s="19">
        <v>6646031</v>
      </c>
    </row>
    <row r="870" spans="1:4">
      <c r="A870" t="s">
        <v>2175</v>
      </c>
      <c r="B870" t="s">
        <v>2172</v>
      </c>
      <c r="C870">
        <v>1</v>
      </c>
      <c r="D870" s="19">
        <v>1927949.61</v>
      </c>
    </row>
    <row r="871" spans="1:4">
      <c r="A871" t="s">
        <v>8089</v>
      </c>
      <c r="B871"/>
      <c r="C871">
        <v>1</v>
      </c>
      <c r="D871" s="19">
        <v>1927949.61</v>
      </c>
    </row>
    <row r="872" spans="1:4">
      <c r="A872" t="s">
        <v>2185</v>
      </c>
      <c r="B872" t="s">
        <v>2182</v>
      </c>
      <c r="C872">
        <v>1</v>
      </c>
      <c r="D872" s="19">
        <v>432000</v>
      </c>
    </row>
    <row r="873" spans="1:4">
      <c r="A873" t="s">
        <v>8090</v>
      </c>
      <c r="B873"/>
      <c r="C873">
        <v>1</v>
      </c>
      <c r="D873" s="19">
        <v>432000</v>
      </c>
    </row>
    <row r="874" spans="1:4">
      <c r="A874" t="s">
        <v>2193</v>
      </c>
      <c r="B874" t="s">
        <v>2190</v>
      </c>
      <c r="C874">
        <v>1</v>
      </c>
      <c r="D874" s="19">
        <v>497122.5</v>
      </c>
    </row>
    <row r="875" spans="1:4">
      <c r="A875"/>
      <c r="B875" t="s">
        <v>5220</v>
      </c>
      <c r="C875">
        <v>1</v>
      </c>
      <c r="D875" s="19">
        <v>580958</v>
      </c>
    </row>
    <row r="876" spans="1:4">
      <c r="A876" t="s">
        <v>8091</v>
      </c>
      <c r="B876"/>
      <c r="C876">
        <v>2</v>
      </c>
      <c r="D876" s="19">
        <v>1078080.5</v>
      </c>
    </row>
    <row r="877" spans="1:4">
      <c r="A877" t="s">
        <v>2198</v>
      </c>
      <c r="B877" t="s">
        <v>2195</v>
      </c>
      <c r="C877">
        <v>1</v>
      </c>
      <c r="D877" s="19">
        <v>6265100</v>
      </c>
    </row>
    <row r="878" spans="1:4">
      <c r="A878"/>
      <c r="B878" t="s">
        <v>5643</v>
      </c>
      <c r="C878">
        <v>1</v>
      </c>
      <c r="D878" s="19">
        <v>2350000</v>
      </c>
    </row>
    <row r="879" spans="1:4">
      <c r="A879" t="s">
        <v>8092</v>
      </c>
      <c r="B879"/>
      <c r="C879">
        <v>2</v>
      </c>
      <c r="D879" s="19">
        <v>8615100</v>
      </c>
    </row>
    <row r="880" spans="1:4">
      <c r="A880" t="s">
        <v>2216</v>
      </c>
      <c r="B880" t="s">
        <v>2213</v>
      </c>
      <c r="C880">
        <v>1</v>
      </c>
      <c r="D880" s="19">
        <v>1390000</v>
      </c>
    </row>
    <row r="881" spans="1:4">
      <c r="A881" t="s">
        <v>8093</v>
      </c>
      <c r="B881"/>
      <c r="C881">
        <v>1</v>
      </c>
      <c r="D881" s="19">
        <v>1390000</v>
      </c>
    </row>
    <row r="882" spans="1:4">
      <c r="A882" t="s">
        <v>2235</v>
      </c>
      <c r="B882" t="s">
        <v>2232</v>
      </c>
      <c r="C882">
        <v>1</v>
      </c>
      <c r="D882" s="19">
        <v>783020</v>
      </c>
    </row>
    <row r="883" spans="1:4">
      <c r="A883" t="s">
        <v>8094</v>
      </c>
      <c r="B883"/>
      <c r="C883">
        <v>1</v>
      </c>
      <c r="D883" s="19">
        <v>783020</v>
      </c>
    </row>
    <row r="884" spans="1:4">
      <c r="A884" t="s">
        <v>2303</v>
      </c>
      <c r="B884" t="s">
        <v>2300</v>
      </c>
      <c r="C884">
        <v>1</v>
      </c>
      <c r="D884" s="19">
        <v>2522800</v>
      </c>
    </row>
    <row r="885" spans="1:4">
      <c r="A885"/>
      <c r="B885" t="s">
        <v>2817</v>
      </c>
      <c r="C885">
        <v>1</v>
      </c>
      <c r="D885" s="19">
        <v>17924184.600000001</v>
      </c>
    </row>
    <row r="886" spans="1:4">
      <c r="A886" t="s">
        <v>8095</v>
      </c>
      <c r="B886"/>
      <c r="C886">
        <v>2</v>
      </c>
      <c r="D886" s="19">
        <v>20446984.600000001</v>
      </c>
    </row>
    <row r="887" spans="1:4">
      <c r="A887" t="s">
        <v>2311</v>
      </c>
      <c r="B887" t="s">
        <v>2308</v>
      </c>
      <c r="C887">
        <v>1</v>
      </c>
      <c r="D887" s="19">
        <v>1428297.5</v>
      </c>
    </row>
    <row r="888" spans="1:4">
      <c r="A888" t="s">
        <v>8096</v>
      </c>
      <c r="B888"/>
      <c r="C888">
        <v>1</v>
      </c>
      <c r="D888" s="19">
        <v>1428297.5</v>
      </c>
    </row>
    <row r="889" spans="1:4">
      <c r="A889" t="s">
        <v>2319</v>
      </c>
      <c r="B889" t="s">
        <v>2316</v>
      </c>
      <c r="C889">
        <v>1</v>
      </c>
      <c r="D889" s="19">
        <v>540985.9</v>
      </c>
    </row>
    <row r="890" spans="1:4">
      <c r="A890"/>
      <c r="B890" t="s">
        <v>3470</v>
      </c>
      <c r="C890">
        <v>1</v>
      </c>
      <c r="D890" s="19">
        <v>15713950</v>
      </c>
    </row>
    <row r="891" spans="1:4">
      <c r="A891" t="s">
        <v>8097</v>
      </c>
      <c r="B891"/>
      <c r="C891">
        <v>2</v>
      </c>
      <c r="D891" s="19">
        <v>16254935.9</v>
      </c>
    </row>
    <row r="892" spans="1:4">
      <c r="A892" t="s">
        <v>2327</v>
      </c>
      <c r="B892" t="s">
        <v>2324</v>
      </c>
      <c r="C892">
        <v>1</v>
      </c>
      <c r="D892" s="19">
        <v>753109.63</v>
      </c>
    </row>
    <row r="893" spans="1:4">
      <c r="A893"/>
      <c r="B893" t="s">
        <v>4919</v>
      </c>
      <c r="C893">
        <v>1</v>
      </c>
      <c r="D893" s="19">
        <v>123366.11</v>
      </c>
    </row>
    <row r="894" spans="1:4">
      <c r="A894" t="s">
        <v>8098</v>
      </c>
      <c r="B894"/>
      <c r="C894">
        <v>2</v>
      </c>
      <c r="D894" s="19">
        <v>876475.74</v>
      </c>
    </row>
    <row r="895" spans="1:4">
      <c r="A895" t="s">
        <v>2345</v>
      </c>
      <c r="B895" t="s">
        <v>2342</v>
      </c>
      <c r="C895">
        <v>1</v>
      </c>
      <c r="D895" s="19">
        <v>4186258</v>
      </c>
    </row>
    <row r="896" spans="1:4">
      <c r="A896"/>
      <c r="B896" t="s">
        <v>3004</v>
      </c>
      <c r="C896">
        <v>1</v>
      </c>
      <c r="D896" s="19">
        <v>1943305</v>
      </c>
    </row>
    <row r="897" spans="1:4">
      <c r="A897" t="s">
        <v>8099</v>
      </c>
      <c r="B897"/>
      <c r="C897">
        <v>2</v>
      </c>
      <c r="D897" s="19">
        <v>6129563</v>
      </c>
    </row>
    <row r="898" spans="1:4">
      <c r="A898" t="s">
        <v>2353</v>
      </c>
      <c r="B898" t="s">
        <v>2350</v>
      </c>
      <c r="C898">
        <v>1</v>
      </c>
      <c r="D898" s="19">
        <v>654500</v>
      </c>
    </row>
    <row r="899" spans="1:4">
      <c r="A899"/>
      <c r="B899" t="s">
        <v>2361</v>
      </c>
      <c r="C899">
        <v>1</v>
      </c>
      <c r="D899" s="19">
        <v>595000</v>
      </c>
    </row>
    <row r="900" spans="1:4">
      <c r="A900"/>
      <c r="B900" t="s">
        <v>4013</v>
      </c>
      <c r="C900">
        <v>1</v>
      </c>
      <c r="D900" s="19">
        <v>23182889.800000001</v>
      </c>
    </row>
    <row r="901" spans="1:4">
      <c r="A901"/>
      <c r="B901" t="s">
        <v>6842</v>
      </c>
      <c r="C901">
        <v>1</v>
      </c>
      <c r="D901" s="19">
        <v>642600</v>
      </c>
    </row>
    <row r="902" spans="1:4">
      <c r="A902"/>
      <c r="B902" t="s">
        <v>7199</v>
      </c>
      <c r="C902">
        <v>1</v>
      </c>
      <c r="D902" s="19">
        <v>203014</v>
      </c>
    </row>
    <row r="903" spans="1:4">
      <c r="A903" t="s">
        <v>8100</v>
      </c>
      <c r="B903"/>
      <c r="C903">
        <v>5</v>
      </c>
      <c r="D903" s="19">
        <v>25278003.800000001</v>
      </c>
    </row>
    <row r="904" spans="1:4">
      <c r="A904" t="s">
        <v>2452</v>
      </c>
      <c r="B904" t="s">
        <v>2449</v>
      </c>
      <c r="C904">
        <v>1</v>
      </c>
      <c r="D904" s="19">
        <v>110551</v>
      </c>
    </row>
    <row r="905" spans="1:4">
      <c r="A905"/>
      <c r="B905" t="s">
        <v>4220</v>
      </c>
      <c r="C905">
        <v>1</v>
      </c>
      <c r="D905" s="19">
        <v>1413303.5</v>
      </c>
    </row>
    <row r="906" spans="1:4">
      <c r="A906"/>
      <c r="B906" t="s">
        <v>4478</v>
      </c>
      <c r="C906">
        <v>1</v>
      </c>
      <c r="D906" s="19">
        <v>220580.78</v>
      </c>
    </row>
    <row r="907" spans="1:4">
      <c r="A907" t="s">
        <v>8101</v>
      </c>
      <c r="B907"/>
      <c r="C907">
        <v>3</v>
      </c>
      <c r="D907" s="19">
        <v>1744435.28</v>
      </c>
    </row>
    <row r="908" spans="1:4">
      <c r="A908" t="s">
        <v>2468</v>
      </c>
      <c r="B908" t="s">
        <v>2465</v>
      </c>
      <c r="C908">
        <v>1</v>
      </c>
      <c r="D908" s="19">
        <v>440587.98</v>
      </c>
    </row>
    <row r="909" spans="1:4">
      <c r="A909"/>
      <c r="B909" t="s">
        <v>2470</v>
      </c>
      <c r="C909">
        <v>1</v>
      </c>
      <c r="D909" s="19">
        <v>52122</v>
      </c>
    </row>
    <row r="910" spans="1:4">
      <c r="A910"/>
      <c r="B910" t="s">
        <v>2473</v>
      </c>
      <c r="C910">
        <v>1</v>
      </c>
      <c r="D910" s="19">
        <v>930574.26</v>
      </c>
    </row>
    <row r="911" spans="1:4">
      <c r="A911" t="s">
        <v>8102</v>
      </c>
      <c r="B911"/>
      <c r="C911">
        <v>3</v>
      </c>
      <c r="D911" s="19">
        <v>1423284.24</v>
      </c>
    </row>
    <row r="912" spans="1:4">
      <c r="A912" t="s">
        <v>2591</v>
      </c>
      <c r="B912" t="s">
        <v>2588</v>
      </c>
      <c r="C912">
        <v>1</v>
      </c>
      <c r="D912" s="19">
        <v>6404580</v>
      </c>
    </row>
    <row r="913" spans="1:4">
      <c r="A913"/>
      <c r="B913" t="s">
        <v>3766</v>
      </c>
      <c r="C913">
        <v>1</v>
      </c>
      <c r="D913" s="19">
        <v>33730680.899999999</v>
      </c>
    </row>
    <row r="914" spans="1:4">
      <c r="A914"/>
      <c r="B914" t="s">
        <v>6934</v>
      </c>
      <c r="C914">
        <v>1</v>
      </c>
      <c r="D914" s="19">
        <v>22487120.600000001</v>
      </c>
    </row>
    <row r="915" spans="1:4">
      <c r="A915" t="s">
        <v>8103</v>
      </c>
      <c r="B915"/>
      <c r="C915">
        <v>3</v>
      </c>
      <c r="D915" s="19">
        <v>62622381.5</v>
      </c>
    </row>
    <row r="916" spans="1:4">
      <c r="A916" t="s">
        <v>2596</v>
      </c>
      <c r="B916" t="s">
        <v>2593</v>
      </c>
      <c r="C916">
        <v>1</v>
      </c>
      <c r="D916" s="19">
        <v>1347360</v>
      </c>
    </row>
    <row r="917" spans="1:4">
      <c r="A917" t="s">
        <v>8104</v>
      </c>
      <c r="B917"/>
      <c r="C917">
        <v>1</v>
      </c>
      <c r="D917" s="19">
        <v>1347360</v>
      </c>
    </row>
    <row r="918" spans="1:4">
      <c r="A918" t="s">
        <v>2625</v>
      </c>
      <c r="B918" t="s">
        <v>2622</v>
      </c>
      <c r="C918">
        <v>1</v>
      </c>
      <c r="D918" s="19">
        <v>892500</v>
      </c>
    </row>
    <row r="919" spans="1:4">
      <c r="A919"/>
      <c r="B919" t="s">
        <v>2627</v>
      </c>
      <c r="C919">
        <v>1</v>
      </c>
      <c r="D919" s="19">
        <v>981750</v>
      </c>
    </row>
    <row r="920" spans="1:4">
      <c r="A920"/>
      <c r="B920" t="s">
        <v>3401</v>
      </c>
      <c r="C920">
        <v>1</v>
      </c>
      <c r="D920" s="19">
        <v>392700</v>
      </c>
    </row>
    <row r="921" spans="1:4">
      <c r="A921"/>
      <c r="B921" t="s">
        <v>5707</v>
      </c>
      <c r="C921">
        <v>1</v>
      </c>
      <c r="D921" s="19">
        <v>1268540</v>
      </c>
    </row>
    <row r="922" spans="1:4">
      <c r="A922"/>
      <c r="B922" t="s">
        <v>5695</v>
      </c>
      <c r="C922">
        <v>1</v>
      </c>
      <c r="D922" s="19">
        <v>773500</v>
      </c>
    </row>
    <row r="923" spans="1:4">
      <c r="A923"/>
      <c r="B923" t="s">
        <v>7291</v>
      </c>
      <c r="C923">
        <v>1</v>
      </c>
      <c r="D923" s="19">
        <v>136731</v>
      </c>
    </row>
    <row r="924" spans="1:4">
      <c r="A924"/>
      <c r="B924" t="s">
        <v>7402</v>
      </c>
      <c r="C924">
        <v>1</v>
      </c>
      <c r="D924" s="19">
        <v>3213000</v>
      </c>
    </row>
    <row r="925" spans="1:4">
      <c r="A925"/>
      <c r="B925" t="s">
        <v>7445</v>
      </c>
      <c r="C925">
        <v>1</v>
      </c>
      <c r="D925" s="19">
        <v>2618000</v>
      </c>
    </row>
    <row r="926" spans="1:4">
      <c r="A926" t="s">
        <v>8105</v>
      </c>
      <c r="B926"/>
      <c r="C926">
        <v>8</v>
      </c>
      <c r="D926" s="19">
        <v>10276721</v>
      </c>
    </row>
    <row r="927" spans="1:4">
      <c r="A927" t="s">
        <v>2715</v>
      </c>
      <c r="B927" t="s">
        <v>2713</v>
      </c>
      <c r="C927">
        <v>1</v>
      </c>
      <c r="D927" s="19">
        <v>2499000</v>
      </c>
    </row>
    <row r="928" spans="1:4">
      <c r="A928" t="s">
        <v>8106</v>
      </c>
      <c r="B928"/>
      <c r="C928">
        <v>1</v>
      </c>
      <c r="D928" s="19">
        <v>2499000</v>
      </c>
    </row>
    <row r="929" spans="1:4">
      <c r="A929" t="s">
        <v>2730</v>
      </c>
      <c r="B929" t="s">
        <v>2727</v>
      </c>
      <c r="C929">
        <v>1</v>
      </c>
      <c r="D929" s="19">
        <v>7181145.4400000004</v>
      </c>
    </row>
    <row r="930" spans="1:4">
      <c r="A930" t="s">
        <v>8107</v>
      </c>
      <c r="B930"/>
      <c r="C930">
        <v>1</v>
      </c>
      <c r="D930" s="19">
        <v>7181145.4400000004</v>
      </c>
    </row>
    <row r="931" spans="1:4">
      <c r="A931" t="s">
        <v>2751</v>
      </c>
      <c r="B931" t="s">
        <v>2748</v>
      </c>
      <c r="C931">
        <v>1</v>
      </c>
      <c r="D931" s="19">
        <v>156614.71</v>
      </c>
    </row>
    <row r="932" spans="1:4">
      <c r="A932" t="s">
        <v>8108</v>
      </c>
      <c r="B932"/>
      <c r="C932">
        <v>1</v>
      </c>
      <c r="D932" s="19">
        <v>156614.71</v>
      </c>
    </row>
    <row r="933" spans="1:4">
      <c r="A933" t="s">
        <v>2842</v>
      </c>
      <c r="B933" t="s">
        <v>2839</v>
      </c>
      <c r="C933">
        <v>1</v>
      </c>
      <c r="D933" s="19">
        <v>324870</v>
      </c>
    </row>
    <row r="934" spans="1:4">
      <c r="A934"/>
      <c r="B934" t="s">
        <v>2844</v>
      </c>
      <c r="C934">
        <v>1</v>
      </c>
      <c r="D934" s="19">
        <v>4513646.2</v>
      </c>
    </row>
    <row r="935" spans="1:4">
      <c r="A935"/>
      <c r="B935" t="s">
        <v>3045</v>
      </c>
      <c r="C935">
        <v>1</v>
      </c>
      <c r="D935" s="19">
        <v>505000</v>
      </c>
    </row>
    <row r="936" spans="1:4">
      <c r="A936"/>
      <c r="B936" t="s">
        <v>3254</v>
      </c>
      <c r="C936">
        <v>1</v>
      </c>
      <c r="D936" s="19">
        <v>534298.1</v>
      </c>
    </row>
    <row r="937" spans="1:4">
      <c r="A937"/>
      <c r="B937" t="s">
        <v>5844</v>
      </c>
      <c r="C937">
        <v>1</v>
      </c>
      <c r="D937" s="19">
        <v>110670</v>
      </c>
    </row>
    <row r="938" spans="1:4">
      <c r="A938"/>
      <c r="B938" t="s">
        <v>5919</v>
      </c>
      <c r="C938">
        <v>1</v>
      </c>
      <c r="D938" s="19">
        <v>5047837.2</v>
      </c>
    </row>
    <row r="939" spans="1:4">
      <c r="A939"/>
      <c r="B939" t="s">
        <v>5953</v>
      </c>
      <c r="C939">
        <v>1</v>
      </c>
      <c r="D939" s="19">
        <v>534298.1</v>
      </c>
    </row>
    <row r="940" spans="1:4">
      <c r="A940"/>
      <c r="B940" t="s">
        <v>5957</v>
      </c>
      <c r="C940">
        <v>1</v>
      </c>
      <c r="D940" s="19">
        <v>534298.1</v>
      </c>
    </row>
    <row r="941" spans="1:4">
      <c r="A941"/>
      <c r="B941" t="s">
        <v>7151</v>
      </c>
      <c r="C941">
        <v>1</v>
      </c>
      <c r="D941" s="19">
        <v>492898</v>
      </c>
    </row>
    <row r="942" spans="1:4">
      <c r="A942" t="s">
        <v>8109</v>
      </c>
      <c r="B942"/>
      <c r="C942">
        <v>9</v>
      </c>
      <c r="D942" s="19">
        <v>12597815.699999999</v>
      </c>
    </row>
    <row r="943" spans="1:4">
      <c r="A943" t="s">
        <v>2850</v>
      </c>
      <c r="B943" t="s">
        <v>2847</v>
      </c>
      <c r="C943">
        <v>1</v>
      </c>
      <c r="D943" s="19">
        <v>212242.65</v>
      </c>
    </row>
    <row r="944" spans="1:4">
      <c r="A944" t="s">
        <v>8110</v>
      </c>
      <c r="B944"/>
      <c r="C944">
        <v>1</v>
      </c>
      <c r="D944" s="19">
        <v>212242.65</v>
      </c>
    </row>
    <row r="945" spans="1:4">
      <c r="A945" t="s">
        <v>2855</v>
      </c>
      <c r="B945" t="s">
        <v>2852</v>
      </c>
      <c r="C945">
        <v>1</v>
      </c>
      <c r="D945" s="19">
        <v>142560.14000000001</v>
      </c>
    </row>
    <row r="946" spans="1:4">
      <c r="A946" t="s">
        <v>8111</v>
      </c>
      <c r="B946"/>
      <c r="C946">
        <v>1</v>
      </c>
      <c r="D946" s="19">
        <v>142560.14000000001</v>
      </c>
    </row>
    <row r="947" spans="1:4">
      <c r="A947" t="s">
        <v>2860</v>
      </c>
      <c r="B947" t="s">
        <v>2857</v>
      </c>
      <c r="C947">
        <v>1</v>
      </c>
      <c r="D947" s="19">
        <v>8336896.0499999998</v>
      </c>
    </row>
    <row r="948" spans="1:4">
      <c r="A948" t="s">
        <v>8112</v>
      </c>
      <c r="B948"/>
      <c r="C948">
        <v>1</v>
      </c>
      <c r="D948" s="19">
        <v>8336896.0499999998</v>
      </c>
    </row>
    <row r="949" spans="1:4">
      <c r="A949" t="s">
        <v>2914</v>
      </c>
      <c r="B949" t="s">
        <v>2911</v>
      </c>
      <c r="C949">
        <v>1</v>
      </c>
      <c r="D949" s="19">
        <v>320702.62</v>
      </c>
    </row>
    <row r="950" spans="1:4">
      <c r="A950"/>
      <c r="B950" t="s">
        <v>4491</v>
      </c>
      <c r="C950">
        <v>1</v>
      </c>
      <c r="D950" s="19">
        <v>639000</v>
      </c>
    </row>
    <row r="951" spans="1:4">
      <c r="A951" t="s">
        <v>8113</v>
      </c>
      <c r="B951"/>
      <c r="C951">
        <v>2</v>
      </c>
      <c r="D951" s="19">
        <v>959702.62</v>
      </c>
    </row>
    <row r="952" spans="1:4">
      <c r="A952" t="s">
        <v>2960</v>
      </c>
      <c r="B952" t="s">
        <v>2957</v>
      </c>
      <c r="C952">
        <v>1</v>
      </c>
      <c r="D952" s="19">
        <v>3383217.6</v>
      </c>
    </row>
    <row r="953" spans="1:4">
      <c r="A953"/>
      <c r="B953" t="s">
        <v>3804</v>
      </c>
      <c r="C953">
        <v>1</v>
      </c>
      <c r="D953" s="19">
        <v>60205229.700000003</v>
      </c>
    </row>
    <row r="954" spans="1:4">
      <c r="A954"/>
      <c r="B954" t="s">
        <v>3807</v>
      </c>
      <c r="C954">
        <v>1</v>
      </c>
      <c r="D954" s="19">
        <v>8027363.96</v>
      </c>
    </row>
    <row r="955" spans="1:4">
      <c r="A955"/>
      <c r="B955" t="s">
        <v>4941</v>
      </c>
      <c r="C955">
        <v>1</v>
      </c>
      <c r="D955" s="19">
        <v>16551764.74</v>
      </c>
    </row>
    <row r="956" spans="1:4">
      <c r="A956" t="s">
        <v>8114</v>
      </c>
      <c r="B956"/>
      <c r="C956">
        <v>4</v>
      </c>
      <c r="D956" s="19">
        <v>88167576</v>
      </c>
    </row>
    <row r="957" spans="1:4">
      <c r="A957" t="s">
        <v>2971</v>
      </c>
      <c r="B957" t="s">
        <v>2968</v>
      </c>
      <c r="C957">
        <v>1</v>
      </c>
      <c r="D957" s="19">
        <v>1274340.06</v>
      </c>
    </row>
    <row r="958" spans="1:4">
      <c r="A958" t="s">
        <v>8115</v>
      </c>
      <c r="B958"/>
      <c r="C958">
        <v>1</v>
      </c>
      <c r="D958" s="19">
        <v>1274340.06</v>
      </c>
    </row>
    <row r="959" spans="1:4">
      <c r="A959" t="s">
        <v>3010</v>
      </c>
      <c r="B959" t="s">
        <v>3007</v>
      </c>
      <c r="C959">
        <v>1</v>
      </c>
      <c r="D959" s="19">
        <v>572687.5</v>
      </c>
    </row>
    <row r="960" spans="1:4">
      <c r="A960"/>
      <c r="B960" t="s">
        <v>6823</v>
      </c>
      <c r="C960">
        <v>1</v>
      </c>
      <c r="D960" s="19">
        <v>2181329.5</v>
      </c>
    </row>
    <row r="961" spans="1:4">
      <c r="A961" t="s">
        <v>8116</v>
      </c>
      <c r="B961"/>
      <c r="C961">
        <v>2</v>
      </c>
      <c r="D961" s="19">
        <v>2754017</v>
      </c>
    </row>
    <row r="962" spans="1:4">
      <c r="A962" t="s">
        <v>3043</v>
      </c>
      <c r="B962" t="s">
        <v>3040</v>
      </c>
      <c r="C962">
        <v>1</v>
      </c>
      <c r="D962" s="19">
        <v>3981978</v>
      </c>
    </row>
    <row r="963" spans="1:4">
      <c r="A963" t="s">
        <v>8117</v>
      </c>
      <c r="B963"/>
      <c r="C963">
        <v>1</v>
      </c>
      <c r="D963" s="19">
        <v>3981978</v>
      </c>
    </row>
    <row r="964" spans="1:4">
      <c r="A964" t="s">
        <v>3051</v>
      </c>
      <c r="B964" t="s">
        <v>3048</v>
      </c>
      <c r="C964">
        <v>1</v>
      </c>
      <c r="D964" s="19">
        <v>710639.44</v>
      </c>
    </row>
    <row r="965" spans="1:4">
      <c r="A965" t="s">
        <v>8118</v>
      </c>
      <c r="B965"/>
      <c r="C965">
        <v>1</v>
      </c>
      <c r="D965" s="19">
        <v>710639.44</v>
      </c>
    </row>
    <row r="966" spans="1:4">
      <c r="A966" t="s">
        <v>3061</v>
      </c>
      <c r="B966" t="s">
        <v>3058</v>
      </c>
      <c r="C966">
        <v>1</v>
      </c>
      <c r="D966" s="19">
        <v>22094373</v>
      </c>
    </row>
    <row r="967" spans="1:4">
      <c r="A967" t="s">
        <v>8119</v>
      </c>
      <c r="B967"/>
      <c r="C967">
        <v>1</v>
      </c>
      <c r="D967" s="19">
        <v>22094373</v>
      </c>
    </row>
    <row r="968" spans="1:4">
      <c r="A968" t="s">
        <v>3074</v>
      </c>
      <c r="B968" t="s">
        <v>3071</v>
      </c>
      <c r="C968">
        <v>1</v>
      </c>
      <c r="D968" s="19">
        <v>10038423.5</v>
      </c>
    </row>
    <row r="969" spans="1:4">
      <c r="A969" t="s">
        <v>8120</v>
      </c>
      <c r="B969"/>
      <c r="C969">
        <v>1</v>
      </c>
      <c r="D969" s="19">
        <v>10038423.5</v>
      </c>
    </row>
    <row r="970" spans="1:4">
      <c r="A970" t="s">
        <v>3110</v>
      </c>
      <c r="B970" t="s">
        <v>3107</v>
      </c>
      <c r="C970">
        <v>1</v>
      </c>
      <c r="D970" s="19">
        <v>464100</v>
      </c>
    </row>
    <row r="971" spans="1:4">
      <c r="A971" t="s">
        <v>8121</v>
      </c>
      <c r="B971"/>
      <c r="C971">
        <v>1</v>
      </c>
      <c r="D971" s="19">
        <v>464100</v>
      </c>
    </row>
    <row r="972" spans="1:4">
      <c r="A972" t="s">
        <v>3207</v>
      </c>
      <c r="B972" t="s">
        <v>3204</v>
      </c>
      <c r="C972">
        <v>1</v>
      </c>
      <c r="D972" s="19">
        <v>181673.73</v>
      </c>
    </row>
    <row r="973" spans="1:4">
      <c r="A973"/>
      <c r="B973" t="s">
        <v>3209</v>
      </c>
      <c r="C973">
        <v>1</v>
      </c>
      <c r="D973" s="19">
        <v>59152.52</v>
      </c>
    </row>
    <row r="974" spans="1:4">
      <c r="A974" t="s">
        <v>8122</v>
      </c>
      <c r="B974"/>
      <c r="C974">
        <v>2</v>
      </c>
      <c r="D974" s="19">
        <v>240826.25</v>
      </c>
    </row>
    <row r="975" spans="1:4">
      <c r="A975" t="s">
        <v>3230</v>
      </c>
      <c r="B975" t="s">
        <v>3227</v>
      </c>
      <c r="C975">
        <v>1</v>
      </c>
      <c r="D975" s="19">
        <v>279888</v>
      </c>
    </row>
    <row r="976" spans="1:4">
      <c r="A976"/>
      <c r="B976" t="s">
        <v>6980</v>
      </c>
      <c r="C976">
        <v>1</v>
      </c>
      <c r="D976" s="19">
        <v>547400</v>
      </c>
    </row>
    <row r="977" spans="1:4">
      <c r="A977" t="s">
        <v>8123</v>
      </c>
      <c r="B977"/>
      <c r="C977">
        <v>2</v>
      </c>
      <c r="D977" s="19">
        <v>827288</v>
      </c>
    </row>
    <row r="978" spans="1:4">
      <c r="A978" t="s">
        <v>3252</v>
      </c>
      <c r="B978" t="s">
        <v>3250</v>
      </c>
      <c r="C978">
        <v>1</v>
      </c>
      <c r="D978" s="19">
        <v>1426584.1</v>
      </c>
    </row>
    <row r="979" spans="1:4">
      <c r="A979"/>
      <c r="B979" t="s">
        <v>4127</v>
      </c>
      <c r="C979">
        <v>1</v>
      </c>
      <c r="D979" s="19">
        <v>801203.5</v>
      </c>
    </row>
    <row r="980" spans="1:4">
      <c r="A980"/>
      <c r="B980" t="s">
        <v>4866</v>
      </c>
      <c r="C980">
        <v>1</v>
      </c>
      <c r="D980" s="19">
        <v>1488987.5</v>
      </c>
    </row>
    <row r="981" spans="1:4">
      <c r="A981"/>
      <c r="B981" t="s">
        <v>7109</v>
      </c>
      <c r="C981">
        <v>1</v>
      </c>
      <c r="D981" s="19">
        <v>2216198.2999999998</v>
      </c>
    </row>
    <row r="982" spans="1:4">
      <c r="A982" t="s">
        <v>8124</v>
      </c>
      <c r="B982"/>
      <c r="C982">
        <v>4</v>
      </c>
      <c r="D982" s="19">
        <v>5932973.4000000004</v>
      </c>
    </row>
    <row r="983" spans="1:4">
      <c r="A983" t="s">
        <v>3289</v>
      </c>
      <c r="B983" t="s">
        <v>5879</v>
      </c>
      <c r="C983">
        <v>1</v>
      </c>
      <c r="D983" s="19">
        <v>783020</v>
      </c>
    </row>
    <row r="984" spans="1:4">
      <c r="A984" t="s">
        <v>7668</v>
      </c>
      <c r="B984"/>
      <c r="C984">
        <v>1</v>
      </c>
      <c r="D984" s="19">
        <v>783020</v>
      </c>
    </row>
    <row r="985" spans="1:4">
      <c r="A985" t="s">
        <v>3305</v>
      </c>
      <c r="B985" t="s">
        <v>3310</v>
      </c>
      <c r="C985">
        <v>1</v>
      </c>
      <c r="D985" s="19">
        <v>596498</v>
      </c>
    </row>
    <row r="986" spans="1:4">
      <c r="A986" t="s">
        <v>7669</v>
      </c>
      <c r="B986"/>
      <c r="C986">
        <v>1</v>
      </c>
      <c r="D986" s="19">
        <v>596498</v>
      </c>
    </row>
    <row r="987" spans="1:4">
      <c r="A987" t="s">
        <v>3316</v>
      </c>
      <c r="B987" t="s">
        <v>3313</v>
      </c>
      <c r="C987">
        <v>1</v>
      </c>
      <c r="D987" s="19">
        <v>6604203.6900000004</v>
      </c>
    </row>
    <row r="988" spans="1:4">
      <c r="A988" t="s">
        <v>8125</v>
      </c>
      <c r="B988"/>
      <c r="C988">
        <v>1</v>
      </c>
      <c r="D988" s="19">
        <v>6604203.6900000004</v>
      </c>
    </row>
    <row r="989" spans="1:4">
      <c r="A989" t="s">
        <v>3356</v>
      </c>
      <c r="B989" t="s">
        <v>3353</v>
      </c>
      <c r="C989">
        <v>1</v>
      </c>
      <c r="D989" s="19">
        <v>844900</v>
      </c>
    </row>
    <row r="990" spans="1:4">
      <c r="A990" t="s">
        <v>8126</v>
      </c>
      <c r="B990"/>
      <c r="C990">
        <v>1</v>
      </c>
      <c r="D990" s="19">
        <v>844900</v>
      </c>
    </row>
    <row r="991" spans="1:4">
      <c r="A991" t="s">
        <v>3373</v>
      </c>
      <c r="B991" t="s">
        <v>3370</v>
      </c>
      <c r="C991">
        <v>1</v>
      </c>
      <c r="D991" s="19">
        <v>129710</v>
      </c>
    </row>
    <row r="992" spans="1:4">
      <c r="A992"/>
      <c r="B992" t="s">
        <v>3778</v>
      </c>
      <c r="C992">
        <v>1</v>
      </c>
      <c r="D992" s="19">
        <v>5638612.4000000004</v>
      </c>
    </row>
    <row r="993" spans="1:4">
      <c r="A993"/>
      <c r="B993" t="s">
        <v>5960</v>
      </c>
      <c r="C993">
        <v>1</v>
      </c>
      <c r="D993" s="19">
        <v>534298.1</v>
      </c>
    </row>
    <row r="994" spans="1:4">
      <c r="A994" t="s">
        <v>8127</v>
      </c>
      <c r="B994"/>
      <c r="C994">
        <v>3</v>
      </c>
      <c r="D994" s="19">
        <v>6302620.5</v>
      </c>
    </row>
    <row r="995" spans="1:4">
      <c r="A995" t="s">
        <v>3378</v>
      </c>
      <c r="B995" t="s">
        <v>3375</v>
      </c>
      <c r="C995">
        <v>1</v>
      </c>
      <c r="D995" s="19">
        <v>1190000</v>
      </c>
    </row>
    <row r="996" spans="1:4">
      <c r="A996"/>
      <c r="B996" t="s">
        <v>6260</v>
      </c>
      <c r="C996">
        <v>1</v>
      </c>
      <c r="D996" s="19">
        <v>4704487.6900000004</v>
      </c>
    </row>
    <row r="997" spans="1:4">
      <c r="A997" t="s">
        <v>8128</v>
      </c>
      <c r="B997"/>
      <c r="C997">
        <v>2</v>
      </c>
      <c r="D997" s="19">
        <v>5894487.6900000004</v>
      </c>
    </row>
    <row r="998" spans="1:4">
      <c r="A998" t="s">
        <v>3393</v>
      </c>
      <c r="B998" t="s">
        <v>3390</v>
      </c>
      <c r="C998">
        <v>1</v>
      </c>
      <c r="D998" s="19">
        <v>392700</v>
      </c>
    </row>
    <row r="999" spans="1:4">
      <c r="A999" t="s">
        <v>8129</v>
      </c>
      <c r="B999"/>
      <c r="C999">
        <v>1</v>
      </c>
      <c r="D999" s="19">
        <v>392700</v>
      </c>
    </row>
    <row r="1000" spans="1:4">
      <c r="A1000" t="s">
        <v>3442</v>
      </c>
      <c r="B1000" t="s">
        <v>3439</v>
      </c>
      <c r="C1000">
        <v>1</v>
      </c>
      <c r="D1000" s="19">
        <v>1136654.1200000001</v>
      </c>
    </row>
    <row r="1001" spans="1:4">
      <c r="A1001"/>
      <c r="B1001" t="s">
        <v>7059</v>
      </c>
      <c r="C1001">
        <v>1</v>
      </c>
      <c r="D1001" s="19">
        <v>1129706.27</v>
      </c>
    </row>
    <row r="1002" spans="1:4">
      <c r="A1002" t="s">
        <v>8130</v>
      </c>
      <c r="B1002"/>
      <c r="C1002">
        <v>2</v>
      </c>
      <c r="D1002" s="19">
        <v>2266360.39</v>
      </c>
    </row>
    <row r="1003" spans="1:4">
      <c r="A1003" t="s">
        <v>3447</v>
      </c>
      <c r="B1003" t="s">
        <v>3444</v>
      </c>
      <c r="C1003">
        <v>1</v>
      </c>
      <c r="D1003" s="19">
        <v>183974</v>
      </c>
    </row>
    <row r="1004" spans="1:4">
      <c r="A1004" t="s">
        <v>8131</v>
      </c>
      <c r="B1004"/>
      <c r="C1004">
        <v>1</v>
      </c>
      <c r="D1004" s="19">
        <v>183974</v>
      </c>
    </row>
    <row r="1005" spans="1:4">
      <c r="A1005" t="s">
        <v>3482</v>
      </c>
      <c r="B1005" t="s">
        <v>3479</v>
      </c>
      <c r="C1005">
        <v>1</v>
      </c>
      <c r="D1005" s="19">
        <v>412941.9</v>
      </c>
    </row>
    <row r="1006" spans="1:4">
      <c r="A1006" t="s">
        <v>8132</v>
      </c>
      <c r="B1006"/>
      <c r="C1006">
        <v>1</v>
      </c>
      <c r="D1006" s="19">
        <v>412941.9</v>
      </c>
    </row>
    <row r="1007" spans="1:4">
      <c r="A1007" t="s">
        <v>3506</v>
      </c>
      <c r="B1007" t="s">
        <v>3503</v>
      </c>
      <c r="C1007">
        <v>1</v>
      </c>
      <c r="D1007" s="19">
        <v>4903678.22</v>
      </c>
    </row>
    <row r="1008" spans="1:4">
      <c r="A1008"/>
      <c r="B1008" t="s">
        <v>5135</v>
      </c>
      <c r="C1008">
        <v>1</v>
      </c>
      <c r="D1008" s="19">
        <v>5288752.7</v>
      </c>
    </row>
    <row r="1009" spans="1:4">
      <c r="A1009"/>
      <c r="B1009" t="s">
        <v>6249</v>
      </c>
      <c r="C1009">
        <v>1</v>
      </c>
      <c r="D1009" s="19">
        <v>10454457.02</v>
      </c>
    </row>
    <row r="1010" spans="1:4">
      <c r="A1010" t="s">
        <v>8133</v>
      </c>
      <c r="B1010"/>
      <c r="C1010">
        <v>3</v>
      </c>
      <c r="D1010" s="19">
        <v>20646887.939999998</v>
      </c>
    </row>
    <row r="1011" spans="1:4">
      <c r="A1011" t="s">
        <v>3527</v>
      </c>
      <c r="B1011" t="s">
        <v>3524</v>
      </c>
      <c r="C1011">
        <v>1</v>
      </c>
      <c r="D1011" s="19">
        <v>1668879.8</v>
      </c>
    </row>
    <row r="1012" spans="1:4">
      <c r="A1012" t="s">
        <v>8134</v>
      </c>
      <c r="B1012"/>
      <c r="C1012">
        <v>1</v>
      </c>
      <c r="D1012" s="19">
        <v>1668879.8</v>
      </c>
    </row>
    <row r="1013" spans="1:4">
      <c r="A1013" t="s">
        <v>3532</v>
      </c>
      <c r="B1013" t="s">
        <v>3529</v>
      </c>
      <c r="C1013">
        <v>1</v>
      </c>
      <c r="D1013" s="19">
        <v>867093.5</v>
      </c>
    </row>
    <row r="1014" spans="1:4">
      <c r="A1014" t="s">
        <v>8135</v>
      </c>
      <c r="B1014"/>
      <c r="C1014">
        <v>1</v>
      </c>
      <c r="D1014" s="19">
        <v>867093.5</v>
      </c>
    </row>
    <row r="1015" spans="1:4">
      <c r="A1015" t="s">
        <v>3537</v>
      </c>
      <c r="B1015" t="s">
        <v>3534</v>
      </c>
      <c r="C1015">
        <v>1</v>
      </c>
      <c r="D1015" s="19">
        <v>506665.11</v>
      </c>
    </row>
    <row r="1016" spans="1:4">
      <c r="A1016" t="s">
        <v>8136</v>
      </c>
      <c r="B1016"/>
      <c r="C1016">
        <v>1</v>
      </c>
      <c r="D1016" s="19">
        <v>506665.11</v>
      </c>
    </row>
    <row r="1017" spans="1:4">
      <c r="A1017" t="s">
        <v>3542</v>
      </c>
      <c r="B1017" t="s">
        <v>3539</v>
      </c>
      <c r="C1017">
        <v>1</v>
      </c>
      <c r="D1017" s="19">
        <v>1058558.55</v>
      </c>
    </row>
    <row r="1018" spans="1:4">
      <c r="A1018" t="s">
        <v>8137</v>
      </c>
      <c r="B1018"/>
      <c r="C1018">
        <v>1</v>
      </c>
      <c r="D1018" s="19">
        <v>1058558.55</v>
      </c>
    </row>
    <row r="1019" spans="1:4">
      <c r="A1019" t="s">
        <v>3552</v>
      </c>
      <c r="B1019" t="s">
        <v>3549</v>
      </c>
      <c r="C1019">
        <v>1</v>
      </c>
      <c r="D1019" s="19">
        <v>467670</v>
      </c>
    </row>
    <row r="1020" spans="1:4">
      <c r="A1020"/>
      <c r="B1020" t="s">
        <v>3554</v>
      </c>
      <c r="C1020">
        <v>1</v>
      </c>
      <c r="D1020" s="19">
        <v>456167.46</v>
      </c>
    </row>
    <row r="1021" spans="1:4">
      <c r="A1021"/>
      <c r="B1021" t="s">
        <v>6279</v>
      </c>
      <c r="C1021">
        <v>1</v>
      </c>
      <c r="D1021" s="19">
        <v>327477.28999999998</v>
      </c>
    </row>
    <row r="1022" spans="1:4">
      <c r="A1022" t="s">
        <v>8138</v>
      </c>
      <c r="B1022"/>
      <c r="C1022">
        <v>3</v>
      </c>
      <c r="D1022" s="19">
        <v>1251314.75</v>
      </c>
    </row>
    <row r="1023" spans="1:4">
      <c r="A1023" t="s">
        <v>3560</v>
      </c>
      <c r="B1023" t="s">
        <v>6271</v>
      </c>
      <c r="C1023">
        <v>1</v>
      </c>
      <c r="D1023" s="19">
        <v>916754.58</v>
      </c>
    </row>
    <row r="1024" spans="1:4">
      <c r="A1024" t="s">
        <v>7849</v>
      </c>
      <c r="B1024"/>
      <c r="C1024">
        <v>1</v>
      </c>
      <c r="D1024" s="19">
        <v>916754.58</v>
      </c>
    </row>
    <row r="1025" spans="1:4">
      <c r="A1025" t="s">
        <v>3565</v>
      </c>
      <c r="B1025" t="s">
        <v>3562</v>
      </c>
      <c r="C1025">
        <v>1</v>
      </c>
      <c r="D1025" s="19">
        <v>844900</v>
      </c>
    </row>
    <row r="1026" spans="1:4">
      <c r="A1026" t="s">
        <v>8139</v>
      </c>
      <c r="B1026"/>
      <c r="C1026">
        <v>1</v>
      </c>
      <c r="D1026" s="19">
        <v>844900</v>
      </c>
    </row>
    <row r="1027" spans="1:4">
      <c r="A1027" t="s">
        <v>3590</v>
      </c>
      <c r="B1027" t="s">
        <v>3587</v>
      </c>
      <c r="C1027">
        <v>1</v>
      </c>
      <c r="D1027" s="19">
        <v>21586058.550000001</v>
      </c>
    </row>
    <row r="1028" spans="1:4">
      <c r="A1028" t="s">
        <v>8140</v>
      </c>
      <c r="B1028"/>
      <c r="C1028">
        <v>1</v>
      </c>
      <c r="D1028" s="19">
        <v>21586058.550000001</v>
      </c>
    </row>
    <row r="1029" spans="1:4">
      <c r="A1029" t="s">
        <v>3625</v>
      </c>
      <c r="B1029" t="s">
        <v>3622</v>
      </c>
      <c r="C1029">
        <v>1</v>
      </c>
      <c r="D1029" s="19">
        <v>5658178.6799999997</v>
      </c>
    </row>
    <row r="1030" spans="1:4">
      <c r="A1030"/>
      <c r="B1030" t="s">
        <v>6330</v>
      </c>
      <c r="C1030">
        <v>1</v>
      </c>
      <c r="D1030" s="19">
        <v>8752212</v>
      </c>
    </row>
    <row r="1031" spans="1:4">
      <c r="A1031"/>
      <c r="B1031" t="s">
        <v>6333</v>
      </c>
      <c r="C1031">
        <v>1</v>
      </c>
      <c r="D1031" s="19">
        <v>8752212</v>
      </c>
    </row>
    <row r="1032" spans="1:4">
      <c r="A1032"/>
      <c r="B1032" t="s">
        <v>6365</v>
      </c>
      <c r="C1032">
        <v>1</v>
      </c>
      <c r="D1032" s="19">
        <v>8752212</v>
      </c>
    </row>
    <row r="1033" spans="1:4">
      <c r="A1033" t="s">
        <v>8141</v>
      </c>
      <c r="B1033"/>
      <c r="C1033">
        <v>4</v>
      </c>
      <c r="D1033" s="19">
        <v>31914814.68</v>
      </c>
    </row>
    <row r="1034" spans="1:4">
      <c r="A1034" t="s">
        <v>3679</v>
      </c>
      <c r="B1034" t="s">
        <v>3676</v>
      </c>
      <c r="C1034">
        <v>1</v>
      </c>
      <c r="D1034" s="19">
        <v>1437301.04</v>
      </c>
    </row>
    <row r="1035" spans="1:4">
      <c r="A1035" t="s">
        <v>8142</v>
      </c>
      <c r="B1035"/>
      <c r="C1035">
        <v>1</v>
      </c>
      <c r="D1035" s="19">
        <v>1437301.04</v>
      </c>
    </row>
    <row r="1036" spans="1:4">
      <c r="A1036" t="s">
        <v>3734</v>
      </c>
      <c r="B1036" t="s">
        <v>3731</v>
      </c>
      <c r="C1036">
        <v>1</v>
      </c>
      <c r="D1036" s="19">
        <v>3920000</v>
      </c>
    </row>
    <row r="1037" spans="1:4">
      <c r="A1037"/>
      <c r="B1037" t="s">
        <v>3823</v>
      </c>
      <c r="C1037">
        <v>1</v>
      </c>
      <c r="D1037" s="19">
        <v>2266950</v>
      </c>
    </row>
    <row r="1038" spans="1:4">
      <c r="A1038"/>
      <c r="B1038" t="s">
        <v>7065</v>
      </c>
      <c r="C1038">
        <v>1</v>
      </c>
      <c r="D1038" s="19">
        <v>3353945</v>
      </c>
    </row>
    <row r="1039" spans="1:4">
      <c r="A1039" t="s">
        <v>8143</v>
      </c>
      <c r="B1039"/>
      <c r="C1039">
        <v>3</v>
      </c>
      <c r="D1039" s="19">
        <v>9540895</v>
      </c>
    </row>
    <row r="1040" spans="1:4">
      <c r="A1040" t="s">
        <v>3744</v>
      </c>
      <c r="B1040" t="s">
        <v>3741</v>
      </c>
      <c r="C1040">
        <v>1</v>
      </c>
      <c r="D1040" s="19">
        <v>5897198.5099999998</v>
      </c>
    </row>
    <row r="1041" spans="1:4">
      <c r="A1041" t="s">
        <v>8144</v>
      </c>
      <c r="B1041"/>
      <c r="C1041">
        <v>1</v>
      </c>
      <c r="D1041" s="19">
        <v>5897198.5099999998</v>
      </c>
    </row>
    <row r="1042" spans="1:4">
      <c r="A1042" t="s">
        <v>3829</v>
      </c>
      <c r="B1042" t="s">
        <v>3826</v>
      </c>
      <c r="C1042">
        <v>1</v>
      </c>
      <c r="D1042" s="19">
        <v>357000</v>
      </c>
    </row>
    <row r="1043" spans="1:4">
      <c r="A1043" t="s">
        <v>8145</v>
      </c>
      <c r="B1043"/>
      <c r="C1043">
        <v>1</v>
      </c>
      <c r="D1043" s="19">
        <v>357000</v>
      </c>
    </row>
    <row r="1044" spans="1:4">
      <c r="A1044" t="s">
        <v>3843</v>
      </c>
      <c r="B1044" t="s">
        <v>7154</v>
      </c>
      <c r="C1044">
        <v>1</v>
      </c>
      <c r="D1044" s="19">
        <v>130900</v>
      </c>
    </row>
    <row r="1045" spans="1:4">
      <c r="A1045" t="s">
        <v>8146</v>
      </c>
      <c r="B1045"/>
      <c r="C1045">
        <v>1</v>
      </c>
      <c r="D1045" s="19">
        <v>130900</v>
      </c>
    </row>
    <row r="1046" spans="1:4">
      <c r="A1046" t="s">
        <v>3857</v>
      </c>
      <c r="B1046" t="s">
        <v>3854</v>
      </c>
      <c r="C1046">
        <v>1</v>
      </c>
      <c r="D1046" s="19">
        <v>318336.90000000002</v>
      </c>
    </row>
    <row r="1047" spans="1:4">
      <c r="A1047" t="s">
        <v>8147</v>
      </c>
      <c r="B1047"/>
      <c r="C1047">
        <v>1</v>
      </c>
      <c r="D1047" s="19">
        <v>318336.90000000002</v>
      </c>
    </row>
    <row r="1048" spans="1:4">
      <c r="A1048" t="s">
        <v>3891</v>
      </c>
      <c r="B1048" t="s">
        <v>3888</v>
      </c>
      <c r="C1048">
        <v>1</v>
      </c>
      <c r="D1048" s="19">
        <v>576912.41</v>
      </c>
    </row>
    <row r="1049" spans="1:4">
      <c r="A1049" t="s">
        <v>8148</v>
      </c>
      <c r="B1049"/>
      <c r="C1049">
        <v>1</v>
      </c>
      <c r="D1049" s="19">
        <v>576912.41</v>
      </c>
    </row>
    <row r="1050" spans="1:4">
      <c r="A1050" t="s">
        <v>4053</v>
      </c>
      <c r="B1050" t="s">
        <v>4050</v>
      </c>
      <c r="C1050">
        <v>1</v>
      </c>
      <c r="D1050" s="19">
        <v>735406.4</v>
      </c>
    </row>
    <row r="1051" spans="1:4">
      <c r="A1051" t="s">
        <v>8149</v>
      </c>
      <c r="B1051"/>
      <c r="C1051">
        <v>1</v>
      </c>
      <c r="D1051" s="19">
        <v>735406.4</v>
      </c>
    </row>
    <row r="1052" spans="1:4">
      <c r="A1052" t="s">
        <v>4158</v>
      </c>
      <c r="B1052" t="s">
        <v>4155</v>
      </c>
      <c r="C1052">
        <v>1</v>
      </c>
      <c r="D1052" s="19">
        <v>925558.2</v>
      </c>
    </row>
    <row r="1053" spans="1:4">
      <c r="A1053" t="s">
        <v>8150</v>
      </c>
      <c r="B1053"/>
      <c r="C1053">
        <v>1</v>
      </c>
      <c r="D1053" s="19">
        <v>925558.2</v>
      </c>
    </row>
    <row r="1054" spans="1:4">
      <c r="A1054" t="s">
        <v>4215</v>
      </c>
      <c r="B1054" t="s">
        <v>6937</v>
      </c>
      <c r="C1054">
        <v>1</v>
      </c>
      <c r="D1054" s="19">
        <v>892500</v>
      </c>
    </row>
    <row r="1055" spans="1:4">
      <c r="A1055" t="s">
        <v>7854</v>
      </c>
      <c r="B1055"/>
      <c r="C1055">
        <v>1</v>
      </c>
      <c r="D1055" s="19">
        <v>892500</v>
      </c>
    </row>
    <row r="1056" spans="1:4">
      <c r="A1056" t="s">
        <v>4244</v>
      </c>
      <c r="B1056" t="s">
        <v>7457</v>
      </c>
      <c r="C1056">
        <v>1</v>
      </c>
      <c r="D1056" s="19">
        <v>4562995.5</v>
      </c>
    </row>
    <row r="1057" spans="1:4">
      <c r="A1057" t="s">
        <v>7676</v>
      </c>
      <c r="B1057"/>
      <c r="C1057">
        <v>1</v>
      </c>
      <c r="D1057" s="19">
        <v>4562995.5</v>
      </c>
    </row>
    <row r="1058" spans="1:4">
      <c r="A1058" t="s">
        <v>4249</v>
      </c>
      <c r="B1058" t="s">
        <v>4246</v>
      </c>
      <c r="C1058">
        <v>1</v>
      </c>
      <c r="D1058" s="19">
        <v>185164</v>
      </c>
    </row>
    <row r="1059" spans="1:4">
      <c r="A1059" t="s">
        <v>8151</v>
      </c>
      <c r="B1059"/>
      <c r="C1059">
        <v>1</v>
      </c>
      <c r="D1059" s="19">
        <v>185164</v>
      </c>
    </row>
    <row r="1060" spans="1:4">
      <c r="A1060" t="s">
        <v>4333</v>
      </c>
      <c r="B1060" t="s">
        <v>4330</v>
      </c>
      <c r="C1060">
        <v>1</v>
      </c>
      <c r="D1060" s="19">
        <v>5407776.5</v>
      </c>
    </row>
    <row r="1061" spans="1:4">
      <c r="A1061" t="s">
        <v>8152</v>
      </c>
      <c r="B1061"/>
      <c r="C1061">
        <v>1</v>
      </c>
      <c r="D1061" s="19">
        <v>5407776.5</v>
      </c>
    </row>
    <row r="1062" spans="1:4">
      <c r="A1062" t="s">
        <v>4437</v>
      </c>
      <c r="B1062" t="s">
        <v>4434</v>
      </c>
      <c r="C1062">
        <v>1</v>
      </c>
      <c r="D1062" s="19">
        <v>29787200</v>
      </c>
    </row>
    <row r="1063" spans="1:4">
      <c r="A1063"/>
      <c r="B1063" t="s">
        <v>4439</v>
      </c>
      <c r="C1063">
        <v>1</v>
      </c>
      <c r="D1063" s="19">
        <v>9282000</v>
      </c>
    </row>
    <row r="1064" spans="1:4">
      <c r="A1064"/>
      <c r="B1064" t="s">
        <v>4442</v>
      </c>
      <c r="C1064">
        <v>1</v>
      </c>
      <c r="D1064" s="19">
        <v>20230000</v>
      </c>
    </row>
    <row r="1065" spans="1:4">
      <c r="A1065" t="s">
        <v>8153</v>
      </c>
      <c r="B1065"/>
      <c r="C1065">
        <v>3</v>
      </c>
      <c r="D1065" s="19">
        <v>59299200</v>
      </c>
    </row>
    <row r="1066" spans="1:4">
      <c r="A1066" t="s">
        <v>4476</v>
      </c>
      <c r="B1066" t="s">
        <v>4473</v>
      </c>
      <c r="C1066">
        <v>1</v>
      </c>
      <c r="D1066" s="19">
        <v>639000</v>
      </c>
    </row>
    <row r="1067" spans="1:4">
      <c r="A1067" t="s">
        <v>8154</v>
      </c>
      <c r="B1067"/>
      <c r="C1067">
        <v>1</v>
      </c>
      <c r="D1067" s="19">
        <v>639000</v>
      </c>
    </row>
    <row r="1068" spans="1:4">
      <c r="A1068" t="s">
        <v>4484</v>
      </c>
      <c r="B1068" t="s">
        <v>4481</v>
      </c>
      <c r="C1068">
        <v>1</v>
      </c>
      <c r="D1068" s="19">
        <v>1278000</v>
      </c>
    </row>
    <row r="1069" spans="1:4">
      <c r="A1069" t="s">
        <v>8155</v>
      </c>
      <c r="B1069"/>
      <c r="C1069">
        <v>1</v>
      </c>
      <c r="D1069" s="19">
        <v>1278000</v>
      </c>
    </row>
    <row r="1070" spans="1:4">
      <c r="A1070" t="s">
        <v>4489</v>
      </c>
      <c r="B1070" t="s">
        <v>4486</v>
      </c>
      <c r="C1070">
        <v>1</v>
      </c>
      <c r="D1070" s="19">
        <v>1278000</v>
      </c>
    </row>
    <row r="1071" spans="1:4">
      <c r="A1071" t="s">
        <v>8156</v>
      </c>
      <c r="B1071"/>
      <c r="C1071">
        <v>1</v>
      </c>
      <c r="D1071" s="19">
        <v>1278000</v>
      </c>
    </row>
    <row r="1072" spans="1:4">
      <c r="A1072" t="s">
        <v>4497</v>
      </c>
      <c r="B1072" t="s">
        <v>4494</v>
      </c>
      <c r="C1072">
        <v>1</v>
      </c>
      <c r="D1072" s="19">
        <v>639000</v>
      </c>
    </row>
    <row r="1073" spans="1:4">
      <c r="A1073" t="s">
        <v>8157</v>
      </c>
      <c r="B1073"/>
      <c r="C1073">
        <v>1</v>
      </c>
      <c r="D1073" s="19">
        <v>639000</v>
      </c>
    </row>
    <row r="1074" spans="1:4">
      <c r="A1074" t="s">
        <v>4502</v>
      </c>
      <c r="B1074" t="s">
        <v>4499</v>
      </c>
      <c r="C1074">
        <v>1</v>
      </c>
      <c r="D1074" s="19">
        <v>639000</v>
      </c>
    </row>
    <row r="1075" spans="1:4">
      <c r="A1075" t="s">
        <v>8158</v>
      </c>
      <c r="B1075"/>
      <c r="C1075">
        <v>1</v>
      </c>
      <c r="D1075" s="19">
        <v>639000</v>
      </c>
    </row>
    <row r="1076" spans="1:4">
      <c r="A1076" t="s">
        <v>4580</v>
      </c>
      <c r="B1076" t="s">
        <v>4577</v>
      </c>
      <c r="C1076">
        <v>1</v>
      </c>
      <c r="D1076" s="19">
        <v>699999.65</v>
      </c>
    </row>
    <row r="1077" spans="1:4">
      <c r="A1077" t="s">
        <v>8159</v>
      </c>
      <c r="B1077"/>
      <c r="C1077">
        <v>1</v>
      </c>
      <c r="D1077" s="19">
        <v>699999.65</v>
      </c>
    </row>
    <row r="1078" spans="1:4">
      <c r="A1078" t="s">
        <v>4591</v>
      </c>
      <c r="B1078" t="s">
        <v>4588</v>
      </c>
      <c r="C1078">
        <v>1</v>
      </c>
      <c r="D1078" s="19">
        <v>6875820</v>
      </c>
    </row>
    <row r="1079" spans="1:4">
      <c r="A1079" t="s">
        <v>8160</v>
      </c>
      <c r="B1079"/>
      <c r="C1079">
        <v>1</v>
      </c>
      <c r="D1079" s="19">
        <v>6875820</v>
      </c>
    </row>
    <row r="1080" spans="1:4">
      <c r="A1080" t="s">
        <v>4596</v>
      </c>
      <c r="B1080" t="s">
        <v>4593</v>
      </c>
      <c r="C1080">
        <v>1</v>
      </c>
      <c r="D1080" s="19">
        <v>59500</v>
      </c>
    </row>
    <row r="1081" spans="1:4">
      <c r="A1081" t="s">
        <v>8161</v>
      </c>
      <c r="B1081"/>
      <c r="C1081">
        <v>1</v>
      </c>
      <c r="D1081" s="19">
        <v>59500</v>
      </c>
    </row>
    <row r="1082" spans="1:4">
      <c r="A1082" t="s">
        <v>4647</v>
      </c>
      <c r="B1082" t="s">
        <v>4644</v>
      </c>
      <c r="C1082">
        <v>1</v>
      </c>
      <c r="D1082" s="19">
        <v>1010643.2</v>
      </c>
    </row>
    <row r="1083" spans="1:4">
      <c r="A1083" t="s">
        <v>8162</v>
      </c>
      <c r="B1083"/>
      <c r="C1083">
        <v>1</v>
      </c>
      <c r="D1083" s="19">
        <v>1010643.2</v>
      </c>
    </row>
    <row r="1084" spans="1:4">
      <c r="A1084" t="s">
        <v>4693</v>
      </c>
      <c r="B1084" t="s">
        <v>4691</v>
      </c>
      <c r="C1084">
        <v>1</v>
      </c>
      <c r="D1084" s="19">
        <v>10626581</v>
      </c>
    </row>
    <row r="1085" spans="1:4">
      <c r="A1085" t="s">
        <v>8163</v>
      </c>
      <c r="B1085"/>
      <c r="C1085">
        <v>1</v>
      </c>
      <c r="D1085" s="19">
        <v>10626581</v>
      </c>
    </row>
    <row r="1086" spans="1:4">
      <c r="A1086" t="s">
        <v>4708</v>
      </c>
      <c r="B1086" t="s">
        <v>4705</v>
      </c>
      <c r="C1086">
        <v>1</v>
      </c>
      <c r="D1086" s="19">
        <v>1071000</v>
      </c>
    </row>
    <row r="1087" spans="1:4">
      <c r="A1087" t="s">
        <v>8164</v>
      </c>
      <c r="B1087"/>
      <c r="C1087">
        <v>1</v>
      </c>
      <c r="D1087" s="19">
        <v>1071000</v>
      </c>
    </row>
    <row r="1088" spans="1:4">
      <c r="A1088" t="s">
        <v>4837</v>
      </c>
      <c r="B1088" t="s">
        <v>6631</v>
      </c>
      <c r="C1088">
        <v>1</v>
      </c>
      <c r="D1088" s="19">
        <v>825000</v>
      </c>
    </row>
    <row r="1089" spans="1:4">
      <c r="A1089"/>
      <c r="B1089" t="s">
        <v>6634</v>
      </c>
      <c r="C1089">
        <v>1</v>
      </c>
      <c r="D1089" s="19">
        <v>275000</v>
      </c>
    </row>
    <row r="1090" spans="1:4">
      <c r="A1090"/>
      <c r="B1090" t="s">
        <v>6637</v>
      </c>
      <c r="C1090">
        <v>1</v>
      </c>
      <c r="D1090" s="19">
        <v>250000</v>
      </c>
    </row>
    <row r="1091" spans="1:4">
      <c r="A1091" t="s">
        <v>8165</v>
      </c>
      <c r="B1091"/>
      <c r="C1091">
        <v>3</v>
      </c>
      <c r="D1091" s="19">
        <v>1350000</v>
      </c>
    </row>
    <row r="1092" spans="1:4">
      <c r="A1092" t="s">
        <v>4894</v>
      </c>
      <c r="B1092" t="s">
        <v>4890</v>
      </c>
      <c r="C1092">
        <v>1</v>
      </c>
      <c r="D1092" s="19">
        <v>8214792.3200000003</v>
      </c>
    </row>
    <row r="1093" spans="1:4">
      <c r="A1093" t="s">
        <v>8166</v>
      </c>
      <c r="B1093"/>
      <c r="C1093">
        <v>1</v>
      </c>
      <c r="D1093" s="19">
        <v>8214792.3200000003</v>
      </c>
    </row>
    <row r="1094" spans="1:4">
      <c r="A1094" t="s">
        <v>4899</v>
      </c>
      <c r="B1094" t="s">
        <v>4896</v>
      </c>
      <c r="C1094">
        <v>1</v>
      </c>
      <c r="D1094" s="19">
        <v>2177700</v>
      </c>
    </row>
    <row r="1095" spans="1:4">
      <c r="A1095" t="s">
        <v>8167</v>
      </c>
      <c r="B1095"/>
      <c r="C1095">
        <v>1</v>
      </c>
      <c r="D1095" s="19">
        <v>2177700</v>
      </c>
    </row>
    <row r="1096" spans="1:4">
      <c r="A1096" t="s">
        <v>4939</v>
      </c>
      <c r="B1096" t="s">
        <v>4936</v>
      </c>
      <c r="C1096">
        <v>1</v>
      </c>
      <c r="D1096" s="19">
        <v>324215.5</v>
      </c>
    </row>
    <row r="1097" spans="1:4">
      <c r="A1097" t="s">
        <v>8168</v>
      </c>
      <c r="B1097"/>
      <c r="C1097">
        <v>1</v>
      </c>
      <c r="D1097" s="19">
        <v>324215.5</v>
      </c>
    </row>
    <row r="1098" spans="1:4">
      <c r="A1098" t="s">
        <v>4958</v>
      </c>
      <c r="B1098" t="s">
        <v>4955</v>
      </c>
      <c r="C1098">
        <v>1</v>
      </c>
      <c r="D1098" s="19">
        <v>475334.3</v>
      </c>
    </row>
    <row r="1099" spans="1:4">
      <c r="A1099" t="s">
        <v>8169</v>
      </c>
      <c r="B1099"/>
      <c r="C1099">
        <v>1</v>
      </c>
      <c r="D1099" s="19">
        <v>475334.3</v>
      </c>
    </row>
    <row r="1100" spans="1:4">
      <c r="A1100" t="s">
        <v>4978</v>
      </c>
      <c r="B1100" t="s">
        <v>4975</v>
      </c>
      <c r="C1100">
        <v>1</v>
      </c>
      <c r="D1100" s="19">
        <v>209202</v>
      </c>
    </row>
    <row r="1101" spans="1:4">
      <c r="A1101" t="s">
        <v>8170</v>
      </c>
      <c r="B1101"/>
      <c r="C1101">
        <v>1</v>
      </c>
      <c r="D1101" s="19">
        <v>209202</v>
      </c>
    </row>
    <row r="1102" spans="1:4">
      <c r="A1102" t="s">
        <v>4983</v>
      </c>
      <c r="B1102" t="s">
        <v>4980</v>
      </c>
      <c r="C1102">
        <v>1</v>
      </c>
      <c r="D1102" s="19">
        <v>544702.27</v>
      </c>
    </row>
    <row r="1103" spans="1:4">
      <c r="A1103" t="s">
        <v>8171</v>
      </c>
      <c r="B1103"/>
      <c r="C1103">
        <v>1</v>
      </c>
      <c r="D1103" s="19">
        <v>544702.27</v>
      </c>
    </row>
    <row r="1104" spans="1:4">
      <c r="A1104" t="s">
        <v>5013</v>
      </c>
      <c r="B1104" t="s">
        <v>5010</v>
      </c>
      <c r="C1104">
        <v>1</v>
      </c>
      <c r="D1104" s="19">
        <v>255850</v>
      </c>
    </row>
    <row r="1105" spans="1:4">
      <c r="A1105" t="s">
        <v>8172</v>
      </c>
      <c r="B1105"/>
      <c r="C1105">
        <v>1</v>
      </c>
      <c r="D1105" s="19">
        <v>255850</v>
      </c>
    </row>
    <row r="1106" spans="1:4">
      <c r="A1106" t="s">
        <v>5068</v>
      </c>
      <c r="B1106" t="s">
        <v>5065</v>
      </c>
      <c r="C1106">
        <v>1</v>
      </c>
      <c r="D1106" s="19">
        <v>3467541</v>
      </c>
    </row>
    <row r="1107" spans="1:4">
      <c r="A1107" t="s">
        <v>8173</v>
      </c>
      <c r="B1107"/>
      <c r="C1107">
        <v>1</v>
      </c>
      <c r="D1107" s="19">
        <v>3467541</v>
      </c>
    </row>
    <row r="1108" spans="1:4">
      <c r="A1108" t="s">
        <v>5096</v>
      </c>
      <c r="B1108" t="s">
        <v>5093</v>
      </c>
      <c r="C1108">
        <v>1</v>
      </c>
      <c r="D1108" s="19">
        <v>24418200</v>
      </c>
    </row>
    <row r="1109" spans="1:4">
      <c r="A1109"/>
      <c r="B1109" t="s">
        <v>7196</v>
      </c>
      <c r="C1109">
        <v>1</v>
      </c>
      <c r="D1109" s="19">
        <v>1627880</v>
      </c>
    </row>
    <row r="1110" spans="1:4">
      <c r="A1110"/>
      <c r="B1110" t="s">
        <v>7495</v>
      </c>
      <c r="C1110">
        <v>1</v>
      </c>
      <c r="D1110" s="19">
        <v>12492620</v>
      </c>
    </row>
    <row r="1111" spans="1:4">
      <c r="A1111" t="s">
        <v>8174</v>
      </c>
      <c r="B1111"/>
      <c r="C1111">
        <v>3</v>
      </c>
      <c r="D1111" s="19">
        <v>38538700</v>
      </c>
    </row>
    <row r="1112" spans="1:4">
      <c r="A1112" t="s">
        <v>5101</v>
      </c>
      <c r="B1112" t="s">
        <v>5098</v>
      </c>
      <c r="C1112">
        <v>1</v>
      </c>
      <c r="D1112" s="19">
        <v>47485760</v>
      </c>
    </row>
    <row r="1113" spans="1:4">
      <c r="A1113"/>
      <c r="B1113" t="s">
        <v>5748</v>
      </c>
      <c r="C1113">
        <v>1</v>
      </c>
      <c r="D1113" s="19">
        <v>54029094</v>
      </c>
    </row>
    <row r="1114" spans="1:4">
      <c r="A1114" t="s">
        <v>8175</v>
      </c>
      <c r="B1114"/>
      <c r="C1114">
        <v>2</v>
      </c>
      <c r="D1114" s="19">
        <v>101514854</v>
      </c>
    </row>
    <row r="1115" spans="1:4">
      <c r="A1115" t="s">
        <v>5141</v>
      </c>
      <c r="B1115" t="s">
        <v>5138</v>
      </c>
      <c r="C1115">
        <v>1</v>
      </c>
      <c r="D1115" s="19">
        <v>5288752.7</v>
      </c>
    </row>
    <row r="1116" spans="1:4">
      <c r="A1116" t="s">
        <v>8176</v>
      </c>
      <c r="B1116"/>
      <c r="C1116">
        <v>1</v>
      </c>
      <c r="D1116" s="19">
        <v>5288752.7</v>
      </c>
    </row>
    <row r="1117" spans="1:4">
      <c r="A1117" t="s">
        <v>5146</v>
      </c>
      <c r="B1117" t="s">
        <v>5143</v>
      </c>
      <c r="C1117">
        <v>1</v>
      </c>
      <c r="D1117" s="19">
        <v>1582700</v>
      </c>
    </row>
    <row r="1118" spans="1:4">
      <c r="A1118" t="s">
        <v>8177</v>
      </c>
      <c r="B1118"/>
      <c r="C1118">
        <v>1</v>
      </c>
      <c r="D1118" s="19">
        <v>1582700</v>
      </c>
    </row>
    <row r="1119" spans="1:4">
      <c r="A1119" t="s">
        <v>5154</v>
      </c>
      <c r="B1119" t="s">
        <v>5151</v>
      </c>
      <c r="C1119">
        <v>1</v>
      </c>
      <c r="D1119" s="19">
        <v>2071680.52</v>
      </c>
    </row>
    <row r="1120" spans="1:4">
      <c r="A1120" t="s">
        <v>8178</v>
      </c>
      <c r="B1120"/>
      <c r="C1120">
        <v>1</v>
      </c>
      <c r="D1120" s="19">
        <v>2071680.52</v>
      </c>
    </row>
    <row r="1121" spans="1:4">
      <c r="A1121" t="s">
        <v>5172</v>
      </c>
      <c r="B1121" t="s">
        <v>5169</v>
      </c>
      <c r="C1121">
        <v>1</v>
      </c>
      <c r="D1121" s="19">
        <v>14961753.779999999</v>
      </c>
    </row>
    <row r="1122" spans="1:4">
      <c r="A1122" t="s">
        <v>8179</v>
      </c>
      <c r="B1122"/>
      <c r="C1122">
        <v>1</v>
      </c>
      <c r="D1122" s="19">
        <v>14961753.779999999</v>
      </c>
    </row>
    <row r="1123" spans="1:4">
      <c r="A1123" t="s">
        <v>5177</v>
      </c>
      <c r="B1123" t="s">
        <v>5174</v>
      </c>
      <c r="C1123">
        <v>1</v>
      </c>
      <c r="D1123" s="19">
        <v>17455379.41</v>
      </c>
    </row>
    <row r="1124" spans="1:4">
      <c r="A1124" t="s">
        <v>8180</v>
      </c>
      <c r="B1124"/>
      <c r="C1124">
        <v>1</v>
      </c>
      <c r="D1124" s="19">
        <v>17455379.41</v>
      </c>
    </row>
    <row r="1125" spans="1:4">
      <c r="A1125" t="s">
        <v>5233</v>
      </c>
      <c r="B1125" t="s">
        <v>5230</v>
      </c>
      <c r="C1125">
        <v>1</v>
      </c>
      <c r="D1125" s="19">
        <v>4097051</v>
      </c>
    </row>
    <row r="1126" spans="1:4">
      <c r="A1126"/>
      <c r="B1126" t="s">
        <v>5658</v>
      </c>
      <c r="C1126">
        <v>1</v>
      </c>
      <c r="D1126" s="19">
        <v>257040</v>
      </c>
    </row>
    <row r="1127" spans="1:4">
      <c r="A1127" t="s">
        <v>8181</v>
      </c>
      <c r="B1127"/>
      <c r="C1127">
        <v>2</v>
      </c>
      <c r="D1127" s="19">
        <v>4354091</v>
      </c>
    </row>
    <row r="1128" spans="1:4">
      <c r="A1128" t="s">
        <v>5238</v>
      </c>
      <c r="B1128" t="s">
        <v>5235</v>
      </c>
      <c r="C1128">
        <v>1</v>
      </c>
      <c r="D1128" s="19">
        <v>19337500</v>
      </c>
    </row>
    <row r="1129" spans="1:4">
      <c r="A1129" t="s">
        <v>8182</v>
      </c>
      <c r="B1129"/>
      <c r="C1129">
        <v>1</v>
      </c>
      <c r="D1129" s="19">
        <v>19337500</v>
      </c>
    </row>
    <row r="1130" spans="1:4">
      <c r="A1130" t="s">
        <v>5251</v>
      </c>
      <c r="B1130" t="s">
        <v>5248</v>
      </c>
      <c r="C1130">
        <v>1</v>
      </c>
      <c r="D1130" s="19">
        <v>297500</v>
      </c>
    </row>
    <row r="1131" spans="1:4">
      <c r="A1131" t="s">
        <v>8183</v>
      </c>
      <c r="B1131"/>
      <c r="C1131">
        <v>1</v>
      </c>
      <c r="D1131" s="19">
        <v>297500</v>
      </c>
    </row>
    <row r="1132" spans="1:4">
      <c r="A1132" t="s">
        <v>5317</v>
      </c>
      <c r="B1132" t="s">
        <v>5314</v>
      </c>
      <c r="C1132">
        <v>1</v>
      </c>
      <c r="D1132" s="19">
        <v>746845.6</v>
      </c>
    </row>
    <row r="1133" spans="1:4">
      <c r="A1133" t="s">
        <v>8184</v>
      </c>
      <c r="B1133"/>
      <c r="C1133">
        <v>1</v>
      </c>
      <c r="D1133" s="19">
        <v>746845.6</v>
      </c>
    </row>
    <row r="1134" spans="1:4">
      <c r="A1134" t="s">
        <v>5343</v>
      </c>
      <c r="B1134" t="s">
        <v>5340</v>
      </c>
      <c r="C1134">
        <v>1</v>
      </c>
      <c r="D1134" s="19">
        <v>618800</v>
      </c>
    </row>
    <row r="1135" spans="1:4">
      <c r="A1135" t="s">
        <v>8185</v>
      </c>
      <c r="B1135"/>
      <c r="C1135">
        <v>1</v>
      </c>
      <c r="D1135" s="19">
        <v>618800</v>
      </c>
    </row>
    <row r="1136" spans="1:4">
      <c r="A1136" t="s">
        <v>5348</v>
      </c>
      <c r="B1136" t="s">
        <v>5345</v>
      </c>
      <c r="C1136">
        <v>1</v>
      </c>
      <c r="D1136" s="19">
        <v>285600</v>
      </c>
    </row>
    <row r="1137" spans="1:4">
      <c r="A1137" t="s">
        <v>8186</v>
      </c>
      <c r="B1137"/>
      <c r="C1137">
        <v>1</v>
      </c>
      <c r="D1137" s="19">
        <v>285600</v>
      </c>
    </row>
    <row r="1138" spans="1:4">
      <c r="A1138" t="s">
        <v>5402</v>
      </c>
      <c r="B1138" t="s">
        <v>5399</v>
      </c>
      <c r="C1138">
        <v>1</v>
      </c>
      <c r="D1138" s="19">
        <v>132090</v>
      </c>
    </row>
    <row r="1139" spans="1:4">
      <c r="A1139" t="s">
        <v>8187</v>
      </c>
      <c r="B1139"/>
      <c r="C1139">
        <v>1</v>
      </c>
      <c r="D1139" s="19">
        <v>132090</v>
      </c>
    </row>
    <row r="1140" spans="1:4">
      <c r="A1140" t="s">
        <v>5475</v>
      </c>
      <c r="B1140" t="s">
        <v>5472</v>
      </c>
      <c r="C1140">
        <v>1</v>
      </c>
      <c r="D1140" s="19">
        <v>4491315.8499999996</v>
      </c>
    </row>
    <row r="1141" spans="1:4">
      <c r="A1141" t="s">
        <v>8188</v>
      </c>
      <c r="B1141"/>
      <c r="C1141">
        <v>1</v>
      </c>
      <c r="D1141" s="19">
        <v>4491315.8499999996</v>
      </c>
    </row>
    <row r="1142" spans="1:4">
      <c r="A1142" t="s">
        <v>5530</v>
      </c>
      <c r="B1142" t="s">
        <v>5527</v>
      </c>
      <c r="C1142">
        <v>1</v>
      </c>
      <c r="D1142" s="19">
        <v>13246408.84</v>
      </c>
    </row>
    <row r="1143" spans="1:4">
      <c r="A1143"/>
      <c r="B1143" t="s">
        <v>5532</v>
      </c>
      <c r="C1143">
        <v>1</v>
      </c>
      <c r="D1143" s="19">
        <v>225430682.12</v>
      </c>
    </row>
    <row r="1144" spans="1:4">
      <c r="A1144" t="s">
        <v>8189</v>
      </c>
      <c r="B1144"/>
      <c r="C1144">
        <v>2</v>
      </c>
      <c r="D1144" s="19">
        <v>238677090.96000001</v>
      </c>
    </row>
    <row r="1145" spans="1:4">
      <c r="A1145" t="s">
        <v>5553</v>
      </c>
      <c r="B1145" t="s">
        <v>5550</v>
      </c>
      <c r="C1145">
        <v>1</v>
      </c>
      <c r="D1145" s="19">
        <v>803250</v>
      </c>
    </row>
    <row r="1146" spans="1:4">
      <c r="A1146" t="s">
        <v>8190</v>
      </c>
      <c r="B1146"/>
      <c r="C1146">
        <v>1</v>
      </c>
      <c r="D1146" s="19">
        <v>803250</v>
      </c>
    </row>
    <row r="1147" spans="1:4">
      <c r="A1147" t="s">
        <v>5649</v>
      </c>
      <c r="B1147" t="s">
        <v>5646</v>
      </c>
      <c r="C1147">
        <v>1</v>
      </c>
      <c r="D1147" s="19">
        <v>2350000</v>
      </c>
    </row>
    <row r="1148" spans="1:4">
      <c r="A1148" t="s">
        <v>8191</v>
      </c>
      <c r="B1148"/>
      <c r="C1148">
        <v>1</v>
      </c>
      <c r="D1148" s="19">
        <v>2350000</v>
      </c>
    </row>
    <row r="1149" spans="1:4">
      <c r="A1149" t="s">
        <v>5781</v>
      </c>
      <c r="B1149" t="s">
        <v>5778</v>
      </c>
      <c r="C1149">
        <v>1</v>
      </c>
      <c r="D1149" s="19">
        <v>20872600</v>
      </c>
    </row>
    <row r="1150" spans="1:4">
      <c r="A1150" t="s">
        <v>8192</v>
      </c>
      <c r="B1150"/>
      <c r="C1150">
        <v>1</v>
      </c>
      <c r="D1150" s="19">
        <v>20872600</v>
      </c>
    </row>
    <row r="1151" spans="1:4">
      <c r="A1151" t="s">
        <v>5810</v>
      </c>
      <c r="B1151" t="s">
        <v>5807</v>
      </c>
      <c r="C1151">
        <v>1</v>
      </c>
      <c r="D1151" s="19">
        <v>2380000</v>
      </c>
    </row>
    <row r="1152" spans="1:4">
      <c r="A1152"/>
      <c r="B1152" t="s">
        <v>7316</v>
      </c>
      <c r="C1152">
        <v>1</v>
      </c>
      <c r="D1152" s="19">
        <v>6199900</v>
      </c>
    </row>
    <row r="1153" spans="1:4">
      <c r="A1153" t="s">
        <v>8193</v>
      </c>
      <c r="B1153"/>
      <c r="C1153">
        <v>2</v>
      </c>
      <c r="D1153" s="19">
        <v>8579900</v>
      </c>
    </row>
    <row r="1154" spans="1:4">
      <c r="A1154" t="s">
        <v>5831</v>
      </c>
      <c r="B1154" t="s">
        <v>5828</v>
      </c>
      <c r="C1154">
        <v>1</v>
      </c>
      <c r="D1154" s="19">
        <v>351704.5</v>
      </c>
    </row>
    <row r="1155" spans="1:4">
      <c r="A1155" t="s">
        <v>8194</v>
      </c>
      <c r="B1155"/>
      <c r="C1155">
        <v>1</v>
      </c>
      <c r="D1155" s="19">
        <v>351704.5</v>
      </c>
    </row>
    <row r="1156" spans="1:4">
      <c r="A1156" t="s">
        <v>5836</v>
      </c>
      <c r="B1156" t="s">
        <v>5833</v>
      </c>
      <c r="C1156">
        <v>1</v>
      </c>
      <c r="D1156" s="19">
        <v>9981485</v>
      </c>
    </row>
    <row r="1157" spans="1:4">
      <c r="A1157" t="s">
        <v>8195</v>
      </c>
      <c r="B1157"/>
      <c r="C1157">
        <v>1</v>
      </c>
      <c r="D1157" s="19">
        <v>9981485</v>
      </c>
    </row>
    <row r="1158" spans="1:4">
      <c r="A1158" t="s">
        <v>5638</v>
      </c>
      <c r="B1158" t="s">
        <v>5635</v>
      </c>
      <c r="C1158">
        <v>1</v>
      </c>
      <c r="D1158" s="19">
        <v>347347.91</v>
      </c>
    </row>
    <row r="1159" spans="1:4">
      <c r="A1159" t="s">
        <v>8196</v>
      </c>
      <c r="B1159"/>
      <c r="C1159">
        <v>1</v>
      </c>
      <c r="D1159" s="19">
        <v>347347.91</v>
      </c>
    </row>
    <row r="1160" spans="1:4">
      <c r="A1160" t="s">
        <v>5656</v>
      </c>
      <c r="B1160" t="s">
        <v>5653</v>
      </c>
      <c r="C1160">
        <v>1</v>
      </c>
      <c r="D1160" s="19">
        <v>284886</v>
      </c>
    </row>
    <row r="1161" spans="1:4">
      <c r="A1161" t="s">
        <v>8197</v>
      </c>
      <c r="B1161"/>
      <c r="C1161">
        <v>1</v>
      </c>
      <c r="D1161" s="19">
        <v>284886</v>
      </c>
    </row>
    <row r="1162" spans="1:4">
      <c r="A1162" t="s">
        <v>5676</v>
      </c>
      <c r="B1162" t="s">
        <v>5673</v>
      </c>
      <c r="C1162">
        <v>1</v>
      </c>
      <c r="D1162" s="19">
        <v>1150730</v>
      </c>
    </row>
    <row r="1163" spans="1:4">
      <c r="A1163" t="s">
        <v>8198</v>
      </c>
      <c r="B1163"/>
      <c r="C1163">
        <v>1</v>
      </c>
      <c r="D1163" s="19">
        <v>1150730</v>
      </c>
    </row>
    <row r="1164" spans="1:4">
      <c r="A1164" t="s">
        <v>5713</v>
      </c>
      <c r="B1164" t="s">
        <v>5710</v>
      </c>
      <c r="C1164">
        <v>1</v>
      </c>
      <c r="D1164" s="19">
        <v>4059600.51</v>
      </c>
    </row>
    <row r="1165" spans="1:4">
      <c r="A1165" t="s">
        <v>8199</v>
      </c>
      <c r="B1165"/>
      <c r="C1165">
        <v>1</v>
      </c>
      <c r="D1165" s="19">
        <v>4059600.51</v>
      </c>
    </row>
    <row r="1166" spans="1:4">
      <c r="A1166" t="s">
        <v>5746</v>
      </c>
      <c r="B1166" t="s">
        <v>5743</v>
      </c>
      <c r="C1166">
        <v>1</v>
      </c>
      <c r="D1166" s="19">
        <v>3998400</v>
      </c>
    </row>
    <row r="1167" spans="1:4">
      <c r="A1167"/>
      <c r="B1167" t="s">
        <v>6087</v>
      </c>
      <c r="C1167">
        <v>1</v>
      </c>
      <c r="D1167" s="19">
        <v>17873454.899999999</v>
      </c>
    </row>
    <row r="1168" spans="1:4">
      <c r="A1168" t="s">
        <v>8200</v>
      </c>
      <c r="B1168"/>
      <c r="C1168">
        <v>2</v>
      </c>
      <c r="D1168" s="19">
        <v>21871854.899999999</v>
      </c>
    </row>
    <row r="1169" spans="1:4">
      <c r="A1169" t="s">
        <v>5896</v>
      </c>
      <c r="B1169" t="s">
        <v>5893</v>
      </c>
      <c r="C1169">
        <v>1</v>
      </c>
      <c r="D1169" s="19">
        <v>18961348.140000001</v>
      </c>
    </row>
    <row r="1170" spans="1:4">
      <c r="A1170" t="s">
        <v>8201</v>
      </c>
      <c r="B1170"/>
      <c r="C1170">
        <v>1</v>
      </c>
      <c r="D1170" s="19">
        <v>18961348.140000001</v>
      </c>
    </row>
    <row r="1171" spans="1:4">
      <c r="A1171" t="s">
        <v>5925</v>
      </c>
      <c r="B1171" t="s">
        <v>5922</v>
      </c>
      <c r="C1171">
        <v>1</v>
      </c>
      <c r="D1171" s="19">
        <v>2499000</v>
      </c>
    </row>
    <row r="1172" spans="1:4">
      <c r="A1172" t="s">
        <v>8202</v>
      </c>
      <c r="B1172"/>
      <c r="C1172">
        <v>1</v>
      </c>
      <c r="D1172" s="19">
        <v>2499000</v>
      </c>
    </row>
    <row r="1173" spans="1:4">
      <c r="A1173" t="s">
        <v>5951</v>
      </c>
      <c r="B1173" t="s">
        <v>5948</v>
      </c>
      <c r="C1173">
        <v>1</v>
      </c>
      <c r="D1173" s="19">
        <v>508368</v>
      </c>
    </row>
    <row r="1174" spans="1:4">
      <c r="A1174"/>
      <c r="B1174" t="s">
        <v>6395</v>
      </c>
      <c r="C1174">
        <v>1</v>
      </c>
      <c r="D1174" s="19">
        <v>386750</v>
      </c>
    </row>
    <row r="1175" spans="1:4">
      <c r="A1175"/>
      <c r="B1175" t="s">
        <v>6521</v>
      </c>
      <c r="C1175">
        <v>1</v>
      </c>
      <c r="D1175" s="19">
        <v>491890.6</v>
      </c>
    </row>
    <row r="1176" spans="1:4">
      <c r="A1176"/>
      <c r="B1176" t="s">
        <v>6925</v>
      </c>
      <c r="C1176">
        <v>1</v>
      </c>
      <c r="D1176" s="19">
        <v>1291829</v>
      </c>
    </row>
    <row r="1177" spans="1:4">
      <c r="A1177"/>
      <c r="B1177" t="s">
        <v>7076</v>
      </c>
      <c r="C1177">
        <v>1</v>
      </c>
      <c r="D1177" s="19">
        <v>1729715.5</v>
      </c>
    </row>
    <row r="1178" spans="1:4">
      <c r="A1178"/>
      <c r="B1178" t="s">
        <v>7252</v>
      </c>
      <c r="C1178">
        <v>1</v>
      </c>
      <c r="D1178" s="19">
        <v>535619</v>
      </c>
    </row>
    <row r="1179" spans="1:4">
      <c r="A1179" t="s">
        <v>8203</v>
      </c>
      <c r="B1179"/>
      <c r="C1179">
        <v>6</v>
      </c>
      <c r="D1179" s="19">
        <v>4944172.0999999996</v>
      </c>
    </row>
    <row r="1180" spans="1:4">
      <c r="A1180" t="s">
        <v>6033</v>
      </c>
      <c r="B1180" t="s">
        <v>6030</v>
      </c>
      <c r="C1180">
        <v>1</v>
      </c>
      <c r="D1180" s="19">
        <v>10251600</v>
      </c>
    </row>
    <row r="1181" spans="1:4">
      <c r="A1181"/>
      <c r="B1181" t="s">
        <v>6183</v>
      </c>
      <c r="C1181">
        <v>1</v>
      </c>
      <c r="D1181" s="19">
        <v>17940300</v>
      </c>
    </row>
    <row r="1182" spans="1:4">
      <c r="A1182" t="s">
        <v>8204</v>
      </c>
      <c r="B1182"/>
      <c r="C1182">
        <v>2</v>
      </c>
      <c r="D1182" s="19">
        <v>28191900</v>
      </c>
    </row>
    <row r="1183" spans="1:4">
      <c r="A1183" t="s">
        <v>6100</v>
      </c>
      <c r="B1183" t="s">
        <v>6098</v>
      </c>
      <c r="C1183">
        <v>1</v>
      </c>
      <c r="D1183" s="19">
        <v>3213000</v>
      </c>
    </row>
    <row r="1184" spans="1:4">
      <c r="A1184"/>
      <c r="B1184" t="s">
        <v>6102</v>
      </c>
      <c r="C1184">
        <v>1</v>
      </c>
      <c r="D1184" s="19">
        <v>1059293.97</v>
      </c>
    </row>
    <row r="1185" spans="1:4">
      <c r="A1185"/>
      <c r="B1185" t="s">
        <v>6791</v>
      </c>
      <c r="C1185">
        <v>1</v>
      </c>
      <c r="D1185" s="19">
        <v>31504798.989999998</v>
      </c>
    </row>
    <row r="1186" spans="1:4">
      <c r="A1186" t="s">
        <v>8205</v>
      </c>
      <c r="B1186"/>
      <c r="C1186">
        <v>3</v>
      </c>
      <c r="D1186" s="19">
        <v>35777092.960000001</v>
      </c>
    </row>
    <row r="1187" spans="1:4">
      <c r="A1187" t="s">
        <v>6145</v>
      </c>
      <c r="B1187" t="s">
        <v>6142</v>
      </c>
      <c r="C1187">
        <v>1</v>
      </c>
      <c r="D1187" s="19">
        <v>159460</v>
      </c>
    </row>
    <row r="1188" spans="1:4">
      <c r="A1188" t="s">
        <v>8206</v>
      </c>
      <c r="B1188"/>
      <c r="C1188">
        <v>1</v>
      </c>
      <c r="D1188" s="19">
        <v>159460</v>
      </c>
    </row>
    <row r="1189" spans="1:4">
      <c r="A1189" t="s">
        <v>6164</v>
      </c>
      <c r="B1189" t="s">
        <v>6161</v>
      </c>
      <c r="C1189">
        <v>1</v>
      </c>
      <c r="D1189" s="19">
        <v>7712066.2699999996</v>
      </c>
    </row>
    <row r="1190" spans="1:4">
      <c r="A1190" t="s">
        <v>8207</v>
      </c>
      <c r="B1190"/>
      <c r="C1190">
        <v>1</v>
      </c>
      <c r="D1190" s="19">
        <v>7712066.2699999996</v>
      </c>
    </row>
    <row r="1191" spans="1:4">
      <c r="A1191" t="s">
        <v>6258</v>
      </c>
      <c r="B1191" t="s">
        <v>6255</v>
      </c>
      <c r="C1191">
        <v>1</v>
      </c>
      <c r="D1191" s="19">
        <v>6345597.6500000004</v>
      </c>
    </row>
    <row r="1192" spans="1:4">
      <c r="A1192" t="s">
        <v>8208</v>
      </c>
      <c r="B1192"/>
      <c r="C1192">
        <v>1</v>
      </c>
      <c r="D1192" s="19">
        <v>6345597.6500000004</v>
      </c>
    </row>
    <row r="1193" spans="1:4">
      <c r="A1193" t="s">
        <v>6316</v>
      </c>
      <c r="B1193" t="s">
        <v>6313</v>
      </c>
      <c r="C1193">
        <v>1</v>
      </c>
      <c r="D1193" s="19">
        <v>4730250</v>
      </c>
    </row>
    <row r="1194" spans="1:4">
      <c r="A1194" t="s">
        <v>8209</v>
      </c>
      <c r="B1194"/>
      <c r="C1194">
        <v>1</v>
      </c>
      <c r="D1194" s="19">
        <v>4730250</v>
      </c>
    </row>
    <row r="1195" spans="1:4">
      <c r="A1195" t="s">
        <v>6400</v>
      </c>
      <c r="B1195" t="s">
        <v>6398</v>
      </c>
      <c r="C1195">
        <v>1</v>
      </c>
      <c r="D1195" s="19">
        <v>7281522</v>
      </c>
    </row>
    <row r="1196" spans="1:4">
      <c r="A1196" t="s">
        <v>8210</v>
      </c>
      <c r="B1196"/>
      <c r="C1196">
        <v>1</v>
      </c>
      <c r="D1196" s="19">
        <v>7281522</v>
      </c>
    </row>
    <row r="1197" spans="1:4">
      <c r="A1197" t="s">
        <v>6410</v>
      </c>
      <c r="B1197" t="s">
        <v>6407</v>
      </c>
      <c r="C1197">
        <v>1</v>
      </c>
      <c r="D1197" s="19">
        <v>11200756</v>
      </c>
    </row>
    <row r="1198" spans="1:4">
      <c r="A1198" t="s">
        <v>8211</v>
      </c>
      <c r="B1198"/>
      <c r="C1198">
        <v>1</v>
      </c>
      <c r="D1198" s="19">
        <v>11200756</v>
      </c>
    </row>
    <row r="1199" spans="1:4">
      <c r="A1199" t="s">
        <v>6469</v>
      </c>
      <c r="B1199" t="s">
        <v>6466</v>
      </c>
      <c r="C1199">
        <v>1</v>
      </c>
      <c r="D1199" s="19">
        <v>4408950</v>
      </c>
    </row>
    <row r="1200" spans="1:4">
      <c r="A1200" t="s">
        <v>8212</v>
      </c>
      <c r="B1200"/>
      <c r="C1200">
        <v>1</v>
      </c>
      <c r="D1200" s="19">
        <v>4408950</v>
      </c>
    </row>
    <row r="1201" spans="1:4">
      <c r="A1201" t="s">
        <v>6483</v>
      </c>
      <c r="B1201" t="s">
        <v>6480</v>
      </c>
      <c r="C1201">
        <v>1</v>
      </c>
      <c r="D1201" s="19">
        <v>702100</v>
      </c>
    </row>
    <row r="1202" spans="1:4">
      <c r="A1202" t="s">
        <v>8213</v>
      </c>
      <c r="B1202"/>
      <c r="C1202">
        <v>1</v>
      </c>
      <c r="D1202" s="19">
        <v>702100</v>
      </c>
    </row>
    <row r="1203" spans="1:4">
      <c r="A1203" t="s">
        <v>6504</v>
      </c>
      <c r="B1203" t="s">
        <v>6501</v>
      </c>
      <c r="C1203">
        <v>1</v>
      </c>
      <c r="D1203" s="19">
        <v>964971</v>
      </c>
    </row>
    <row r="1204" spans="1:4">
      <c r="A1204" t="s">
        <v>8214</v>
      </c>
      <c r="B1204"/>
      <c r="C1204">
        <v>1</v>
      </c>
      <c r="D1204" s="19">
        <v>964971</v>
      </c>
    </row>
    <row r="1205" spans="1:4">
      <c r="A1205" t="s">
        <v>6553</v>
      </c>
      <c r="B1205" t="s">
        <v>6550</v>
      </c>
      <c r="C1205">
        <v>1</v>
      </c>
      <c r="D1205" s="19">
        <v>39746</v>
      </c>
    </row>
    <row r="1206" spans="1:4">
      <c r="A1206"/>
      <c r="B1206" t="s">
        <v>6555</v>
      </c>
      <c r="C1206">
        <v>1</v>
      </c>
      <c r="D1206" s="19">
        <v>714630</v>
      </c>
    </row>
    <row r="1207" spans="1:4">
      <c r="A1207" t="s">
        <v>7702</v>
      </c>
      <c r="B1207"/>
      <c r="C1207">
        <v>2</v>
      </c>
      <c r="D1207" s="19">
        <v>754376</v>
      </c>
    </row>
    <row r="1208" spans="1:4">
      <c r="A1208" t="s">
        <v>6643</v>
      </c>
      <c r="B1208" t="s">
        <v>6640</v>
      </c>
      <c r="C1208">
        <v>1</v>
      </c>
      <c r="D1208" s="19">
        <v>3813107.48</v>
      </c>
    </row>
    <row r="1209" spans="1:4">
      <c r="A1209" t="s">
        <v>8215</v>
      </c>
      <c r="B1209"/>
      <c r="C1209">
        <v>1</v>
      </c>
      <c r="D1209" s="19">
        <v>3813107.48</v>
      </c>
    </row>
    <row r="1210" spans="1:4">
      <c r="A1210" t="s">
        <v>6664</v>
      </c>
      <c r="B1210" t="s">
        <v>6661</v>
      </c>
      <c r="C1210">
        <v>1</v>
      </c>
      <c r="D1210" s="19">
        <v>19132820</v>
      </c>
    </row>
    <row r="1211" spans="1:4">
      <c r="A1211" t="s">
        <v>8216</v>
      </c>
      <c r="B1211"/>
      <c r="C1211">
        <v>1</v>
      </c>
      <c r="D1211" s="19">
        <v>19132820</v>
      </c>
    </row>
    <row r="1212" spans="1:4">
      <c r="A1212" t="s">
        <v>6672</v>
      </c>
      <c r="B1212" t="s">
        <v>6669</v>
      </c>
      <c r="C1212">
        <v>1</v>
      </c>
      <c r="D1212" s="19">
        <v>29145.48</v>
      </c>
    </row>
    <row r="1213" spans="1:4">
      <c r="A1213" t="s">
        <v>8217</v>
      </c>
      <c r="B1213"/>
      <c r="C1213">
        <v>1</v>
      </c>
      <c r="D1213" s="19">
        <v>29145.48</v>
      </c>
    </row>
    <row r="1214" spans="1:4">
      <c r="A1214" t="s">
        <v>6682</v>
      </c>
      <c r="B1214" t="s">
        <v>6679</v>
      </c>
      <c r="C1214">
        <v>1</v>
      </c>
      <c r="D1214" s="19">
        <v>191590</v>
      </c>
    </row>
    <row r="1215" spans="1:4">
      <c r="A1215" t="s">
        <v>8218</v>
      </c>
      <c r="B1215"/>
      <c r="C1215">
        <v>1</v>
      </c>
      <c r="D1215" s="19">
        <v>191590</v>
      </c>
    </row>
    <row r="1216" spans="1:4">
      <c r="A1216" t="s">
        <v>6705</v>
      </c>
      <c r="B1216" t="s">
        <v>6702</v>
      </c>
      <c r="C1216">
        <v>1</v>
      </c>
      <c r="D1216" s="19">
        <v>160055</v>
      </c>
    </row>
    <row r="1217" spans="1:4">
      <c r="A1217"/>
      <c r="B1217" t="s">
        <v>6720</v>
      </c>
      <c r="C1217">
        <v>1</v>
      </c>
      <c r="D1217" s="19">
        <v>215211.5</v>
      </c>
    </row>
    <row r="1218" spans="1:4">
      <c r="A1218" t="s">
        <v>8219</v>
      </c>
      <c r="B1218"/>
      <c r="C1218">
        <v>2</v>
      </c>
      <c r="D1218" s="19">
        <v>375266.5</v>
      </c>
    </row>
    <row r="1219" spans="1:4">
      <c r="A1219" t="s">
        <v>6775</v>
      </c>
      <c r="B1219" t="s">
        <v>6772</v>
      </c>
      <c r="C1219">
        <v>1</v>
      </c>
      <c r="D1219" s="19">
        <v>1330372.3999999999</v>
      </c>
    </row>
    <row r="1220" spans="1:4">
      <c r="A1220" t="s">
        <v>8220</v>
      </c>
      <c r="B1220"/>
      <c r="C1220">
        <v>1</v>
      </c>
      <c r="D1220" s="19">
        <v>1330372.3999999999</v>
      </c>
    </row>
    <row r="1221" spans="1:4">
      <c r="A1221" t="s">
        <v>6797</v>
      </c>
      <c r="B1221" t="s">
        <v>7369</v>
      </c>
      <c r="C1221">
        <v>1</v>
      </c>
      <c r="D1221" s="19">
        <v>1281630</v>
      </c>
    </row>
    <row r="1222" spans="1:4">
      <c r="A1222" t="s">
        <v>7706</v>
      </c>
      <c r="B1222"/>
      <c r="C1222">
        <v>1</v>
      </c>
      <c r="D1222" s="19">
        <v>1281630</v>
      </c>
    </row>
    <row r="1223" spans="1:4">
      <c r="A1223" t="s">
        <v>6801</v>
      </c>
      <c r="B1223" t="s">
        <v>6799</v>
      </c>
      <c r="C1223">
        <v>1</v>
      </c>
      <c r="D1223" s="19">
        <v>1612574.46</v>
      </c>
    </row>
    <row r="1224" spans="1:4">
      <c r="A1224" t="s">
        <v>8221</v>
      </c>
      <c r="B1224"/>
      <c r="C1224">
        <v>1</v>
      </c>
      <c r="D1224" s="19">
        <v>1612574.46</v>
      </c>
    </row>
    <row r="1225" spans="1:4">
      <c r="A1225" t="s">
        <v>6809</v>
      </c>
      <c r="B1225" t="s">
        <v>6806</v>
      </c>
      <c r="C1225">
        <v>1</v>
      </c>
      <c r="D1225" s="19">
        <v>445000</v>
      </c>
    </row>
    <row r="1226" spans="1:4">
      <c r="A1226" t="s">
        <v>8222</v>
      </c>
      <c r="B1226"/>
      <c r="C1226">
        <v>1</v>
      </c>
      <c r="D1226" s="19">
        <v>445000</v>
      </c>
    </row>
    <row r="1227" spans="1:4">
      <c r="A1227" t="s">
        <v>6863</v>
      </c>
      <c r="B1227" t="s">
        <v>6860</v>
      </c>
      <c r="C1227">
        <v>1</v>
      </c>
      <c r="D1227" s="19">
        <v>618033.80000000005</v>
      </c>
    </row>
    <row r="1228" spans="1:4">
      <c r="A1228" t="s">
        <v>8223</v>
      </c>
      <c r="B1228"/>
      <c r="C1228">
        <v>1</v>
      </c>
      <c r="D1228" s="19">
        <v>618033.80000000005</v>
      </c>
    </row>
    <row r="1229" spans="1:4">
      <c r="A1229" t="s">
        <v>6876</v>
      </c>
      <c r="B1229" t="s">
        <v>6873</v>
      </c>
      <c r="C1229">
        <v>1</v>
      </c>
      <c r="D1229" s="19">
        <v>1292316.2</v>
      </c>
    </row>
    <row r="1230" spans="1:4">
      <c r="A1230" t="s">
        <v>8224</v>
      </c>
      <c r="B1230"/>
      <c r="C1230">
        <v>1</v>
      </c>
      <c r="D1230" s="19">
        <v>1292316.2</v>
      </c>
    </row>
    <row r="1231" spans="1:4">
      <c r="A1231" t="s">
        <v>6920</v>
      </c>
      <c r="B1231" t="s">
        <v>6917</v>
      </c>
      <c r="C1231">
        <v>2</v>
      </c>
      <c r="D1231" s="19">
        <v>16466268</v>
      </c>
    </row>
    <row r="1232" spans="1:4">
      <c r="A1232"/>
      <c r="B1232" t="s">
        <v>7285</v>
      </c>
      <c r="C1232">
        <v>1</v>
      </c>
      <c r="D1232" s="19">
        <v>3734815</v>
      </c>
    </row>
    <row r="1233" spans="1:4">
      <c r="A1233" t="s">
        <v>8225</v>
      </c>
      <c r="B1233"/>
      <c r="C1233">
        <v>3</v>
      </c>
      <c r="D1233" s="19">
        <v>20201083</v>
      </c>
    </row>
    <row r="1234" spans="1:4">
      <c r="A1234" t="s">
        <v>6952</v>
      </c>
      <c r="B1234" t="s">
        <v>6949</v>
      </c>
      <c r="C1234">
        <v>1</v>
      </c>
      <c r="D1234" s="19">
        <v>256266.5</v>
      </c>
    </row>
    <row r="1235" spans="1:4">
      <c r="A1235" t="s">
        <v>8226</v>
      </c>
      <c r="B1235"/>
      <c r="C1235">
        <v>1</v>
      </c>
      <c r="D1235" s="19">
        <v>256266.5</v>
      </c>
    </row>
    <row r="1236" spans="1:4">
      <c r="A1236" t="s">
        <v>6957</v>
      </c>
      <c r="B1236" t="s">
        <v>6954</v>
      </c>
      <c r="C1236">
        <v>1</v>
      </c>
      <c r="D1236" s="19">
        <v>1025951995.46</v>
      </c>
    </row>
    <row r="1237" spans="1:4">
      <c r="A1237" t="s">
        <v>8227</v>
      </c>
      <c r="B1237"/>
      <c r="C1237">
        <v>1</v>
      </c>
      <c r="D1237" s="19">
        <v>1025951995.46</v>
      </c>
    </row>
    <row r="1238" spans="1:4">
      <c r="A1238" t="s">
        <v>6970</v>
      </c>
      <c r="B1238" t="s">
        <v>6967</v>
      </c>
      <c r="C1238">
        <v>1</v>
      </c>
      <c r="D1238" s="19">
        <v>2856000</v>
      </c>
    </row>
    <row r="1239" spans="1:4">
      <c r="A1239"/>
      <c r="B1239" t="s">
        <v>6972</v>
      </c>
      <c r="C1239">
        <v>1</v>
      </c>
      <c r="D1239" s="19">
        <v>3015460</v>
      </c>
    </row>
    <row r="1240" spans="1:4">
      <c r="A1240" t="s">
        <v>8228</v>
      </c>
      <c r="B1240"/>
      <c r="C1240">
        <v>2</v>
      </c>
      <c r="D1240" s="19">
        <v>5871460</v>
      </c>
    </row>
    <row r="1241" spans="1:4">
      <c r="A1241" t="s">
        <v>7000</v>
      </c>
      <c r="B1241" t="s">
        <v>6997</v>
      </c>
      <c r="C1241">
        <v>1</v>
      </c>
      <c r="D1241" s="19">
        <v>15703240</v>
      </c>
    </row>
    <row r="1242" spans="1:4">
      <c r="A1242" t="s">
        <v>8229</v>
      </c>
      <c r="B1242"/>
      <c r="C1242">
        <v>1</v>
      </c>
      <c r="D1242" s="19">
        <v>15703240</v>
      </c>
    </row>
    <row r="1243" spans="1:4">
      <c r="A1243" t="s">
        <v>7018</v>
      </c>
      <c r="B1243" t="s">
        <v>7015</v>
      </c>
      <c r="C1243">
        <v>1</v>
      </c>
      <c r="D1243" s="19">
        <v>429417.45</v>
      </c>
    </row>
    <row r="1244" spans="1:4">
      <c r="A1244" t="s">
        <v>8230</v>
      </c>
      <c r="B1244"/>
      <c r="C1244">
        <v>1</v>
      </c>
      <c r="D1244" s="19">
        <v>429417.45</v>
      </c>
    </row>
    <row r="1245" spans="1:4">
      <c r="A1245" t="s">
        <v>7028</v>
      </c>
      <c r="B1245" t="s">
        <v>7026</v>
      </c>
      <c r="C1245">
        <v>1</v>
      </c>
      <c r="D1245" s="19">
        <v>949620</v>
      </c>
    </row>
    <row r="1246" spans="1:4">
      <c r="A1246" t="s">
        <v>8231</v>
      </c>
      <c r="B1246"/>
      <c r="C1246">
        <v>1</v>
      </c>
      <c r="D1246" s="19">
        <v>949620</v>
      </c>
    </row>
    <row r="1247" spans="1:4">
      <c r="A1247" t="s">
        <v>7071</v>
      </c>
      <c r="B1247" t="s">
        <v>7068</v>
      </c>
      <c r="C1247">
        <v>1</v>
      </c>
      <c r="D1247" s="19">
        <v>2369000</v>
      </c>
    </row>
    <row r="1248" spans="1:4">
      <c r="A1248" t="s">
        <v>8232</v>
      </c>
      <c r="B1248"/>
      <c r="C1248">
        <v>1</v>
      </c>
      <c r="D1248" s="19">
        <v>2369000</v>
      </c>
    </row>
    <row r="1249" spans="1:4">
      <c r="A1249" t="s">
        <v>7082</v>
      </c>
      <c r="B1249" t="s">
        <v>7079</v>
      </c>
      <c r="C1249">
        <v>1</v>
      </c>
      <c r="D1249" s="19">
        <v>98775741.75</v>
      </c>
    </row>
    <row r="1250" spans="1:4">
      <c r="A1250" t="s">
        <v>8233</v>
      </c>
      <c r="B1250"/>
      <c r="C1250">
        <v>1</v>
      </c>
      <c r="D1250" s="19">
        <v>98775741.75</v>
      </c>
    </row>
    <row r="1251" spans="1:4">
      <c r="A1251" t="s">
        <v>7123</v>
      </c>
      <c r="B1251" t="s">
        <v>7120</v>
      </c>
      <c r="C1251">
        <v>1</v>
      </c>
      <c r="D1251" s="19">
        <v>1278000</v>
      </c>
    </row>
    <row r="1252" spans="1:4">
      <c r="A1252" t="s">
        <v>8234</v>
      </c>
      <c r="B1252"/>
      <c r="C1252">
        <v>1</v>
      </c>
      <c r="D1252" s="19">
        <v>1278000</v>
      </c>
    </row>
    <row r="1253" spans="1:4">
      <c r="A1253" t="s">
        <v>7188</v>
      </c>
      <c r="B1253" t="s">
        <v>7185</v>
      </c>
      <c r="C1253">
        <v>1</v>
      </c>
      <c r="D1253" s="19">
        <v>333200</v>
      </c>
    </row>
    <row r="1254" spans="1:4">
      <c r="A1254" t="s">
        <v>8235</v>
      </c>
      <c r="B1254"/>
      <c r="C1254">
        <v>1</v>
      </c>
      <c r="D1254" s="19">
        <v>333200</v>
      </c>
    </row>
    <row r="1255" spans="1:4">
      <c r="A1255" t="s">
        <v>7208</v>
      </c>
      <c r="B1255" t="s">
        <v>7205</v>
      </c>
      <c r="C1255">
        <v>1</v>
      </c>
      <c r="D1255" s="19">
        <v>1244607.9099999999</v>
      </c>
    </row>
    <row r="1256" spans="1:4">
      <c r="A1256" t="s">
        <v>8236</v>
      </c>
      <c r="B1256"/>
      <c r="C1256">
        <v>1</v>
      </c>
      <c r="D1256" s="19">
        <v>1244607.9099999999</v>
      </c>
    </row>
    <row r="1257" spans="1:4">
      <c r="A1257" t="s">
        <v>7236</v>
      </c>
      <c r="B1257" t="s">
        <v>7233</v>
      </c>
      <c r="C1257">
        <v>1</v>
      </c>
      <c r="D1257" s="19">
        <v>13706568.75</v>
      </c>
    </row>
    <row r="1258" spans="1:4">
      <c r="A1258" t="s">
        <v>8237</v>
      </c>
      <c r="B1258"/>
      <c r="C1258">
        <v>1</v>
      </c>
      <c r="D1258" s="19">
        <v>13706568.75</v>
      </c>
    </row>
    <row r="1259" spans="1:4">
      <c r="A1259" t="s">
        <v>7263</v>
      </c>
      <c r="B1259" t="s">
        <v>7260</v>
      </c>
      <c r="C1259">
        <v>1</v>
      </c>
      <c r="D1259" s="19">
        <v>1107771</v>
      </c>
    </row>
    <row r="1260" spans="1:4">
      <c r="A1260" t="s">
        <v>8238</v>
      </c>
      <c r="B1260"/>
      <c r="C1260">
        <v>1</v>
      </c>
      <c r="D1260" s="19">
        <v>1107771</v>
      </c>
    </row>
    <row r="1261" spans="1:4">
      <c r="A1261" t="s">
        <v>7311</v>
      </c>
      <c r="B1261" t="s">
        <v>7308</v>
      </c>
      <c r="C1261">
        <v>1</v>
      </c>
      <c r="D1261" s="19">
        <v>372946</v>
      </c>
    </row>
    <row r="1262" spans="1:4">
      <c r="A1262" t="s">
        <v>8239</v>
      </c>
      <c r="B1262"/>
      <c r="C1262">
        <v>1</v>
      </c>
      <c r="D1262" s="19">
        <v>372946</v>
      </c>
    </row>
    <row r="1263" spans="1:4">
      <c r="A1263" t="s">
        <v>7337</v>
      </c>
      <c r="B1263" t="s">
        <v>7334</v>
      </c>
      <c r="C1263">
        <v>1</v>
      </c>
      <c r="D1263" s="19">
        <v>5838378</v>
      </c>
    </row>
    <row r="1264" spans="1:4">
      <c r="A1264"/>
      <c r="B1264" t="s">
        <v>7339</v>
      </c>
      <c r="C1264">
        <v>1</v>
      </c>
      <c r="D1264" s="19">
        <v>5658178.6799999997</v>
      </c>
    </row>
    <row r="1265" spans="1:4">
      <c r="A1265"/>
      <c r="B1265" t="s">
        <v>7347</v>
      </c>
      <c r="C1265">
        <v>1</v>
      </c>
      <c r="D1265" s="19">
        <v>5352620</v>
      </c>
    </row>
    <row r="1266" spans="1:4">
      <c r="A1266" t="s">
        <v>8240</v>
      </c>
      <c r="B1266"/>
      <c r="C1266">
        <v>3</v>
      </c>
      <c r="D1266" s="19">
        <v>16849176.68</v>
      </c>
    </row>
    <row r="1267" spans="1:4">
      <c r="A1267" t="s">
        <v>7345</v>
      </c>
      <c r="B1267" t="s">
        <v>7342</v>
      </c>
      <c r="C1267">
        <v>1</v>
      </c>
      <c r="D1267" s="19">
        <v>902020</v>
      </c>
    </row>
    <row r="1268" spans="1:4">
      <c r="A1268" t="s">
        <v>8241</v>
      </c>
      <c r="B1268"/>
      <c r="C1268">
        <v>1</v>
      </c>
      <c r="D1268" s="19">
        <v>902020</v>
      </c>
    </row>
    <row r="1269" spans="1:4">
      <c r="A1269" t="s">
        <v>7354</v>
      </c>
      <c r="B1269" t="s">
        <v>7350</v>
      </c>
      <c r="C1269">
        <v>1</v>
      </c>
      <c r="D1269" s="19">
        <v>67778</v>
      </c>
    </row>
    <row r="1270" spans="1:4">
      <c r="A1270" t="s">
        <v>8242</v>
      </c>
      <c r="B1270"/>
      <c r="C1270">
        <v>1</v>
      </c>
      <c r="D1270" s="19">
        <v>67778</v>
      </c>
    </row>
    <row r="1271" spans="1:4">
      <c r="A1271" t="s">
        <v>7359</v>
      </c>
      <c r="B1271" t="s">
        <v>7356</v>
      </c>
      <c r="C1271">
        <v>1</v>
      </c>
      <c r="D1271" s="19">
        <v>578578</v>
      </c>
    </row>
    <row r="1272" spans="1:4">
      <c r="A1272" t="s">
        <v>8243</v>
      </c>
      <c r="B1272"/>
      <c r="C1272">
        <v>1</v>
      </c>
      <c r="D1272" s="19">
        <v>578578</v>
      </c>
    </row>
    <row r="1273" spans="1:4">
      <c r="A1273" t="s">
        <v>7411</v>
      </c>
      <c r="B1273" t="s">
        <v>7408</v>
      </c>
      <c r="C1273">
        <v>1</v>
      </c>
      <c r="D1273" s="19">
        <v>163539.32</v>
      </c>
    </row>
    <row r="1274" spans="1:4">
      <c r="A1274" t="s">
        <v>8244</v>
      </c>
      <c r="B1274"/>
      <c r="C1274">
        <v>1</v>
      </c>
      <c r="D1274" s="19">
        <v>163539.32</v>
      </c>
    </row>
    <row r="1275" spans="1:4">
      <c r="A1275" t="s">
        <v>7416</v>
      </c>
      <c r="B1275" t="s">
        <v>7413</v>
      </c>
      <c r="C1275">
        <v>1</v>
      </c>
      <c r="D1275" s="19">
        <v>1648691.73</v>
      </c>
    </row>
    <row r="1276" spans="1:4">
      <c r="A1276" t="s">
        <v>8245</v>
      </c>
      <c r="B1276"/>
      <c r="C1276">
        <v>1</v>
      </c>
      <c r="D1276" s="19">
        <v>1648691.73</v>
      </c>
    </row>
    <row r="1277" spans="1:4">
      <c r="A1277" t="s">
        <v>7440</v>
      </c>
      <c r="B1277" t="s">
        <v>7437</v>
      </c>
      <c r="C1277">
        <v>1</v>
      </c>
      <c r="D1277" s="19">
        <v>171360</v>
      </c>
    </row>
    <row r="1278" spans="1:4">
      <c r="A1278" t="s">
        <v>8246</v>
      </c>
      <c r="B1278"/>
      <c r="C1278">
        <v>1</v>
      </c>
      <c r="D1278" s="19">
        <v>171360</v>
      </c>
    </row>
    <row r="1279" spans="1:4">
      <c r="A1279" t="s">
        <v>7464</v>
      </c>
      <c r="B1279" t="s">
        <v>7461</v>
      </c>
      <c r="C1279">
        <v>1</v>
      </c>
      <c r="D1279" s="19">
        <v>1160250</v>
      </c>
    </row>
    <row r="1280" spans="1:4">
      <c r="A1280" t="s">
        <v>8247</v>
      </c>
      <c r="B1280"/>
      <c r="C1280">
        <v>1</v>
      </c>
      <c r="D1280" s="19">
        <v>1160250</v>
      </c>
    </row>
    <row r="1281" spans="1:4">
      <c r="A1281" t="s">
        <v>7488</v>
      </c>
      <c r="B1281" t="s">
        <v>7485</v>
      </c>
      <c r="C1281">
        <v>1</v>
      </c>
      <c r="D1281" s="19">
        <v>1959811</v>
      </c>
    </row>
    <row r="1282" spans="1:4">
      <c r="A1282" t="s">
        <v>8248</v>
      </c>
      <c r="B1282"/>
      <c r="C1282">
        <v>1</v>
      </c>
      <c r="D1282" s="19">
        <v>1959811</v>
      </c>
    </row>
    <row r="1283" spans="1:4">
      <c r="A1283" t="s">
        <v>7513</v>
      </c>
      <c r="B1283" t="s">
        <v>7510</v>
      </c>
      <c r="C1283">
        <v>1</v>
      </c>
      <c r="D1283" s="19">
        <v>399840</v>
      </c>
    </row>
    <row r="1284" spans="1:4">
      <c r="A1284" t="s">
        <v>8249</v>
      </c>
      <c r="B1284"/>
      <c r="C1284">
        <v>1</v>
      </c>
      <c r="D1284" s="19">
        <v>399840</v>
      </c>
    </row>
    <row r="1285" spans="1:4">
      <c r="A1285" t="s">
        <v>7518</v>
      </c>
      <c r="B1285" t="s">
        <v>7515</v>
      </c>
      <c r="C1285">
        <v>1</v>
      </c>
      <c r="D1285" s="19">
        <v>1951600</v>
      </c>
    </row>
    <row r="1286" spans="1:4">
      <c r="A1286" t="s">
        <v>8250</v>
      </c>
      <c r="B1286"/>
      <c r="C1286">
        <v>1</v>
      </c>
      <c r="D1286" s="19">
        <v>1951600</v>
      </c>
    </row>
    <row r="1287" spans="1:4">
      <c r="A1287" s="23" t="s">
        <v>7707</v>
      </c>
      <c r="B1287" s="23"/>
      <c r="C1287">
        <v>837</v>
      </c>
      <c r="D1287" s="19">
        <v>5064932677.4699984</v>
      </c>
    </row>
    <row r="1288" spans="1:4">
      <c r="A1288"/>
      <c r="B1288"/>
    </row>
    <row r="1289" spans="1:4">
      <c r="A1289"/>
      <c r="B1289"/>
    </row>
    <row r="1290" spans="1:4">
      <c r="A1290"/>
      <c r="B1290"/>
    </row>
    <row r="1291" spans="1:4">
      <c r="A1291"/>
      <c r="B1291"/>
    </row>
    <row r="1292" spans="1:4">
      <c r="A1292"/>
      <c r="B1292"/>
    </row>
    <row r="1293" spans="1:4">
      <c r="A1293"/>
      <c r="B1293"/>
    </row>
    <row r="1294" spans="1:4">
      <c r="A1294"/>
      <c r="B1294"/>
    </row>
    <row r="1295" spans="1:4">
      <c r="A1295"/>
      <c r="B1295"/>
    </row>
    <row r="1296" spans="1:4">
      <c r="A1296"/>
      <c r="B1296"/>
    </row>
    <row r="1297" spans="1:2">
      <c r="A1297"/>
      <c r="B1297"/>
    </row>
    <row r="1298" spans="1:2">
      <c r="A1298"/>
      <c r="B1298"/>
    </row>
    <row r="1299" spans="1:2">
      <c r="A1299"/>
      <c r="B1299"/>
    </row>
    <row r="1300" spans="1:2">
      <c r="A1300"/>
      <c r="B1300"/>
    </row>
    <row r="1301" spans="1:2">
      <c r="A1301"/>
      <c r="B1301"/>
    </row>
    <row r="1302" spans="1:2">
      <c r="A1302"/>
      <c r="B1302"/>
    </row>
    <row r="1303" spans="1:2">
      <c r="A1303"/>
      <c r="B1303"/>
    </row>
    <row r="1304" spans="1:2">
      <c r="A1304"/>
      <c r="B1304"/>
    </row>
    <row r="1305" spans="1:2">
      <c r="A1305"/>
      <c r="B1305"/>
    </row>
    <row r="1306" spans="1:2">
      <c r="A1306"/>
      <c r="B1306"/>
    </row>
    <row r="1307" spans="1:2">
      <c r="A1307"/>
      <c r="B1307"/>
    </row>
    <row r="1308" spans="1:2">
      <c r="A1308"/>
      <c r="B1308"/>
    </row>
    <row r="1309" spans="1:2">
      <c r="A1309"/>
      <c r="B1309"/>
    </row>
    <row r="1310" spans="1:2">
      <c r="A1310"/>
      <c r="B1310"/>
    </row>
    <row r="1311" spans="1:2">
      <c r="A1311"/>
      <c r="B1311"/>
    </row>
    <row r="1312" spans="1:2">
      <c r="A1312"/>
      <c r="B1312"/>
    </row>
    <row r="1313" spans="1:2">
      <c r="A1313"/>
      <c r="B1313"/>
    </row>
    <row r="1314" spans="1:2">
      <c r="A1314"/>
      <c r="B1314"/>
    </row>
    <row r="1315" spans="1:2">
      <c r="A1315"/>
      <c r="B1315"/>
    </row>
    <row r="1316" spans="1:2">
      <c r="A1316"/>
      <c r="B1316"/>
    </row>
    <row r="1317" spans="1:2">
      <c r="A1317"/>
      <c r="B1317"/>
    </row>
    <row r="1318" spans="1:2">
      <c r="A1318"/>
      <c r="B1318"/>
    </row>
    <row r="1319" spans="1:2">
      <c r="A1319"/>
      <c r="B1319"/>
    </row>
    <row r="1320" spans="1:2">
      <c r="A1320"/>
      <c r="B1320"/>
    </row>
    <row r="1321" spans="1:2">
      <c r="A1321"/>
      <c r="B1321"/>
    </row>
    <row r="1322" spans="1:2">
      <c r="A1322"/>
      <c r="B1322"/>
    </row>
    <row r="1323" spans="1:2">
      <c r="A1323"/>
      <c r="B1323"/>
    </row>
    <row r="1324" spans="1:2">
      <c r="A1324"/>
      <c r="B1324"/>
    </row>
    <row r="1325" spans="1:2">
      <c r="A1325"/>
      <c r="B1325"/>
    </row>
    <row r="1326" spans="1:2">
      <c r="A1326"/>
      <c r="B1326"/>
    </row>
    <row r="1327" spans="1:2">
      <c r="A1327"/>
      <c r="B1327"/>
    </row>
    <row r="1328" spans="1:2">
      <c r="A1328"/>
      <c r="B1328"/>
    </row>
    <row r="1329" spans="1:2">
      <c r="A1329"/>
      <c r="B1329"/>
    </row>
    <row r="1330" spans="1:2">
      <c r="A1330"/>
      <c r="B1330"/>
    </row>
    <row r="1331" spans="1:2">
      <c r="A1331"/>
      <c r="B1331"/>
    </row>
    <row r="1332" spans="1:2">
      <c r="A1332"/>
      <c r="B1332"/>
    </row>
    <row r="1333" spans="1:2">
      <c r="A1333"/>
      <c r="B1333"/>
    </row>
    <row r="1334" spans="1:2">
      <c r="A1334"/>
      <c r="B1334"/>
    </row>
    <row r="1335" spans="1:2">
      <c r="A1335"/>
      <c r="B1335"/>
    </row>
    <row r="1336" spans="1:2">
      <c r="A1336"/>
      <c r="B1336"/>
    </row>
    <row r="1337" spans="1:2">
      <c r="A1337"/>
      <c r="B1337"/>
    </row>
    <row r="1338" spans="1:2">
      <c r="A1338"/>
      <c r="B1338"/>
    </row>
    <row r="1339" spans="1:2">
      <c r="A1339"/>
      <c r="B1339"/>
    </row>
    <row r="1340" spans="1:2">
      <c r="A1340"/>
      <c r="B1340"/>
    </row>
    <row r="1341" spans="1:2">
      <c r="A1341"/>
      <c r="B1341"/>
    </row>
    <row r="1342" spans="1:2">
      <c r="A1342"/>
      <c r="B1342"/>
    </row>
    <row r="1343" spans="1:2">
      <c r="A1343"/>
      <c r="B1343"/>
    </row>
    <row r="1344" spans="1:2">
      <c r="A1344"/>
      <c r="B1344"/>
    </row>
    <row r="1345" spans="1:2">
      <c r="A1345"/>
      <c r="B1345"/>
    </row>
    <row r="1346" spans="1:2">
      <c r="A1346"/>
      <c r="B1346"/>
    </row>
    <row r="1347" spans="1:2">
      <c r="A1347"/>
      <c r="B1347"/>
    </row>
    <row r="1348" spans="1:2">
      <c r="A1348"/>
      <c r="B1348"/>
    </row>
    <row r="1349" spans="1:2">
      <c r="A1349"/>
      <c r="B1349"/>
    </row>
    <row r="1350" spans="1:2">
      <c r="A1350"/>
      <c r="B1350"/>
    </row>
    <row r="1351" spans="1:2">
      <c r="A1351"/>
      <c r="B1351"/>
    </row>
    <row r="1352" spans="1:2">
      <c r="A1352"/>
      <c r="B1352"/>
    </row>
    <row r="1353" spans="1:2">
      <c r="A1353"/>
      <c r="B1353"/>
    </row>
    <row r="1354" spans="1:2">
      <c r="A1354"/>
      <c r="B1354"/>
    </row>
    <row r="1355" spans="1:2">
      <c r="A1355"/>
      <c r="B1355"/>
    </row>
    <row r="1356" spans="1:2">
      <c r="A1356"/>
      <c r="B1356"/>
    </row>
    <row r="1357" spans="1:2">
      <c r="A1357"/>
      <c r="B1357"/>
    </row>
    <row r="1358" spans="1:2">
      <c r="A1358"/>
      <c r="B1358"/>
    </row>
    <row r="1359" spans="1:2">
      <c r="A1359"/>
      <c r="B1359"/>
    </row>
    <row r="1360" spans="1:2">
      <c r="A1360"/>
      <c r="B1360"/>
    </row>
    <row r="1361" spans="1:2">
      <c r="A1361"/>
      <c r="B1361"/>
    </row>
    <row r="1362" spans="1:2">
      <c r="A1362"/>
      <c r="B1362"/>
    </row>
    <row r="1363" spans="1:2">
      <c r="A1363"/>
      <c r="B1363"/>
    </row>
    <row r="1364" spans="1:2">
      <c r="A1364"/>
      <c r="B1364"/>
    </row>
    <row r="1365" spans="1:2">
      <c r="A1365"/>
      <c r="B1365"/>
    </row>
    <row r="1366" spans="1:2">
      <c r="A1366"/>
      <c r="B1366"/>
    </row>
    <row r="1367" spans="1:2">
      <c r="A1367"/>
      <c r="B1367"/>
    </row>
    <row r="1368" spans="1:2">
      <c r="A1368"/>
      <c r="B1368"/>
    </row>
    <row r="1369" spans="1:2">
      <c r="A1369"/>
      <c r="B1369"/>
    </row>
    <row r="1370" spans="1:2">
      <c r="A1370"/>
      <c r="B1370"/>
    </row>
    <row r="1371" spans="1:2">
      <c r="A1371"/>
      <c r="B1371"/>
    </row>
    <row r="1372" spans="1:2">
      <c r="A1372"/>
      <c r="B1372"/>
    </row>
    <row r="1373" spans="1:2">
      <c r="A1373"/>
      <c r="B1373"/>
    </row>
    <row r="1374" spans="1:2">
      <c r="A1374"/>
      <c r="B1374"/>
    </row>
    <row r="1375" spans="1:2">
      <c r="A1375"/>
      <c r="B1375"/>
    </row>
    <row r="1376" spans="1:2">
      <c r="A1376"/>
      <c r="B1376"/>
    </row>
    <row r="1377" spans="1:2">
      <c r="A1377"/>
      <c r="B1377"/>
    </row>
    <row r="1378" spans="1:2">
      <c r="A1378"/>
      <c r="B1378"/>
    </row>
    <row r="1379" spans="1:2">
      <c r="A1379"/>
      <c r="B1379"/>
    </row>
    <row r="1380" spans="1:2">
      <c r="A1380"/>
      <c r="B1380"/>
    </row>
    <row r="1381" spans="1:2">
      <c r="A1381"/>
      <c r="B1381"/>
    </row>
    <row r="1382" spans="1:2">
      <c r="A1382"/>
      <c r="B1382"/>
    </row>
    <row r="1383" spans="1:2">
      <c r="A1383"/>
      <c r="B1383"/>
    </row>
    <row r="1384" spans="1:2">
      <c r="A1384"/>
      <c r="B1384"/>
    </row>
    <row r="1385" spans="1:2">
      <c r="A1385"/>
      <c r="B1385"/>
    </row>
    <row r="1386" spans="1:2">
      <c r="A1386"/>
      <c r="B1386"/>
    </row>
    <row r="1387" spans="1:2">
      <c r="A1387"/>
      <c r="B1387"/>
    </row>
    <row r="1388" spans="1:2">
      <c r="A1388"/>
      <c r="B1388"/>
    </row>
    <row r="1389" spans="1:2">
      <c r="A1389"/>
      <c r="B1389"/>
    </row>
    <row r="1390" spans="1:2">
      <c r="A1390"/>
      <c r="B1390"/>
    </row>
    <row r="1391" spans="1:2">
      <c r="A1391"/>
      <c r="B1391"/>
    </row>
    <row r="1392" spans="1:2">
      <c r="A1392"/>
      <c r="B1392"/>
    </row>
    <row r="1393" spans="1:2">
      <c r="A1393"/>
      <c r="B1393"/>
    </row>
    <row r="1394" spans="1:2">
      <c r="A1394"/>
      <c r="B1394"/>
    </row>
    <row r="1395" spans="1:2">
      <c r="A1395"/>
      <c r="B1395"/>
    </row>
    <row r="1396" spans="1:2">
      <c r="A1396"/>
      <c r="B1396"/>
    </row>
    <row r="1397" spans="1:2">
      <c r="A1397"/>
      <c r="B1397"/>
    </row>
    <row r="1398" spans="1:2">
      <c r="A1398"/>
      <c r="B1398"/>
    </row>
    <row r="1399" spans="1:2">
      <c r="A1399"/>
      <c r="B1399"/>
    </row>
    <row r="1400" spans="1:2">
      <c r="A1400"/>
      <c r="B1400"/>
    </row>
    <row r="1401" spans="1:2">
      <c r="A1401"/>
      <c r="B1401"/>
    </row>
    <row r="1402" spans="1:2">
      <c r="A1402"/>
      <c r="B1402"/>
    </row>
    <row r="1403" spans="1:2">
      <c r="A1403"/>
      <c r="B1403"/>
    </row>
    <row r="1404" spans="1:2">
      <c r="A1404"/>
      <c r="B1404"/>
    </row>
    <row r="1405" spans="1:2">
      <c r="A1405"/>
      <c r="B1405"/>
    </row>
    <row r="1406" spans="1:2">
      <c r="A1406"/>
      <c r="B1406"/>
    </row>
    <row r="1407" spans="1:2">
      <c r="A1407"/>
      <c r="B1407"/>
    </row>
    <row r="1408" spans="1:2">
      <c r="A1408"/>
      <c r="B1408"/>
    </row>
    <row r="1409" spans="1:2">
      <c r="A1409"/>
      <c r="B1409"/>
    </row>
    <row r="1410" spans="1:2">
      <c r="A1410"/>
      <c r="B1410"/>
    </row>
    <row r="1411" spans="1:2">
      <c r="A1411"/>
      <c r="B1411"/>
    </row>
    <row r="1412" spans="1:2">
      <c r="A1412"/>
      <c r="B1412"/>
    </row>
    <row r="1413" spans="1:2">
      <c r="A1413"/>
      <c r="B1413"/>
    </row>
    <row r="1414" spans="1:2">
      <c r="A1414"/>
      <c r="B1414"/>
    </row>
    <row r="1415" spans="1:2">
      <c r="A1415"/>
      <c r="B1415"/>
    </row>
    <row r="1416" spans="1:2">
      <c r="A1416"/>
      <c r="B1416"/>
    </row>
    <row r="1417" spans="1:2">
      <c r="A1417"/>
      <c r="B1417"/>
    </row>
    <row r="1418" spans="1:2">
      <c r="A1418"/>
      <c r="B1418"/>
    </row>
    <row r="1419" spans="1:2">
      <c r="A1419"/>
      <c r="B1419"/>
    </row>
    <row r="1420" spans="1:2">
      <c r="A1420"/>
      <c r="B1420"/>
    </row>
    <row r="1421" spans="1:2">
      <c r="A1421"/>
      <c r="B1421"/>
    </row>
    <row r="1422" spans="1:2">
      <c r="A1422"/>
      <c r="B1422"/>
    </row>
    <row r="1423" spans="1:2">
      <c r="A1423"/>
      <c r="B1423"/>
    </row>
    <row r="1424" spans="1:2">
      <c r="A1424"/>
      <c r="B1424"/>
    </row>
    <row r="1425" spans="1:2">
      <c r="A1425"/>
      <c r="B1425"/>
    </row>
    <row r="1426" spans="1:2">
      <c r="A1426"/>
      <c r="B1426"/>
    </row>
    <row r="1427" spans="1:2">
      <c r="A1427"/>
      <c r="B1427"/>
    </row>
    <row r="1428" spans="1:2">
      <c r="A1428"/>
      <c r="B1428"/>
    </row>
    <row r="1429" spans="1:2">
      <c r="A1429"/>
      <c r="B1429"/>
    </row>
    <row r="1430" spans="1:2">
      <c r="A1430"/>
      <c r="B1430"/>
    </row>
    <row r="1431" spans="1:2">
      <c r="A1431"/>
      <c r="B1431"/>
    </row>
    <row r="1432" spans="1:2">
      <c r="A1432"/>
      <c r="B1432"/>
    </row>
    <row r="1433" spans="1:2">
      <c r="A1433"/>
      <c r="B1433"/>
    </row>
    <row r="1434" spans="1:2">
      <c r="A1434"/>
      <c r="B1434"/>
    </row>
    <row r="1435" spans="1:2">
      <c r="A1435"/>
      <c r="B1435"/>
    </row>
    <row r="1436" spans="1:2">
      <c r="A1436"/>
      <c r="B1436"/>
    </row>
    <row r="1437" spans="1:2">
      <c r="A1437"/>
      <c r="B1437"/>
    </row>
    <row r="1438" spans="1:2">
      <c r="A1438"/>
      <c r="B1438"/>
    </row>
    <row r="1439" spans="1:2">
      <c r="A1439"/>
      <c r="B1439"/>
    </row>
    <row r="1440" spans="1:2">
      <c r="A1440"/>
      <c r="B1440"/>
    </row>
    <row r="1441" spans="1:2">
      <c r="A1441"/>
      <c r="B1441"/>
    </row>
    <row r="1442" spans="1:2">
      <c r="A1442"/>
      <c r="B1442"/>
    </row>
    <row r="1443" spans="1:2">
      <c r="A1443"/>
      <c r="B1443"/>
    </row>
    <row r="1444" spans="1:2">
      <c r="A1444"/>
      <c r="B1444"/>
    </row>
    <row r="1445" spans="1:2">
      <c r="A1445"/>
      <c r="B1445"/>
    </row>
    <row r="1446" spans="1:2">
      <c r="A1446"/>
      <c r="B1446"/>
    </row>
    <row r="1447" spans="1:2">
      <c r="A1447"/>
      <c r="B1447"/>
    </row>
    <row r="1448" spans="1:2">
      <c r="A1448"/>
      <c r="B1448"/>
    </row>
    <row r="1449" spans="1:2">
      <c r="A1449"/>
      <c r="B1449"/>
    </row>
    <row r="1450" spans="1:2">
      <c r="A1450"/>
      <c r="B1450"/>
    </row>
    <row r="1451" spans="1:2">
      <c r="A1451"/>
      <c r="B1451"/>
    </row>
    <row r="1452" spans="1:2">
      <c r="A1452"/>
      <c r="B1452"/>
    </row>
    <row r="1453" spans="1:2">
      <c r="A1453"/>
      <c r="B1453"/>
    </row>
    <row r="1454" spans="1:2">
      <c r="A1454"/>
      <c r="B1454"/>
    </row>
    <row r="1455" spans="1:2">
      <c r="A1455"/>
      <c r="B1455"/>
    </row>
    <row r="1456" spans="1:2">
      <c r="A1456"/>
      <c r="B1456"/>
    </row>
    <row r="1457" spans="1:2">
      <c r="A1457"/>
      <c r="B1457"/>
    </row>
    <row r="1458" spans="1:2">
      <c r="A1458"/>
      <c r="B1458"/>
    </row>
    <row r="1459" spans="1:2">
      <c r="A1459"/>
      <c r="B1459"/>
    </row>
    <row r="1460" spans="1:2">
      <c r="A1460"/>
      <c r="B1460"/>
    </row>
    <row r="1461" spans="1:2">
      <c r="A1461"/>
      <c r="B1461"/>
    </row>
    <row r="1462" spans="1:2">
      <c r="A1462"/>
      <c r="B1462"/>
    </row>
    <row r="1463" spans="1:2">
      <c r="A1463"/>
      <c r="B1463"/>
    </row>
    <row r="1464" spans="1:2">
      <c r="A1464"/>
      <c r="B1464"/>
    </row>
    <row r="1465" spans="1:2">
      <c r="A1465"/>
      <c r="B1465"/>
    </row>
    <row r="1466" spans="1:2">
      <c r="A1466"/>
      <c r="B1466"/>
    </row>
    <row r="1467" spans="1:2">
      <c r="A1467"/>
      <c r="B1467"/>
    </row>
    <row r="1468" spans="1:2">
      <c r="A1468"/>
      <c r="B1468"/>
    </row>
    <row r="1469" spans="1:2">
      <c r="A1469"/>
      <c r="B1469"/>
    </row>
    <row r="1470" spans="1:2">
      <c r="A1470"/>
      <c r="B1470"/>
    </row>
    <row r="1471" spans="1:2">
      <c r="A1471"/>
      <c r="B1471"/>
    </row>
    <row r="1472" spans="1:2">
      <c r="A1472"/>
      <c r="B1472"/>
    </row>
    <row r="1473" spans="1:2">
      <c r="A1473"/>
      <c r="B1473"/>
    </row>
    <row r="1474" spans="1:2">
      <c r="A1474"/>
      <c r="B1474"/>
    </row>
    <row r="1475" spans="1:2">
      <c r="A1475"/>
      <c r="B1475"/>
    </row>
    <row r="1476" spans="1:2">
      <c r="A1476"/>
      <c r="B1476"/>
    </row>
    <row r="1477" spans="1:2">
      <c r="A1477"/>
      <c r="B1477"/>
    </row>
    <row r="1478" spans="1:2">
      <c r="A1478"/>
      <c r="B1478"/>
    </row>
    <row r="1479" spans="1:2">
      <c r="A1479"/>
      <c r="B1479"/>
    </row>
    <row r="1480" spans="1:2">
      <c r="A1480"/>
      <c r="B1480"/>
    </row>
    <row r="1481" spans="1:2">
      <c r="A1481"/>
      <c r="B1481"/>
    </row>
    <row r="1482" spans="1:2">
      <c r="A1482"/>
      <c r="B1482"/>
    </row>
    <row r="1483" spans="1:2">
      <c r="A1483"/>
      <c r="B1483"/>
    </row>
    <row r="1484" spans="1:2">
      <c r="A1484"/>
      <c r="B1484"/>
    </row>
    <row r="1485" spans="1:2">
      <c r="A1485"/>
      <c r="B1485"/>
    </row>
    <row r="1486" spans="1:2">
      <c r="A1486"/>
      <c r="B1486"/>
    </row>
    <row r="1487" spans="1:2">
      <c r="A1487"/>
      <c r="B1487"/>
    </row>
    <row r="1488" spans="1:2">
      <c r="A1488"/>
      <c r="B1488"/>
    </row>
    <row r="1489" spans="1:2">
      <c r="A1489"/>
      <c r="B1489"/>
    </row>
    <row r="1490" spans="1:2">
      <c r="A1490"/>
      <c r="B1490"/>
    </row>
    <row r="1491" spans="1:2">
      <c r="A1491"/>
      <c r="B1491"/>
    </row>
    <row r="1492" spans="1:2">
      <c r="A1492"/>
      <c r="B1492"/>
    </row>
    <row r="1493" spans="1:2">
      <c r="A1493"/>
      <c r="B1493"/>
    </row>
    <row r="1494" spans="1:2">
      <c r="A1494"/>
      <c r="B1494"/>
    </row>
    <row r="1495" spans="1:2">
      <c r="A1495"/>
      <c r="B1495"/>
    </row>
    <row r="1496" spans="1:2">
      <c r="A1496"/>
      <c r="B1496"/>
    </row>
    <row r="1497" spans="1:2">
      <c r="A1497"/>
      <c r="B1497"/>
    </row>
    <row r="1498" spans="1:2">
      <c r="A1498"/>
      <c r="B1498"/>
    </row>
    <row r="1499" spans="1:2">
      <c r="A1499"/>
      <c r="B1499"/>
    </row>
    <row r="1500" spans="1:2">
      <c r="A1500"/>
      <c r="B1500"/>
    </row>
    <row r="1501" spans="1:2">
      <c r="A1501"/>
      <c r="B1501"/>
    </row>
    <row r="1502" spans="1:2">
      <c r="A1502"/>
      <c r="B1502"/>
    </row>
    <row r="1503" spans="1:2">
      <c r="A1503"/>
      <c r="B1503"/>
    </row>
    <row r="1504" spans="1:2">
      <c r="A1504"/>
      <c r="B1504"/>
    </row>
    <row r="1505" spans="1:2">
      <c r="A1505"/>
      <c r="B1505"/>
    </row>
    <row r="1506" spans="1:2">
      <c r="A1506"/>
      <c r="B1506"/>
    </row>
    <row r="1507" spans="1:2">
      <c r="A1507"/>
      <c r="B1507"/>
    </row>
    <row r="1508" spans="1:2">
      <c r="A1508"/>
      <c r="B1508"/>
    </row>
    <row r="1509" spans="1:2">
      <c r="A1509"/>
      <c r="B1509"/>
    </row>
    <row r="1510" spans="1:2">
      <c r="A1510"/>
      <c r="B1510"/>
    </row>
    <row r="1511" spans="1:2">
      <c r="A1511"/>
      <c r="B1511"/>
    </row>
    <row r="1512" spans="1:2">
      <c r="A1512"/>
      <c r="B1512"/>
    </row>
    <row r="1513" spans="1:2">
      <c r="A1513"/>
      <c r="B1513"/>
    </row>
    <row r="1514" spans="1:2">
      <c r="A1514"/>
      <c r="B1514"/>
    </row>
    <row r="1515" spans="1:2">
      <c r="A1515"/>
      <c r="B1515"/>
    </row>
    <row r="1516" spans="1:2">
      <c r="A1516"/>
      <c r="B1516"/>
    </row>
    <row r="1517" spans="1:2">
      <c r="A1517"/>
      <c r="B1517"/>
    </row>
    <row r="1518" spans="1:2">
      <c r="A1518"/>
      <c r="B1518"/>
    </row>
    <row r="1519" spans="1:2">
      <c r="A1519"/>
      <c r="B1519"/>
    </row>
    <row r="1520" spans="1:2">
      <c r="A1520"/>
      <c r="B1520"/>
    </row>
    <row r="1521" spans="1:2">
      <c r="A1521"/>
      <c r="B1521"/>
    </row>
    <row r="1522" spans="1:2">
      <c r="A1522"/>
      <c r="B1522"/>
    </row>
    <row r="1523" spans="1:2">
      <c r="A1523"/>
      <c r="B1523"/>
    </row>
    <row r="1524" spans="1:2">
      <c r="A1524"/>
      <c r="B1524"/>
    </row>
    <row r="1525" spans="1:2">
      <c r="A1525"/>
      <c r="B1525"/>
    </row>
    <row r="1526" spans="1:2">
      <c r="A1526"/>
      <c r="B1526"/>
    </row>
    <row r="1527" spans="1:2">
      <c r="A1527"/>
      <c r="B1527"/>
    </row>
    <row r="1528" spans="1:2">
      <c r="A1528"/>
      <c r="B1528"/>
    </row>
    <row r="1529" spans="1:2">
      <c r="A1529"/>
      <c r="B1529"/>
    </row>
    <row r="1530" spans="1:2">
      <c r="A1530"/>
      <c r="B1530"/>
    </row>
    <row r="1531" spans="1:2">
      <c r="A1531"/>
      <c r="B1531"/>
    </row>
    <row r="1532" spans="1:2">
      <c r="A1532"/>
      <c r="B1532"/>
    </row>
    <row r="1533" spans="1:2">
      <c r="A1533"/>
      <c r="B1533"/>
    </row>
    <row r="1534" spans="1:2">
      <c r="A1534"/>
      <c r="B1534"/>
    </row>
    <row r="1535" spans="1:2">
      <c r="A1535"/>
      <c r="B1535"/>
    </row>
    <row r="1536" spans="1:2">
      <c r="A1536"/>
      <c r="B1536"/>
    </row>
    <row r="1537" spans="1:2">
      <c r="A1537"/>
      <c r="B1537"/>
    </row>
    <row r="1538" spans="1:2">
      <c r="A1538"/>
      <c r="B1538"/>
    </row>
    <row r="1539" spans="1:2">
      <c r="A1539"/>
      <c r="B1539"/>
    </row>
    <row r="1540" spans="1:2">
      <c r="A1540"/>
      <c r="B1540"/>
    </row>
    <row r="1541" spans="1:2">
      <c r="A1541"/>
      <c r="B1541"/>
    </row>
    <row r="1542" spans="1:2">
      <c r="A1542"/>
      <c r="B1542"/>
    </row>
    <row r="1543" spans="1:2">
      <c r="A1543"/>
      <c r="B1543"/>
    </row>
    <row r="1544" spans="1:2">
      <c r="A1544"/>
      <c r="B1544"/>
    </row>
    <row r="1545" spans="1:2">
      <c r="A1545"/>
      <c r="B1545"/>
    </row>
    <row r="1546" spans="1:2">
      <c r="A1546"/>
      <c r="B1546"/>
    </row>
    <row r="1547" spans="1:2">
      <c r="A1547"/>
      <c r="B1547"/>
    </row>
    <row r="1548" spans="1:2">
      <c r="A1548"/>
      <c r="B1548"/>
    </row>
    <row r="1549" spans="1:2">
      <c r="A1549"/>
      <c r="B1549"/>
    </row>
    <row r="1550" spans="1:2">
      <c r="A1550"/>
      <c r="B1550"/>
    </row>
    <row r="1551" spans="1:2">
      <c r="A1551"/>
      <c r="B1551"/>
    </row>
    <row r="1552" spans="1:2">
      <c r="A1552"/>
      <c r="B1552"/>
    </row>
    <row r="1553" spans="1:2">
      <c r="A1553"/>
      <c r="B1553"/>
    </row>
    <row r="1554" spans="1:2">
      <c r="A1554"/>
      <c r="B1554"/>
    </row>
    <row r="1555" spans="1:2">
      <c r="A1555"/>
      <c r="B1555"/>
    </row>
    <row r="1556" spans="1:2">
      <c r="A1556"/>
      <c r="B1556"/>
    </row>
    <row r="1557" spans="1:2">
      <c r="A1557"/>
      <c r="B1557"/>
    </row>
    <row r="1558" spans="1:2">
      <c r="A1558"/>
      <c r="B1558"/>
    </row>
    <row r="1559" spans="1:2">
      <c r="A1559"/>
      <c r="B1559"/>
    </row>
    <row r="1560" spans="1:2">
      <c r="A1560"/>
      <c r="B1560"/>
    </row>
    <row r="1561" spans="1:2">
      <c r="A1561"/>
      <c r="B1561"/>
    </row>
    <row r="1562" spans="1:2">
      <c r="A1562"/>
      <c r="B1562"/>
    </row>
    <row r="1563" spans="1:2">
      <c r="A1563"/>
      <c r="B1563"/>
    </row>
    <row r="1564" spans="1:2">
      <c r="A1564"/>
      <c r="B1564"/>
    </row>
    <row r="1565" spans="1:2">
      <c r="A1565"/>
      <c r="B1565"/>
    </row>
    <row r="1566" spans="1:2">
      <c r="A1566"/>
      <c r="B1566"/>
    </row>
    <row r="1567" spans="1:2">
      <c r="A1567"/>
      <c r="B1567"/>
    </row>
    <row r="1568" spans="1:2">
      <c r="A1568"/>
      <c r="B1568"/>
    </row>
    <row r="1569" spans="1:2">
      <c r="A1569"/>
      <c r="B1569"/>
    </row>
    <row r="1570" spans="1:2">
      <c r="A1570"/>
      <c r="B1570"/>
    </row>
    <row r="1571" spans="1:2">
      <c r="A1571"/>
      <c r="B1571"/>
    </row>
    <row r="1572" spans="1:2">
      <c r="A1572"/>
      <c r="B1572"/>
    </row>
    <row r="1573" spans="1:2">
      <c r="A1573"/>
      <c r="B1573"/>
    </row>
    <row r="1574" spans="1:2">
      <c r="A1574"/>
      <c r="B1574"/>
    </row>
    <row r="1575" spans="1:2">
      <c r="A1575"/>
      <c r="B1575"/>
    </row>
    <row r="1576" spans="1:2">
      <c r="A1576"/>
      <c r="B1576"/>
    </row>
    <row r="1577" spans="1:2">
      <c r="A1577"/>
      <c r="B1577"/>
    </row>
    <row r="1578" spans="1:2">
      <c r="A1578"/>
      <c r="B1578"/>
    </row>
    <row r="1579" spans="1:2">
      <c r="A1579"/>
      <c r="B1579"/>
    </row>
    <row r="1580" spans="1:2">
      <c r="A1580"/>
      <c r="B1580"/>
    </row>
    <row r="1581" spans="1:2">
      <c r="A1581"/>
      <c r="B1581"/>
    </row>
    <row r="1582" spans="1:2">
      <c r="A1582"/>
      <c r="B1582"/>
    </row>
    <row r="1583" spans="1:2">
      <c r="A1583"/>
      <c r="B1583"/>
    </row>
    <row r="1584" spans="1:2">
      <c r="A1584"/>
      <c r="B1584"/>
    </row>
    <row r="1585" spans="1:2">
      <c r="A1585"/>
      <c r="B1585"/>
    </row>
    <row r="1586" spans="1:2">
      <c r="A1586"/>
      <c r="B1586"/>
    </row>
    <row r="1587" spans="1:2">
      <c r="A1587"/>
      <c r="B1587"/>
    </row>
    <row r="1588" spans="1:2">
      <c r="A1588"/>
      <c r="B1588"/>
    </row>
    <row r="1589" spans="1:2">
      <c r="A1589"/>
      <c r="B1589"/>
    </row>
    <row r="1590" spans="1:2">
      <c r="A1590"/>
      <c r="B1590"/>
    </row>
    <row r="1591" spans="1:2">
      <c r="A1591"/>
      <c r="B1591"/>
    </row>
    <row r="1592" spans="1:2">
      <c r="A1592"/>
      <c r="B1592"/>
    </row>
    <row r="1593" spans="1:2">
      <c r="A1593"/>
      <c r="B1593"/>
    </row>
    <row r="1594" spans="1:2">
      <c r="A1594"/>
      <c r="B1594"/>
    </row>
    <row r="1595" spans="1:2">
      <c r="A1595"/>
      <c r="B1595"/>
    </row>
    <row r="1596" spans="1:2">
      <c r="A1596"/>
      <c r="B1596"/>
    </row>
    <row r="1597" spans="1:2">
      <c r="A1597"/>
      <c r="B1597"/>
    </row>
    <row r="1598" spans="1:2">
      <c r="A1598"/>
      <c r="B1598"/>
    </row>
    <row r="1599" spans="1:2">
      <c r="A1599"/>
      <c r="B1599"/>
    </row>
    <row r="1600" spans="1:2">
      <c r="A1600"/>
      <c r="B1600"/>
    </row>
    <row r="1601" spans="1:2">
      <c r="A1601"/>
      <c r="B1601"/>
    </row>
    <row r="1602" spans="1:2">
      <c r="A1602"/>
      <c r="B1602"/>
    </row>
    <row r="1603" spans="1:2">
      <c r="A1603"/>
      <c r="B1603"/>
    </row>
    <row r="1604" spans="1:2">
      <c r="A1604"/>
      <c r="B1604"/>
    </row>
    <row r="1605" spans="1:2">
      <c r="A1605"/>
      <c r="B1605"/>
    </row>
    <row r="1606" spans="1:2">
      <c r="A1606"/>
      <c r="B1606"/>
    </row>
    <row r="1607" spans="1:2">
      <c r="A1607"/>
      <c r="B1607"/>
    </row>
    <row r="1608" spans="1:2">
      <c r="A1608"/>
      <c r="B1608"/>
    </row>
    <row r="1609" spans="1:2">
      <c r="A1609"/>
      <c r="B1609"/>
    </row>
    <row r="1610" spans="1:2">
      <c r="A1610"/>
      <c r="B1610"/>
    </row>
    <row r="1611" spans="1:2">
      <c r="A1611"/>
      <c r="B1611"/>
    </row>
    <row r="1612" spans="1:2">
      <c r="A1612"/>
      <c r="B1612"/>
    </row>
    <row r="1613" spans="1:2">
      <c r="A1613"/>
      <c r="B1613"/>
    </row>
    <row r="1614" spans="1:2">
      <c r="A1614"/>
      <c r="B1614"/>
    </row>
    <row r="1615" spans="1:2">
      <c r="A1615"/>
      <c r="B1615"/>
    </row>
    <row r="1616" spans="1:2">
      <c r="A1616"/>
      <c r="B1616"/>
    </row>
    <row r="1617" spans="1:2">
      <c r="A1617"/>
      <c r="B1617"/>
    </row>
    <row r="1618" spans="1:2">
      <c r="A1618"/>
      <c r="B1618"/>
    </row>
    <row r="1619" spans="1:2">
      <c r="A1619"/>
      <c r="B1619"/>
    </row>
    <row r="1620" spans="1:2">
      <c r="A1620"/>
      <c r="B1620"/>
    </row>
    <row r="1621" spans="1:2">
      <c r="A1621"/>
      <c r="B1621"/>
    </row>
    <row r="1622" spans="1:2">
      <c r="A1622"/>
      <c r="B1622"/>
    </row>
    <row r="1623" spans="1:2">
      <c r="A1623"/>
      <c r="B1623"/>
    </row>
    <row r="1624" spans="1:2">
      <c r="A1624"/>
      <c r="B1624"/>
    </row>
    <row r="1625" spans="1:2">
      <c r="A1625"/>
      <c r="B1625"/>
    </row>
    <row r="1626" spans="1:2">
      <c r="A1626"/>
      <c r="B1626"/>
    </row>
    <row r="1627" spans="1:2">
      <c r="A1627"/>
      <c r="B1627"/>
    </row>
    <row r="1628" spans="1:2">
      <c r="A1628"/>
      <c r="B1628"/>
    </row>
    <row r="1629" spans="1:2">
      <c r="A1629"/>
      <c r="B1629"/>
    </row>
    <row r="1630" spans="1:2">
      <c r="A1630"/>
      <c r="B1630"/>
    </row>
    <row r="1631" spans="1:2">
      <c r="A1631"/>
      <c r="B1631"/>
    </row>
    <row r="1632" spans="1:2">
      <c r="A1632"/>
      <c r="B1632"/>
    </row>
    <row r="1633" spans="1:2">
      <c r="A1633"/>
      <c r="B1633"/>
    </row>
    <row r="1634" spans="1:2">
      <c r="A1634"/>
      <c r="B1634"/>
    </row>
    <row r="1635" spans="1:2">
      <c r="A1635"/>
      <c r="B1635"/>
    </row>
    <row r="1636" spans="1:2">
      <c r="A1636"/>
      <c r="B1636"/>
    </row>
    <row r="1637" spans="1:2">
      <c r="A1637"/>
      <c r="B1637"/>
    </row>
    <row r="1638" spans="1:2">
      <c r="A1638"/>
      <c r="B1638"/>
    </row>
    <row r="1639" spans="1:2">
      <c r="A1639"/>
      <c r="B1639"/>
    </row>
    <row r="1640" spans="1:2">
      <c r="A1640"/>
      <c r="B1640"/>
    </row>
    <row r="1641" spans="1:2">
      <c r="A1641"/>
      <c r="B1641"/>
    </row>
    <row r="1642" spans="1:2">
      <c r="A1642"/>
      <c r="B1642"/>
    </row>
    <row r="1643" spans="1:2">
      <c r="A1643"/>
      <c r="B1643"/>
    </row>
    <row r="1644" spans="1:2">
      <c r="A1644"/>
      <c r="B1644"/>
    </row>
    <row r="1645" spans="1:2">
      <c r="A1645"/>
      <c r="B1645"/>
    </row>
    <row r="1646" spans="1:2">
      <c r="A1646"/>
      <c r="B1646"/>
    </row>
    <row r="1647" spans="1:2">
      <c r="A1647"/>
      <c r="B1647"/>
    </row>
    <row r="1648" spans="1:2">
      <c r="A1648"/>
      <c r="B1648"/>
    </row>
    <row r="1649" spans="1:2">
      <c r="A1649"/>
      <c r="B1649"/>
    </row>
    <row r="1650" spans="1:2">
      <c r="A1650"/>
      <c r="B1650"/>
    </row>
    <row r="1651" spans="1:2">
      <c r="A1651"/>
      <c r="B1651"/>
    </row>
    <row r="1652" spans="1:2">
      <c r="A1652"/>
      <c r="B1652"/>
    </row>
    <row r="1653" spans="1:2">
      <c r="A1653"/>
      <c r="B1653"/>
    </row>
    <row r="1654" spans="1:2">
      <c r="A1654"/>
      <c r="B1654"/>
    </row>
    <row r="1655" spans="1:2">
      <c r="A1655"/>
      <c r="B1655"/>
    </row>
    <row r="1656" spans="1:2">
      <c r="A1656"/>
      <c r="B1656"/>
    </row>
    <row r="1657" spans="1:2">
      <c r="A1657"/>
      <c r="B1657"/>
    </row>
    <row r="1658" spans="1:2">
      <c r="A1658"/>
      <c r="B1658"/>
    </row>
    <row r="1659" spans="1:2">
      <c r="A1659"/>
      <c r="B1659"/>
    </row>
    <row r="1660" spans="1:2">
      <c r="A1660"/>
      <c r="B1660"/>
    </row>
    <row r="1661" spans="1:2">
      <c r="A1661"/>
      <c r="B1661"/>
    </row>
    <row r="1662" spans="1:2">
      <c r="A1662"/>
      <c r="B1662"/>
    </row>
    <row r="1663" spans="1:2">
      <c r="A1663"/>
      <c r="B1663"/>
    </row>
    <row r="1664" spans="1:2">
      <c r="A1664"/>
      <c r="B1664"/>
    </row>
    <row r="1665" spans="1:2">
      <c r="A1665"/>
      <c r="B1665"/>
    </row>
    <row r="1666" spans="1:2">
      <c r="A1666"/>
      <c r="B1666"/>
    </row>
    <row r="1667" spans="1:2">
      <c r="A1667"/>
      <c r="B1667"/>
    </row>
    <row r="1668" spans="1:2">
      <c r="A1668"/>
      <c r="B1668"/>
    </row>
    <row r="1669" spans="1:2">
      <c r="A1669"/>
      <c r="B1669"/>
    </row>
    <row r="1670" spans="1:2">
      <c r="A1670"/>
      <c r="B1670"/>
    </row>
    <row r="1671" spans="1:2">
      <c r="A1671"/>
      <c r="B1671"/>
    </row>
    <row r="1672" spans="1:2">
      <c r="A1672"/>
      <c r="B1672"/>
    </row>
    <row r="1673" spans="1:2">
      <c r="A1673"/>
      <c r="B1673"/>
    </row>
    <row r="1674" spans="1:2">
      <c r="A1674"/>
      <c r="B1674"/>
    </row>
    <row r="1675" spans="1:2">
      <c r="A1675"/>
      <c r="B1675"/>
    </row>
    <row r="1676" spans="1:2">
      <c r="A1676"/>
      <c r="B1676"/>
    </row>
    <row r="1677" spans="1:2">
      <c r="A1677"/>
      <c r="B1677"/>
    </row>
    <row r="1678" spans="1:2">
      <c r="A1678"/>
      <c r="B1678"/>
    </row>
    <row r="1679" spans="1:2">
      <c r="A1679"/>
      <c r="B1679"/>
    </row>
    <row r="1680" spans="1:2">
      <c r="A1680"/>
      <c r="B1680"/>
    </row>
    <row r="1681" spans="1:2">
      <c r="A1681"/>
      <c r="B1681"/>
    </row>
    <row r="1682" spans="1:2">
      <c r="A1682"/>
      <c r="B1682"/>
    </row>
    <row r="1683" spans="1:2">
      <c r="A1683"/>
      <c r="B1683"/>
    </row>
    <row r="1684" spans="1:2">
      <c r="A1684"/>
      <c r="B1684"/>
    </row>
    <row r="1685" spans="1:2">
      <c r="A1685"/>
      <c r="B1685"/>
    </row>
    <row r="1686" spans="1:2">
      <c r="A1686"/>
      <c r="B1686"/>
    </row>
    <row r="1687" spans="1:2">
      <c r="A1687"/>
      <c r="B1687"/>
    </row>
    <row r="1688" spans="1:2">
      <c r="A1688"/>
      <c r="B1688"/>
    </row>
    <row r="1689" spans="1:2">
      <c r="A1689"/>
      <c r="B1689"/>
    </row>
    <row r="1690" spans="1:2">
      <c r="A1690"/>
      <c r="B1690"/>
    </row>
    <row r="1691" spans="1:2">
      <c r="A1691"/>
      <c r="B1691"/>
    </row>
    <row r="1692" spans="1:2">
      <c r="A1692"/>
      <c r="B1692"/>
    </row>
    <row r="1693" spans="1:2">
      <c r="A1693"/>
      <c r="B1693"/>
    </row>
    <row r="1694" spans="1:2">
      <c r="A1694"/>
      <c r="B1694"/>
    </row>
    <row r="1695" spans="1:2">
      <c r="A1695"/>
      <c r="B1695"/>
    </row>
    <row r="1696" spans="1:2">
      <c r="A1696"/>
      <c r="B1696"/>
    </row>
    <row r="1697" spans="1:2">
      <c r="A1697"/>
      <c r="B1697"/>
    </row>
    <row r="1698" spans="1:2">
      <c r="A1698"/>
      <c r="B1698"/>
    </row>
    <row r="1699" spans="1:2">
      <c r="A1699"/>
      <c r="B1699"/>
    </row>
    <row r="1700" spans="1:2">
      <c r="A1700"/>
      <c r="B1700"/>
    </row>
    <row r="1701" spans="1:2">
      <c r="A1701"/>
      <c r="B1701"/>
    </row>
    <row r="1702" spans="1:2">
      <c r="A1702"/>
      <c r="B1702"/>
    </row>
    <row r="1703" spans="1:2">
      <c r="A1703"/>
      <c r="B1703"/>
    </row>
    <row r="1704" spans="1:2">
      <c r="A1704"/>
      <c r="B1704"/>
    </row>
    <row r="1705" spans="1:2">
      <c r="A1705"/>
      <c r="B1705"/>
    </row>
    <row r="1706" spans="1:2">
      <c r="A1706"/>
      <c r="B1706"/>
    </row>
    <row r="1707" spans="1:2">
      <c r="A1707"/>
      <c r="B1707"/>
    </row>
    <row r="1708" spans="1:2">
      <c r="A1708"/>
      <c r="B1708"/>
    </row>
    <row r="1709" spans="1:2">
      <c r="A1709"/>
      <c r="B1709"/>
    </row>
    <row r="1710" spans="1:2">
      <c r="A1710"/>
      <c r="B1710"/>
    </row>
    <row r="1711" spans="1:2">
      <c r="A1711"/>
      <c r="B1711"/>
    </row>
    <row r="1712" spans="1:2">
      <c r="A1712"/>
      <c r="B1712"/>
    </row>
    <row r="1713" spans="1:2">
      <c r="A1713"/>
      <c r="B1713"/>
    </row>
    <row r="1714" spans="1:2">
      <c r="A1714"/>
      <c r="B1714"/>
    </row>
    <row r="1715" spans="1:2">
      <c r="A1715"/>
      <c r="B1715"/>
    </row>
    <row r="1716" spans="1:2">
      <c r="A1716"/>
      <c r="B1716"/>
    </row>
    <row r="1717" spans="1:2">
      <c r="A1717"/>
      <c r="B1717"/>
    </row>
    <row r="1718" spans="1:2">
      <c r="A1718"/>
      <c r="B1718"/>
    </row>
    <row r="1719" spans="1:2">
      <c r="A1719"/>
      <c r="B1719"/>
    </row>
    <row r="1720" spans="1:2">
      <c r="A1720"/>
      <c r="B1720"/>
    </row>
    <row r="1721" spans="1:2">
      <c r="A1721"/>
      <c r="B1721"/>
    </row>
    <row r="1722" spans="1:2">
      <c r="A1722"/>
      <c r="B1722"/>
    </row>
    <row r="1723" spans="1:2">
      <c r="A1723"/>
      <c r="B1723"/>
    </row>
    <row r="1724" spans="1:2">
      <c r="A1724"/>
      <c r="B1724"/>
    </row>
    <row r="1725" spans="1:2">
      <c r="A1725"/>
      <c r="B1725"/>
    </row>
    <row r="1726" spans="1:2">
      <c r="A1726"/>
      <c r="B1726"/>
    </row>
    <row r="1727" spans="1:2">
      <c r="A1727"/>
      <c r="B1727"/>
    </row>
    <row r="1728" spans="1:2">
      <c r="A1728"/>
      <c r="B1728"/>
    </row>
    <row r="1729" spans="1:2">
      <c r="A1729"/>
      <c r="B1729"/>
    </row>
    <row r="1730" spans="1:2">
      <c r="A1730"/>
      <c r="B1730"/>
    </row>
    <row r="1731" spans="1:2">
      <c r="A1731"/>
      <c r="B1731"/>
    </row>
    <row r="1732" spans="1:2">
      <c r="A1732"/>
      <c r="B1732"/>
    </row>
    <row r="1733" spans="1:2">
      <c r="A1733"/>
      <c r="B1733"/>
    </row>
    <row r="1734" spans="1:2">
      <c r="A1734"/>
      <c r="B1734"/>
    </row>
    <row r="1735" spans="1:2">
      <c r="A1735"/>
      <c r="B1735"/>
    </row>
    <row r="1736" spans="1:2">
      <c r="A1736"/>
      <c r="B1736"/>
    </row>
    <row r="1737" spans="1:2">
      <c r="A1737"/>
      <c r="B1737"/>
    </row>
    <row r="1738" spans="1:2">
      <c r="A1738"/>
      <c r="B1738"/>
    </row>
    <row r="1739" spans="1:2">
      <c r="A1739"/>
      <c r="B1739"/>
    </row>
    <row r="1740" spans="1:2">
      <c r="A1740"/>
      <c r="B1740"/>
    </row>
    <row r="1741" spans="1:2">
      <c r="A1741"/>
      <c r="B1741"/>
    </row>
    <row r="1742" spans="1:2">
      <c r="A1742"/>
      <c r="B1742"/>
    </row>
    <row r="1743" spans="1:2">
      <c r="A1743"/>
      <c r="B1743"/>
    </row>
    <row r="1744" spans="1:2">
      <c r="A1744"/>
      <c r="B1744"/>
    </row>
    <row r="1745" spans="1:2">
      <c r="A1745"/>
      <c r="B1745"/>
    </row>
    <row r="1746" spans="1:2">
      <c r="A1746"/>
      <c r="B1746"/>
    </row>
    <row r="1747" spans="1:2">
      <c r="A1747"/>
      <c r="B1747"/>
    </row>
    <row r="1748" spans="1:2">
      <c r="A1748"/>
      <c r="B1748"/>
    </row>
    <row r="1749" spans="1:2">
      <c r="A1749"/>
      <c r="B1749"/>
    </row>
    <row r="1750" spans="1:2">
      <c r="A1750"/>
      <c r="B1750"/>
    </row>
    <row r="1751" spans="1:2">
      <c r="A1751"/>
      <c r="B1751"/>
    </row>
    <row r="1752" spans="1:2">
      <c r="A1752"/>
      <c r="B1752"/>
    </row>
    <row r="1753" spans="1:2">
      <c r="A1753"/>
      <c r="B1753"/>
    </row>
    <row r="1754" spans="1:2">
      <c r="A1754"/>
      <c r="B1754"/>
    </row>
    <row r="1755" spans="1:2">
      <c r="A1755"/>
      <c r="B1755"/>
    </row>
    <row r="1756" spans="1:2">
      <c r="A1756"/>
      <c r="B1756"/>
    </row>
    <row r="1757" spans="1:2">
      <c r="A1757"/>
      <c r="B1757"/>
    </row>
    <row r="1758" spans="1:2">
      <c r="A1758"/>
      <c r="B1758"/>
    </row>
    <row r="1759" spans="1:2">
      <c r="A1759"/>
      <c r="B1759"/>
    </row>
    <row r="1760" spans="1:2">
      <c r="A1760"/>
      <c r="B1760"/>
    </row>
    <row r="1761" spans="1:2">
      <c r="A1761"/>
      <c r="B1761"/>
    </row>
    <row r="1762" spans="1:2">
      <c r="A1762"/>
      <c r="B1762"/>
    </row>
    <row r="1763" spans="1:2">
      <c r="A1763"/>
      <c r="B1763"/>
    </row>
    <row r="1764" spans="1:2">
      <c r="A1764"/>
      <c r="B1764"/>
    </row>
    <row r="1765" spans="1:2">
      <c r="A1765"/>
      <c r="B1765"/>
    </row>
    <row r="1766" spans="1:2">
      <c r="A1766"/>
      <c r="B1766"/>
    </row>
    <row r="1767" spans="1:2">
      <c r="A1767"/>
      <c r="B1767"/>
    </row>
    <row r="1768" spans="1:2">
      <c r="A1768"/>
      <c r="B1768"/>
    </row>
    <row r="1769" spans="1:2">
      <c r="A1769"/>
      <c r="B1769"/>
    </row>
    <row r="1770" spans="1:2">
      <c r="A1770"/>
      <c r="B1770"/>
    </row>
    <row r="1771" spans="1:2">
      <c r="A1771"/>
      <c r="B1771"/>
    </row>
    <row r="1772" spans="1:2">
      <c r="A1772"/>
      <c r="B1772"/>
    </row>
    <row r="1773" spans="1:2">
      <c r="A1773"/>
      <c r="B1773"/>
    </row>
    <row r="1774" spans="1:2">
      <c r="A1774"/>
      <c r="B1774"/>
    </row>
    <row r="1775" spans="1:2">
      <c r="A1775"/>
      <c r="B1775"/>
    </row>
    <row r="1776" spans="1:2">
      <c r="A1776"/>
      <c r="B1776"/>
    </row>
    <row r="1777" spans="1:2">
      <c r="A1777"/>
      <c r="B1777"/>
    </row>
    <row r="1778" spans="1:2">
      <c r="A1778"/>
      <c r="B1778"/>
    </row>
    <row r="1779" spans="1:2">
      <c r="A1779"/>
      <c r="B1779"/>
    </row>
    <row r="1780" spans="1:2">
      <c r="A1780"/>
      <c r="B1780"/>
    </row>
    <row r="1781" spans="1:2">
      <c r="A1781"/>
      <c r="B1781"/>
    </row>
    <row r="1782" spans="1:2">
      <c r="A1782"/>
      <c r="B1782"/>
    </row>
    <row r="1783" spans="1:2">
      <c r="A1783"/>
      <c r="B1783"/>
    </row>
    <row r="1784" spans="1:2">
      <c r="A1784"/>
      <c r="B1784"/>
    </row>
    <row r="1785" spans="1:2">
      <c r="A1785"/>
      <c r="B1785"/>
    </row>
    <row r="1786" spans="1:2">
      <c r="A1786"/>
      <c r="B1786"/>
    </row>
    <row r="1787" spans="1:2">
      <c r="A1787"/>
      <c r="B1787"/>
    </row>
    <row r="1788" spans="1:2">
      <c r="A1788"/>
      <c r="B1788"/>
    </row>
    <row r="1789" spans="1:2">
      <c r="A1789"/>
      <c r="B1789"/>
    </row>
    <row r="1790" spans="1:2">
      <c r="A1790"/>
      <c r="B1790"/>
    </row>
    <row r="1791" spans="1:2">
      <c r="A1791"/>
      <c r="B1791"/>
    </row>
    <row r="1792" spans="1:2">
      <c r="A1792"/>
      <c r="B1792"/>
    </row>
    <row r="1793" spans="1:2">
      <c r="A1793"/>
      <c r="B1793"/>
    </row>
    <row r="1794" spans="1:2">
      <c r="A1794"/>
      <c r="B1794"/>
    </row>
    <row r="1795" spans="1:2">
      <c r="A1795"/>
      <c r="B1795"/>
    </row>
    <row r="1796" spans="1:2">
      <c r="A1796"/>
      <c r="B1796"/>
    </row>
    <row r="1797" spans="1:2">
      <c r="A1797"/>
      <c r="B1797"/>
    </row>
    <row r="1798" spans="1:2">
      <c r="A1798"/>
      <c r="B1798"/>
    </row>
    <row r="1799" spans="1:2">
      <c r="A1799"/>
      <c r="B1799"/>
    </row>
    <row r="1800" spans="1:2">
      <c r="A1800"/>
      <c r="B1800"/>
    </row>
    <row r="1801" spans="1:2">
      <c r="A1801"/>
      <c r="B1801"/>
    </row>
    <row r="1802" spans="1:2">
      <c r="A1802"/>
      <c r="B1802"/>
    </row>
    <row r="1803" spans="1:2">
      <c r="A1803"/>
      <c r="B1803"/>
    </row>
    <row r="1804" spans="1:2">
      <c r="A1804"/>
      <c r="B1804"/>
    </row>
    <row r="1805" spans="1:2">
      <c r="A1805"/>
      <c r="B1805"/>
    </row>
    <row r="1806" spans="1:2">
      <c r="A1806"/>
      <c r="B1806"/>
    </row>
    <row r="1807" spans="1:2">
      <c r="A1807"/>
      <c r="B1807"/>
    </row>
    <row r="1808" spans="1:2">
      <c r="A1808"/>
      <c r="B1808"/>
    </row>
    <row r="1809" spans="1:2">
      <c r="A1809"/>
      <c r="B1809"/>
    </row>
    <row r="1810" spans="1:2">
      <c r="A1810"/>
      <c r="B1810"/>
    </row>
    <row r="1811" spans="1:2">
      <c r="A1811"/>
      <c r="B1811"/>
    </row>
    <row r="1812" spans="1:2">
      <c r="A1812"/>
      <c r="B1812"/>
    </row>
    <row r="1813" spans="1:2">
      <c r="A1813"/>
      <c r="B1813"/>
    </row>
    <row r="1814" spans="1:2">
      <c r="A1814"/>
      <c r="B1814"/>
    </row>
    <row r="1815" spans="1:2">
      <c r="A1815"/>
      <c r="B1815"/>
    </row>
    <row r="1816" spans="1:2">
      <c r="A1816"/>
      <c r="B1816"/>
    </row>
    <row r="1817" spans="1:2">
      <c r="A1817"/>
      <c r="B1817"/>
    </row>
    <row r="1818" spans="1:2">
      <c r="A1818"/>
      <c r="B1818"/>
    </row>
    <row r="1819" spans="1:2">
      <c r="A1819"/>
      <c r="B1819"/>
    </row>
    <row r="1820" spans="1:2">
      <c r="A1820"/>
      <c r="B1820"/>
    </row>
    <row r="1821" spans="1:2">
      <c r="A1821"/>
      <c r="B1821"/>
    </row>
    <row r="1822" spans="1:2">
      <c r="A1822"/>
      <c r="B1822"/>
    </row>
    <row r="1823" spans="1:2">
      <c r="A1823"/>
      <c r="B1823"/>
    </row>
    <row r="1824" spans="1:2">
      <c r="A1824"/>
      <c r="B1824"/>
    </row>
    <row r="1825" spans="1:2">
      <c r="A1825"/>
      <c r="B1825"/>
    </row>
    <row r="1826" spans="1:2">
      <c r="A1826"/>
      <c r="B1826"/>
    </row>
    <row r="1827" spans="1:2">
      <c r="A1827"/>
      <c r="B1827"/>
    </row>
    <row r="1828" spans="1:2">
      <c r="A1828"/>
      <c r="B1828"/>
    </row>
    <row r="1829" spans="1:2">
      <c r="A1829"/>
      <c r="B1829"/>
    </row>
    <row r="1830" spans="1:2">
      <c r="A1830"/>
      <c r="B1830"/>
    </row>
    <row r="1831" spans="1:2">
      <c r="A1831"/>
      <c r="B1831"/>
    </row>
    <row r="1832" spans="1:2">
      <c r="A1832"/>
      <c r="B1832"/>
    </row>
    <row r="1833" spans="1:2">
      <c r="A1833"/>
      <c r="B1833"/>
    </row>
    <row r="1834" spans="1:2">
      <c r="A1834"/>
      <c r="B1834"/>
    </row>
    <row r="1835" spans="1:2">
      <c r="A1835"/>
      <c r="B1835"/>
    </row>
    <row r="1836" spans="1:2">
      <c r="A1836"/>
      <c r="B1836"/>
    </row>
    <row r="1837" spans="1:2">
      <c r="A1837"/>
      <c r="B1837"/>
    </row>
    <row r="1838" spans="1:2">
      <c r="A1838"/>
      <c r="B1838"/>
    </row>
    <row r="1839" spans="1:2">
      <c r="A1839"/>
      <c r="B1839"/>
    </row>
    <row r="1840" spans="1:2">
      <c r="A1840"/>
      <c r="B1840"/>
    </row>
    <row r="1841" spans="1:2">
      <c r="A1841"/>
      <c r="B1841"/>
    </row>
    <row r="1842" spans="1:2">
      <c r="A1842"/>
      <c r="B1842"/>
    </row>
    <row r="1843" spans="1:2">
      <c r="A1843"/>
      <c r="B1843"/>
    </row>
    <row r="1844" spans="1:2">
      <c r="A1844"/>
      <c r="B1844"/>
    </row>
    <row r="1845" spans="1:2">
      <c r="A1845"/>
      <c r="B1845"/>
    </row>
    <row r="1846" spans="1:2">
      <c r="A1846"/>
      <c r="B1846"/>
    </row>
    <row r="1847" spans="1:2">
      <c r="A1847"/>
      <c r="B1847"/>
    </row>
    <row r="1848" spans="1:2">
      <c r="A1848"/>
      <c r="B1848"/>
    </row>
    <row r="1849" spans="1:2">
      <c r="A1849"/>
      <c r="B1849"/>
    </row>
    <row r="1850" spans="1:2">
      <c r="A1850"/>
      <c r="B1850"/>
    </row>
    <row r="1851" spans="1:2">
      <c r="A1851"/>
      <c r="B1851"/>
    </row>
    <row r="1852" spans="1:2">
      <c r="A1852"/>
      <c r="B1852"/>
    </row>
    <row r="1853" spans="1:2">
      <c r="A1853"/>
      <c r="B1853"/>
    </row>
    <row r="1854" spans="1:2">
      <c r="A1854"/>
      <c r="B1854"/>
    </row>
    <row r="1855" spans="1:2">
      <c r="A1855"/>
      <c r="B1855"/>
    </row>
    <row r="1856" spans="1:2">
      <c r="A1856"/>
      <c r="B1856"/>
    </row>
    <row r="1857" spans="1:2">
      <c r="A1857"/>
      <c r="B1857"/>
    </row>
    <row r="1858" spans="1:2">
      <c r="A1858"/>
      <c r="B1858"/>
    </row>
    <row r="1859" spans="1:2">
      <c r="A1859"/>
      <c r="B1859"/>
    </row>
    <row r="1860" spans="1:2">
      <c r="A1860"/>
      <c r="B1860"/>
    </row>
    <row r="1861" spans="1:2">
      <c r="A1861"/>
      <c r="B1861"/>
    </row>
    <row r="1862" spans="1:2">
      <c r="A1862"/>
      <c r="B1862"/>
    </row>
    <row r="1863" spans="1:2">
      <c r="A1863"/>
      <c r="B1863"/>
    </row>
    <row r="1864" spans="1:2">
      <c r="A1864"/>
      <c r="B1864"/>
    </row>
    <row r="1865" spans="1:2">
      <c r="A1865"/>
      <c r="B1865"/>
    </row>
    <row r="1866" spans="1:2">
      <c r="A1866"/>
      <c r="B1866"/>
    </row>
    <row r="1867" spans="1:2">
      <c r="A1867"/>
      <c r="B1867"/>
    </row>
    <row r="1868" spans="1:2">
      <c r="A1868"/>
      <c r="B1868"/>
    </row>
    <row r="1869" spans="1:2">
      <c r="A1869"/>
      <c r="B1869"/>
    </row>
    <row r="1870" spans="1:2">
      <c r="A1870"/>
      <c r="B1870"/>
    </row>
    <row r="1871" spans="1:2">
      <c r="A1871"/>
      <c r="B1871"/>
    </row>
    <row r="1872" spans="1:2">
      <c r="A1872"/>
      <c r="B1872"/>
    </row>
    <row r="1873" spans="1:2">
      <c r="A1873"/>
      <c r="B1873"/>
    </row>
    <row r="1874" spans="1:2">
      <c r="A1874"/>
      <c r="B1874"/>
    </row>
    <row r="1875" spans="1:2">
      <c r="A1875"/>
      <c r="B1875"/>
    </row>
    <row r="1876" spans="1:2">
      <c r="A1876"/>
      <c r="B1876"/>
    </row>
    <row r="1877" spans="1:2">
      <c r="A1877"/>
      <c r="B1877"/>
    </row>
    <row r="1878" spans="1:2">
      <c r="A1878"/>
      <c r="B1878"/>
    </row>
    <row r="1879" spans="1:2">
      <c r="A1879"/>
      <c r="B1879"/>
    </row>
    <row r="1880" spans="1:2">
      <c r="A1880"/>
      <c r="B1880"/>
    </row>
    <row r="1881" spans="1:2">
      <c r="A1881"/>
      <c r="B1881"/>
    </row>
    <row r="1882" spans="1:2">
      <c r="A1882"/>
      <c r="B1882"/>
    </row>
    <row r="1883" spans="1:2">
      <c r="A1883"/>
      <c r="B1883"/>
    </row>
    <row r="1884" spans="1:2">
      <c r="A1884"/>
      <c r="B1884"/>
    </row>
    <row r="1885" spans="1:2">
      <c r="A1885"/>
      <c r="B1885"/>
    </row>
    <row r="1886" spans="1:2">
      <c r="A1886"/>
      <c r="B1886"/>
    </row>
    <row r="1887" spans="1:2">
      <c r="A1887"/>
      <c r="B1887"/>
    </row>
    <row r="1888" spans="1:2">
      <c r="A1888"/>
      <c r="B1888"/>
    </row>
    <row r="1889" spans="1:2">
      <c r="A1889"/>
      <c r="B1889"/>
    </row>
    <row r="1890" spans="1:2">
      <c r="A1890"/>
      <c r="B1890"/>
    </row>
    <row r="1891" spans="1:2">
      <c r="A1891"/>
      <c r="B1891"/>
    </row>
    <row r="1892" spans="1:2">
      <c r="A1892"/>
      <c r="B1892"/>
    </row>
    <row r="1893" spans="1:2">
      <c r="A1893"/>
      <c r="B1893"/>
    </row>
    <row r="1894" spans="1:2">
      <c r="A1894"/>
      <c r="B1894"/>
    </row>
    <row r="1895" spans="1:2">
      <c r="A1895"/>
      <c r="B1895"/>
    </row>
    <row r="1896" spans="1:2">
      <c r="A1896"/>
      <c r="B1896"/>
    </row>
    <row r="1897" spans="1:2">
      <c r="A1897"/>
      <c r="B1897"/>
    </row>
    <row r="1898" spans="1:2">
      <c r="A1898"/>
      <c r="B1898"/>
    </row>
    <row r="1899" spans="1:2">
      <c r="A1899"/>
      <c r="B1899"/>
    </row>
    <row r="1900" spans="1:2">
      <c r="A1900"/>
      <c r="B1900"/>
    </row>
    <row r="1901" spans="1:2">
      <c r="A1901"/>
      <c r="B1901"/>
    </row>
    <row r="1902" spans="1:2">
      <c r="A1902"/>
      <c r="B1902"/>
    </row>
    <row r="1903" spans="1:2">
      <c r="A1903"/>
      <c r="B1903"/>
    </row>
    <row r="1904" spans="1:2">
      <c r="A1904"/>
      <c r="B1904"/>
    </row>
    <row r="1905" spans="1:2">
      <c r="A1905"/>
      <c r="B1905"/>
    </row>
    <row r="1906" spans="1:2">
      <c r="A1906"/>
      <c r="B1906"/>
    </row>
    <row r="1907" spans="1:2">
      <c r="A1907"/>
      <c r="B1907"/>
    </row>
    <row r="1908" spans="1:2">
      <c r="A1908"/>
      <c r="B1908"/>
    </row>
    <row r="1909" spans="1:2">
      <c r="A1909"/>
      <c r="B1909"/>
    </row>
    <row r="1910" spans="1:2">
      <c r="A1910"/>
      <c r="B1910"/>
    </row>
    <row r="1911" spans="1:2">
      <c r="A1911"/>
      <c r="B1911"/>
    </row>
    <row r="1912" spans="1:2">
      <c r="A1912"/>
      <c r="B1912"/>
    </row>
    <row r="1913" spans="1:2">
      <c r="A1913"/>
      <c r="B1913"/>
    </row>
    <row r="1914" spans="1:2">
      <c r="A1914"/>
      <c r="B1914"/>
    </row>
    <row r="1915" spans="1:2">
      <c r="A1915"/>
      <c r="B1915"/>
    </row>
    <row r="1916" spans="1:2">
      <c r="A1916"/>
      <c r="B1916"/>
    </row>
    <row r="1917" spans="1:2">
      <c r="A1917"/>
      <c r="B1917"/>
    </row>
    <row r="1918" spans="1:2">
      <c r="A1918"/>
      <c r="B1918"/>
    </row>
    <row r="1919" spans="1:2">
      <c r="A1919"/>
      <c r="B1919"/>
    </row>
    <row r="1920" spans="1:2">
      <c r="A1920"/>
      <c r="B1920"/>
    </row>
    <row r="1921" spans="1:2">
      <c r="A1921"/>
      <c r="B1921"/>
    </row>
    <row r="1922" spans="1:2">
      <c r="A1922"/>
      <c r="B1922"/>
    </row>
    <row r="1923" spans="1:2">
      <c r="A1923"/>
      <c r="B1923"/>
    </row>
    <row r="1924" spans="1:2">
      <c r="A1924"/>
      <c r="B1924"/>
    </row>
    <row r="1925" spans="1:2">
      <c r="A1925"/>
      <c r="B1925"/>
    </row>
    <row r="1926" spans="1:2">
      <c r="A1926"/>
      <c r="B1926"/>
    </row>
    <row r="1927" spans="1:2">
      <c r="A1927"/>
      <c r="B1927"/>
    </row>
    <row r="1928" spans="1:2">
      <c r="A1928"/>
      <c r="B1928"/>
    </row>
    <row r="1929" spans="1:2">
      <c r="A1929"/>
      <c r="B1929"/>
    </row>
    <row r="1930" spans="1:2">
      <c r="A1930"/>
      <c r="B1930"/>
    </row>
    <row r="1931" spans="1:2">
      <c r="A1931"/>
      <c r="B1931"/>
    </row>
    <row r="1932" spans="1:2">
      <c r="A1932"/>
      <c r="B1932"/>
    </row>
    <row r="1933" spans="1:2">
      <c r="A1933"/>
      <c r="B1933"/>
    </row>
    <row r="1934" spans="1:2">
      <c r="A1934"/>
      <c r="B1934"/>
    </row>
    <row r="1935" spans="1:2">
      <c r="A1935"/>
      <c r="B1935"/>
    </row>
    <row r="1936" spans="1:2">
      <c r="A1936"/>
      <c r="B1936"/>
    </row>
    <row r="1937" spans="1:2">
      <c r="A1937"/>
      <c r="B1937"/>
    </row>
    <row r="1938" spans="1:2">
      <c r="A1938"/>
      <c r="B1938"/>
    </row>
    <row r="1939" spans="1:2">
      <c r="A1939"/>
      <c r="B1939"/>
    </row>
    <row r="1940" spans="1:2">
      <c r="A1940"/>
      <c r="B1940"/>
    </row>
    <row r="1941" spans="1:2">
      <c r="A1941"/>
      <c r="B1941"/>
    </row>
    <row r="1942" spans="1:2">
      <c r="A1942"/>
      <c r="B1942"/>
    </row>
    <row r="1943" spans="1:2">
      <c r="A1943"/>
      <c r="B1943"/>
    </row>
    <row r="1944" spans="1:2">
      <c r="A1944"/>
      <c r="B1944"/>
    </row>
    <row r="1945" spans="1:2">
      <c r="A1945"/>
      <c r="B1945"/>
    </row>
    <row r="1946" spans="1:2">
      <c r="A1946"/>
      <c r="B1946"/>
    </row>
    <row r="1947" spans="1:2">
      <c r="A1947"/>
      <c r="B1947"/>
    </row>
    <row r="1948" spans="1:2">
      <c r="A1948"/>
      <c r="B1948"/>
    </row>
    <row r="1949" spans="1:2">
      <c r="A1949"/>
      <c r="B1949"/>
    </row>
    <row r="1950" spans="1:2">
      <c r="A1950"/>
      <c r="B1950"/>
    </row>
    <row r="1951" spans="1:2">
      <c r="A1951"/>
      <c r="B1951"/>
    </row>
    <row r="1952" spans="1:2">
      <c r="A1952"/>
      <c r="B1952"/>
    </row>
    <row r="1953" spans="1:2">
      <c r="A1953"/>
      <c r="B1953"/>
    </row>
    <row r="1954" spans="1:2">
      <c r="A1954"/>
      <c r="B1954"/>
    </row>
    <row r="1955" spans="1:2">
      <c r="A1955"/>
      <c r="B1955"/>
    </row>
    <row r="1956" spans="1:2">
      <c r="A1956"/>
      <c r="B1956"/>
    </row>
    <row r="1957" spans="1:2">
      <c r="A1957"/>
      <c r="B1957"/>
    </row>
    <row r="1958" spans="1:2">
      <c r="A1958"/>
      <c r="B1958"/>
    </row>
    <row r="1959" spans="1:2">
      <c r="A1959"/>
      <c r="B1959"/>
    </row>
    <row r="1960" spans="1:2">
      <c r="A1960"/>
      <c r="B1960"/>
    </row>
    <row r="1961" spans="1:2">
      <c r="A1961"/>
      <c r="B1961"/>
    </row>
    <row r="1962" spans="1:2">
      <c r="A1962"/>
      <c r="B1962"/>
    </row>
    <row r="1963" spans="1:2">
      <c r="A1963"/>
      <c r="B1963"/>
    </row>
    <row r="1964" spans="1:2">
      <c r="A1964"/>
      <c r="B1964"/>
    </row>
    <row r="1965" spans="1:2">
      <c r="A1965"/>
      <c r="B1965"/>
    </row>
    <row r="1966" spans="1:2">
      <c r="A1966"/>
      <c r="B1966"/>
    </row>
    <row r="1967" spans="1:2">
      <c r="A1967"/>
      <c r="B1967"/>
    </row>
    <row r="1968" spans="1:2">
      <c r="A1968"/>
      <c r="B1968"/>
    </row>
    <row r="1969" spans="1:2">
      <c r="A1969"/>
      <c r="B1969"/>
    </row>
    <row r="1970" spans="1:2">
      <c r="A1970"/>
      <c r="B1970"/>
    </row>
    <row r="1971" spans="1:2">
      <c r="A1971"/>
      <c r="B1971"/>
    </row>
    <row r="1972" spans="1:2">
      <c r="A1972"/>
      <c r="B1972"/>
    </row>
    <row r="1973" spans="1:2">
      <c r="A1973"/>
      <c r="B1973"/>
    </row>
    <row r="1974" spans="1:2">
      <c r="A1974"/>
      <c r="B1974"/>
    </row>
    <row r="1975" spans="1:2">
      <c r="A1975"/>
      <c r="B1975"/>
    </row>
    <row r="1976" spans="1:2">
      <c r="A1976"/>
      <c r="B1976"/>
    </row>
    <row r="1977" spans="1:2">
      <c r="A1977"/>
      <c r="B1977"/>
    </row>
    <row r="1978" spans="1:2">
      <c r="A1978"/>
      <c r="B1978"/>
    </row>
    <row r="1979" spans="1:2">
      <c r="A1979"/>
      <c r="B1979"/>
    </row>
    <row r="1980" spans="1:2">
      <c r="A1980"/>
      <c r="B1980"/>
    </row>
    <row r="1981" spans="1:2">
      <c r="A1981"/>
      <c r="B1981"/>
    </row>
    <row r="1982" spans="1:2">
      <c r="A1982"/>
      <c r="B1982"/>
    </row>
    <row r="1983" spans="1:2">
      <c r="A1983"/>
      <c r="B1983"/>
    </row>
    <row r="1984" spans="1:2">
      <c r="A1984"/>
      <c r="B1984"/>
    </row>
    <row r="1985" spans="1:2">
      <c r="A1985"/>
      <c r="B1985"/>
    </row>
    <row r="1986" spans="1:2">
      <c r="A1986"/>
      <c r="B1986"/>
    </row>
    <row r="1987" spans="1:2">
      <c r="A1987"/>
      <c r="B1987"/>
    </row>
    <row r="1988" spans="1:2">
      <c r="A1988"/>
      <c r="B1988"/>
    </row>
    <row r="1989" spans="1:2">
      <c r="A1989"/>
      <c r="B1989"/>
    </row>
    <row r="1990" spans="1:2">
      <c r="A1990"/>
      <c r="B1990"/>
    </row>
    <row r="1991" spans="1:2">
      <c r="A1991"/>
      <c r="B1991"/>
    </row>
    <row r="1992" spans="1:2">
      <c r="A1992"/>
      <c r="B1992"/>
    </row>
    <row r="1993" spans="1:2">
      <c r="A1993"/>
      <c r="B1993"/>
    </row>
    <row r="1994" spans="1:2">
      <c r="A1994"/>
      <c r="B1994"/>
    </row>
    <row r="1995" spans="1:2">
      <c r="A1995"/>
      <c r="B1995"/>
    </row>
    <row r="1996" spans="1:2">
      <c r="A1996"/>
      <c r="B1996"/>
    </row>
    <row r="1997" spans="1:2">
      <c r="A1997"/>
      <c r="B1997"/>
    </row>
    <row r="1998" spans="1:2">
      <c r="A1998"/>
      <c r="B1998"/>
    </row>
    <row r="1999" spans="1:2">
      <c r="A1999"/>
      <c r="B1999"/>
    </row>
    <row r="2000" spans="1:2">
      <c r="A2000"/>
      <c r="B2000"/>
    </row>
    <row r="2001" spans="1:2">
      <c r="A2001"/>
      <c r="B2001"/>
    </row>
    <row r="2002" spans="1:2">
      <c r="A2002"/>
      <c r="B2002"/>
    </row>
    <row r="2003" spans="1:2">
      <c r="A2003"/>
      <c r="B2003"/>
    </row>
    <row r="2004" spans="1:2">
      <c r="A2004"/>
      <c r="B2004"/>
    </row>
    <row r="2005" spans="1:2">
      <c r="A2005"/>
      <c r="B2005"/>
    </row>
    <row r="2006" spans="1:2">
      <c r="A2006"/>
      <c r="B2006"/>
    </row>
    <row r="2007" spans="1:2">
      <c r="A2007"/>
      <c r="B2007"/>
    </row>
    <row r="2008" spans="1:2">
      <c r="A2008"/>
      <c r="B2008"/>
    </row>
    <row r="2009" spans="1:2">
      <c r="A2009"/>
      <c r="B2009"/>
    </row>
    <row r="2010" spans="1:2">
      <c r="A2010"/>
      <c r="B2010"/>
    </row>
    <row r="2011" spans="1:2">
      <c r="A2011"/>
      <c r="B2011"/>
    </row>
    <row r="2012" spans="1:2">
      <c r="A2012"/>
      <c r="B2012"/>
    </row>
    <row r="2013" spans="1:2">
      <c r="A2013"/>
      <c r="B2013"/>
    </row>
    <row r="2014" spans="1:2">
      <c r="A2014"/>
      <c r="B2014"/>
    </row>
    <row r="2015" spans="1:2">
      <c r="A2015"/>
      <c r="B2015"/>
    </row>
    <row r="2016" spans="1:2">
      <c r="A2016"/>
      <c r="B2016"/>
    </row>
    <row r="2017" spans="1:2">
      <c r="A2017"/>
      <c r="B2017"/>
    </row>
    <row r="2018" spans="1:2">
      <c r="A2018"/>
      <c r="B2018"/>
    </row>
    <row r="2019" spans="1:2">
      <c r="A2019"/>
      <c r="B2019"/>
    </row>
    <row r="2020" spans="1:2">
      <c r="A2020"/>
      <c r="B2020"/>
    </row>
    <row r="2021" spans="1:2">
      <c r="A2021"/>
      <c r="B2021"/>
    </row>
    <row r="2022" spans="1:2">
      <c r="A2022"/>
      <c r="B2022"/>
    </row>
    <row r="2023" spans="1:2">
      <c r="A2023"/>
      <c r="B2023"/>
    </row>
    <row r="2024" spans="1:2">
      <c r="A2024"/>
      <c r="B2024"/>
    </row>
    <row r="2025" spans="1:2">
      <c r="A2025"/>
      <c r="B2025"/>
    </row>
    <row r="2026" spans="1:2">
      <c r="A2026"/>
      <c r="B2026"/>
    </row>
    <row r="2027" spans="1:2">
      <c r="A2027"/>
      <c r="B2027"/>
    </row>
    <row r="2028" spans="1:2">
      <c r="A2028"/>
      <c r="B2028"/>
    </row>
    <row r="2029" spans="1:2">
      <c r="A2029"/>
      <c r="B2029"/>
    </row>
    <row r="2030" spans="1:2">
      <c r="A2030"/>
      <c r="B2030"/>
    </row>
    <row r="2031" spans="1:2">
      <c r="A2031"/>
      <c r="B2031"/>
    </row>
    <row r="2032" spans="1:2">
      <c r="A2032"/>
      <c r="B2032"/>
    </row>
    <row r="2033" spans="1:2">
      <c r="A2033"/>
      <c r="B2033"/>
    </row>
    <row r="2034" spans="1:2">
      <c r="A2034"/>
      <c r="B2034"/>
    </row>
    <row r="2035" spans="1:2">
      <c r="A2035"/>
      <c r="B2035"/>
    </row>
    <row r="2036" spans="1:2">
      <c r="A2036"/>
      <c r="B203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CB7A-63C4-43D8-9F7C-148C8901B8F6}">
  <dimension ref="A1:X4"/>
  <sheetViews>
    <sheetView workbookViewId="0"/>
  </sheetViews>
  <sheetFormatPr defaultRowHeight="15"/>
  <cols>
    <col min="1" max="1" width="21" bestFit="1" customWidth="1"/>
    <col min="2" max="2" width="102.42578125" bestFit="1" customWidth="1"/>
    <col min="4" max="4" width="12.42578125" bestFit="1" customWidth="1"/>
    <col min="5" max="5" width="9.28515625" bestFit="1" customWidth="1"/>
    <col min="6" max="6" width="16.140625" bestFit="1" customWidth="1"/>
    <col min="7" max="7" width="19.5703125" bestFit="1" customWidth="1"/>
    <col min="8" max="8" width="13" bestFit="1" customWidth="1"/>
    <col min="9" max="9" width="17.42578125" bestFit="1" customWidth="1"/>
    <col min="10" max="10" width="15" bestFit="1" customWidth="1"/>
    <col min="11" max="11" width="19.42578125" bestFit="1" customWidth="1"/>
    <col min="12" max="12" width="10.42578125" bestFit="1" customWidth="1"/>
    <col min="15" max="15" width="11.42578125" bestFit="1" customWidth="1"/>
    <col min="16" max="16" width="24.42578125" bestFit="1" customWidth="1"/>
    <col min="18" max="20" width="10.85546875" bestFit="1" customWidth="1"/>
    <col min="21" max="21" width="14.42578125" bestFit="1" customWidth="1"/>
    <col min="22" max="22" width="12.85546875" bestFit="1" customWidth="1"/>
    <col min="23" max="23" width="23.42578125" bestFit="1" customWidth="1"/>
    <col min="24" max="24" width="18.7109375" bestFit="1" customWidth="1"/>
  </cols>
  <sheetData>
    <row r="1" spans="1:24">
      <c r="A1" s="40" t="s">
        <v>8251</v>
      </c>
    </row>
    <row r="3" spans="1:24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4</v>
      </c>
      <c r="S3" t="s">
        <v>26</v>
      </c>
      <c r="T3" t="s">
        <v>27</v>
      </c>
      <c r="U3" t="s">
        <v>28</v>
      </c>
      <c r="V3" t="s">
        <v>3</v>
      </c>
      <c r="W3" t="s">
        <v>29</v>
      </c>
      <c r="X3" t="s">
        <v>30</v>
      </c>
    </row>
    <row r="4" spans="1:24">
      <c r="A4" t="s">
        <v>31</v>
      </c>
      <c r="B4" t="s">
        <v>2427</v>
      </c>
      <c r="C4" t="s">
        <v>2428</v>
      </c>
      <c r="D4">
        <v>-1</v>
      </c>
      <c r="E4" t="s">
        <v>34</v>
      </c>
      <c r="F4" t="s">
        <v>2161</v>
      </c>
      <c r="G4" t="s">
        <v>2429</v>
      </c>
      <c r="H4" t="s">
        <v>37</v>
      </c>
      <c r="I4" t="s">
        <v>38</v>
      </c>
      <c r="J4" t="s">
        <v>2430</v>
      </c>
      <c r="K4" t="s">
        <v>2431</v>
      </c>
      <c r="L4">
        <v>169130.97</v>
      </c>
      <c r="M4">
        <v>0</v>
      </c>
      <c r="N4">
        <v>0</v>
      </c>
      <c r="O4">
        <v>1059293.97</v>
      </c>
      <c r="P4" t="s">
        <v>41</v>
      </c>
      <c r="Q4" t="s">
        <v>42</v>
      </c>
      <c r="U4" t="s">
        <v>43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41C0-0915-4D0C-9D6B-9CDBF68366AA}">
  <dimension ref="A1:D1674"/>
  <sheetViews>
    <sheetView tabSelected="1" topLeftCell="A21" workbookViewId="0">
      <selection activeCell="C6" sqref="C6"/>
    </sheetView>
  </sheetViews>
  <sheetFormatPr defaultColWidth="9.140625" defaultRowHeight="15"/>
  <cols>
    <col min="1" max="1" width="91.5703125" style="23" bestFit="1" customWidth="1"/>
    <col min="2" max="2" width="10" style="20" bestFit="1" customWidth="1"/>
    <col min="3" max="3" width="21.42578125" bestFit="1" customWidth="1"/>
    <col min="4" max="4" width="18.28515625" bestFit="1" customWidth="1"/>
  </cols>
  <sheetData>
    <row r="1" spans="1:4">
      <c r="A1" s="22" t="s">
        <v>28</v>
      </c>
      <c r="B1" s="20" t="s">
        <v>43</v>
      </c>
    </row>
    <row r="3" spans="1:4">
      <c r="A3" s="22" t="s">
        <v>19</v>
      </c>
      <c r="B3" s="21" t="s">
        <v>11</v>
      </c>
      <c r="C3" t="s">
        <v>8252</v>
      </c>
      <c r="D3" t="s">
        <v>7525</v>
      </c>
    </row>
    <row r="4" spans="1:4">
      <c r="A4" t="s">
        <v>1809</v>
      </c>
      <c r="B4" t="s">
        <v>5792</v>
      </c>
      <c r="C4">
        <v>1</v>
      </c>
      <c r="D4" s="19">
        <v>483140</v>
      </c>
    </row>
    <row r="5" spans="1:4">
      <c r="A5" s="20" t="s">
        <v>7869</v>
      </c>
      <c r="C5">
        <v>1</v>
      </c>
      <c r="D5" s="19">
        <v>483140</v>
      </c>
    </row>
    <row r="6" spans="1:4">
      <c r="A6" t="s">
        <v>2431</v>
      </c>
      <c r="B6" t="s">
        <v>2428</v>
      </c>
      <c r="C6">
        <v>1</v>
      </c>
      <c r="D6" s="19">
        <v>1059293.97</v>
      </c>
    </row>
    <row r="7" spans="1:4">
      <c r="A7"/>
      <c r="B7" t="s">
        <v>3339</v>
      </c>
      <c r="C7">
        <v>1</v>
      </c>
      <c r="D7" s="19">
        <v>3213000</v>
      </c>
    </row>
    <row r="8" spans="1:4">
      <c r="A8"/>
      <c r="B8" t="s">
        <v>3344</v>
      </c>
      <c r="C8">
        <v>1</v>
      </c>
      <c r="D8" s="19">
        <v>2600000</v>
      </c>
    </row>
    <row r="9" spans="1:4">
      <c r="A9" s="20" t="s">
        <v>7887</v>
      </c>
      <c r="C9">
        <v>3</v>
      </c>
      <c r="D9" s="19">
        <v>6872293.9699999997</v>
      </c>
    </row>
    <row r="10" spans="1:4">
      <c r="A10" t="s">
        <v>2253</v>
      </c>
      <c r="B10" t="s">
        <v>2305</v>
      </c>
      <c r="C10">
        <v>1</v>
      </c>
      <c r="D10" s="19">
        <v>1382780</v>
      </c>
    </row>
    <row r="11" spans="1:4">
      <c r="A11" s="20" t="s">
        <v>7752</v>
      </c>
      <c r="C11">
        <v>1</v>
      </c>
      <c r="D11" s="19">
        <v>1382780</v>
      </c>
    </row>
    <row r="12" spans="1:4">
      <c r="A12" t="s">
        <v>1819</v>
      </c>
      <c r="B12" t="s">
        <v>5051</v>
      </c>
      <c r="C12">
        <v>1</v>
      </c>
      <c r="D12" s="19">
        <v>246925</v>
      </c>
    </row>
    <row r="13" spans="1:4">
      <c r="A13" s="20" t="s">
        <v>7896</v>
      </c>
      <c r="C13">
        <v>1</v>
      </c>
      <c r="D13" s="19">
        <v>246925</v>
      </c>
    </row>
    <row r="14" spans="1:4">
      <c r="A14" s="23" t="s">
        <v>195</v>
      </c>
      <c r="B14" t="s">
        <v>197</v>
      </c>
      <c r="C14">
        <v>1</v>
      </c>
      <c r="D14" s="19">
        <v>6651505.5999999996</v>
      </c>
    </row>
    <row r="15" spans="1:4">
      <c r="B15" t="s">
        <v>199</v>
      </c>
      <c r="C15">
        <v>1</v>
      </c>
      <c r="D15" s="19">
        <v>39432997.869999997</v>
      </c>
    </row>
    <row r="16" spans="1:4">
      <c r="B16" t="s">
        <v>203</v>
      </c>
      <c r="C16">
        <v>1</v>
      </c>
      <c r="D16" s="19">
        <v>74317600.349999994</v>
      </c>
    </row>
    <row r="17" spans="2:4">
      <c r="B17" t="s">
        <v>207</v>
      </c>
      <c r="C17">
        <v>1</v>
      </c>
      <c r="D17" s="19">
        <v>44351416.619999997</v>
      </c>
    </row>
    <row r="18" spans="2:4">
      <c r="B18" t="s">
        <v>210</v>
      </c>
      <c r="C18">
        <v>1</v>
      </c>
      <c r="D18" s="19">
        <v>129970527.89</v>
      </c>
    </row>
    <row r="19" spans="2:4">
      <c r="B19" t="s">
        <v>223</v>
      </c>
      <c r="C19">
        <v>1</v>
      </c>
      <c r="D19" s="19">
        <v>22876308.699999999</v>
      </c>
    </row>
    <row r="20" spans="2:4">
      <c r="B20" t="s">
        <v>230</v>
      </c>
      <c r="C20">
        <v>1</v>
      </c>
      <c r="D20" s="19">
        <v>19887654.850000001</v>
      </c>
    </row>
    <row r="21" spans="2:4">
      <c r="B21" t="s">
        <v>234</v>
      </c>
      <c r="C21">
        <v>1</v>
      </c>
      <c r="D21" s="19">
        <v>8405629.2599999998</v>
      </c>
    </row>
    <row r="22" spans="2:4">
      <c r="B22" t="s">
        <v>240</v>
      </c>
      <c r="C22">
        <v>1</v>
      </c>
      <c r="D22" s="19">
        <v>58579238.689999998</v>
      </c>
    </row>
    <row r="23" spans="2:4">
      <c r="B23" t="s">
        <v>244</v>
      </c>
      <c r="C23">
        <v>1</v>
      </c>
      <c r="D23" s="19">
        <v>264336057.78999999</v>
      </c>
    </row>
    <row r="24" spans="2:4">
      <c r="B24" t="s">
        <v>248</v>
      </c>
      <c r="C24">
        <v>1</v>
      </c>
      <c r="D24" s="19">
        <v>37015199.899999999</v>
      </c>
    </row>
    <row r="25" spans="2:4">
      <c r="B25" t="s">
        <v>252</v>
      </c>
      <c r="C25">
        <v>1</v>
      </c>
      <c r="D25" s="19">
        <v>12105470.16</v>
      </c>
    </row>
    <row r="26" spans="2:4">
      <c r="B26" t="s">
        <v>256</v>
      </c>
      <c r="C26">
        <v>1</v>
      </c>
      <c r="D26" s="19">
        <v>13537785.1</v>
      </c>
    </row>
    <row r="27" spans="2:4">
      <c r="B27" t="s">
        <v>260</v>
      </c>
      <c r="C27">
        <v>1</v>
      </c>
      <c r="D27" s="19">
        <v>47336561.43</v>
      </c>
    </row>
    <row r="28" spans="2:4">
      <c r="B28" t="s">
        <v>264</v>
      </c>
      <c r="C28">
        <v>1</v>
      </c>
      <c r="D28" s="19">
        <v>40613355.299999997</v>
      </c>
    </row>
    <row r="29" spans="2:4">
      <c r="B29" t="s">
        <v>268</v>
      </c>
      <c r="C29">
        <v>1</v>
      </c>
      <c r="D29" s="19">
        <v>48971895.07</v>
      </c>
    </row>
    <row r="30" spans="2:4">
      <c r="B30" t="s">
        <v>272</v>
      </c>
      <c r="C30">
        <v>1</v>
      </c>
      <c r="D30" s="19">
        <v>43293967.149999999</v>
      </c>
    </row>
    <row r="31" spans="2:4">
      <c r="B31" t="s">
        <v>276</v>
      </c>
      <c r="C31">
        <v>1</v>
      </c>
      <c r="D31" s="19">
        <v>9669126.0399999991</v>
      </c>
    </row>
    <row r="32" spans="2:4">
      <c r="B32" t="s">
        <v>280</v>
      </c>
      <c r="C32">
        <v>1</v>
      </c>
      <c r="D32" s="19">
        <v>29080978.5</v>
      </c>
    </row>
    <row r="33" spans="1:4">
      <c r="B33" t="s">
        <v>2653</v>
      </c>
      <c r="C33">
        <v>1</v>
      </c>
      <c r="D33" s="19">
        <v>28796111.469999999</v>
      </c>
    </row>
    <row r="34" spans="1:4">
      <c r="B34" t="s">
        <v>2662</v>
      </c>
      <c r="C34">
        <v>1</v>
      </c>
      <c r="D34" s="19">
        <v>67008783.380000003</v>
      </c>
    </row>
    <row r="35" spans="1:4">
      <c r="A35" s="23" t="s">
        <v>7553</v>
      </c>
      <c r="B35" s="23"/>
      <c r="C35">
        <v>21</v>
      </c>
      <c r="D35" s="19">
        <v>1046238171.1199999</v>
      </c>
    </row>
    <row r="36" spans="1:4">
      <c r="A36" t="s">
        <v>1978</v>
      </c>
      <c r="B36" t="s">
        <v>4363</v>
      </c>
      <c r="C36">
        <v>1</v>
      </c>
      <c r="D36" s="19">
        <v>12100693.5</v>
      </c>
    </row>
    <row r="37" spans="1:4">
      <c r="A37" s="20" t="s">
        <v>7715</v>
      </c>
      <c r="C37">
        <v>1</v>
      </c>
      <c r="D37" s="19">
        <v>12100693.5</v>
      </c>
    </row>
    <row r="38" spans="1:4">
      <c r="A38" t="s">
        <v>1870</v>
      </c>
      <c r="B38" t="s">
        <v>1867</v>
      </c>
      <c r="C38">
        <v>1</v>
      </c>
      <c r="D38" s="19">
        <v>983178</v>
      </c>
    </row>
    <row r="39" spans="1:4">
      <c r="A39" s="20" t="s">
        <v>7566</v>
      </c>
      <c r="C39">
        <v>1</v>
      </c>
      <c r="D39" s="19">
        <v>983178</v>
      </c>
    </row>
    <row r="40" spans="1:4">
      <c r="A40" t="s">
        <v>4640</v>
      </c>
      <c r="B40" t="s">
        <v>5504</v>
      </c>
      <c r="C40">
        <v>1</v>
      </c>
      <c r="D40" s="19">
        <v>3067848.56</v>
      </c>
    </row>
    <row r="41" spans="1:4">
      <c r="A41" s="20" t="s">
        <v>7717</v>
      </c>
      <c r="C41">
        <v>1</v>
      </c>
      <c r="D41" s="19">
        <v>3067848.56</v>
      </c>
    </row>
    <row r="42" spans="1:4">
      <c r="A42" t="s">
        <v>1723</v>
      </c>
      <c r="B42" t="s">
        <v>2908</v>
      </c>
      <c r="C42">
        <v>1</v>
      </c>
      <c r="D42" s="19">
        <v>116620</v>
      </c>
    </row>
    <row r="43" spans="1:4">
      <c r="A43" s="20" t="s">
        <v>7575</v>
      </c>
      <c r="C43">
        <v>1</v>
      </c>
      <c r="D43" s="19">
        <v>116620</v>
      </c>
    </row>
    <row r="44" spans="1:4">
      <c r="A44" t="s">
        <v>794</v>
      </c>
      <c r="B44" t="s">
        <v>6477</v>
      </c>
      <c r="C44">
        <v>1</v>
      </c>
      <c r="D44" s="19">
        <v>4281620</v>
      </c>
    </row>
    <row r="45" spans="1:4">
      <c r="A45"/>
      <c r="B45" t="s">
        <v>6612</v>
      </c>
      <c r="C45">
        <v>1</v>
      </c>
      <c r="D45" s="19">
        <v>110670</v>
      </c>
    </row>
    <row r="46" spans="1:4">
      <c r="A46" s="20" t="s">
        <v>7579</v>
      </c>
      <c r="C46">
        <v>2</v>
      </c>
      <c r="D46" s="19">
        <v>4392290</v>
      </c>
    </row>
    <row r="47" spans="1:4">
      <c r="A47" t="s">
        <v>1630</v>
      </c>
      <c r="B47">
        <v>106491</v>
      </c>
      <c r="C47">
        <v>1</v>
      </c>
      <c r="D47" s="19">
        <v>119346554.18000001</v>
      </c>
    </row>
    <row r="48" spans="1:4">
      <c r="A48" s="20" t="s">
        <v>7590</v>
      </c>
      <c r="C48">
        <v>1</v>
      </c>
      <c r="D48" s="19">
        <v>119346554.18000001</v>
      </c>
    </row>
    <row r="49" spans="1:4">
      <c r="A49" t="s">
        <v>6448</v>
      </c>
      <c r="B49" t="s">
        <v>6459</v>
      </c>
      <c r="C49">
        <v>1</v>
      </c>
      <c r="D49" s="19">
        <v>374691.03</v>
      </c>
    </row>
    <row r="50" spans="1:4">
      <c r="A50" s="20" t="s">
        <v>7596</v>
      </c>
      <c r="C50">
        <v>1</v>
      </c>
      <c r="D50" s="19">
        <v>374691.03</v>
      </c>
    </row>
    <row r="51" spans="1:4">
      <c r="A51" t="s">
        <v>4612</v>
      </c>
      <c r="B51" t="s">
        <v>4609</v>
      </c>
      <c r="C51">
        <v>1</v>
      </c>
      <c r="D51" s="19">
        <v>1200959.8999999999</v>
      </c>
    </row>
    <row r="52" spans="1:4">
      <c r="A52" t="s">
        <v>8253</v>
      </c>
      <c r="B52"/>
      <c r="C52">
        <v>1</v>
      </c>
      <c r="D52" s="19">
        <v>1200959.8999999999</v>
      </c>
    </row>
    <row r="53" spans="1:4">
      <c r="A53" t="s">
        <v>846</v>
      </c>
      <c r="B53" t="s">
        <v>843</v>
      </c>
      <c r="C53">
        <v>1</v>
      </c>
      <c r="D53" s="19">
        <v>172550</v>
      </c>
    </row>
    <row r="54" spans="1:4">
      <c r="A54" t="s">
        <v>8254</v>
      </c>
      <c r="B54"/>
      <c r="C54">
        <v>1</v>
      </c>
      <c r="D54" s="19">
        <v>172550</v>
      </c>
    </row>
    <row r="55" spans="1:4">
      <c r="A55" t="s">
        <v>3689</v>
      </c>
      <c r="B55" t="s">
        <v>3686</v>
      </c>
      <c r="C55">
        <v>1</v>
      </c>
      <c r="D55" s="19">
        <v>172550</v>
      </c>
    </row>
    <row r="56" spans="1:4">
      <c r="A56"/>
      <c r="B56" t="s">
        <v>3702</v>
      </c>
      <c r="C56">
        <v>1</v>
      </c>
      <c r="D56" s="19">
        <v>690200</v>
      </c>
    </row>
    <row r="57" spans="1:4">
      <c r="A57" t="s">
        <v>7623</v>
      </c>
      <c r="B57"/>
      <c r="C57">
        <v>2</v>
      </c>
      <c r="D57" s="19">
        <v>862750</v>
      </c>
    </row>
    <row r="58" spans="1:4">
      <c r="A58" t="s">
        <v>5063</v>
      </c>
      <c r="B58" t="s">
        <v>5060</v>
      </c>
      <c r="C58">
        <v>1</v>
      </c>
      <c r="D58" s="19">
        <v>379610</v>
      </c>
    </row>
    <row r="59" spans="1:4">
      <c r="A59" t="s">
        <v>8255</v>
      </c>
      <c r="B59"/>
      <c r="C59">
        <v>1</v>
      </c>
      <c r="D59" s="19">
        <v>379610</v>
      </c>
    </row>
    <row r="60" spans="1:4">
      <c r="A60" t="s">
        <v>2526</v>
      </c>
      <c r="B60" t="s">
        <v>2523</v>
      </c>
      <c r="C60">
        <v>1</v>
      </c>
      <c r="D60" s="19">
        <v>162363.6</v>
      </c>
    </row>
    <row r="61" spans="1:4">
      <c r="A61" t="s">
        <v>8256</v>
      </c>
      <c r="B61"/>
      <c r="C61">
        <v>1</v>
      </c>
      <c r="D61" s="19">
        <v>162363.6</v>
      </c>
    </row>
    <row r="62" spans="1:4">
      <c r="A62" t="s">
        <v>143</v>
      </c>
      <c r="B62" t="s">
        <v>5651</v>
      </c>
      <c r="C62">
        <v>1</v>
      </c>
      <c r="D62" s="19">
        <v>2499000</v>
      </c>
    </row>
    <row r="63" spans="1:4">
      <c r="A63" t="s">
        <v>7817</v>
      </c>
      <c r="B63"/>
      <c r="C63">
        <v>1</v>
      </c>
      <c r="D63" s="19">
        <v>2499000</v>
      </c>
    </row>
    <row r="64" spans="1:4">
      <c r="A64" t="s">
        <v>2591</v>
      </c>
      <c r="B64" t="s">
        <v>3711</v>
      </c>
      <c r="C64">
        <v>1</v>
      </c>
      <c r="D64" s="19">
        <v>11243560.300000001</v>
      </c>
    </row>
    <row r="65" spans="1:4">
      <c r="A65" t="s">
        <v>8103</v>
      </c>
      <c r="B65"/>
      <c r="C65">
        <v>1</v>
      </c>
      <c r="D65" s="19">
        <v>11243560.300000001</v>
      </c>
    </row>
    <row r="66" spans="1:4">
      <c r="A66" t="s">
        <v>3266</v>
      </c>
      <c r="B66" t="s">
        <v>3263</v>
      </c>
      <c r="C66">
        <v>1</v>
      </c>
      <c r="D66" s="19">
        <v>1197041.6499999999</v>
      </c>
    </row>
    <row r="67" spans="1:4">
      <c r="A67" t="s">
        <v>7846</v>
      </c>
      <c r="B67"/>
      <c r="C67">
        <v>1</v>
      </c>
      <c r="D67" s="19">
        <v>1197041.6499999999</v>
      </c>
    </row>
    <row r="68" spans="1:4">
      <c r="A68" t="s">
        <v>3625</v>
      </c>
      <c r="B68" t="s">
        <v>6327</v>
      </c>
      <c r="C68">
        <v>1</v>
      </c>
      <c r="D68" s="19">
        <v>8752212</v>
      </c>
    </row>
    <row r="69" spans="1:4">
      <c r="A69" t="s">
        <v>8141</v>
      </c>
      <c r="B69"/>
      <c r="C69">
        <v>1</v>
      </c>
      <c r="D69" s="19">
        <v>8752212</v>
      </c>
    </row>
    <row r="70" spans="1:4">
      <c r="A70" t="s">
        <v>5256</v>
      </c>
      <c r="B70" t="s">
        <v>5253</v>
      </c>
      <c r="C70">
        <v>1</v>
      </c>
      <c r="D70" s="19">
        <v>1666000</v>
      </c>
    </row>
    <row r="71" spans="1:4">
      <c r="A71" t="s">
        <v>8257</v>
      </c>
      <c r="B71"/>
      <c r="C71">
        <v>1</v>
      </c>
      <c r="D71" s="19">
        <v>1666000</v>
      </c>
    </row>
    <row r="72" spans="1:4">
      <c r="A72" t="s">
        <v>6269</v>
      </c>
      <c r="B72" t="s">
        <v>6266</v>
      </c>
      <c r="C72">
        <v>1</v>
      </c>
      <c r="D72" s="19">
        <v>354264.19</v>
      </c>
    </row>
    <row r="73" spans="1:4">
      <c r="A73" t="s">
        <v>8258</v>
      </c>
      <c r="B73"/>
      <c r="C73">
        <v>1</v>
      </c>
      <c r="D73" s="19">
        <v>354264.19</v>
      </c>
    </row>
    <row r="74" spans="1:4">
      <c r="A74" t="s">
        <v>6753</v>
      </c>
      <c r="B74" t="s">
        <v>6750</v>
      </c>
      <c r="C74">
        <v>1</v>
      </c>
      <c r="D74" s="19">
        <v>63519020.890000001</v>
      </c>
    </row>
    <row r="75" spans="1:4">
      <c r="A75"/>
      <c r="B75" t="s">
        <v>6760</v>
      </c>
      <c r="C75">
        <v>1</v>
      </c>
      <c r="D75" s="19">
        <v>73731878.090000004</v>
      </c>
    </row>
    <row r="76" spans="1:4">
      <c r="A76" t="s">
        <v>8259</v>
      </c>
      <c r="B76"/>
      <c r="C76">
        <v>2</v>
      </c>
      <c r="D76" s="19">
        <v>137250898.98000002</v>
      </c>
    </row>
    <row r="77" spans="1:4">
      <c r="A77" s="23" t="s">
        <v>7707</v>
      </c>
      <c r="B77" s="23"/>
      <c r="C77">
        <v>49</v>
      </c>
      <c r="D77" s="19">
        <v>1361346395.98</v>
      </c>
    </row>
    <row r="78" spans="1:4">
      <c r="A78"/>
      <c r="B78"/>
    </row>
    <row r="79" spans="1:4">
      <c r="A79"/>
      <c r="B79"/>
    </row>
    <row r="80" spans="1:4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B211"/>
    </row>
    <row r="212" spans="1:2">
      <c r="B212"/>
    </row>
    <row r="213" spans="1:2">
      <c r="B213"/>
    </row>
    <row r="214" spans="1:2">
      <c r="B214"/>
    </row>
    <row r="215" spans="1:2">
      <c r="B215"/>
    </row>
    <row r="216" spans="1:2">
      <c r="B216"/>
    </row>
    <row r="217" spans="1:2">
      <c r="B217"/>
    </row>
    <row r="218" spans="1:2">
      <c r="B218"/>
    </row>
    <row r="219" spans="1:2">
      <c r="B219"/>
    </row>
    <row r="220" spans="1:2">
      <c r="B220"/>
    </row>
    <row r="221" spans="1:2">
      <c r="B221"/>
    </row>
    <row r="222" spans="1:2">
      <c r="B222"/>
    </row>
    <row r="223" spans="1:2">
      <c r="B223"/>
    </row>
    <row r="224" spans="1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/>
    </row>
    <row r="1362" spans="2:2">
      <c r="B1362"/>
    </row>
    <row r="1363" spans="2:2">
      <c r="B1363"/>
    </row>
    <row r="1364" spans="2:2">
      <c r="B1364"/>
    </row>
    <row r="1365" spans="2:2">
      <c r="B1365"/>
    </row>
    <row r="1366" spans="2:2">
      <c r="B1366"/>
    </row>
    <row r="1367" spans="2:2">
      <c r="B1367"/>
    </row>
    <row r="1368" spans="2:2">
      <c r="B1368"/>
    </row>
    <row r="1369" spans="2:2">
      <c r="B1369"/>
    </row>
    <row r="1370" spans="2:2">
      <c r="B1370"/>
    </row>
    <row r="1371" spans="2:2">
      <c r="B1371"/>
    </row>
    <row r="1372" spans="2:2">
      <c r="B1372"/>
    </row>
    <row r="1373" spans="2:2">
      <c r="B1373"/>
    </row>
    <row r="1374" spans="2:2">
      <c r="B1374"/>
    </row>
    <row r="1375" spans="2:2">
      <c r="B1375"/>
    </row>
    <row r="1376" spans="2:2">
      <c r="B1376"/>
    </row>
    <row r="1377" spans="2:2">
      <c r="B1377"/>
    </row>
    <row r="1378" spans="2:2">
      <c r="B1378"/>
    </row>
    <row r="1379" spans="2:2">
      <c r="B1379"/>
    </row>
    <row r="1380" spans="2:2">
      <c r="B1380"/>
    </row>
    <row r="1381" spans="2:2">
      <c r="B1381"/>
    </row>
    <row r="1382" spans="2:2">
      <c r="B1382"/>
    </row>
    <row r="1383" spans="2:2">
      <c r="B1383"/>
    </row>
    <row r="1384" spans="2:2">
      <c r="B1384"/>
    </row>
    <row r="1385" spans="2:2">
      <c r="B1385"/>
    </row>
    <row r="1386" spans="2:2">
      <c r="B1386"/>
    </row>
    <row r="1387" spans="2:2">
      <c r="B1387"/>
    </row>
    <row r="1388" spans="2:2">
      <c r="B1388"/>
    </row>
    <row r="1389" spans="2:2">
      <c r="B1389"/>
    </row>
    <row r="1390" spans="2:2">
      <c r="B1390"/>
    </row>
    <row r="1391" spans="2:2">
      <c r="B1391"/>
    </row>
    <row r="1392" spans="2:2">
      <c r="B1392"/>
    </row>
    <row r="1393" spans="2:2">
      <c r="B1393"/>
    </row>
    <row r="1394" spans="2:2">
      <c r="B1394"/>
    </row>
    <row r="1395" spans="2:2">
      <c r="B1395"/>
    </row>
    <row r="1396" spans="2:2">
      <c r="B1396"/>
    </row>
    <row r="1397" spans="2:2">
      <c r="B1397"/>
    </row>
    <row r="1398" spans="2:2">
      <c r="B1398"/>
    </row>
    <row r="1399" spans="2:2">
      <c r="B1399"/>
    </row>
    <row r="1400" spans="2:2">
      <c r="B1400"/>
    </row>
    <row r="1401" spans="2:2">
      <c r="B1401"/>
    </row>
    <row r="1402" spans="2:2">
      <c r="B1402"/>
    </row>
    <row r="1403" spans="2:2">
      <c r="B1403"/>
    </row>
    <row r="1404" spans="2:2">
      <c r="B1404"/>
    </row>
    <row r="1405" spans="2:2">
      <c r="B1405"/>
    </row>
    <row r="1406" spans="2:2">
      <c r="B1406"/>
    </row>
    <row r="1407" spans="2:2">
      <c r="B1407"/>
    </row>
    <row r="1408" spans="2:2">
      <c r="B1408"/>
    </row>
    <row r="1409" spans="2:2">
      <c r="B1409"/>
    </row>
    <row r="1410" spans="2:2">
      <c r="B1410"/>
    </row>
    <row r="1411" spans="2:2">
      <c r="B1411"/>
    </row>
    <row r="1412" spans="2:2">
      <c r="B1412"/>
    </row>
    <row r="1413" spans="2:2">
      <c r="B1413"/>
    </row>
    <row r="1414" spans="2:2">
      <c r="B1414"/>
    </row>
    <row r="1415" spans="2:2">
      <c r="B1415"/>
    </row>
    <row r="1416" spans="2:2">
      <c r="B1416"/>
    </row>
    <row r="1417" spans="2:2">
      <c r="B1417"/>
    </row>
    <row r="1418" spans="2:2">
      <c r="B1418"/>
    </row>
    <row r="1419" spans="2:2">
      <c r="B1419"/>
    </row>
    <row r="1420" spans="2:2">
      <c r="B1420"/>
    </row>
    <row r="1421" spans="2:2">
      <c r="B1421"/>
    </row>
    <row r="1422" spans="2:2">
      <c r="B1422"/>
    </row>
    <row r="1423" spans="2:2">
      <c r="B1423"/>
    </row>
    <row r="1424" spans="2:2">
      <c r="B1424"/>
    </row>
    <row r="1425" spans="2:2">
      <c r="B1425"/>
    </row>
    <row r="1426" spans="2:2">
      <c r="B1426"/>
    </row>
    <row r="1427" spans="2:2">
      <c r="B1427"/>
    </row>
    <row r="1428" spans="2:2">
      <c r="B1428"/>
    </row>
    <row r="1429" spans="2:2">
      <c r="B1429"/>
    </row>
    <row r="1430" spans="2:2">
      <c r="B1430"/>
    </row>
    <row r="1431" spans="2:2">
      <c r="B1431"/>
    </row>
    <row r="1432" spans="2:2">
      <c r="B1432"/>
    </row>
    <row r="1433" spans="2:2">
      <c r="B1433"/>
    </row>
    <row r="1434" spans="2:2">
      <c r="B1434"/>
    </row>
    <row r="1435" spans="2:2">
      <c r="B1435"/>
    </row>
    <row r="1436" spans="2:2">
      <c r="B1436"/>
    </row>
    <row r="1437" spans="2:2">
      <c r="B1437"/>
    </row>
    <row r="1438" spans="2:2">
      <c r="B1438"/>
    </row>
    <row r="1439" spans="2:2">
      <c r="B1439"/>
    </row>
    <row r="1440" spans="2:2">
      <c r="B1440"/>
    </row>
    <row r="1441" spans="2:2">
      <c r="B1441"/>
    </row>
    <row r="1442" spans="2:2">
      <c r="B1442"/>
    </row>
    <row r="1443" spans="2:2">
      <c r="B1443"/>
    </row>
    <row r="1444" spans="2:2">
      <c r="B1444"/>
    </row>
    <row r="1445" spans="2:2">
      <c r="B1445"/>
    </row>
    <row r="1446" spans="2:2">
      <c r="B1446"/>
    </row>
    <row r="1447" spans="2:2">
      <c r="B1447"/>
    </row>
    <row r="1448" spans="2:2">
      <c r="B1448"/>
    </row>
    <row r="1449" spans="2:2">
      <c r="B1449"/>
    </row>
    <row r="1450" spans="2:2">
      <c r="B1450"/>
    </row>
    <row r="1451" spans="2:2">
      <c r="B1451"/>
    </row>
    <row r="1452" spans="2:2">
      <c r="B1452"/>
    </row>
    <row r="1453" spans="2:2">
      <c r="B1453"/>
    </row>
    <row r="1454" spans="2:2">
      <c r="B1454"/>
    </row>
    <row r="1455" spans="2:2">
      <c r="B1455"/>
    </row>
    <row r="1456" spans="2:2">
      <c r="B1456"/>
    </row>
    <row r="1457" spans="2:2">
      <c r="B1457"/>
    </row>
    <row r="1458" spans="2:2">
      <c r="B1458"/>
    </row>
    <row r="1459" spans="2:2">
      <c r="B1459"/>
    </row>
    <row r="1460" spans="2:2">
      <c r="B1460"/>
    </row>
    <row r="1461" spans="2:2">
      <c r="B1461"/>
    </row>
    <row r="1462" spans="2:2">
      <c r="B1462"/>
    </row>
    <row r="1463" spans="2:2">
      <c r="B1463"/>
    </row>
    <row r="1464" spans="2:2">
      <c r="B1464"/>
    </row>
    <row r="1465" spans="2:2">
      <c r="B1465"/>
    </row>
    <row r="1466" spans="2:2">
      <c r="B1466"/>
    </row>
    <row r="1467" spans="2:2">
      <c r="B1467"/>
    </row>
    <row r="1468" spans="2:2">
      <c r="B1468"/>
    </row>
    <row r="1469" spans="2:2">
      <c r="B1469"/>
    </row>
    <row r="1470" spans="2:2">
      <c r="B1470"/>
    </row>
    <row r="1471" spans="2:2">
      <c r="B1471"/>
    </row>
    <row r="1472" spans="2:2">
      <c r="B1472"/>
    </row>
    <row r="1473" spans="2:2">
      <c r="B1473"/>
    </row>
    <row r="1474" spans="2:2">
      <c r="B1474"/>
    </row>
    <row r="1475" spans="2:2">
      <c r="B1475"/>
    </row>
    <row r="1476" spans="2:2">
      <c r="B1476"/>
    </row>
    <row r="1477" spans="2:2">
      <c r="B1477"/>
    </row>
    <row r="1478" spans="2:2">
      <c r="B1478"/>
    </row>
    <row r="1479" spans="2:2">
      <c r="B1479"/>
    </row>
    <row r="1480" spans="2:2">
      <c r="B1480"/>
    </row>
    <row r="1481" spans="2:2">
      <c r="B1481"/>
    </row>
    <row r="1482" spans="2:2">
      <c r="B1482"/>
    </row>
    <row r="1483" spans="2:2">
      <c r="B1483"/>
    </row>
    <row r="1484" spans="2:2">
      <c r="B1484"/>
    </row>
    <row r="1485" spans="2:2">
      <c r="B1485"/>
    </row>
    <row r="1486" spans="2:2">
      <c r="B1486"/>
    </row>
    <row r="1487" spans="2:2">
      <c r="B1487"/>
    </row>
    <row r="1488" spans="2:2">
      <c r="B1488"/>
    </row>
    <row r="1489" spans="2:2">
      <c r="B1489"/>
    </row>
    <row r="1490" spans="2:2">
      <c r="B1490"/>
    </row>
    <row r="1491" spans="2:2">
      <c r="B1491"/>
    </row>
    <row r="1492" spans="2:2">
      <c r="B1492"/>
    </row>
    <row r="1493" spans="2:2">
      <c r="B1493"/>
    </row>
    <row r="1494" spans="2:2">
      <c r="B1494"/>
    </row>
    <row r="1495" spans="2:2">
      <c r="B1495"/>
    </row>
    <row r="1496" spans="2:2">
      <c r="B1496"/>
    </row>
    <row r="1497" spans="2:2">
      <c r="B1497"/>
    </row>
    <row r="1498" spans="2:2">
      <c r="B1498"/>
    </row>
    <row r="1499" spans="2:2">
      <c r="B1499"/>
    </row>
    <row r="1500" spans="2:2">
      <c r="B1500"/>
    </row>
    <row r="1501" spans="2:2">
      <c r="B1501"/>
    </row>
    <row r="1502" spans="2:2">
      <c r="B1502"/>
    </row>
    <row r="1503" spans="2:2">
      <c r="B1503"/>
    </row>
    <row r="1504" spans="2:2">
      <c r="B1504"/>
    </row>
    <row r="1505" spans="2:2">
      <c r="B1505"/>
    </row>
    <row r="1506" spans="2:2">
      <c r="B1506"/>
    </row>
    <row r="1507" spans="2:2">
      <c r="B1507"/>
    </row>
    <row r="1508" spans="2:2">
      <c r="B1508"/>
    </row>
    <row r="1509" spans="2:2">
      <c r="B1509"/>
    </row>
    <row r="1510" spans="2:2">
      <c r="B1510"/>
    </row>
    <row r="1511" spans="2:2">
      <c r="B1511"/>
    </row>
    <row r="1512" spans="2:2">
      <c r="B1512"/>
    </row>
    <row r="1513" spans="2:2">
      <c r="B1513"/>
    </row>
    <row r="1514" spans="2:2">
      <c r="B1514"/>
    </row>
    <row r="1515" spans="2:2">
      <c r="B1515"/>
    </row>
    <row r="1516" spans="2:2">
      <c r="B1516"/>
    </row>
    <row r="1517" spans="2:2">
      <c r="B1517"/>
    </row>
    <row r="1518" spans="2:2">
      <c r="B1518"/>
    </row>
    <row r="1519" spans="2:2">
      <c r="B1519"/>
    </row>
    <row r="1520" spans="2:2">
      <c r="B1520"/>
    </row>
    <row r="1521" spans="2:2">
      <c r="B1521"/>
    </row>
    <row r="1522" spans="2:2">
      <c r="B1522"/>
    </row>
    <row r="1523" spans="2:2">
      <c r="B1523"/>
    </row>
    <row r="1524" spans="2:2">
      <c r="B1524"/>
    </row>
    <row r="1525" spans="2:2">
      <c r="B1525"/>
    </row>
    <row r="1526" spans="2:2">
      <c r="B1526"/>
    </row>
    <row r="1527" spans="2:2">
      <c r="B1527"/>
    </row>
    <row r="1528" spans="2:2">
      <c r="B1528"/>
    </row>
    <row r="1529" spans="2:2">
      <c r="B1529"/>
    </row>
    <row r="1530" spans="2:2">
      <c r="B1530"/>
    </row>
    <row r="1531" spans="2:2">
      <c r="B1531"/>
    </row>
    <row r="1532" spans="2:2">
      <c r="B1532"/>
    </row>
    <row r="1533" spans="2:2">
      <c r="B1533"/>
    </row>
    <row r="1534" spans="2:2">
      <c r="B1534"/>
    </row>
    <row r="1535" spans="2:2">
      <c r="B1535"/>
    </row>
    <row r="1536" spans="2:2">
      <c r="B1536"/>
    </row>
    <row r="1537" spans="2:2">
      <c r="B1537"/>
    </row>
    <row r="1538" spans="2:2">
      <c r="B1538"/>
    </row>
    <row r="1539" spans="2:2">
      <c r="B1539"/>
    </row>
    <row r="1540" spans="2:2">
      <c r="B1540"/>
    </row>
    <row r="1541" spans="2:2">
      <c r="B1541"/>
    </row>
    <row r="1542" spans="2:2">
      <c r="B1542"/>
    </row>
    <row r="1543" spans="2:2">
      <c r="B1543"/>
    </row>
    <row r="1544" spans="2:2">
      <c r="B1544"/>
    </row>
    <row r="1545" spans="2:2">
      <c r="B1545"/>
    </row>
    <row r="1546" spans="2:2">
      <c r="B1546"/>
    </row>
    <row r="1547" spans="2:2">
      <c r="B1547"/>
    </row>
    <row r="1548" spans="2:2">
      <c r="B1548"/>
    </row>
    <row r="1549" spans="2:2">
      <c r="B1549"/>
    </row>
    <row r="1550" spans="2:2">
      <c r="B1550"/>
    </row>
    <row r="1551" spans="2:2">
      <c r="B1551"/>
    </row>
    <row r="1552" spans="2:2">
      <c r="B1552"/>
    </row>
    <row r="1553" spans="2:2">
      <c r="B1553"/>
    </row>
    <row r="1554" spans="2:2">
      <c r="B1554"/>
    </row>
    <row r="1555" spans="2:2">
      <c r="B1555"/>
    </row>
    <row r="1556" spans="2:2">
      <c r="B1556"/>
    </row>
    <row r="1557" spans="2:2">
      <c r="B1557"/>
    </row>
    <row r="1558" spans="2:2">
      <c r="B1558"/>
    </row>
    <row r="1559" spans="2:2">
      <c r="B1559"/>
    </row>
    <row r="1560" spans="2:2">
      <c r="B1560"/>
    </row>
    <row r="1561" spans="2:2">
      <c r="B1561"/>
    </row>
    <row r="1562" spans="2:2">
      <c r="B1562"/>
    </row>
    <row r="1563" spans="2:2">
      <c r="B1563"/>
    </row>
    <row r="1564" spans="2:2">
      <c r="B1564"/>
    </row>
    <row r="1565" spans="2:2">
      <c r="B1565"/>
    </row>
    <row r="1566" spans="2:2">
      <c r="B1566"/>
    </row>
    <row r="1567" spans="2:2">
      <c r="B1567"/>
    </row>
    <row r="1568" spans="2:2">
      <c r="B1568"/>
    </row>
    <row r="1569" spans="2:2">
      <c r="B1569"/>
    </row>
    <row r="1570" spans="2:2">
      <c r="B1570"/>
    </row>
    <row r="1571" spans="2:2">
      <c r="B1571"/>
    </row>
    <row r="1572" spans="2:2">
      <c r="B1572"/>
    </row>
    <row r="1573" spans="2:2">
      <c r="B1573"/>
    </row>
    <row r="1574" spans="2:2">
      <c r="B1574"/>
    </row>
    <row r="1575" spans="2:2">
      <c r="B1575"/>
    </row>
    <row r="1576" spans="2:2">
      <c r="B1576"/>
    </row>
    <row r="1577" spans="2:2">
      <c r="B1577"/>
    </row>
    <row r="1578" spans="2:2">
      <c r="B1578"/>
    </row>
    <row r="1579" spans="2:2">
      <c r="B1579"/>
    </row>
    <row r="1580" spans="2:2">
      <c r="B1580"/>
    </row>
    <row r="1581" spans="2:2">
      <c r="B1581"/>
    </row>
    <row r="1582" spans="2:2">
      <c r="B1582"/>
    </row>
    <row r="1583" spans="2:2">
      <c r="B1583"/>
    </row>
    <row r="1584" spans="2:2">
      <c r="B1584"/>
    </row>
    <row r="1585" spans="2:2">
      <c r="B1585"/>
    </row>
    <row r="1586" spans="2:2">
      <c r="B1586"/>
    </row>
    <row r="1587" spans="2:2">
      <c r="B1587"/>
    </row>
    <row r="1588" spans="2:2">
      <c r="B1588"/>
    </row>
    <row r="1589" spans="2:2">
      <c r="B1589"/>
    </row>
    <row r="1590" spans="2:2">
      <c r="B1590"/>
    </row>
    <row r="1591" spans="2:2">
      <c r="B1591"/>
    </row>
    <row r="1592" spans="2:2">
      <c r="B1592"/>
    </row>
    <row r="1593" spans="2:2">
      <c r="B1593"/>
    </row>
    <row r="1594" spans="2:2">
      <c r="B1594"/>
    </row>
    <row r="1595" spans="2:2">
      <c r="B1595"/>
    </row>
    <row r="1596" spans="2:2">
      <c r="B1596"/>
    </row>
    <row r="1597" spans="2:2">
      <c r="B1597"/>
    </row>
    <row r="1598" spans="2:2">
      <c r="B1598"/>
    </row>
    <row r="1599" spans="2:2">
      <c r="B1599"/>
    </row>
    <row r="1600" spans="2:2">
      <c r="B1600"/>
    </row>
    <row r="1601" spans="2:2">
      <c r="B1601"/>
    </row>
    <row r="1602" spans="2:2">
      <c r="B1602"/>
    </row>
    <row r="1603" spans="2:2">
      <c r="B1603"/>
    </row>
    <row r="1604" spans="2:2">
      <c r="B1604"/>
    </row>
    <row r="1605" spans="2:2">
      <c r="B1605"/>
    </row>
    <row r="1606" spans="2:2">
      <c r="B1606"/>
    </row>
    <row r="1607" spans="2:2">
      <c r="B1607"/>
    </row>
    <row r="1608" spans="2:2">
      <c r="B1608"/>
    </row>
    <row r="1609" spans="2:2">
      <c r="B1609"/>
    </row>
    <row r="1610" spans="2:2">
      <c r="B1610"/>
    </row>
    <row r="1611" spans="2:2">
      <c r="B1611"/>
    </row>
    <row r="1612" spans="2:2">
      <c r="B1612"/>
    </row>
    <row r="1613" spans="2:2">
      <c r="B1613"/>
    </row>
    <row r="1614" spans="2:2">
      <c r="B1614"/>
    </row>
    <row r="1615" spans="2:2">
      <c r="B1615"/>
    </row>
    <row r="1616" spans="2:2">
      <c r="B1616"/>
    </row>
    <row r="1617" spans="2:2">
      <c r="B1617"/>
    </row>
    <row r="1618" spans="2:2">
      <c r="B1618"/>
    </row>
    <row r="1619" spans="2:2">
      <c r="B1619"/>
    </row>
    <row r="1620" spans="2:2">
      <c r="B1620"/>
    </row>
    <row r="1621" spans="2:2">
      <c r="B1621"/>
    </row>
    <row r="1622" spans="2:2">
      <c r="B1622"/>
    </row>
    <row r="1623" spans="2:2">
      <c r="B1623"/>
    </row>
    <row r="1624" spans="2:2">
      <c r="B1624"/>
    </row>
    <row r="1625" spans="2:2">
      <c r="B1625"/>
    </row>
    <row r="1626" spans="2:2">
      <c r="B1626"/>
    </row>
    <row r="1627" spans="2:2">
      <c r="B1627"/>
    </row>
    <row r="1628" spans="2:2">
      <c r="B1628"/>
    </row>
    <row r="1629" spans="2:2">
      <c r="B1629"/>
    </row>
    <row r="1630" spans="2:2">
      <c r="B1630"/>
    </row>
    <row r="1631" spans="2:2">
      <c r="B1631"/>
    </row>
    <row r="1632" spans="2:2">
      <c r="B1632"/>
    </row>
    <row r="1633" spans="2:2">
      <c r="B1633"/>
    </row>
    <row r="1634" spans="2:2">
      <c r="B1634"/>
    </row>
    <row r="1635" spans="2:2">
      <c r="B1635"/>
    </row>
    <row r="1636" spans="2:2">
      <c r="B1636"/>
    </row>
    <row r="1637" spans="2:2">
      <c r="B1637"/>
    </row>
    <row r="1638" spans="2:2">
      <c r="B1638"/>
    </row>
    <row r="1639" spans="2:2">
      <c r="B1639"/>
    </row>
    <row r="1640" spans="2:2">
      <c r="B1640"/>
    </row>
    <row r="1641" spans="2:2">
      <c r="B1641"/>
    </row>
    <row r="1642" spans="2:2">
      <c r="B1642"/>
    </row>
    <row r="1643" spans="2:2">
      <c r="B1643"/>
    </row>
    <row r="1644" spans="2:2">
      <c r="B1644"/>
    </row>
    <row r="1645" spans="2:2">
      <c r="B1645"/>
    </row>
    <row r="1646" spans="2:2">
      <c r="B1646"/>
    </row>
    <row r="1647" spans="2:2">
      <c r="B1647"/>
    </row>
    <row r="1648" spans="2:2">
      <c r="B1648"/>
    </row>
    <row r="1649" spans="2:2">
      <c r="B1649"/>
    </row>
    <row r="1650" spans="2:2">
      <c r="B1650"/>
    </row>
    <row r="1651" spans="2:2">
      <c r="B1651"/>
    </row>
    <row r="1652" spans="2:2">
      <c r="B1652"/>
    </row>
    <row r="1653" spans="2:2">
      <c r="B1653"/>
    </row>
    <row r="1654" spans="2:2">
      <c r="B1654"/>
    </row>
    <row r="1655" spans="2:2">
      <c r="B1655"/>
    </row>
    <row r="1656" spans="2:2">
      <c r="B1656"/>
    </row>
    <row r="1657" spans="2:2">
      <c r="B1657"/>
    </row>
    <row r="1658" spans="2:2">
      <c r="B1658"/>
    </row>
    <row r="1659" spans="2:2">
      <c r="B1659"/>
    </row>
    <row r="1660" spans="2:2">
      <c r="B1660"/>
    </row>
    <row r="1661" spans="2:2">
      <c r="B1661"/>
    </row>
    <row r="1662" spans="2:2">
      <c r="B1662"/>
    </row>
    <row r="1663" spans="2:2">
      <c r="B1663"/>
    </row>
    <row r="1664" spans="2:2">
      <c r="B1664"/>
    </row>
    <row r="1665" spans="2:2">
      <c r="B1665"/>
    </row>
    <row r="1666" spans="2:2">
      <c r="B1666"/>
    </row>
    <row r="1667" spans="2:2">
      <c r="B1667"/>
    </row>
    <row r="1668" spans="2:2">
      <c r="B1668"/>
    </row>
    <row r="1669" spans="2:2">
      <c r="B1669"/>
    </row>
    <row r="1670" spans="2:2">
      <c r="B1670"/>
    </row>
    <row r="1671" spans="2:2">
      <c r="B1671"/>
    </row>
    <row r="1672" spans="2:2">
      <c r="B1672"/>
    </row>
    <row r="1673" spans="2:2">
      <c r="B1673"/>
    </row>
    <row r="1674" spans="2:2">
      <c r="B167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A7D6-F8E7-4722-8511-22FEE15B508F}">
  <dimension ref="A1:D2691"/>
  <sheetViews>
    <sheetView workbookViewId="0"/>
  </sheetViews>
  <sheetFormatPr defaultColWidth="9.140625" defaultRowHeight="15"/>
  <cols>
    <col min="1" max="1" width="91.5703125" style="23" bestFit="1" customWidth="1"/>
    <col min="2" max="2" width="20.42578125" style="20" bestFit="1" customWidth="1"/>
    <col min="3" max="3" width="30.28515625" bestFit="1" customWidth="1"/>
    <col min="4" max="4" width="16.85546875" bestFit="1" customWidth="1"/>
  </cols>
  <sheetData>
    <row r="1" spans="1:4">
      <c r="A1" s="22" t="s">
        <v>29</v>
      </c>
      <c r="B1" t="s">
        <v>7523</v>
      </c>
    </row>
    <row r="3" spans="1:4">
      <c r="A3" s="22" t="s">
        <v>19</v>
      </c>
      <c r="B3" s="21" t="s">
        <v>11</v>
      </c>
      <c r="C3" t="s">
        <v>8260</v>
      </c>
      <c r="D3" t="s">
        <v>7525</v>
      </c>
    </row>
    <row r="4" spans="1:4">
      <c r="A4" t="s">
        <v>5693</v>
      </c>
      <c r="B4" t="s">
        <v>6946</v>
      </c>
      <c r="C4">
        <v>1</v>
      </c>
      <c r="D4" s="19">
        <v>1234200</v>
      </c>
    </row>
    <row r="5" spans="1:4">
      <c r="A5" t="s">
        <v>7738</v>
      </c>
      <c r="B5"/>
      <c r="C5">
        <v>1</v>
      </c>
      <c r="D5" s="19">
        <v>1234200</v>
      </c>
    </row>
    <row r="6" spans="1:4">
      <c r="A6" t="s">
        <v>1809</v>
      </c>
      <c r="B6" t="s">
        <v>4788</v>
      </c>
      <c r="C6">
        <v>1</v>
      </c>
      <c r="D6" s="19">
        <v>90440</v>
      </c>
    </row>
    <row r="7" spans="1:4">
      <c r="A7" t="s">
        <v>7869</v>
      </c>
      <c r="B7"/>
      <c r="C7">
        <v>1</v>
      </c>
      <c r="D7" s="19">
        <v>90440</v>
      </c>
    </row>
    <row r="8" spans="1:4">
      <c r="A8" t="s">
        <v>1028</v>
      </c>
      <c r="B8" t="s">
        <v>1025</v>
      </c>
      <c r="C8">
        <v>1</v>
      </c>
      <c r="D8" s="19">
        <v>14458500</v>
      </c>
    </row>
    <row r="9" spans="1:4">
      <c r="A9"/>
      <c r="B9" t="s">
        <v>2454</v>
      </c>
      <c r="C9">
        <v>1</v>
      </c>
      <c r="D9" s="19">
        <v>297500</v>
      </c>
    </row>
    <row r="10" spans="1:4">
      <c r="A10" t="s">
        <v>7740</v>
      </c>
      <c r="B10"/>
      <c r="C10">
        <v>2</v>
      </c>
      <c r="D10" s="19">
        <v>14756000</v>
      </c>
    </row>
    <row r="11" spans="1:4">
      <c r="A11" t="s">
        <v>5480</v>
      </c>
      <c r="B11" t="s">
        <v>5477</v>
      </c>
      <c r="C11">
        <v>1</v>
      </c>
      <c r="D11" s="19">
        <v>318298.40000000002</v>
      </c>
    </row>
    <row r="12" spans="1:4">
      <c r="A12" t="s">
        <v>8261</v>
      </c>
      <c r="B12"/>
      <c r="C12">
        <v>1</v>
      </c>
      <c r="D12" s="19">
        <v>318298.40000000002</v>
      </c>
    </row>
    <row r="13" spans="1:4">
      <c r="A13" t="s">
        <v>137</v>
      </c>
      <c r="B13" t="s">
        <v>134</v>
      </c>
      <c r="C13">
        <v>1</v>
      </c>
      <c r="D13" s="19">
        <v>7931301</v>
      </c>
    </row>
    <row r="14" spans="1:4">
      <c r="A14" t="s">
        <v>8262</v>
      </c>
      <c r="B14"/>
      <c r="C14">
        <v>1</v>
      </c>
      <c r="D14" s="19">
        <v>7931301</v>
      </c>
    </row>
    <row r="15" spans="1:4">
      <c r="A15" t="s">
        <v>1258</v>
      </c>
      <c r="B15" t="s">
        <v>1255</v>
      </c>
      <c r="C15">
        <v>1</v>
      </c>
      <c r="D15" s="19">
        <v>5434135</v>
      </c>
    </row>
    <row r="16" spans="1:4">
      <c r="A16"/>
      <c r="B16" t="s">
        <v>4279</v>
      </c>
      <c r="C16">
        <v>1</v>
      </c>
      <c r="D16" s="19">
        <v>29864984.940000001</v>
      </c>
    </row>
    <row r="17" spans="1:4">
      <c r="A17" t="s">
        <v>8263</v>
      </c>
      <c r="B17"/>
      <c r="C17">
        <v>2</v>
      </c>
      <c r="D17" s="19">
        <v>35299119.939999998</v>
      </c>
    </row>
    <row r="18" spans="1:4">
      <c r="A18" t="s">
        <v>359</v>
      </c>
      <c r="B18" t="s">
        <v>356</v>
      </c>
      <c r="C18">
        <v>1</v>
      </c>
      <c r="D18" s="19">
        <v>10829000</v>
      </c>
    </row>
    <row r="19" spans="1:4">
      <c r="A19" t="s">
        <v>7882</v>
      </c>
      <c r="B19"/>
      <c r="C19">
        <v>1</v>
      </c>
      <c r="D19" s="19">
        <v>10829000</v>
      </c>
    </row>
    <row r="20" spans="1:4">
      <c r="A20" t="s">
        <v>5990</v>
      </c>
      <c r="B20" t="s">
        <v>5987</v>
      </c>
      <c r="C20">
        <v>1</v>
      </c>
      <c r="D20" s="19">
        <v>6147094.9400000004</v>
      </c>
    </row>
    <row r="21" spans="1:4">
      <c r="A21" t="s">
        <v>8264</v>
      </c>
      <c r="B21"/>
      <c r="C21">
        <v>1</v>
      </c>
      <c r="D21" s="19">
        <v>6147094.9400000004</v>
      </c>
    </row>
    <row r="22" spans="1:4">
      <c r="A22" s="23" t="s">
        <v>506</v>
      </c>
      <c r="B22" t="s">
        <v>503</v>
      </c>
      <c r="C22">
        <v>1</v>
      </c>
      <c r="D22" s="19">
        <v>318682</v>
      </c>
    </row>
    <row r="23" spans="1:4">
      <c r="A23" s="23" t="s">
        <v>8265</v>
      </c>
      <c r="B23" s="23"/>
      <c r="C23">
        <v>1</v>
      </c>
      <c r="D23" s="19">
        <v>318682</v>
      </c>
    </row>
    <row r="24" spans="1:4">
      <c r="A24" t="s">
        <v>1611</v>
      </c>
      <c r="B24" t="s">
        <v>1608</v>
      </c>
      <c r="C24">
        <v>1</v>
      </c>
      <c r="D24" s="19">
        <v>940100</v>
      </c>
    </row>
    <row r="25" spans="1:4">
      <c r="A25"/>
      <c r="B25" t="s">
        <v>3754</v>
      </c>
      <c r="C25">
        <v>1</v>
      </c>
      <c r="D25" s="19">
        <v>2038470</v>
      </c>
    </row>
    <row r="26" spans="1:4">
      <c r="A26"/>
      <c r="B26" t="s">
        <v>4138</v>
      </c>
      <c r="C26">
        <v>1</v>
      </c>
      <c r="D26" s="19">
        <v>279650</v>
      </c>
    </row>
    <row r="27" spans="1:4">
      <c r="A27" t="s">
        <v>7893</v>
      </c>
      <c r="B27"/>
      <c r="C27">
        <v>3</v>
      </c>
      <c r="D27" s="19">
        <v>3258220</v>
      </c>
    </row>
    <row r="28" spans="1:4">
      <c r="A28" t="s">
        <v>2018</v>
      </c>
      <c r="B28" t="s">
        <v>2015</v>
      </c>
      <c r="C28">
        <v>1</v>
      </c>
      <c r="D28" s="19">
        <v>19608820</v>
      </c>
    </row>
    <row r="29" spans="1:4">
      <c r="A29" t="s">
        <v>7898</v>
      </c>
      <c r="B29"/>
      <c r="C29">
        <v>1</v>
      </c>
      <c r="D29" s="19">
        <v>19608820</v>
      </c>
    </row>
    <row r="30" spans="1:4">
      <c r="A30" t="s">
        <v>1143</v>
      </c>
      <c r="B30" t="s">
        <v>1140</v>
      </c>
      <c r="C30">
        <v>1</v>
      </c>
      <c r="D30" s="19">
        <v>15606857.140000001</v>
      </c>
    </row>
    <row r="31" spans="1:4">
      <c r="A31"/>
      <c r="B31" t="s">
        <v>1146</v>
      </c>
      <c r="C31">
        <v>1</v>
      </c>
      <c r="D31" s="19">
        <v>2225300</v>
      </c>
    </row>
    <row r="32" spans="1:4">
      <c r="A32"/>
      <c r="B32" t="s">
        <v>1149</v>
      </c>
      <c r="C32">
        <v>1</v>
      </c>
      <c r="D32" s="19">
        <v>16476278.279999999</v>
      </c>
    </row>
    <row r="33" spans="1:4">
      <c r="A33"/>
      <c r="B33" t="s">
        <v>4665</v>
      </c>
      <c r="C33">
        <v>1</v>
      </c>
      <c r="D33" s="19">
        <v>4867385.5999999996</v>
      </c>
    </row>
    <row r="34" spans="1:4">
      <c r="A34"/>
      <c r="B34" t="s">
        <v>4668</v>
      </c>
      <c r="C34">
        <v>1</v>
      </c>
      <c r="D34" s="19">
        <v>33422340</v>
      </c>
    </row>
    <row r="35" spans="1:4">
      <c r="A35"/>
      <c r="B35" t="s">
        <v>4671</v>
      </c>
      <c r="C35">
        <v>1</v>
      </c>
      <c r="D35" s="19">
        <v>4648140</v>
      </c>
    </row>
    <row r="36" spans="1:4">
      <c r="A36" t="s">
        <v>7900</v>
      </c>
      <c r="B36"/>
      <c r="C36">
        <v>6</v>
      </c>
      <c r="D36" s="19">
        <v>77246301.020000011</v>
      </c>
    </row>
    <row r="37" spans="1:4">
      <c r="A37" t="s">
        <v>3582</v>
      </c>
      <c r="B37" t="s">
        <v>3579</v>
      </c>
      <c r="C37">
        <v>1</v>
      </c>
      <c r="D37" s="19">
        <v>1256640</v>
      </c>
    </row>
    <row r="38" spans="1:4">
      <c r="A38" t="s">
        <v>7903</v>
      </c>
      <c r="B38"/>
      <c r="C38">
        <v>1</v>
      </c>
      <c r="D38" s="19">
        <v>1256640</v>
      </c>
    </row>
    <row r="39" spans="1:4">
      <c r="A39" t="s">
        <v>1438</v>
      </c>
      <c r="B39" t="s">
        <v>1435</v>
      </c>
      <c r="C39">
        <v>1</v>
      </c>
      <c r="D39" s="19">
        <v>157997.49</v>
      </c>
    </row>
    <row r="40" spans="1:4">
      <c r="A40" t="s">
        <v>7907</v>
      </c>
      <c r="B40"/>
      <c r="C40">
        <v>1</v>
      </c>
      <c r="D40" s="19">
        <v>157997.49</v>
      </c>
    </row>
    <row r="41" spans="1:4">
      <c r="A41" t="s">
        <v>4196</v>
      </c>
      <c r="B41" t="s">
        <v>4193</v>
      </c>
      <c r="C41">
        <v>1</v>
      </c>
      <c r="D41" s="19">
        <v>208250</v>
      </c>
    </row>
    <row r="42" spans="1:4">
      <c r="A42" t="s">
        <v>8266</v>
      </c>
      <c r="B42"/>
      <c r="C42">
        <v>1</v>
      </c>
      <c r="D42" s="19">
        <v>208250</v>
      </c>
    </row>
    <row r="43" spans="1:4">
      <c r="A43" t="s">
        <v>2745</v>
      </c>
      <c r="B43" t="s">
        <v>2742</v>
      </c>
      <c r="C43">
        <v>1</v>
      </c>
      <c r="D43" s="19">
        <v>109519.28</v>
      </c>
    </row>
    <row r="44" spans="1:4">
      <c r="A44" t="s">
        <v>8267</v>
      </c>
      <c r="B44"/>
      <c r="C44">
        <v>1</v>
      </c>
      <c r="D44" s="19">
        <v>109519.28</v>
      </c>
    </row>
    <row r="45" spans="1:4">
      <c r="A45" t="s">
        <v>1343</v>
      </c>
      <c r="B45" t="s">
        <v>1340</v>
      </c>
      <c r="C45">
        <v>1</v>
      </c>
      <c r="D45" s="19">
        <v>2677500</v>
      </c>
    </row>
    <row r="46" spans="1:4">
      <c r="A46" t="s">
        <v>8268</v>
      </c>
      <c r="B46"/>
      <c r="C46">
        <v>1</v>
      </c>
      <c r="D46" s="19">
        <v>2677500</v>
      </c>
    </row>
    <row r="47" spans="1:4">
      <c r="A47" t="s">
        <v>1444</v>
      </c>
      <c r="B47" t="s">
        <v>1441</v>
      </c>
      <c r="C47">
        <v>1</v>
      </c>
      <c r="D47" s="19">
        <v>1047543</v>
      </c>
    </row>
    <row r="48" spans="1:4">
      <c r="A48" t="s">
        <v>7556</v>
      </c>
      <c r="B48"/>
      <c r="C48">
        <v>1</v>
      </c>
      <c r="D48" s="19">
        <v>1047543</v>
      </c>
    </row>
    <row r="49" spans="1:4">
      <c r="A49" t="s">
        <v>3511</v>
      </c>
      <c r="B49" t="s">
        <v>3508</v>
      </c>
      <c r="C49">
        <v>1</v>
      </c>
      <c r="D49" s="19">
        <v>63837990.299999997</v>
      </c>
    </row>
    <row r="50" spans="1:4">
      <c r="A50"/>
      <c r="B50" t="s">
        <v>5179</v>
      </c>
      <c r="C50">
        <v>1</v>
      </c>
      <c r="D50" s="19">
        <v>92462803.650000006</v>
      </c>
    </row>
    <row r="51" spans="1:4">
      <c r="A51" t="s">
        <v>8269</v>
      </c>
      <c r="B51"/>
      <c r="C51">
        <v>2</v>
      </c>
      <c r="D51" s="19">
        <v>156300793.94999999</v>
      </c>
    </row>
    <row r="52" spans="1:4">
      <c r="A52" s="23" t="s">
        <v>437</v>
      </c>
      <c r="B52" t="s">
        <v>434</v>
      </c>
      <c r="C52">
        <v>1</v>
      </c>
      <c r="D52" s="19">
        <v>10909920</v>
      </c>
    </row>
    <row r="53" spans="1:4">
      <c r="A53" s="23" t="s">
        <v>8270</v>
      </c>
      <c r="B53" s="23"/>
      <c r="C53">
        <v>1</v>
      </c>
      <c r="D53" s="19">
        <v>10909920</v>
      </c>
    </row>
    <row r="54" spans="1:4">
      <c r="A54" s="23" t="s">
        <v>296</v>
      </c>
      <c r="B54" t="s">
        <v>293</v>
      </c>
      <c r="C54">
        <v>1</v>
      </c>
      <c r="D54" s="19">
        <v>431336.58</v>
      </c>
    </row>
    <row r="55" spans="1:4">
      <c r="A55" s="23" t="s">
        <v>8271</v>
      </c>
      <c r="B55" s="23"/>
      <c r="C55">
        <v>1</v>
      </c>
      <c r="D55" s="19">
        <v>431336.58</v>
      </c>
    </row>
    <row r="56" spans="1:4">
      <c r="A56" t="s">
        <v>3452</v>
      </c>
      <c r="B56" t="s">
        <v>3449</v>
      </c>
      <c r="C56">
        <v>1</v>
      </c>
      <c r="D56" s="19">
        <v>180544.5</v>
      </c>
    </row>
    <row r="57" spans="1:4">
      <c r="A57"/>
      <c r="B57" t="s">
        <v>3454</v>
      </c>
      <c r="C57">
        <v>1</v>
      </c>
      <c r="D57" s="19">
        <v>144130.42000000001</v>
      </c>
    </row>
    <row r="58" spans="1:4">
      <c r="A58" t="s">
        <v>7564</v>
      </c>
      <c r="B58"/>
      <c r="C58">
        <v>2</v>
      </c>
      <c r="D58" s="19">
        <v>324674.92000000004</v>
      </c>
    </row>
    <row r="59" spans="1:4">
      <c r="A59" t="s">
        <v>3084</v>
      </c>
      <c r="B59" t="s">
        <v>3081</v>
      </c>
      <c r="C59">
        <v>1</v>
      </c>
      <c r="D59" s="19">
        <v>388445.75</v>
      </c>
    </row>
    <row r="60" spans="1:4">
      <c r="A60"/>
      <c r="B60" t="s">
        <v>5223</v>
      </c>
      <c r="C60">
        <v>1</v>
      </c>
      <c r="D60" s="19">
        <v>101269</v>
      </c>
    </row>
    <row r="61" spans="1:4">
      <c r="A61" t="s">
        <v>8272</v>
      </c>
      <c r="B61"/>
      <c r="C61">
        <v>2</v>
      </c>
      <c r="D61" s="19">
        <v>489714.75</v>
      </c>
    </row>
    <row r="62" spans="1:4">
      <c r="A62" t="s">
        <v>6371</v>
      </c>
      <c r="B62" t="s">
        <v>6368</v>
      </c>
      <c r="C62">
        <v>1</v>
      </c>
      <c r="D62" s="19">
        <v>3236800</v>
      </c>
    </row>
    <row r="63" spans="1:4">
      <c r="A63" t="s">
        <v>8273</v>
      </c>
      <c r="B63"/>
      <c r="C63">
        <v>1</v>
      </c>
      <c r="D63" s="19">
        <v>3236800</v>
      </c>
    </row>
    <row r="64" spans="1:4">
      <c r="A64" t="s">
        <v>3595</v>
      </c>
      <c r="B64" t="s">
        <v>4601</v>
      </c>
      <c r="C64">
        <v>1</v>
      </c>
      <c r="D64" s="19">
        <v>5523980</v>
      </c>
    </row>
    <row r="65" spans="1:4">
      <c r="A65" t="s">
        <v>7768</v>
      </c>
      <c r="B65"/>
      <c r="C65">
        <v>1</v>
      </c>
      <c r="D65" s="19">
        <v>5523980</v>
      </c>
    </row>
    <row r="66" spans="1:4">
      <c r="A66" t="s">
        <v>1373</v>
      </c>
      <c r="B66" t="s">
        <v>1370</v>
      </c>
      <c r="C66">
        <v>1</v>
      </c>
      <c r="D66" s="19">
        <v>27132000</v>
      </c>
    </row>
    <row r="67" spans="1:4">
      <c r="A67"/>
      <c r="B67" t="s">
        <v>1375</v>
      </c>
      <c r="C67">
        <v>1</v>
      </c>
      <c r="D67" s="19">
        <v>4657636.2</v>
      </c>
    </row>
    <row r="68" spans="1:4">
      <c r="A68"/>
      <c r="B68" t="s">
        <v>1379</v>
      </c>
      <c r="C68">
        <v>1</v>
      </c>
      <c r="D68" s="19">
        <v>620398.17000000004</v>
      </c>
    </row>
    <row r="69" spans="1:4">
      <c r="A69"/>
      <c r="B69" t="s">
        <v>1382</v>
      </c>
      <c r="C69">
        <v>1</v>
      </c>
      <c r="D69" s="19">
        <v>229194</v>
      </c>
    </row>
    <row r="70" spans="1:4">
      <c r="A70"/>
      <c r="B70" t="s">
        <v>1386</v>
      </c>
      <c r="C70">
        <v>1</v>
      </c>
      <c r="D70" s="19">
        <v>317333.73</v>
      </c>
    </row>
    <row r="71" spans="1:4">
      <c r="A71"/>
      <c r="B71" t="s">
        <v>1390</v>
      </c>
      <c r="C71">
        <v>1</v>
      </c>
      <c r="D71" s="19">
        <v>324546.32</v>
      </c>
    </row>
    <row r="72" spans="1:4">
      <c r="A72"/>
      <c r="B72" t="s">
        <v>1393</v>
      </c>
      <c r="C72">
        <v>1</v>
      </c>
      <c r="D72" s="19">
        <v>4416758.78</v>
      </c>
    </row>
    <row r="73" spans="1:4">
      <c r="A73"/>
      <c r="B73" t="s">
        <v>1396</v>
      </c>
      <c r="C73">
        <v>1</v>
      </c>
      <c r="D73" s="19">
        <v>839504.54</v>
      </c>
    </row>
    <row r="74" spans="1:4">
      <c r="A74"/>
      <c r="B74" t="s">
        <v>1774</v>
      </c>
      <c r="C74">
        <v>1</v>
      </c>
      <c r="D74" s="19">
        <v>229194</v>
      </c>
    </row>
    <row r="75" spans="1:4">
      <c r="A75"/>
      <c r="B75" t="s">
        <v>2187</v>
      </c>
      <c r="C75">
        <v>1</v>
      </c>
      <c r="D75" s="19">
        <v>4261045</v>
      </c>
    </row>
    <row r="76" spans="1:4">
      <c r="A76"/>
      <c r="B76" t="s">
        <v>3644</v>
      </c>
      <c r="C76">
        <v>1</v>
      </c>
      <c r="D76" s="19">
        <v>973052</v>
      </c>
    </row>
    <row r="77" spans="1:4">
      <c r="A77" t="s">
        <v>7937</v>
      </c>
      <c r="B77"/>
      <c r="C77">
        <v>11</v>
      </c>
      <c r="D77" s="19">
        <v>44000662.740000002</v>
      </c>
    </row>
    <row r="78" spans="1:4">
      <c r="A78" t="s">
        <v>2144</v>
      </c>
      <c r="B78" t="s">
        <v>2141</v>
      </c>
      <c r="C78">
        <v>1</v>
      </c>
      <c r="D78" s="19">
        <v>335829.9</v>
      </c>
    </row>
    <row r="79" spans="1:4">
      <c r="A79"/>
      <c r="B79" t="s">
        <v>2146</v>
      </c>
      <c r="C79">
        <v>1</v>
      </c>
      <c r="D79" s="19">
        <v>490256.2</v>
      </c>
    </row>
    <row r="80" spans="1:4">
      <c r="A80" t="s">
        <v>7770</v>
      </c>
      <c r="B80"/>
      <c r="C80">
        <v>2</v>
      </c>
      <c r="D80" s="19">
        <v>826086.10000000009</v>
      </c>
    </row>
    <row r="81" spans="1:4">
      <c r="A81" t="s">
        <v>970</v>
      </c>
      <c r="B81" t="s">
        <v>967</v>
      </c>
      <c r="C81">
        <v>1</v>
      </c>
      <c r="D81" s="19">
        <v>603330</v>
      </c>
    </row>
    <row r="82" spans="1:4">
      <c r="A82" t="s">
        <v>8274</v>
      </c>
      <c r="B82"/>
      <c r="C82">
        <v>1</v>
      </c>
      <c r="D82" s="19">
        <v>603330</v>
      </c>
    </row>
    <row r="83" spans="1:4">
      <c r="A83" t="s">
        <v>2358</v>
      </c>
      <c r="B83" t="s">
        <v>2355</v>
      </c>
      <c r="C83">
        <v>1</v>
      </c>
      <c r="D83" s="19">
        <v>120395.97</v>
      </c>
    </row>
    <row r="84" spans="1:4">
      <c r="A84" t="s">
        <v>8275</v>
      </c>
      <c r="B84"/>
      <c r="C84">
        <v>1</v>
      </c>
      <c r="D84" s="19">
        <v>120395.97</v>
      </c>
    </row>
    <row r="85" spans="1:4">
      <c r="A85" t="s">
        <v>3885</v>
      </c>
      <c r="B85" t="s">
        <v>3882</v>
      </c>
      <c r="C85">
        <v>1</v>
      </c>
      <c r="D85" s="19">
        <v>701521.66</v>
      </c>
    </row>
    <row r="86" spans="1:4">
      <c r="A86"/>
      <c r="B86" t="s">
        <v>4741</v>
      </c>
      <c r="C86">
        <v>1</v>
      </c>
      <c r="D86" s="19">
        <v>65791.53</v>
      </c>
    </row>
    <row r="87" spans="1:4">
      <c r="A87" t="s">
        <v>8276</v>
      </c>
      <c r="B87"/>
      <c r="C87">
        <v>2</v>
      </c>
      <c r="D87" s="19">
        <v>767313.19000000006</v>
      </c>
    </row>
    <row r="88" spans="1:4">
      <c r="A88" s="23" t="s">
        <v>312</v>
      </c>
      <c r="B88" t="s">
        <v>309</v>
      </c>
      <c r="C88">
        <v>1</v>
      </c>
      <c r="D88" s="19">
        <v>2494500</v>
      </c>
    </row>
    <row r="89" spans="1:4">
      <c r="B89" t="s">
        <v>928</v>
      </c>
      <c r="C89">
        <v>1</v>
      </c>
      <c r="D89" s="19">
        <v>7450500</v>
      </c>
    </row>
    <row r="90" spans="1:4">
      <c r="B90" t="s">
        <v>4160</v>
      </c>
      <c r="C90">
        <v>1</v>
      </c>
      <c r="D90" s="19">
        <v>2419746</v>
      </c>
    </row>
    <row r="91" spans="1:4">
      <c r="A91" s="23" t="s">
        <v>8277</v>
      </c>
      <c r="B91" s="23"/>
      <c r="C91">
        <v>3</v>
      </c>
      <c r="D91" s="19">
        <v>12364746</v>
      </c>
    </row>
    <row r="92" spans="1:4">
      <c r="A92" t="s">
        <v>4072</v>
      </c>
      <c r="B92" t="s">
        <v>4069</v>
      </c>
      <c r="C92">
        <v>1</v>
      </c>
      <c r="D92" s="19">
        <v>101507</v>
      </c>
    </row>
    <row r="93" spans="1:4">
      <c r="A93" t="s">
        <v>8278</v>
      </c>
      <c r="B93"/>
      <c r="C93">
        <v>1</v>
      </c>
      <c r="D93" s="19">
        <v>101507</v>
      </c>
    </row>
    <row r="94" spans="1:4">
      <c r="A94" t="s">
        <v>2799</v>
      </c>
      <c r="B94" t="s">
        <v>2796</v>
      </c>
      <c r="C94">
        <v>1</v>
      </c>
      <c r="D94" s="19">
        <v>7442260</v>
      </c>
    </row>
    <row r="95" spans="1:4">
      <c r="A95" t="s">
        <v>8279</v>
      </c>
      <c r="B95"/>
      <c r="C95">
        <v>1</v>
      </c>
      <c r="D95" s="19">
        <v>7442260</v>
      </c>
    </row>
    <row r="96" spans="1:4">
      <c r="A96" t="s">
        <v>708</v>
      </c>
      <c r="B96" t="s">
        <v>705</v>
      </c>
      <c r="C96">
        <v>1</v>
      </c>
      <c r="D96" s="19">
        <v>1610749.12</v>
      </c>
    </row>
    <row r="97" spans="1:4">
      <c r="A97"/>
      <c r="B97" t="s">
        <v>851</v>
      </c>
      <c r="C97">
        <v>1</v>
      </c>
      <c r="D97" s="19">
        <v>2322880</v>
      </c>
    </row>
    <row r="98" spans="1:4">
      <c r="A98" t="s">
        <v>7780</v>
      </c>
      <c r="B98"/>
      <c r="C98">
        <v>2</v>
      </c>
      <c r="D98" s="19">
        <v>3933629.12</v>
      </c>
    </row>
    <row r="99" spans="1:4">
      <c r="A99" t="s">
        <v>2577</v>
      </c>
      <c r="B99" t="s">
        <v>2574</v>
      </c>
      <c r="C99">
        <v>1</v>
      </c>
      <c r="D99" s="19">
        <v>4097077.18</v>
      </c>
    </row>
    <row r="100" spans="1:4">
      <c r="A100"/>
      <c r="B100" t="s">
        <v>2579</v>
      </c>
      <c r="C100">
        <v>1</v>
      </c>
      <c r="D100" s="19">
        <v>585291.98</v>
      </c>
    </row>
    <row r="101" spans="1:4">
      <c r="A101"/>
      <c r="B101" t="s">
        <v>6158</v>
      </c>
      <c r="C101">
        <v>1</v>
      </c>
      <c r="D101" s="19">
        <v>1261878.3799999999</v>
      </c>
    </row>
    <row r="102" spans="1:4">
      <c r="A102" t="s">
        <v>7584</v>
      </c>
      <c r="B102"/>
      <c r="C102">
        <v>3</v>
      </c>
      <c r="D102" s="19">
        <v>5944247.54</v>
      </c>
    </row>
    <row r="103" spans="1:4">
      <c r="A103" t="s">
        <v>1462</v>
      </c>
      <c r="B103" t="s">
        <v>3960</v>
      </c>
      <c r="C103">
        <v>1</v>
      </c>
      <c r="D103" s="19">
        <v>830620</v>
      </c>
    </row>
    <row r="104" spans="1:4">
      <c r="A104"/>
      <c r="B104" t="s">
        <v>3999</v>
      </c>
      <c r="C104">
        <v>1</v>
      </c>
      <c r="D104" s="19">
        <v>830620</v>
      </c>
    </row>
    <row r="105" spans="1:4">
      <c r="A105" t="s">
        <v>7588</v>
      </c>
      <c r="B105"/>
      <c r="C105">
        <v>2</v>
      </c>
      <c r="D105" s="19">
        <v>1661240</v>
      </c>
    </row>
    <row r="106" spans="1:4">
      <c r="A106" s="23" t="s">
        <v>1902</v>
      </c>
      <c r="B106" t="s">
        <v>1899</v>
      </c>
      <c r="C106">
        <v>1</v>
      </c>
      <c r="D106" s="19">
        <v>980333.2</v>
      </c>
    </row>
    <row r="107" spans="1:4">
      <c r="A107" s="23" t="s">
        <v>8280</v>
      </c>
      <c r="B107" s="23"/>
      <c r="C107">
        <v>1</v>
      </c>
      <c r="D107" s="19">
        <v>980333.2</v>
      </c>
    </row>
    <row r="108" spans="1:4">
      <c r="A108" t="s">
        <v>5303</v>
      </c>
      <c r="B108" t="s">
        <v>5300</v>
      </c>
      <c r="C108">
        <v>1</v>
      </c>
      <c r="D108" s="19">
        <v>308686</v>
      </c>
    </row>
    <row r="109" spans="1:4">
      <c r="A109" t="s">
        <v>7963</v>
      </c>
      <c r="B109"/>
      <c r="C109">
        <v>1</v>
      </c>
      <c r="D109" s="19">
        <v>308686</v>
      </c>
    </row>
    <row r="110" spans="1:4">
      <c r="A110" t="s">
        <v>2007</v>
      </c>
      <c r="B110" t="s">
        <v>2004</v>
      </c>
      <c r="C110">
        <v>1</v>
      </c>
      <c r="D110" s="19">
        <v>899252.3</v>
      </c>
    </row>
    <row r="111" spans="1:4">
      <c r="A111" t="s">
        <v>8281</v>
      </c>
      <c r="B111"/>
      <c r="C111">
        <v>1</v>
      </c>
      <c r="D111" s="19">
        <v>899252.3</v>
      </c>
    </row>
    <row r="112" spans="1:4">
      <c r="A112" t="s">
        <v>1739</v>
      </c>
      <c r="B112" t="s">
        <v>1736</v>
      </c>
      <c r="C112">
        <v>1</v>
      </c>
      <c r="D112" s="19">
        <v>296534</v>
      </c>
    </row>
    <row r="113" spans="1:4">
      <c r="A113" t="s">
        <v>8282</v>
      </c>
      <c r="B113"/>
      <c r="C113">
        <v>1</v>
      </c>
      <c r="D113" s="19">
        <v>296534</v>
      </c>
    </row>
    <row r="114" spans="1:4">
      <c r="A114" t="s">
        <v>3749</v>
      </c>
      <c r="B114" t="s">
        <v>3746</v>
      </c>
      <c r="C114">
        <v>1</v>
      </c>
      <c r="D114" s="19">
        <v>16247070</v>
      </c>
    </row>
    <row r="115" spans="1:4">
      <c r="A115" t="s">
        <v>8283</v>
      </c>
      <c r="B115"/>
      <c r="C115">
        <v>1</v>
      </c>
      <c r="D115" s="19">
        <v>16247070</v>
      </c>
    </row>
    <row r="116" spans="1:4">
      <c r="A116" t="s">
        <v>6192</v>
      </c>
      <c r="B116" t="s">
        <v>6189</v>
      </c>
      <c r="C116">
        <v>1</v>
      </c>
      <c r="D116" s="19">
        <v>941468.5</v>
      </c>
    </row>
    <row r="117" spans="1:4">
      <c r="A117" t="s">
        <v>7992</v>
      </c>
      <c r="B117"/>
      <c r="C117">
        <v>1</v>
      </c>
      <c r="D117" s="19">
        <v>941468.5</v>
      </c>
    </row>
    <row r="118" spans="1:4">
      <c r="A118" t="s">
        <v>500</v>
      </c>
      <c r="B118" t="s">
        <v>497</v>
      </c>
      <c r="C118">
        <v>1</v>
      </c>
      <c r="D118" s="19">
        <v>952000</v>
      </c>
    </row>
    <row r="119" spans="1:4">
      <c r="A119"/>
      <c r="B119" t="s">
        <v>1346</v>
      </c>
      <c r="C119">
        <v>1</v>
      </c>
      <c r="D119" s="19">
        <v>702100</v>
      </c>
    </row>
    <row r="120" spans="1:4">
      <c r="A120"/>
      <c r="B120" t="s">
        <v>2047</v>
      </c>
      <c r="C120">
        <v>1</v>
      </c>
      <c r="D120" s="19">
        <v>1558900</v>
      </c>
    </row>
    <row r="121" spans="1:4">
      <c r="A121"/>
      <c r="B121" t="s">
        <v>2050</v>
      </c>
      <c r="C121">
        <v>1</v>
      </c>
      <c r="D121" s="19">
        <v>119000</v>
      </c>
    </row>
    <row r="122" spans="1:4">
      <c r="A122"/>
      <c r="B122" t="s">
        <v>2088</v>
      </c>
      <c r="C122">
        <v>1</v>
      </c>
      <c r="D122" s="19">
        <v>1636250</v>
      </c>
    </row>
    <row r="123" spans="1:4">
      <c r="A123"/>
      <c r="B123" t="s">
        <v>2255</v>
      </c>
      <c r="C123">
        <v>1</v>
      </c>
      <c r="D123" s="19">
        <v>4833780</v>
      </c>
    </row>
    <row r="124" spans="1:4">
      <c r="A124"/>
      <c r="B124" t="s">
        <v>4553</v>
      </c>
      <c r="C124">
        <v>1</v>
      </c>
      <c r="D124" s="19">
        <v>702100</v>
      </c>
    </row>
    <row r="125" spans="1:4">
      <c r="A125"/>
      <c r="B125" t="s">
        <v>6537</v>
      </c>
      <c r="C125">
        <v>1</v>
      </c>
      <c r="D125" s="19">
        <v>14501340</v>
      </c>
    </row>
    <row r="126" spans="1:4">
      <c r="A126"/>
      <c r="B126" t="s">
        <v>7056</v>
      </c>
      <c r="C126">
        <v>1</v>
      </c>
      <c r="D126" s="19">
        <v>321300</v>
      </c>
    </row>
    <row r="127" spans="1:4">
      <c r="A127"/>
      <c r="B127" t="s">
        <v>7170</v>
      </c>
      <c r="C127">
        <v>1</v>
      </c>
      <c r="D127" s="19">
        <v>4833780</v>
      </c>
    </row>
    <row r="128" spans="1:4">
      <c r="A128"/>
      <c r="B128" t="s">
        <v>7448</v>
      </c>
      <c r="C128">
        <v>1</v>
      </c>
      <c r="D128" s="19">
        <v>2201500</v>
      </c>
    </row>
    <row r="129" spans="1:4">
      <c r="A129"/>
      <c r="B129" t="s">
        <v>7451</v>
      </c>
      <c r="C129">
        <v>1</v>
      </c>
      <c r="D129" s="19">
        <v>4736200</v>
      </c>
    </row>
    <row r="130" spans="1:4">
      <c r="A130" t="s">
        <v>7793</v>
      </c>
      <c r="B130"/>
      <c r="C130">
        <v>12</v>
      </c>
      <c r="D130" s="19">
        <v>37098250</v>
      </c>
    </row>
    <row r="131" spans="1:4">
      <c r="A131" s="23" t="s">
        <v>3079</v>
      </c>
      <c r="B131" t="s">
        <v>3076</v>
      </c>
      <c r="C131">
        <v>1</v>
      </c>
      <c r="D131" s="19">
        <v>2191411.5</v>
      </c>
    </row>
    <row r="132" spans="1:4">
      <c r="B132" t="s">
        <v>5129</v>
      </c>
      <c r="C132">
        <v>1</v>
      </c>
      <c r="D132" s="19">
        <v>459042.5</v>
      </c>
    </row>
    <row r="133" spans="1:4">
      <c r="A133" s="23" t="s">
        <v>7996</v>
      </c>
      <c r="B133" s="23"/>
      <c r="C133">
        <v>2</v>
      </c>
      <c r="D133" s="19">
        <v>2650454</v>
      </c>
    </row>
    <row r="134" spans="1:4">
      <c r="A134" t="s">
        <v>1057</v>
      </c>
      <c r="B134" t="s">
        <v>1054</v>
      </c>
      <c r="C134">
        <v>1</v>
      </c>
      <c r="D134" s="19">
        <v>558812.1</v>
      </c>
    </row>
    <row r="135" spans="1:4">
      <c r="A135" t="s">
        <v>7619</v>
      </c>
      <c r="B135"/>
      <c r="C135">
        <v>1</v>
      </c>
      <c r="D135" s="19">
        <v>558812.1</v>
      </c>
    </row>
    <row r="136" spans="1:4">
      <c r="A136" t="s">
        <v>1772</v>
      </c>
      <c r="B136" t="s">
        <v>1769</v>
      </c>
      <c r="C136">
        <v>1</v>
      </c>
      <c r="D136" s="19">
        <v>215431.65</v>
      </c>
    </row>
    <row r="137" spans="1:4">
      <c r="A137"/>
      <c r="B137" t="s">
        <v>2462</v>
      </c>
      <c r="C137">
        <v>1</v>
      </c>
      <c r="D137" s="19">
        <v>4037741.4</v>
      </c>
    </row>
    <row r="138" spans="1:4">
      <c r="A138"/>
      <c r="B138" t="s">
        <v>2773</v>
      </c>
      <c r="C138">
        <v>1</v>
      </c>
      <c r="D138" s="19">
        <v>10084256.35</v>
      </c>
    </row>
    <row r="139" spans="1:4">
      <c r="A139" t="s">
        <v>8020</v>
      </c>
      <c r="B139"/>
      <c r="C139">
        <v>3</v>
      </c>
      <c r="D139" s="19">
        <v>14337429.399999999</v>
      </c>
    </row>
    <row r="140" spans="1:4">
      <c r="A140" t="s">
        <v>5312</v>
      </c>
      <c r="B140" t="s">
        <v>5309</v>
      </c>
      <c r="C140">
        <v>1</v>
      </c>
      <c r="D140" s="19">
        <v>270338.25</v>
      </c>
    </row>
    <row r="141" spans="1:4">
      <c r="A141" t="s">
        <v>8284</v>
      </c>
      <c r="B141"/>
      <c r="C141">
        <v>1</v>
      </c>
      <c r="D141" s="19">
        <v>270338.25</v>
      </c>
    </row>
    <row r="142" spans="1:4">
      <c r="A142" t="s">
        <v>897</v>
      </c>
      <c r="B142" t="s">
        <v>894</v>
      </c>
      <c r="C142">
        <v>1</v>
      </c>
      <c r="D142" s="19">
        <v>1671228.75</v>
      </c>
    </row>
    <row r="143" spans="1:4">
      <c r="A143"/>
      <c r="B143" t="s">
        <v>3220</v>
      </c>
      <c r="C143">
        <v>1</v>
      </c>
      <c r="D143" s="19">
        <v>1862112</v>
      </c>
    </row>
    <row r="144" spans="1:4">
      <c r="A144"/>
      <c r="B144" t="s">
        <v>3223</v>
      </c>
      <c r="C144">
        <v>1</v>
      </c>
      <c r="D144" s="19">
        <v>711370.1</v>
      </c>
    </row>
    <row r="145" spans="1:4">
      <c r="A145" t="s">
        <v>8028</v>
      </c>
      <c r="B145"/>
      <c r="C145">
        <v>3</v>
      </c>
      <c r="D145" s="19">
        <v>4244710.8499999996</v>
      </c>
    </row>
    <row r="146" spans="1:4">
      <c r="A146" t="s">
        <v>156</v>
      </c>
      <c r="B146" t="s">
        <v>153</v>
      </c>
      <c r="C146">
        <v>1</v>
      </c>
      <c r="D146" s="19">
        <v>654500</v>
      </c>
    </row>
    <row r="147" spans="1:4">
      <c r="A147" t="s">
        <v>7624</v>
      </c>
      <c r="B147"/>
      <c r="C147">
        <v>1</v>
      </c>
      <c r="D147" s="19">
        <v>654500</v>
      </c>
    </row>
    <row r="148" spans="1:4">
      <c r="A148" t="s">
        <v>1590</v>
      </c>
      <c r="B148" t="s">
        <v>1587</v>
      </c>
      <c r="C148">
        <v>1</v>
      </c>
      <c r="D148" s="19">
        <v>525735</v>
      </c>
    </row>
    <row r="149" spans="1:4">
      <c r="A149" t="s">
        <v>8033</v>
      </c>
      <c r="B149"/>
      <c r="C149">
        <v>1</v>
      </c>
      <c r="D149" s="19">
        <v>525735</v>
      </c>
    </row>
    <row r="150" spans="1:4">
      <c r="A150" t="s">
        <v>2540</v>
      </c>
      <c r="B150" t="s">
        <v>2537</v>
      </c>
      <c r="C150">
        <v>1</v>
      </c>
      <c r="D150" s="19">
        <v>132252339.8</v>
      </c>
    </row>
    <row r="151" spans="1:4">
      <c r="A151" t="s">
        <v>8285</v>
      </c>
      <c r="B151"/>
      <c r="C151">
        <v>1</v>
      </c>
      <c r="D151" s="19">
        <v>132252339.8</v>
      </c>
    </row>
    <row r="152" spans="1:4">
      <c r="A152" t="s">
        <v>3105</v>
      </c>
      <c r="B152" t="s">
        <v>3103</v>
      </c>
      <c r="C152">
        <v>1</v>
      </c>
      <c r="D152" s="19">
        <v>342338.99</v>
      </c>
    </row>
    <row r="153" spans="1:4">
      <c r="A153" t="s">
        <v>8286</v>
      </c>
      <c r="B153"/>
      <c r="C153">
        <v>1</v>
      </c>
      <c r="D153" s="19">
        <v>342338.99</v>
      </c>
    </row>
    <row r="154" spans="1:4">
      <c r="A154" t="s">
        <v>4144</v>
      </c>
      <c r="B154" t="s">
        <v>4141</v>
      </c>
      <c r="C154">
        <v>1</v>
      </c>
      <c r="D154" s="19">
        <v>119894.88</v>
      </c>
    </row>
    <row r="155" spans="1:4">
      <c r="A155" t="s">
        <v>8287</v>
      </c>
      <c r="B155"/>
      <c r="C155">
        <v>1</v>
      </c>
      <c r="D155" s="19">
        <v>119894.88</v>
      </c>
    </row>
    <row r="156" spans="1:4">
      <c r="A156" t="s">
        <v>1796</v>
      </c>
      <c r="B156" t="s">
        <v>1793</v>
      </c>
      <c r="C156">
        <v>1</v>
      </c>
      <c r="D156" s="19">
        <v>5911682</v>
      </c>
    </row>
    <row r="157" spans="1:4">
      <c r="A157" t="s">
        <v>8288</v>
      </c>
      <c r="B157"/>
      <c r="C157">
        <v>1</v>
      </c>
      <c r="D157" s="19">
        <v>5911682</v>
      </c>
    </row>
    <row r="158" spans="1:4">
      <c r="A158" t="s">
        <v>891</v>
      </c>
      <c r="B158" t="s">
        <v>888</v>
      </c>
      <c r="C158">
        <v>1</v>
      </c>
      <c r="D158" s="19">
        <v>859001.5</v>
      </c>
    </row>
    <row r="159" spans="1:4">
      <c r="A159"/>
      <c r="B159" t="s">
        <v>1905</v>
      </c>
      <c r="C159">
        <v>1</v>
      </c>
      <c r="D159" s="19">
        <v>670862.5</v>
      </c>
    </row>
    <row r="160" spans="1:4">
      <c r="A160" t="s">
        <v>7722</v>
      </c>
      <c r="B160"/>
      <c r="C160">
        <v>2</v>
      </c>
      <c r="D160" s="19">
        <v>1529864</v>
      </c>
    </row>
    <row r="161" spans="1:4">
      <c r="A161" t="s">
        <v>2012</v>
      </c>
      <c r="B161" t="s">
        <v>2009</v>
      </c>
      <c r="C161">
        <v>1</v>
      </c>
      <c r="D161" s="19">
        <v>117869.5</v>
      </c>
    </row>
    <row r="162" spans="1:4">
      <c r="A162" t="s">
        <v>8043</v>
      </c>
      <c r="B162"/>
      <c r="C162">
        <v>1</v>
      </c>
      <c r="D162" s="19">
        <v>117869.5</v>
      </c>
    </row>
    <row r="163" spans="1:4">
      <c r="A163" t="s">
        <v>1362</v>
      </c>
      <c r="B163" t="s">
        <v>1359</v>
      </c>
      <c r="C163">
        <v>1</v>
      </c>
      <c r="D163" s="19">
        <v>274414</v>
      </c>
    </row>
    <row r="164" spans="1:4">
      <c r="A164" t="s">
        <v>8289</v>
      </c>
      <c r="B164"/>
      <c r="C164">
        <v>1</v>
      </c>
      <c r="D164" s="19">
        <v>274414</v>
      </c>
    </row>
    <row r="165" spans="1:4">
      <c r="A165" t="s">
        <v>3197</v>
      </c>
      <c r="B165" t="s">
        <v>3194</v>
      </c>
      <c r="C165">
        <v>1</v>
      </c>
      <c r="D165" s="19">
        <v>821866.5</v>
      </c>
    </row>
    <row r="166" spans="1:4">
      <c r="A166"/>
      <c r="B166" t="s">
        <v>4726</v>
      </c>
      <c r="C166">
        <v>1</v>
      </c>
      <c r="D166" s="19">
        <v>534885.75</v>
      </c>
    </row>
    <row r="167" spans="1:4">
      <c r="A167" t="s">
        <v>8051</v>
      </c>
      <c r="B167"/>
      <c r="C167">
        <v>2</v>
      </c>
      <c r="D167" s="19">
        <v>1356752.25</v>
      </c>
    </row>
    <row r="168" spans="1:4">
      <c r="A168" t="s">
        <v>2398</v>
      </c>
      <c r="B168" t="s">
        <v>2395</v>
      </c>
      <c r="C168">
        <v>1</v>
      </c>
      <c r="D168" s="19">
        <v>415310</v>
      </c>
    </row>
    <row r="169" spans="1:4">
      <c r="A169"/>
      <c r="B169" t="s">
        <v>4130</v>
      </c>
      <c r="C169">
        <v>1</v>
      </c>
      <c r="D169" s="19">
        <v>689010</v>
      </c>
    </row>
    <row r="170" spans="1:4">
      <c r="A170"/>
      <c r="B170" t="s">
        <v>4134</v>
      </c>
      <c r="C170">
        <v>1</v>
      </c>
      <c r="D170" s="19">
        <v>391510</v>
      </c>
    </row>
    <row r="171" spans="1:4">
      <c r="A171" t="s">
        <v>8290</v>
      </c>
      <c r="B171"/>
      <c r="C171">
        <v>3</v>
      </c>
      <c r="D171" s="19">
        <v>1495830</v>
      </c>
    </row>
    <row r="172" spans="1:4">
      <c r="A172" t="s">
        <v>3862</v>
      </c>
      <c r="B172" t="s">
        <v>3859</v>
      </c>
      <c r="C172">
        <v>1</v>
      </c>
      <c r="D172" s="19">
        <v>357000</v>
      </c>
    </row>
    <row r="173" spans="1:4">
      <c r="A173" t="s">
        <v>7633</v>
      </c>
      <c r="B173"/>
      <c r="C173">
        <v>1</v>
      </c>
      <c r="D173" s="19">
        <v>357000</v>
      </c>
    </row>
    <row r="174" spans="1:4">
      <c r="A174" t="s">
        <v>2757</v>
      </c>
      <c r="B174" t="s">
        <v>2754</v>
      </c>
      <c r="C174">
        <v>1</v>
      </c>
      <c r="D174" s="19">
        <v>610470</v>
      </c>
    </row>
    <row r="175" spans="1:4">
      <c r="A175"/>
      <c r="B175" t="s">
        <v>3131</v>
      </c>
      <c r="C175">
        <v>1</v>
      </c>
      <c r="D175" s="19">
        <v>4846060.8</v>
      </c>
    </row>
    <row r="176" spans="1:4">
      <c r="A176"/>
      <c r="B176" t="s">
        <v>3473</v>
      </c>
      <c r="C176">
        <v>1</v>
      </c>
      <c r="D176" s="19">
        <v>305235</v>
      </c>
    </row>
    <row r="177" spans="1:4">
      <c r="A177"/>
      <c r="B177" t="s">
        <v>3567</v>
      </c>
      <c r="C177">
        <v>1</v>
      </c>
      <c r="D177" s="19">
        <v>1547000</v>
      </c>
    </row>
    <row r="178" spans="1:4">
      <c r="A178" t="s">
        <v>8291</v>
      </c>
      <c r="B178"/>
      <c r="C178">
        <v>4</v>
      </c>
      <c r="D178" s="19">
        <v>7308765.7999999998</v>
      </c>
    </row>
    <row r="179" spans="1:4">
      <c r="A179" t="s">
        <v>180</v>
      </c>
      <c r="B179" t="s">
        <v>177</v>
      </c>
      <c r="C179">
        <v>1</v>
      </c>
      <c r="D179" s="19">
        <v>268811.48</v>
      </c>
    </row>
    <row r="180" spans="1:4">
      <c r="A180" t="s">
        <v>8292</v>
      </c>
      <c r="B180"/>
      <c r="C180">
        <v>1</v>
      </c>
      <c r="D180" s="19">
        <v>268811.48</v>
      </c>
    </row>
    <row r="181" spans="1:4">
      <c r="A181" t="s">
        <v>457</v>
      </c>
      <c r="B181" t="s">
        <v>454</v>
      </c>
      <c r="C181">
        <v>1</v>
      </c>
      <c r="D181" s="19">
        <v>7085260</v>
      </c>
    </row>
    <row r="182" spans="1:4">
      <c r="A182" t="s">
        <v>8293</v>
      </c>
      <c r="B182"/>
      <c r="C182">
        <v>1</v>
      </c>
      <c r="D182" s="19">
        <v>7085260</v>
      </c>
    </row>
    <row r="183" spans="1:4">
      <c r="A183" t="s">
        <v>627</v>
      </c>
      <c r="B183" t="s">
        <v>3837</v>
      </c>
      <c r="C183">
        <v>1</v>
      </c>
      <c r="D183" s="19">
        <v>946600</v>
      </c>
    </row>
    <row r="184" spans="1:4">
      <c r="A184" t="s">
        <v>7821</v>
      </c>
      <c r="B184"/>
      <c r="C184">
        <v>1</v>
      </c>
      <c r="D184" s="19">
        <v>946600</v>
      </c>
    </row>
    <row r="185" spans="1:4">
      <c r="A185" t="s">
        <v>646</v>
      </c>
      <c r="B185" t="s">
        <v>643</v>
      </c>
      <c r="C185">
        <v>1</v>
      </c>
      <c r="D185" s="19">
        <v>1570800</v>
      </c>
    </row>
    <row r="186" spans="1:4">
      <c r="A186"/>
      <c r="B186" t="s">
        <v>5037</v>
      </c>
      <c r="C186">
        <v>1</v>
      </c>
      <c r="D186" s="19">
        <v>753270</v>
      </c>
    </row>
    <row r="187" spans="1:4">
      <c r="A187" t="s">
        <v>8294</v>
      </c>
      <c r="B187"/>
      <c r="C187">
        <v>2</v>
      </c>
      <c r="D187" s="19">
        <v>2324070</v>
      </c>
    </row>
    <row r="188" spans="1:4">
      <c r="A188" t="s">
        <v>916</v>
      </c>
      <c r="B188" t="s">
        <v>918</v>
      </c>
      <c r="C188">
        <v>1</v>
      </c>
      <c r="D188" s="19">
        <v>7831300.75</v>
      </c>
    </row>
    <row r="189" spans="1:4">
      <c r="A189"/>
      <c r="B189" t="s">
        <v>922</v>
      </c>
      <c r="C189">
        <v>1</v>
      </c>
      <c r="D189" s="19">
        <v>12298908.23</v>
      </c>
    </row>
    <row r="190" spans="1:4">
      <c r="A190" t="s">
        <v>7828</v>
      </c>
      <c r="B190"/>
      <c r="C190">
        <v>2</v>
      </c>
      <c r="D190" s="19">
        <v>20130208.98</v>
      </c>
    </row>
    <row r="191" spans="1:4">
      <c r="A191" t="s">
        <v>1005</v>
      </c>
      <c r="B191" t="s">
        <v>3026</v>
      </c>
      <c r="C191">
        <v>1</v>
      </c>
      <c r="D191" s="19">
        <v>125808.81</v>
      </c>
    </row>
    <row r="192" spans="1:4">
      <c r="A192" t="s">
        <v>7831</v>
      </c>
      <c r="B192"/>
      <c r="C192">
        <v>1</v>
      </c>
      <c r="D192" s="19">
        <v>125808.81</v>
      </c>
    </row>
    <row r="193" spans="1:4">
      <c r="A193" t="s">
        <v>1368</v>
      </c>
      <c r="B193" t="s">
        <v>1365</v>
      </c>
      <c r="C193">
        <v>1</v>
      </c>
      <c r="D193" s="19">
        <v>2982934.92</v>
      </c>
    </row>
    <row r="194" spans="1:4">
      <c r="A194" t="s">
        <v>8295</v>
      </c>
      <c r="B194"/>
      <c r="C194">
        <v>1</v>
      </c>
      <c r="D194" s="19">
        <v>2982934.92</v>
      </c>
    </row>
    <row r="195" spans="1:4">
      <c r="A195" t="s">
        <v>1457</v>
      </c>
      <c r="B195" t="s">
        <v>1454</v>
      </c>
      <c r="C195">
        <v>1</v>
      </c>
      <c r="D195" s="19">
        <v>53323.9</v>
      </c>
    </row>
    <row r="196" spans="1:4">
      <c r="A196" t="s">
        <v>8296</v>
      </c>
      <c r="B196"/>
      <c r="C196">
        <v>1</v>
      </c>
      <c r="D196" s="19">
        <v>53323.9</v>
      </c>
    </row>
    <row r="197" spans="1:4">
      <c r="A197" t="s">
        <v>1624</v>
      </c>
      <c r="B197" t="s">
        <v>1622</v>
      </c>
      <c r="C197">
        <v>1</v>
      </c>
      <c r="D197" s="19">
        <v>120851.64</v>
      </c>
    </row>
    <row r="198" spans="1:4">
      <c r="A198"/>
      <c r="B198" t="s">
        <v>4598</v>
      </c>
      <c r="C198">
        <v>1</v>
      </c>
      <c r="D198" s="19">
        <v>38716.65</v>
      </c>
    </row>
    <row r="199" spans="1:4">
      <c r="A199" t="s">
        <v>8297</v>
      </c>
      <c r="B199"/>
      <c r="C199">
        <v>2</v>
      </c>
      <c r="D199" s="19">
        <v>159568.29</v>
      </c>
    </row>
    <row r="200" spans="1:4">
      <c r="A200" t="s">
        <v>1635</v>
      </c>
      <c r="B200" t="s">
        <v>1632</v>
      </c>
      <c r="C200">
        <v>1</v>
      </c>
      <c r="D200" s="19">
        <v>1869092.54</v>
      </c>
    </row>
    <row r="201" spans="1:4">
      <c r="A201"/>
      <c r="B201" t="s">
        <v>6623</v>
      </c>
      <c r="C201">
        <v>1</v>
      </c>
      <c r="D201" s="19">
        <v>6128500</v>
      </c>
    </row>
    <row r="202" spans="1:4">
      <c r="A202" t="s">
        <v>8298</v>
      </c>
      <c r="B202"/>
      <c r="C202">
        <v>2</v>
      </c>
      <c r="D202" s="19">
        <v>7997592.54</v>
      </c>
    </row>
    <row r="203" spans="1:4">
      <c r="A203" t="s">
        <v>1667</v>
      </c>
      <c r="B203" t="s">
        <v>1664</v>
      </c>
      <c r="C203">
        <v>1</v>
      </c>
      <c r="D203" s="19">
        <v>26400081.5</v>
      </c>
    </row>
    <row r="204" spans="1:4">
      <c r="A204"/>
      <c r="B204" t="s">
        <v>3167</v>
      </c>
      <c r="C204">
        <v>1</v>
      </c>
      <c r="D204" s="19">
        <v>1720000</v>
      </c>
    </row>
    <row r="205" spans="1:4">
      <c r="A205" t="s">
        <v>7727</v>
      </c>
      <c r="B205"/>
      <c r="C205">
        <v>2</v>
      </c>
      <c r="D205" s="19">
        <v>28120081.5</v>
      </c>
    </row>
    <row r="206" spans="1:4">
      <c r="A206" t="s">
        <v>1718</v>
      </c>
      <c r="B206" t="s">
        <v>1715</v>
      </c>
      <c r="C206">
        <v>1</v>
      </c>
      <c r="D206" s="19">
        <v>179770.36</v>
      </c>
    </row>
    <row r="207" spans="1:4">
      <c r="A207" t="s">
        <v>8299</v>
      </c>
      <c r="B207"/>
      <c r="C207">
        <v>1</v>
      </c>
      <c r="D207" s="19">
        <v>179770.36</v>
      </c>
    </row>
    <row r="208" spans="1:4">
      <c r="A208" t="s">
        <v>1911</v>
      </c>
      <c r="B208" t="s">
        <v>1908</v>
      </c>
      <c r="C208">
        <v>1</v>
      </c>
      <c r="D208" s="19">
        <v>150642.1</v>
      </c>
    </row>
    <row r="209" spans="1:4">
      <c r="A209"/>
      <c r="B209" t="s">
        <v>2479</v>
      </c>
      <c r="C209">
        <v>1</v>
      </c>
      <c r="D209" s="19">
        <v>237405</v>
      </c>
    </row>
    <row r="210" spans="1:4">
      <c r="A210" t="s">
        <v>8084</v>
      </c>
      <c r="B210"/>
      <c r="C210">
        <v>2</v>
      </c>
      <c r="D210" s="19">
        <v>388047.1</v>
      </c>
    </row>
    <row r="211" spans="1:4">
      <c r="A211" t="s">
        <v>1964</v>
      </c>
      <c r="B211" t="s">
        <v>1961</v>
      </c>
      <c r="C211">
        <v>1</v>
      </c>
      <c r="D211" s="19">
        <v>862224.02</v>
      </c>
    </row>
    <row r="212" spans="1:4">
      <c r="A212" t="s">
        <v>8300</v>
      </c>
      <c r="B212"/>
      <c r="C212">
        <v>1</v>
      </c>
      <c r="D212" s="19">
        <v>862224.02</v>
      </c>
    </row>
    <row r="213" spans="1:4">
      <c r="A213" t="s">
        <v>1983</v>
      </c>
      <c r="B213" t="s">
        <v>1980</v>
      </c>
      <c r="C213">
        <v>1</v>
      </c>
      <c r="D213" s="19">
        <v>3331120.96</v>
      </c>
    </row>
    <row r="214" spans="1:4">
      <c r="A214" t="s">
        <v>7656</v>
      </c>
      <c r="B214"/>
      <c r="C214">
        <v>1</v>
      </c>
      <c r="D214" s="19">
        <v>3331120.96</v>
      </c>
    </row>
    <row r="215" spans="1:4">
      <c r="A215" t="s">
        <v>2152</v>
      </c>
      <c r="B215" t="s">
        <v>4800</v>
      </c>
      <c r="C215">
        <v>1</v>
      </c>
      <c r="D215" s="19">
        <v>7350511</v>
      </c>
    </row>
    <row r="216" spans="1:4">
      <c r="A216" t="s">
        <v>8088</v>
      </c>
      <c r="B216"/>
      <c r="C216">
        <v>1</v>
      </c>
      <c r="D216" s="19">
        <v>7350511</v>
      </c>
    </row>
    <row r="217" spans="1:4">
      <c r="A217" t="s">
        <v>2266</v>
      </c>
      <c r="B217" t="s">
        <v>2263</v>
      </c>
      <c r="C217">
        <v>1</v>
      </c>
      <c r="D217" s="19">
        <v>232050</v>
      </c>
    </row>
    <row r="218" spans="1:4">
      <c r="A218" t="s">
        <v>8301</v>
      </c>
      <c r="B218"/>
      <c r="C218">
        <v>1</v>
      </c>
      <c r="D218" s="19">
        <v>232050</v>
      </c>
    </row>
    <row r="219" spans="1:4">
      <c r="A219" t="s">
        <v>2290</v>
      </c>
      <c r="B219" t="s">
        <v>2287</v>
      </c>
      <c r="C219">
        <v>1</v>
      </c>
      <c r="D219" s="19">
        <v>630751.74</v>
      </c>
    </row>
    <row r="220" spans="1:4">
      <c r="A220" t="s">
        <v>8302</v>
      </c>
      <c r="B220"/>
      <c r="C220">
        <v>1</v>
      </c>
      <c r="D220" s="19">
        <v>630751.74</v>
      </c>
    </row>
    <row r="221" spans="1:4">
      <c r="A221" t="s">
        <v>2439</v>
      </c>
      <c r="B221" t="s">
        <v>2436</v>
      </c>
      <c r="C221">
        <v>1</v>
      </c>
      <c r="D221" s="19">
        <v>115430</v>
      </c>
    </row>
    <row r="222" spans="1:4">
      <c r="A222" t="s">
        <v>8303</v>
      </c>
      <c r="B222"/>
      <c r="C222">
        <v>1</v>
      </c>
      <c r="D222" s="19">
        <v>115430</v>
      </c>
    </row>
    <row r="223" spans="1:4">
      <c r="A223" t="s">
        <v>2517</v>
      </c>
      <c r="B223" t="s">
        <v>2514</v>
      </c>
      <c r="C223">
        <v>1</v>
      </c>
      <c r="D223" s="19">
        <v>107100</v>
      </c>
    </row>
    <row r="224" spans="1:4">
      <c r="A224" t="s">
        <v>8304</v>
      </c>
      <c r="B224"/>
      <c r="C224">
        <v>1</v>
      </c>
      <c r="D224" s="19">
        <v>107100</v>
      </c>
    </row>
    <row r="225" spans="1:4">
      <c r="A225" t="s">
        <v>2735</v>
      </c>
      <c r="B225" t="s">
        <v>2732</v>
      </c>
      <c r="C225">
        <v>1</v>
      </c>
      <c r="D225" s="19">
        <v>156897.49</v>
      </c>
    </row>
    <row r="226" spans="1:4">
      <c r="A226" t="s">
        <v>8305</v>
      </c>
      <c r="B226"/>
      <c r="C226">
        <v>1</v>
      </c>
      <c r="D226" s="19">
        <v>156897.49</v>
      </c>
    </row>
    <row r="227" spans="1:4">
      <c r="A227" t="s">
        <v>2739</v>
      </c>
      <c r="B227" t="s">
        <v>2737</v>
      </c>
      <c r="C227">
        <v>1</v>
      </c>
      <c r="D227" s="19">
        <v>292762.56</v>
      </c>
    </row>
    <row r="228" spans="1:4">
      <c r="A228" t="s">
        <v>8306</v>
      </c>
      <c r="B228"/>
      <c r="C228">
        <v>1</v>
      </c>
      <c r="D228" s="19">
        <v>292762.56</v>
      </c>
    </row>
    <row r="229" spans="1:4">
      <c r="A229" t="s">
        <v>2751</v>
      </c>
      <c r="B229" t="s">
        <v>2748</v>
      </c>
      <c r="C229">
        <v>1</v>
      </c>
      <c r="D229" s="19">
        <v>156614.71</v>
      </c>
    </row>
    <row r="230" spans="1:4">
      <c r="A230" t="s">
        <v>8108</v>
      </c>
      <c r="B230"/>
      <c r="C230">
        <v>1</v>
      </c>
      <c r="D230" s="19">
        <v>156614.71</v>
      </c>
    </row>
    <row r="231" spans="1:4">
      <c r="A231" t="s">
        <v>2804</v>
      </c>
      <c r="B231" t="s">
        <v>3647</v>
      </c>
      <c r="C231">
        <v>1</v>
      </c>
      <c r="D231" s="19">
        <v>16751939.4</v>
      </c>
    </row>
    <row r="232" spans="1:4">
      <c r="A232"/>
      <c r="B232" t="s">
        <v>3650</v>
      </c>
      <c r="C232">
        <v>1</v>
      </c>
      <c r="D232" s="19">
        <v>309400</v>
      </c>
    </row>
    <row r="233" spans="1:4">
      <c r="A233" t="s">
        <v>7843</v>
      </c>
      <c r="B233"/>
      <c r="C233">
        <v>2</v>
      </c>
      <c r="D233" s="19">
        <v>17061339.399999999</v>
      </c>
    </row>
    <row r="234" spans="1:4">
      <c r="A234" t="s">
        <v>2812</v>
      </c>
      <c r="B234" t="s">
        <v>2809</v>
      </c>
      <c r="C234">
        <v>1</v>
      </c>
      <c r="D234" s="19">
        <v>857346.6</v>
      </c>
    </row>
    <row r="235" spans="1:4">
      <c r="A235" t="s">
        <v>8307</v>
      </c>
      <c r="B235"/>
      <c r="C235">
        <v>1</v>
      </c>
      <c r="D235" s="19">
        <v>857346.6</v>
      </c>
    </row>
    <row r="236" spans="1:4">
      <c r="A236" t="s">
        <v>2842</v>
      </c>
      <c r="B236" t="s">
        <v>3257</v>
      </c>
      <c r="C236">
        <v>1</v>
      </c>
      <c r="D236" s="19">
        <v>534298.1</v>
      </c>
    </row>
    <row r="237" spans="1:4">
      <c r="A237" t="s">
        <v>8109</v>
      </c>
      <c r="B237"/>
      <c r="C237">
        <v>1</v>
      </c>
      <c r="D237" s="19">
        <v>534298.1</v>
      </c>
    </row>
    <row r="238" spans="1:4">
      <c r="A238" t="s">
        <v>2922</v>
      </c>
      <c r="B238" t="s">
        <v>2919</v>
      </c>
      <c r="C238">
        <v>1</v>
      </c>
      <c r="D238" s="19">
        <v>385203</v>
      </c>
    </row>
    <row r="239" spans="1:4">
      <c r="A239" t="s">
        <v>8308</v>
      </c>
      <c r="B239"/>
      <c r="C239">
        <v>1</v>
      </c>
      <c r="D239" s="19">
        <v>385203</v>
      </c>
    </row>
    <row r="240" spans="1:4">
      <c r="A240" t="s">
        <v>2936</v>
      </c>
      <c r="B240" t="s">
        <v>2933</v>
      </c>
      <c r="C240">
        <v>1</v>
      </c>
      <c r="D240" s="19">
        <v>282625</v>
      </c>
    </row>
    <row r="241" spans="1:4">
      <c r="A241" t="s">
        <v>8309</v>
      </c>
      <c r="B241"/>
      <c r="C241">
        <v>1</v>
      </c>
      <c r="D241" s="19">
        <v>282625</v>
      </c>
    </row>
    <row r="242" spans="1:4">
      <c r="A242" t="s">
        <v>2941</v>
      </c>
      <c r="B242" t="s">
        <v>2938</v>
      </c>
      <c r="C242">
        <v>1</v>
      </c>
      <c r="D242" s="19">
        <v>367888.5</v>
      </c>
    </row>
    <row r="243" spans="1:4">
      <c r="A243" t="s">
        <v>8310</v>
      </c>
      <c r="B243"/>
      <c r="C243">
        <v>1</v>
      </c>
      <c r="D243" s="19">
        <v>367888.5</v>
      </c>
    </row>
    <row r="244" spans="1:4">
      <c r="A244" t="s">
        <v>2985</v>
      </c>
      <c r="B244" t="s">
        <v>2982</v>
      </c>
      <c r="C244">
        <v>1</v>
      </c>
      <c r="D244" s="19">
        <v>3396260</v>
      </c>
    </row>
    <row r="245" spans="1:4">
      <c r="A245" t="s">
        <v>8311</v>
      </c>
      <c r="B245"/>
      <c r="C245">
        <v>1</v>
      </c>
      <c r="D245" s="19">
        <v>3396260</v>
      </c>
    </row>
    <row r="246" spans="1:4">
      <c r="A246" t="s">
        <v>3024</v>
      </c>
      <c r="B246" t="s">
        <v>3021</v>
      </c>
      <c r="C246">
        <v>1</v>
      </c>
      <c r="D246" s="19">
        <v>1836198.56</v>
      </c>
    </row>
    <row r="247" spans="1:4">
      <c r="A247" t="s">
        <v>8312</v>
      </c>
      <c r="B247"/>
      <c r="C247">
        <v>1</v>
      </c>
      <c r="D247" s="19">
        <v>1836198.56</v>
      </c>
    </row>
    <row r="248" spans="1:4">
      <c r="A248" t="s">
        <v>3069</v>
      </c>
      <c r="B248" t="s">
        <v>3066</v>
      </c>
      <c r="C248">
        <v>1</v>
      </c>
      <c r="D248" s="19">
        <v>5283961.54</v>
      </c>
    </row>
    <row r="249" spans="1:4">
      <c r="A249" t="s">
        <v>8313</v>
      </c>
      <c r="B249"/>
      <c r="C249">
        <v>1</v>
      </c>
      <c r="D249" s="19">
        <v>5283961.54</v>
      </c>
    </row>
    <row r="250" spans="1:4">
      <c r="A250" t="s">
        <v>3074</v>
      </c>
      <c r="B250" t="s">
        <v>3071</v>
      </c>
      <c r="C250">
        <v>1</v>
      </c>
      <c r="D250" s="19">
        <v>10038423.5</v>
      </c>
    </row>
    <row r="251" spans="1:4">
      <c r="A251" t="s">
        <v>8120</v>
      </c>
      <c r="B251"/>
      <c r="C251">
        <v>1</v>
      </c>
      <c r="D251" s="19">
        <v>10038423.5</v>
      </c>
    </row>
    <row r="252" spans="1:4">
      <c r="A252" t="s">
        <v>3160</v>
      </c>
      <c r="B252" t="s">
        <v>3157</v>
      </c>
      <c r="C252">
        <v>1</v>
      </c>
      <c r="D252" s="19">
        <v>16532670</v>
      </c>
    </row>
    <row r="253" spans="1:4">
      <c r="A253" t="s">
        <v>8314</v>
      </c>
      <c r="B253"/>
      <c r="C253">
        <v>1</v>
      </c>
      <c r="D253" s="19">
        <v>16532670</v>
      </c>
    </row>
    <row r="254" spans="1:4">
      <c r="A254" t="s">
        <v>3184</v>
      </c>
      <c r="B254" t="s">
        <v>3181</v>
      </c>
      <c r="C254">
        <v>1</v>
      </c>
      <c r="D254" s="19">
        <v>496230</v>
      </c>
    </row>
    <row r="255" spans="1:4">
      <c r="A255" t="s">
        <v>8315</v>
      </c>
      <c r="B255"/>
      <c r="C255">
        <v>1</v>
      </c>
      <c r="D255" s="19">
        <v>496230</v>
      </c>
    </row>
    <row r="256" spans="1:4">
      <c r="A256" t="s">
        <v>3207</v>
      </c>
      <c r="B256" t="s">
        <v>3212</v>
      </c>
      <c r="C256">
        <v>1</v>
      </c>
      <c r="D256" s="19">
        <v>69565.02</v>
      </c>
    </row>
    <row r="257" spans="1:4">
      <c r="A257"/>
      <c r="B257" t="s">
        <v>3484</v>
      </c>
      <c r="C257">
        <v>1</v>
      </c>
      <c r="D257" s="19">
        <v>38008.6</v>
      </c>
    </row>
    <row r="258" spans="1:4">
      <c r="A258"/>
      <c r="B258" t="s">
        <v>3488</v>
      </c>
      <c r="C258">
        <v>1</v>
      </c>
      <c r="D258" s="19">
        <v>288068.06</v>
      </c>
    </row>
    <row r="259" spans="1:4">
      <c r="A259" t="s">
        <v>8122</v>
      </c>
      <c r="B259"/>
      <c r="C259">
        <v>3</v>
      </c>
      <c r="D259" s="19">
        <v>395641.68</v>
      </c>
    </row>
    <row r="260" spans="1:4">
      <c r="A260" t="s">
        <v>3276</v>
      </c>
      <c r="B260" t="s">
        <v>3273</v>
      </c>
      <c r="C260">
        <v>1</v>
      </c>
      <c r="D260" s="19">
        <v>45220</v>
      </c>
    </row>
    <row r="261" spans="1:4">
      <c r="A261" t="s">
        <v>8316</v>
      </c>
      <c r="B261"/>
      <c r="C261">
        <v>1</v>
      </c>
      <c r="D261" s="19">
        <v>45220</v>
      </c>
    </row>
    <row r="262" spans="1:4">
      <c r="A262" t="s">
        <v>3620</v>
      </c>
      <c r="B262" t="s">
        <v>3617</v>
      </c>
      <c r="C262">
        <v>1</v>
      </c>
      <c r="D262" s="19">
        <v>18647300</v>
      </c>
    </row>
    <row r="263" spans="1:4">
      <c r="A263" t="s">
        <v>8317</v>
      </c>
      <c r="B263"/>
      <c r="C263">
        <v>1</v>
      </c>
      <c r="D263" s="19">
        <v>18647300</v>
      </c>
    </row>
    <row r="264" spans="1:4">
      <c r="A264" t="s">
        <v>3667</v>
      </c>
      <c r="B264" t="s">
        <v>3664</v>
      </c>
      <c r="C264">
        <v>1</v>
      </c>
      <c r="D264" s="19">
        <v>523660.69</v>
      </c>
    </row>
    <row r="265" spans="1:4">
      <c r="A265" t="s">
        <v>8318</v>
      </c>
      <c r="B265"/>
      <c r="C265">
        <v>1</v>
      </c>
      <c r="D265" s="19">
        <v>523660.69</v>
      </c>
    </row>
    <row r="266" spans="1:4">
      <c r="A266" t="s">
        <v>3843</v>
      </c>
      <c r="B266" t="s">
        <v>3840</v>
      </c>
      <c r="C266">
        <v>1</v>
      </c>
      <c r="D266" s="19">
        <v>1666000</v>
      </c>
    </row>
    <row r="267" spans="1:4">
      <c r="A267" t="s">
        <v>8146</v>
      </c>
      <c r="B267"/>
      <c r="C267">
        <v>1</v>
      </c>
      <c r="D267" s="19">
        <v>1666000</v>
      </c>
    </row>
    <row r="268" spans="1:4">
      <c r="A268" t="s">
        <v>3896</v>
      </c>
      <c r="B268" t="s">
        <v>3893</v>
      </c>
      <c r="C268">
        <v>1</v>
      </c>
      <c r="D268" s="19">
        <v>418478.97</v>
      </c>
    </row>
    <row r="269" spans="1:4">
      <c r="A269" t="s">
        <v>8319</v>
      </c>
      <c r="B269"/>
      <c r="C269">
        <v>1</v>
      </c>
      <c r="D269" s="19">
        <v>418478.97</v>
      </c>
    </row>
    <row r="270" spans="1:4">
      <c r="A270" t="s">
        <v>3904</v>
      </c>
      <c r="B270" t="s">
        <v>3901</v>
      </c>
      <c r="C270">
        <v>1</v>
      </c>
      <c r="D270" s="19">
        <v>168420.98</v>
      </c>
    </row>
    <row r="271" spans="1:4">
      <c r="A271" t="s">
        <v>8320</v>
      </c>
      <c r="B271"/>
      <c r="C271">
        <v>1</v>
      </c>
      <c r="D271" s="19">
        <v>168420.98</v>
      </c>
    </row>
    <row r="272" spans="1:4">
      <c r="A272" t="s">
        <v>4205</v>
      </c>
      <c r="B272" t="s">
        <v>4202</v>
      </c>
      <c r="C272">
        <v>1</v>
      </c>
      <c r="D272" s="19">
        <v>609280</v>
      </c>
    </row>
    <row r="273" spans="1:4">
      <c r="A273" t="s">
        <v>8321</v>
      </c>
      <c r="B273"/>
      <c r="C273">
        <v>1</v>
      </c>
      <c r="D273" s="19">
        <v>609280</v>
      </c>
    </row>
    <row r="274" spans="1:4">
      <c r="A274" t="s">
        <v>4215</v>
      </c>
      <c r="B274" t="s">
        <v>6518</v>
      </c>
      <c r="C274">
        <v>1</v>
      </c>
      <c r="D274" s="19">
        <v>2372000</v>
      </c>
    </row>
    <row r="275" spans="1:4">
      <c r="A275" t="s">
        <v>7854</v>
      </c>
      <c r="B275"/>
      <c r="C275">
        <v>1</v>
      </c>
      <c r="D275" s="19">
        <v>2372000</v>
      </c>
    </row>
    <row r="276" spans="1:4">
      <c r="A276" t="s">
        <v>4298</v>
      </c>
      <c r="B276" t="s">
        <v>4295</v>
      </c>
      <c r="C276">
        <v>1</v>
      </c>
      <c r="D276" s="19">
        <v>5858803.1600000001</v>
      </c>
    </row>
    <row r="277" spans="1:4">
      <c r="A277" t="s">
        <v>8322</v>
      </c>
      <c r="B277"/>
      <c r="C277">
        <v>1</v>
      </c>
      <c r="D277" s="19">
        <v>5858803.1600000001</v>
      </c>
    </row>
    <row r="278" spans="1:4">
      <c r="A278" t="s">
        <v>4515</v>
      </c>
      <c r="B278" t="s">
        <v>4512</v>
      </c>
      <c r="C278">
        <v>1</v>
      </c>
      <c r="D278" s="19">
        <v>391986</v>
      </c>
    </row>
    <row r="279" spans="1:4">
      <c r="A279" t="s">
        <v>8323</v>
      </c>
      <c r="B279"/>
      <c r="C279">
        <v>1</v>
      </c>
      <c r="D279" s="19">
        <v>391986</v>
      </c>
    </row>
    <row r="280" spans="1:4">
      <c r="A280" t="s">
        <v>4663</v>
      </c>
      <c r="B280" t="s">
        <v>4660</v>
      </c>
      <c r="C280">
        <v>1</v>
      </c>
      <c r="D280" s="19">
        <v>223125</v>
      </c>
    </row>
    <row r="281" spans="1:4">
      <c r="A281" t="s">
        <v>8324</v>
      </c>
      <c r="B281"/>
      <c r="C281">
        <v>1</v>
      </c>
      <c r="D281" s="19">
        <v>223125</v>
      </c>
    </row>
    <row r="282" spans="1:4">
      <c r="A282" t="s">
        <v>4837</v>
      </c>
      <c r="B282" t="s">
        <v>4834</v>
      </c>
      <c r="C282">
        <v>1</v>
      </c>
      <c r="D282" s="19">
        <v>1400000</v>
      </c>
    </row>
    <row r="283" spans="1:4">
      <c r="A283" t="s">
        <v>8165</v>
      </c>
      <c r="B283"/>
      <c r="C283">
        <v>1</v>
      </c>
      <c r="D283" s="19">
        <v>1400000</v>
      </c>
    </row>
    <row r="284" spans="1:4">
      <c r="A284" t="s">
        <v>4863</v>
      </c>
      <c r="B284" t="s">
        <v>4860</v>
      </c>
      <c r="C284">
        <v>1</v>
      </c>
      <c r="D284" s="19">
        <v>6024799.8300000001</v>
      </c>
    </row>
    <row r="285" spans="1:4">
      <c r="A285" t="s">
        <v>8325</v>
      </c>
      <c r="B285"/>
      <c r="C285">
        <v>1</v>
      </c>
      <c r="D285" s="19">
        <v>6024799.8300000001</v>
      </c>
    </row>
    <row r="286" spans="1:4">
      <c r="A286" t="s">
        <v>4947</v>
      </c>
      <c r="B286" t="s">
        <v>4944</v>
      </c>
      <c r="C286">
        <v>1</v>
      </c>
      <c r="D286" s="19">
        <v>126727088.88</v>
      </c>
    </row>
    <row r="287" spans="1:4">
      <c r="A287" t="s">
        <v>8326</v>
      </c>
      <c r="B287"/>
      <c r="C287">
        <v>1</v>
      </c>
      <c r="D287" s="19">
        <v>126727088.88</v>
      </c>
    </row>
    <row r="288" spans="1:4">
      <c r="A288" t="s">
        <v>5525</v>
      </c>
      <c r="B288" t="s">
        <v>5522</v>
      </c>
      <c r="C288">
        <v>1</v>
      </c>
      <c r="D288" s="19">
        <v>638705.85</v>
      </c>
    </row>
    <row r="289" spans="1:4">
      <c r="A289" t="s">
        <v>8327</v>
      </c>
      <c r="B289"/>
      <c r="C289">
        <v>1</v>
      </c>
      <c r="D289" s="19">
        <v>638705.85</v>
      </c>
    </row>
    <row r="290" spans="1:4">
      <c r="A290" t="s">
        <v>5540</v>
      </c>
      <c r="B290" t="s">
        <v>5538</v>
      </c>
      <c r="C290">
        <v>1</v>
      </c>
      <c r="D290" s="19">
        <v>265167.7</v>
      </c>
    </row>
    <row r="291" spans="1:4">
      <c r="A291" t="s">
        <v>8328</v>
      </c>
      <c r="B291"/>
      <c r="C291">
        <v>1</v>
      </c>
      <c r="D291" s="19">
        <v>265167.7</v>
      </c>
    </row>
    <row r="292" spans="1:4">
      <c r="A292" t="s">
        <v>5912</v>
      </c>
      <c r="B292" t="s">
        <v>5909</v>
      </c>
      <c r="C292">
        <v>1</v>
      </c>
      <c r="D292" s="19">
        <v>11031300</v>
      </c>
    </row>
    <row r="293" spans="1:4">
      <c r="A293"/>
      <c r="B293" t="s">
        <v>7084</v>
      </c>
      <c r="C293">
        <v>1</v>
      </c>
      <c r="D293" s="19">
        <v>11291910</v>
      </c>
    </row>
    <row r="294" spans="1:4">
      <c r="A294" t="s">
        <v>8329</v>
      </c>
      <c r="B294"/>
      <c r="C294">
        <v>2</v>
      </c>
      <c r="D294" s="19">
        <v>22323210</v>
      </c>
    </row>
    <row r="295" spans="1:4">
      <c r="A295" t="s">
        <v>5700</v>
      </c>
      <c r="B295" t="s">
        <v>5697</v>
      </c>
      <c r="C295">
        <v>1</v>
      </c>
      <c r="D295" s="19">
        <v>511280</v>
      </c>
    </row>
    <row r="296" spans="1:4">
      <c r="A296" t="s">
        <v>8330</v>
      </c>
      <c r="B296"/>
      <c r="C296">
        <v>1</v>
      </c>
      <c r="D296" s="19">
        <v>511280</v>
      </c>
    </row>
    <row r="297" spans="1:4">
      <c r="A297" t="s">
        <v>5925</v>
      </c>
      <c r="B297" t="s">
        <v>7073</v>
      </c>
      <c r="C297">
        <v>1</v>
      </c>
      <c r="D297" s="19">
        <v>7107000</v>
      </c>
    </row>
    <row r="298" spans="1:4">
      <c r="A298" t="s">
        <v>8202</v>
      </c>
      <c r="B298"/>
      <c r="C298">
        <v>1</v>
      </c>
      <c r="D298" s="19">
        <v>7107000</v>
      </c>
    </row>
    <row r="299" spans="1:4">
      <c r="A299" t="s">
        <v>6001</v>
      </c>
      <c r="B299" t="s">
        <v>5998</v>
      </c>
      <c r="C299">
        <v>1</v>
      </c>
      <c r="D299" s="19">
        <v>1130857</v>
      </c>
    </row>
    <row r="300" spans="1:4">
      <c r="A300" t="s">
        <v>8331</v>
      </c>
      <c r="B300"/>
      <c r="C300">
        <v>1</v>
      </c>
      <c r="D300" s="19">
        <v>1130857</v>
      </c>
    </row>
    <row r="301" spans="1:4">
      <c r="A301" t="s">
        <v>6150</v>
      </c>
      <c r="B301" t="s">
        <v>6147</v>
      </c>
      <c r="C301">
        <v>1</v>
      </c>
      <c r="D301" s="19">
        <v>162363.6</v>
      </c>
    </row>
    <row r="302" spans="1:4">
      <c r="A302" t="s">
        <v>8332</v>
      </c>
      <c r="B302"/>
      <c r="C302">
        <v>1</v>
      </c>
      <c r="D302" s="19">
        <v>162363.6</v>
      </c>
    </row>
    <row r="303" spans="1:4">
      <c r="A303" t="s">
        <v>6780</v>
      </c>
      <c r="B303" t="s">
        <v>6777</v>
      </c>
      <c r="C303">
        <v>1</v>
      </c>
      <c r="D303" s="19">
        <v>37485791.350000001</v>
      </c>
    </row>
    <row r="304" spans="1:4">
      <c r="A304" t="s">
        <v>8333</v>
      </c>
      <c r="B304"/>
      <c r="C304">
        <v>1</v>
      </c>
      <c r="D304" s="19">
        <v>37485791.350000001</v>
      </c>
    </row>
    <row r="305" spans="1:4">
      <c r="A305" t="s">
        <v>6889</v>
      </c>
      <c r="B305" t="s">
        <v>6886</v>
      </c>
      <c r="C305">
        <v>1</v>
      </c>
      <c r="D305" s="19">
        <v>104999.65</v>
      </c>
    </row>
    <row r="306" spans="1:4">
      <c r="A306" t="s">
        <v>8334</v>
      </c>
      <c r="B306"/>
      <c r="C306">
        <v>1</v>
      </c>
      <c r="D306" s="19">
        <v>104999.65</v>
      </c>
    </row>
    <row r="307" spans="1:4">
      <c r="A307" t="s">
        <v>6903</v>
      </c>
      <c r="B307" t="s">
        <v>6900</v>
      </c>
      <c r="C307">
        <v>1</v>
      </c>
      <c r="D307" s="19">
        <v>321776</v>
      </c>
    </row>
    <row r="308" spans="1:4">
      <c r="A308" t="s">
        <v>8335</v>
      </c>
      <c r="B308"/>
      <c r="C308">
        <v>1</v>
      </c>
      <c r="D308" s="19">
        <v>321776</v>
      </c>
    </row>
    <row r="309" spans="1:4">
      <c r="A309" t="s">
        <v>6943</v>
      </c>
      <c r="B309" t="s">
        <v>6940</v>
      </c>
      <c r="C309">
        <v>1</v>
      </c>
      <c r="D309" s="19">
        <v>2191227</v>
      </c>
    </row>
    <row r="310" spans="1:4">
      <c r="A310" t="s">
        <v>8336</v>
      </c>
      <c r="B310"/>
      <c r="C310">
        <v>1</v>
      </c>
      <c r="D310" s="19">
        <v>2191227</v>
      </c>
    </row>
    <row r="311" spans="1:4">
      <c r="A311" t="s">
        <v>6978</v>
      </c>
      <c r="B311" t="s">
        <v>6975</v>
      </c>
      <c r="C311">
        <v>1</v>
      </c>
      <c r="D311" s="19">
        <v>119000</v>
      </c>
    </row>
    <row r="312" spans="1:4">
      <c r="A312" t="s">
        <v>8337</v>
      </c>
      <c r="B312"/>
      <c r="C312">
        <v>1</v>
      </c>
      <c r="D312" s="19">
        <v>119000</v>
      </c>
    </row>
    <row r="313" spans="1:4">
      <c r="A313" t="s">
        <v>7118</v>
      </c>
      <c r="B313" t="s">
        <v>7115</v>
      </c>
      <c r="C313">
        <v>1</v>
      </c>
      <c r="D313" s="19">
        <v>274207974.95999998</v>
      </c>
    </row>
    <row r="314" spans="1:4">
      <c r="A314"/>
      <c r="B314" t="s">
        <v>7503</v>
      </c>
      <c r="C314">
        <v>1</v>
      </c>
      <c r="D314" s="19">
        <v>5376625.8700000001</v>
      </c>
    </row>
    <row r="315" spans="1:4">
      <c r="A315" t="s">
        <v>8338</v>
      </c>
      <c r="B315"/>
      <c r="C315">
        <v>2</v>
      </c>
      <c r="D315" s="19">
        <v>279584600.82999998</v>
      </c>
    </row>
    <row r="316" spans="1:4">
      <c r="A316" t="s">
        <v>7268</v>
      </c>
      <c r="B316" t="s">
        <v>7265</v>
      </c>
      <c r="C316">
        <v>1</v>
      </c>
      <c r="D316" s="19">
        <v>37672200</v>
      </c>
    </row>
    <row r="317" spans="1:4">
      <c r="A317" t="s">
        <v>8339</v>
      </c>
      <c r="B317"/>
      <c r="C317">
        <v>1</v>
      </c>
      <c r="D317" s="19">
        <v>37672200</v>
      </c>
    </row>
    <row r="318" spans="1:4">
      <c r="A318" t="s">
        <v>7276</v>
      </c>
      <c r="B318" t="s">
        <v>7273</v>
      </c>
      <c r="C318">
        <v>1</v>
      </c>
      <c r="D318" s="19">
        <v>277191.46000000002</v>
      </c>
    </row>
    <row r="319" spans="1:4">
      <c r="A319" t="s">
        <v>8340</v>
      </c>
      <c r="B319"/>
      <c r="C319">
        <v>1</v>
      </c>
      <c r="D319" s="19">
        <v>277191.46000000002</v>
      </c>
    </row>
    <row r="320" spans="1:4">
      <c r="A320" t="s">
        <v>7297</v>
      </c>
      <c r="B320" t="s">
        <v>7294</v>
      </c>
      <c r="C320">
        <v>1</v>
      </c>
      <c r="D320" s="19">
        <v>5143180</v>
      </c>
    </row>
    <row r="321" spans="1:4">
      <c r="A321" t="s">
        <v>8341</v>
      </c>
      <c r="B321"/>
      <c r="C321">
        <v>1</v>
      </c>
      <c r="D321" s="19">
        <v>5143180</v>
      </c>
    </row>
    <row r="322" spans="1:4">
      <c r="A322" t="s">
        <v>7322</v>
      </c>
      <c r="B322" t="s">
        <v>7319</v>
      </c>
      <c r="C322">
        <v>1</v>
      </c>
      <c r="D322" s="19">
        <v>681777</v>
      </c>
    </row>
    <row r="323" spans="1:4">
      <c r="A323" t="s">
        <v>8342</v>
      </c>
      <c r="B323"/>
      <c r="C323">
        <v>1</v>
      </c>
      <c r="D323" s="19">
        <v>681777</v>
      </c>
    </row>
    <row r="324" spans="1:4">
      <c r="A324" s="23" t="s">
        <v>7707</v>
      </c>
      <c r="B324" s="23"/>
      <c r="C324">
        <v>192</v>
      </c>
      <c r="D324" s="19">
        <v>1370820006.9399998</v>
      </c>
    </row>
    <row r="325" spans="1:4">
      <c r="A325"/>
      <c r="B325"/>
    </row>
    <row r="326" spans="1:4">
      <c r="A326"/>
      <c r="B326"/>
    </row>
    <row r="327" spans="1:4">
      <c r="A327"/>
      <c r="B327"/>
    </row>
    <row r="328" spans="1:4">
      <c r="A328"/>
      <c r="B328"/>
    </row>
    <row r="329" spans="1:4">
      <c r="A329"/>
      <c r="B329"/>
    </row>
    <row r="330" spans="1:4">
      <c r="A330"/>
      <c r="B330"/>
    </row>
    <row r="331" spans="1:4">
      <c r="A331"/>
      <c r="B331"/>
    </row>
    <row r="332" spans="1:4">
      <c r="A332"/>
      <c r="B332"/>
    </row>
    <row r="333" spans="1:4">
      <c r="A333"/>
      <c r="B333"/>
    </row>
    <row r="334" spans="1:4">
      <c r="A334"/>
      <c r="B334"/>
    </row>
    <row r="335" spans="1:4">
      <c r="A335"/>
      <c r="B335"/>
    </row>
    <row r="336" spans="1:4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  <row r="504" spans="1:2">
      <c r="A504"/>
      <c r="B504"/>
    </row>
    <row r="505" spans="1:2">
      <c r="A505"/>
      <c r="B505"/>
    </row>
    <row r="506" spans="1:2">
      <c r="A506"/>
      <c r="B506"/>
    </row>
    <row r="507" spans="1:2">
      <c r="A507"/>
      <c r="B507"/>
    </row>
    <row r="508" spans="1:2">
      <c r="A508"/>
      <c r="B508"/>
    </row>
    <row r="509" spans="1:2">
      <c r="A509"/>
      <c r="B509"/>
    </row>
    <row r="510" spans="1:2">
      <c r="A510"/>
      <c r="B510"/>
    </row>
    <row r="511" spans="1:2">
      <c r="A511"/>
      <c r="B511"/>
    </row>
    <row r="512" spans="1:2">
      <c r="A512"/>
      <c r="B512"/>
    </row>
    <row r="513" spans="1:2">
      <c r="A513"/>
      <c r="B513"/>
    </row>
    <row r="514" spans="1:2">
      <c r="A514"/>
      <c r="B514"/>
    </row>
    <row r="515" spans="1:2">
      <c r="A515"/>
      <c r="B515"/>
    </row>
    <row r="516" spans="1:2">
      <c r="A516"/>
      <c r="B516"/>
    </row>
    <row r="517" spans="1:2">
      <c r="A517"/>
      <c r="B517"/>
    </row>
    <row r="518" spans="1:2">
      <c r="A518"/>
      <c r="B518"/>
    </row>
    <row r="519" spans="1:2">
      <c r="A519"/>
      <c r="B519"/>
    </row>
    <row r="520" spans="1:2">
      <c r="A520"/>
      <c r="B520"/>
    </row>
    <row r="521" spans="1:2">
      <c r="A521"/>
      <c r="B521"/>
    </row>
    <row r="522" spans="1:2">
      <c r="A522"/>
      <c r="B522"/>
    </row>
    <row r="523" spans="1:2">
      <c r="A523"/>
      <c r="B523"/>
    </row>
    <row r="524" spans="1:2">
      <c r="A524"/>
      <c r="B524"/>
    </row>
    <row r="525" spans="1:2">
      <c r="A525"/>
      <c r="B525"/>
    </row>
    <row r="526" spans="1:2">
      <c r="A526"/>
      <c r="B526"/>
    </row>
    <row r="527" spans="1:2">
      <c r="A527"/>
      <c r="B527"/>
    </row>
    <row r="528" spans="1:2">
      <c r="A528"/>
      <c r="B528"/>
    </row>
    <row r="529" spans="1:2">
      <c r="A529"/>
      <c r="B529"/>
    </row>
    <row r="530" spans="1:2">
      <c r="A530"/>
      <c r="B530"/>
    </row>
    <row r="531" spans="1:2">
      <c r="A531"/>
      <c r="B531"/>
    </row>
    <row r="532" spans="1:2">
      <c r="A532"/>
      <c r="B532"/>
    </row>
    <row r="533" spans="1:2">
      <c r="A533"/>
      <c r="B533"/>
    </row>
    <row r="534" spans="1:2">
      <c r="A534"/>
      <c r="B534"/>
    </row>
    <row r="535" spans="1:2">
      <c r="A535"/>
      <c r="B535"/>
    </row>
    <row r="536" spans="1:2">
      <c r="A536"/>
      <c r="B536"/>
    </row>
    <row r="537" spans="1:2">
      <c r="A537"/>
      <c r="B537"/>
    </row>
    <row r="538" spans="1:2">
      <c r="A538"/>
      <c r="B538"/>
    </row>
    <row r="539" spans="1:2">
      <c r="A539"/>
      <c r="B539"/>
    </row>
    <row r="540" spans="1:2">
      <c r="A540"/>
      <c r="B540"/>
    </row>
    <row r="541" spans="1:2">
      <c r="A541"/>
      <c r="B541"/>
    </row>
    <row r="542" spans="1:2">
      <c r="A542"/>
      <c r="B542"/>
    </row>
    <row r="543" spans="1:2">
      <c r="A543"/>
      <c r="B543"/>
    </row>
    <row r="544" spans="1:2">
      <c r="A544"/>
      <c r="B544"/>
    </row>
    <row r="545" spans="1:2">
      <c r="A545"/>
      <c r="B545"/>
    </row>
    <row r="546" spans="1:2">
      <c r="A546"/>
      <c r="B546"/>
    </row>
    <row r="547" spans="1:2">
      <c r="A547"/>
      <c r="B547"/>
    </row>
    <row r="548" spans="1:2">
      <c r="A548"/>
      <c r="B548"/>
    </row>
    <row r="549" spans="1:2">
      <c r="A549"/>
      <c r="B549"/>
    </row>
    <row r="550" spans="1:2">
      <c r="A550"/>
      <c r="B550"/>
    </row>
    <row r="551" spans="1:2">
      <c r="A551"/>
      <c r="B551"/>
    </row>
    <row r="552" spans="1:2">
      <c r="A552"/>
      <c r="B552"/>
    </row>
    <row r="553" spans="1:2">
      <c r="A553"/>
      <c r="B553"/>
    </row>
    <row r="554" spans="1:2">
      <c r="A554"/>
      <c r="B554"/>
    </row>
    <row r="555" spans="1:2">
      <c r="A555"/>
      <c r="B555"/>
    </row>
    <row r="556" spans="1:2">
      <c r="A556"/>
      <c r="B556"/>
    </row>
    <row r="557" spans="1:2">
      <c r="A557"/>
      <c r="B557"/>
    </row>
    <row r="558" spans="1:2">
      <c r="A558"/>
      <c r="B558"/>
    </row>
    <row r="559" spans="1:2">
      <c r="A559"/>
      <c r="B559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  <row r="617" spans="1:2">
      <c r="A617"/>
      <c r="B617"/>
    </row>
    <row r="618" spans="1:2">
      <c r="A618"/>
      <c r="B618"/>
    </row>
    <row r="619" spans="1:2">
      <c r="A619"/>
      <c r="B619"/>
    </row>
    <row r="620" spans="1:2">
      <c r="A620"/>
      <c r="B620"/>
    </row>
    <row r="621" spans="1:2">
      <c r="A621"/>
      <c r="B621"/>
    </row>
    <row r="622" spans="1:2">
      <c r="A622"/>
      <c r="B622"/>
    </row>
    <row r="623" spans="1:2">
      <c r="A623"/>
      <c r="B623"/>
    </row>
    <row r="624" spans="1:2">
      <c r="A624"/>
      <c r="B624"/>
    </row>
    <row r="625" spans="1:2">
      <c r="A625"/>
      <c r="B625"/>
    </row>
    <row r="626" spans="1:2">
      <c r="A626"/>
      <c r="B626"/>
    </row>
    <row r="627" spans="1:2">
      <c r="A627"/>
      <c r="B627"/>
    </row>
    <row r="628" spans="1:2">
      <c r="A628"/>
      <c r="B628"/>
    </row>
    <row r="629" spans="1:2">
      <c r="A629"/>
      <c r="B629"/>
    </row>
    <row r="630" spans="1:2">
      <c r="A630"/>
      <c r="B630"/>
    </row>
    <row r="631" spans="1:2">
      <c r="A631"/>
      <c r="B631"/>
    </row>
    <row r="632" spans="1:2">
      <c r="A632"/>
      <c r="B632"/>
    </row>
    <row r="633" spans="1:2">
      <c r="A633"/>
      <c r="B633"/>
    </row>
    <row r="634" spans="1:2">
      <c r="A634"/>
      <c r="B634"/>
    </row>
    <row r="635" spans="1:2">
      <c r="A635"/>
      <c r="B635"/>
    </row>
    <row r="636" spans="1:2">
      <c r="A636"/>
      <c r="B636"/>
    </row>
    <row r="637" spans="1:2">
      <c r="A637"/>
      <c r="B637"/>
    </row>
    <row r="638" spans="1:2">
      <c r="A638"/>
      <c r="B638"/>
    </row>
    <row r="639" spans="1:2">
      <c r="A639"/>
      <c r="B639"/>
    </row>
    <row r="640" spans="1:2">
      <c r="A640"/>
      <c r="B640"/>
    </row>
    <row r="641" spans="1:2">
      <c r="A641"/>
      <c r="B641"/>
    </row>
    <row r="642" spans="1:2">
      <c r="A642"/>
      <c r="B642"/>
    </row>
    <row r="643" spans="1:2">
      <c r="A643"/>
      <c r="B643"/>
    </row>
    <row r="644" spans="1:2">
      <c r="A644"/>
      <c r="B644"/>
    </row>
    <row r="645" spans="1:2">
      <c r="A645"/>
      <c r="B645"/>
    </row>
    <row r="646" spans="1:2">
      <c r="A646"/>
      <c r="B646"/>
    </row>
    <row r="647" spans="1:2">
      <c r="A647"/>
      <c r="B647"/>
    </row>
    <row r="648" spans="1:2">
      <c r="A648"/>
      <c r="B648"/>
    </row>
    <row r="649" spans="1:2">
      <c r="A649"/>
      <c r="B649"/>
    </row>
    <row r="650" spans="1:2">
      <c r="A650"/>
      <c r="B650"/>
    </row>
    <row r="651" spans="1:2">
      <c r="A651"/>
      <c r="B651"/>
    </row>
    <row r="652" spans="1:2">
      <c r="A652"/>
      <c r="B652"/>
    </row>
    <row r="653" spans="1:2">
      <c r="A653"/>
      <c r="B653"/>
    </row>
    <row r="654" spans="1:2">
      <c r="A654"/>
      <c r="B654"/>
    </row>
    <row r="655" spans="1:2">
      <c r="A655"/>
      <c r="B655"/>
    </row>
    <row r="656" spans="1:2">
      <c r="A656"/>
      <c r="B656"/>
    </row>
    <row r="657" spans="1:2">
      <c r="A657"/>
      <c r="B657"/>
    </row>
    <row r="658" spans="1:2">
      <c r="A658"/>
      <c r="B658"/>
    </row>
    <row r="659" spans="1:2">
      <c r="A659"/>
      <c r="B659"/>
    </row>
    <row r="660" spans="1:2">
      <c r="A660"/>
      <c r="B660"/>
    </row>
    <row r="661" spans="1:2">
      <c r="A661"/>
      <c r="B661"/>
    </row>
    <row r="662" spans="1:2">
      <c r="A662"/>
      <c r="B662"/>
    </row>
    <row r="663" spans="1:2">
      <c r="A663"/>
      <c r="B663"/>
    </row>
    <row r="664" spans="1:2">
      <c r="A664"/>
      <c r="B664"/>
    </row>
    <row r="665" spans="1:2">
      <c r="A665"/>
      <c r="B665"/>
    </row>
    <row r="666" spans="1:2">
      <c r="A666"/>
      <c r="B666"/>
    </row>
    <row r="667" spans="1:2">
      <c r="A667"/>
      <c r="B667"/>
    </row>
    <row r="668" spans="1:2">
      <c r="A668"/>
      <c r="B668"/>
    </row>
    <row r="669" spans="1:2">
      <c r="A669"/>
      <c r="B669"/>
    </row>
    <row r="670" spans="1:2">
      <c r="A670"/>
      <c r="B670"/>
    </row>
    <row r="671" spans="1:2">
      <c r="A671"/>
      <c r="B671"/>
    </row>
    <row r="672" spans="1:2">
      <c r="A672"/>
      <c r="B672"/>
    </row>
    <row r="673" spans="1:2">
      <c r="A673"/>
      <c r="B673"/>
    </row>
    <row r="674" spans="1:2">
      <c r="A674"/>
      <c r="B674"/>
    </row>
    <row r="675" spans="1:2">
      <c r="A675"/>
      <c r="B675"/>
    </row>
    <row r="676" spans="1:2">
      <c r="A676"/>
      <c r="B676"/>
    </row>
    <row r="677" spans="1:2">
      <c r="A677"/>
      <c r="B677"/>
    </row>
    <row r="678" spans="1:2">
      <c r="A678"/>
      <c r="B678"/>
    </row>
    <row r="679" spans="1:2">
      <c r="A679"/>
      <c r="B679"/>
    </row>
    <row r="680" spans="1:2">
      <c r="A680"/>
      <c r="B680"/>
    </row>
    <row r="681" spans="1:2">
      <c r="A681"/>
      <c r="B681"/>
    </row>
    <row r="682" spans="1:2">
      <c r="A682"/>
      <c r="B682"/>
    </row>
    <row r="683" spans="1:2">
      <c r="A683"/>
      <c r="B683"/>
    </row>
    <row r="684" spans="1:2">
      <c r="A684"/>
      <c r="B684"/>
    </row>
    <row r="685" spans="1:2">
      <c r="A685"/>
      <c r="B685"/>
    </row>
    <row r="686" spans="1:2">
      <c r="A686"/>
      <c r="B686"/>
    </row>
    <row r="687" spans="1:2">
      <c r="A687"/>
      <c r="B687"/>
    </row>
    <row r="688" spans="1:2">
      <c r="A688"/>
      <c r="B688"/>
    </row>
    <row r="689" spans="1:2">
      <c r="A689"/>
      <c r="B689"/>
    </row>
    <row r="690" spans="1:2">
      <c r="A690"/>
      <c r="B690"/>
    </row>
    <row r="691" spans="1:2">
      <c r="A691"/>
      <c r="B691"/>
    </row>
    <row r="692" spans="1:2">
      <c r="A692"/>
      <c r="B692"/>
    </row>
    <row r="693" spans="1:2">
      <c r="A693"/>
      <c r="B693"/>
    </row>
    <row r="694" spans="1:2">
      <c r="A694"/>
      <c r="B694"/>
    </row>
    <row r="695" spans="1:2">
      <c r="A695"/>
      <c r="B695"/>
    </row>
    <row r="696" spans="1:2">
      <c r="A696"/>
      <c r="B696"/>
    </row>
    <row r="697" spans="1:2">
      <c r="A697"/>
      <c r="B697"/>
    </row>
    <row r="698" spans="1:2">
      <c r="A698"/>
      <c r="B698"/>
    </row>
    <row r="699" spans="1:2">
      <c r="A699"/>
      <c r="B699"/>
    </row>
    <row r="700" spans="1:2">
      <c r="A700"/>
      <c r="B700"/>
    </row>
    <row r="701" spans="1:2">
      <c r="A701"/>
      <c r="B701"/>
    </row>
    <row r="702" spans="1:2">
      <c r="A702"/>
      <c r="B702"/>
    </row>
    <row r="703" spans="1:2">
      <c r="A703"/>
      <c r="B703"/>
    </row>
    <row r="704" spans="1:2">
      <c r="A704"/>
      <c r="B704"/>
    </row>
    <row r="705" spans="1:2">
      <c r="A705"/>
      <c r="B705"/>
    </row>
    <row r="706" spans="1:2">
      <c r="A706"/>
      <c r="B706"/>
    </row>
    <row r="707" spans="1:2">
      <c r="A707"/>
      <c r="B707"/>
    </row>
    <row r="708" spans="1:2">
      <c r="A708"/>
      <c r="B708"/>
    </row>
    <row r="709" spans="1:2">
      <c r="A709"/>
      <c r="B709"/>
    </row>
    <row r="710" spans="1:2">
      <c r="A710"/>
      <c r="B710"/>
    </row>
    <row r="711" spans="1:2">
      <c r="A711"/>
      <c r="B711"/>
    </row>
    <row r="712" spans="1:2">
      <c r="A712"/>
      <c r="B712"/>
    </row>
    <row r="713" spans="1:2">
      <c r="A713"/>
      <c r="B713"/>
    </row>
    <row r="714" spans="1:2">
      <c r="A714"/>
      <c r="B714"/>
    </row>
    <row r="715" spans="1:2">
      <c r="A715"/>
      <c r="B715"/>
    </row>
    <row r="716" spans="1:2">
      <c r="A716"/>
      <c r="B716"/>
    </row>
    <row r="717" spans="1:2">
      <c r="A717"/>
      <c r="B717"/>
    </row>
    <row r="718" spans="1:2">
      <c r="A718"/>
      <c r="B718"/>
    </row>
    <row r="719" spans="1:2">
      <c r="A719"/>
      <c r="B719"/>
    </row>
    <row r="720" spans="1:2">
      <c r="A720"/>
      <c r="B720"/>
    </row>
    <row r="721" spans="1:2">
      <c r="A721"/>
      <c r="B721"/>
    </row>
    <row r="722" spans="1:2">
      <c r="A722"/>
      <c r="B722"/>
    </row>
    <row r="723" spans="1:2">
      <c r="A723"/>
      <c r="B723"/>
    </row>
    <row r="724" spans="1:2">
      <c r="A724"/>
      <c r="B724"/>
    </row>
    <row r="725" spans="1:2">
      <c r="A725"/>
      <c r="B725"/>
    </row>
    <row r="726" spans="1:2">
      <c r="A726"/>
      <c r="B726"/>
    </row>
    <row r="727" spans="1:2">
      <c r="A727"/>
      <c r="B727"/>
    </row>
    <row r="728" spans="1:2">
      <c r="A728"/>
      <c r="B728"/>
    </row>
    <row r="729" spans="1:2">
      <c r="A729"/>
      <c r="B729"/>
    </row>
    <row r="730" spans="1:2">
      <c r="A730"/>
      <c r="B730"/>
    </row>
    <row r="731" spans="1:2">
      <c r="A731"/>
      <c r="B731"/>
    </row>
    <row r="732" spans="1:2">
      <c r="A732"/>
      <c r="B732"/>
    </row>
    <row r="733" spans="1:2">
      <c r="A733"/>
      <c r="B733"/>
    </row>
    <row r="734" spans="1:2">
      <c r="A734"/>
      <c r="B734"/>
    </row>
    <row r="735" spans="1:2">
      <c r="A735"/>
      <c r="B735"/>
    </row>
    <row r="736" spans="1:2">
      <c r="A736"/>
      <c r="B736"/>
    </row>
    <row r="737" spans="1:2">
      <c r="A737"/>
      <c r="B737"/>
    </row>
    <row r="738" spans="1:2">
      <c r="A738"/>
      <c r="B738"/>
    </row>
    <row r="739" spans="1:2">
      <c r="A739"/>
      <c r="B739"/>
    </row>
    <row r="740" spans="1:2">
      <c r="A740"/>
      <c r="B740"/>
    </row>
    <row r="741" spans="1:2">
      <c r="A741"/>
      <c r="B741"/>
    </row>
    <row r="742" spans="1:2">
      <c r="A742"/>
      <c r="B742"/>
    </row>
    <row r="743" spans="1:2">
      <c r="A743"/>
      <c r="B743"/>
    </row>
    <row r="744" spans="1:2">
      <c r="A744"/>
      <c r="B744"/>
    </row>
    <row r="745" spans="1:2">
      <c r="A745"/>
      <c r="B745"/>
    </row>
    <row r="746" spans="1:2">
      <c r="A746"/>
      <c r="B746"/>
    </row>
    <row r="747" spans="1:2">
      <c r="A747"/>
      <c r="B747"/>
    </row>
    <row r="748" spans="1:2">
      <c r="A748"/>
      <c r="B748"/>
    </row>
    <row r="749" spans="1:2">
      <c r="A749"/>
      <c r="B749"/>
    </row>
    <row r="750" spans="1:2">
      <c r="A750"/>
      <c r="B750"/>
    </row>
    <row r="751" spans="1:2">
      <c r="A751"/>
      <c r="B751"/>
    </row>
    <row r="752" spans="1:2">
      <c r="A752"/>
      <c r="B752"/>
    </row>
    <row r="753" spans="1:2">
      <c r="A753"/>
      <c r="B753"/>
    </row>
    <row r="754" spans="1:2">
      <c r="A754"/>
      <c r="B754"/>
    </row>
    <row r="755" spans="1:2">
      <c r="A755"/>
      <c r="B755"/>
    </row>
    <row r="756" spans="1:2">
      <c r="A756"/>
      <c r="B756"/>
    </row>
    <row r="757" spans="1:2">
      <c r="A757"/>
      <c r="B757"/>
    </row>
    <row r="758" spans="1:2">
      <c r="A758"/>
      <c r="B758"/>
    </row>
    <row r="759" spans="1:2">
      <c r="A759"/>
      <c r="B759"/>
    </row>
    <row r="760" spans="1:2">
      <c r="A760"/>
      <c r="B760"/>
    </row>
    <row r="761" spans="1:2">
      <c r="A761"/>
      <c r="B761"/>
    </row>
    <row r="762" spans="1:2">
      <c r="A762"/>
      <c r="B762"/>
    </row>
    <row r="763" spans="1:2">
      <c r="A763"/>
      <c r="B763"/>
    </row>
    <row r="764" spans="1:2">
      <c r="A764"/>
      <c r="B764"/>
    </row>
    <row r="765" spans="1:2">
      <c r="A765"/>
      <c r="B765"/>
    </row>
    <row r="766" spans="1:2">
      <c r="A766"/>
      <c r="B766"/>
    </row>
    <row r="767" spans="1:2">
      <c r="A767"/>
      <c r="B767"/>
    </row>
    <row r="768" spans="1:2">
      <c r="A768"/>
      <c r="B768"/>
    </row>
    <row r="769" spans="1:2">
      <c r="A769"/>
      <c r="B769"/>
    </row>
    <row r="770" spans="1:2">
      <c r="A770"/>
      <c r="B770"/>
    </row>
    <row r="771" spans="1:2">
      <c r="A771"/>
      <c r="B771"/>
    </row>
    <row r="772" spans="1:2">
      <c r="A772"/>
      <c r="B772"/>
    </row>
    <row r="773" spans="1:2">
      <c r="A773"/>
      <c r="B773"/>
    </row>
    <row r="774" spans="1:2">
      <c r="A774"/>
      <c r="B774"/>
    </row>
    <row r="775" spans="1:2">
      <c r="A775"/>
      <c r="B775"/>
    </row>
    <row r="776" spans="1:2">
      <c r="A776"/>
      <c r="B776"/>
    </row>
    <row r="777" spans="1:2">
      <c r="A777"/>
      <c r="B777"/>
    </row>
    <row r="778" spans="1:2">
      <c r="A778"/>
      <c r="B778"/>
    </row>
    <row r="779" spans="1:2">
      <c r="A779"/>
      <c r="B779"/>
    </row>
    <row r="780" spans="1:2">
      <c r="A780"/>
      <c r="B780"/>
    </row>
    <row r="781" spans="1:2">
      <c r="A781"/>
      <c r="B781"/>
    </row>
    <row r="782" spans="1:2">
      <c r="A782"/>
      <c r="B782"/>
    </row>
    <row r="783" spans="1:2">
      <c r="A783"/>
      <c r="B783"/>
    </row>
    <row r="784" spans="1:2">
      <c r="A784"/>
      <c r="B784"/>
    </row>
    <row r="785" spans="1:2">
      <c r="A785"/>
      <c r="B785"/>
    </row>
    <row r="786" spans="1:2">
      <c r="A786"/>
      <c r="B786"/>
    </row>
    <row r="787" spans="1:2">
      <c r="A787"/>
      <c r="B787"/>
    </row>
    <row r="788" spans="1:2">
      <c r="A788"/>
      <c r="B788"/>
    </row>
    <row r="789" spans="1:2">
      <c r="A789"/>
      <c r="B789"/>
    </row>
    <row r="790" spans="1:2">
      <c r="A790"/>
      <c r="B790"/>
    </row>
    <row r="791" spans="1:2">
      <c r="A791"/>
      <c r="B791"/>
    </row>
    <row r="792" spans="1:2">
      <c r="A792"/>
      <c r="B792"/>
    </row>
    <row r="793" spans="1:2">
      <c r="A793"/>
      <c r="B793"/>
    </row>
    <row r="794" spans="1:2">
      <c r="A794"/>
      <c r="B794"/>
    </row>
    <row r="795" spans="1:2">
      <c r="A795"/>
      <c r="B795"/>
    </row>
    <row r="796" spans="1:2">
      <c r="A796"/>
      <c r="B796"/>
    </row>
    <row r="797" spans="1:2">
      <c r="A797"/>
      <c r="B797"/>
    </row>
    <row r="798" spans="1:2">
      <c r="A798"/>
      <c r="B798"/>
    </row>
    <row r="799" spans="1:2">
      <c r="A799"/>
      <c r="B799"/>
    </row>
    <row r="800" spans="1:2">
      <c r="A800"/>
      <c r="B800"/>
    </row>
    <row r="801" spans="1:2">
      <c r="A801"/>
      <c r="B801"/>
    </row>
    <row r="802" spans="1:2">
      <c r="A802"/>
      <c r="B802"/>
    </row>
    <row r="803" spans="1:2">
      <c r="A803"/>
      <c r="B803"/>
    </row>
    <row r="804" spans="1:2">
      <c r="A804"/>
      <c r="B804"/>
    </row>
    <row r="805" spans="1:2">
      <c r="A805"/>
      <c r="B805"/>
    </row>
    <row r="806" spans="1:2">
      <c r="A806"/>
      <c r="B806"/>
    </row>
    <row r="807" spans="1:2">
      <c r="A807"/>
      <c r="B807"/>
    </row>
    <row r="808" spans="1:2">
      <c r="A808"/>
      <c r="B808"/>
    </row>
    <row r="809" spans="1:2">
      <c r="A809"/>
      <c r="B809"/>
    </row>
    <row r="810" spans="1:2">
      <c r="A810"/>
      <c r="B810"/>
    </row>
    <row r="811" spans="1:2">
      <c r="A811"/>
      <c r="B811"/>
    </row>
    <row r="812" spans="1:2">
      <c r="A812"/>
      <c r="B812"/>
    </row>
    <row r="813" spans="1:2">
      <c r="A813"/>
      <c r="B813"/>
    </row>
    <row r="814" spans="1:2">
      <c r="A814"/>
      <c r="B814"/>
    </row>
    <row r="815" spans="1:2">
      <c r="A815"/>
      <c r="B815"/>
    </row>
    <row r="816" spans="1:2">
      <c r="A816"/>
      <c r="B816"/>
    </row>
    <row r="817" spans="1:2">
      <c r="A817"/>
      <c r="B817"/>
    </row>
    <row r="818" spans="1:2">
      <c r="A818"/>
      <c r="B818"/>
    </row>
    <row r="819" spans="1:2">
      <c r="A819"/>
      <c r="B819"/>
    </row>
    <row r="820" spans="1:2">
      <c r="A820"/>
      <c r="B820"/>
    </row>
    <row r="821" spans="1:2">
      <c r="A821"/>
      <c r="B821"/>
    </row>
    <row r="822" spans="1:2">
      <c r="A822"/>
      <c r="B822"/>
    </row>
    <row r="823" spans="1:2">
      <c r="A823"/>
      <c r="B823"/>
    </row>
    <row r="824" spans="1:2">
      <c r="A824"/>
      <c r="B824"/>
    </row>
    <row r="825" spans="1:2">
      <c r="A825"/>
      <c r="B825"/>
    </row>
    <row r="826" spans="1:2">
      <c r="A826"/>
      <c r="B826"/>
    </row>
    <row r="827" spans="1:2">
      <c r="A827"/>
      <c r="B827"/>
    </row>
    <row r="828" spans="1:2">
      <c r="A828"/>
      <c r="B828"/>
    </row>
    <row r="829" spans="1:2">
      <c r="A829"/>
      <c r="B829"/>
    </row>
    <row r="830" spans="1:2">
      <c r="A830"/>
      <c r="B830"/>
    </row>
    <row r="831" spans="1:2">
      <c r="A831"/>
      <c r="B831"/>
    </row>
    <row r="832" spans="1:2">
      <c r="A832"/>
      <c r="B832"/>
    </row>
    <row r="833" spans="1:2">
      <c r="A833"/>
      <c r="B833"/>
    </row>
    <row r="834" spans="1:2">
      <c r="A834"/>
      <c r="B834"/>
    </row>
    <row r="835" spans="1:2">
      <c r="A835"/>
      <c r="B835"/>
    </row>
    <row r="836" spans="1:2">
      <c r="A836"/>
      <c r="B836"/>
    </row>
    <row r="837" spans="1:2">
      <c r="A837"/>
      <c r="B837"/>
    </row>
    <row r="838" spans="1:2">
      <c r="A838"/>
      <c r="B838"/>
    </row>
    <row r="839" spans="1:2">
      <c r="A839"/>
      <c r="B839"/>
    </row>
    <row r="840" spans="1:2">
      <c r="A840"/>
      <c r="B840"/>
    </row>
    <row r="841" spans="1:2">
      <c r="A841"/>
      <c r="B841"/>
    </row>
    <row r="842" spans="1:2">
      <c r="A842"/>
      <c r="B842"/>
    </row>
    <row r="843" spans="1:2">
      <c r="A843"/>
      <c r="B843"/>
    </row>
    <row r="844" spans="1:2">
      <c r="A844"/>
      <c r="B844"/>
    </row>
    <row r="845" spans="1:2">
      <c r="A845"/>
      <c r="B845"/>
    </row>
    <row r="846" spans="1:2">
      <c r="A846"/>
      <c r="B846"/>
    </row>
    <row r="847" spans="1:2">
      <c r="A847"/>
      <c r="B847"/>
    </row>
    <row r="848" spans="1:2">
      <c r="A848"/>
      <c r="B848"/>
    </row>
    <row r="849" spans="1:2">
      <c r="A849"/>
      <c r="B849"/>
    </row>
    <row r="850" spans="1:2">
      <c r="A850"/>
      <c r="B850"/>
    </row>
    <row r="851" spans="1:2">
      <c r="A851"/>
      <c r="B851"/>
    </row>
    <row r="852" spans="1:2">
      <c r="A852"/>
      <c r="B852"/>
    </row>
    <row r="853" spans="1:2">
      <c r="A853"/>
      <c r="B853"/>
    </row>
    <row r="854" spans="1:2">
      <c r="A854"/>
      <c r="B854"/>
    </row>
    <row r="855" spans="1:2">
      <c r="A855"/>
      <c r="B855"/>
    </row>
    <row r="856" spans="1:2">
      <c r="A856"/>
      <c r="B856"/>
    </row>
    <row r="857" spans="1:2">
      <c r="A857"/>
      <c r="B857"/>
    </row>
    <row r="858" spans="1:2">
      <c r="A858"/>
      <c r="B858"/>
    </row>
    <row r="859" spans="1:2">
      <c r="A859"/>
      <c r="B859"/>
    </row>
    <row r="860" spans="1:2">
      <c r="A860"/>
      <c r="B860"/>
    </row>
    <row r="861" spans="1:2">
      <c r="A861"/>
      <c r="B861"/>
    </row>
    <row r="862" spans="1:2">
      <c r="A862"/>
      <c r="B862"/>
    </row>
    <row r="863" spans="1:2">
      <c r="A863"/>
      <c r="B863"/>
    </row>
    <row r="864" spans="1:2">
      <c r="A864"/>
      <c r="B864"/>
    </row>
    <row r="865" spans="1:2">
      <c r="A865"/>
      <c r="B865"/>
    </row>
    <row r="866" spans="1:2">
      <c r="A866"/>
      <c r="B866"/>
    </row>
    <row r="867" spans="1:2">
      <c r="A867"/>
      <c r="B867"/>
    </row>
    <row r="868" spans="1:2">
      <c r="A868"/>
      <c r="B868"/>
    </row>
    <row r="869" spans="1:2">
      <c r="A869"/>
      <c r="B869"/>
    </row>
    <row r="870" spans="1:2">
      <c r="A870"/>
      <c r="B870"/>
    </row>
    <row r="871" spans="1:2">
      <c r="A871"/>
      <c r="B871"/>
    </row>
    <row r="872" spans="1:2">
      <c r="A872"/>
      <c r="B872"/>
    </row>
    <row r="873" spans="1:2">
      <c r="A873"/>
      <c r="B873"/>
    </row>
    <row r="874" spans="1:2">
      <c r="A874"/>
      <c r="B874"/>
    </row>
    <row r="875" spans="1:2">
      <c r="A875"/>
      <c r="B875"/>
    </row>
    <row r="876" spans="1:2">
      <c r="A876"/>
      <c r="B876"/>
    </row>
    <row r="877" spans="1:2">
      <c r="A877"/>
      <c r="B877"/>
    </row>
    <row r="878" spans="1:2">
      <c r="A878"/>
      <c r="B878"/>
    </row>
    <row r="879" spans="1:2">
      <c r="A879"/>
      <c r="B879"/>
    </row>
    <row r="880" spans="1:2">
      <c r="A880"/>
      <c r="B880"/>
    </row>
    <row r="881" spans="1:2">
      <c r="A881"/>
      <c r="B881"/>
    </row>
    <row r="882" spans="1:2">
      <c r="A882"/>
      <c r="B882"/>
    </row>
    <row r="883" spans="1:2">
      <c r="A883"/>
      <c r="B883"/>
    </row>
    <row r="884" spans="1:2">
      <c r="A884"/>
      <c r="B884"/>
    </row>
    <row r="885" spans="1:2">
      <c r="A885"/>
      <c r="B885"/>
    </row>
    <row r="886" spans="1:2">
      <c r="A886"/>
      <c r="B886"/>
    </row>
    <row r="887" spans="1:2">
      <c r="A887"/>
      <c r="B887"/>
    </row>
    <row r="888" spans="1:2">
      <c r="A888"/>
      <c r="B888"/>
    </row>
    <row r="889" spans="1:2">
      <c r="A889"/>
      <c r="B889"/>
    </row>
    <row r="890" spans="1:2">
      <c r="A890"/>
      <c r="B890"/>
    </row>
    <row r="891" spans="1:2">
      <c r="A891"/>
      <c r="B891"/>
    </row>
    <row r="892" spans="1:2">
      <c r="A892"/>
      <c r="B892"/>
    </row>
    <row r="893" spans="1:2">
      <c r="A893"/>
      <c r="B893"/>
    </row>
    <row r="894" spans="1:2">
      <c r="A894"/>
      <c r="B894"/>
    </row>
    <row r="895" spans="1:2">
      <c r="A895"/>
      <c r="B895"/>
    </row>
    <row r="896" spans="1:2">
      <c r="A896"/>
      <c r="B896"/>
    </row>
    <row r="897" spans="1:2">
      <c r="A897"/>
      <c r="B897"/>
    </row>
    <row r="898" spans="1:2">
      <c r="A898"/>
      <c r="B898"/>
    </row>
    <row r="899" spans="1:2">
      <c r="A899"/>
      <c r="B899"/>
    </row>
    <row r="900" spans="1:2">
      <c r="A900"/>
      <c r="B900"/>
    </row>
    <row r="901" spans="1:2">
      <c r="A901"/>
      <c r="B901"/>
    </row>
    <row r="902" spans="1:2">
      <c r="A902"/>
      <c r="B902"/>
    </row>
    <row r="903" spans="1:2">
      <c r="A903"/>
      <c r="B903"/>
    </row>
    <row r="904" spans="1:2">
      <c r="A904"/>
      <c r="B904"/>
    </row>
    <row r="905" spans="1:2">
      <c r="A905"/>
      <c r="B905"/>
    </row>
    <row r="906" spans="1:2">
      <c r="A906"/>
      <c r="B906"/>
    </row>
    <row r="907" spans="1:2">
      <c r="A907"/>
      <c r="B907"/>
    </row>
    <row r="908" spans="1:2">
      <c r="A908"/>
      <c r="B908"/>
    </row>
    <row r="909" spans="1:2">
      <c r="A909"/>
      <c r="B909"/>
    </row>
    <row r="910" spans="1:2">
      <c r="A910"/>
      <c r="B910"/>
    </row>
    <row r="911" spans="1:2">
      <c r="A911"/>
      <c r="B911"/>
    </row>
    <row r="912" spans="1:2">
      <c r="A912"/>
      <c r="B912"/>
    </row>
    <row r="913" spans="1:2">
      <c r="A913"/>
      <c r="B913"/>
    </row>
    <row r="914" spans="1:2">
      <c r="A914"/>
      <c r="B914"/>
    </row>
    <row r="915" spans="1:2">
      <c r="A915"/>
      <c r="B915"/>
    </row>
    <row r="916" spans="1:2">
      <c r="A916"/>
      <c r="B916"/>
    </row>
    <row r="917" spans="1:2">
      <c r="A917"/>
      <c r="B917"/>
    </row>
    <row r="918" spans="1:2">
      <c r="A918"/>
      <c r="B918"/>
    </row>
    <row r="919" spans="1:2">
      <c r="A919"/>
      <c r="B919"/>
    </row>
    <row r="920" spans="1:2">
      <c r="A920"/>
      <c r="B920"/>
    </row>
    <row r="921" spans="1:2">
      <c r="A921"/>
      <c r="B921"/>
    </row>
    <row r="922" spans="1:2">
      <c r="A922"/>
      <c r="B922"/>
    </row>
    <row r="923" spans="1:2">
      <c r="A923"/>
      <c r="B923"/>
    </row>
    <row r="924" spans="1:2">
      <c r="A924"/>
      <c r="B924"/>
    </row>
    <row r="925" spans="1:2">
      <c r="A925"/>
      <c r="B925"/>
    </row>
    <row r="926" spans="1:2">
      <c r="A926"/>
      <c r="B926"/>
    </row>
    <row r="927" spans="1:2">
      <c r="A927"/>
      <c r="B927"/>
    </row>
    <row r="928" spans="1:2">
      <c r="A928"/>
      <c r="B928"/>
    </row>
    <row r="929" spans="1:2">
      <c r="A929"/>
      <c r="B929"/>
    </row>
    <row r="930" spans="1:2">
      <c r="A930"/>
      <c r="B930"/>
    </row>
    <row r="931" spans="1:2">
      <c r="A931"/>
      <c r="B931"/>
    </row>
    <row r="932" spans="1:2">
      <c r="A932"/>
      <c r="B932"/>
    </row>
    <row r="933" spans="1:2">
      <c r="A933"/>
      <c r="B933"/>
    </row>
    <row r="934" spans="1:2">
      <c r="A934"/>
      <c r="B934"/>
    </row>
    <row r="935" spans="1:2">
      <c r="A935"/>
      <c r="B935"/>
    </row>
    <row r="936" spans="1:2">
      <c r="A936"/>
      <c r="B936"/>
    </row>
    <row r="937" spans="1:2">
      <c r="A937"/>
      <c r="B937"/>
    </row>
    <row r="938" spans="1:2">
      <c r="A938"/>
      <c r="B938"/>
    </row>
    <row r="939" spans="1:2">
      <c r="A939"/>
      <c r="B939"/>
    </row>
    <row r="940" spans="1:2">
      <c r="A940"/>
      <c r="B940"/>
    </row>
    <row r="941" spans="1:2">
      <c r="A941"/>
      <c r="B941"/>
    </row>
    <row r="942" spans="1:2">
      <c r="A942"/>
      <c r="B942"/>
    </row>
    <row r="943" spans="1:2">
      <c r="A943"/>
      <c r="B943"/>
    </row>
    <row r="944" spans="1:2">
      <c r="A944"/>
      <c r="B944"/>
    </row>
    <row r="945" spans="1:2">
      <c r="A945"/>
      <c r="B945"/>
    </row>
    <row r="946" spans="1:2">
      <c r="A946"/>
      <c r="B946"/>
    </row>
    <row r="947" spans="1:2">
      <c r="A947"/>
      <c r="B947"/>
    </row>
    <row r="948" spans="1:2">
      <c r="A948"/>
      <c r="B948"/>
    </row>
    <row r="949" spans="1:2">
      <c r="A949"/>
      <c r="B949"/>
    </row>
    <row r="950" spans="1:2">
      <c r="A950"/>
      <c r="B950"/>
    </row>
    <row r="951" spans="1:2">
      <c r="A951"/>
      <c r="B951"/>
    </row>
    <row r="952" spans="1:2">
      <c r="A952"/>
      <c r="B952"/>
    </row>
    <row r="953" spans="1:2">
      <c r="A953"/>
      <c r="B953"/>
    </row>
    <row r="954" spans="1:2">
      <c r="A954"/>
      <c r="B954"/>
    </row>
    <row r="955" spans="1:2">
      <c r="A955"/>
      <c r="B955"/>
    </row>
    <row r="956" spans="1:2">
      <c r="A956"/>
      <c r="B956"/>
    </row>
    <row r="957" spans="1:2">
      <c r="A957"/>
      <c r="B957"/>
    </row>
    <row r="958" spans="1:2">
      <c r="A958"/>
      <c r="B958"/>
    </row>
    <row r="959" spans="1:2">
      <c r="A959"/>
      <c r="B959"/>
    </row>
    <row r="960" spans="1:2">
      <c r="A960"/>
      <c r="B960"/>
    </row>
    <row r="961" spans="1:2">
      <c r="A961"/>
      <c r="B961"/>
    </row>
    <row r="962" spans="1:2">
      <c r="A962"/>
      <c r="B962"/>
    </row>
    <row r="963" spans="1:2">
      <c r="A963"/>
      <c r="B963"/>
    </row>
    <row r="964" spans="1:2">
      <c r="A964"/>
      <c r="B964"/>
    </row>
    <row r="965" spans="1:2">
      <c r="A965"/>
      <c r="B965"/>
    </row>
    <row r="966" spans="1:2">
      <c r="A966"/>
      <c r="B966"/>
    </row>
    <row r="967" spans="1:2">
      <c r="A967"/>
      <c r="B967"/>
    </row>
    <row r="968" spans="1:2">
      <c r="A968"/>
      <c r="B968"/>
    </row>
    <row r="969" spans="1:2">
      <c r="A969"/>
      <c r="B969"/>
    </row>
    <row r="970" spans="1:2">
      <c r="A970"/>
      <c r="B970"/>
    </row>
    <row r="971" spans="1:2">
      <c r="A971"/>
      <c r="B971"/>
    </row>
    <row r="972" spans="1:2">
      <c r="A972"/>
      <c r="B972"/>
    </row>
    <row r="973" spans="1:2">
      <c r="A973"/>
      <c r="B973"/>
    </row>
    <row r="974" spans="1:2">
      <c r="A974"/>
      <c r="B974"/>
    </row>
    <row r="975" spans="1:2">
      <c r="A975"/>
      <c r="B975"/>
    </row>
    <row r="976" spans="1:2">
      <c r="A976"/>
      <c r="B976"/>
    </row>
    <row r="977" spans="1:2">
      <c r="A977"/>
      <c r="B977"/>
    </row>
    <row r="978" spans="1:2">
      <c r="A978"/>
      <c r="B978"/>
    </row>
    <row r="979" spans="1:2">
      <c r="A979"/>
      <c r="B979"/>
    </row>
    <row r="980" spans="1:2">
      <c r="A980"/>
      <c r="B980"/>
    </row>
    <row r="981" spans="1:2">
      <c r="A981"/>
      <c r="B981"/>
    </row>
    <row r="982" spans="1:2">
      <c r="A982"/>
      <c r="B982"/>
    </row>
    <row r="983" spans="1:2">
      <c r="A983"/>
      <c r="B983"/>
    </row>
    <row r="984" spans="1:2">
      <c r="A984"/>
      <c r="B984"/>
    </row>
    <row r="985" spans="1:2">
      <c r="A985"/>
      <c r="B985"/>
    </row>
    <row r="986" spans="1:2">
      <c r="A986"/>
      <c r="B986"/>
    </row>
    <row r="987" spans="1:2">
      <c r="A987"/>
      <c r="B987"/>
    </row>
    <row r="988" spans="1:2">
      <c r="A988"/>
      <c r="B988"/>
    </row>
    <row r="989" spans="1:2">
      <c r="A989"/>
      <c r="B989"/>
    </row>
    <row r="990" spans="1:2">
      <c r="A990"/>
      <c r="B990"/>
    </row>
    <row r="991" spans="1:2">
      <c r="A991"/>
      <c r="B991"/>
    </row>
    <row r="992" spans="1:2">
      <c r="A992"/>
      <c r="B992"/>
    </row>
    <row r="993" spans="1:2">
      <c r="A993"/>
      <c r="B993"/>
    </row>
    <row r="994" spans="1:2">
      <c r="A994"/>
      <c r="B994"/>
    </row>
    <row r="995" spans="1:2">
      <c r="A995"/>
      <c r="B995"/>
    </row>
    <row r="996" spans="1:2">
      <c r="A996"/>
      <c r="B996"/>
    </row>
    <row r="997" spans="1:2">
      <c r="A997"/>
      <c r="B997"/>
    </row>
    <row r="998" spans="1:2">
      <c r="A998"/>
      <c r="B998"/>
    </row>
    <row r="999" spans="1:2">
      <c r="A999"/>
      <c r="B999"/>
    </row>
    <row r="1000" spans="1:2">
      <c r="A1000"/>
      <c r="B1000"/>
    </row>
    <row r="1001" spans="1:2">
      <c r="A1001"/>
      <c r="B1001"/>
    </row>
    <row r="1002" spans="1:2">
      <c r="A1002"/>
      <c r="B1002"/>
    </row>
    <row r="1003" spans="1:2">
      <c r="A1003"/>
      <c r="B1003"/>
    </row>
    <row r="1004" spans="1:2">
      <c r="A1004"/>
      <c r="B1004"/>
    </row>
    <row r="1005" spans="1:2">
      <c r="A1005"/>
      <c r="B1005"/>
    </row>
    <row r="1006" spans="1:2">
      <c r="A1006"/>
      <c r="B1006"/>
    </row>
    <row r="1007" spans="1:2">
      <c r="A1007"/>
      <c r="B1007"/>
    </row>
    <row r="1008" spans="1:2">
      <c r="A1008"/>
      <c r="B1008"/>
    </row>
    <row r="1009" spans="1:2">
      <c r="A1009"/>
      <c r="B1009"/>
    </row>
    <row r="1010" spans="1:2">
      <c r="A1010"/>
      <c r="B1010"/>
    </row>
    <row r="1011" spans="1:2">
      <c r="A1011"/>
      <c r="B1011"/>
    </row>
    <row r="1012" spans="1:2">
      <c r="A1012"/>
      <c r="B1012"/>
    </row>
    <row r="1013" spans="1:2">
      <c r="A1013"/>
      <c r="B1013"/>
    </row>
    <row r="1014" spans="1:2">
      <c r="A1014"/>
      <c r="B1014"/>
    </row>
    <row r="1015" spans="1:2">
      <c r="A1015"/>
      <c r="B1015"/>
    </row>
    <row r="1016" spans="1:2">
      <c r="A1016"/>
      <c r="B1016"/>
    </row>
    <row r="1017" spans="1:2">
      <c r="A1017"/>
      <c r="B1017"/>
    </row>
    <row r="1018" spans="1:2">
      <c r="A1018"/>
      <c r="B1018"/>
    </row>
    <row r="1019" spans="1:2">
      <c r="A1019"/>
      <c r="B1019"/>
    </row>
    <row r="1020" spans="1:2">
      <c r="A1020"/>
      <c r="B1020"/>
    </row>
    <row r="1021" spans="1:2">
      <c r="A1021"/>
      <c r="B1021"/>
    </row>
    <row r="1022" spans="1:2">
      <c r="A1022"/>
      <c r="B1022"/>
    </row>
    <row r="1023" spans="1:2">
      <c r="A1023"/>
      <c r="B1023"/>
    </row>
    <row r="1024" spans="1:2">
      <c r="A1024"/>
      <c r="B1024"/>
    </row>
    <row r="1025" spans="1:2">
      <c r="A1025"/>
      <c r="B1025"/>
    </row>
    <row r="1026" spans="1:2">
      <c r="A1026"/>
      <c r="B1026"/>
    </row>
    <row r="1027" spans="1:2">
      <c r="A1027"/>
      <c r="B1027"/>
    </row>
    <row r="1028" spans="1:2">
      <c r="A1028"/>
      <c r="B1028"/>
    </row>
    <row r="1029" spans="1:2">
      <c r="A1029"/>
      <c r="B1029"/>
    </row>
    <row r="1030" spans="1:2">
      <c r="A1030"/>
      <c r="B1030"/>
    </row>
    <row r="1031" spans="1:2">
      <c r="A1031"/>
      <c r="B1031"/>
    </row>
    <row r="1032" spans="1:2">
      <c r="A1032"/>
      <c r="B1032"/>
    </row>
    <row r="1033" spans="1:2">
      <c r="A1033"/>
      <c r="B1033"/>
    </row>
    <row r="1034" spans="1:2">
      <c r="A1034"/>
      <c r="B1034"/>
    </row>
    <row r="1035" spans="1:2">
      <c r="A1035"/>
      <c r="B1035"/>
    </row>
    <row r="1036" spans="1:2">
      <c r="A1036"/>
      <c r="B1036"/>
    </row>
    <row r="1037" spans="1:2">
      <c r="A1037"/>
      <c r="B1037"/>
    </row>
    <row r="1038" spans="1:2">
      <c r="A1038"/>
      <c r="B1038"/>
    </row>
    <row r="1039" spans="1:2">
      <c r="A1039"/>
      <c r="B1039"/>
    </row>
    <row r="1040" spans="1:2">
      <c r="A1040"/>
      <c r="B1040"/>
    </row>
    <row r="1041" spans="1:2">
      <c r="A1041"/>
      <c r="B1041"/>
    </row>
    <row r="1042" spans="1:2">
      <c r="A1042"/>
      <c r="B1042"/>
    </row>
    <row r="1043" spans="1:2">
      <c r="A1043"/>
      <c r="B1043"/>
    </row>
    <row r="1044" spans="1:2">
      <c r="A1044"/>
      <c r="B1044"/>
    </row>
    <row r="1045" spans="1:2">
      <c r="A1045"/>
      <c r="B1045"/>
    </row>
    <row r="1046" spans="1:2">
      <c r="A1046"/>
      <c r="B1046"/>
    </row>
    <row r="1047" spans="1:2">
      <c r="A1047"/>
      <c r="B1047"/>
    </row>
    <row r="1048" spans="1:2">
      <c r="A1048"/>
      <c r="B1048"/>
    </row>
    <row r="1049" spans="1:2">
      <c r="A1049"/>
      <c r="B1049"/>
    </row>
    <row r="1050" spans="1:2">
      <c r="A1050"/>
      <c r="B1050"/>
    </row>
    <row r="1051" spans="1:2">
      <c r="A1051"/>
      <c r="B1051"/>
    </row>
    <row r="1052" spans="1:2">
      <c r="A1052"/>
      <c r="B1052"/>
    </row>
    <row r="1053" spans="1:2">
      <c r="A1053"/>
      <c r="B1053"/>
    </row>
    <row r="1054" spans="1:2">
      <c r="A1054"/>
      <c r="B1054"/>
    </row>
    <row r="1055" spans="1:2">
      <c r="A1055"/>
      <c r="B1055"/>
    </row>
    <row r="1056" spans="1:2">
      <c r="A1056"/>
      <c r="B1056"/>
    </row>
    <row r="1057" spans="1:2">
      <c r="A1057"/>
      <c r="B1057"/>
    </row>
    <row r="1058" spans="1:2">
      <c r="A1058"/>
      <c r="B1058"/>
    </row>
    <row r="1059" spans="1:2">
      <c r="A1059"/>
      <c r="B1059"/>
    </row>
    <row r="1060" spans="1:2">
      <c r="A1060"/>
      <c r="B1060"/>
    </row>
    <row r="1061" spans="1:2">
      <c r="A1061"/>
      <c r="B1061"/>
    </row>
    <row r="1062" spans="1:2">
      <c r="A1062"/>
      <c r="B1062"/>
    </row>
    <row r="1063" spans="1:2">
      <c r="A1063"/>
      <c r="B1063"/>
    </row>
    <row r="1064" spans="1:2">
      <c r="A1064"/>
      <c r="B1064"/>
    </row>
    <row r="1065" spans="1:2">
      <c r="A1065"/>
      <c r="B1065"/>
    </row>
    <row r="1066" spans="1:2">
      <c r="A1066"/>
      <c r="B1066"/>
    </row>
    <row r="1067" spans="1:2">
      <c r="A1067"/>
      <c r="B1067"/>
    </row>
    <row r="1068" spans="1:2">
      <c r="A1068"/>
      <c r="B1068"/>
    </row>
    <row r="1069" spans="1:2">
      <c r="A1069"/>
      <c r="B1069"/>
    </row>
    <row r="1070" spans="1:2">
      <c r="A1070"/>
      <c r="B1070"/>
    </row>
    <row r="1071" spans="1:2">
      <c r="A1071"/>
      <c r="B1071"/>
    </row>
    <row r="1072" spans="1:2">
      <c r="A1072"/>
      <c r="B1072"/>
    </row>
    <row r="1073" spans="1:2">
      <c r="A1073"/>
      <c r="B1073"/>
    </row>
    <row r="1074" spans="1:2">
      <c r="A1074"/>
      <c r="B1074"/>
    </row>
    <row r="1075" spans="1:2">
      <c r="A1075"/>
      <c r="B1075"/>
    </row>
    <row r="1076" spans="1:2">
      <c r="A1076"/>
      <c r="B1076"/>
    </row>
    <row r="1077" spans="1:2">
      <c r="A1077"/>
      <c r="B1077"/>
    </row>
    <row r="1078" spans="1:2">
      <c r="A1078"/>
      <c r="B1078"/>
    </row>
    <row r="1079" spans="1:2">
      <c r="A1079"/>
      <c r="B1079"/>
    </row>
    <row r="1080" spans="1:2">
      <c r="A1080"/>
      <c r="B1080"/>
    </row>
    <row r="1081" spans="1:2">
      <c r="A1081"/>
      <c r="B1081"/>
    </row>
    <row r="1082" spans="1:2">
      <c r="A1082"/>
      <c r="B1082"/>
    </row>
    <row r="1083" spans="1:2">
      <c r="A1083"/>
      <c r="B1083"/>
    </row>
    <row r="1084" spans="1:2">
      <c r="A1084"/>
      <c r="B1084"/>
    </row>
    <row r="1085" spans="1:2">
      <c r="A1085"/>
      <c r="B1085"/>
    </row>
    <row r="1086" spans="1:2">
      <c r="A1086"/>
      <c r="B1086"/>
    </row>
    <row r="1087" spans="1:2">
      <c r="A1087"/>
      <c r="B1087"/>
    </row>
    <row r="1088" spans="1:2">
      <c r="A1088"/>
      <c r="B1088"/>
    </row>
    <row r="1089" spans="1:2">
      <c r="A1089"/>
      <c r="B1089"/>
    </row>
    <row r="1090" spans="1:2">
      <c r="A1090"/>
      <c r="B1090"/>
    </row>
    <row r="1091" spans="1:2">
      <c r="A1091"/>
      <c r="B1091"/>
    </row>
    <row r="1092" spans="1:2">
      <c r="A1092"/>
      <c r="B1092"/>
    </row>
    <row r="1093" spans="1:2">
      <c r="A1093"/>
      <c r="B1093"/>
    </row>
    <row r="1094" spans="1:2">
      <c r="A1094"/>
      <c r="B1094"/>
    </row>
    <row r="1095" spans="1:2">
      <c r="A1095"/>
      <c r="B1095"/>
    </row>
    <row r="1096" spans="1:2">
      <c r="A1096"/>
      <c r="B1096"/>
    </row>
    <row r="1097" spans="1:2">
      <c r="A1097"/>
      <c r="B1097"/>
    </row>
    <row r="1098" spans="1:2">
      <c r="A1098"/>
      <c r="B1098"/>
    </row>
    <row r="1099" spans="1:2">
      <c r="A1099"/>
      <c r="B1099"/>
    </row>
    <row r="1100" spans="1:2">
      <c r="A1100"/>
      <c r="B1100"/>
    </row>
    <row r="1101" spans="1:2">
      <c r="A1101"/>
      <c r="B1101"/>
    </row>
    <row r="1102" spans="1:2">
      <c r="A1102"/>
      <c r="B1102"/>
    </row>
    <row r="1103" spans="1:2">
      <c r="A1103"/>
      <c r="B1103"/>
    </row>
    <row r="1104" spans="1:2">
      <c r="A1104"/>
      <c r="B1104"/>
    </row>
    <row r="1105" spans="1:2">
      <c r="A1105"/>
      <c r="B1105"/>
    </row>
    <row r="1106" spans="1:2">
      <c r="A1106"/>
      <c r="B1106"/>
    </row>
    <row r="1107" spans="1:2">
      <c r="A1107"/>
      <c r="B1107"/>
    </row>
    <row r="1108" spans="1:2">
      <c r="A1108"/>
      <c r="B1108"/>
    </row>
    <row r="1109" spans="1:2">
      <c r="A1109"/>
      <c r="B1109"/>
    </row>
    <row r="1110" spans="1:2">
      <c r="A1110"/>
      <c r="B1110"/>
    </row>
    <row r="1111" spans="1:2">
      <c r="A1111"/>
      <c r="B1111"/>
    </row>
    <row r="1112" spans="1:2">
      <c r="A1112"/>
      <c r="B1112"/>
    </row>
    <row r="1113" spans="1:2">
      <c r="A1113"/>
      <c r="B1113"/>
    </row>
    <row r="1114" spans="1:2">
      <c r="A1114"/>
      <c r="B1114"/>
    </row>
    <row r="1115" spans="1:2">
      <c r="A1115"/>
      <c r="B1115"/>
    </row>
    <row r="1116" spans="1:2">
      <c r="A1116"/>
      <c r="B1116"/>
    </row>
    <row r="1117" spans="1:2">
      <c r="A1117"/>
      <c r="B1117"/>
    </row>
    <row r="1118" spans="1:2">
      <c r="A1118"/>
      <c r="B1118"/>
    </row>
    <row r="1119" spans="1:2">
      <c r="A1119"/>
      <c r="B1119"/>
    </row>
    <row r="1120" spans="1:2">
      <c r="A1120"/>
      <c r="B1120"/>
    </row>
    <row r="1121" spans="1:2">
      <c r="A1121"/>
      <c r="B1121"/>
    </row>
    <row r="1122" spans="1:2">
      <c r="A1122"/>
      <c r="B1122"/>
    </row>
    <row r="1123" spans="1:2">
      <c r="A1123"/>
      <c r="B1123"/>
    </row>
    <row r="1124" spans="1:2">
      <c r="A1124"/>
      <c r="B1124"/>
    </row>
    <row r="1125" spans="1:2">
      <c r="A1125"/>
      <c r="B1125"/>
    </row>
    <row r="1126" spans="1:2">
      <c r="A1126"/>
      <c r="B1126"/>
    </row>
    <row r="1127" spans="1:2">
      <c r="A1127"/>
      <c r="B1127"/>
    </row>
    <row r="1128" spans="1:2">
      <c r="A1128"/>
      <c r="B1128"/>
    </row>
    <row r="1129" spans="1:2">
      <c r="A1129"/>
      <c r="B1129"/>
    </row>
    <row r="1130" spans="1:2">
      <c r="A1130"/>
      <c r="B1130"/>
    </row>
    <row r="1131" spans="1:2">
      <c r="A1131"/>
      <c r="B1131"/>
    </row>
    <row r="1132" spans="1:2">
      <c r="A1132"/>
      <c r="B1132"/>
    </row>
    <row r="1133" spans="1:2">
      <c r="A1133"/>
      <c r="B1133"/>
    </row>
    <row r="1134" spans="1:2">
      <c r="A1134"/>
      <c r="B1134"/>
    </row>
    <row r="1135" spans="1:2">
      <c r="A1135"/>
      <c r="B1135"/>
    </row>
    <row r="1136" spans="1:2">
      <c r="A1136"/>
      <c r="B1136"/>
    </row>
    <row r="1137" spans="1:2">
      <c r="A1137"/>
      <c r="B1137"/>
    </row>
    <row r="1138" spans="1:2">
      <c r="A1138"/>
      <c r="B1138"/>
    </row>
    <row r="1139" spans="1:2">
      <c r="A1139"/>
      <c r="B1139"/>
    </row>
    <row r="1140" spans="1:2">
      <c r="A1140"/>
      <c r="B1140"/>
    </row>
    <row r="1141" spans="1:2">
      <c r="A1141"/>
      <c r="B1141"/>
    </row>
    <row r="1142" spans="1:2">
      <c r="A1142"/>
      <c r="B1142"/>
    </row>
    <row r="1143" spans="1:2">
      <c r="A1143"/>
      <c r="B1143"/>
    </row>
    <row r="1144" spans="1:2">
      <c r="A1144"/>
      <c r="B1144"/>
    </row>
    <row r="1145" spans="1:2">
      <c r="A1145"/>
      <c r="B1145"/>
    </row>
    <row r="1146" spans="1:2">
      <c r="A1146"/>
      <c r="B1146"/>
    </row>
    <row r="1147" spans="1:2">
      <c r="A1147"/>
      <c r="B1147"/>
    </row>
    <row r="1148" spans="1:2">
      <c r="A1148"/>
      <c r="B1148"/>
    </row>
    <row r="1149" spans="1:2">
      <c r="A1149"/>
      <c r="B1149"/>
    </row>
    <row r="1150" spans="1:2">
      <c r="A1150"/>
      <c r="B1150"/>
    </row>
    <row r="1151" spans="1:2">
      <c r="A1151"/>
      <c r="B1151"/>
    </row>
    <row r="1152" spans="1:2">
      <c r="A1152"/>
      <c r="B1152"/>
    </row>
    <row r="1153" spans="1:2">
      <c r="A1153"/>
      <c r="B1153"/>
    </row>
    <row r="1154" spans="1:2">
      <c r="A1154"/>
      <c r="B1154"/>
    </row>
    <row r="1155" spans="1:2">
      <c r="A1155"/>
      <c r="B1155"/>
    </row>
    <row r="1156" spans="1:2">
      <c r="A1156"/>
      <c r="B1156"/>
    </row>
    <row r="1157" spans="1:2">
      <c r="A1157"/>
      <c r="B1157"/>
    </row>
    <row r="1158" spans="1:2">
      <c r="A1158"/>
      <c r="B1158"/>
    </row>
    <row r="1159" spans="1:2">
      <c r="A1159"/>
      <c r="B1159"/>
    </row>
    <row r="1160" spans="1:2">
      <c r="A1160"/>
      <c r="B1160"/>
    </row>
    <row r="1161" spans="1:2">
      <c r="A1161"/>
      <c r="B1161"/>
    </row>
    <row r="1162" spans="1:2">
      <c r="A1162"/>
      <c r="B1162"/>
    </row>
    <row r="1163" spans="1:2">
      <c r="A1163"/>
      <c r="B1163"/>
    </row>
    <row r="1164" spans="1:2">
      <c r="A1164"/>
      <c r="B1164"/>
    </row>
    <row r="1165" spans="1:2">
      <c r="A1165"/>
      <c r="B1165"/>
    </row>
    <row r="1166" spans="1:2">
      <c r="A1166"/>
      <c r="B1166"/>
    </row>
    <row r="1167" spans="1:2">
      <c r="A1167"/>
      <c r="B1167"/>
    </row>
    <row r="1168" spans="1:2">
      <c r="A1168"/>
      <c r="B1168"/>
    </row>
    <row r="1169" spans="1:2">
      <c r="A1169"/>
      <c r="B1169"/>
    </row>
    <row r="1170" spans="1:2">
      <c r="A1170"/>
      <c r="B1170"/>
    </row>
    <row r="1171" spans="1:2">
      <c r="A1171"/>
      <c r="B1171"/>
    </row>
    <row r="1172" spans="1:2">
      <c r="A1172"/>
      <c r="B1172"/>
    </row>
    <row r="1173" spans="1:2">
      <c r="A1173"/>
      <c r="B1173"/>
    </row>
    <row r="1174" spans="1:2">
      <c r="A1174"/>
      <c r="B1174"/>
    </row>
    <row r="1175" spans="1:2">
      <c r="A1175"/>
      <c r="B1175"/>
    </row>
    <row r="1176" spans="1:2">
      <c r="A1176"/>
      <c r="B1176"/>
    </row>
    <row r="1177" spans="1:2">
      <c r="A1177"/>
      <c r="B1177"/>
    </row>
    <row r="1178" spans="1:2">
      <c r="A1178"/>
      <c r="B1178"/>
    </row>
    <row r="1179" spans="1:2">
      <c r="A1179"/>
      <c r="B1179"/>
    </row>
    <row r="1180" spans="1:2">
      <c r="A1180"/>
      <c r="B1180"/>
    </row>
    <row r="1181" spans="1:2">
      <c r="A1181"/>
      <c r="B1181"/>
    </row>
    <row r="1182" spans="1:2">
      <c r="A1182"/>
      <c r="B1182"/>
    </row>
    <row r="1183" spans="1:2">
      <c r="A1183"/>
      <c r="B1183"/>
    </row>
    <row r="1184" spans="1:2">
      <c r="A1184"/>
      <c r="B1184"/>
    </row>
    <row r="1185" spans="1:2">
      <c r="A1185"/>
      <c r="B1185"/>
    </row>
    <row r="1186" spans="1:2">
      <c r="A1186"/>
      <c r="B1186"/>
    </row>
    <row r="1187" spans="1:2">
      <c r="A1187"/>
      <c r="B1187"/>
    </row>
    <row r="1188" spans="1:2">
      <c r="A1188"/>
      <c r="B1188"/>
    </row>
    <row r="1189" spans="1:2">
      <c r="A1189"/>
      <c r="B1189"/>
    </row>
    <row r="1190" spans="1:2">
      <c r="A1190"/>
      <c r="B1190"/>
    </row>
    <row r="1191" spans="1:2">
      <c r="A1191"/>
      <c r="B1191"/>
    </row>
    <row r="1192" spans="1:2">
      <c r="A1192"/>
      <c r="B1192"/>
    </row>
    <row r="1193" spans="1:2">
      <c r="A1193"/>
      <c r="B1193"/>
    </row>
    <row r="1194" spans="1:2">
      <c r="A1194"/>
      <c r="B1194"/>
    </row>
    <row r="1195" spans="1:2">
      <c r="A1195"/>
      <c r="B1195"/>
    </row>
    <row r="1196" spans="1:2">
      <c r="A1196"/>
      <c r="B1196"/>
    </row>
    <row r="1197" spans="1:2">
      <c r="A1197"/>
      <c r="B1197"/>
    </row>
    <row r="1198" spans="1:2">
      <c r="A1198"/>
      <c r="B1198"/>
    </row>
    <row r="1199" spans="1:2">
      <c r="A1199"/>
      <c r="B1199"/>
    </row>
    <row r="1200" spans="1:2">
      <c r="A1200"/>
      <c r="B1200"/>
    </row>
    <row r="1201" spans="1:2">
      <c r="A1201"/>
      <c r="B1201"/>
    </row>
    <row r="1202" spans="1:2">
      <c r="A1202"/>
      <c r="B1202"/>
    </row>
    <row r="1203" spans="1:2">
      <c r="A1203"/>
      <c r="B1203"/>
    </row>
    <row r="1204" spans="1:2">
      <c r="A1204"/>
      <c r="B1204"/>
    </row>
    <row r="1205" spans="1:2">
      <c r="A1205"/>
      <c r="B1205"/>
    </row>
    <row r="1206" spans="1:2">
      <c r="A1206"/>
      <c r="B1206"/>
    </row>
    <row r="1207" spans="1:2">
      <c r="A1207"/>
      <c r="B1207"/>
    </row>
    <row r="1208" spans="1:2">
      <c r="A1208"/>
      <c r="B1208"/>
    </row>
    <row r="1209" spans="1:2">
      <c r="A1209"/>
      <c r="B1209"/>
    </row>
    <row r="1210" spans="1:2">
      <c r="A1210"/>
      <c r="B1210"/>
    </row>
    <row r="1211" spans="1:2">
      <c r="A1211"/>
      <c r="B1211"/>
    </row>
    <row r="1212" spans="1:2">
      <c r="A1212"/>
      <c r="B1212"/>
    </row>
    <row r="1213" spans="1:2">
      <c r="A1213"/>
      <c r="B1213"/>
    </row>
    <row r="1214" spans="1:2">
      <c r="A1214"/>
      <c r="B1214"/>
    </row>
    <row r="1215" spans="1:2">
      <c r="A1215"/>
      <c r="B1215"/>
    </row>
    <row r="1216" spans="1:2">
      <c r="A1216"/>
      <c r="B1216"/>
    </row>
    <row r="1217" spans="1:2">
      <c r="A1217"/>
      <c r="B1217"/>
    </row>
    <row r="1218" spans="1:2">
      <c r="A1218"/>
      <c r="B1218"/>
    </row>
    <row r="1219" spans="1:2">
      <c r="A1219"/>
      <c r="B1219"/>
    </row>
    <row r="1220" spans="1:2">
      <c r="A1220"/>
      <c r="B1220"/>
    </row>
    <row r="1221" spans="1:2">
      <c r="A1221"/>
      <c r="B1221"/>
    </row>
    <row r="1222" spans="1:2">
      <c r="A1222"/>
      <c r="B1222"/>
    </row>
    <row r="1223" spans="1:2">
      <c r="A1223"/>
      <c r="B1223"/>
    </row>
    <row r="1224" spans="1:2">
      <c r="A1224"/>
      <c r="B1224"/>
    </row>
    <row r="1225" spans="1:2">
      <c r="A1225"/>
      <c r="B1225"/>
    </row>
    <row r="1226" spans="1:2">
      <c r="A1226"/>
      <c r="B1226"/>
    </row>
    <row r="1227" spans="1:2">
      <c r="A1227"/>
      <c r="B1227"/>
    </row>
    <row r="1228" spans="1:2">
      <c r="A1228"/>
      <c r="B1228"/>
    </row>
    <row r="1229" spans="1:2">
      <c r="A1229"/>
      <c r="B1229"/>
    </row>
    <row r="1230" spans="1:2">
      <c r="A1230"/>
      <c r="B1230"/>
    </row>
    <row r="1231" spans="1:2">
      <c r="A1231"/>
      <c r="B1231"/>
    </row>
    <row r="1232" spans="1:2">
      <c r="A1232"/>
      <c r="B1232"/>
    </row>
    <row r="1233" spans="1:2">
      <c r="A1233"/>
      <c r="B1233"/>
    </row>
    <row r="1234" spans="1:2">
      <c r="A1234"/>
      <c r="B1234"/>
    </row>
    <row r="1235" spans="1:2">
      <c r="A1235"/>
      <c r="B1235"/>
    </row>
    <row r="1236" spans="1:2">
      <c r="A1236"/>
      <c r="B1236"/>
    </row>
    <row r="1237" spans="1:2">
      <c r="A1237"/>
      <c r="B1237"/>
    </row>
    <row r="1238" spans="1:2">
      <c r="A1238"/>
      <c r="B1238"/>
    </row>
    <row r="1239" spans="1:2">
      <c r="A1239"/>
      <c r="B1239"/>
    </row>
    <row r="1240" spans="1:2">
      <c r="A1240"/>
      <c r="B1240"/>
    </row>
    <row r="1241" spans="1:2">
      <c r="A1241"/>
      <c r="B1241"/>
    </row>
    <row r="1242" spans="1:2">
      <c r="A1242"/>
      <c r="B1242"/>
    </row>
    <row r="1243" spans="1:2">
      <c r="A1243"/>
      <c r="B1243"/>
    </row>
    <row r="1244" spans="1:2">
      <c r="A1244"/>
      <c r="B1244"/>
    </row>
    <row r="1245" spans="1:2">
      <c r="A1245"/>
      <c r="B1245"/>
    </row>
    <row r="1246" spans="1:2">
      <c r="A1246"/>
      <c r="B1246"/>
    </row>
    <row r="1247" spans="1:2">
      <c r="A1247"/>
      <c r="B1247"/>
    </row>
    <row r="1248" spans="1:2">
      <c r="A1248"/>
      <c r="B1248"/>
    </row>
    <row r="1249" spans="1:2">
      <c r="A1249"/>
      <c r="B1249"/>
    </row>
    <row r="1250" spans="1:2">
      <c r="A1250"/>
      <c r="B1250"/>
    </row>
    <row r="1251" spans="1:2">
      <c r="A1251"/>
      <c r="B1251"/>
    </row>
    <row r="1252" spans="1:2">
      <c r="A1252"/>
      <c r="B1252"/>
    </row>
    <row r="1253" spans="1:2">
      <c r="A1253"/>
      <c r="B1253"/>
    </row>
    <row r="1254" spans="1:2">
      <c r="A1254"/>
      <c r="B1254"/>
    </row>
    <row r="1255" spans="1:2">
      <c r="A1255"/>
      <c r="B1255"/>
    </row>
    <row r="1256" spans="1:2">
      <c r="A1256"/>
      <c r="B1256"/>
    </row>
    <row r="1257" spans="1:2">
      <c r="A1257"/>
      <c r="B1257"/>
    </row>
    <row r="1258" spans="1:2">
      <c r="A1258"/>
      <c r="B1258"/>
    </row>
    <row r="1259" spans="1:2">
      <c r="A1259"/>
      <c r="B1259"/>
    </row>
    <row r="1260" spans="1:2">
      <c r="A1260"/>
      <c r="B1260"/>
    </row>
    <row r="1261" spans="1:2">
      <c r="A1261"/>
      <c r="B1261"/>
    </row>
    <row r="1262" spans="1:2">
      <c r="A1262"/>
      <c r="B1262"/>
    </row>
    <row r="1263" spans="1:2">
      <c r="A1263"/>
      <c r="B1263"/>
    </row>
    <row r="1264" spans="1:2">
      <c r="A1264"/>
      <c r="B1264"/>
    </row>
    <row r="1265" spans="1:2">
      <c r="A1265"/>
      <c r="B1265"/>
    </row>
    <row r="1266" spans="1:2">
      <c r="A1266"/>
      <c r="B1266"/>
    </row>
    <row r="1267" spans="1:2">
      <c r="A1267"/>
      <c r="B1267"/>
    </row>
    <row r="1268" spans="1:2">
      <c r="A1268"/>
      <c r="B1268"/>
    </row>
    <row r="1269" spans="1:2">
      <c r="A1269"/>
      <c r="B1269"/>
    </row>
    <row r="1270" spans="1:2">
      <c r="A1270"/>
      <c r="B1270"/>
    </row>
    <row r="1271" spans="1:2">
      <c r="A1271"/>
      <c r="B1271"/>
    </row>
    <row r="1272" spans="1:2">
      <c r="A1272"/>
      <c r="B1272"/>
    </row>
    <row r="1273" spans="1:2">
      <c r="A1273"/>
      <c r="B1273"/>
    </row>
    <row r="1274" spans="1:2">
      <c r="A1274"/>
      <c r="B1274"/>
    </row>
    <row r="1275" spans="1:2">
      <c r="A1275"/>
      <c r="B1275"/>
    </row>
    <row r="1276" spans="1:2">
      <c r="A1276"/>
      <c r="B1276"/>
    </row>
    <row r="1277" spans="1:2">
      <c r="A1277"/>
      <c r="B1277"/>
    </row>
    <row r="1278" spans="1:2">
      <c r="A1278"/>
      <c r="B1278"/>
    </row>
    <row r="1279" spans="1:2">
      <c r="A1279"/>
      <c r="B1279"/>
    </row>
    <row r="1280" spans="1:2">
      <c r="A1280"/>
      <c r="B1280"/>
    </row>
    <row r="1281" spans="1:2">
      <c r="A1281"/>
      <c r="B1281"/>
    </row>
    <row r="1282" spans="1:2">
      <c r="A1282"/>
      <c r="B1282"/>
    </row>
    <row r="1283" spans="1:2">
      <c r="A1283"/>
      <c r="B1283"/>
    </row>
    <row r="1284" spans="1:2">
      <c r="A1284"/>
      <c r="B1284"/>
    </row>
    <row r="1285" spans="1:2">
      <c r="A1285"/>
      <c r="B1285"/>
    </row>
    <row r="1286" spans="1:2">
      <c r="A1286"/>
      <c r="B1286"/>
    </row>
    <row r="1287" spans="1:2">
      <c r="A1287"/>
      <c r="B1287"/>
    </row>
    <row r="1288" spans="1:2">
      <c r="A1288"/>
      <c r="B1288"/>
    </row>
    <row r="1289" spans="1:2">
      <c r="A1289"/>
      <c r="B1289"/>
    </row>
    <row r="1290" spans="1:2">
      <c r="A1290"/>
      <c r="B1290"/>
    </row>
    <row r="1291" spans="1:2">
      <c r="A1291"/>
      <c r="B1291"/>
    </row>
    <row r="1292" spans="1:2">
      <c r="A1292"/>
      <c r="B1292"/>
    </row>
    <row r="1293" spans="1:2">
      <c r="A1293"/>
      <c r="B1293"/>
    </row>
    <row r="1294" spans="1:2">
      <c r="A1294"/>
      <c r="B1294"/>
    </row>
    <row r="1295" spans="1:2">
      <c r="A1295"/>
      <c r="B1295"/>
    </row>
    <row r="1296" spans="1:2">
      <c r="A1296"/>
      <c r="B1296"/>
    </row>
    <row r="1297" spans="1:2">
      <c r="A1297"/>
      <c r="B1297"/>
    </row>
    <row r="1298" spans="1:2">
      <c r="A1298"/>
      <c r="B1298"/>
    </row>
    <row r="1299" spans="1:2">
      <c r="A1299"/>
      <c r="B1299"/>
    </row>
    <row r="1300" spans="1:2">
      <c r="A1300"/>
      <c r="B1300"/>
    </row>
    <row r="1301" spans="1:2">
      <c r="A1301"/>
      <c r="B1301"/>
    </row>
    <row r="1302" spans="1:2">
      <c r="A1302"/>
      <c r="B1302"/>
    </row>
    <row r="1303" spans="1:2">
      <c r="A1303"/>
      <c r="B1303"/>
    </row>
    <row r="1304" spans="1:2">
      <c r="A1304"/>
      <c r="B1304"/>
    </row>
    <row r="1305" spans="1:2">
      <c r="A1305"/>
      <c r="B1305"/>
    </row>
    <row r="1306" spans="1:2">
      <c r="A1306"/>
      <c r="B1306"/>
    </row>
    <row r="1307" spans="1:2">
      <c r="A1307"/>
      <c r="B1307"/>
    </row>
    <row r="1308" spans="1:2">
      <c r="A1308"/>
      <c r="B1308"/>
    </row>
    <row r="1309" spans="1:2">
      <c r="A1309"/>
      <c r="B1309"/>
    </row>
    <row r="1310" spans="1:2">
      <c r="A1310"/>
      <c r="B1310"/>
    </row>
    <row r="1311" spans="1:2">
      <c r="A1311"/>
      <c r="B1311"/>
    </row>
    <row r="1312" spans="1:2">
      <c r="A1312"/>
      <c r="B1312"/>
    </row>
    <row r="1313" spans="1:2">
      <c r="A1313"/>
      <c r="B1313"/>
    </row>
    <row r="1314" spans="1:2">
      <c r="A1314"/>
      <c r="B1314"/>
    </row>
    <row r="1315" spans="1:2">
      <c r="A1315"/>
      <c r="B1315"/>
    </row>
    <row r="1316" spans="1:2">
      <c r="A1316"/>
      <c r="B1316"/>
    </row>
    <row r="1317" spans="1:2">
      <c r="A1317"/>
      <c r="B1317"/>
    </row>
    <row r="1318" spans="1:2">
      <c r="A1318"/>
      <c r="B1318"/>
    </row>
    <row r="1319" spans="1:2">
      <c r="A1319"/>
      <c r="B1319"/>
    </row>
    <row r="1320" spans="1:2">
      <c r="A1320"/>
      <c r="B1320"/>
    </row>
    <row r="1321" spans="1:2">
      <c r="A1321"/>
      <c r="B1321"/>
    </row>
    <row r="1322" spans="1:2">
      <c r="A1322"/>
      <c r="B1322"/>
    </row>
    <row r="1323" spans="1:2">
      <c r="A1323"/>
      <c r="B1323"/>
    </row>
    <row r="1324" spans="1:2">
      <c r="A1324"/>
      <c r="B1324"/>
    </row>
    <row r="1325" spans="1:2">
      <c r="A1325"/>
      <c r="B1325"/>
    </row>
    <row r="1326" spans="1:2">
      <c r="A1326"/>
      <c r="B1326"/>
    </row>
    <row r="1327" spans="1:2">
      <c r="A1327"/>
      <c r="B1327"/>
    </row>
    <row r="1328" spans="1:2">
      <c r="A1328"/>
      <c r="B1328"/>
    </row>
    <row r="1329" spans="1:2">
      <c r="A1329"/>
      <c r="B1329"/>
    </row>
    <row r="1330" spans="1:2">
      <c r="A1330"/>
      <c r="B1330"/>
    </row>
    <row r="1331" spans="1:2">
      <c r="A1331"/>
      <c r="B1331"/>
    </row>
    <row r="1332" spans="1:2">
      <c r="A1332"/>
      <c r="B1332"/>
    </row>
    <row r="1333" spans="1:2">
      <c r="A1333"/>
      <c r="B1333"/>
    </row>
    <row r="1334" spans="1:2">
      <c r="A1334"/>
      <c r="B1334"/>
    </row>
    <row r="1335" spans="1:2">
      <c r="A1335"/>
      <c r="B1335"/>
    </row>
    <row r="1336" spans="1:2">
      <c r="A1336"/>
      <c r="B1336"/>
    </row>
    <row r="1337" spans="1:2">
      <c r="A1337"/>
      <c r="B1337"/>
    </row>
    <row r="1338" spans="1:2">
      <c r="A1338"/>
      <c r="B1338"/>
    </row>
    <row r="1339" spans="1:2">
      <c r="A1339"/>
      <c r="B1339"/>
    </row>
    <row r="1340" spans="1:2">
      <c r="A1340"/>
      <c r="B1340"/>
    </row>
    <row r="1341" spans="1:2">
      <c r="A1341"/>
      <c r="B1341"/>
    </row>
    <row r="1342" spans="1:2">
      <c r="A1342"/>
      <c r="B1342"/>
    </row>
    <row r="1343" spans="1:2">
      <c r="A1343"/>
      <c r="B1343"/>
    </row>
    <row r="1344" spans="1:2">
      <c r="A1344"/>
      <c r="B1344"/>
    </row>
    <row r="1345" spans="1:2">
      <c r="A1345"/>
      <c r="B1345"/>
    </row>
    <row r="1346" spans="1:2">
      <c r="A1346"/>
      <c r="B1346"/>
    </row>
    <row r="1347" spans="1:2">
      <c r="A1347"/>
      <c r="B1347"/>
    </row>
    <row r="1348" spans="1:2">
      <c r="A1348"/>
      <c r="B1348"/>
    </row>
    <row r="1349" spans="1:2">
      <c r="A1349"/>
      <c r="B1349"/>
    </row>
    <row r="1350" spans="1:2">
      <c r="A1350"/>
      <c r="B1350"/>
    </row>
    <row r="1351" spans="1:2">
      <c r="A1351"/>
      <c r="B1351"/>
    </row>
    <row r="1352" spans="1:2">
      <c r="A1352"/>
      <c r="B1352"/>
    </row>
    <row r="1353" spans="1:2">
      <c r="A1353"/>
      <c r="B1353"/>
    </row>
    <row r="1354" spans="1:2">
      <c r="A1354"/>
      <c r="B1354"/>
    </row>
    <row r="1355" spans="1:2">
      <c r="A1355"/>
      <c r="B1355"/>
    </row>
    <row r="1356" spans="1:2">
      <c r="A1356"/>
      <c r="B1356"/>
    </row>
    <row r="1357" spans="1:2">
      <c r="A1357"/>
      <c r="B1357"/>
    </row>
    <row r="1358" spans="1:2">
      <c r="A1358"/>
      <c r="B1358"/>
    </row>
    <row r="1359" spans="1:2">
      <c r="A1359"/>
      <c r="B1359"/>
    </row>
    <row r="1360" spans="1:2">
      <c r="A1360"/>
      <c r="B1360"/>
    </row>
    <row r="1361" spans="1:2">
      <c r="A1361"/>
      <c r="B1361"/>
    </row>
    <row r="1362" spans="1:2">
      <c r="A1362"/>
      <c r="B1362"/>
    </row>
    <row r="1363" spans="1:2">
      <c r="A1363"/>
      <c r="B1363"/>
    </row>
    <row r="1364" spans="1:2">
      <c r="A1364"/>
      <c r="B1364"/>
    </row>
    <row r="1365" spans="1:2">
      <c r="A1365"/>
      <c r="B1365"/>
    </row>
    <row r="1366" spans="1:2">
      <c r="A1366"/>
      <c r="B1366"/>
    </row>
    <row r="1367" spans="1:2">
      <c r="A1367"/>
      <c r="B1367"/>
    </row>
    <row r="1368" spans="1:2">
      <c r="A1368"/>
      <c r="B1368"/>
    </row>
    <row r="1369" spans="1:2">
      <c r="A1369"/>
      <c r="B1369"/>
    </row>
    <row r="1370" spans="1:2">
      <c r="A1370"/>
      <c r="B1370"/>
    </row>
    <row r="1371" spans="1:2">
      <c r="A1371"/>
      <c r="B1371"/>
    </row>
    <row r="1372" spans="1:2">
      <c r="A1372"/>
      <c r="B1372"/>
    </row>
    <row r="1373" spans="1:2">
      <c r="A1373"/>
      <c r="B1373"/>
    </row>
    <row r="1374" spans="1:2">
      <c r="A1374"/>
      <c r="B1374"/>
    </row>
    <row r="1375" spans="1:2">
      <c r="A1375"/>
      <c r="B1375"/>
    </row>
    <row r="1376" spans="1:2">
      <c r="A1376"/>
      <c r="B1376"/>
    </row>
    <row r="1377" spans="1:2">
      <c r="A1377"/>
      <c r="B1377"/>
    </row>
    <row r="1378" spans="1:2">
      <c r="A1378"/>
      <c r="B1378"/>
    </row>
    <row r="1379" spans="1:2">
      <c r="A1379"/>
      <c r="B1379"/>
    </row>
    <row r="1380" spans="1:2">
      <c r="A1380"/>
      <c r="B1380"/>
    </row>
    <row r="1381" spans="1:2">
      <c r="A1381"/>
      <c r="B1381"/>
    </row>
    <row r="1382" spans="1:2">
      <c r="A1382"/>
      <c r="B1382"/>
    </row>
    <row r="1383" spans="1:2">
      <c r="A1383"/>
      <c r="B1383"/>
    </row>
    <row r="1384" spans="1:2">
      <c r="A1384"/>
      <c r="B1384"/>
    </row>
    <row r="1385" spans="1:2">
      <c r="A1385"/>
      <c r="B1385"/>
    </row>
    <row r="1386" spans="1:2">
      <c r="A1386"/>
      <c r="B1386"/>
    </row>
    <row r="1387" spans="1:2">
      <c r="A1387"/>
      <c r="B1387"/>
    </row>
    <row r="1388" spans="1:2">
      <c r="A1388"/>
      <c r="B1388"/>
    </row>
    <row r="1389" spans="1:2">
      <c r="A1389"/>
      <c r="B1389"/>
    </row>
    <row r="1390" spans="1:2">
      <c r="A1390"/>
      <c r="B1390"/>
    </row>
    <row r="1391" spans="1:2">
      <c r="A1391"/>
      <c r="B1391"/>
    </row>
    <row r="1392" spans="1:2">
      <c r="A1392"/>
      <c r="B1392"/>
    </row>
    <row r="1393" spans="1:2">
      <c r="A1393"/>
      <c r="B1393"/>
    </row>
    <row r="1394" spans="1:2">
      <c r="A1394"/>
      <c r="B1394"/>
    </row>
    <row r="1395" spans="1:2">
      <c r="A1395"/>
      <c r="B1395"/>
    </row>
    <row r="1396" spans="1:2">
      <c r="A1396"/>
      <c r="B1396"/>
    </row>
    <row r="1397" spans="1:2">
      <c r="A1397"/>
      <c r="B1397"/>
    </row>
    <row r="1398" spans="1:2">
      <c r="A1398"/>
      <c r="B1398"/>
    </row>
    <row r="1399" spans="1:2">
      <c r="A1399"/>
      <c r="B1399"/>
    </row>
    <row r="1400" spans="1:2">
      <c r="A1400"/>
      <c r="B1400"/>
    </row>
    <row r="1401" spans="1:2">
      <c r="A1401"/>
      <c r="B1401"/>
    </row>
    <row r="1402" spans="1:2">
      <c r="A1402"/>
      <c r="B1402"/>
    </row>
    <row r="1403" spans="1:2">
      <c r="A1403"/>
      <c r="B1403"/>
    </row>
    <row r="1404" spans="1:2">
      <c r="A1404"/>
      <c r="B1404"/>
    </row>
    <row r="1405" spans="1:2">
      <c r="A1405"/>
      <c r="B1405"/>
    </row>
    <row r="1406" spans="1:2">
      <c r="A1406"/>
      <c r="B1406"/>
    </row>
    <row r="1407" spans="1:2">
      <c r="A1407"/>
      <c r="B1407"/>
    </row>
    <row r="1408" spans="1:2">
      <c r="A1408"/>
      <c r="B1408"/>
    </row>
    <row r="1409" spans="1:2">
      <c r="A1409"/>
      <c r="B1409"/>
    </row>
    <row r="1410" spans="1:2">
      <c r="A1410"/>
      <c r="B1410"/>
    </row>
    <row r="1411" spans="1:2">
      <c r="A1411"/>
      <c r="B1411"/>
    </row>
    <row r="1412" spans="1:2">
      <c r="A1412"/>
      <c r="B1412"/>
    </row>
    <row r="1413" spans="1:2">
      <c r="A1413"/>
      <c r="B1413"/>
    </row>
    <row r="1414" spans="1:2">
      <c r="A1414"/>
      <c r="B1414"/>
    </row>
    <row r="1415" spans="1:2">
      <c r="A1415"/>
      <c r="B1415"/>
    </row>
    <row r="1416" spans="1:2">
      <c r="A1416"/>
      <c r="B1416"/>
    </row>
    <row r="1417" spans="1:2">
      <c r="A1417"/>
      <c r="B1417"/>
    </row>
    <row r="1418" spans="1:2">
      <c r="A1418"/>
      <c r="B1418"/>
    </row>
    <row r="1419" spans="1:2">
      <c r="A1419"/>
      <c r="B1419"/>
    </row>
    <row r="1420" spans="1:2">
      <c r="A1420"/>
      <c r="B1420"/>
    </row>
    <row r="1421" spans="1:2">
      <c r="A1421"/>
      <c r="B1421"/>
    </row>
    <row r="1422" spans="1:2">
      <c r="A1422"/>
      <c r="B1422"/>
    </row>
    <row r="1423" spans="1:2">
      <c r="A1423"/>
      <c r="B1423"/>
    </row>
    <row r="1424" spans="1:2">
      <c r="A1424"/>
      <c r="B1424"/>
    </row>
    <row r="1425" spans="1:2">
      <c r="A1425"/>
      <c r="B1425"/>
    </row>
    <row r="1426" spans="1:2">
      <c r="A1426"/>
      <c r="B1426"/>
    </row>
    <row r="1427" spans="1:2">
      <c r="A1427"/>
      <c r="B1427"/>
    </row>
    <row r="1428" spans="1:2">
      <c r="A1428"/>
      <c r="B1428"/>
    </row>
    <row r="1429" spans="1:2">
      <c r="A1429"/>
      <c r="B1429"/>
    </row>
    <row r="1430" spans="1:2">
      <c r="A1430"/>
      <c r="B1430"/>
    </row>
    <row r="1431" spans="1:2">
      <c r="A1431"/>
      <c r="B1431"/>
    </row>
    <row r="1432" spans="1:2">
      <c r="A1432"/>
      <c r="B1432"/>
    </row>
    <row r="1433" spans="1:2">
      <c r="A1433"/>
      <c r="B1433"/>
    </row>
    <row r="1434" spans="1:2">
      <c r="A1434"/>
      <c r="B1434"/>
    </row>
    <row r="1435" spans="1:2">
      <c r="A1435"/>
      <c r="B1435"/>
    </row>
    <row r="1436" spans="1:2">
      <c r="A1436"/>
      <c r="B1436"/>
    </row>
    <row r="1437" spans="1:2">
      <c r="A1437"/>
      <c r="B1437"/>
    </row>
    <row r="1438" spans="1:2">
      <c r="A1438"/>
      <c r="B1438"/>
    </row>
    <row r="1439" spans="1:2">
      <c r="A1439"/>
      <c r="B1439"/>
    </row>
    <row r="1440" spans="1:2">
      <c r="A1440"/>
      <c r="B1440"/>
    </row>
    <row r="1441" spans="1:2">
      <c r="A1441"/>
      <c r="B1441"/>
    </row>
    <row r="1442" spans="1:2">
      <c r="A1442"/>
      <c r="B1442"/>
    </row>
    <row r="1443" spans="1:2">
      <c r="A1443"/>
      <c r="B1443"/>
    </row>
    <row r="1444" spans="1:2">
      <c r="A1444"/>
      <c r="B1444"/>
    </row>
    <row r="1445" spans="1:2">
      <c r="A1445"/>
      <c r="B1445"/>
    </row>
    <row r="1446" spans="1:2">
      <c r="A1446"/>
      <c r="B1446"/>
    </row>
    <row r="1447" spans="1:2">
      <c r="A1447"/>
      <c r="B1447"/>
    </row>
    <row r="1448" spans="1:2">
      <c r="A1448"/>
      <c r="B1448"/>
    </row>
    <row r="1449" spans="1:2">
      <c r="A1449"/>
      <c r="B1449"/>
    </row>
    <row r="1450" spans="1:2">
      <c r="A1450"/>
      <c r="B1450"/>
    </row>
    <row r="1451" spans="1:2">
      <c r="A1451"/>
      <c r="B1451"/>
    </row>
    <row r="1452" spans="1:2">
      <c r="A1452"/>
      <c r="B1452"/>
    </row>
    <row r="1453" spans="1:2">
      <c r="A1453"/>
      <c r="B1453"/>
    </row>
    <row r="1454" spans="1:2">
      <c r="A1454"/>
      <c r="B1454"/>
    </row>
    <row r="1455" spans="1:2">
      <c r="A1455"/>
      <c r="B1455"/>
    </row>
    <row r="1456" spans="1:2">
      <c r="A1456"/>
      <c r="B1456"/>
    </row>
    <row r="1457" spans="1:2">
      <c r="A1457"/>
      <c r="B1457"/>
    </row>
    <row r="1458" spans="1:2">
      <c r="A1458"/>
      <c r="B1458"/>
    </row>
    <row r="1459" spans="1:2">
      <c r="A1459"/>
      <c r="B1459"/>
    </row>
    <row r="1460" spans="1:2">
      <c r="A1460"/>
      <c r="B1460"/>
    </row>
    <row r="1461" spans="1:2">
      <c r="A1461"/>
      <c r="B1461"/>
    </row>
    <row r="1462" spans="1:2">
      <c r="A1462"/>
      <c r="B1462"/>
    </row>
    <row r="1463" spans="1:2">
      <c r="A1463"/>
      <c r="B1463"/>
    </row>
    <row r="1464" spans="1:2">
      <c r="A1464"/>
      <c r="B1464"/>
    </row>
    <row r="1465" spans="1:2">
      <c r="A1465"/>
      <c r="B1465"/>
    </row>
    <row r="1466" spans="1:2">
      <c r="A1466"/>
      <c r="B1466"/>
    </row>
    <row r="1467" spans="1:2">
      <c r="A1467"/>
      <c r="B1467"/>
    </row>
    <row r="1468" spans="1:2">
      <c r="A1468"/>
      <c r="B1468"/>
    </row>
    <row r="1469" spans="1:2">
      <c r="A1469"/>
      <c r="B1469"/>
    </row>
    <row r="1470" spans="1:2">
      <c r="A1470"/>
      <c r="B1470"/>
    </row>
    <row r="1471" spans="1:2">
      <c r="A1471"/>
      <c r="B1471"/>
    </row>
    <row r="1472" spans="1:2">
      <c r="A1472"/>
      <c r="B1472"/>
    </row>
    <row r="1473" spans="1:2">
      <c r="A1473"/>
      <c r="B1473"/>
    </row>
    <row r="1474" spans="1:2">
      <c r="A1474"/>
      <c r="B1474"/>
    </row>
    <row r="1475" spans="1:2">
      <c r="A1475"/>
      <c r="B1475"/>
    </row>
    <row r="1476" spans="1:2">
      <c r="A1476"/>
      <c r="B1476"/>
    </row>
    <row r="1477" spans="1:2">
      <c r="A1477"/>
      <c r="B1477"/>
    </row>
    <row r="1478" spans="1:2">
      <c r="A1478"/>
      <c r="B1478"/>
    </row>
    <row r="1479" spans="1:2">
      <c r="A1479"/>
      <c r="B1479"/>
    </row>
    <row r="1480" spans="1:2">
      <c r="A1480"/>
      <c r="B1480"/>
    </row>
    <row r="1481" spans="1:2">
      <c r="A1481"/>
      <c r="B1481"/>
    </row>
    <row r="1482" spans="1:2">
      <c r="A1482"/>
      <c r="B1482"/>
    </row>
    <row r="1483" spans="1:2">
      <c r="A1483"/>
      <c r="B1483"/>
    </row>
    <row r="1484" spans="1:2">
      <c r="A1484"/>
      <c r="B1484"/>
    </row>
    <row r="1485" spans="1:2">
      <c r="A1485"/>
      <c r="B1485"/>
    </row>
    <row r="1486" spans="1:2">
      <c r="A1486"/>
      <c r="B1486"/>
    </row>
    <row r="1487" spans="1:2">
      <c r="A1487"/>
      <c r="B1487"/>
    </row>
    <row r="1488" spans="1:2">
      <c r="A1488"/>
      <c r="B1488"/>
    </row>
    <row r="1489" spans="1:2">
      <c r="A1489"/>
      <c r="B1489"/>
    </row>
    <row r="1490" spans="1:2">
      <c r="A1490"/>
      <c r="B1490"/>
    </row>
    <row r="1491" spans="1:2">
      <c r="A1491"/>
      <c r="B1491"/>
    </row>
    <row r="1492" spans="1:2">
      <c r="A1492"/>
      <c r="B1492"/>
    </row>
    <row r="1493" spans="1:2">
      <c r="A1493"/>
      <c r="B1493"/>
    </row>
    <row r="1494" spans="1:2">
      <c r="A1494"/>
      <c r="B1494"/>
    </row>
    <row r="1495" spans="1:2">
      <c r="A1495"/>
      <c r="B1495"/>
    </row>
    <row r="1496" spans="1:2">
      <c r="A1496"/>
      <c r="B1496"/>
    </row>
    <row r="1497" spans="1:2">
      <c r="A1497"/>
      <c r="B1497"/>
    </row>
    <row r="1498" spans="1:2">
      <c r="A1498"/>
      <c r="B1498"/>
    </row>
    <row r="1499" spans="1:2">
      <c r="A1499"/>
      <c r="B1499"/>
    </row>
    <row r="1500" spans="1:2">
      <c r="A1500"/>
      <c r="B1500"/>
    </row>
    <row r="1501" spans="1:2">
      <c r="A1501"/>
      <c r="B1501"/>
    </row>
    <row r="1502" spans="1:2">
      <c r="A1502"/>
      <c r="B1502"/>
    </row>
    <row r="1503" spans="1:2">
      <c r="A1503"/>
      <c r="B1503"/>
    </row>
    <row r="1504" spans="1:2">
      <c r="A1504"/>
      <c r="B1504"/>
    </row>
    <row r="1505" spans="1:2">
      <c r="A1505"/>
      <c r="B1505"/>
    </row>
    <row r="1506" spans="1:2">
      <c r="A1506"/>
      <c r="B1506"/>
    </row>
    <row r="1507" spans="1:2">
      <c r="A1507"/>
      <c r="B1507"/>
    </row>
    <row r="1508" spans="1:2">
      <c r="A1508"/>
      <c r="B1508"/>
    </row>
    <row r="1509" spans="1:2">
      <c r="A1509"/>
      <c r="B1509"/>
    </row>
    <row r="1510" spans="1:2">
      <c r="A1510"/>
      <c r="B1510"/>
    </row>
    <row r="1511" spans="1:2">
      <c r="A1511"/>
      <c r="B1511"/>
    </row>
    <row r="1512" spans="1:2">
      <c r="A1512"/>
      <c r="B1512"/>
    </row>
    <row r="1513" spans="1:2">
      <c r="A1513"/>
      <c r="B1513"/>
    </row>
    <row r="1514" spans="1:2">
      <c r="A1514"/>
      <c r="B1514"/>
    </row>
    <row r="1515" spans="1:2">
      <c r="A1515"/>
      <c r="B1515"/>
    </row>
    <row r="1516" spans="1:2">
      <c r="A1516"/>
      <c r="B1516"/>
    </row>
    <row r="1517" spans="1:2">
      <c r="A1517"/>
      <c r="B1517"/>
    </row>
    <row r="1518" spans="1:2">
      <c r="A1518"/>
      <c r="B1518"/>
    </row>
    <row r="1519" spans="1:2">
      <c r="A1519"/>
      <c r="B1519"/>
    </row>
    <row r="1520" spans="1:2">
      <c r="A1520"/>
      <c r="B1520"/>
    </row>
    <row r="1521" spans="1:2">
      <c r="A1521"/>
      <c r="B1521"/>
    </row>
    <row r="1522" spans="1:2">
      <c r="A1522"/>
      <c r="B1522"/>
    </row>
    <row r="1523" spans="1:2">
      <c r="A1523"/>
      <c r="B1523"/>
    </row>
    <row r="1524" spans="1:2">
      <c r="A1524"/>
      <c r="B1524"/>
    </row>
    <row r="1525" spans="1:2">
      <c r="A1525"/>
      <c r="B1525"/>
    </row>
    <row r="1526" spans="1:2">
      <c r="A1526"/>
      <c r="B1526"/>
    </row>
    <row r="1527" spans="1:2">
      <c r="A1527"/>
      <c r="B1527"/>
    </row>
    <row r="1528" spans="1:2">
      <c r="A1528"/>
      <c r="B1528"/>
    </row>
    <row r="1529" spans="1:2">
      <c r="A1529"/>
      <c r="B1529"/>
    </row>
    <row r="1530" spans="1:2">
      <c r="A1530"/>
      <c r="B1530"/>
    </row>
    <row r="1531" spans="1:2">
      <c r="A1531"/>
      <c r="B1531"/>
    </row>
    <row r="1532" spans="1:2">
      <c r="A1532"/>
      <c r="B1532"/>
    </row>
    <row r="1533" spans="1:2">
      <c r="A1533"/>
      <c r="B1533"/>
    </row>
    <row r="1534" spans="1:2">
      <c r="A1534"/>
      <c r="B1534"/>
    </row>
    <row r="1535" spans="1:2">
      <c r="A1535"/>
      <c r="B1535"/>
    </row>
    <row r="1536" spans="1:2">
      <c r="A1536"/>
      <c r="B1536"/>
    </row>
    <row r="1537" spans="1:2">
      <c r="A1537"/>
      <c r="B1537"/>
    </row>
    <row r="1538" spans="1:2">
      <c r="A1538"/>
      <c r="B1538"/>
    </row>
    <row r="1539" spans="1:2">
      <c r="A1539"/>
      <c r="B1539"/>
    </row>
    <row r="1540" spans="1:2">
      <c r="A1540"/>
      <c r="B1540"/>
    </row>
    <row r="1541" spans="1:2">
      <c r="A1541"/>
      <c r="B1541"/>
    </row>
    <row r="1542" spans="1:2">
      <c r="A1542"/>
      <c r="B1542"/>
    </row>
    <row r="1543" spans="1:2">
      <c r="A1543"/>
      <c r="B1543"/>
    </row>
    <row r="1544" spans="1:2">
      <c r="A1544"/>
      <c r="B1544"/>
    </row>
    <row r="1545" spans="1:2">
      <c r="A1545"/>
      <c r="B1545"/>
    </row>
    <row r="1546" spans="1:2">
      <c r="A1546"/>
      <c r="B1546"/>
    </row>
    <row r="1547" spans="1:2">
      <c r="A1547"/>
      <c r="B1547"/>
    </row>
    <row r="1548" spans="1:2">
      <c r="A1548"/>
      <c r="B1548"/>
    </row>
    <row r="1549" spans="1:2">
      <c r="A1549"/>
      <c r="B1549"/>
    </row>
    <row r="1550" spans="1:2">
      <c r="A1550"/>
      <c r="B1550"/>
    </row>
    <row r="1551" spans="1:2">
      <c r="A1551"/>
      <c r="B1551"/>
    </row>
    <row r="1552" spans="1:2">
      <c r="A1552"/>
      <c r="B1552"/>
    </row>
    <row r="1553" spans="1:2">
      <c r="A1553"/>
      <c r="B1553"/>
    </row>
    <row r="1554" spans="1:2">
      <c r="A1554"/>
      <c r="B1554"/>
    </row>
    <row r="1555" spans="1:2">
      <c r="A1555"/>
      <c r="B1555"/>
    </row>
    <row r="1556" spans="1:2">
      <c r="A1556"/>
      <c r="B1556"/>
    </row>
    <row r="1557" spans="1:2">
      <c r="A1557"/>
      <c r="B1557"/>
    </row>
    <row r="1558" spans="1:2">
      <c r="A1558"/>
      <c r="B1558"/>
    </row>
    <row r="1559" spans="1:2">
      <c r="A1559"/>
      <c r="B1559"/>
    </row>
    <row r="1560" spans="1:2">
      <c r="A1560"/>
      <c r="B1560"/>
    </row>
    <row r="1561" spans="1:2">
      <c r="A1561"/>
      <c r="B1561"/>
    </row>
    <row r="1562" spans="1:2">
      <c r="A1562"/>
      <c r="B1562"/>
    </row>
    <row r="1563" spans="1:2">
      <c r="A1563"/>
      <c r="B1563"/>
    </row>
    <row r="1564" spans="1:2">
      <c r="A1564"/>
      <c r="B1564"/>
    </row>
    <row r="1565" spans="1:2">
      <c r="A1565"/>
      <c r="B1565"/>
    </row>
    <row r="1566" spans="1:2">
      <c r="A1566"/>
      <c r="B1566"/>
    </row>
    <row r="1567" spans="1:2">
      <c r="A1567"/>
      <c r="B1567"/>
    </row>
    <row r="1568" spans="1:2">
      <c r="A1568"/>
      <c r="B1568"/>
    </row>
    <row r="1569" spans="1:2">
      <c r="A1569"/>
      <c r="B1569"/>
    </row>
    <row r="1570" spans="1:2">
      <c r="A1570"/>
      <c r="B1570"/>
    </row>
    <row r="1571" spans="1:2">
      <c r="A1571"/>
      <c r="B1571"/>
    </row>
    <row r="1572" spans="1:2">
      <c r="A1572"/>
      <c r="B1572"/>
    </row>
    <row r="1573" spans="1:2">
      <c r="A1573"/>
      <c r="B1573"/>
    </row>
    <row r="1574" spans="1:2">
      <c r="A1574"/>
      <c r="B1574"/>
    </row>
    <row r="1575" spans="1:2">
      <c r="A1575"/>
      <c r="B1575"/>
    </row>
    <row r="1576" spans="1:2">
      <c r="A1576"/>
      <c r="B1576"/>
    </row>
    <row r="1577" spans="1:2">
      <c r="A1577"/>
      <c r="B1577"/>
    </row>
    <row r="1578" spans="1:2">
      <c r="A1578"/>
      <c r="B1578"/>
    </row>
    <row r="1579" spans="1:2">
      <c r="A1579"/>
      <c r="B1579"/>
    </row>
    <row r="1580" spans="1:2">
      <c r="A1580"/>
      <c r="B1580"/>
    </row>
    <row r="1581" spans="1:2">
      <c r="A1581"/>
      <c r="B1581"/>
    </row>
    <row r="1582" spans="1:2">
      <c r="A1582"/>
      <c r="B1582"/>
    </row>
    <row r="1583" spans="1:2">
      <c r="A1583"/>
      <c r="B1583"/>
    </row>
    <row r="1584" spans="1:2">
      <c r="A1584"/>
      <c r="B1584"/>
    </row>
    <row r="1585" spans="1:2">
      <c r="A1585"/>
      <c r="B1585"/>
    </row>
    <row r="1586" spans="1:2">
      <c r="A1586"/>
      <c r="B1586"/>
    </row>
    <row r="1587" spans="1:2">
      <c r="A1587"/>
      <c r="B1587"/>
    </row>
    <row r="1588" spans="1:2">
      <c r="A1588"/>
      <c r="B1588"/>
    </row>
    <row r="1589" spans="1:2">
      <c r="A1589"/>
      <c r="B1589"/>
    </row>
    <row r="1590" spans="1:2">
      <c r="A1590"/>
      <c r="B1590"/>
    </row>
    <row r="1591" spans="1:2">
      <c r="A1591"/>
      <c r="B1591"/>
    </row>
    <row r="1592" spans="1:2">
      <c r="A1592"/>
      <c r="B1592"/>
    </row>
    <row r="1593" spans="1:2">
      <c r="A1593"/>
      <c r="B1593"/>
    </row>
    <row r="1594" spans="1:2">
      <c r="A1594"/>
      <c r="B1594"/>
    </row>
    <row r="1595" spans="1:2">
      <c r="A1595"/>
      <c r="B1595"/>
    </row>
    <row r="1596" spans="1:2">
      <c r="A1596"/>
      <c r="B1596"/>
    </row>
    <row r="1597" spans="1:2">
      <c r="A1597"/>
      <c r="B1597"/>
    </row>
    <row r="1598" spans="1:2">
      <c r="A1598"/>
      <c r="B1598"/>
    </row>
    <row r="1599" spans="1:2">
      <c r="A1599"/>
      <c r="B1599"/>
    </row>
    <row r="1600" spans="1:2">
      <c r="A1600"/>
      <c r="B1600"/>
    </row>
    <row r="1601" spans="1:2">
      <c r="A1601"/>
      <c r="B1601"/>
    </row>
    <row r="1602" spans="1:2">
      <c r="A1602"/>
      <c r="B1602"/>
    </row>
    <row r="1603" spans="1:2">
      <c r="A1603"/>
      <c r="B1603"/>
    </row>
    <row r="1604" spans="1:2">
      <c r="A1604"/>
      <c r="B1604"/>
    </row>
    <row r="1605" spans="1:2">
      <c r="A1605"/>
      <c r="B1605"/>
    </row>
    <row r="1606" spans="1:2">
      <c r="A1606"/>
      <c r="B1606"/>
    </row>
    <row r="1607" spans="1:2">
      <c r="A1607"/>
      <c r="B1607"/>
    </row>
    <row r="1608" spans="1:2">
      <c r="A1608"/>
      <c r="B1608"/>
    </row>
    <row r="1609" spans="1:2">
      <c r="A1609"/>
      <c r="B1609"/>
    </row>
    <row r="1610" spans="1:2">
      <c r="A1610"/>
      <c r="B1610"/>
    </row>
    <row r="1611" spans="1:2">
      <c r="A1611"/>
      <c r="B1611"/>
    </row>
    <row r="1612" spans="1:2">
      <c r="A1612"/>
      <c r="B1612"/>
    </row>
    <row r="1613" spans="1:2">
      <c r="A1613"/>
      <c r="B1613"/>
    </row>
    <row r="1614" spans="1:2">
      <c r="A1614"/>
      <c r="B1614"/>
    </row>
    <row r="1615" spans="1:2">
      <c r="A1615"/>
      <c r="B1615"/>
    </row>
    <row r="1616" spans="1:2">
      <c r="A1616"/>
      <c r="B1616"/>
    </row>
    <row r="1617" spans="1:2">
      <c r="A1617"/>
      <c r="B1617"/>
    </row>
    <row r="1618" spans="1:2">
      <c r="A1618"/>
      <c r="B1618"/>
    </row>
    <row r="1619" spans="1:2">
      <c r="A1619"/>
      <c r="B1619"/>
    </row>
    <row r="1620" spans="1:2">
      <c r="A1620"/>
      <c r="B1620"/>
    </row>
    <row r="1621" spans="1:2">
      <c r="A1621"/>
      <c r="B1621"/>
    </row>
    <row r="1622" spans="1:2">
      <c r="A1622"/>
      <c r="B1622"/>
    </row>
    <row r="1623" spans="1:2">
      <c r="A1623"/>
      <c r="B1623"/>
    </row>
    <row r="1624" spans="1:2">
      <c r="A1624"/>
      <c r="B1624"/>
    </row>
    <row r="1625" spans="1:2">
      <c r="A1625"/>
      <c r="B1625"/>
    </row>
    <row r="1626" spans="1:2">
      <c r="A1626"/>
      <c r="B1626"/>
    </row>
    <row r="1627" spans="1:2">
      <c r="A1627"/>
      <c r="B1627"/>
    </row>
    <row r="1628" spans="1:2">
      <c r="A1628"/>
      <c r="B1628"/>
    </row>
    <row r="1629" spans="1:2">
      <c r="A1629"/>
      <c r="B1629"/>
    </row>
    <row r="1630" spans="1:2">
      <c r="A1630"/>
      <c r="B1630"/>
    </row>
    <row r="1631" spans="1:2">
      <c r="A1631"/>
      <c r="B1631"/>
    </row>
    <row r="1632" spans="1:2">
      <c r="A1632"/>
      <c r="B1632"/>
    </row>
    <row r="1633" spans="1:2">
      <c r="A1633"/>
      <c r="B1633"/>
    </row>
    <row r="1634" spans="1:2">
      <c r="A1634"/>
      <c r="B1634"/>
    </row>
    <row r="1635" spans="1:2">
      <c r="A1635"/>
      <c r="B1635"/>
    </row>
    <row r="1636" spans="1:2">
      <c r="A1636"/>
      <c r="B1636"/>
    </row>
    <row r="1637" spans="1:2">
      <c r="A1637"/>
      <c r="B1637"/>
    </row>
    <row r="1638" spans="1:2">
      <c r="A1638"/>
      <c r="B1638"/>
    </row>
    <row r="1639" spans="1:2">
      <c r="A1639"/>
      <c r="B1639"/>
    </row>
    <row r="1640" spans="1:2">
      <c r="A1640"/>
      <c r="B1640"/>
    </row>
    <row r="1641" spans="1:2">
      <c r="A1641"/>
      <c r="B1641"/>
    </row>
    <row r="1642" spans="1:2">
      <c r="A1642"/>
      <c r="B1642"/>
    </row>
    <row r="1643" spans="1:2">
      <c r="A1643"/>
      <c r="B1643"/>
    </row>
    <row r="1644" spans="1:2">
      <c r="A1644"/>
      <c r="B1644"/>
    </row>
    <row r="1645" spans="1:2">
      <c r="A1645"/>
      <c r="B1645"/>
    </row>
    <row r="1646" spans="1:2">
      <c r="A1646"/>
      <c r="B1646"/>
    </row>
    <row r="1647" spans="1:2">
      <c r="A1647"/>
      <c r="B1647"/>
    </row>
    <row r="1648" spans="1:2">
      <c r="A1648"/>
      <c r="B1648"/>
    </row>
    <row r="1649" spans="1:2">
      <c r="A1649"/>
      <c r="B1649"/>
    </row>
    <row r="1650" spans="1:2">
      <c r="A1650"/>
      <c r="B1650"/>
    </row>
    <row r="1651" spans="1:2">
      <c r="A1651"/>
      <c r="B1651"/>
    </row>
    <row r="1652" spans="1:2">
      <c r="A1652"/>
      <c r="B1652"/>
    </row>
    <row r="1653" spans="1:2">
      <c r="A1653"/>
      <c r="B1653"/>
    </row>
    <row r="1654" spans="1:2">
      <c r="A1654"/>
      <c r="B1654"/>
    </row>
    <row r="1655" spans="1:2">
      <c r="A1655"/>
      <c r="B1655"/>
    </row>
    <row r="1656" spans="1:2">
      <c r="A1656"/>
      <c r="B1656"/>
    </row>
    <row r="1657" spans="1:2">
      <c r="A1657"/>
      <c r="B1657"/>
    </row>
    <row r="1658" spans="1:2">
      <c r="A1658"/>
      <c r="B1658"/>
    </row>
    <row r="1659" spans="1:2">
      <c r="A1659"/>
      <c r="B1659"/>
    </row>
    <row r="1660" spans="1:2">
      <c r="A1660"/>
      <c r="B1660"/>
    </row>
    <row r="1661" spans="1:2">
      <c r="A1661"/>
      <c r="B1661"/>
    </row>
    <row r="1662" spans="1:2">
      <c r="A1662"/>
      <c r="B1662"/>
    </row>
    <row r="1663" spans="1:2">
      <c r="A1663"/>
      <c r="B1663"/>
    </row>
    <row r="1664" spans="1:2">
      <c r="A1664"/>
      <c r="B1664"/>
    </row>
    <row r="1665" spans="1:2">
      <c r="A1665"/>
      <c r="B1665"/>
    </row>
    <row r="1666" spans="1:2">
      <c r="A1666"/>
      <c r="B1666"/>
    </row>
    <row r="1667" spans="1:2">
      <c r="A1667"/>
      <c r="B1667"/>
    </row>
    <row r="1668" spans="1:2">
      <c r="A1668"/>
      <c r="B1668"/>
    </row>
    <row r="1669" spans="1:2">
      <c r="A1669"/>
      <c r="B1669"/>
    </row>
    <row r="1670" spans="1:2">
      <c r="A1670"/>
      <c r="B1670"/>
    </row>
    <row r="1671" spans="1:2">
      <c r="A1671"/>
      <c r="B1671"/>
    </row>
    <row r="1672" spans="1:2">
      <c r="A1672"/>
      <c r="B1672"/>
    </row>
    <row r="1673" spans="1:2">
      <c r="A1673"/>
      <c r="B1673"/>
    </row>
    <row r="1674" spans="1:2">
      <c r="A1674"/>
      <c r="B1674"/>
    </row>
    <row r="1675" spans="1:2">
      <c r="A1675"/>
      <c r="B1675"/>
    </row>
    <row r="1676" spans="1:2">
      <c r="A1676"/>
      <c r="B1676"/>
    </row>
    <row r="1677" spans="1:2">
      <c r="A1677"/>
      <c r="B1677"/>
    </row>
    <row r="1678" spans="1:2">
      <c r="A1678"/>
      <c r="B1678"/>
    </row>
    <row r="1679" spans="1:2">
      <c r="A1679"/>
      <c r="B1679"/>
    </row>
    <row r="1680" spans="1:2">
      <c r="A1680"/>
      <c r="B1680"/>
    </row>
    <row r="1681" spans="1:2">
      <c r="A1681"/>
      <c r="B1681"/>
    </row>
    <row r="1682" spans="1:2">
      <c r="A1682"/>
      <c r="B1682"/>
    </row>
    <row r="1683" spans="1:2">
      <c r="A1683"/>
      <c r="B1683"/>
    </row>
    <row r="1684" spans="1:2">
      <c r="A1684"/>
      <c r="B1684"/>
    </row>
    <row r="1685" spans="1:2">
      <c r="A1685"/>
      <c r="B1685"/>
    </row>
    <row r="1686" spans="1:2">
      <c r="A1686"/>
      <c r="B1686"/>
    </row>
    <row r="1687" spans="1:2">
      <c r="A1687"/>
      <c r="B1687"/>
    </row>
    <row r="1688" spans="1:2">
      <c r="A1688"/>
      <c r="B1688"/>
    </row>
    <row r="1689" spans="1:2">
      <c r="A1689"/>
      <c r="B1689"/>
    </row>
    <row r="1690" spans="1:2">
      <c r="A1690"/>
      <c r="B1690"/>
    </row>
    <row r="1691" spans="1:2">
      <c r="A1691"/>
      <c r="B1691"/>
    </row>
    <row r="1692" spans="1:2">
      <c r="A1692"/>
      <c r="B1692"/>
    </row>
    <row r="1693" spans="1:2">
      <c r="A1693"/>
      <c r="B1693"/>
    </row>
    <row r="1694" spans="1:2">
      <c r="A1694"/>
      <c r="B1694"/>
    </row>
    <row r="1695" spans="1:2">
      <c r="A1695"/>
      <c r="B1695"/>
    </row>
    <row r="1696" spans="1:2">
      <c r="A1696"/>
      <c r="B1696"/>
    </row>
    <row r="1697" spans="1:2">
      <c r="A1697"/>
      <c r="B1697"/>
    </row>
    <row r="1698" spans="1:2">
      <c r="A1698"/>
      <c r="B1698"/>
    </row>
    <row r="1699" spans="1:2">
      <c r="A1699"/>
      <c r="B1699"/>
    </row>
    <row r="1700" spans="1:2">
      <c r="A1700"/>
      <c r="B1700"/>
    </row>
    <row r="1701" spans="1:2">
      <c r="A1701"/>
      <c r="B1701"/>
    </row>
    <row r="1702" spans="1:2">
      <c r="A1702"/>
      <c r="B1702"/>
    </row>
    <row r="1703" spans="1:2">
      <c r="A1703"/>
      <c r="B1703"/>
    </row>
    <row r="1704" spans="1:2">
      <c r="A1704"/>
      <c r="B1704"/>
    </row>
    <row r="1705" spans="1:2">
      <c r="A1705"/>
      <c r="B1705"/>
    </row>
    <row r="1706" spans="1:2">
      <c r="A1706"/>
      <c r="B1706"/>
    </row>
    <row r="1707" spans="1:2">
      <c r="A1707"/>
      <c r="B1707"/>
    </row>
    <row r="1708" spans="1:2">
      <c r="A1708"/>
      <c r="B1708"/>
    </row>
    <row r="1709" spans="1:2">
      <c r="A1709"/>
      <c r="B1709"/>
    </row>
    <row r="1710" spans="1:2">
      <c r="A1710"/>
      <c r="B1710"/>
    </row>
    <row r="1711" spans="1:2">
      <c r="A1711"/>
      <c r="B1711"/>
    </row>
    <row r="1712" spans="1:2">
      <c r="A1712"/>
      <c r="B1712"/>
    </row>
    <row r="1713" spans="1:2">
      <c r="A1713"/>
      <c r="B1713"/>
    </row>
    <row r="1714" spans="1:2">
      <c r="A1714"/>
      <c r="B1714"/>
    </row>
    <row r="1715" spans="1:2">
      <c r="A1715"/>
      <c r="B1715"/>
    </row>
    <row r="1716" spans="1:2">
      <c r="A1716"/>
      <c r="B1716"/>
    </row>
    <row r="1717" spans="1:2">
      <c r="A1717"/>
      <c r="B1717"/>
    </row>
    <row r="1718" spans="1:2">
      <c r="A1718"/>
      <c r="B1718"/>
    </row>
    <row r="1719" spans="1:2">
      <c r="A1719"/>
      <c r="B1719"/>
    </row>
    <row r="1720" spans="1:2">
      <c r="A1720"/>
      <c r="B1720"/>
    </row>
    <row r="1721" spans="1:2">
      <c r="A1721"/>
      <c r="B1721"/>
    </row>
    <row r="1722" spans="1:2">
      <c r="A1722"/>
      <c r="B1722"/>
    </row>
    <row r="1723" spans="1:2">
      <c r="A1723"/>
      <c r="B1723"/>
    </row>
    <row r="1724" spans="1:2">
      <c r="A1724"/>
      <c r="B1724"/>
    </row>
    <row r="1725" spans="1:2">
      <c r="A1725"/>
      <c r="B1725"/>
    </row>
    <row r="1726" spans="1:2">
      <c r="A1726"/>
      <c r="B1726"/>
    </row>
    <row r="1727" spans="1:2">
      <c r="A1727"/>
      <c r="B1727"/>
    </row>
    <row r="1728" spans="1:2">
      <c r="A1728"/>
      <c r="B1728"/>
    </row>
    <row r="1729" spans="1:2">
      <c r="A1729"/>
      <c r="B1729"/>
    </row>
    <row r="1730" spans="1:2">
      <c r="A1730"/>
      <c r="B1730"/>
    </row>
    <row r="1731" spans="1:2">
      <c r="A1731"/>
      <c r="B1731"/>
    </row>
    <row r="1732" spans="1:2">
      <c r="A1732"/>
      <c r="B1732"/>
    </row>
    <row r="1733" spans="1:2">
      <c r="A1733"/>
      <c r="B1733"/>
    </row>
    <row r="1734" spans="1:2">
      <c r="A1734"/>
      <c r="B1734"/>
    </row>
    <row r="1735" spans="1:2">
      <c r="A1735"/>
      <c r="B1735"/>
    </row>
    <row r="1736" spans="1:2">
      <c r="A1736"/>
      <c r="B1736"/>
    </row>
    <row r="1737" spans="1:2">
      <c r="A1737"/>
      <c r="B1737"/>
    </row>
    <row r="1738" spans="1:2">
      <c r="A1738"/>
      <c r="B1738"/>
    </row>
    <row r="1739" spans="1:2">
      <c r="A1739"/>
      <c r="B1739"/>
    </row>
    <row r="1740" spans="1:2">
      <c r="A1740"/>
      <c r="B1740"/>
    </row>
    <row r="1741" spans="1:2">
      <c r="A1741"/>
      <c r="B1741"/>
    </row>
    <row r="1742" spans="1:2">
      <c r="A1742"/>
      <c r="B1742"/>
    </row>
    <row r="1743" spans="1:2">
      <c r="A1743"/>
      <c r="B1743"/>
    </row>
    <row r="1744" spans="1:2">
      <c r="A1744"/>
      <c r="B1744"/>
    </row>
    <row r="1745" spans="1:2">
      <c r="A1745"/>
      <c r="B1745"/>
    </row>
    <row r="1746" spans="1:2">
      <c r="A1746"/>
      <c r="B1746"/>
    </row>
    <row r="1747" spans="1:2">
      <c r="A1747"/>
      <c r="B1747"/>
    </row>
    <row r="1748" spans="1:2">
      <c r="A1748"/>
      <c r="B1748"/>
    </row>
    <row r="1749" spans="1:2">
      <c r="A1749"/>
      <c r="B1749"/>
    </row>
    <row r="1750" spans="1:2">
      <c r="A1750"/>
      <c r="B1750"/>
    </row>
    <row r="1751" spans="1:2">
      <c r="A1751"/>
      <c r="B1751"/>
    </row>
    <row r="1752" spans="1:2">
      <c r="A1752"/>
      <c r="B1752"/>
    </row>
    <row r="1753" spans="1:2">
      <c r="A1753"/>
      <c r="B1753"/>
    </row>
    <row r="1754" spans="1:2">
      <c r="A1754"/>
      <c r="B1754"/>
    </row>
    <row r="1755" spans="1:2">
      <c r="A1755"/>
      <c r="B1755"/>
    </row>
    <row r="1756" spans="1:2">
      <c r="A1756"/>
      <c r="B1756"/>
    </row>
    <row r="1757" spans="1:2">
      <c r="A1757"/>
      <c r="B1757"/>
    </row>
    <row r="1758" spans="1:2">
      <c r="A1758"/>
      <c r="B1758"/>
    </row>
    <row r="1759" spans="1:2">
      <c r="A1759"/>
      <c r="B1759"/>
    </row>
    <row r="1760" spans="1:2">
      <c r="A1760"/>
      <c r="B1760"/>
    </row>
    <row r="1761" spans="1:2">
      <c r="A1761"/>
      <c r="B1761"/>
    </row>
    <row r="1762" spans="1:2">
      <c r="A1762"/>
      <c r="B1762"/>
    </row>
    <row r="1763" spans="1:2">
      <c r="A1763"/>
      <c r="B1763"/>
    </row>
    <row r="1764" spans="1:2">
      <c r="A1764"/>
      <c r="B1764"/>
    </row>
    <row r="1765" spans="1:2">
      <c r="A1765"/>
      <c r="B1765"/>
    </row>
    <row r="1766" spans="1:2">
      <c r="A1766"/>
      <c r="B1766"/>
    </row>
    <row r="1767" spans="1:2">
      <c r="A1767"/>
      <c r="B1767"/>
    </row>
    <row r="1768" spans="1:2">
      <c r="A1768"/>
      <c r="B1768"/>
    </row>
    <row r="1769" spans="1:2">
      <c r="A1769"/>
      <c r="B1769"/>
    </row>
    <row r="1770" spans="1:2">
      <c r="A1770"/>
      <c r="B1770"/>
    </row>
    <row r="1771" spans="1:2">
      <c r="A1771"/>
      <c r="B1771"/>
    </row>
    <row r="1772" spans="1:2">
      <c r="A1772"/>
      <c r="B1772"/>
    </row>
    <row r="1773" spans="1:2">
      <c r="A1773"/>
      <c r="B1773"/>
    </row>
    <row r="1774" spans="1:2">
      <c r="A1774"/>
      <c r="B1774"/>
    </row>
    <row r="1775" spans="1:2">
      <c r="A1775"/>
      <c r="B1775"/>
    </row>
    <row r="1776" spans="1:2">
      <c r="A1776"/>
      <c r="B1776"/>
    </row>
    <row r="1777" spans="1:2">
      <c r="A1777"/>
      <c r="B1777"/>
    </row>
    <row r="1778" spans="1:2">
      <c r="A1778"/>
      <c r="B1778"/>
    </row>
    <row r="1779" spans="1:2">
      <c r="A1779"/>
      <c r="B1779"/>
    </row>
    <row r="1780" spans="1:2">
      <c r="A1780"/>
      <c r="B1780"/>
    </row>
    <row r="1781" spans="1:2">
      <c r="A1781"/>
      <c r="B1781"/>
    </row>
    <row r="1782" spans="1:2">
      <c r="A1782"/>
      <c r="B1782"/>
    </row>
    <row r="1783" spans="1:2">
      <c r="A1783"/>
      <c r="B1783"/>
    </row>
    <row r="1784" spans="1:2">
      <c r="A1784"/>
      <c r="B1784"/>
    </row>
    <row r="1785" spans="1:2">
      <c r="A1785"/>
      <c r="B1785"/>
    </row>
    <row r="1786" spans="1:2">
      <c r="A1786"/>
      <c r="B1786"/>
    </row>
    <row r="1787" spans="1:2">
      <c r="A1787"/>
      <c r="B1787"/>
    </row>
    <row r="1788" spans="1:2">
      <c r="A1788"/>
      <c r="B1788"/>
    </row>
    <row r="1789" spans="1:2">
      <c r="A1789"/>
      <c r="B1789"/>
    </row>
    <row r="1790" spans="1:2">
      <c r="A1790"/>
      <c r="B1790"/>
    </row>
    <row r="1791" spans="1:2">
      <c r="A1791"/>
      <c r="B1791"/>
    </row>
    <row r="1792" spans="1:2">
      <c r="A1792"/>
      <c r="B1792"/>
    </row>
    <row r="1793" spans="1:2">
      <c r="A1793"/>
      <c r="B1793"/>
    </row>
    <row r="1794" spans="1:2">
      <c r="A1794"/>
      <c r="B1794"/>
    </row>
    <row r="1795" spans="1:2">
      <c r="A1795"/>
      <c r="B1795"/>
    </row>
    <row r="1796" spans="1:2">
      <c r="A1796"/>
      <c r="B1796"/>
    </row>
    <row r="1797" spans="1:2">
      <c r="A1797"/>
      <c r="B1797"/>
    </row>
    <row r="1798" spans="1:2">
      <c r="A1798"/>
      <c r="B1798"/>
    </row>
    <row r="1799" spans="1:2">
      <c r="A1799"/>
      <c r="B1799"/>
    </row>
    <row r="1800" spans="1:2">
      <c r="A1800"/>
      <c r="B1800"/>
    </row>
    <row r="1801" spans="1:2">
      <c r="A1801"/>
      <c r="B1801"/>
    </row>
    <row r="1802" spans="1:2">
      <c r="A1802"/>
      <c r="B1802"/>
    </row>
    <row r="1803" spans="1:2">
      <c r="A1803"/>
      <c r="B1803"/>
    </row>
    <row r="1804" spans="1:2">
      <c r="A1804"/>
      <c r="B1804"/>
    </row>
    <row r="1805" spans="1:2">
      <c r="A1805"/>
      <c r="B1805"/>
    </row>
    <row r="1806" spans="1:2">
      <c r="A1806"/>
      <c r="B1806"/>
    </row>
    <row r="1807" spans="1:2">
      <c r="A1807"/>
      <c r="B1807"/>
    </row>
    <row r="1808" spans="1:2">
      <c r="A1808"/>
      <c r="B1808"/>
    </row>
    <row r="1809" spans="1:2">
      <c r="A1809"/>
      <c r="B1809"/>
    </row>
    <row r="1810" spans="1:2">
      <c r="A1810"/>
      <c r="B1810"/>
    </row>
    <row r="1811" spans="1:2">
      <c r="A1811"/>
      <c r="B1811"/>
    </row>
    <row r="1812" spans="1:2">
      <c r="A1812"/>
      <c r="B1812"/>
    </row>
    <row r="1813" spans="1:2">
      <c r="A1813"/>
      <c r="B1813"/>
    </row>
    <row r="1814" spans="1:2">
      <c r="A1814"/>
      <c r="B1814"/>
    </row>
    <row r="1815" spans="1:2">
      <c r="A1815"/>
      <c r="B1815"/>
    </row>
    <row r="1816" spans="1:2">
      <c r="A1816"/>
      <c r="B1816"/>
    </row>
    <row r="1817" spans="1:2">
      <c r="A1817"/>
      <c r="B1817"/>
    </row>
    <row r="1818" spans="1:2">
      <c r="A1818"/>
      <c r="B1818"/>
    </row>
    <row r="1819" spans="1:2">
      <c r="A1819"/>
      <c r="B1819"/>
    </row>
    <row r="1820" spans="1:2">
      <c r="A1820"/>
      <c r="B1820"/>
    </row>
    <row r="1821" spans="1:2">
      <c r="A1821"/>
      <c r="B1821"/>
    </row>
    <row r="1822" spans="1:2">
      <c r="A1822"/>
      <c r="B1822"/>
    </row>
    <row r="1823" spans="1:2">
      <c r="A1823"/>
      <c r="B1823"/>
    </row>
    <row r="1824" spans="1:2">
      <c r="A1824"/>
      <c r="B1824"/>
    </row>
    <row r="1825" spans="1:2">
      <c r="A1825"/>
      <c r="B1825"/>
    </row>
    <row r="1826" spans="1:2">
      <c r="A1826"/>
      <c r="B1826"/>
    </row>
    <row r="1827" spans="1:2">
      <c r="A1827"/>
      <c r="B1827"/>
    </row>
    <row r="1828" spans="1:2">
      <c r="A1828"/>
      <c r="B1828"/>
    </row>
    <row r="1829" spans="1:2">
      <c r="A1829"/>
      <c r="B1829"/>
    </row>
    <row r="1830" spans="1:2">
      <c r="A1830"/>
      <c r="B1830"/>
    </row>
    <row r="1831" spans="1:2">
      <c r="A1831"/>
      <c r="B1831"/>
    </row>
    <row r="1832" spans="1:2">
      <c r="A1832"/>
      <c r="B1832"/>
    </row>
    <row r="1833" spans="1:2">
      <c r="A1833"/>
      <c r="B1833"/>
    </row>
    <row r="1834" spans="1:2">
      <c r="A1834"/>
      <c r="B1834"/>
    </row>
    <row r="1835" spans="1:2">
      <c r="A1835"/>
      <c r="B1835"/>
    </row>
    <row r="1836" spans="1:2">
      <c r="A1836"/>
      <c r="B1836"/>
    </row>
    <row r="1837" spans="1:2">
      <c r="A1837"/>
      <c r="B1837"/>
    </row>
    <row r="1838" spans="1:2">
      <c r="A1838"/>
      <c r="B1838"/>
    </row>
    <row r="1839" spans="1:2">
      <c r="A1839"/>
      <c r="B1839"/>
    </row>
    <row r="1840" spans="1:2">
      <c r="A1840"/>
      <c r="B1840"/>
    </row>
    <row r="1841" spans="1:2">
      <c r="A1841"/>
      <c r="B1841"/>
    </row>
    <row r="1842" spans="1:2">
      <c r="A1842"/>
      <c r="B1842"/>
    </row>
    <row r="1843" spans="1:2">
      <c r="A1843"/>
      <c r="B1843"/>
    </row>
    <row r="1844" spans="1:2">
      <c r="A1844"/>
      <c r="B1844"/>
    </row>
    <row r="1845" spans="1:2">
      <c r="A1845"/>
      <c r="B1845"/>
    </row>
    <row r="1846" spans="1:2">
      <c r="A1846"/>
      <c r="B1846"/>
    </row>
    <row r="1847" spans="1:2">
      <c r="A1847"/>
      <c r="B1847"/>
    </row>
    <row r="1848" spans="1:2">
      <c r="A1848"/>
      <c r="B1848"/>
    </row>
    <row r="1849" spans="1:2">
      <c r="A1849"/>
      <c r="B1849"/>
    </row>
    <row r="1850" spans="1:2">
      <c r="A1850"/>
      <c r="B1850"/>
    </row>
    <row r="1851" spans="1:2">
      <c r="A1851"/>
      <c r="B1851"/>
    </row>
    <row r="1852" spans="1:2">
      <c r="A1852"/>
      <c r="B1852"/>
    </row>
    <row r="1853" spans="1:2">
      <c r="A1853"/>
      <c r="B1853"/>
    </row>
    <row r="1854" spans="1:2">
      <c r="A1854"/>
      <c r="B1854"/>
    </row>
    <row r="1855" spans="1:2">
      <c r="A1855"/>
      <c r="B1855"/>
    </row>
    <row r="1856" spans="1:2">
      <c r="A1856"/>
      <c r="B1856"/>
    </row>
    <row r="1857" spans="1:2">
      <c r="A1857"/>
      <c r="B1857"/>
    </row>
    <row r="1858" spans="1:2">
      <c r="A1858"/>
      <c r="B1858"/>
    </row>
    <row r="1859" spans="1:2">
      <c r="A1859"/>
      <c r="B1859"/>
    </row>
    <row r="1860" spans="1:2">
      <c r="A1860"/>
      <c r="B1860"/>
    </row>
    <row r="1861" spans="1:2">
      <c r="A1861"/>
      <c r="B1861"/>
    </row>
    <row r="1862" spans="1:2">
      <c r="A1862"/>
      <c r="B1862"/>
    </row>
    <row r="1863" spans="1:2">
      <c r="A1863"/>
      <c r="B1863"/>
    </row>
    <row r="1864" spans="1:2">
      <c r="A1864"/>
      <c r="B1864"/>
    </row>
    <row r="1865" spans="1:2">
      <c r="A1865"/>
      <c r="B1865"/>
    </row>
    <row r="1866" spans="1:2">
      <c r="A1866"/>
      <c r="B1866"/>
    </row>
    <row r="1867" spans="1:2">
      <c r="A1867"/>
      <c r="B1867"/>
    </row>
    <row r="1868" spans="1:2">
      <c r="A1868"/>
      <c r="B1868"/>
    </row>
    <row r="1869" spans="1:2">
      <c r="A1869"/>
      <c r="B1869"/>
    </row>
    <row r="1870" spans="1:2">
      <c r="A1870"/>
      <c r="B1870"/>
    </row>
    <row r="1871" spans="1:2">
      <c r="A1871"/>
      <c r="B1871"/>
    </row>
    <row r="1872" spans="1:2">
      <c r="A1872"/>
      <c r="B1872"/>
    </row>
    <row r="1873" spans="1:2">
      <c r="A1873"/>
      <c r="B1873"/>
    </row>
    <row r="1874" spans="1:2">
      <c r="A1874"/>
      <c r="B1874"/>
    </row>
    <row r="1875" spans="1:2">
      <c r="A1875"/>
      <c r="B1875"/>
    </row>
    <row r="1876" spans="1:2">
      <c r="A1876"/>
      <c r="B1876"/>
    </row>
    <row r="1877" spans="1:2">
      <c r="A1877"/>
      <c r="B1877"/>
    </row>
    <row r="1878" spans="1:2">
      <c r="A1878"/>
      <c r="B1878"/>
    </row>
    <row r="1879" spans="1:2">
      <c r="A1879"/>
      <c r="B1879"/>
    </row>
    <row r="1880" spans="1:2">
      <c r="A1880"/>
      <c r="B1880"/>
    </row>
    <row r="1881" spans="1:2">
      <c r="A1881"/>
      <c r="B1881"/>
    </row>
    <row r="1882" spans="1:2">
      <c r="A1882"/>
      <c r="B1882"/>
    </row>
    <row r="1883" spans="1:2">
      <c r="A1883"/>
      <c r="B1883"/>
    </row>
    <row r="1884" spans="1:2">
      <c r="A1884"/>
      <c r="B1884"/>
    </row>
    <row r="1885" spans="1:2">
      <c r="A1885"/>
      <c r="B1885"/>
    </row>
    <row r="1886" spans="1:2">
      <c r="A1886"/>
      <c r="B1886"/>
    </row>
    <row r="1887" spans="1:2">
      <c r="A1887"/>
      <c r="B1887"/>
    </row>
    <row r="1888" spans="1:2">
      <c r="A1888"/>
      <c r="B1888"/>
    </row>
    <row r="1889" spans="1:2">
      <c r="A1889"/>
      <c r="B1889"/>
    </row>
    <row r="1890" spans="1:2">
      <c r="A1890"/>
      <c r="B1890"/>
    </row>
    <row r="1891" spans="1:2">
      <c r="A1891"/>
      <c r="B1891"/>
    </row>
    <row r="1892" spans="1:2">
      <c r="A1892"/>
      <c r="B1892"/>
    </row>
    <row r="1893" spans="1:2">
      <c r="A1893"/>
      <c r="B1893"/>
    </row>
    <row r="1894" spans="1:2">
      <c r="A1894"/>
      <c r="B1894"/>
    </row>
    <row r="1895" spans="1:2">
      <c r="A1895"/>
      <c r="B1895"/>
    </row>
    <row r="1896" spans="1:2">
      <c r="A1896"/>
      <c r="B1896"/>
    </row>
    <row r="1897" spans="1:2">
      <c r="A1897"/>
      <c r="B1897"/>
    </row>
    <row r="1898" spans="1:2">
      <c r="A1898"/>
      <c r="B1898"/>
    </row>
    <row r="1899" spans="1:2">
      <c r="A1899"/>
      <c r="B1899"/>
    </row>
    <row r="1900" spans="1:2">
      <c r="A1900"/>
      <c r="B1900"/>
    </row>
    <row r="1901" spans="1:2">
      <c r="A1901"/>
      <c r="B1901"/>
    </row>
    <row r="1902" spans="1:2">
      <c r="A1902"/>
      <c r="B1902"/>
    </row>
    <row r="1903" spans="1:2">
      <c r="A1903"/>
      <c r="B1903"/>
    </row>
    <row r="1904" spans="1:2">
      <c r="A1904"/>
      <c r="B1904"/>
    </row>
    <row r="1905" spans="1:2">
      <c r="A1905"/>
      <c r="B1905"/>
    </row>
    <row r="1906" spans="1:2">
      <c r="A1906"/>
      <c r="B1906"/>
    </row>
    <row r="1907" spans="1:2">
      <c r="A1907"/>
      <c r="B1907"/>
    </row>
    <row r="1908" spans="1:2">
      <c r="A1908"/>
      <c r="B1908"/>
    </row>
    <row r="1909" spans="1:2">
      <c r="A1909"/>
      <c r="B1909"/>
    </row>
    <row r="1910" spans="1:2">
      <c r="A1910"/>
      <c r="B1910"/>
    </row>
    <row r="1911" spans="1:2">
      <c r="A1911"/>
      <c r="B1911"/>
    </row>
    <row r="1912" spans="1:2">
      <c r="A1912"/>
      <c r="B1912"/>
    </row>
    <row r="1913" spans="1:2">
      <c r="A1913"/>
      <c r="B1913"/>
    </row>
    <row r="1914" spans="1:2">
      <c r="A1914"/>
      <c r="B1914"/>
    </row>
    <row r="1915" spans="1:2">
      <c r="A1915"/>
      <c r="B1915"/>
    </row>
    <row r="1916" spans="1:2">
      <c r="A1916"/>
      <c r="B1916"/>
    </row>
    <row r="1917" spans="1:2">
      <c r="A1917"/>
      <c r="B1917"/>
    </row>
    <row r="1918" spans="1:2">
      <c r="A1918"/>
      <c r="B1918"/>
    </row>
    <row r="1919" spans="1:2">
      <c r="A1919"/>
      <c r="B1919"/>
    </row>
    <row r="1920" spans="1:2">
      <c r="A1920"/>
      <c r="B1920"/>
    </row>
    <row r="1921" spans="1:2">
      <c r="A1921"/>
      <c r="B1921"/>
    </row>
    <row r="1922" spans="1:2">
      <c r="A1922"/>
      <c r="B1922"/>
    </row>
    <row r="1923" spans="1:2">
      <c r="A1923"/>
      <c r="B1923"/>
    </row>
    <row r="1924" spans="1:2">
      <c r="A1924"/>
      <c r="B1924"/>
    </row>
    <row r="1925" spans="1:2">
      <c r="A1925"/>
      <c r="B1925"/>
    </row>
    <row r="1926" spans="1:2">
      <c r="A1926"/>
      <c r="B1926"/>
    </row>
    <row r="1927" spans="1:2">
      <c r="A1927"/>
      <c r="B1927"/>
    </row>
    <row r="1928" spans="1:2">
      <c r="A1928"/>
      <c r="B1928"/>
    </row>
    <row r="1929" spans="1:2">
      <c r="A1929"/>
      <c r="B1929"/>
    </row>
    <row r="1930" spans="1:2">
      <c r="A1930"/>
      <c r="B1930"/>
    </row>
    <row r="1931" spans="1:2">
      <c r="A1931"/>
      <c r="B1931"/>
    </row>
    <row r="1932" spans="1:2">
      <c r="A1932"/>
      <c r="B1932"/>
    </row>
    <row r="1933" spans="1:2">
      <c r="A1933"/>
      <c r="B1933"/>
    </row>
    <row r="1934" spans="1:2">
      <c r="A1934"/>
      <c r="B1934"/>
    </row>
    <row r="1935" spans="1:2">
      <c r="A1935"/>
      <c r="B1935"/>
    </row>
    <row r="1936" spans="1:2">
      <c r="A1936"/>
      <c r="B1936"/>
    </row>
    <row r="1937" spans="1:2">
      <c r="A1937"/>
      <c r="B1937"/>
    </row>
    <row r="1938" spans="1:2">
      <c r="A1938"/>
      <c r="B1938"/>
    </row>
    <row r="1939" spans="1:2">
      <c r="A1939"/>
      <c r="B1939"/>
    </row>
    <row r="1940" spans="1:2">
      <c r="A1940"/>
      <c r="B1940"/>
    </row>
    <row r="1941" spans="1:2">
      <c r="A1941"/>
      <c r="B1941"/>
    </row>
    <row r="1942" spans="1:2">
      <c r="A1942"/>
      <c r="B1942"/>
    </row>
    <row r="1943" spans="1:2">
      <c r="A1943"/>
      <c r="B1943"/>
    </row>
    <row r="1944" spans="1:2">
      <c r="A1944"/>
      <c r="B1944"/>
    </row>
    <row r="1945" spans="1:2">
      <c r="A1945"/>
      <c r="B1945"/>
    </row>
    <row r="1946" spans="1:2">
      <c r="A1946"/>
      <c r="B1946"/>
    </row>
    <row r="1947" spans="1:2">
      <c r="A1947"/>
      <c r="B1947"/>
    </row>
    <row r="1948" spans="1:2">
      <c r="A1948"/>
      <c r="B1948"/>
    </row>
    <row r="1949" spans="1:2">
      <c r="A1949"/>
      <c r="B1949"/>
    </row>
    <row r="1950" spans="1:2">
      <c r="A1950"/>
      <c r="B1950"/>
    </row>
    <row r="1951" spans="1:2">
      <c r="A1951"/>
      <c r="B1951"/>
    </row>
    <row r="1952" spans="1:2">
      <c r="A1952"/>
      <c r="B1952"/>
    </row>
    <row r="1953" spans="1:2">
      <c r="A1953"/>
      <c r="B1953"/>
    </row>
    <row r="1954" spans="1:2">
      <c r="A1954"/>
      <c r="B1954"/>
    </row>
    <row r="1955" spans="1:2">
      <c r="A1955"/>
      <c r="B1955"/>
    </row>
    <row r="1956" spans="1:2">
      <c r="A1956"/>
      <c r="B1956"/>
    </row>
    <row r="1957" spans="1:2">
      <c r="A1957"/>
      <c r="B1957"/>
    </row>
    <row r="1958" spans="1:2">
      <c r="A1958"/>
      <c r="B1958"/>
    </row>
    <row r="1959" spans="1:2">
      <c r="A1959"/>
      <c r="B1959"/>
    </row>
    <row r="1960" spans="1:2">
      <c r="A1960"/>
      <c r="B1960"/>
    </row>
    <row r="1961" spans="1:2">
      <c r="A1961"/>
      <c r="B1961"/>
    </row>
    <row r="1962" spans="1:2">
      <c r="A1962"/>
      <c r="B1962"/>
    </row>
    <row r="1963" spans="1:2">
      <c r="A1963"/>
      <c r="B1963"/>
    </row>
    <row r="1964" spans="1:2">
      <c r="A1964"/>
      <c r="B1964"/>
    </row>
    <row r="1965" spans="1:2">
      <c r="A1965"/>
      <c r="B1965"/>
    </row>
    <row r="1966" spans="1:2">
      <c r="A1966"/>
      <c r="B1966"/>
    </row>
    <row r="1967" spans="1:2">
      <c r="A1967"/>
      <c r="B1967"/>
    </row>
    <row r="1968" spans="1:2">
      <c r="A1968"/>
      <c r="B1968"/>
    </row>
    <row r="1969" spans="1:2">
      <c r="A1969"/>
      <c r="B1969"/>
    </row>
    <row r="1970" spans="1:2">
      <c r="A1970"/>
      <c r="B1970"/>
    </row>
    <row r="1971" spans="1:2">
      <c r="A1971"/>
      <c r="B1971"/>
    </row>
    <row r="1972" spans="1:2">
      <c r="A1972"/>
      <c r="B1972"/>
    </row>
    <row r="1973" spans="1:2">
      <c r="A1973"/>
      <c r="B1973"/>
    </row>
    <row r="1974" spans="1:2">
      <c r="A1974"/>
      <c r="B1974"/>
    </row>
    <row r="1975" spans="1:2">
      <c r="A1975"/>
      <c r="B1975"/>
    </row>
    <row r="1976" spans="1:2">
      <c r="A1976"/>
      <c r="B1976"/>
    </row>
    <row r="1977" spans="1:2">
      <c r="A1977"/>
      <c r="B1977"/>
    </row>
    <row r="1978" spans="1:2">
      <c r="A1978"/>
      <c r="B1978"/>
    </row>
    <row r="1979" spans="1:2">
      <c r="A1979"/>
      <c r="B1979"/>
    </row>
    <row r="1980" spans="1:2">
      <c r="A1980"/>
      <c r="B1980"/>
    </row>
    <row r="1981" spans="1:2">
      <c r="A1981"/>
      <c r="B1981"/>
    </row>
    <row r="1982" spans="1:2">
      <c r="A1982"/>
      <c r="B1982"/>
    </row>
    <row r="1983" spans="1:2">
      <c r="A1983"/>
      <c r="B1983"/>
    </row>
    <row r="1984" spans="1:2">
      <c r="A1984"/>
      <c r="B1984"/>
    </row>
    <row r="1985" spans="1:2">
      <c r="A1985"/>
      <c r="B1985"/>
    </row>
    <row r="1986" spans="1:2">
      <c r="A1986"/>
      <c r="B1986"/>
    </row>
    <row r="1987" spans="1:2">
      <c r="A1987"/>
      <c r="B1987"/>
    </row>
    <row r="1988" spans="1:2">
      <c r="A1988"/>
      <c r="B1988"/>
    </row>
    <row r="1989" spans="1:2">
      <c r="A1989"/>
      <c r="B1989"/>
    </row>
    <row r="1990" spans="1:2">
      <c r="A1990"/>
      <c r="B1990"/>
    </row>
    <row r="1991" spans="1:2">
      <c r="A1991"/>
      <c r="B1991"/>
    </row>
    <row r="1992" spans="1:2">
      <c r="A1992"/>
      <c r="B1992"/>
    </row>
    <row r="1993" spans="1:2">
      <c r="A1993"/>
      <c r="B1993"/>
    </row>
    <row r="1994" spans="1:2">
      <c r="A1994"/>
      <c r="B1994"/>
    </row>
    <row r="1995" spans="1:2">
      <c r="A1995"/>
      <c r="B1995"/>
    </row>
    <row r="1996" spans="1:2">
      <c r="A1996"/>
      <c r="B1996"/>
    </row>
    <row r="1997" spans="1:2">
      <c r="A1997"/>
      <c r="B1997"/>
    </row>
    <row r="1998" spans="1:2">
      <c r="A1998"/>
      <c r="B1998"/>
    </row>
    <row r="1999" spans="1:2">
      <c r="A1999"/>
      <c r="B1999"/>
    </row>
    <row r="2000" spans="1:2">
      <c r="A2000"/>
      <c r="B2000"/>
    </row>
    <row r="2001" spans="1:2">
      <c r="A2001"/>
      <c r="B2001"/>
    </row>
    <row r="2002" spans="1:2">
      <c r="A2002"/>
      <c r="B2002"/>
    </row>
    <row r="2003" spans="1:2">
      <c r="A2003"/>
      <c r="B2003"/>
    </row>
    <row r="2004" spans="1:2">
      <c r="A2004"/>
      <c r="B2004"/>
    </row>
    <row r="2005" spans="1:2">
      <c r="A2005"/>
      <c r="B2005"/>
    </row>
    <row r="2006" spans="1:2">
      <c r="A2006"/>
      <c r="B2006"/>
    </row>
    <row r="2007" spans="1:2">
      <c r="A2007"/>
      <c r="B2007"/>
    </row>
    <row r="2008" spans="1:2">
      <c r="A2008"/>
      <c r="B2008"/>
    </row>
    <row r="2009" spans="1:2">
      <c r="A2009"/>
      <c r="B2009"/>
    </row>
    <row r="2010" spans="1:2">
      <c r="A2010"/>
      <c r="B2010"/>
    </row>
    <row r="2011" spans="1:2">
      <c r="A2011"/>
      <c r="B2011"/>
    </row>
    <row r="2012" spans="1:2">
      <c r="A2012"/>
      <c r="B2012"/>
    </row>
    <row r="2013" spans="1:2">
      <c r="A2013"/>
      <c r="B2013"/>
    </row>
    <row r="2014" spans="1:2">
      <c r="A2014"/>
      <c r="B2014"/>
    </row>
    <row r="2015" spans="1:2">
      <c r="A2015"/>
      <c r="B2015"/>
    </row>
    <row r="2016" spans="1:2">
      <c r="A2016"/>
      <c r="B2016"/>
    </row>
    <row r="2017" spans="1:2">
      <c r="A2017"/>
      <c r="B2017"/>
    </row>
    <row r="2018" spans="1:2">
      <c r="A2018"/>
      <c r="B2018"/>
    </row>
    <row r="2019" spans="1:2">
      <c r="A2019"/>
      <c r="B2019"/>
    </row>
    <row r="2020" spans="1:2">
      <c r="A2020"/>
      <c r="B2020"/>
    </row>
    <row r="2021" spans="1:2">
      <c r="A2021"/>
      <c r="B2021"/>
    </row>
    <row r="2022" spans="1:2">
      <c r="A2022"/>
      <c r="B2022"/>
    </row>
    <row r="2023" spans="1:2">
      <c r="A2023"/>
      <c r="B2023"/>
    </row>
    <row r="2024" spans="1:2">
      <c r="A2024"/>
      <c r="B2024"/>
    </row>
    <row r="2025" spans="1:2">
      <c r="A2025"/>
      <c r="B2025"/>
    </row>
    <row r="2026" spans="1:2">
      <c r="A2026"/>
      <c r="B2026"/>
    </row>
    <row r="2027" spans="1:2">
      <c r="A2027"/>
      <c r="B2027"/>
    </row>
    <row r="2028" spans="1:2">
      <c r="A2028"/>
      <c r="B2028"/>
    </row>
    <row r="2029" spans="1:2">
      <c r="A2029"/>
      <c r="B2029"/>
    </row>
    <row r="2030" spans="1:2">
      <c r="A2030"/>
      <c r="B2030"/>
    </row>
    <row r="2031" spans="1:2">
      <c r="A2031"/>
      <c r="B2031"/>
    </row>
    <row r="2032" spans="1:2">
      <c r="A2032"/>
      <c r="B2032"/>
    </row>
    <row r="2033" spans="1:2">
      <c r="A2033"/>
      <c r="B2033"/>
    </row>
    <row r="2034" spans="1:2">
      <c r="A2034"/>
      <c r="B2034"/>
    </row>
    <row r="2035" spans="1:2">
      <c r="A2035"/>
      <c r="B2035"/>
    </row>
    <row r="2036" spans="1:2">
      <c r="A2036"/>
      <c r="B2036"/>
    </row>
    <row r="2037" spans="1:2">
      <c r="A2037"/>
      <c r="B2037"/>
    </row>
    <row r="2038" spans="1:2">
      <c r="A2038"/>
      <c r="B2038"/>
    </row>
    <row r="2039" spans="1:2">
      <c r="A2039"/>
      <c r="B2039"/>
    </row>
    <row r="2040" spans="1:2">
      <c r="A2040"/>
      <c r="B2040"/>
    </row>
    <row r="2041" spans="1:2">
      <c r="A2041"/>
      <c r="B2041"/>
    </row>
    <row r="2042" spans="1:2">
      <c r="A2042"/>
      <c r="B2042"/>
    </row>
    <row r="2043" spans="1:2">
      <c r="A2043"/>
      <c r="B2043"/>
    </row>
    <row r="2044" spans="1:2">
      <c r="A2044"/>
      <c r="B2044"/>
    </row>
    <row r="2045" spans="1:2">
      <c r="A2045"/>
      <c r="B2045"/>
    </row>
    <row r="2046" spans="1:2">
      <c r="A2046"/>
      <c r="B2046"/>
    </row>
    <row r="2047" spans="1:2">
      <c r="A2047"/>
      <c r="B2047"/>
    </row>
    <row r="2048" spans="1:2">
      <c r="A2048"/>
      <c r="B2048"/>
    </row>
    <row r="2049" spans="1:2">
      <c r="A2049"/>
      <c r="B2049"/>
    </row>
    <row r="2050" spans="1:2">
      <c r="A2050"/>
      <c r="B2050"/>
    </row>
    <row r="2051" spans="1:2">
      <c r="A2051"/>
      <c r="B2051"/>
    </row>
    <row r="2052" spans="1:2">
      <c r="A2052"/>
      <c r="B2052"/>
    </row>
    <row r="2053" spans="1:2">
      <c r="A2053"/>
      <c r="B2053"/>
    </row>
    <row r="2054" spans="1:2">
      <c r="A2054"/>
      <c r="B2054"/>
    </row>
    <row r="2055" spans="1:2">
      <c r="A2055"/>
      <c r="B2055"/>
    </row>
    <row r="2056" spans="1:2">
      <c r="A2056"/>
      <c r="B2056"/>
    </row>
    <row r="2057" spans="1:2">
      <c r="A2057"/>
      <c r="B2057"/>
    </row>
    <row r="2058" spans="1:2">
      <c r="A2058"/>
      <c r="B2058"/>
    </row>
    <row r="2059" spans="1:2">
      <c r="A2059"/>
      <c r="B2059"/>
    </row>
    <row r="2060" spans="1:2">
      <c r="A2060"/>
      <c r="B2060"/>
    </row>
    <row r="2061" spans="1:2">
      <c r="A2061"/>
      <c r="B2061"/>
    </row>
    <row r="2062" spans="1:2">
      <c r="A2062"/>
      <c r="B2062"/>
    </row>
    <row r="2063" spans="1:2">
      <c r="A2063"/>
      <c r="B2063"/>
    </row>
    <row r="2064" spans="1:2">
      <c r="A2064"/>
      <c r="B2064"/>
    </row>
    <row r="2065" spans="1:2">
      <c r="A2065"/>
      <c r="B2065"/>
    </row>
    <row r="2066" spans="1:2">
      <c r="A2066"/>
      <c r="B2066"/>
    </row>
    <row r="2067" spans="1:2">
      <c r="A2067"/>
      <c r="B2067"/>
    </row>
    <row r="2068" spans="1:2">
      <c r="A2068"/>
      <c r="B2068"/>
    </row>
    <row r="2069" spans="1:2">
      <c r="A2069"/>
      <c r="B2069"/>
    </row>
    <row r="2070" spans="1:2">
      <c r="A2070"/>
      <c r="B2070"/>
    </row>
    <row r="2071" spans="1:2">
      <c r="A2071"/>
      <c r="B2071"/>
    </row>
    <row r="2072" spans="1:2">
      <c r="A2072"/>
      <c r="B2072"/>
    </row>
    <row r="2073" spans="1:2">
      <c r="A2073"/>
      <c r="B2073"/>
    </row>
    <row r="2074" spans="1:2">
      <c r="A2074"/>
      <c r="B2074"/>
    </row>
    <row r="2075" spans="1:2">
      <c r="A2075"/>
      <c r="B2075"/>
    </row>
    <row r="2076" spans="1:2">
      <c r="A2076"/>
      <c r="B2076"/>
    </row>
    <row r="2077" spans="1:2">
      <c r="A2077"/>
      <c r="B2077"/>
    </row>
    <row r="2078" spans="1:2">
      <c r="A2078"/>
      <c r="B2078"/>
    </row>
    <row r="2079" spans="1:2">
      <c r="A2079"/>
      <c r="B2079"/>
    </row>
    <row r="2080" spans="1:2">
      <c r="A2080"/>
      <c r="B2080"/>
    </row>
    <row r="2081" spans="1:2">
      <c r="A2081"/>
      <c r="B2081"/>
    </row>
    <row r="2082" spans="1:2">
      <c r="A2082"/>
      <c r="B2082"/>
    </row>
    <row r="2083" spans="1:2">
      <c r="A2083"/>
      <c r="B2083"/>
    </row>
    <row r="2084" spans="1:2">
      <c r="A2084"/>
      <c r="B2084"/>
    </row>
    <row r="2085" spans="1:2">
      <c r="A2085"/>
      <c r="B2085"/>
    </row>
    <row r="2086" spans="1:2">
      <c r="A2086"/>
      <c r="B2086"/>
    </row>
    <row r="2087" spans="1:2">
      <c r="A2087"/>
      <c r="B2087"/>
    </row>
    <row r="2088" spans="1:2">
      <c r="A2088"/>
      <c r="B2088"/>
    </row>
    <row r="2089" spans="1:2">
      <c r="A2089"/>
      <c r="B2089"/>
    </row>
    <row r="2090" spans="1:2">
      <c r="A2090"/>
      <c r="B2090"/>
    </row>
    <row r="2091" spans="1:2">
      <c r="A2091"/>
      <c r="B2091"/>
    </row>
    <row r="2092" spans="1:2">
      <c r="A2092"/>
      <c r="B2092"/>
    </row>
    <row r="2093" spans="1:2">
      <c r="A2093"/>
      <c r="B2093"/>
    </row>
    <row r="2094" spans="1:2">
      <c r="A2094"/>
      <c r="B2094"/>
    </row>
    <row r="2095" spans="1:2">
      <c r="A2095"/>
      <c r="B2095"/>
    </row>
    <row r="2096" spans="1:2">
      <c r="A2096"/>
      <c r="B2096"/>
    </row>
    <row r="2097" spans="1:2">
      <c r="A2097"/>
      <c r="B2097"/>
    </row>
    <row r="2098" spans="1:2">
      <c r="A2098"/>
      <c r="B2098"/>
    </row>
    <row r="2099" spans="1:2">
      <c r="A2099"/>
      <c r="B2099"/>
    </row>
    <row r="2100" spans="1:2">
      <c r="A2100"/>
      <c r="B2100"/>
    </row>
    <row r="2101" spans="1:2">
      <c r="A2101"/>
      <c r="B2101"/>
    </row>
    <row r="2102" spans="1:2">
      <c r="A2102"/>
      <c r="B2102"/>
    </row>
    <row r="2103" spans="1:2">
      <c r="A2103"/>
      <c r="B2103"/>
    </row>
    <row r="2104" spans="1:2">
      <c r="A2104"/>
      <c r="B2104"/>
    </row>
    <row r="2105" spans="1:2">
      <c r="A2105"/>
      <c r="B2105"/>
    </row>
    <row r="2106" spans="1:2">
      <c r="A2106"/>
      <c r="B2106"/>
    </row>
    <row r="2107" spans="1:2">
      <c r="A2107"/>
      <c r="B2107"/>
    </row>
    <row r="2108" spans="1:2">
      <c r="A2108"/>
      <c r="B2108"/>
    </row>
    <row r="2109" spans="1:2">
      <c r="A2109"/>
      <c r="B2109"/>
    </row>
    <row r="2110" spans="1:2">
      <c r="A2110"/>
      <c r="B2110"/>
    </row>
    <row r="2111" spans="1:2">
      <c r="A2111"/>
      <c r="B2111"/>
    </row>
    <row r="2112" spans="1:2">
      <c r="A2112"/>
      <c r="B2112"/>
    </row>
    <row r="2113" spans="1:2">
      <c r="A2113"/>
      <c r="B2113"/>
    </row>
    <row r="2114" spans="1:2">
      <c r="A2114"/>
      <c r="B2114"/>
    </row>
    <row r="2115" spans="1:2">
      <c r="A2115"/>
      <c r="B2115"/>
    </row>
    <row r="2116" spans="1:2">
      <c r="A2116"/>
      <c r="B2116"/>
    </row>
    <row r="2117" spans="1:2">
      <c r="A2117"/>
      <c r="B2117"/>
    </row>
    <row r="2118" spans="1:2">
      <c r="A2118"/>
      <c r="B2118"/>
    </row>
    <row r="2119" spans="1:2">
      <c r="A2119"/>
      <c r="B2119"/>
    </row>
    <row r="2120" spans="1:2">
      <c r="A2120"/>
      <c r="B2120"/>
    </row>
    <row r="2121" spans="1:2">
      <c r="A2121"/>
      <c r="B2121"/>
    </row>
    <row r="2122" spans="1:2">
      <c r="A2122"/>
      <c r="B2122"/>
    </row>
    <row r="2123" spans="1:2">
      <c r="A2123"/>
      <c r="B2123"/>
    </row>
    <row r="2124" spans="1:2">
      <c r="A2124"/>
      <c r="B2124"/>
    </row>
    <row r="2125" spans="1:2">
      <c r="A2125"/>
      <c r="B2125"/>
    </row>
    <row r="2126" spans="1:2">
      <c r="A2126"/>
      <c r="B2126"/>
    </row>
    <row r="2127" spans="1:2">
      <c r="A2127"/>
      <c r="B2127"/>
    </row>
    <row r="2128" spans="1:2">
      <c r="A2128"/>
      <c r="B2128"/>
    </row>
    <row r="2129" spans="1:2">
      <c r="A2129"/>
      <c r="B2129"/>
    </row>
    <row r="2130" spans="1:2">
      <c r="A2130"/>
      <c r="B2130"/>
    </row>
    <row r="2131" spans="1:2">
      <c r="A2131"/>
      <c r="B2131"/>
    </row>
    <row r="2132" spans="1:2">
      <c r="A2132"/>
      <c r="B2132"/>
    </row>
    <row r="2133" spans="1:2">
      <c r="A2133"/>
      <c r="B2133"/>
    </row>
    <row r="2134" spans="1:2">
      <c r="A2134"/>
      <c r="B2134"/>
    </row>
    <row r="2135" spans="1:2">
      <c r="A2135"/>
      <c r="B2135"/>
    </row>
    <row r="2136" spans="1:2">
      <c r="A2136"/>
      <c r="B2136"/>
    </row>
    <row r="2137" spans="1:2">
      <c r="A2137"/>
      <c r="B2137"/>
    </row>
    <row r="2138" spans="1:2">
      <c r="A2138"/>
      <c r="B2138"/>
    </row>
    <row r="2139" spans="1:2">
      <c r="A2139"/>
      <c r="B2139"/>
    </row>
    <row r="2140" spans="1:2">
      <c r="A2140"/>
      <c r="B2140"/>
    </row>
    <row r="2141" spans="1:2">
      <c r="A2141"/>
      <c r="B2141"/>
    </row>
    <row r="2142" spans="1:2">
      <c r="A2142"/>
      <c r="B2142"/>
    </row>
    <row r="2143" spans="1:2">
      <c r="A2143"/>
      <c r="B2143"/>
    </row>
    <row r="2144" spans="1:2">
      <c r="A2144"/>
      <c r="B2144"/>
    </row>
    <row r="2145" spans="1:2">
      <c r="A2145"/>
      <c r="B2145"/>
    </row>
    <row r="2146" spans="1:2">
      <c r="A2146"/>
      <c r="B2146"/>
    </row>
    <row r="2147" spans="1:2">
      <c r="A2147"/>
      <c r="B2147"/>
    </row>
    <row r="2148" spans="1:2">
      <c r="A2148"/>
      <c r="B2148"/>
    </row>
    <row r="2149" spans="1:2">
      <c r="A2149"/>
      <c r="B2149"/>
    </row>
    <row r="2150" spans="1:2">
      <c r="A2150"/>
      <c r="B2150"/>
    </row>
    <row r="2151" spans="1:2">
      <c r="A2151"/>
      <c r="B2151"/>
    </row>
    <row r="2152" spans="1:2">
      <c r="A2152"/>
      <c r="B2152"/>
    </row>
    <row r="2153" spans="1:2">
      <c r="A2153"/>
      <c r="B2153"/>
    </row>
    <row r="2154" spans="1:2">
      <c r="A2154"/>
      <c r="B2154"/>
    </row>
    <row r="2155" spans="1:2">
      <c r="A2155"/>
      <c r="B2155"/>
    </row>
    <row r="2156" spans="1:2">
      <c r="A2156"/>
      <c r="B2156"/>
    </row>
    <row r="2157" spans="1:2">
      <c r="A2157"/>
      <c r="B2157"/>
    </row>
    <row r="2158" spans="1:2">
      <c r="A2158"/>
      <c r="B2158"/>
    </row>
    <row r="2159" spans="1:2">
      <c r="A2159"/>
      <c r="B2159"/>
    </row>
    <row r="2160" spans="1:2">
      <c r="A2160"/>
      <c r="B2160"/>
    </row>
    <row r="2161" spans="1:2">
      <c r="A2161"/>
      <c r="B2161"/>
    </row>
    <row r="2162" spans="1:2">
      <c r="A2162"/>
      <c r="B2162"/>
    </row>
    <row r="2163" spans="1:2">
      <c r="A2163"/>
      <c r="B2163"/>
    </row>
    <row r="2164" spans="1:2">
      <c r="A2164"/>
      <c r="B2164"/>
    </row>
    <row r="2165" spans="1:2">
      <c r="A2165"/>
      <c r="B2165"/>
    </row>
    <row r="2166" spans="1:2">
      <c r="A2166"/>
      <c r="B2166"/>
    </row>
    <row r="2167" spans="1:2">
      <c r="A2167"/>
      <c r="B2167"/>
    </row>
    <row r="2168" spans="1:2">
      <c r="A2168"/>
      <c r="B2168"/>
    </row>
    <row r="2169" spans="1:2">
      <c r="A2169"/>
      <c r="B2169"/>
    </row>
    <row r="2170" spans="1:2">
      <c r="A2170"/>
      <c r="B2170"/>
    </row>
    <row r="2171" spans="1:2">
      <c r="A2171"/>
      <c r="B2171"/>
    </row>
    <row r="2172" spans="1:2">
      <c r="A2172"/>
      <c r="B2172"/>
    </row>
    <row r="2173" spans="1:2">
      <c r="A2173"/>
      <c r="B2173"/>
    </row>
    <row r="2174" spans="1:2">
      <c r="A2174"/>
      <c r="B2174"/>
    </row>
    <row r="2175" spans="1:2">
      <c r="A2175"/>
      <c r="B2175"/>
    </row>
    <row r="2176" spans="1:2">
      <c r="A2176"/>
      <c r="B2176"/>
    </row>
    <row r="2177" spans="1:2">
      <c r="A2177"/>
      <c r="B2177"/>
    </row>
    <row r="2178" spans="1:2">
      <c r="A2178"/>
      <c r="B2178"/>
    </row>
    <row r="2179" spans="1:2">
      <c r="A2179"/>
      <c r="B2179"/>
    </row>
    <row r="2180" spans="1:2">
      <c r="A2180"/>
      <c r="B2180"/>
    </row>
    <row r="2181" spans="1:2">
      <c r="A2181"/>
      <c r="B2181"/>
    </row>
    <row r="2182" spans="1:2">
      <c r="A2182"/>
      <c r="B2182"/>
    </row>
    <row r="2183" spans="1:2">
      <c r="A2183"/>
      <c r="B2183"/>
    </row>
    <row r="2184" spans="1:2">
      <c r="A2184"/>
      <c r="B2184"/>
    </row>
    <row r="2185" spans="1:2">
      <c r="A2185"/>
      <c r="B2185"/>
    </row>
    <row r="2186" spans="1:2">
      <c r="A2186"/>
      <c r="B2186"/>
    </row>
    <row r="2187" spans="1:2">
      <c r="A2187"/>
      <c r="B2187"/>
    </row>
    <row r="2188" spans="1:2">
      <c r="A2188"/>
      <c r="B2188"/>
    </row>
    <row r="2189" spans="1:2">
      <c r="A2189"/>
      <c r="B2189"/>
    </row>
    <row r="2190" spans="1:2">
      <c r="A2190"/>
      <c r="B2190"/>
    </row>
    <row r="2191" spans="1:2">
      <c r="A2191"/>
      <c r="B2191"/>
    </row>
    <row r="2192" spans="1:2">
      <c r="A2192"/>
      <c r="B2192"/>
    </row>
    <row r="2193" spans="1:2">
      <c r="A2193"/>
      <c r="B2193"/>
    </row>
    <row r="2194" spans="1:2">
      <c r="A2194"/>
      <c r="B2194"/>
    </row>
    <row r="2195" spans="1:2">
      <c r="A2195"/>
      <c r="B2195"/>
    </row>
    <row r="2196" spans="1:2">
      <c r="A2196"/>
      <c r="B2196"/>
    </row>
    <row r="2197" spans="1:2">
      <c r="A2197"/>
      <c r="B2197"/>
    </row>
    <row r="2198" spans="1:2">
      <c r="A2198"/>
      <c r="B2198"/>
    </row>
    <row r="2199" spans="1:2">
      <c r="A2199"/>
      <c r="B2199"/>
    </row>
    <row r="2200" spans="1:2">
      <c r="A2200"/>
      <c r="B2200"/>
    </row>
    <row r="2201" spans="1:2">
      <c r="A2201"/>
      <c r="B2201"/>
    </row>
    <row r="2202" spans="1:2">
      <c r="A2202"/>
      <c r="B2202"/>
    </row>
    <row r="2203" spans="1:2">
      <c r="A2203"/>
      <c r="B2203"/>
    </row>
    <row r="2204" spans="1:2">
      <c r="A2204"/>
      <c r="B2204"/>
    </row>
    <row r="2205" spans="1:2">
      <c r="A2205"/>
      <c r="B2205"/>
    </row>
    <row r="2206" spans="1:2">
      <c r="A2206"/>
      <c r="B2206"/>
    </row>
    <row r="2207" spans="1:2">
      <c r="A2207"/>
      <c r="B2207"/>
    </row>
    <row r="2208" spans="1:2">
      <c r="A2208"/>
      <c r="B2208"/>
    </row>
    <row r="2209" spans="1:2">
      <c r="A2209"/>
      <c r="B2209"/>
    </row>
    <row r="2210" spans="1:2">
      <c r="A2210"/>
      <c r="B2210"/>
    </row>
    <row r="2211" spans="1:2">
      <c r="A2211"/>
      <c r="B2211"/>
    </row>
    <row r="2212" spans="1:2">
      <c r="A2212"/>
      <c r="B2212"/>
    </row>
    <row r="2213" spans="1:2">
      <c r="A2213"/>
      <c r="B2213"/>
    </row>
    <row r="2214" spans="1:2">
      <c r="A2214"/>
      <c r="B2214"/>
    </row>
    <row r="2215" spans="1:2">
      <c r="A2215"/>
      <c r="B2215"/>
    </row>
    <row r="2216" spans="1:2">
      <c r="A2216"/>
      <c r="B2216"/>
    </row>
    <row r="2217" spans="1:2">
      <c r="A2217"/>
      <c r="B2217"/>
    </row>
    <row r="2218" spans="1:2">
      <c r="A2218"/>
      <c r="B2218"/>
    </row>
    <row r="2219" spans="1:2">
      <c r="A2219"/>
      <c r="B2219"/>
    </row>
    <row r="2220" spans="1:2">
      <c r="A2220"/>
      <c r="B2220"/>
    </row>
    <row r="2221" spans="1:2">
      <c r="A2221"/>
      <c r="B2221"/>
    </row>
    <row r="2222" spans="1:2">
      <c r="A2222"/>
      <c r="B2222"/>
    </row>
    <row r="2223" spans="1:2">
      <c r="A2223"/>
      <c r="B2223"/>
    </row>
    <row r="2224" spans="1:2">
      <c r="A2224"/>
      <c r="B2224"/>
    </row>
    <row r="2225" spans="1:2">
      <c r="A2225"/>
      <c r="B2225"/>
    </row>
    <row r="2226" spans="1:2">
      <c r="A2226"/>
      <c r="B2226"/>
    </row>
    <row r="2227" spans="1:2">
      <c r="A2227"/>
      <c r="B2227"/>
    </row>
    <row r="2228" spans="1:2">
      <c r="A2228"/>
      <c r="B2228"/>
    </row>
    <row r="2229" spans="1:2">
      <c r="A2229"/>
      <c r="B2229"/>
    </row>
    <row r="2230" spans="1:2">
      <c r="A2230"/>
      <c r="B2230"/>
    </row>
    <row r="2231" spans="1:2">
      <c r="A2231"/>
      <c r="B2231"/>
    </row>
    <row r="2232" spans="1:2">
      <c r="A2232"/>
      <c r="B2232"/>
    </row>
    <row r="2233" spans="1:2">
      <c r="A2233"/>
      <c r="B2233"/>
    </row>
    <row r="2234" spans="1:2">
      <c r="A2234"/>
      <c r="B2234"/>
    </row>
    <row r="2235" spans="1:2">
      <c r="A2235"/>
      <c r="B2235"/>
    </row>
    <row r="2236" spans="1:2">
      <c r="A2236"/>
      <c r="B2236"/>
    </row>
    <row r="2237" spans="1:2">
      <c r="A2237"/>
      <c r="B2237"/>
    </row>
    <row r="2238" spans="1:2">
      <c r="A2238"/>
      <c r="B2238"/>
    </row>
    <row r="2239" spans="1:2">
      <c r="A2239"/>
      <c r="B2239"/>
    </row>
    <row r="2240" spans="1:2">
      <c r="A2240"/>
      <c r="B2240"/>
    </row>
    <row r="2241" spans="1:2">
      <c r="A2241"/>
      <c r="B2241"/>
    </row>
    <row r="2242" spans="1:2">
      <c r="A2242"/>
      <c r="B2242"/>
    </row>
    <row r="2243" spans="1:2">
      <c r="A2243"/>
      <c r="B2243"/>
    </row>
    <row r="2244" spans="1:2">
      <c r="A2244"/>
      <c r="B2244"/>
    </row>
    <row r="2245" spans="1:2">
      <c r="A2245"/>
      <c r="B2245"/>
    </row>
    <row r="2246" spans="1:2">
      <c r="A2246"/>
      <c r="B2246"/>
    </row>
    <row r="2247" spans="1:2">
      <c r="A2247"/>
      <c r="B2247"/>
    </row>
    <row r="2248" spans="1:2">
      <c r="A2248"/>
      <c r="B2248"/>
    </row>
    <row r="2249" spans="1:2">
      <c r="A2249"/>
      <c r="B2249"/>
    </row>
    <row r="2250" spans="1:2">
      <c r="A2250"/>
      <c r="B2250"/>
    </row>
    <row r="2251" spans="1:2">
      <c r="A2251"/>
      <c r="B2251"/>
    </row>
    <row r="2252" spans="1:2">
      <c r="A2252"/>
      <c r="B2252"/>
    </row>
    <row r="2253" spans="1:2">
      <c r="A2253"/>
      <c r="B2253"/>
    </row>
    <row r="2254" spans="1:2">
      <c r="A2254"/>
      <c r="B2254"/>
    </row>
    <row r="2255" spans="1:2">
      <c r="A2255"/>
      <c r="B2255"/>
    </row>
    <row r="2256" spans="1:2">
      <c r="A2256"/>
      <c r="B2256"/>
    </row>
    <row r="2257" spans="1:2">
      <c r="A2257"/>
      <c r="B2257"/>
    </row>
    <row r="2258" spans="1:2">
      <c r="A2258"/>
      <c r="B2258"/>
    </row>
    <row r="2259" spans="1:2">
      <c r="A2259"/>
      <c r="B2259"/>
    </row>
    <row r="2260" spans="1:2">
      <c r="A2260"/>
      <c r="B2260"/>
    </row>
    <row r="2261" spans="1:2">
      <c r="A2261"/>
      <c r="B2261"/>
    </row>
    <row r="2262" spans="1:2">
      <c r="A2262"/>
      <c r="B2262"/>
    </row>
    <row r="2263" spans="1:2">
      <c r="A2263"/>
      <c r="B2263"/>
    </row>
    <row r="2264" spans="1:2">
      <c r="A2264"/>
      <c r="B2264"/>
    </row>
    <row r="2265" spans="1:2">
      <c r="A2265"/>
      <c r="B2265"/>
    </row>
    <row r="2266" spans="1:2">
      <c r="A2266"/>
      <c r="B2266"/>
    </row>
    <row r="2267" spans="1:2">
      <c r="A2267"/>
      <c r="B2267"/>
    </row>
    <row r="2268" spans="1:2">
      <c r="A2268"/>
      <c r="B2268"/>
    </row>
    <row r="2269" spans="1:2">
      <c r="A2269"/>
      <c r="B2269"/>
    </row>
    <row r="2270" spans="1:2">
      <c r="A2270"/>
      <c r="B2270"/>
    </row>
    <row r="2271" spans="1:2">
      <c r="A2271"/>
      <c r="B2271"/>
    </row>
    <row r="2272" spans="1:2">
      <c r="A2272"/>
      <c r="B2272"/>
    </row>
    <row r="2273" spans="1:2">
      <c r="A2273"/>
      <c r="B2273"/>
    </row>
    <row r="2274" spans="1:2">
      <c r="A2274"/>
      <c r="B2274"/>
    </row>
    <row r="2275" spans="1:2">
      <c r="A2275"/>
      <c r="B2275"/>
    </row>
    <row r="2276" spans="1:2">
      <c r="A2276"/>
      <c r="B2276"/>
    </row>
    <row r="2277" spans="1:2">
      <c r="A2277"/>
      <c r="B2277"/>
    </row>
    <row r="2278" spans="1:2">
      <c r="A2278"/>
      <c r="B2278"/>
    </row>
    <row r="2279" spans="1:2">
      <c r="A2279"/>
      <c r="B2279"/>
    </row>
    <row r="2280" spans="1:2">
      <c r="A2280"/>
      <c r="B2280"/>
    </row>
    <row r="2281" spans="1:2">
      <c r="A2281"/>
      <c r="B2281"/>
    </row>
    <row r="2282" spans="1:2">
      <c r="A2282"/>
      <c r="B2282"/>
    </row>
    <row r="2283" spans="1:2">
      <c r="A2283"/>
      <c r="B2283"/>
    </row>
    <row r="2284" spans="1:2">
      <c r="A2284"/>
      <c r="B2284"/>
    </row>
    <row r="2285" spans="1:2">
      <c r="A2285"/>
      <c r="B2285"/>
    </row>
    <row r="2286" spans="1:2">
      <c r="A2286"/>
      <c r="B2286"/>
    </row>
    <row r="2287" spans="1:2">
      <c r="A2287"/>
      <c r="B2287"/>
    </row>
    <row r="2288" spans="1:2">
      <c r="A2288"/>
      <c r="B2288"/>
    </row>
    <row r="2289" spans="1:2">
      <c r="A2289"/>
      <c r="B2289"/>
    </row>
    <row r="2290" spans="1:2">
      <c r="A2290"/>
      <c r="B2290"/>
    </row>
    <row r="2291" spans="1:2">
      <c r="A2291"/>
      <c r="B2291"/>
    </row>
    <row r="2292" spans="1:2">
      <c r="A2292"/>
      <c r="B2292"/>
    </row>
    <row r="2293" spans="1:2">
      <c r="A2293"/>
      <c r="B2293"/>
    </row>
    <row r="2294" spans="1:2">
      <c r="A2294"/>
      <c r="B2294"/>
    </row>
    <row r="2295" spans="1:2">
      <c r="A2295"/>
      <c r="B2295"/>
    </row>
    <row r="2296" spans="1:2">
      <c r="A2296"/>
      <c r="B2296"/>
    </row>
    <row r="2297" spans="1:2">
      <c r="A2297"/>
      <c r="B2297"/>
    </row>
    <row r="2298" spans="1:2">
      <c r="A2298"/>
      <c r="B2298"/>
    </row>
    <row r="2299" spans="1:2">
      <c r="A2299"/>
      <c r="B2299"/>
    </row>
    <row r="2300" spans="1:2">
      <c r="A2300"/>
      <c r="B2300"/>
    </row>
    <row r="2301" spans="1:2">
      <c r="A2301"/>
      <c r="B2301"/>
    </row>
    <row r="2302" spans="1:2">
      <c r="A2302"/>
      <c r="B2302"/>
    </row>
    <row r="2303" spans="1:2">
      <c r="A2303"/>
      <c r="B2303"/>
    </row>
    <row r="2304" spans="1:2">
      <c r="A2304"/>
      <c r="B2304"/>
    </row>
    <row r="2305" spans="1:2">
      <c r="A2305"/>
      <c r="B2305"/>
    </row>
    <row r="2306" spans="1:2">
      <c r="A2306"/>
      <c r="B2306"/>
    </row>
    <row r="2307" spans="1:2">
      <c r="A2307"/>
      <c r="B2307"/>
    </row>
    <row r="2308" spans="1:2">
      <c r="A2308"/>
      <c r="B2308"/>
    </row>
    <row r="2309" spans="1:2">
      <c r="A2309"/>
      <c r="B2309"/>
    </row>
    <row r="2310" spans="1:2">
      <c r="A2310"/>
      <c r="B2310"/>
    </row>
    <row r="2311" spans="1:2">
      <c r="A2311"/>
      <c r="B2311"/>
    </row>
    <row r="2312" spans="1:2">
      <c r="A2312"/>
      <c r="B2312"/>
    </row>
    <row r="2313" spans="1:2">
      <c r="A2313"/>
      <c r="B2313"/>
    </row>
    <row r="2314" spans="1:2">
      <c r="A2314"/>
      <c r="B2314"/>
    </row>
    <row r="2315" spans="1:2">
      <c r="A2315"/>
      <c r="B2315"/>
    </row>
    <row r="2316" spans="1:2">
      <c r="A2316"/>
      <c r="B2316"/>
    </row>
    <row r="2317" spans="1:2">
      <c r="A2317"/>
      <c r="B2317"/>
    </row>
    <row r="2318" spans="1:2">
      <c r="A2318"/>
      <c r="B2318"/>
    </row>
    <row r="2319" spans="1:2">
      <c r="A2319"/>
      <c r="B2319"/>
    </row>
    <row r="2320" spans="1:2">
      <c r="A2320"/>
      <c r="B2320"/>
    </row>
    <row r="2321" spans="1:2">
      <c r="A2321"/>
      <c r="B2321"/>
    </row>
    <row r="2322" spans="1:2">
      <c r="A2322"/>
      <c r="B2322"/>
    </row>
    <row r="2323" spans="1:2">
      <c r="A2323"/>
      <c r="B2323"/>
    </row>
    <row r="2324" spans="1:2">
      <c r="A2324"/>
      <c r="B2324"/>
    </row>
    <row r="2325" spans="1:2">
      <c r="A2325"/>
      <c r="B2325"/>
    </row>
    <row r="2326" spans="1:2">
      <c r="A2326"/>
      <c r="B2326"/>
    </row>
    <row r="2327" spans="1:2">
      <c r="A2327"/>
      <c r="B2327"/>
    </row>
    <row r="2328" spans="1:2">
      <c r="A2328"/>
      <c r="B2328"/>
    </row>
    <row r="2329" spans="1:2">
      <c r="A2329"/>
      <c r="B2329"/>
    </row>
    <row r="2330" spans="1:2">
      <c r="A2330"/>
      <c r="B2330"/>
    </row>
    <row r="2331" spans="1:2">
      <c r="A2331"/>
      <c r="B2331"/>
    </row>
    <row r="2332" spans="1:2">
      <c r="A2332"/>
      <c r="B2332"/>
    </row>
    <row r="2333" spans="1:2">
      <c r="A2333"/>
      <c r="B2333"/>
    </row>
    <row r="2334" spans="1:2">
      <c r="A2334"/>
      <c r="B2334"/>
    </row>
    <row r="2335" spans="1:2">
      <c r="A2335"/>
      <c r="B2335"/>
    </row>
    <row r="2336" spans="1:2">
      <c r="A2336"/>
      <c r="B2336"/>
    </row>
    <row r="2337" spans="1:2">
      <c r="A2337"/>
      <c r="B2337"/>
    </row>
    <row r="2338" spans="1:2">
      <c r="A2338"/>
      <c r="B2338"/>
    </row>
    <row r="2339" spans="1:2">
      <c r="A2339"/>
      <c r="B2339"/>
    </row>
    <row r="2340" spans="1:2">
      <c r="A2340"/>
      <c r="B2340"/>
    </row>
    <row r="2341" spans="1:2">
      <c r="A2341"/>
      <c r="B2341"/>
    </row>
    <row r="2342" spans="1:2">
      <c r="A2342"/>
      <c r="B2342"/>
    </row>
    <row r="2343" spans="1:2">
      <c r="A2343"/>
      <c r="B2343"/>
    </row>
    <row r="2344" spans="1:2">
      <c r="A2344"/>
      <c r="B2344"/>
    </row>
    <row r="2345" spans="1:2">
      <c r="A2345"/>
      <c r="B2345"/>
    </row>
    <row r="2346" spans="1:2">
      <c r="A2346"/>
      <c r="B2346"/>
    </row>
    <row r="2347" spans="1:2">
      <c r="A2347"/>
      <c r="B2347"/>
    </row>
    <row r="2348" spans="1:2">
      <c r="A2348"/>
      <c r="B2348"/>
    </row>
    <row r="2349" spans="1:2">
      <c r="A2349"/>
      <c r="B2349"/>
    </row>
    <row r="2350" spans="1:2">
      <c r="A2350"/>
      <c r="B2350"/>
    </row>
    <row r="2351" spans="1:2">
      <c r="A2351"/>
      <c r="B2351"/>
    </row>
    <row r="2352" spans="1:2">
      <c r="A2352"/>
      <c r="B2352"/>
    </row>
    <row r="2353" spans="1:2">
      <c r="A2353"/>
      <c r="B2353"/>
    </row>
    <row r="2354" spans="1:2">
      <c r="A2354"/>
      <c r="B2354"/>
    </row>
    <row r="2355" spans="1:2">
      <c r="A2355"/>
      <c r="B2355"/>
    </row>
    <row r="2356" spans="1:2">
      <c r="A2356"/>
      <c r="B2356"/>
    </row>
    <row r="2357" spans="1:2">
      <c r="A2357"/>
      <c r="B2357"/>
    </row>
    <row r="2358" spans="1:2">
      <c r="A2358"/>
      <c r="B2358"/>
    </row>
    <row r="2359" spans="1:2">
      <c r="A2359"/>
      <c r="B2359"/>
    </row>
    <row r="2360" spans="1:2">
      <c r="A2360"/>
      <c r="B2360"/>
    </row>
    <row r="2361" spans="1:2">
      <c r="A2361"/>
      <c r="B2361"/>
    </row>
    <row r="2362" spans="1:2">
      <c r="A2362"/>
      <c r="B2362"/>
    </row>
    <row r="2363" spans="1:2">
      <c r="A2363"/>
      <c r="B2363"/>
    </row>
    <row r="2364" spans="1:2">
      <c r="A2364"/>
      <c r="B2364"/>
    </row>
    <row r="2365" spans="1:2">
      <c r="A2365"/>
      <c r="B2365"/>
    </row>
    <row r="2366" spans="1:2">
      <c r="A2366"/>
      <c r="B2366"/>
    </row>
    <row r="2367" spans="1:2">
      <c r="A2367"/>
      <c r="B2367"/>
    </row>
    <row r="2368" spans="1:2">
      <c r="A2368"/>
      <c r="B2368"/>
    </row>
    <row r="2369" spans="1:2">
      <c r="A2369"/>
      <c r="B2369"/>
    </row>
    <row r="2370" spans="1:2">
      <c r="A2370"/>
      <c r="B2370"/>
    </row>
    <row r="2371" spans="1:2">
      <c r="A2371"/>
      <c r="B2371"/>
    </row>
    <row r="2372" spans="1:2">
      <c r="A2372"/>
      <c r="B2372"/>
    </row>
    <row r="2373" spans="1:2">
      <c r="A2373"/>
      <c r="B2373"/>
    </row>
    <row r="2374" spans="1:2">
      <c r="A2374"/>
      <c r="B2374"/>
    </row>
    <row r="2375" spans="1:2">
      <c r="A2375"/>
      <c r="B2375"/>
    </row>
    <row r="2376" spans="1:2">
      <c r="A2376"/>
      <c r="B2376"/>
    </row>
    <row r="2377" spans="1:2">
      <c r="A2377"/>
      <c r="B2377"/>
    </row>
    <row r="2378" spans="1:2">
      <c r="A2378"/>
      <c r="B2378"/>
    </row>
    <row r="2379" spans="1:2">
      <c r="A2379"/>
      <c r="B2379"/>
    </row>
    <row r="2380" spans="1:2">
      <c r="A2380"/>
      <c r="B2380"/>
    </row>
    <row r="2381" spans="1:2">
      <c r="A2381"/>
      <c r="B2381"/>
    </row>
    <row r="2382" spans="1:2">
      <c r="A2382"/>
      <c r="B2382"/>
    </row>
    <row r="2383" spans="1:2">
      <c r="A2383"/>
      <c r="B2383"/>
    </row>
    <row r="2384" spans="1:2">
      <c r="A2384"/>
      <c r="B2384"/>
    </row>
    <row r="2385" spans="1:2">
      <c r="A2385"/>
      <c r="B2385"/>
    </row>
    <row r="2386" spans="1:2">
      <c r="A2386"/>
      <c r="B2386"/>
    </row>
    <row r="2387" spans="1:2">
      <c r="A2387"/>
      <c r="B2387"/>
    </row>
    <row r="2388" spans="1:2">
      <c r="A2388"/>
      <c r="B2388"/>
    </row>
    <row r="2389" spans="1:2">
      <c r="A2389"/>
      <c r="B2389"/>
    </row>
    <row r="2390" spans="1:2">
      <c r="A2390"/>
      <c r="B2390"/>
    </row>
    <row r="2391" spans="1:2">
      <c r="A2391"/>
      <c r="B2391"/>
    </row>
    <row r="2392" spans="1:2">
      <c r="A2392"/>
      <c r="B2392"/>
    </row>
    <row r="2393" spans="1:2">
      <c r="A2393"/>
      <c r="B2393"/>
    </row>
    <row r="2394" spans="1:2">
      <c r="A2394"/>
      <c r="B2394"/>
    </row>
    <row r="2395" spans="1:2">
      <c r="A2395"/>
      <c r="B2395"/>
    </row>
    <row r="2396" spans="1:2">
      <c r="A2396"/>
      <c r="B2396"/>
    </row>
    <row r="2397" spans="1:2">
      <c r="A2397"/>
      <c r="B2397"/>
    </row>
    <row r="2398" spans="1:2">
      <c r="A2398"/>
      <c r="B2398"/>
    </row>
    <row r="2399" spans="1:2">
      <c r="A2399"/>
      <c r="B2399"/>
    </row>
    <row r="2400" spans="1:2">
      <c r="A2400"/>
      <c r="B2400"/>
    </row>
    <row r="2401" spans="1:2">
      <c r="A2401"/>
      <c r="B2401"/>
    </row>
    <row r="2402" spans="1:2">
      <c r="A2402"/>
      <c r="B2402"/>
    </row>
    <row r="2403" spans="1:2">
      <c r="A2403"/>
      <c r="B2403"/>
    </row>
    <row r="2404" spans="1:2">
      <c r="A2404"/>
      <c r="B2404"/>
    </row>
    <row r="2405" spans="1:2">
      <c r="A2405"/>
      <c r="B2405"/>
    </row>
    <row r="2406" spans="1:2">
      <c r="A2406"/>
      <c r="B2406"/>
    </row>
    <row r="2407" spans="1:2">
      <c r="A2407"/>
      <c r="B2407"/>
    </row>
    <row r="2408" spans="1:2">
      <c r="A2408"/>
      <c r="B2408"/>
    </row>
    <row r="2409" spans="1:2">
      <c r="A2409"/>
      <c r="B2409"/>
    </row>
    <row r="2410" spans="1:2">
      <c r="A2410"/>
      <c r="B2410"/>
    </row>
    <row r="2411" spans="1:2">
      <c r="A2411"/>
      <c r="B2411"/>
    </row>
    <row r="2412" spans="1:2">
      <c r="A2412"/>
      <c r="B2412"/>
    </row>
    <row r="2413" spans="1:2">
      <c r="A2413"/>
      <c r="B2413"/>
    </row>
    <row r="2414" spans="1:2">
      <c r="A2414"/>
      <c r="B2414"/>
    </row>
    <row r="2415" spans="1:2">
      <c r="A2415"/>
      <c r="B2415"/>
    </row>
    <row r="2416" spans="1:2">
      <c r="A2416"/>
      <c r="B2416"/>
    </row>
    <row r="2417" spans="1:2">
      <c r="A2417"/>
      <c r="B2417"/>
    </row>
    <row r="2418" spans="1:2">
      <c r="A2418"/>
      <c r="B2418"/>
    </row>
    <row r="2419" spans="1:2">
      <c r="A2419"/>
      <c r="B2419"/>
    </row>
    <row r="2420" spans="1:2">
      <c r="A2420"/>
      <c r="B2420"/>
    </row>
    <row r="2421" spans="1:2">
      <c r="A2421"/>
      <c r="B2421"/>
    </row>
    <row r="2422" spans="1:2">
      <c r="A2422"/>
      <c r="B2422"/>
    </row>
    <row r="2423" spans="1:2">
      <c r="A2423"/>
      <c r="B2423"/>
    </row>
    <row r="2424" spans="1:2">
      <c r="A2424"/>
      <c r="B2424"/>
    </row>
    <row r="2425" spans="1:2">
      <c r="A2425"/>
      <c r="B2425"/>
    </row>
    <row r="2426" spans="1:2">
      <c r="A2426"/>
      <c r="B2426"/>
    </row>
    <row r="2427" spans="1:2">
      <c r="A2427"/>
      <c r="B2427"/>
    </row>
    <row r="2428" spans="1:2">
      <c r="A2428"/>
      <c r="B2428"/>
    </row>
    <row r="2429" spans="1:2">
      <c r="A2429"/>
      <c r="B2429"/>
    </row>
    <row r="2430" spans="1:2">
      <c r="A2430"/>
      <c r="B2430"/>
    </row>
    <row r="2431" spans="1:2">
      <c r="A2431"/>
      <c r="B2431"/>
    </row>
    <row r="2432" spans="1:2">
      <c r="A2432"/>
      <c r="B2432"/>
    </row>
    <row r="2433" spans="1:2">
      <c r="A2433"/>
      <c r="B2433"/>
    </row>
    <row r="2434" spans="1:2">
      <c r="A2434"/>
      <c r="B2434"/>
    </row>
    <row r="2435" spans="1:2">
      <c r="A2435"/>
      <c r="B2435"/>
    </row>
    <row r="2436" spans="1:2">
      <c r="A2436"/>
      <c r="B2436"/>
    </row>
    <row r="2437" spans="1:2">
      <c r="A2437"/>
      <c r="B2437"/>
    </row>
    <row r="2438" spans="1:2">
      <c r="A2438"/>
      <c r="B2438"/>
    </row>
    <row r="2439" spans="1:2">
      <c r="A2439"/>
      <c r="B2439"/>
    </row>
    <row r="2440" spans="1:2">
      <c r="A2440"/>
      <c r="B2440"/>
    </row>
    <row r="2441" spans="1:2">
      <c r="A2441"/>
      <c r="B2441"/>
    </row>
    <row r="2442" spans="1:2">
      <c r="A2442"/>
      <c r="B2442"/>
    </row>
    <row r="2443" spans="1:2">
      <c r="A2443"/>
      <c r="B2443"/>
    </row>
    <row r="2444" spans="1:2">
      <c r="A2444"/>
      <c r="B2444"/>
    </row>
    <row r="2445" spans="1:2">
      <c r="A2445"/>
      <c r="B2445"/>
    </row>
    <row r="2446" spans="1:2">
      <c r="A2446"/>
      <c r="B2446"/>
    </row>
    <row r="2447" spans="1:2">
      <c r="A2447"/>
      <c r="B2447"/>
    </row>
    <row r="2448" spans="1:2">
      <c r="A2448"/>
      <c r="B2448"/>
    </row>
    <row r="2449" spans="1:2">
      <c r="A2449"/>
      <c r="B2449"/>
    </row>
    <row r="2450" spans="1:2">
      <c r="A2450"/>
      <c r="B2450"/>
    </row>
    <row r="2451" spans="1:2">
      <c r="A2451"/>
      <c r="B2451"/>
    </row>
    <row r="2452" spans="1:2">
      <c r="A2452"/>
      <c r="B2452"/>
    </row>
    <row r="2453" spans="1:2">
      <c r="A2453"/>
      <c r="B2453"/>
    </row>
    <row r="2454" spans="1:2">
      <c r="A2454"/>
      <c r="B2454"/>
    </row>
    <row r="2455" spans="1:2">
      <c r="A2455"/>
      <c r="B2455"/>
    </row>
    <row r="2456" spans="1:2">
      <c r="A2456"/>
      <c r="B2456"/>
    </row>
    <row r="2457" spans="1:2">
      <c r="A2457"/>
      <c r="B2457"/>
    </row>
    <row r="2458" spans="1:2">
      <c r="A2458"/>
      <c r="B2458"/>
    </row>
    <row r="2459" spans="1:2">
      <c r="A2459"/>
      <c r="B2459"/>
    </row>
    <row r="2460" spans="1:2">
      <c r="A2460"/>
      <c r="B2460"/>
    </row>
    <row r="2461" spans="1:2">
      <c r="A2461"/>
      <c r="B2461"/>
    </row>
    <row r="2462" spans="1:2">
      <c r="A2462"/>
      <c r="B2462"/>
    </row>
    <row r="2463" spans="1:2">
      <c r="A2463"/>
      <c r="B2463"/>
    </row>
    <row r="2464" spans="1:2">
      <c r="A2464"/>
      <c r="B2464"/>
    </row>
    <row r="2465" spans="1:2">
      <c r="A2465"/>
      <c r="B2465"/>
    </row>
    <row r="2466" spans="1:2">
      <c r="A2466"/>
      <c r="B2466"/>
    </row>
    <row r="2467" spans="1:2">
      <c r="A2467"/>
      <c r="B2467"/>
    </row>
    <row r="2468" spans="1:2">
      <c r="A2468"/>
      <c r="B2468"/>
    </row>
    <row r="2469" spans="1:2">
      <c r="A2469"/>
      <c r="B2469"/>
    </row>
    <row r="2470" spans="1:2">
      <c r="A2470"/>
      <c r="B2470"/>
    </row>
    <row r="2471" spans="1:2">
      <c r="A2471"/>
      <c r="B2471"/>
    </row>
    <row r="2472" spans="1:2">
      <c r="A2472"/>
      <c r="B2472"/>
    </row>
    <row r="2473" spans="1:2">
      <c r="A2473"/>
      <c r="B2473"/>
    </row>
    <row r="2474" spans="1:2">
      <c r="A2474"/>
      <c r="B2474"/>
    </row>
    <row r="2475" spans="1:2">
      <c r="A2475"/>
      <c r="B2475"/>
    </row>
    <row r="2476" spans="1:2">
      <c r="A2476"/>
      <c r="B2476"/>
    </row>
    <row r="2477" spans="1:2">
      <c r="A2477"/>
      <c r="B2477"/>
    </row>
    <row r="2478" spans="1:2">
      <c r="A2478"/>
      <c r="B2478"/>
    </row>
    <row r="2479" spans="1:2">
      <c r="A2479"/>
      <c r="B2479"/>
    </row>
    <row r="2480" spans="1:2">
      <c r="A2480"/>
      <c r="B2480"/>
    </row>
    <row r="2481" spans="1:2">
      <c r="A2481"/>
      <c r="B2481"/>
    </row>
    <row r="2482" spans="1:2">
      <c r="A2482"/>
      <c r="B2482"/>
    </row>
    <row r="2483" spans="1:2">
      <c r="A2483"/>
      <c r="B2483"/>
    </row>
    <row r="2484" spans="1:2">
      <c r="A2484"/>
      <c r="B2484"/>
    </row>
    <row r="2485" spans="1:2">
      <c r="A2485"/>
      <c r="B2485"/>
    </row>
    <row r="2486" spans="1:2">
      <c r="A2486"/>
      <c r="B2486"/>
    </row>
    <row r="2487" spans="1:2">
      <c r="A2487"/>
      <c r="B2487"/>
    </row>
    <row r="2488" spans="1:2">
      <c r="A2488"/>
      <c r="B2488"/>
    </row>
    <row r="2489" spans="1:2">
      <c r="A2489"/>
      <c r="B2489"/>
    </row>
    <row r="2490" spans="1:2">
      <c r="A2490"/>
      <c r="B2490"/>
    </row>
    <row r="2491" spans="1:2">
      <c r="A2491"/>
      <c r="B2491"/>
    </row>
    <row r="2492" spans="1:2">
      <c r="A2492"/>
      <c r="B2492"/>
    </row>
    <row r="2493" spans="1:2">
      <c r="A2493"/>
      <c r="B2493"/>
    </row>
    <row r="2494" spans="1:2">
      <c r="A2494"/>
      <c r="B2494"/>
    </row>
    <row r="2495" spans="1:2">
      <c r="A2495"/>
      <c r="B2495"/>
    </row>
    <row r="2496" spans="1:2">
      <c r="A2496"/>
      <c r="B2496"/>
    </row>
    <row r="2497" spans="1:2">
      <c r="A2497"/>
      <c r="B2497"/>
    </row>
    <row r="2498" spans="1:2">
      <c r="A2498"/>
      <c r="B2498"/>
    </row>
    <row r="2499" spans="1:2">
      <c r="A2499"/>
      <c r="B2499"/>
    </row>
    <row r="2500" spans="1:2">
      <c r="A2500"/>
      <c r="B2500"/>
    </row>
    <row r="2501" spans="1:2">
      <c r="A2501"/>
      <c r="B2501"/>
    </row>
    <row r="2502" spans="1:2">
      <c r="A2502"/>
      <c r="B2502"/>
    </row>
    <row r="2503" spans="1:2">
      <c r="A2503"/>
      <c r="B2503"/>
    </row>
    <row r="2504" spans="1:2">
      <c r="A2504"/>
      <c r="B2504"/>
    </row>
    <row r="2505" spans="1:2">
      <c r="A2505"/>
      <c r="B2505"/>
    </row>
    <row r="2506" spans="1:2">
      <c r="A2506"/>
      <c r="B2506"/>
    </row>
    <row r="2507" spans="1:2">
      <c r="A2507"/>
      <c r="B2507"/>
    </row>
    <row r="2508" spans="1:2">
      <c r="A2508"/>
      <c r="B2508"/>
    </row>
    <row r="2509" spans="1:2">
      <c r="A2509"/>
      <c r="B2509"/>
    </row>
    <row r="2510" spans="1:2">
      <c r="A2510"/>
      <c r="B2510"/>
    </row>
    <row r="2511" spans="1:2">
      <c r="A2511"/>
      <c r="B2511"/>
    </row>
    <row r="2512" spans="1:2">
      <c r="A2512"/>
      <c r="B2512"/>
    </row>
    <row r="2513" spans="1:2">
      <c r="A2513"/>
      <c r="B2513"/>
    </row>
    <row r="2514" spans="1:2">
      <c r="A2514"/>
      <c r="B2514"/>
    </row>
    <row r="2515" spans="1:2">
      <c r="A2515"/>
      <c r="B2515"/>
    </row>
    <row r="2516" spans="1:2">
      <c r="A2516"/>
      <c r="B2516"/>
    </row>
    <row r="2517" spans="1:2">
      <c r="A2517"/>
      <c r="B2517"/>
    </row>
    <row r="2518" spans="1:2">
      <c r="A2518"/>
      <c r="B2518"/>
    </row>
    <row r="2519" spans="1:2">
      <c r="A2519"/>
      <c r="B2519"/>
    </row>
    <row r="2520" spans="1:2">
      <c r="A2520"/>
      <c r="B2520"/>
    </row>
    <row r="2521" spans="1:2">
      <c r="A2521"/>
      <c r="B2521"/>
    </row>
    <row r="2522" spans="1:2">
      <c r="A2522"/>
      <c r="B2522"/>
    </row>
    <row r="2523" spans="1:2">
      <c r="A2523"/>
      <c r="B2523"/>
    </row>
    <row r="2524" spans="1:2">
      <c r="A2524"/>
      <c r="B2524"/>
    </row>
    <row r="2525" spans="1:2">
      <c r="A2525"/>
      <c r="B2525"/>
    </row>
    <row r="2526" spans="1:2">
      <c r="A2526"/>
      <c r="B2526"/>
    </row>
    <row r="2527" spans="1:2">
      <c r="A2527"/>
      <c r="B2527"/>
    </row>
    <row r="2528" spans="1:2">
      <c r="A2528"/>
      <c r="B2528"/>
    </row>
    <row r="2529" spans="1:2">
      <c r="A2529"/>
      <c r="B2529"/>
    </row>
    <row r="2530" spans="1:2">
      <c r="A2530"/>
      <c r="B2530"/>
    </row>
    <row r="2531" spans="1:2">
      <c r="A2531"/>
      <c r="B2531"/>
    </row>
    <row r="2532" spans="1:2">
      <c r="A2532"/>
      <c r="B2532"/>
    </row>
    <row r="2533" spans="1:2">
      <c r="A2533"/>
      <c r="B2533"/>
    </row>
    <row r="2534" spans="1:2">
      <c r="A2534"/>
      <c r="B2534"/>
    </row>
    <row r="2535" spans="1:2">
      <c r="A2535"/>
      <c r="B2535"/>
    </row>
    <row r="2536" spans="1:2">
      <c r="A2536"/>
      <c r="B2536"/>
    </row>
    <row r="2537" spans="1:2">
      <c r="A2537"/>
      <c r="B2537"/>
    </row>
    <row r="2538" spans="1:2">
      <c r="A2538"/>
      <c r="B2538"/>
    </row>
    <row r="2539" spans="1:2">
      <c r="A2539"/>
      <c r="B2539"/>
    </row>
    <row r="2540" spans="1:2">
      <c r="A2540"/>
      <c r="B2540"/>
    </row>
    <row r="2541" spans="1:2">
      <c r="A2541"/>
      <c r="B2541"/>
    </row>
    <row r="2542" spans="1:2">
      <c r="A2542"/>
      <c r="B2542"/>
    </row>
    <row r="2543" spans="1:2">
      <c r="A2543"/>
      <c r="B2543"/>
    </row>
    <row r="2544" spans="1:2">
      <c r="A2544"/>
      <c r="B2544"/>
    </row>
    <row r="2545" spans="1:2">
      <c r="A2545"/>
      <c r="B2545"/>
    </row>
    <row r="2546" spans="1:2">
      <c r="A2546"/>
      <c r="B2546"/>
    </row>
    <row r="2547" spans="1:2">
      <c r="A2547"/>
      <c r="B2547"/>
    </row>
    <row r="2548" spans="1:2">
      <c r="A2548"/>
      <c r="B2548"/>
    </row>
    <row r="2549" spans="1:2">
      <c r="A2549"/>
      <c r="B2549"/>
    </row>
    <row r="2550" spans="1:2">
      <c r="A2550"/>
      <c r="B2550"/>
    </row>
    <row r="2551" spans="1:2">
      <c r="A2551"/>
      <c r="B2551"/>
    </row>
    <row r="2552" spans="1:2">
      <c r="A2552"/>
      <c r="B2552"/>
    </row>
    <row r="2553" spans="1:2">
      <c r="A2553"/>
      <c r="B2553"/>
    </row>
    <row r="2554" spans="1:2">
      <c r="A2554"/>
      <c r="B2554"/>
    </row>
    <row r="2555" spans="1:2">
      <c r="A2555"/>
      <c r="B2555"/>
    </row>
    <row r="2556" spans="1:2">
      <c r="A2556"/>
      <c r="B2556"/>
    </row>
    <row r="2557" spans="1:2">
      <c r="A2557"/>
      <c r="B2557"/>
    </row>
    <row r="2558" spans="1:2">
      <c r="A2558"/>
      <c r="B2558"/>
    </row>
    <row r="2559" spans="1:2">
      <c r="A2559"/>
      <c r="B2559"/>
    </row>
    <row r="2560" spans="1:2">
      <c r="A2560"/>
      <c r="B2560"/>
    </row>
    <row r="2561" spans="1:2">
      <c r="A2561"/>
      <c r="B2561"/>
    </row>
    <row r="2562" spans="1:2">
      <c r="A2562"/>
      <c r="B2562"/>
    </row>
    <row r="2563" spans="1:2">
      <c r="A2563"/>
      <c r="B2563"/>
    </row>
    <row r="2564" spans="1:2">
      <c r="A2564"/>
      <c r="B2564"/>
    </row>
    <row r="2565" spans="1:2">
      <c r="A2565"/>
      <c r="B2565"/>
    </row>
    <row r="2566" spans="1:2">
      <c r="A2566"/>
      <c r="B2566"/>
    </row>
    <row r="2567" spans="1:2">
      <c r="A2567"/>
      <c r="B2567"/>
    </row>
    <row r="2568" spans="1:2">
      <c r="A2568"/>
      <c r="B2568"/>
    </row>
    <row r="2569" spans="1:2">
      <c r="A2569"/>
      <c r="B2569"/>
    </row>
    <row r="2570" spans="1:2">
      <c r="A2570"/>
      <c r="B2570"/>
    </row>
    <row r="2571" spans="1:2">
      <c r="A2571"/>
      <c r="B2571"/>
    </row>
    <row r="2572" spans="1:2">
      <c r="A2572"/>
      <c r="B2572"/>
    </row>
    <row r="2573" spans="1:2">
      <c r="A2573"/>
      <c r="B2573"/>
    </row>
    <row r="2574" spans="1:2">
      <c r="A2574"/>
      <c r="B2574"/>
    </row>
    <row r="2575" spans="1:2">
      <c r="A2575"/>
      <c r="B2575"/>
    </row>
    <row r="2576" spans="1:2">
      <c r="A2576"/>
      <c r="B2576"/>
    </row>
    <row r="2577" spans="1:2">
      <c r="A2577"/>
      <c r="B2577"/>
    </row>
    <row r="2578" spans="1:2">
      <c r="A2578"/>
      <c r="B2578"/>
    </row>
    <row r="2579" spans="1:2">
      <c r="A2579"/>
      <c r="B2579"/>
    </row>
    <row r="2580" spans="1:2">
      <c r="A2580"/>
      <c r="B2580"/>
    </row>
    <row r="2581" spans="1:2">
      <c r="A2581"/>
      <c r="B2581"/>
    </row>
    <row r="2582" spans="1:2">
      <c r="A2582"/>
      <c r="B2582"/>
    </row>
    <row r="2583" spans="1:2">
      <c r="A2583"/>
      <c r="B2583"/>
    </row>
    <row r="2584" spans="1:2">
      <c r="A2584"/>
      <c r="B2584"/>
    </row>
    <row r="2585" spans="1:2">
      <c r="A2585"/>
      <c r="B2585"/>
    </row>
    <row r="2586" spans="1:2">
      <c r="A2586"/>
      <c r="B2586"/>
    </row>
    <row r="2587" spans="1:2">
      <c r="A2587"/>
      <c r="B2587"/>
    </row>
    <row r="2588" spans="1:2">
      <c r="A2588"/>
      <c r="B2588"/>
    </row>
    <row r="2589" spans="1:2">
      <c r="A2589"/>
      <c r="B2589"/>
    </row>
    <row r="2590" spans="1:2">
      <c r="A2590"/>
      <c r="B2590"/>
    </row>
    <row r="2591" spans="1:2">
      <c r="A2591"/>
      <c r="B2591"/>
    </row>
    <row r="2592" spans="1:2">
      <c r="A2592"/>
      <c r="B2592"/>
    </row>
    <row r="2593" spans="1:2">
      <c r="A2593"/>
      <c r="B2593"/>
    </row>
    <row r="2594" spans="1:2">
      <c r="A2594"/>
      <c r="B2594"/>
    </row>
    <row r="2595" spans="1:2">
      <c r="A2595"/>
      <c r="B2595"/>
    </row>
    <row r="2596" spans="1:2">
      <c r="A2596"/>
      <c r="B2596"/>
    </row>
    <row r="2597" spans="1:2">
      <c r="A2597"/>
      <c r="B2597"/>
    </row>
    <row r="2598" spans="1:2">
      <c r="A2598"/>
      <c r="B2598"/>
    </row>
    <row r="2599" spans="1:2">
      <c r="A2599"/>
      <c r="B2599"/>
    </row>
    <row r="2600" spans="1:2">
      <c r="A2600"/>
      <c r="B2600"/>
    </row>
    <row r="2601" spans="1:2">
      <c r="A2601"/>
      <c r="B2601"/>
    </row>
    <row r="2602" spans="1:2">
      <c r="A2602"/>
      <c r="B2602"/>
    </row>
    <row r="2603" spans="1:2">
      <c r="A2603"/>
      <c r="B2603"/>
    </row>
    <row r="2604" spans="1:2">
      <c r="A2604"/>
      <c r="B2604"/>
    </row>
    <row r="2605" spans="1:2">
      <c r="A2605"/>
      <c r="B2605"/>
    </row>
    <row r="2606" spans="1:2">
      <c r="A2606"/>
      <c r="B2606"/>
    </row>
    <row r="2607" spans="1:2">
      <c r="A2607"/>
      <c r="B2607"/>
    </row>
    <row r="2608" spans="1:2">
      <c r="A2608"/>
      <c r="B2608"/>
    </row>
    <row r="2609" spans="1:2">
      <c r="A2609"/>
      <c r="B2609"/>
    </row>
    <row r="2610" spans="1:2">
      <c r="A2610"/>
      <c r="B2610"/>
    </row>
    <row r="2611" spans="1:2">
      <c r="A2611"/>
      <c r="B2611"/>
    </row>
    <row r="2612" spans="1:2">
      <c r="A2612"/>
      <c r="B2612"/>
    </row>
    <row r="2613" spans="1:2">
      <c r="A2613"/>
      <c r="B2613"/>
    </row>
    <row r="2614" spans="1:2">
      <c r="A2614"/>
      <c r="B2614"/>
    </row>
    <row r="2615" spans="1:2">
      <c r="A2615"/>
      <c r="B2615"/>
    </row>
    <row r="2616" spans="1:2">
      <c r="A2616"/>
      <c r="B2616"/>
    </row>
    <row r="2617" spans="1:2">
      <c r="A2617"/>
      <c r="B2617"/>
    </row>
    <row r="2618" spans="1:2">
      <c r="A2618"/>
      <c r="B2618"/>
    </row>
    <row r="2619" spans="1:2">
      <c r="A2619"/>
      <c r="B2619"/>
    </row>
    <row r="2620" spans="1:2">
      <c r="A2620"/>
      <c r="B2620"/>
    </row>
    <row r="2621" spans="1:2">
      <c r="A2621"/>
      <c r="B2621"/>
    </row>
    <row r="2622" spans="1:2">
      <c r="A2622"/>
      <c r="B2622"/>
    </row>
    <row r="2623" spans="1:2">
      <c r="A2623"/>
      <c r="B2623"/>
    </row>
    <row r="2624" spans="1:2">
      <c r="A2624"/>
      <c r="B2624"/>
    </row>
    <row r="2625" spans="1:2">
      <c r="A2625"/>
      <c r="B2625"/>
    </row>
    <row r="2626" spans="1:2">
      <c r="A2626"/>
      <c r="B2626"/>
    </row>
    <row r="2627" spans="1:2">
      <c r="A2627"/>
      <c r="B2627"/>
    </row>
    <row r="2628" spans="1:2">
      <c r="A2628"/>
      <c r="B2628"/>
    </row>
    <row r="2629" spans="1:2">
      <c r="A2629"/>
      <c r="B2629"/>
    </row>
    <row r="2630" spans="1:2">
      <c r="A2630"/>
      <c r="B2630"/>
    </row>
    <row r="2631" spans="1:2">
      <c r="A2631"/>
      <c r="B2631"/>
    </row>
    <row r="2632" spans="1:2">
      <c r="A2632"/>
      <c r="B2632"/>
    </row>
    <row r="2633" spans="1:2">
      <c r="A2633"/>
      <c r="B2633"/>
    </row>
    <row r="2634" spans="1:2">
      <c r="A2634"/>
      <c r="B2634"/>
    </row>
    <row r="2635" spans="1:2">
      <c r="A2635"/>
      <c r="B2635"/>
    </row>
    <row r="2636" spans="1:2">
      <c r="A2636"/>
      <c r="B2636"/>
    </row>
    <row r="2637" spans="1:2">
      <c r="A2637"/>
      <c r="B2637"/>
    </row>
    <row r="2638" spans="1:2">
      <c r="A2638"/>
      <c r="B2638"/>
    </row>
    <row r="2639" spans="1:2">
      <c r="A2639"/>
      <c r="B2639"/>
    </row>
    <row r="2640" spans="1:2">
      <c r="A2640"/>
      <c r="B2640"/>
    </row>
    <row r="2641" spans="1:2">
      <c r="A2641"/>
      <c r="B2641"/>
    </row>
    <row r="2642" spans="1:2">
      <c r="A2642"/>
      <c r="B2642"/>
    </row>
    <row r="2643" spans="1:2">
      <c r="A2643"/>
      <c r="B2643"/>
    </row>
    <row r="2644" spans="1:2">
      <c r="A2644"/>
      <c r="B2644"/>
    </row>
    <row r="2645" spans="1:2">
      <c r="A2645"/>
      <c r="B2645"/>
    </row>
    <row r="2646" spans="1:2">
      <c r="A2646"/>
      <c r="B2646"/>
    </row>
    <row r="2647" spans="1:2">
      <c r="A2647"/>
      <c r="B2647"/>
    </row>
    <row r="2648" spans="1:2">
      <c r="A2648"/>
      <c r="B2648"/>
    </row>
    <row r="2649" spans="1:2">
      <c r="A2649"/>
      <c r="B2649"/>
    </row>
    <row r="2650" spans="1:2">
      <c r="A2650"/>
      <c r="B2650"/>
    </row>
    <row r="2651" spans="1:2">
      <c r="A2651"/>
      <c r="B2651"/>
    </row>
    <row r="2652" spans="1:2">
      <c r="A2652"/>
      <c r="B2652"/>
    </row>
    <row r="2653" spans="1:2">
      <c r="A2653"/>
      <c r="B2653"/>
    </row>
    <row r="2654" spans="1:2">
      <c r="A2654"/>
      <c r="B2654"/>
    </row>
    <row r="2655" spans="1:2">
      <c r="A2655"/>
      <c r="B2655"/>
    </row>
    <row r="2656" spans="1:2">
      <c r="A2656"/>
      <c r="B2656"/>
    </row>
    <row r="2657" spans="1:2">
      <c r="A2657"/>
      <c r="B2657"/>
    </row>
    <row r="2658" spans="1:2">
      <c r="A2658"/>
      <c r="B2658"/>
    </row>
    <row r="2659" spans="1:2">
      <c r="A2659"/>
      <c r="B2659"/>
    </row>
    <row r="2660" spans="1:2">
      <c r="A2660"/>
      <c r="B2660"/>
    </row>
    <row r="2661" spans="1:2">
      <c r="A2661"/>
      <c r="B2661"/>
    </row>
    <row r="2662" spans="1:2">
      <c r="A2662"/>
      <c r="B2662"/>
    </row>
    <row r="2663" spans="1:2">
      <c r="A2663"/>
      <c r="B2663"/>
    </row>
    <row r="2664" spans="1:2">
      <c r="A2664"/>
      <c r="B2664"/>
    </row>
    <row r="2665" spans="1:2">
      <c r="A2665"/>
      <c r="B2665"/>
    </row>
    <row r="2666" spans="1:2">
      <c r="A2666"/>
      <c r="B2666"/>
    </row>
    <row r="2667" spans="1:2">
      <c r="A2667"/>
      <c r="B2667"/>
    </row>
    <row r="2668" spans="1:2">
      <c r="A2668"/>
      <c r="B2668"/>
    </row>
    <row r="2669" spans="1:2">
      <c r="A2669"/>
      <c r="B2669"/>
    </row>
    <row r="2670" spans="1:2">
      <c r="A2670"/>
      <c r="B2670"/>
    </row>
    <row r="2671" spans="1:2">
      <c r="A2671"/>
      <c r="B2671"/>
    </row>
    <row r="2672" spans="1:2">
      <c r="A2672"/>
      <c r="B2672"/>
    </row>
    <row r="2673" spans="1:2">
      <c r="A2673"/>
      <c r="B2673"/>
    </row>
    <row r="2674" spans="1:2">
      <c r="A2674"/>
      <c r="B2674"/>
    </row>
    <row r="2675" spans="1:2">
      <c r="A2675"/>
      <c r="B2675"/>
    </row>
    <row r="2676" spans="1:2">
      <c r="A2676"/>
      <c r="B2676"/>
    </row>
    <row r="2677" spans="1:2">
      <c r="A2677"/>
      <c r="B2677"/>
    </row>
    <row r="2678" spans="1:2">
      <c r="A2678"/>
      <c r="B2678"/>
    </row>
    <row r="2679" spans="1:2">
      <c r="A2679"/>
      <c r="B2679"/>
    </row>
    <row r="2680" spans="1:2">
      <c r="A2680"/>
      <c r="B2680"/>
    </row>
    <row r="2681" spans="1:2">
      <c r="A2681"/>
      <c r="B2681"/>
    </row>
    <row r="2682" spans="1:2">
      <c r="A2682"/>
      <c r="B2682"/>
    </row>
    <row r="2683" spans="1:2">
      <c r="A2683"/>
      <c r="B2683"/>
    </row>
    <row r="2684" spans="1:2">
      <c r="A2684"/>
      <c r="B2684"/>
    </row>
    <row r="2685" spans="1:2">
      <c r="A2685"/>
      <c r="B2685"/>
    </row>
    <row r="2686" spans="1:2">
      <c r="A2686"/>
      <c r="B2686"/>
    </row>
    <row r="2687" spans="1:2">
      <c r="A2687"/>
      <c r="B2687"/>
    </row>
    <row r="2688" spans="1:2">
      <c r="A2688"/>
      <c r="B2688"/>
    </row>
    <row r="2689" spans="1:2">
      <c r="A2689"/>
      <c r="B2689"/>
    </row>
    <row r="2690" spans="1:2">
      <c r="A2690"/>
      <c r="B2690"/>
    </row>
    <row r="2691" spans="1:2">
      <c r="A2691"/>
      <c r="B269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3A27A1B41A8C40BB4C1D7F86B2FC9B" ma:contentTypeVersion="14" ma:contentTypeDescription="Crear nuevo documento." ma:contentTypeScope="" ma:versionID="eeccc5fa491760c97adf65336130a2d7">
  <xsd:schema xmlns:xsd="http://www.w3.org/2001/XMLSchema" xmlns:xs="http://www.w3.org/2001/XMLSchema" xmlns:p="http://schemas.microsoft.com/office/2006/metadata/properties" xmlns:ns2="dffeeb89-2336-47d2-920f-ea078a8e5c93" xmlns:ns3="8ec2144a-c81d-4a2e-bafd-95d77f688e25" xmlns:ns4="ea075209-df58-4b43-ba67-a99425f08c92" targetNamespace="http://schemas.microsoft.com/office/2006/metadata/properties" ma:root="true" ma:fieldsID="dcefd184614a75e64a696d94479a0ef7" ns2:_="" ns3:_="" ns4:_="">
    <xsd:import namespace="dffeeb89-2336-47d2-920f-ea078a8e5c93"/>
    <xsd:import namespace="8ec2144a-c81d-4a2e-bafd-95d77f688e25"/>
    <xsd:import namespace="ea075209-df58-4b43-ba67-a99425f08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eeb89-2336-47d2-920f-ea078a8e5c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5077ae-66a9-47e8-a03f-4f57bf9ff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2144a-c81d-4a2e-bafd-95d77f688e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75209-df58-4b43-ba67-a99425f08c9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8983d2d-80e0-4496-805e-26e57028307b}" ma:internalName="TaxCatchAll" ma:showField="CatchAllData" ma:web="ea075209-df58-4b43-ba67-a99425f08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feeb89-2336-47d2-920f-ea078a8e5c93">
      <Terms xmlns="http://schemas.microsoft.com/office/infopath/2007/PartnerControls"/>
    </lcf76f155ced4ddcb4097134ff3c332f>
    <TaxCatchAll xmlns="ea075209-df58-4b43-ba67-a99425f08c92" xsi:nil="true"/>
  </documentManagement>
</p:properties>
</file>

<file path=customXml/itemProps1.xml><?xml version="1.0" encoding="utf-8"?>
<ds:datastoreItem xmlns:ds="http://schemas.openxmlformats.org/officeDocument/2006/customXml" ds:itemID="{9F7F068C-E688-4E89-8E28-1508EB84347E}"/>
</file>

<file path=customXml/itemProps2.xml><?xml version="1.0" encoding="utf-8"?>
<ds:datastoreItem xmlns:ds="http://schemas.openxmlformats.org/officeDocument/2006/customXml" ds:itemID="{2AF750EB-7478-4F6D-B408-EA093C12D0AA}"/>
</file>

<file path=customXml/itemProps3.xml><?xml version="1.0" encoding="utf-8"?>
<ds:datastoreItem xmlns:ds="http://schemas.openxmlformats.org/officeDocument/2006/customXml" ds:itemID="{9BC2B352-CA4C-4A8B-841F-D1FBFA85A2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Darli Alexandra Muñoz Cuadros</dc:creator>
  <cp:keywords/>
  <dc:description/>
  <cp:lastModifiedBy>Daniel Felipe Cardenas Rivera</cp:lastModifiedBy>
  <cp:revision/>
  <dcterms:created xsi:type="dcterms:W3CDTF">2025-02-05T01:44:32Z</dcterms:created>
  <dcterms:modified xsi:type="dcterms:W3CDTF">2026-04-29T16:07:49Z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0x010100053A27A1B41A8C40BB4C1D7F86B2FC9B</vt:lpwstr>
  </property>
  <property fmtid="{D5CDD505-2E9C-101B-9397-08002B2CF9AE}" pid="3" name="MediaServiceImageTags">
    <vt:lpwstr/>
  </property>
</Properties>
</file>